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DialysisProject\templates\"/>
    </mc:Choice>
  </mc:AlternateContent>
  <xr:revisionPtr revIDLastSave="0" documentId="13_ncr:1_{BAF6B7A3-CEC3-486A-907B-8678871CC240}" xr6:coauthVersionLast="47" xr6:coauthVersionMax="47" xr10:uidLastSave="{00000000-0000-0000-0000-000000000000}"/>
  <bookViews>
    <workbookView xWindow="-4260" yWindow="-21710" windowWidth="38620" windowHeight="21100" xr2:uid="{1530965C-898F-4FBD-BF54-B3318779D767}"/>
  </bookViews>
  <sheets>
    <sheet name="Lease Comp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60" i="2" l="1"/>
  <c r="Q60" i="2"/>
  <c r="L60" i="2"/>
  <c r="I60" i="2"/>
  <c r="H60" i="2"/>
  <c r="G60" i="2"/>
  <c r="A4" i="2"/>
  <c r="A8" i="2" l="1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J60" i="2"/>
  <c r="K60" i="2"/>
  <c r="A55" i="2" l="1"/>
  <c r="A56" i="2" s="1"/>
  <c r="A57" i="2" s="1"/>
  <c r="A58" i="2" s="1"/>
  <c r="A59" i="2" s="1"/>
  <c r="M60" i="2"/>
  <c r="N60" i="2"/>
</calcChain>
</file>

<file path=xl/sharedStrings.xml><?xml version="1.0" encoding="utf-8"?>
<sst xmlns="http://schemas.openxmlformats.org/spreadsheetml/2006/main" count="43" uniqueCount="24">
  <si>
    <t>ADDRESS</t>
  </si>
  <si>
    <t>CITY</t>
  </si>
  <si>
    <t>STATE</t>
  </si>
  <si>
    <t>BUILT</t>
  </si>
  <si>
    <t>RENT/SF</t>
  </si>
  <si>
    <t>EXP</t>
  </si>
  <si>
    <t>EXPENSES</t>
  </si>
  <si>
    <t>RBA</t>
  </si>
  <si>
    <t>SF LEASED</t>
  </si>
  <si>
    <t>BUMPS</t>
  </si>
  <si>
    <t>INITIAL TERM</t>
  </si>
  <si>
    <t xml:space="preserve">Lease Comps </t>
  </si>
  <si>
    <t>RENOVATED</t>
  </si>
  <si>
    <t>COMMENCE</t>
  </si>
  <si>
    <t>TENANT</t>
  </si>
  <si>
    <t>OPERATOR</t>
  </si>
  <si>
    <t>Subject Property</t>
  </si>
  <si>
    <t>LAND</t>
  </si>
  <si>
    <t>OCCUPANCY</t>
  </si>
  <si>
    <t>CURRENT RENT</t>
  </si>
  <si>
    <t>DISTANCE TO SUBJECT</t>
  </si>
  <si>
    <t>TERM REM</t>
  </si>
  <si>
    <t>AVERAGE</t>
  </si>
  <si>
    <t>USER/OWNER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</si>
</sst>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[Red]\(0\)"/>
    <numFmt numFmtId="165" formatCode="[$-409]mmm\-yy;@"/>
    <numFmt numFmtId="166" formatCode="0.0"/>
    <numFmt numFmtId="167" formatCode="&quot;$&quot;#,##0.00"/>
    <numFmt numFmtId="168" formatCode="&quot;$&quot;#,##0"/>
    <numFmt numFmtId="169" formatCode="#,##0.0_);[Red]\(#,##0.0\)"/>
    <numFmt numFmtId="171" formatCode="mm/dd/yy;@"/>
    <numFmt numFmtId="172" formatCode="0.0&quot; Years&quot;"/>
    <numFmt numFmtId="174" formatCode="#,##0.0&quot; Miles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6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3DA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8" tint="0.399914548173467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5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38" fontId="4" fillId="2" borderId="1" xfId="0" applyNumberFormat="1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5" fontId="4" fillId="2" borderId="1" xfId="2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9" fontId="2" fillId="0" borderId="0" xfId="0" applyNumberFormat="1" applyFont="1" applyAlignment="1">
      <alignment horizontal="center" vertical="center"/>
    </xf>
    <xf numFmtId="38" fontId="2" fillId="0" borderId="0" xfId="1" applyNumberFormat="1" applyFont="1" applyAlignment="1">
      <alignment vertical="center"/>
    </xf>
    <xf numFmtId="38" fontId="2" fillId="0" borderId="0" xfId="0" applyNumberFormat="1" applyFont="1" applyAlignment="1">
      <alignment vertical="center"/>
    </xf>
    <xf numFmtId="9" fontId="2" fillId="0" borderId="0" xfId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8" fontId="2" fillId="0" borderId="0" xfId="2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6" fontId="2" fillId="0" borderId="0" xfId="2" applyNumberFormat="1" applyFont="1" applyAlignment="1">
      <alignment vertical="center"/>
    </xf>
    <xf numFmtId="6" fontId="2" fillId="0" borderId="0" xfId="0" applyNumberFormat="1" applyFont="1" applyAlignment="1">
      <alignment vertical="center"/>
    </xf>
    <xf numFmtId="171" fontId="2" fillId="0" borderId="0" xfId="2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174" fontId="2" fillId="0" borderId="0" xfId="0" applyNumberFormat="1" applyFont="1" applyAlignment="1">
      <alignment vertical="center"/>
    </xf>
    <xf numFmtId="174" fontId="2" fillId="0" borderId="0" xfId="0" applyNumberFormat="1" applyFon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2" formatCode="0.0&quot; Years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2" formatCode="0.0&quot; Years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1" formatCode="mm/dd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1" formatCode="mm/dd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0" formatCode="&quot;$&quot;#,##0_);[Red]\(&quot;$&quot;#,##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6" formatCode="#,##0_);[Red]\(#,##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6" formatCode="#,##0_);[Red]\(#,##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9" formatCode="#,##0.0_);[Red]\(#,##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74" formatCode="#,##0.0&quot; Miles&quot;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2" formatCode="0.0&quot; Years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72" formatCode="0.0&quot; Years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71" formatCode="mm/dd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1" formatCode="mm/dd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0" formatCode="&quot;$&quot;#,##0_);[Red]\(&quot;$&quot;#,##0\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6" formatCode="#,##0_);[Red]\(#,##0\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6" formatCode="#,##0_);[Red]\(#,##0\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9" formatCode="#,##0.0_);[Red]\(#,##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8" formatCode="&quot;$&quot;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7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8" tint="0.39991454817346722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5" formatCode="[$-409]mmm\-yy;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numFmt numFmtId="165" formatCode="[$-409]mmm\-yy;@"/>
      <fill>
        <patternFill patternType="solid">
          <fgColor indexed="64"/>
          <bgColor rgb="FF003DA5"/>
        </patternFill>
      </fill>
      <alignment horizontal="center" vertical="center" textRotation="0" wrapText="0" indent="0" justifyLastLine="0" shrinkToFit="0" readingOrder="0"/>
    </dxf>
    <dxf>
      <border>
        <bottom style="thick">
          <color theme="8" tint="0.39991454817346722"/>
        </bottom>
      </border>
    </dxf>
  </dxfs>
  <tableStyles count="0" defaultTableStyle="TableStyleMedium2" defaultPivotStyle="PivotStyleLight16"/>
  <colors>
    <mruColors>
      <color rgb="FF003D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03613-E5D7-42BF-9B89-BF5F82F76BED}" name="Comps" displayName="Comps" ref="B7:V60" totalsRowCount="1" headerRowDxfId="65" dataDxfId="55" totalsRowDxfId="64" headerRowBorderDxfId="66" headerRowCellStyle="Comma">
  <autoFilter ref="B7:V59" xr:uid="{1243C459-4331-41FF-81F0-1B5417021A59}"/>
  <sortState xmlns:xlrd2="http://schemas.microsoft.com/office/spreadsheetml/2017/richdata2" ref="B8:T47">
    <sortCondition descending="1" ref="M7:M47"/>
  </sortState>
  <tableColumns count="21">
    <tableColumn id="14" xr3:uid="{A8958B26-F3B1-468B-BD26-35B12B9716DC}" name="TENANT" totalsRowLabel="AVERAGE" dataDxfId="62" totalsRowDxfId="53"/>
    <tableColumn id="18" xr3:uid="{82EDD0DA-E3C0-4878-85C7-75D3E4212DB7}" name="OPERATOR" dataDxfId="61" totalsRowDxfId="52"/>
    <tableColumn id="3" xr3:uid="{21920465-050D-42FB-91CA-9E7506080A16}" name="ADDRESS" dataDxfId="60" totalsRowDxfId="51"/>
    <tableColumn id="4" xr3:uid="{C9B54622-34BF-4812-9390-1F2D8A7C005C}" name="CITY" dataDxfId="59" totalsRowDxfId="50"/>
    <tableColumn id="5" xr3:uid="{889E4815-159F-4896-82C7-D4CD766AEBF4}" name="STATE" dataDxfId="58" totalsRowDxfId="49"/>
    <tableColumn id="9" xr3:uid="{8D232C1A-0E6A-45B8-8F4B-7221095A01B3}" name="LAND" totalsRowFunction="average" dataDxfId="32" totalsRowDxfId="48"/>
    <tableColumn id="7" xr3:uid="{0FCD8032-F947-4E8C-AD5B-5253BA74C5B9}" name="BUILT" totalsRowFunction="average" dataDxfId="31" totalsRowDxfId="47"/>
    <tableColumn id="6" xr3:uid="{536C17C3-21C0-4253-90AD-802DCE9159C1}" name="RENOVATED" totalsRowFunction="average" dataDxfId="30" totalsRowDxfId="46"/>
    <tableColumn id="1" xr3:uid="{19DD4B35-E621-4A05-AF59-38AE7ED5E7DB}" name="RBA" totalsRowFunction="custom" dataDxfId="29" totalsRowDxfId="45" dataCellStyle="Comma">
      <totalsRowFormula>AVERAGE(Comps[RBA])</totalsRowFormula>
    </tableColumn>
    <tableColumn id="8" xr3:uid="{78806565-2C94-4DD6-A343-C24C9B22DBE7}" name="SF LEASED" totalsRowFunction="custom" dataDxfId="28" totalsRowDxfId="44" dataCellStyle="Comma">
      <totalsRowFormula>AVERAGE(Comps[SF LEASED])</totalsRowFormula>
    </tableColumn>
    <tableColumn id="19" xr3:uid="{2A7AB868-F896-4510-AEB7-179B499531D1}" name="OCCUPANCY" totalsRowFunction="average" dataDxfId="27" totalsRowDxfId="43" dataCellStyle="Comma"/>
    <tableColumn id="10" xr3:uid="{9AB04F92-9E16-4D6E-B7A0-4712BEA0DC6A}" name="RENT/SF" totalsRowFunction="custom" dataDxfId="26" totalsRowDxfId="42" dataCellStyle="Currency">
      <totalsRowFormula>AVERAGE(Comps[RENT/SF])</totalsRowFormula>
    </tableColumn>
    <tableColumn id="17" xr3:uid="{3AC591E9-5461-4040-9AAC-BE783EE980B8}" name="CURRENT RENT" totalsRowFunction="custom" dataDxfId="25" totalsRowDxfId="41" dataCellStyle="Currency">
      <totalsRowFormula>AVERAGE(N8:N59)</totalsRowFormula>
    </tableColumn>
    <tableColumn id="2" xr3:uid="{0F7F0174-209B-4D31-871F-62B0621459C0}" name="COMMENCE" dataDxfId="24" totalsRowDxfId="40" dataCellStyle="Currency"/>
    <tableColumn id="11" xr3:uid="{80EBE919-9AF7-4A7C-9767-091BB5D5CA84}" name="EXP" dataDxfId="23" totalsRowDxfId="39"/>
    <tableColumn id="12" xr3:uid="{AB6F1007-F586-4ACA-8D6C-3C915B32EF35}" name="INITIAL TERM" totalsRowFunction="average" dataDxfId="22" totalsRowDxfId="38"/>
    <tableColumn id="22" xr3:uid="{A3603264-E6ED-4E35-8640-9BB31358E29B}" name="TERM REM" totalsRowFunction="average" dataDxfId="21" totalsRowDxfId="37"/>
    <tableColumn id="13" xr3:uid="{449758F6-37D9-401B-ACA2-D3143FEF0AD4}" name="EXPENSES" dataDxfId="57" totalsRowDxfId="36"/>
    <tableColumn id="15" xr3:uid="{3CA8C56D-855D-4C17-A459-50E05CD79147}" name="BUMPS" dataDxfId="56" totalsRowDxfId="35"/>
    <tableColumn id="23" xr3:uid="{BEDB460B-7A54-4A5A-9885-44723BB2411C}" name="USER/OWNER" dataDxfId="54" totalsRowDxfId="34"/>
    <tableColumn id="21" xr3:uid="{3FBEEBD9-86C6-413C-9356-73C38DF36297}" name="DISTANCE TO SUBJECT" dataDxfId="20" totalsRow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BF88C7-8289-4319-997B-1FFB3700A2BD}" name="Subject" displayName="Subject" ref="B3:T4" totalsRowShown="0" dataDxfId="0" headerRowBorderDxfId="63">
  <autoFilter ref="B3:T4" xr:uid="{97BF88C7-8289-4319-997B-1FFB3700A2BD}"/>
  <tableColumns count="19">
    <tableColumn id="1" xr3:uid="{F372A0AD-7D9F-4E1B-80BB-E9EA1F43FF98}" name="TENANT" dataDxfId="19"/>
    <tableColumn id="2" xr3:uid="{EE07BF4B-9888-42D0-AEA0-EC844060232C}" name="OPERATOR" dataDxfId="18"/>
    <tableColumn id="3" xr3:uid="{DDAA04E7-7D90-4C0F-A899-B7164697961F}" name="ADDRESS" dataDxfId="17"/>
    <tableColumn id="4" xr3:uid="{28905B0F-1324-4E8E-8424-5A4BDE00674A}" name="CITY" dataDxfId="16"/>
    <tableColumn id="5" xr3:uid="{4EA57B70-5FEB-4297-A3E9-BA7597579C3F}" name="STATE" dataDxfId="15"/>
    <tableColumn id="17" xr3:uid="{20E2E4DA-6385-426C-9260-153FCB0CBB04}" name="LAND" dataDxfId="14"/>
    <tableColumn id="6" xr3:uid="{1B95EF4B-356A-45DA-83CC-1289FAB84543}" name="BUILT" dataDxfId="13"/>
    <tableColumn id="7" xr3:uid="{3E89E415-4A63-4DA0-8829-336C6D98AC2A}" name="RENOVATED" dataDxfId="12"/>
    <tableColumn id="8" xr3:uid="{F33643B1-65D0-425C-BDC5-7DDA90BFD001}" name="RBA" dataDxfId="11" dataCellStyle="Comma"/>
    <tableColumn id="9" xr3:uid="{9F84D342-A98E-44D7-9ACE-D9BEE5F7B4F8}" name="SF LEASED" dataDxfId="10" dataCellStyle="Comma"/>
    <tableColumn id="18" xr3:uid="{E9CAC627-88E6-4257-8D4A-3464998ADE97}" name="OCCUPANCY" dataDxfId="9" dataCellStyle="Comma"/>
    <tableColumn id="10" xr3:uid="{8CB44078-D234-4081-AF1F-66D47AAF52F6}" name="RENT/SF" dataDxfId="8" dataCellStyle="Currency"/>
    <tableColumn id="11" xr3:uid="{21DD5B4C-712C-4E57-ACE6-596573914811}" name="CURRENT RENT" dataDxfId="7" dataCellStyle="Currency"/>
    <tableColumn id="12" xr3:uid="{09039B48-7D3E-45B9-B734-9E76787C917C}" name="COMMENCE" dataDxfId="6" dataCellStyle="Currency"/>
    <tableColumn id="13" xr3:uid="{CD6B5E6F-31E0-4EE2-9E83-8194EDEFE448}" name="EXP" dataDxfId="5"/>
    <tableColumn id="14" xr3:uid="{DD94E148-F26D-474B-98A0-77E10566056E}" name="INITIAL TERM" dataDxfId="4"/>
    <tableColumn id="19" xr3:uid="{990A8AFA-70F0-430A-942F-72EAF894A87D}" name="TERM REM" dataDxfId="3"/>
    <tableColumn id="15" xr3:uid="{00061287-CD90-4AA4-B28E-7EE46F454722}" name="EXPENSES" dataDxfId="2"/>
    <tableColumn id="16" xr3:uid="{61D553E7-5398-4D5B-8428-3C49EAE29E0A}" name="BUMP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150C-595E-47F9-9690-BCCA21FAFD68}">
  <dimension ref="A2:V61"/>
  <sheetViews>
    <sheetView tabSelected="1" zoomScaleNormal="100" workbookViewId="0">
      <pane xSplit="1" ySplit="7" topLeftCell="B30" activePane="bottomRight" state="frozen"/>
      <selection pane="topRight" activeCell="B1" sqref="B1"/>
      <selection pane="bottomLeft" activeCell="A8" sqref="A8"/>
      <selection pane="bottomRight" activeCell="M32" sqref="M32"/>
    </sheetView>
  </sheetViews>
  <sheetFormatPr defaultRowHeight="15" x14ac:dyDescent="0.25"/>
  <cols>
    <col min="1" max="1" width="3.28515625" style="1" bestFit="1" customWidth="1"/>
    <col min="2" max="2" width="24.85546875" style="1" bestFit="1" customWidth="1"/>
    <col min="3" max="3" width="16.5703125" style="1" bestFit="1" customWidth="1"/>
    <col min="4" max="4" width="15.28515625" style="1" bestFit="1" customWidth="1"/>
    <col min="5" max="5" width="10.140625" style="1" bestFit="1" customWidth="1"/>
    <col min="6" max="6" width="11.7109375" style="1" bestFit="1" customWidth="1"/>
    <col min="7" max="8" width="11.140625" style="1" bestFit="1" customWidth="1"/>
    <col min="9" max="9" width="18.140625" style="1" bestFit="1" customWidth="1"/>
    <col min="10" max="10" width="9.5703125" style="1" bestFit="1" customWidth="1"/>
    <col min="11" max="11" width="14.85546875" style="1" bestFit="1" customWidth="1"/>
    <col min="12" max="12" width="14.28515625" style="3" customWidth="1"/>
    <col min="13" max="13" width="14.28515625" style="1" bestFit="1" customWidth="1"/>
    <col min="14" max="14" width="21.42578125" style="4" bestFit="1" customWidth="1"/>
    <col min="15" max="15" width="18.85546875" style="5" customWidth="1"/>
    <col min="16" max="16" width="16" style="1" bestFit="1" customWidth="1"/>
    <col min="17" max="17" width="18.5703125" style="1" bestFit="1" customWidth="1"/>
    <col min="18" max="18" width="16.140625" style="1" bestFit="1" customWidth="1"/>
    <col min="19" max="19" width="12.5703125" style="1" bestFit="1" customWidth="1"/>
    <col min="20" max="20" width="28.7109375" style="1" bestFit="1" customWidth="1"/>
    <col min="21" max="21" width="19.85546875" style="1" bestFit="1" customWidth="1"/>
    <col min="22" max="22" width="28.7109375" style="1" bestFit="1" customWidth="1"/>
    <col min="23" max="16384" width="9.140625" style="1"/>
  </cols>
  <sheetData>
    <row r="2" spans="1:22" ht="21" x14ac:dyDescent="0.35">
      <c r="B2" s="20" t="s">
        <v>16</v>
      </c>
      <c r="C2" s="2"/>
    </row>
    <row r="3" spans="1:22" ht="22.5" customHeight="1" thickBot="1" x14ac:dyDescent="0.3">
      <c r="B3" s="6" t="s">
        <v>14</v>
      </c>
      <c r="C3" s="6" t="s">
        <v>15</v>
      </c>
      <c r="D3" s="7" t="s">
        <v>0</v>
      </c>
      <c r="E3" s="7" t="s">
        <v>1</v>
      </c>
      <c r="F3" s="7" t="s">
        <v>2</v>
      </c>
      <c r="G3" s="7" t="s">
        <v>17</v>
      </c>
      <c r="H3" s="8" t="s">
        <v>3</v>
      </c>
      <c r="I3" s="8" t="s">
        <v>12</v>
      </c>
      <c r="J3" s="8" t="s">
        <v>7</v>
      </c>
      <c r="K3" s="9" t="s">
        <v>8</v>
      </c>
      <c r="L3" s="9" t="s">
        <v>18</v>
      </c>
      <c r="M3" s="10" t="s">
        <v>4</v>
      </c>
      <c r="N3" s="11" t="s">
        <v>19</v>
      </c>
      <c r="O3" s="10" t="s">
        <v>13</v>
      </c>
      <c r="P3" s="12" t="s">
        <v>5</v>
      </c>
      <c r="Q3" s="13" t="s">
        <v>10</v>
      </c>
      <c r="R3" s="13" t="s">
        <v>21</v>
      </c>
      <c r="S3" s="7" t="s">
        <v>6</v>
      </c>
      <c r="T3" s="6" t="s">
        <v>9</v>
      </c>
    </row>
    <row r="4" spans="1:22" s="22" customFormat="1" ht="18" customHeight="1" thickTop="1" x14ac:dyDescent="0.25">
      <c r="A4" s="21">
        <f>A3+1</f>
        <v>1</v>
      </c>
      <c r="B4" s="14"/>
      <c r="C4" s="14"/>
      <c r="D4" s="14"/>
      <c r="E4" s="14"/>
      <c r="F4" s="14"/>
      <c r="G4" s="23"/>
      <c r="H4" s="15"/>
      <c r="I4" s="15"/>
      <c r="J4" s="24"/>
      <c r="K4" s="24"/>
      <c r="L4" s="26"/>
      <c r="M4" s="28"/>
      <c r="N4" s="30"/>
      <c r="O4" s="32"/>
      <c r="P4" s="33"/>
      <c r="Q4" s="34"/>
      <c r="R4" s="34"/>
      <c r="S4" s="14"/>
      <c r="T4" s="14"/>
    </row>
    <row r="6" spans="1:22" ht="21" x14ac:dyDescent="0.35">
      <c r="B6" s="20" t="s">
        <v>11</v>
      </c>
      <c r="C6" s="2"/>
    </row>
    <row r="7" spans="1:22" ht="22.5" customHeight="1" thickBot="1" x14ac:dyDescent="0.3">
      <c r="B7" s="6" t="s">
        <v>14</v>
      </c>
      <c r="C7" s="6" t="s">
        <v>15</v>
      </c>
      <c r="D7" s="7" t="s">
        <v>0</v>
      </c>
      <c r="E7" s="7" t="s">
        <v>1</v>
      </c>
      <c r="F7" s="7" t="s">
        <v>2</v>
      </c>
      <c r="G7" s="7" t="s">
        <v>17</v>
      </c>
      <c r="H7" s="8" t="s">
        <v>3</v>
      </c>
      <c r="I7" s="8" t="s">
        <v>12</v>
      </c>
      <c r="J7" s="8" t="s">
        <v>7</v>
      </c>
      <c r="K7" s="9" t="s">
        <v>8</v>
      </c>
      <c r="L7" s="9" t="s">
        <v>18</v>
      </c>
      <c r="M7" s="10" t="s">
        <v>4</v>
      </c>
      <c r="N7" s="11" t="s">
        <v>19</v>
      </c>
      <c r="O7" s="10" t="s">
        <v>13</v>
      </c>
      <c r="P7" s="12" t="s">
        <v>5</v>
      </c>
      <c r="Q7" s="13" t="s">
        <v>10</v>
      </c>
      <c r="R7" s="13" t="s">
        <v>21</v>
      </c>
      <c r="S7" s="7" t="s">
        <v>6</v>
      </c>
      <c r="T7" s="6" t="s">
        <v>9</v>
      </c>
      <c r="U7" s="6" t="s">
        <v>23</v>
      </c>
      <c r="V7" s="6" t="s">
        <v>20</v>
      </c>
    </row>
    <row r="8" spans="1:22" s="22" customFormat="1" ht="18" customHeight="1" thickTop="1" x14ac:dyDescent="0.25">
      <c r="A8" s="21">
        <f>A7+1</f>
        <v>1</v>
      </c>
      <c r="B8" s="14"/>
      <c r="C8" s="14"/>
      <c r="D8" s="14"/>
      <c r="E8" s="14"/>
      <c r="F8" s="14"/>
      <c r="G8" s="23"/>
      <c r="H8" s="15"/>
      <c r="I8" s="15"/>
      <c r="J8" s="24"/>
      <c r="K8" s="24"/>
      <c r="L8" s="26"/>
      <c r="M8" s="28"/>
      <c r="N8" s="30"/>
      <c r="O8" s="32"/>
      <c r="P8" s="33"/>
      <c r="Q8" s="34"/>
      <c r="R8" s="34"/>
      <c r="S8" s="14"/>
      <c r="T8" s="14"/>
      <c r="U8" s="14"/>
      <c r="V8" s="35"/>
    </row>
    <row r="9" spans="1:22" s="22" customFormat="1" ht="18" customHeight="1" x14ac:dyDescent="0.25">
      <c r="A9" s="21">
        <f>A8+1</f>
        <v>2</v>
      </c>
      <c r="B9" s="14"/>
      <c r="C9" s="14"/>
      <c r="D9" s="14"/>
      <c r="E9" s="14"/>
      <c r="F9" s="14"/>
      <c r="G9" s="23"/>
      <c r="H9" s="15"/>
      <c r="I9" s="15"/>
      <c r="J9" s="24"/>
      <c r="K9" s="24"/>
      <c r="L9" s="26"/>
      <c r="M9" s="28"/>
      <c r="N9" s="30"/>
      <c r="O9" s="32"/>
      <c r="P9" s="33"/>
      <c r="Q9" s="34"/>
      <c r="R9" s="34"/>
      <c r="S9" s="14"/>
      <c r="T9" s="14"/>
      <c r="U9" s="14"/>
      <c r="V9" s="35"/>
    </row>
    <row r="10" spans="1:22" s="22" customFormat="1" ht="18" customHeight="1" x14ac:dyDescent="0.25">
      <c r="A10" s="21">
        <f t="shared" ref="A10:A42" si="0">A9+1</f>
        <v>3</v>
      </c>
      <c r="B10" s="14"/>
      <c r="C10" s="14"/>
      <c r="D10" s="14"/>
      <c r="E10" s="14"/>
      <c r="F10" s="14"/>
      <c r="G10" s="23"/>
      <c r="H10" s="15"/>
      <c r="I10" s="15"/>
      <c r="J10" s="24"/>
      <c r="K10" s="24"/>
      <c r="L10" s="26"/>
      <c r="M10" s="28"/>
      <c r="N10" s="30"/>
      <c r="O10" s="32"/>
      <c r="P10" s="33"/>
      <c r="Q10" s="34"/>
      <c r="R10" s="34"/>
      <c r="S10" s="14"/>
      <c r="T10" s="14"/>
      <c r="U10" s="14"/>
      <c r="V10" s="35"/>
    </row>
    <row r="11" spans="1:22" s="22" customFormat="1" ht="18" customHeight="1" x14ac:dyDescent="0.25">
      <c r="A11" s="21">
        <f t="shared" si="0"/>
        <v>4</v>
      </c>
      <c r="B11" s="14"/>
      <c r="C11" s="14"/>
      <c r="D11" s="14"/>
      <c r="E11" s="14"/>
      <c r="F11" s="14"/>
      <c r="G11" s="23"/>
      <c r="H11" s="15"/>
      <c r="I11" s="15"/>
      <c r="J11" s="24"/>
      <c r="K11" s="24"/>
      <c r="L11" s="26"/>
      <c r="M11" s="28"/>
      <c r="N11" s="30"/>
      <c r="O11" s="32"/>
      <c r="P11" s="33"/>
      <c r="Q11" s="34"/>
      <c r="R11" s="34"/>
      <c r="S11" s="14"/>
      <c r="T11" s="14"/>
      <c r="U11" s="14"/>
      <c r="V11" s="35"/>
    </row>
    <row r="12" spans="1:22" s="22" customFormat="1" ht="18" customHeight="1" x14ac:dyDescent="0.25">
      <c r="A12" s="21">
        <f t="shared" si="0"/>
        <v>5</v>
      </c>
      <c r="B12" s="14"/>
      <c r="C12" s="14"/>
      <c r="D12" s="14"/>
      <c r="E12" s="14"/>
      <c r="F12" s="14"/>
      <c r="G12" s="23"/>
      <c r="H12" s="15"/>
      <c r="I12" s="15"/>
      <c r="J12" s="24"/>
      <c r="K12" s="24"/>
      <c r="L12" s="26"/>
      <c r="M12" s="28"/>
      <c r="N12" s="30"/>
      <c r="O12" s="32"/>
      <c r="P12" s="33"/>
      <c r="Q12" s="34"/>
      <c r="R12" s="34"/>
      <c r="S12" s="14"/>
      <c r="T12" s="14"/>
      <c r="U12" s="14"/>
      <c r="V12" s="35"/>
    </row>
    <row r="13" spans="1:22" s="22" customFormat="1" ht="18" customHeight="1" x14ac:dyDescent="0.25">
      <c r="A13" s="21">
        <f t="shared" si="0"/>
        <v>6</v>
      </c>
      <c r="B13" s="14"/>
      <c r="C13" s="14"/>
      <c r="D13" s="14"/>
      <c r="E13" s="14"/>
      <c r="F13" s="14"/>
      <c r="G13" s="23"/>
      <c r="H13" s="15"/>
      <c r="I13" s="15"/>
      <c r="J13" s="24"/>
      <c r="K13" s="24"/>
      <c r="L13" s="26"/>
      <c r="M13" s="28"/>
      <c r="N13" s="30"/>
      <c r="O13" s="32"/>
      <c r="P13" s="33"/>
      <c r="Q13" s="34"/>
      <c r="R13" s="34"/>
      <c r="S13" s="14"/>
      <c r="T13" s="14"/>
      <c r="U13" s="14"/>
      <c r="V13" s="35"/>
    </row>
    <row r="14" spans="1:22" s="22" customFormat="1" ht="18" customHeight="1" x14ac:dyDescent="0.25">
      <c r="A14" s="21">
        <f t="shared" si="0"/>
        <v>7</v>
      </c>
      <c r="B14" s="14"/>
      <c r="C14" s="14"/>
      <c r="D14" s="14"/>
      <c r="E14" s="14"/>
      <c r="F14" s="14"/>
      <c r="G14" s="23"/>
      <c r="H14" s="15"/>
      <c r="I14" s="15"/>
      <c r="J14" s="24"/>
      <c r="K14" s="24"/>
      <c r="L14" s="26"/>
      <c r="M14" s="28"/>
      <c r="N14" s="30"/>
      <c r="O14" s="32"/>
      <c r="P14" s="33"/>
      <c r="Q14" s="34"/>
      <c r="R14" s="34"/>
      <c r="S14" s="14"/>
      <c r="T14" s="14"/>
      <c r="U14" s="14"/>
      <c r="V14" s="35"/>
    </row>
    <row r="15" spans="1:22" s="22" customFormat="1" ht="18" customHeight="1" x14ac:dyDescent="0.25">
      <c r="A15" s="21">
        <f t="shared" si="0"/>
        <v>8</v>
      </c>
      <c r="B15" s="14"/>
      <c r="C15" s="14"/>
      <c r="D15" s="14"/>
      <c r="E15" s="14"/>
      <c r="F15" s="14"/>
      <c r="G15" s="23"/>
      <c r="H15" s="15"/>
      <c r="I15" s="15"/>
      <c r="J15" s="24"/>
      <c r="K15" s="24"/>
      <c r="L15" s="26"/>
      <c r="M15" s="28"/>
      <c r="N15" s="30"/>
      <c r="O15" s="32"/>
      <c r="P15" s="33"/>
      <c r="Q15" s="34"/>
      <c r="R15" s="34"/>
      <c r="S15" s="14"/>
      <c r="T15" s="14"/>
      <c r="U15" s="14"/>
      <c r="V15" s="35"/>
    </row>
    <row r="16" spans="1:22" s="22" customFormat="1" ht="18" customHeight="1" x14ac:dyDescent="0.25">
      <c r="A16" s="21">
        <f t="shared" si="0"/>
        <v>9</v>
      </c>
      <c r="B16" s="14"/>
      <c r="C16" s="14"/>
      <c r="D16" s="14"/>
      <c r="E16" s="14"/>
      <c r="F16" s="14"/>
      <c r="G16" s="23"/>
      <c r="H16" s="15"/>
      <c r="I16" s="15"/>
      <c r="J16" s="24"/>
      <c r="K16" s="24"/>
      <c r="L16" s="26"/>
      <c r="M16" s="28"/>
      <c r="N16" s="30"/>
      <c r="O16" s="32"/>
      <c r="P16" s="33"/>
      <c r="Q16" s="34"/>
      <c r="R16" s="34"/>
      <c r="S16" s="14"/>
      <c r="T16" s="14"/>
      <c r="U16" s="14"/>
      <c r="V16" s="35"/>
    </row>
    <row r="17" spans="1:22" s="22" customFormat="1" ht="18" customHeight="1" x14ac:dyDescent="0.25">
      <c r="A17" s="21">
        <f t="shared" si="0"/>
        <v>10</v>
      </c>
      <c r="B17" s="14"/>
      <c r="C17" s="14"/>
      <c r="D17" s="14"/>
      <c r="E17" s="14"/>
      <c r="F17" s="14"/>
      <c r="G17" s="23"/>
      <c r="H17" s="15"/>
      <c r="I17" s="15"/>
      <c r="J17" s="24"/>
      <c r="K17" s="24"/>
      <c r="L17" s="26"/>
      <c r="M17" s="28"/>
      <c r="N17" s="30"/>
      <c r="O17" s="32"/>
      <c r="P17" s="33"/>
      <c r="Q17" s="34"/>
      <c r="R17" s="34"/>
      <c r="S17" s="14"/>
      <c r="T17" s="14"/>
      <c r="U17" s="14"/>
      <c r="V17" s="35"/>
    </row>
    <row r="18" spans="1:22" s="22" customFormat="1" ht="18" customHeight="1" x14ac:dyDescent="0.25">
      <c r="A18" s="21">
        <f t="shared" si="0"/>
        <v>11</v>
      </c>
      <c r="B18" s="14"/>
      <c r="C18" s="14"/>
      <c r="D18" s="14"/>
      <c r="E18" s="14"/>
      <c r="F18" s="14"/>
      <c r="G18" s="23"/>
      <c r="H18" s="15"/>
      <c r="I18" s="15"/>
      <c r="J18" s="24"/>
      <c r="K18" s="24"/>
      <c r="L18" s="26"/>
      <c r="M18" s="28"/>
      <c r="N18" s="30"/>
      <c r="O18" s="32"/>
      <c r="P18" s="33"/>
      <c r="Q18" s="34"/>
      <c r="R18" s="34"/>
      <c r="S18" s="14"/>
      <c r="T18" s="14"/>
      <c r="U18" s="14"/>
      <c r="V18" s="35"/>
    </row>
    <row r="19" spans="1:22" s="22" customFormat="1" ht="18" customHeight="1" x14ac:dyDescent="0.25">
      <c r="A19" s="21">
        <f t="shared" si="0"/>
        <v>12</v>
      </c>
      <c r="B19" s="14"/>
      <c r="C19" s="14"/>
      <c r="D19" s="14"/>
      <c r="E19" s="14"/>
      <c r="F19" s="14"/>
      <c r="G19" s="23"/>
      <c r="H19" s="15"/>
      <c r="I19" s="15"/>
      <c r="J19" s="24"/>
      <c r="K19" s="24"/>
      <c r="L19" s="26"/>
      <c r="M19" s="28"/>
      <c r="N19" s="30"/>
      <c r="O19" s="32"/>
      <c r="P19" s="33"/>
      <c r="Q19" s="34"/>
      <c r="R19" s="34"/>
      <c r="S19" s="14"/>
      <c r="T19" s="14"/>
      <c r="U19" s="14"/>
      <c r="V19" s="35"/>
    </row>
    <row r="20" spans="1:22" s="22" customFormat="1" ht="18" customHeight="1" x14ac:dyDescent="0.25">
      <c r="A20" s="21">
        <f t="shared" si="0"/>
        <v>13</v>
      </c>
      <c r="B20" s="14"/>
      <c r="C20" s="14"/>
      <c r="D20" s="14"/>
      <c r="E20" s="14"/>
      <c r="F20" s="14"/>
      <c r="G20" s="23"/>
      <c r="H20" s="15"/>
      <c r="I20" s="15"/>
      <c r="J20" s="24"/>
      <c r="K20" s="24"/>
      <c r="L20" s="26"/>
      <c r="M20" s="28"/>
      <c r="N20" s="30"/>
      <c r="O20" s="32"/>
      <c r="P20" s="33"/>
      <c r="Q20" s="34"/>
      <c r="R20" s="34"/>
      <c r="S20" s="14"/>
      <c r="T20" s="14"/>
      <c r="U20" s="14"/>
      <c r="V20" s="35"/>
    </row>
    <row r="21" spans="1:22" s="22" customFormat="1" ht="18" customHeight="1" x14ac:dyDescent="0.25">
      <c r="A21" s="21">
        <f t="shared" si="0"/>
        <v>14</v>
      </c>
      <c r="B21" s="14"/>
      <c r="C21" s="14"/>
      <c r="D21" s="14"/>
      <c r="E21" s="14"/>
      <c r="F21" s="14"/>
      <c r="G21" s="23"/>
      <c r="H21" s="15"/>
      <c r="I21" s="15"/>
      <c r="J21" s="24"/>
      <c r="K21" s="24"/>
      <c r="L21" s="26"/>
      <c r="M21" s="28"/>
      <c r="N21" s="30"/>
      <c r="O21" s="32"/>
      <c r="P21" s="33"/>
      <c r="Q21" s="34"/>
      <c r="R21" s="34"/>
      <c r="S21" s="14"/>
      <c r="T21" s="14"/>
      <c r="U21" s="14"/>
      <c r="V21" s="35"/>
    </row>
    <row r="22" spans="1:22" s="22" customFormat="1" ht="18" customHeight="1" x14ac:dyDescent="0.25">
      <c r="A22" s="21">
        <f t="shared" si="0"/>
        <v>15</v>
      </c>
      <c r="B22" s="14"/>
      <c r="C22" s="14"/>
      <c r="D22" s="14"/>
      <c r="E22" s="14"/>
      <c r="F22" s="14"/>
      <c r="G22" s="23"/>
      <c r="H22" s="15"/>
      <c r="I22" s="15"/>
      <c r="J22" s="24"/>
      <c r="K22" s="24"/>
      <c r="L22" s="26"/>
      <c r="M22" s="28"/>
      <c r="N22" s="30"/>
      <c r="O22" s="32"/>
      <c r="P22" s="33"/>
      <c r="Q22" s="34"/>
      <c r="R22" s="34"/>
      <c r="S22" s="14"/>
      <c r="T22" s="14"/>
      <c r="U22" s="14"/>
      <c r="V22" s="35"/>
    </row>
    <row r="23" spans="1:22" s="22" customFormat="1" ht="18" customHeight="1" x14ac:dyDescent="0.25">
      <c r="A23" s="21">
        <f t="shared" si="0"/>
        <v>16</v>
      </c>
      <c r="B23" s="14"/>
      <c r="C23" s="14"/>
      <c r="D23" s="14"/>
      <c r="E23" s="14"/>
      <c r="F23" s="14"/>
      <c r="G23" s="23"/>
      <c r="H23" s="15"/>
      <c r="I23" s="15"/>
      <c r="J23" s="24"/>
      <c r="K23" s="24"/>
      <c r="L23" s="26"/>
      <c r="M23" s="28"/>
      <c r="N23" s="30"/>
      <c r="O23" s="32"/>
      <c r="P23" s="33"/>
      <c r="Q23" s="34"/>
      <c r="R23" s="34"/>
      <c r="S23" s="14"/>
      <c r="T23" s="14"/>
      <c r="U23" s="14"/>
      <c r="V23" s="35"/>
    </row>
    <row r="24" spans="1:22" s="22" customFormat="1" ht="18" customHeight="1" x14ac:dyDescent="0.25">
      <c r="A24" s="21">
        <f t="shared" si="0"/>
        <v>17</v>
      </c>
      <c r="B24" s="14"/>
      <c r="C24" s="14"/>
      <c r="D24" s="14"/>
      <c r="E24" s="14"/>
      <c r="F24" s="14"/>
      <c r="G24" s="23"/>
      <c r="H24" s="15"/>
      <c r="I24" s="15"/>
      <c r="J24" s="24"/>
      <c r="K24" s="24"/>
      <c r="L24" s="26"/>
      <c r="M24" s="28"/>
      <c r="N24" s="30"/>
      <c r="O24" s="32"/>
      <c r="P24" s="33"/>
      <c r="Q24" s="34"/>
      <c r="R24" s="34"/>
      <c r="S24" s="14"/>
      <c r="T24" s="14"/>
      <c r="U24" s="14"/>
      <c r="V24" s="35"/>
    </row>
    <row r="25" spans="1:22" s="22" customFormat="1" ht="18" customHeight="1" x14ac:dyDescent="0.25">
      <c r="A25" s="21">
        <f t="shared" si="0"/>
        <v>18</v>
      </c>
      <c r="B25" s="14"/>
      <c r="C25" s="14"/>
      <c r="D25" s="14"/>
      <c r="E25" s="14"/>
      <c r="F25" s="14"/>
      <c r="G25" s="23"/>
      <c r="H25" s="15"/>
      <c r="I25" s="15"/>
      <c r="J25" s="24"/>
      <c r="K25" s="24"/>
      <c r="L25" s="26"/>
      <c r="M25" s="28"/>
      <c r="N25" s="30"/>
      <c r="O25" s="32"/>
      <c r="P25" s="33"/>
      <c r="Q25" s="34"/>
      <c r="R25" s="34"/>
      <c r="S25" s="14"/>
      <c r="T25" s="14"/>
      <c r="U25" s="14"/>
      <c r="V25" s="35"/>
    </row>
    <row r="26" spans="1:22" s="22" customFormat="1" ht="18" customHeight="1" x14ac:dyDescent="0.25">
      <c r="A26" s="21">
        <f t="shared" si="0"/>
        <v>19</v>
      </c>
      <c r="B26" s="14"/>
      <c r="C26" s="14"/>
      <c r="D26" s="14"/>
      <c r="E26" s="14"/>
      <c r="F26" s="14"/>
      <c r="G26" s="23"/>
      <c r="H26" s="15"/>
      <c r="I26" s="15"/>
      <c r="J26" s="24"/>
      <c r="K26" s="24"/>
      <c r="L26" s="26"/>
      <c r="M26" s="28"/>
      <c r="N26" s="30"/>
      <c r="O26" s="32"/>
      <c r="P26" s="33"/>
      <c r="Q26" s="34"/>
      <c r="R26" s="34"/>
      <c r="S26" s="14"/>
      <c r="T26" s="14"/>
      <c r="U26" s="14"/>
      <c r="V26" s="35"/>
    </row>
    <row r="27" spans="1:22" s="22" customFormat="1" ht="18" customHeight="1" x14ac:dyDescent="0.25">
      <c r="A27" s="21">
        <f t="shared" si="0"/>
        <v>20</v>
      </c>
      <c r="B27" s="14"/>
      <c r="C27" s="14"/>
      <c r="D27" s="14"/>
      <c r="E27" s="14"/>
      <c r="F27" s="14"/>
      <c r="G27" s="23"/>
      <c r="H27" s="15"/>
      <c r="I27" s="15"/>
      <c r="J27" s="24"/>
      <c r="K27" s="24"/>
      <c r="L27" s="26"/>
      <c r="M27" s="28"/>
      <c r="N27" s="30"/>
      <c r="O27" s="32"/>
      <c r="P27" s="33"/>
      <c r="Q27" s="34"/>
      <c r="R27" s="34"/>
      <c r="S27" s="14"/>
      <c r="T27" s="14"/>
      <c r="U27" s="14"/>
      <c r="V27" s="35"/>
    </row>
    <row r="28" spans="1:22" s="22" customFormat="1" ht="18" customHeight="1" x14ac:dyDescent="0.25">
      <c r="A28" s="21">
        <f t="shared" si="0"/>
        <v>21</v>
      </c>
      <c r="B28" s="14"/>
      <c r="C28" s="14"/>
      <c r="D28" s="14"/>
      <c r="E28" s="14"/>
      <c r="F28" s="14"/>
      <c r="G28" s="23"/>
      <c r="H28" s="15"/>
      <c r="I28" s="15"/>
      <c r="J28" s="24"/>
      <c r="K28" s="24"/>
      <c r="L28" s="26"/>
      <c r="M28" s="28"/>
      <c r="N28" s="30"/>
      <c r="O28" s="32"/>
      <c r="P28" s="33"/>
      <c r="Q28" s="34"/>
      <c r="R28" s="34"/>
      <c r="S28" s="14"/>
      <c r="T28" s="14"/>
      <c r="U28" s="14"/>
      <c r="V28" s="35"/>
    </row>
    <row r="29" spans="1:22" s="22" customFormat="1" ht="18" customHeight="1" x14ac:dyDescent="0.25">
      <c r="A29" s="21">
        <f t="shared" si="0"/>
        <v>22</v>
      </c>
      <c r="B29" s="14"/>
      <c r="C29" s="14"/>
      <c r="D29" s="14"/>
      <c r="E29" s="14"/>
      <c r="F29" s="14"/>
      <c r="G29" s="23"/>
      <c r="H29" s="15"/>
      <c r="I29" s="15"/>
      <c r="J29" s="24"/>
      <c r="K29" s="24"/>
      <c r="L29" s="26"/>
      <c r="M29" s="28"/>
      <c r="N29" s="30"/>
      <c r="O29" s="32"/>
      <c r="P29" s="33"/>
      <c r="Q29" s="34"/>
      <c r="R29" s="34"/>
      <c r="S29" s="14"/>
      <c r="T29" s="14"/>
      <c r="U29" s="14"/>
      <c r="V29" s="35"/>
    </row>
    <row r="30" spans="1:22" s="22" customFormat="1" ht="18" customHeight="1" x14ac:dyDescent="0.25">
      <c r="A30" s="21">
        <f t="shared" si="0"/>
        <v>23</v>
      </c>
      <c r="B30" s="14"/>
      <c r="C30" s="14"/>
      <c r="D30" s="14"/>
      <c r="E30" s="14"/>
      <c r="F30" s="14"/>
      <c r="G30" s="23"/>
      <c r="H30" s="15"/>
      <c r="I30" s="15"/>
      <c r="J30" s="24"/>
      <c r="K30" s="24"/>
      <c r="L30" s="26"/>
      <c r="M30" s="28"/>
      <c r="N30" s="30"/>
      <c r="O30" s="32"/>
      <c r="P30" s="33"/>
      <c r="Q30" s="34"/>
      <c r="R30" s="34"/>
      <c r="S30" s="14"/>
      <c r="T30" s="14"/>
      <c r="U30" s="14"/>
      <c r="V30" s="35"/>
    </row>
    <row r="31" spans="1:22" s="22" customFormat="1" ht="18" customHeight="1" x14ac:dyDescent="0.25">
      <c r="A31" s="21">
        <f t="shared" si="0"/>
        <v>24</v>
      </c>
      <c r="B31" s="14"/>
      <c r="C31" s="14"/>
      <c r="D31" s="14"/>
      <c r="E31" s="14"/>
      <c r="F31" s="14"/>
      <c r="G31" s="23"/>
      <c r="H31" s="15"/>
      <c r="I31" s="15"/>
      <c r="J31" s="24"/>
      <c r="K31" s="24"/>
      <c r="L31" s="26"/>
      <c r="M31" s="28"/>
      <c r="N31" s="30"/>
      <c r="O31" s="32"/>
      <c r="P31" s="33"/>
      <c r="Q31" s="34"/>
      <c r="R31" s="34"/>
      <c r="S31" s="14"/>
      <c r="T31" s="14"/>
      <c r="U31" s="14"/>
      <c r="V31" s="35"/>
    </row>
    <row r="32" spans="1:22" s="22" customFormat="1" ht="18" customHeight="1" x14ac:dyDescent="0.25">
      <c r="A32" s="21">
        <f t="shared" si="0"/>
        <v>25</v>
      </c>
      <c r="B32" s="14"/>
      <c r="C32" s="14"/>
      <c r="D32" s="14"/>
      <c r="E32" s="14"/>
      <c r="F32" s="14"/>
      <c r="G32" s="23"/>
      <c r="H32" s="15"/>
      <c r="I32" s="15"/>
      <c r="J32" s="24"/>
      <c r="K32" s="24"/>
      <c r="L32" s="26"/>
      <c r="M32" s="28"/>
      <c r="N32" s="30"/>
      <c r="O32" s="32"/>
      <c r="P32" s="33"/>
      <c r="Q32" s="34"/>
      <c r="R32" s="34"/>
      <c r="S32" s="14"/>
      <c r="T32" s="14"/>
      <c r="U32" s="14"/>
      <c r="V32" s="35"/>
    </row>
    <row r="33" spans="1:22" s="22" customFormat="1" ht="18" customHeight="1" x14ac:dyDescent="0.25">
      <c r="A33" s="21">
        <f t="shared" si="0"/>
        <v>26</v>
      </c>
      <c r="B33" s="14"/>
      <c r="C33" s="14"/>
      <c r="D33" s="14"/>
      <c r="E33" s="14"/>
      <c r="F33" s="14"/>
      <c r="G33" s="23"/>
      <c r="H33" s="15"/>
      <c r="I33" s="15"/>
      <c r="J33" s="24"/>
      <c r="K33" s="24"/>
      <c r="L33" s="26"/>
      <c r="M33" s="28"/>
      <c r="N33" s="30"/>
      <c r="O33" s="32"/>
      <c r="P33" s="33"/>
      <c r="Q33" s="34"/>
      <c r="R33" s="34"/>
      <c r="S33" s="14"/>
      <c r="T33" s="14"/>
      <c r="U33" s="14"/>
      <c r="V33" s="35"/>
    </row>
    <row r="34" spans="1:22" s="22" customFormat="1" ht="18" customHeight="1" x14ac:dyDescent="0.25">
      <c r="A34" s="21">
        <f t="shared" si="0"/>
        <v>27</v>
      </c>
      <c r="B34" s="14"/>
      <c r="C34" s="14"/>
      <c r="D34" s="14"/>
      <c r="E34" s="14"/>
      <c r="F34" s="14"/>
      <c r="G34" s="23"/>
      <c r="H34" s="15"/>
      <c r="I34" s="15"/>
      <c r="J34" s="24"/>
      <c r="K34" s="24"/>
      <c r="L34" s="26"/>
      <c r="M34" s="28"/>
      <c r="N34" s="30"/>
      <c r="O34" s="32"/>
      <c r="P34" s="33"/>
      <c r="Q34" s="34"/>
      <c r="R34" s="34"/>
      <c r="S34" s="14"/>
      <c r="T34" s="14"/>
      <c r="U34" s="14"/>
      <c r="V34" s="35"/>
    </row>
    <row r="35" spans="1:22" s="22" customFormat="1" ht="18" customHeight="1" x14ac:dyDescent="0.25">
      <c r="A35" s="21">
        <f t="shared" si="0"/>
        <v>28</v>
      </c>
      <c r="B35" s="14"/>
      <c r="C35" s="14"/>
      <c r="D35" s="14"/>
      <c r="E35" s="14"/>
      <c r="F35" s="14"/>
      <c r="G35" s="23"/>
      <c r="H35" s="15"/>
      <c r="I35" s="15"/>
      <c r="J35" s="24"/>
      <c r="K35" s="24"/>
      <c r="L35" s="26"/>
      <c r="M35" s="28"/>
      <c r="N35" s="30"/>
      <c r="O35" s="32"/>
      <c r="P35" s="33"/>
      <c r="Q35" s="34"/>
      <c r="R35" s="34"/>
      <c r="S35" s="14"/>
      <c r="T35" s="14"/>
      <c r="U35" s="14"/>
      <c r="V35" s="35"/>
    </row>
    <row r="36" spans="1:22" s="22" customFormat="1" ht="18" customHeight="1" x14ac:dyDescent="0.25">
      <c r="A36" s="21">
        <f t="shared" si="0"/>
        <v>29</v>
      </c>
      <c r="B36" s="14"/>
      <c r="C36" s="14"/>
      <c r="D36" s="14"/>
      <c r="E36" s="14"/>
      <c r="F36" s="14"/>
      <c r="G36" s="23"/>
      <c r="H36" s="15"/>
      <c r="I36" s="15"/>
      <c r="J36" s="24"/>
      <c r="K36" s="24"/>
      <c r="L36" s="26"/>
      <c r="M36" s="28"/>
      <c r="N36" s="30"/>
      <c r="O36" s="32"/>
      <c r="P36" s="33"/>
      <c r="Q36" s="34"/>
      <c r="R36" s="34"/>
      <c r="S36" s="14"/>
      <c r="T36" s="14"/>
      <c r="U36" s="14"/>
      <c r="V36" s="35"/>
    </row>
    <row r="37" spans="1:22" s="22" customFormat="1" ht="18" customHeight="1" x14ac:dyDescent="0.25">
      <c r="A37" s="21">
        <f t="shared" si="0"/>
        <v>30</v>
      </c>
      <c r="B37" s="14"/>
      <c r="C37" s="14"/>
      <c r="D37" s="14"/>
      <c r="E37" s="14"/>
      <c r="F37" s="14"/>
      <c r="G37" s="23"/>
      <c r="H37" s="15"/>
      <c r="I37" s="15"/>
      <c r="J37" s="24"/>
      <c r="K37" s="24"/>
      <c r="L37" s="26"/>
      <c r="M37" s="28"/>
      <c r="N37" s="30"/>
      <c r="O37" s="32"/>
      <c r="P37" s="33"/>
      <c r="Q37" s="34"/>
      <c r="R37" s="34"/>
      <c r="S37" s="14"/>
      <c r="T37" s="14"/>
      <c r="U37" s="14"/>
      <c r="V37" s="35"/>
    </row>
    <row r="38" spans="1:22" s="22" customFormat="1" ht="18" customHeight="1" x14ac:dyDescent="0.25">
      <c r="A38" s="21">
        <f t="shared" si="0"/>
        <v>31</v>
      </c>
      <c r="B38" s="14"/>
      <c r="C38" s="14"/>
      <c r="D38" s="14"/>
      <c r="E38" s="14"/>
      <c r="F38" s="14"/>
      <c r="G38" s="23"/>
      <c r="H38" s="15"/>
      <c r="I38" s="15"/>
      <c r="J38" s="24"/>
      <c r="K38" s="24"/>
      <c r="L38" s="26"/>
      <c r="M38" s="28"/>
      <c r="N38" s="30"/>
      <c r="O38" s="32"/>
      <c r="P38" s="33"/>
      <c r="Q38" s="34"/>
      <c r="R38" s="34"/>
      <c r="S38" s="14"/>
      <c r="T38" s="14"/>
      <c r="U38" s="14"/>
      <c r="V38" s="35"/>
    </row>
    <row r="39" spans="1:22" s="22" customFormat="1" ht="18" customHeight="1" x14ac:dyDescent="0.25">
      <c r="A39" s="21">
        <f t="shared" si="0"/>
        <v>32</v>
      </c>
      <c r="B39" s="14"/>
      <c r="C39" s="14"/>
      <c r="D39" s="14"/>
      <c r="E39" s="14"/>
      <c r="F39" s="14"/>
      <c r="G39" s="23"/>
      <c r="H39" s="15"/>
      <c r="I39" s="15"/>
      <c r="J39" s="24"/>
      <c r="K39" s="24"/>
      <c r="L39" s="26"/>
      <c r="M39" s="28"/>
      <c r="N39" s="30"/>
      <c r="O39" s="32"/>
      <c r="P39" s="33"/>
      <c r="Q39" s="34"/>
      <c r="R39" s="34"/>
      <c r="S39" s="14"/>
      <c r="T39" s="14"/>
      <c r="U39" s="14"/>
      <c r="V39" s="35"/>
    </row>
    <row r="40" spans="1:22" s="22" customFormat="1" ht="18" customHeight="1" x14ac:dyDescent="0.25">
      <c r="A40" s="21">
        <f t="shared" si="0"/>
        <v>33</v>
      </c>
      <c r="B40" s="14"/>
      <c r="C40" s="14"/>
      <c r="D40" s="14"/>
      <c r="E40" s="14"/>
      <c r="F40" s="14"/>
      <c r="G40" s="23"/>
      <c r="H40" s="15"/>
      <c r="I40" s="15"/>
      <c r="J40" s="24"/>
      <c r="K40" s="24"/>
      <c r="L40" s="26"/>
      <c r="M40" s="28"/>
      <c r="N40" s="30"/>
      <c r="O40" s="32"/>
      <c r="P40" s="33"/>
      <c r="Q40" s="34"/>
      <c r="R40" s="34"/>
      <c r="S40" s="14"/>
      <c r="T40" s="14"/>
      <c r="U40" s="14"/>
      <c r="V40" s="35"/>
    </row>
    <row r="41" spans="1:22" s="22" customFormat="1" ht="18" customHeight="1" x14ac:dyDescent="0.25">
      <c r="A41" s="21">
        <f t="shared" si="0"/>
        <v>34</v>
      </c>
      <c r="B41" s="14"/>
      <c r="C41" s="14"/>
      <c r="D41" s="14"/>
      <c r="E41" s="14"/>
      <c r="F41" s="14"/>
      <c r="G41" s="23"/>
      <c r="H41" s="15"/>
      <c r="I41" s="15"/>
      <c r="J41" s="24"/>
      <c r="K41" s="24"/>
      <c r="L41" s="26"/>
      <c r="M41" s="28"/>
      <c r="N41" s="30"/>
      <c r="O41" s="32"/>
      <c r="P41" s="33"/>
      <c r="Q41" s="34"/>
      <c r="R41" s="34"/>
      <c r="S41" s="14"/>
      <c r="T41" s="14"/>
      <c r="U41" s="14"/>
      <c r="V41" s="35"/>
    </row>
    <row r="42" spans="1:22" s="22" customFormat="1" ht="18" customHeight="1" x14ac:dyDescent="0.25">
      <c r="A42" s="21">
        <f t="shared" si="0"/>
        <v>35</v>
      </c>
      <c r="B42" s="14"/>
      <c r="C42" s="14"/>
      <c r="D42" s="14"/>
      <c r="E42" s="14"/>
      <c r="F42" s="14"/>
      <c r="G42" s="23"/>
      <c r="H42" s="15"/>
      <c r="I42" s="15"/>
      <c r="J42" s="24"/>
      <c r="K42" s="24"/>
      <c r="L42" s="26"/>
      <c r="M42" s="28"/>
      <c r="N42" s="30"/>
      <c r="O42" s="32"/>
      <c r="P42" s="33"/>
      <c r="Q42" s="34"/>
      <c r="R42" s="34"/>
      <c r="S42" s="14"/>
      <c r="T42" s="14"/>
      <c r="U42" s="14"/>
      <c r="V42" s="35"/>
    </row>
    <row r="43" spans="1:22" s="22" customFormat="1" ht="18" customHeight="1" x14ac:dyDescent="0.25">
      <c r="A43" s="21">
        <f t="shared" ref="A43:A59" si="1">A42+1</f>
        <v>36</v>
      </c>
      <c r="B43" s="14"/>
      <c r="C43" s="14"/>
      <c r="D43" s="14"/>
      <c r="E43" s="14"/>
      <c r="F43" s="14"/>
      <c r="G43" s="23"/>
      <c r="H43" s="15"/>
      <c r="I43" s="15"/>
      <c r="J43" s="24"/>
      <c r="K43" s="24"/>
      <c r="L43" s="26"/>
      <c r="M43" s="28"/>
      <c r="N43" s="30"/>
      <c r="O43" s="32"/>
      <c r="P43" s="33"/>
      <c r="Q43" s="34"/>
      <c r="R43" s="34"/>
      <c r="S43" s="14"/>
      <c r="T43" s="14"/>
      <c r="U43" s="14"/>
      <c r="V43" s="35"/>
    </row>
    <row r="44" spans="1:22" s="22" customFormat="1" ht="18" customHeight="1" x14ac:dyDescent="0.25">
      <c r="A44" s="21">
        <f t="shared" si="1"/>
        <v>37</v>
      </c>
      <c r="B44" s="14"/>
      <c r="C44" s="14"/>
      <c r="D44" s="14"/>
      <c r="E44" s="14"/>
      <c r="F44" s="14"/>
      <c r="G44" s="23"/>
      <c r="H44" s="15"/>
      <c r="I44" s="15"/>
      <c r="J44" s="24"/>
      <c r="K44" s="24"/>
      <c r="L44" s="26"/>
      <c r="M44" s="28"/>
      <c r="N44" s="30"/>
      <c r="O44" s="32"/>
      <c r="P44" s="33"/>
      <c r="Q44" s="34"/>
      <c r="R44" s="34"/>
      <c r="S44" s="14"/>
      <c r="T44" s="14"/>
      <c r="U44" s="14"/>
      <c r="V44" s="35"/>
    </row>
    <row r="45" spans="1:22" s="22" customFormat="1" ht="18" customHeight="1" x14ac:dyDescent="0.25">
      <c r="A45" s="21">
        <f t="shared" si="1"/>
        <v>38</v>
      </c>
      <c r="B45" s="14"/>
      <c r="C45" s="14"/>
      <c r="D45" s="14"/>
      <c r="E45" s="14"/>
      <c r="F45" s="14"/>
      <c r="G45" s="23"/>
      <c r="H45" s="15"/>
      <c r="I45" s="15"/>
      <c r="J45" s="24"/>
      <c r="K45" s="24"/>
      <c r="L45" s="26"/>
      <c r="M45" s="28"/>
      <c r="N45" s="30"/>
      <c r="O45" s="32"/>
      <c r="P45" s="33"/>
      <c r="Q45" s="34"/>
      <c r="R45" s="34"/>
      <c r="S45" s="14"/>
      <c r="T45" s="14"/>
      <c r="U45" s="14"/>
      <c r="V45" s="35"/>
    </row>
    <row r="46" spans="1:22" s="22" customFormat="1" ht="18" customHeight="1" x14ac:dyDescent="0.25">
      <c r="A46" s="21">
        <f t="shared" si="1"/>
        <v>39</v>
      </c>
      <c r="B46" s="14"/>
      <c r="C46" s="14"/>
      <c r="D46" s="14"/>
      <c r="E46" s="14"/>
      <c r="F46" s="14"/>
      <c r="G46" s="23"/>
      <c r="H46" s="15"/>
      <c r="I46" s="15"/>
      <c r="J46" s="24"/>
      <c r="K46" s="24"/>
      <c r="L46" s="26"/>
      <c r="M46" s="28"/>
      <c r="N46" s="30"/>
      <c r="O46" s="32"/>
      <c r="P46" s="33"/>
      <c r="Q46" s="34"/>
      <c r="R46" s="34"/>
      <c r="S46" s="14"/>
      <c r="T46" s="14"/>
      <c r="U46" s="14"/>
      <c r="V46" s="35"/>
    </row>
    <row r="47" spans="1:22" s="22" customFormat="1" ht="18" customHeight="1" x14ac:dyDescent="0.25">
      <c r="A47" s="21">
        <f t="shared" si="1"/>
        <v>40</v>
      </c>
      <c r="B47" s="14"/>
      <c r="C47" s="14"/>
      <c r="D47" s="14"/>
      <c r="E47" s="14"/>
      <c r="F47" s="14"/>
      <c r="G47" s="23"/>
      <c r="H47" s="15"/>
      <c r="I47" s="15"/>
      <c r="J47" s="24"/>
      <c r="K47" s="24"/>
      <c r="L47" s="26"/>
      <c r="M47" s="28"/>
      <c r="N47" s="30"/>
      <c r="O47" s="32"/>
      <c r="P47" s="33"/>
      <c r="Q47" s="34"/>
      <c r="R47" s="34"/>
      <c r="S47" s="14"/>
      <c r="T47" s="14"/>
      <c r="U47" s="14"/>
      <c r="V47" s="35"/>
    </row>
    <row r="48" spans="1:22" s="22" customFormat="1" ht="18" customHeight="1" x14ac:dyDescent="0.25">
      <c r="A48" s="21">
        <f t="shared" si="1"/>
        <v>41</v>
      </c>
      <c r="B48" s="14"/>
      <c r="C48" s="14"/>
      <c r="D48" s="14"/>
      <c r="E48" s="14"/>
      <c r="F48" s="14"/>
      <c r="G48" s="23"/>
      <c r="H48" s="15"/>
      <c r="I48" s="15"/>
      <c r="J48" s="24"/>
      <c r="K48" s="24"/>
      <c r="L48" s="26"/>
      <c r="M48" s="28"/>
      <c r="N48" s="30"/>
      <c r="O48" s="32"/>
      <c r="P48" s="33"/>
      <c r="Q48" s="34"/>
      <c r="R48" s="34"/>
      <c r="S48" s="14"/>
      <c r="T48" s="14"/>
      <c r="U48" s="14"/>
      <c r="V48" s="35"/>
    </row>
    <row r="49" spans="1:22" s="22" customFormat="1" ht="18" customHeight="1" x14ac:dyDescent="0.25">
      <c r="A49" s="21">
        <f t="shared" si="1"/>
        <v>42</v>
      </c>
      <c r="B49" s="14"/>
      <c r="C49" s="14"/>
      <c r="D49" s="14"/>
      <c r="E49" s="14"/>
      <c r="F49" s="14"/>
      <c r="G49" s="23"/>
      <c r="H49" s="15"/>
      <c r="I49" s="15"/>
      <c r="J49" s="24"/>
      <c r="K49" s="24"/>
      <c r="L49" s="26"/>
      <c r="M49" s="28"/>
      <c r="N49" s="30"/>
      <c r="O49" s="32"/>
      <c r="P49" s="33"/>
      <c r="Q49" s="34"/>
      <c r="R49" s="34"/>
      <c r="S49" s="14"/>
      <c r="T49" s="14"/>
      <c r="U49" s="14"/>
      <c r="V49" s="35"/>
    </row>
    <row r="50" spans="1:22" s="22" customFormat="1" ht="18" customHeight="1" x14ac:dyDescent="0.25">
      <c r="A50" s="21">
        <f t="shared" si="1"/>
        <v>43</v>
      </c>
      <c r="B50" s="14"/>
      <c r="C50" s="14"/>
      <c r="D50" s="14"/>
      <c r="E50" s="14"/>
      <c r="F50" s="14"/>
      <c r="G50" s="23"/>
      <c r="H50" s="15"/>
      <c r="I50" s="15"/>
      <c r="J50" s="24"/>
      <c r="K50" s="24"/>
      <c r="L50" s="26"/>
      <c r="M50" s="28"/>
      <c r="N50" s="30"/>
      <c r="O50" s="32"/>
      <c r="P50" s="33"/>
      <c r="Q50" s="34"/>
      <c r="R50" s="34"/>
      <c r="S50" s="14"/>
      <c r="T50" s="14"/>
      <c r="U50" s="14"/>
      <c r="V50" s="35"/>
    </row>
    <row r="51" spans="1:22" s="22" customFormat="1" ht="18" customHeight="1" x14ac:dyDescent="0.25">
      <c r="A51" s="21">
        <f t="shared" si="1"/>
        <v>44</v>
      </c>
      <c r="B51" s="14"/>
      <c r="C51" s="14"/>
      <c r="D51" s="14"/>
      <c r="E51" s="14"/>
      <c r="F51" s="14"/>
      <c r="G51" s="23"/>
      <c r="H51" s="15"/>
      <c r="I51" s="15"/>
      <c r="J51" s="24"/>
      <c r="K51" s="24"/>
      <c r="L51" s="26"/>
      <c r="M51" s="28"/>
      <c r="N51" s="30"/>
      <c r="O51" s="32"/>
      <c r="P51" s="33"/>
      <c r="Q51" s="34"/>
      <c r="R51" s="34"/>
      <c r="S51" s="14"/>
      <c r="T51" s="14"/>
      <c r="U51" s="14"/>
      <c r="V51" s="35"/>
    </row>
    <row r="52" spans="1:22" s="22" customFormat="1" ht="18" customHeight="1" x14ac:dyDescent="0.25">
      <c r="A52" s="21">
        <f t="shared" si="1"/>
        <v>45</v>
      </c>
      <c r="B52" s="14"/>
      <c r="C52" s="14"/>
      <c r="D52" s="14"/>
      <c r="E52" s="14"/>
      <c r="F52" s="14"/>
      <c r="G52" s="23"/>
      <c r="H52" s="15"/>
      <c r="I52" s="15"/>
      <c r="J52" s="24"/>
      <c r="K52" s="24"/>
      <c r="L52" s="26"/>
      <c r="M52" s="28"/>
      <c r="N52" s="30"/>
      <c r="O52" s="32"/>
      <c r="P52" s="33"/>
      <c r="Q52" s="34"/>
      <c r="R52" s="34"/>
      <c r="S52" s="14"/>
      <c r="T52" s="14"/>
      <c r="U52" s="14"/>
      <c r="V52" s="35"/>
    </row>
    <row r="53" spans="1:22" s="22" customFormat="1" ht="18" customHeight="1" x14ac:dyDescent="0.25">
      <c r="A53" s="21">
        <f t="shared" si="1"/>
        <v>46</v>
      </c>
      <c r="B53" s="14"/>
      <c r="C53" s="14"/>
      <c r="D53" s="14"/>
      <c r="E53" s="14"/>
      <c r="F53" s="14"/>
      <c r="G53" s="23"/>
      <c r="H53" s="15"/>
      <c r="I53" s="15"/>
      <c r="J53" s="24"/>
      <c r="K53" s="24"/>
      <c r="L53" s="26"/>
      <c r="M53" s="28"/>
      <c r="N53" s="30"/>
      <c r="O53" s="32"/>
      <c r="P53" s="33"/>
      <c r="Q53" s="34"/>
      <c r="R53" s="34"/>
      <c r="S53" s="14"/>
      <c r="T53" s="14"/>
      <c r="U53" s="14"/>
      <c r="V53" s="35"/>
    </row>
    <row r="54" spans="1:22" s="22" customFormat="1" ht="18" customHeight="1" x14ac:dyDescent="0.25">
      <c r="A54" s="21">
        <f t="shared" si="1"/>
        <v>47</v>
      </c>
      <c r="B54" s="14"/>
      <c r="C54" s="14"/>
      <c r="D54" s="14"/>
      <c r="E54" s="14"/>
      <c r="F54" s="14"/>
      <c r="G54" s="23"/>
      <c r="H54" s="15"/>
      <c r="I54" s="15"/>
      <c r="J54" s="24"/>
      <c r="K54" s="24"/>
      <c r="L54" s="26"/>
      <c r="M54" s="28"/>
      <c r="N54" s="30"/>
      <c r="O54" s="32"/>
      <c r="P54" s="33"/>
      <c r="Q54" s="34"/>
      <c r="R54" s="34"/>
      <c r="S54" s="14"/>
      <c r="T54" s="14"/>
      <c r="U54" s="14"/>
      <c r="V54" s="35"/>
    </row>
    <row r="55" spans="1:22" s="22" customFormat="1" ht="18" customHeight="1" x14ac:dyDescent="0.25">
      <c r="A55" s="21">
        <f t="shared" si="1"/>
        <v>48</v>
      </c>
      <c r="B55" s="14"/>
      <c r="C55" s="14"/>
      <c r="D55" s="14"/>
      <c r="E55" s="14"/>
      <c r="F55" s="14"/>
      <c r="G55" s="23"/>
      <c r="H55" s="15"/>
      <c r="I55" s="15"/>
      <c r="J55" s="24"/>
      <c r="K55" s="24"/>
      <c r="L55" s="26"/>
      <c r="M55" s="28"/>
      <c r="N55" s="30"/>
      <c r="O55" s="32"/>
      <c r="P55" s="33"/>
      <c r="Q55" s="34"/>
      <c r="R55" s="34"/>
      <c r="S55" s="14"/>
      <c r="T55" s="14"/>
      <c r="U55" s="14"/>
      <c r="V55" s="35"/>
    </row>
    <row r="56" spans="1:22" s="22" customFormat="1" ht="18" customHeight="1" x14ac:dyDescent="0.25">
      <c r="A56" s="21">
        <f t="shared" si="1"/>
        <v>49</v>
      </c>
      <c r="B56" s="14"/>
      <c r="C56" s="14"/>
      <c r="D56" s="14"/>
      <c r="E56" s="14"/>
      <c r="F56" s="14"/>
      <c r="G56" s="23"/>
      <c r="H56" s="15"/>
      <c r="I56" s="15"/>
      <c r="J56" s="24"/>
      <c r="K56" s="24"/>
      <c r="L56" s="26"/>
      <c r="M56" s="28"/>
      <c r="N56" s="30"/>
      <c r="O56" s="32"/>
      <c r="P56" s="33"/>
      <c r="Q56" s="34"/>
      <c r="R56" s="34"/>
      <c r="S56" s="14"/>
      <c r="T56" s="14"/>
      <c r="U56" s="14"/>
      <c r="V56" s="35"/>
    </row>
    <row r="57" spans="1:22" s="22" customFormat="1" ht="18" customHeight="1" x14ac:dyDescent="0.25">
      <c r="A57" s="21">
        <f t="shared" si="1"/>
        <v>50</v>
      </c>
      <c r="B57" s="14"/>
      <c r="C57" s="14"/>
      <c r="D57" s="14"/>
      <c r="E57" s="14"/>
      <c r="F57" s="14"/>
      <c r="G57" s="23"/>
      <c r="H57" s="15"/>
      <c r="I57" s="15"/>
      <c r="J57" s="24"/>
      <c r="K57" s="24"/>
      <c r="L57" s="26"/>
      <c r="M57" s="28"/>
      <c r="N57" s="30"/>
      <c r="O57" s="32"/>
      <c r="P57" s="33"/>
      <c r="Q57" s="34"/>
      <c r="R57" s="34"/>
      <c r="S57" s="14"/>
      <c r="T57" s="14"/>
      <c r="U57" s="14"/>
      <c r="V57" s="35"/>
    </row>
    <row r="58" spans="1:22" s="22" customFormat="1" ht="18" customHeight="1" x14ac:dyDescent="0.25">
      <c r="A58" s="21">
        <f t="shared" si="1"/>
        <v>51</v>
      </c>
      <c r="B58" s="14"/>
      <c r="C58" s="14"/>
      <c r="D58" s="14"/>
      <c r="E58" s="14"/>
      <c r="F58" s="14"/>
      <c r="G58" s="23"/>
      <c r="H58" s="15"/>
      <c r="I58" s="15"/>
      <c r="J58" s="24"/>
      <c r="K58" s="24"/>
      <c r="L58" s="26"/>
      <c r="M58" s="28"/>
      <c r="N58" s="30"/>
      <c r="O58" s="32"/>
      <c r="P58" s="33"/>
      <c r="Q58" s="34"/>
      <c r="R58" s="34"/>
      <c r="S58" s="14"/>
      <c r="T58" s="14"/>
      <c r="U58" s="14"/>
      <c r="V58" s="35"/>
    </row>
    <row r="59" spans="1:22" s="22" customFormat="1" ht="18" customHeight="1" x14ac:dyDescent="0.25">
      <c r="A59" s="21">
        <f t="shared" si="1"/>
        <v>52</v>
      </c>
      <c r="B59" s="14"/>
      <c r="C59" s="14"/>
      <c r="D59" s="14"/>
      <c r="E59" s="14"/>
      <c r="F59" s="14"/>
      <c r="G59" s="23"/>
      <c r="H59" s="15"/>
      <c r="I59" s="15"/>
      <c r="J59" s="24"/>
      <c r="K59" s="24"/>
      <c r="L59" s="26"/>
      <c r="M59" s="28"/>
      <c r="N59" s="30"/>
      <c r="O59" s="32"/>
      <c r="P59" s="33"/>
      <c r="Q59" s="34"/>
      <c r="R59" s="34"/>
      <c r="S59" s="14"/>
      <c r="T59" s="14"/>
      <c r="U59" s="14"/>
      <c r="V59" s="35"/>
    </row>
    <row r="60" spans="1:22" ht="22.5" customHeight="1" x14ac:dyDescent="0.25">
      <c r="B60" s="14" t="s">
        <v>22</v>
      </c>
      <c r="C60" s="14"/>
      <c r="D60" s="14"/>
      <c r="E60" s="14"/>
      <c r="F60" s="14"/>
      <c r="G60" s="23" t="e">
        <f>SUBTOTAL(101,Comps[LAND])</f>
        <v>#DIV/0!</v>
      </c>
      <c r="H60" s="15" t="e">
        <f>SUBTOTAL(101,Comps[BUILT])</f>
        <v>#DIV/0!</v>
      </c>
      <c r="I60" s="15" t="e">
        <f>SUBTOTAL(101,Comps[RENOVATED])</f>
        <v>#DIV/0!</v>
      </c>
      <c r="J60" s="25" t="e">
        <f>AVERAGE(Comps[RBA])</f>
        <v>#DIV/0!</v>
      </c>
      <c r="K60" s="25" t="e">
        <f>AVERAGE(Comps[SF LEASED])</f>
        <v>#DIV/0!</v>
      </c>
      <c r="L60" s="27" t="e">
        <f>SUBTOTAL(101,Comps[OCCUPANCY])</f>
        <v>#DIV/0!</v>
      </c>
      <c r="M60" s="29" t="e">
        <f>AVERAGE(Comps[RENT/SF])</f>
        <v>#DIV/0!</v>
      </c>
      <c r="N60" s="31" t="e">
        <f>AVERAGE(N8:N59)</f>
        <v>#DIV/0!</v>
      </c>
      <c r="O60" s="33"/>
      <c r="P60" s="33"/>
      <c r="Q60" s="34" t="e">
        <f>SUBTOTAL(101,Comps[INITIAL TERM])</f>
        <v>#DIV/0!</v>
      </c>
      <c r="R60" s="34" t="e">
        <f>SUBTOTAL(101,Comps[TERM REM])</f>
        <v>#DIV/0!</v>
      </c>
      <c r="S60" s="14"/>
      <c r="T60" s="14"/>
      <c r="U60" s="14"/>
      <c r="V60" s="36"/>
    </row>
    <row r="61" spans="1:22" x14ac:dyDescent="0.25">
      <c r="B61" s="14"/>
      <c r="C61" s="14"/>
      <c r="D61" s="14"/>
      <c r="E61" s="14"/>
      <c r="F61" s="14"/>
      <c r="G61" s="15"/>
      <c r="H61" s="15"/>
      <c r="I61" s="16"/>
      <c r="J61" s="16"/>
      <c r="K61" s="17"/>
      <c r="L61" s="18"/>
      <c r="M61" s="14"/>
      <c r="N61" s="14"/>
      <c r="O61" s="19"/>
      <c r="P61" s="14"/>
      <c r="Q61" s="14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3442239F02840831034F7AD67E0F6" ma:contentTypeVersion="5" ma:contentTypeDescription="Create a new document." ma:contentTypeScope="" ma:versionID="ea5a011afc14db824a2717f8a8dc1760">
  <xsd:schema xmlns:xsd="http://www.w3.org/2001/XMLSchema" xmlns:xs="http://www.w3.org/2001/XMLSchema" xmlns:p="http://schemas.microsoft.com/office/2006/metadata/properties" xmlns:ns2="996f9e8b-7d99-457a-a762-afa66303a36d" xmlns:ns3="0fcdc81d-464c-4cf7-b398-1777a13217a0" xmlns:ns4="60046a71-04fc-499e-8a29-7da591b2bcb7" xmlns:ns5="57ebb52e-3d97-4c3c-998e-8095e0c555bc" targetNamespace="http://schemas.microsoft.com/office/2006/metadata/properties" ma:root="true" ma:fieldsID="72b295533184ec6a5c3f09d938316872" ns2:_="" ns3:_="" ns4:_="" ns5:_="">
    <xsd:import namespace="996f9e8b-7d99-457a-a762-afa66303a36d"/>
    <xsd:import namespace="0fcdc81d-464c-4cf7-b398-1777a13217a0"/>
    <xsd:import namespace="60046a71-04fc-499e-8a29-7da591b2bcb7"/>
    <xsd:import namespace="57ebb52e-3d97-4c3c-998e-8095e0c555b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5:SharedWithUsers" minOccurs="0"/>
                <xsd:element ref="ns5:SharedWithDetails" minOccurs="0"/>
                <xsd:element ref="ns4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f9e8b-7d99-457a-a762-afa66303a36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1fc46fd9-0a71-44c3-ba82-aaccec4c24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dc81d-464c-4cf7-b398-1777a13217a0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1cdec974-c59c-4577-84db-8be9ab9329c4}" ma:internalName="TaxCatchAll" ma:showField="CatchAllData" ma:web="0fcdc81d-464c-4cf7-b398-1777a13217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46a71-04fc-499e-8a29-7da591b2b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bb52e-3d97-4c3c-998e-8095e0c555b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6f9e8b-7d99-457a-a762-afa66303a36d">
      <Terms xmlns="http://schemas.microsoft.com/office/infopath/2007/PartnerControls"/>
    </lcf76f155ced4ddcb4097134ff3c332f>
    <TaxCatchAll xmlns="0fcdc81d-464c-4cf7-b398-1777a13217a0" xsi:nil="true"/>
  </documentManagement>
</p:properties>
</file>

<file path=customXml/itemProps1.xml><?xml version="1.0" encoding="utf-8"?>
<ds:datastoreItem xmlns:ds="http://schemas.openxmlformats.org/officeDocument/2006/customXml" ds:itemID="{F9B378D0-D020-4775-9224-E86D986EB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f9e8b-7d99-457a-a762-afa66303a36d"/>
    <ds:schemaRef ds:uri="0fcdc81d-464c-4cf7-b398-1777a13217a0"/>
    <ds:schemaRef ds:uri="60046a71-04fc-499e-8a29-7da591b2bcb7"/>
    <ds:schemaRef ds:uri="57ebb52e-3d97-4c3c-998e-8095e0c55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CCC02E-0F9C-4703-B32C-BE4F4C893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60C468-35D9-4052-AA48-BBBD0EF550F4}">
  <ds:schemaRefs>
    <ds:schemaRef ds:uri="http://schemas.microsoft.com/office/2006/metadata/properties"/>
    <ds:schemaRef ds:uri="http://schemas.microsoft.com/office/infopath/2007/PartnerControls"/>
    <ds:schemaRef ds:uri="60046a71-04fc-499e-8a29-7da591b2bcb7"/>
    <ds:schemaRef ds:uri="57ebb52e-3d97-4c3c-998e-8095e0c555bc"/>
    <ds:schemaRef ds:uri="996f9e8b-7d99-457a-a762-afa66303a36d"/>
    <ds:schemaRef ds:uri="0fcdc81d-464c-4cf7-b398-1777a13217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Morgan</dc:creator>
  <cp:lastModifiedBy>Scott Briggs</cp:lastModifiedBy>
  <dcterms:created xsi:type="dcterms:W3CDTF">2020-04-06T21:43:44Z</dcterms:created>
  <dcterms:modified xsi:type="dcterms:W3CDTF">2026-05-08T13:44:43Z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0x0101002063442239F02840831034F7AD67E0F6</vt:lpwstr>
  </property>
  <property fmtid="{D5CDD505-2E9C-101B-9397-08002B2CF9AE}" pid="3" name="MediaServiceImageTags">
    <vt:lpwstr/>
  </property>
</Properties>
</file>