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840" tabRatio="600" firstSheet="0" activeTab="3" autoFilterDateGrouping="1"/>
  </bookViews>
  <sheets>
    <sheet xmlns:r="http://schemas.openxmlformats.org/officeDocument/2006/relationships" name="Sold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All Charts" sheetId="4" state="visible" r:id="rId4"/>
    <sheet xmlns:r="http://schemas.openxmlformats.org/officeDocument/2006/relationships" name="SSA Charts" sheetId="5" state="visible" r:id="rId5"/>
    <sheet xmlns:r="http://schemas.openxmlformats.org/officeDocument/2006/relationships" name="Rent Survey" sheetId="6" state="visible" r:id="rId6"/>
    <sheet xmlns:r="http://schemas.openxmlformats.org/officeDocument/2006/relationships" name="Top Buyers" sheetId="7" state="visible" r:id="rId7"/>
    <sheet xmlns:r="http://schemas.openxmlformats.org/officeDocument/2006/relationships" name="Top Sellers" sheetId="8" state="visible" r:id="rId8"/>
    <sheet xmlns:r="http://schemas.openxmlformats.org/officeDocument/2006/relationships" name="Competition" sheetId="9" state="visible" r:id="rId9"/>
    <sheet xmlns:r="http://schemas.openxmlformats.org/officeDocument/2006/relationships" name="FRPP-Leased" sheetId="10" state="visible" r:id="rId10"/>
  </sheets>
  <definedNames>
    <definedName name="_xlchart.v5.0" hidden="1">'Rent Survey'!$B$38</definedName>
    <definedName name="_xlchart.v5.1" hidden="1">'Rent Survey'!$B$39:$B$89</definedName>
    <definedName name="_xlchart.v5.2" hidden="1">'Rent Survey'!$H$38</definedName>
    <definedName name="_xlchart.v5.3" hidden="1">'Rent Survey'!$H$39:$H$89</definedName>
  </definedNames>
  <calcPr calcId="191029" fullCalcOnLoad="1"/>
  <pivotCaches>
    <pivotCache xmlns:r="http://schemas.openxmlformats.org/officeDocument/2006/relationships" cacheId="4" r:id="rId11"/>
  </pivotCaches>
</workbook>
</file>

<file path=xl/styles.xml><?xml version="1.0" encoding="utf-8"?>
<styleSheet xmlns="http://schemas.openxmlformats.org/spreadsheetml/2006/main">
  <numFmts count="14">
    <numFmt numFmtId="164" formatCode="[$-409]mmm\-yy;@"/>
    <numFmt numFmtId="165" formatCode="#,##0.0_);[Red]\(#,##0.0\)"/>
    <numFmt numFmtId="166" formatCode="&quot;$&quot;#,##0_);[Red]\(&quot;$&quot;#,##0\)"/>
    <numFmt numFmtId="167" formatCode="&quot;$&quot;#,##0.00_);[Red]\(&quot;$&quot;#,##0.00\)"/>
    <numFmt numFmtId="168" formatCode="_(&quot;$&quot;* #,##0_);_(&quot;$&quot;* \(#,##0\);_(&quot;$&quot;* &quot;-&quot;??_);_(@_)"/>
    <numFmt numFmtId="169" formatCode="[&lt;=9999999]###\-####;\(###\)\ ###\-####"/>
    <numFmt numFmtId="170" formatCode="0.0%"/>
    <numFmt numFmtId="171" formatCode="0_);[Red]\(0\)"/>
    <numFmt numFmtId="172" formatCode="mm/dd/yy;@"/>
    <numFmt numFmtId="173" formatCode="00000"/>
    <numFmt numFmtId="174" formatCode="&quot;$&quot;#.##,,&quot;M&quot;"/>
    <numFmt numFmtId="175" formatCode="yyyy\-mm\-dd"/>
    <numFmt numFmtId="176" formatCode="&quot;$&quot;#.##,,,&quot;B&quot;"/>
    <numFmt numFmtId="177" formatCode="_(* #,##0_);_(* \(#,##0\);_(* &quot;-&quot;??_);_(@_)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Times New Roman"/>
      <family val="2"/>
      <color theme="1"/>
      <sz val="10"/>
    </font>
    <font>
      <name val="Calibri"/>
      <family val="2"/>
      <b val="1"/>
      <color theme="5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Calibri"/>
      <family val="2"/>
      <color rgb="FF3F3F76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2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rgb="FF3E3E3C"/>
      <sz val="10"/>
    </font>
    <font>
      <name val="Calibri"/>
      <family val="2"/>
      <sz val="8"/>
      <scheme val="minor"/>
    </font>
    <font>
      <name val="Calibri"/>
      <family val="2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3DA5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2"/>
      <scheme val="minor"/>
    </font>
  </fonts>
  <fills count="42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003DA5"/>
        <bgColor indexed="64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0"/>
        <bgColor theme="0"/>
      </patternFill>
    </fill>
    <fill>
      <patternFill patternType="solid">
        <fgColor rgb="FFF7F7E7"/>
        <bgColor rgb="FFF7F7E7"/>
      </patternFill>
    </fill>
    <fill>
      <patternFill patternType="solid">
        <fgColor rgb="FFFFC000"/>
        <bgColor indexed="64"/>
      </patternFill>
    </fill>
  </fills>
  <borders count="62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/>
      <top style="thick">
        <color theme="2"/>
      </top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rgb="FF003DA5"/>
      </left>
      <right/>
      <top style="medium">
        <color rgb="FF003DA5"/>
      </top>
      <bottom/>
      <diagonal/>
    </border>
    <border>
      <left/>
      <right/>
      <top style="medium">
        <color rgb="FF003DA5"/>
      </top>
      <bottom/>
      <diagonal/>
    </border>
    <border>
      <left/>
      <right style="medium">
        <color theme="5"/>
      </right>
      <top style="medium">
        <color rgb="FF003DA5"/>
      </top>
      <bottom/>
      <diagonal/>
    </border>
    <border>
      <left/>
      <right style="medium">
        <color rgb="FF003DA5"/>
      </right>
      <top style="medium">
        <color rgb="FF003DA5"/>
      </top>
      <bottom/>
      <diagonal/>
    </border>
    <border>
      <left style="medium">
        <color rgb="FF003DA5"/>
      </left>
      <right/>
      <top/>
      <bottom/>
      <diagonal/>
    </border>
    <border>
      <left/>
      <right style="medium">
        <color rgb="FF003DA5"/>
      </right>
      <top/>
      <bottom/>
      <diagonal/>
    </border>
    <border>
      <left style="medium">
        <color rgb="FF003DA5"/>
      </left>
      <right/>
      <top/>
      <bottom style="medium">
        <color rgb="FF003DA5"/>
      </bottom>
      <diagonal/>
    </border>
    <border>
      <left/>
      <right/>
      <top/>
      <bottom style="medium">
        <color rgb="FF003DA5"/>
      </bottom>
      <diagonal/>
    </border>
    <border>
      <left/>
      <right style="medium">
        <color rgb="FF003DA5"/>
      </right>
      <top/>
      <bottom style="medium">
        <color rgb="FF003DA5"/>
      </bottom>
      <diagonal/>
    </border>
    <border>
      <left style="medium">
        <color rgb="FF003DA5"/>
      </left>
      <right/>
      <top style="medium">
        <color theme="5"/>
      </top>
      <bottom/>
      <diagonal/>
    </border>
    <border>
      <left/>
      <right style="medium">
        <color rgb="FF003DA5"/>
      </right>
      <top style="medium">
        <color theme="5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3DA5"/>
      </left>
      <right/>
      <top style="thin">
        <color rgb="FF003DA5"/>
      </top>
      <bottom/>
      <diagonal/>
    </border>
    <border>
      <left/>
      <right/>
      <top style="thin">
        <color rgb="FF003DA5"/>
      </top>
      <bottom/>
      <diagonal/>
    </border>
    <border>
      <left/>
      <right style="thin">
        <color rgb="FF003DA5"/>
      </right>
      <top style="thin">
        <color rgb="FF003DA5"/>
      </top>
      <bottom/>
      <diagonal/>
    </border>
    <border>
      <left style="thin">
        <color rgb="FF003DA5"/>
      </left>
      <right/>
      <top/>
      <bottom/>
      <diagonal/>
    </border>
    <border>
      <left/>
      <right style="thin">
        <color rgb="FF003DA5"/>
      </right>
      <top/>
      <bottom/>
      <diagonal/>
    </border>
    <border>
      <left style="thin">
        <color rgb="FF003DA5"/>
      </left>
      <right/>
      <top/>
      <bottom style="thin">
        <color rgb="FF003DA5"/>
      </bottom>
      <diagonal/>
    </border>
    <border>
      <left/>
      <right/>
      <top/>
      <bottom style="thin">
        <color rgb="FF003DA5"/>
      </bottom>
      <diagonal/>
    </border>
    <border>
      <left/>
      <right style="thin">
        <color rgb="FF003DA5"/>
      </right>
      <top/>
      <bottom style="thin">
        <color rgb="FF003DA5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  <border>
      <left style="thin">
        <color theme="5" tint="0.3999755851924192"/>
      </left>
      <right/>
      <top style="thin">
        <color theme="5" tint="0.3999755851924192"/>
      </top>
      <bottom style="thin">
        <color theme="5" tint="0.399975585192419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5">
    <xf numFmtId="164" fontId="17" fillId="0" borderId="0"/>
    <xf numFmtId="9" fontId="17" fillId="0" borderId="0"/>
    <xf numFmtId="43" fontId="17" fillId="0" borderId="0"/>
    <xf numFmtId="44" fontId="17" fillId="0" borderId="0"/>
    <xf numFmtId="164" fontId="7" fillId="0" borderId="0"/>
    <xf numFmtId="164" fontId="11" fillId="2" borderId="8"/>
    <xf numFmtId="164" fontId="12" fillId="0" borderId="0"/>
    <xf numFmtId="0" fontId="13" fillId="0" borderId="0"/>
    <xf numFmtId="43" fontId="13" fillId="0" borderId="0"/>
    <xf numFmtId="44" fontId="13" fillId="0" borderId="0"/>
    <xf numFmtId="9" fontId="13" fillId="0" borderId="0"/>
    <xf numFmtId="0" fontId="17" fillId="0" borderId="0"/>
    <xf numFmtId="0" fontId="23" fillId="0" borderId="0"/>
    <xf numFmtId="0" fontId="24" fillId="0" borderId="26"/>
    <xf numFmtId="0" fontId="25" fillId="0" borderId="27"/>
    <xf numFmtId="0" fontId="26" fillId="0" borderId="28"/>
    <xf numFmtId="0" fontId="26" fillId="0" borderId="0"/>
    <xf numFmtId="0" fontId="27" fillId="6" borderId="0"/>
    <xf numFmtId="0" fontId="28" fillId="7" borderId="0"/>
    <xf numFmtId="0" fontId="29" fillId="8" borderId="0"/>
    <xf numFmtId="0" fontId="30" fillId="9" borderId="29"/>
    <xf numFmtId="0" fontId="31" fillId="9" borderId="8"/>
    <xf numFmtId="0" fontId="32" fillId="0" borderId="30"/>
    <xf numFmtId="0" fontId="3" fillId="10" borderId="31"/>
    <xf numFmtId="0" fontId="33" fillId="0" borderId="0"/>
    <xf numFmtId="0" fontId="17" fillId="11" borderId="32"/>
    <xf numFmtId="0" fontId="34" fillId="0" borderId="0"/>
    <xf numFmtId="0" fontId="15" fillId="0" borderId="33"/>
    <xf numFmtId="0" fontId="21" fillId="12" borderId="0"/>
    <xf numFmtId="0" fontId="17" fillId="13" borderId="0"/>
    <xf numFmtId="0" fontId="17" fillId="14" borderId="0"/>
    <xf numFmtId="0" fontId="17" fillId="15" borderId="0"/>
    <xf numFmtId="0" fontId="21" fillId="16" borderId="0"/>
    <xf numFmtId="0" fontId="17" fillId="17" borderId="0"/>
    <xf numFmtId="0" fontId="17" fillId="18" borderId="0"/>
    <xf numFmtId="0" fontId="17" fillId="19" borderId="0"/>
    <xf numFmtId="0" fontId="21" fillId="20" borderId="0"/>
    <xf numFmtId="0" fontId="17" fillId="21" borderId="0"/>
    <xf numFmtId="0" fontId="17" fillId="22" borderId="0"/>
    <xf numFmtId="0" fontId="17" fillId="23" borderId="0"/>
    <xf numFmtId="0" fontId="21" fillId="24" borderId="0"/>
    <xf numFmtId="0" fontId="17" fillId="25" borderId="0"/>
    <xf numFmtId="0" fontId="17" fillId="26" borderId="0"/>
    <xf numFmtId="0" fontId="17" fillId="27" borderId="0"/>
    <xf numFmtId="0" fontId="21" fillId="28" borderId="0"/>
    <xf numFmtId="0" fontId="17" fillId="29" borderId="0"/>
    <xf numFmtId="0" fontId="17" fillId="30" borderId="0"/>
    <xf numFmtId="0" fontId="17" fillId="31" borderId="0"/>
    <xf numFmtId="0" fontId="21" fillId="32" borderId="0"/>
    <xf numFmtId="0" fontId="17" fillId="33" borderId="0"/>
    <xf numFmtId="0" fontId="17" fillId="34" borderId="0"/>
    <xf numFmtId="0" fontId="17" fillId="35" borderId="0"/>
    <xf numFmtId="0" fontId="17" fillId="0" borderId="0"/>
    <xf numFmtId="0" fontId="11" fillId="2" borderId="8"/>
    <xf numFmtId="0" fontId="36" fillId="0" borderId="0"/>
  </cellStyleXfs>
  <cellXfs count="344">
    <xf numFmtId="164" fontId="0" fillId="0" borderId="0" pivotButton="0" quotePrefix="0" xfId="0"/>
    <xf numFmtId="38" fontId="4" fillId="0" borderId="0" pivotButton="0" quotePrefix="0" xfId="0"/>
    <xf numFmtId="164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38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3">
      <alignment horizontal="center" vertical="center"/>
    </xf>
    <xf numFmtId="166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/>
    </xf>
    <xf numFmtId="164" fontId="5" fillId="0" borderId="0" pivotButton="0" quotePrefix="0" xfId="0"/>
    <xf numFmtId="38" fontId="4" fillId="0" borderId="0" applyAlignment="1" pivotButton="0" quotePrefix="0" xfId="0">
      <alignment vertical="center"/>
    </xf>
    <xf numFmtId="167" fontId="2" fillId="0" borderId="0" applyAlignment="1" pivotButton="0" quotePrefix="0" xfId="3">
      <alignment horizontal="center" vertical="center"/>
    </xf>
    <xf numFmtId="165" fontId="2" fillId="0" borderId="0" applyAlignment="1" pivotButton="0" quotePrefix="0" xfId="3">
      <alignment horizontal="center" vertical="center"/>
    </xf>
    <xf numFmtId="166" fontId="5" fillId="0" borderId="0" applyAlignment="1" pivotButton="0" quotePrefix="0" xfId="2">
      <alignment horizontal="right" vertical="center"/>
    </xf>
    <xf numFmtId="10" fontId="5" fillId="0" borderId="0" applyAlignment="1" pivotButton="0" quotePrefix="0" xfId="1">
      <alignment horizontal="center" vertical="center"/>
    </xf>
    <xf numFmtId="164" fontId="5" fillId="0" borderId="0" applyAlignment="1" pivotButton="0" quotePrefix="0" xfId="3">
      <alignment horizontal="left" vertical="center"/>
    </xf>
    <xf numFmtId="9" fontId="5" fillId="0" borderId="0" applyAlignment="1" pivotButton="0" quotePrefix="0" xfId="1">
      <alignment horizontal="center" vertical="center"/>
    </xf>
    <xf numFmtId="164" fontId="5" fillId="0" borderId="0" applyAlignment="1" pivotButton="0" quotePrefix="0" xfId="0">
      <alignment vertical="center"/>
    </xf>
    <xf numFmtId="38" fontId="5" fillId="0" borderId="0" applyAlignment="1" pivotButton="0" quotePrefix="0" xfId="0">
      <alignment vertical="center"/>
    </xf>
    <xf numFmtId="38" fontId="2" fillId="0" borderId="0" applyAlignment="1" pivotButton="0" quotePrefix="0" xfId="2">
      <alignment horizontal="center" vertical="center"/>
    </xf>
    <xf numFmtId="164" fontId="2" fillId="0" borderId="0" applyAlignment="1" pivotButton="0" quotePrefix="0" xfId="3">
      <alignment horizontal="center" vertical="center"/>
    </xf>
    <xf numFmtId="168" fontId="2" fillId="0" borderId="0" applyAlignment="1" pivotButton="0" quotePrefix="0" xfId="3">
      <alignment horizontal="center" vertical="center"/>
    </xf>
    <xf numFmtId="166" fontId="2" fillId="0" borderId="0" applyAlignment="1" pivotButton="0" quotePrefix="0" xfId="3">
      <alignment horizontal="right" vertical="center"/>
    </xf>
    <xf numFmtId="1" fontId="5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2">
      <alignment horizontal="center" vertical="center"/>
    </xf>
    <xf numFmtId="164" fontId="5" fillId="0" borderId="0" applyAlignment="1" pivotButton="0" quotePrefix="0" xfId="2">
      <alignment horizontal="left" vertical="center"/>
    </xf>
    <xf numFmtId="164" fontId="5" fillId="0" borderId="0" applyAlignment="1" pivotButton="0" quotePrefix="0" xfId="3">
      <alignment horizontal="center"/>
    </xf>
    <xf numFmtId="169" fontId="5" fillId="0" borderId="0" applyAlignment="1" pivotButton="0" quotePrefix="0" xfId="0">
      <alignment horizontal="center" vertical="center"/>
    </xf>
    <xf numFmtId="38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3">
      <alignment horizontal="center" vertical="center"/>
    </xf>
    <xf numFmtId="165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4">
      <alignment horizontal="left" vertical="center"/>
    </xf>
    <xf numFmtId="164" fontId="0" fillId="0" borderId="0" applyAlignment="1" pivotButton="0" quotePrefix="0" xfId="0">
      <alignment horizontal="left" vertical="center"/>
    </xf>
    <xf numFmtId="165" fontId="5" fillId="0" borderId="0" applyAlignment="1" pivotButton="0" quotePrefix="0" xfId="3">
      <alignment horizontal="center" vertical="center"/>
    </xf>
    <xf numFmtId="164" fontId="5" fillId="0" borderId="0" applyAlignment="1" pivotButton="0" quotePrefix="0" xfId="4">
      <alignment horizontal="left" vertical="center"/>
    </xf>
    <xf numFmtId="38" fontId="5" fillId="0" borderId="0" applyAlignment="1" pivotButton="0" quotePrefix="0" xfId="3">
      <alignment horizontal="center"/>
    </xf>
    <xf numFmtId="38" fontId="5" fillId="0" borderId="0" applyAlignment="1" pivotButton="0" quotePrefix="0" xfId="3">
      <alignment horizontal="center" vertical="center"/>
    </xf>
    <xf numFmtId="164" fontId="1" fillId="0" borderId="0" applyAlignment="1" pivotButton="0" quotePrefix="0" xfId="4">
      <alignment horizontal="left" vertical="center"/>
    </xf>
    <xf numFmtId="38" fontId="0" fillId="0" borderId="0" pivotButton="0" quotePrefix="0" xfId="0"/>
    <xf numFmtId="166" fontId="0" fillId="0" borderId="0" pivotButton="0" quotePrefix="0" xfId="0"/>
    <xf numFmtId="9" fontId="0" fillId="0" borderId="0" pivotButton="0" quotePrefix="0" xfId="1"/>
    <xf numFmtId="10" fontId="0" fillId="0" borderId="0" pivotButton="0" quotePrefix="0" xfId="1"/>
    <xf numFmtId="10" fontId="0" fillId="0" borderId="0" pivotButton="0" quotePrefix="0" xfId="0"/>
    <xf numFmtId="164" fontId="8" fillId="0" borderId="0" pivotButton="0" quotePrefix="0" xfId="0"/>
    <xf numFmtId="166" fontId="0" fillId="0" borderId="0" pivotButton="0" quotePrefix="0" xfId="1"/>
    <xf numFmtId="38" fontId="0" fillId="0" borderId="0" pivotButton="0" quotePrefix="0" xfId="1"/>
    <xf numFmtId="164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70" fontId="0" fillId="0" borderId="0" pivotButton="0" quotePrefix="0" xfId="1"/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4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/>
    </xf>
    <xf numFmtId="164" fontId="0" fillId="0" borderId="3" pivotButton="0" quotePrefix="0" xfId="0"/>
    <xf numFmtId="164" fontId="0" fillId="0" borderId="5" pivotButton="0" quotePrefix="0" xfId="0"/>
    <xf numFmtId="164" fontId="0" fillId="0" borderId="0" pivotButton="1" quotePrefix="0" xfId="0"/>
    <xf numFmtId="164" fontId="0" fillId="0" borderId="0" applyAlignment="1" pivotButton="0" quotePrefix="0" xfId="0">
      <alignment horizontal="left"/>
    </xf>
    <xf numFmtId="167" fontId="0" fillId="0" borderId="0" applyAlignment="1" pivotButton="0" quotePrefix="0" xfId="3">
      <alignment horizontal="center" vertical="center"/>
    </xf>
    <xf numFmtId="164" fontId="5" fillId="0" borderId="0" applyAlignment="1" pivotButton="0" quotePrefix="0" xfId="3">
      <alignment horizontal="center" vertical="center"/>
    </xf>
    <xf numFmtId="165" fontId="0" fillId="0" borderId="0" applyAlignment="1" pivotButton="0" quotePrefix="0" xfId="3">
      <alignment horizontal="center" vertical="center"/>
    </xf>
    <xf numFmtId="166" fontId="5" fillId="0" borderId="0" applyAlignment="1" pivotButton="0" quotePrefix="0" xfId="2">
      <alignment horizontal="right" vertical="center"/>
    </xf>
    <xf numFmtId="164" fontId="5" fillId="0" borderId="0" applyAlignment="1" pivotButton="0" quotePrefix="0" xfId="3">
      <alignment horizontal="left" vertical="center"/>
    </xf>
    <xf numFmtId="166" fontId="5" fillId="0" borderId="0" applyAlignment="1" pivotButton="0" quotePrefix="0" xfId="3">
      <alignment horizontal="center" vertical="center"/>
    </xf>
    <xf numFmtId="10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0" fillId="0" borderId="0" applyAlignment="1" pivotButton="0" quotePrefix="0" xfId="4">
      <alignment horizontal="left" vertical="center"/>
    </xf>
    <xf numFmtId="38" fontId="5" fillId="0" borderId="0" applyAlignment="1" pivotButton="0" quotePrefix="0" xfId="3">
      <alignment horizontal="center" vertical="center"/>
    </xf>
    <xf numFmtId="166" fontId="0" fillId="0" borderId="0" pivotButton="0" quotePrefix="0" xfId="1"/>
    <xf numFmtId="164" fontId="14" fillId="0" borderId="0" pivotButton="0" quotePrefix="0" xfId="0"/>
    <xf numFmtId="164" fontId="6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170" fontId="14" fillId="0" borderId="0" pivotButton="0" quotePrefix="0" xfId="1"/>
    <xf numFmtId="166" fontId="14" fillId="0" borderId="0" pivotButton="0" quotePrefix="0" xfId="0"/>
    <xf numFmtId="164" fontId="5" fillId="3" borderId="0" applyAlignment="1" pivotButton="0" quotePrefix="0" xfId="3">
      <alignment horizontal="left" vertical="center"/>
    </xf>
    <xf numFmtId="164" fontId="12" fillId="0" borderId="0" applyAlignment="1" pivotButton="0" quotePrefix="0" xfId="6">
      <alignment horizontal="left"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3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164" fontId="1" fillId="0" borderId="1" pivotButton="0" quotePrefix="0" xfId="0"/>
    <xf numFmtId="164" fontId="1" fillId="0" borderId="2" pivotButton="0" quotePrefix="0" xfId="0"/>
    <xf numFmtId="164" fontId="1" fillId="0" borderId="3" pivotButton="0" quotePrefix="0" xfId="0"/>
    <xf numFmtId="164" fontId="1" fillId="0" borderId="0" applyAlignment="1" pivotButton="0" quotePrefix="0" xfId="0">
      <alignment horizontal="right"/>
    </xf>
    <xf numFmtId="38" fontId="1" fillId="0" borderId="0" pivotButton="0" quotePrefix="0" xfId="0"/>
    <xf numFmtId="38" fontId="1" fillId="0" borderId="4" pivotButton="0" quotePrefix="0" xfId="0"/>
    <xf numFmtId="2" fontId="0" fillId="0" borderId="0" applyAlignment="1" pivotButton="0" quotePrefix="0" xfId="3">
      <alignment horizontal="center" vertical="center"/>
    </xf>
    <xf numFmtId="168" fontId="0" fillId="0" borderId="0" applyAlignment="1" pivotButton="0" quotePrefix="0" xfId="3">
      <alignment horizontal="center" vertical="center"/>
    </xf>
    <xf numFmtId="164" fontId="15" fillId="0" borderId="0" pivotButton="0" quotePrefix="0" xfId="0"/>
    <xf numFmtId="164" fontId="16" fillId="0" borderId="0" pivotButton="0" quotePrefix="0" xfId="0"/>
    <xf numFmtId="170" fontId="5" fillId="0" borderId="0" applyAlignment="1" pivotButton="0" quotePrefix="0" xfId="1">
      <alignment horizontal="center" vertical="center"/>
    </xf>
    <xf numFmtId="164" fontId="18" fillId="0" borderId="0" pivotButton="0" quotePrefix="0" xfId="0"/>
    <xf numFmtId="164" fontId="20" fillId="0" borderId="0" pivotButton="0" quotePrefix="0" xfId="0"/>
    <xf numFmtId="166" fontId="5" fillId="0" borderId="0" pivotButton="0" quotePrefix="0" xfId="0"/>
    <xf numFmtId="38" fontId="5" fillId="0" borderId="0" pivotButton="0" quotePrefix="0" xfId="0"/>
    <xf numFmtId="10" fontId="5" fillId="0" borderId="0" pivotButton="0" quotePrefix="0" xfId="1"/>
    <xf numFmtId="170" fontId="5" fillId="0" borderId="0" pivotButton="0" quotePrefix="0" xfId="1"/>
    <xf numFmtId="10" fontId="0" fillId="0" borderId="0" applyAlignment="1" pivotButton="0" quotePrefix="0" xfId="0">
      <alignment horizontal="center"/>
    </xf>
    <xf numFmtId="38" fontId="0" fillId="0" borderId="0" applyAlignment="1" pivotButton="0" quotePrefix="0" xfId="0">
      <alignment horizontal="center"/>
    </xf>
    <xf numFmtId="0" fontId="5" fillId="0" borderId="0" pivotButton="0" quotePrefix="0" xfId="0"/>
    <xf numFmtId="10" fontId="2" fillId="0" borderId="0" pivotButton="0" quotePrefix="0" xfId="1"/>
    <xf numFmtId="166" fontId="2" fillId="0" borderId="0" pivotButton="0" quotePrefix="0" xfId="1"/>
    <xf numFmtId="38" fontId="2" fillId="0" borderId="0" pivotButton="0" quotePrefix="0" xfId="1"/>
    <xf numFmtId="38" fontId="1" fillId="0" borderId="7" pivotButton="0" quotePrefix="0" xfId="0"/>
    <xf numFmtId="164" fontId="0" fillId="0" borderId="6" applyAlignment="1" pivotButton="0" quotePrefix="0" xfId="0">
      <alignment horizontal="right"/>
    </xf>
    <xf numFmtId="38" fontId="1" fillId="0" borderId="6" pivotButton="0" quotePrefix="0" xfId="0"/>
    <xf numFmtId="171" fontId="5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horizontal="center" vertical="center"/>
    </xf>
    <xf numFmtId="164" fontId="6" fillId="0" borderId="0" pivotButton="0" quotePrefix="0" xfId="0"/>
    <xf numFmtId="14" fontId="5" fillId="0" borderId="0" applyAlignment="1" pivotButton="0" quotePrefix="0" xfId="2">
      <alignment horizontal="right" vertical="center"/>
    </xf>
    <xf numFmtId="172" fontId="0" fillId="0" borderId="0" pivotButton="0" quotePrefix="0" xfId="0"/>
    <xf numFmtId="164" fontId="5" fillId="0" borderId="0" applyAlignment="1" pivotButton="0" quotePrefix="0" xfId="3">
      <alignment horizontal="center" vertical="center"/>
    </xf>
    <xf numFmtId="165" fontId="5" fillId="0" borderId="0" applyAlignment="1" pivotButton="0" quotePrefix="0" xfId="3">
      <alignment horizontal="center" vertical="center"/>
    </xf>
    <xf numFmtId="164" fontId="5" fillId="0" borderId="0" applyAlignment="1" pivotButton="0" quotePrefix="0" xfId="3">
      <alignment horizontal="center"/>
    </xf>
    <xf numFmtId="164" fontId="3" fillId="4" borderId="12" applyAlignment="1" pivotButton="0" quotePrefix="0" xfId="0">
      <alignment horizontal="center" vertical="center"/>
    </xf>
    <xf numFmtId="165" fontId="3" fillId="4" borderId="12" applyAlignment="1" pivotButton="0" quotePrefix="0" xfId="0">
      <alignment horizontal="center" vertical="center"/>
    </xf>
    <xf numFmtId="38" fontId="3" fillId="4" borderId="12" applyAlignment="1" pivotButton="0" quotePrefix="0" xfId="0">
      <alignment horizontal="center" vertical="center"/>
    </xf>
    <xf numFmtId="9" fontId="3" fillId="4" borderId="12" applyAlignment="1" pivotButton="0" quotePrefix="0" xfId="0">
      <alignment horizontal="center" vertical="center"/>
    </xf>
    <xf numFmtId="166" fontId="3" fillId="4" borderId="12" applyAlignment="1" pivotButton="0" quotePrefix="0" xfId="0">
      <alignment horizontal="center" vertical="center"/>
    </xf>
    <xf numFmtId="167" fontId="3" fillId="4" borderId="12" applyAlignment="1" pivotButton="0" quotePrefix="0" xfId="0">
      <alignment horizontal="center" vertical="center"/>
    </xf>
    <xf numFmtId="164" fontId="3" fillId="4" borderId="12" applyAlignment="1" pivotButton="0" quotePrefix="0" xfId="3">
      <alignment horizontal="center" vertical="center"/>
    </xf>
    <xf numFmtId="173" fontId="3" fillId="4" borderId="12" applyAlignment="1" pivotButton="0" quotePrefix="0" xfId="2">
      <alignment horizontal="center" vertical="center"/>
    </xf>
    <xf numFmtId="166" fontId="3" fillId="4" borderId="12" applyAlignment="1" pivotButton="0" quotePrefix="0" xfId="2">
      <alignment horizontal="center" vertical="center"/>
    </xf>
    <xf numFmtId="164" fontId="3" fillId="4" borderId="12" applyAlignment="1" pivotButton="0" quotePrefix="0" xfId="2">
      <alignment horizontal="center" vertical="center"/>
    </xf>
    <xf numFmtId="164" fontId="21" fillId="5" borderId="13" applyAlignment="1" pivotButton="0" quotePrefix="0" xfId="0">
      <alignment horizontal="center" vertical="center"/>
    </xf>
    <xf numFmtId="164" fontId="5" fillId="0" borderId="14" applyAlignment="1" pivotButton="0" quotePrefix="0" xfId="0">
      <alignment horizontal="left" vertical="center"/>
    </xf>
    <xf numFmtId="164" fontId="22" fillId="0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1" fillId="0" borderId="17" pivotButton="0" quotePrefix="0" xfId="0"/>
    <xf numFmtId="164" fontId="0" fillId="0" borderId="18" pivotButton="0" quotePrefix="0" xfId="0"/>
    <xf numFmtId="164" fontId="0" fillId="0" borderId="19" applyAlignment="1" pivotButton="0" quotePrefix="0" xfId="0">
      <alignment horizontal="right"/>
    </xf>
    <xf numFmtId="10" fontId="0" fillId="0" borderId="20" pivotButton="0" quotePrefix="0" xfId="0"/>
    <xf numFmtId="164" fontId="0" fillId="0" borderId="21" applyAlignment="1" pivotButton="0" quotePrefix="0" xfId="0">
      <alignment horizontal="right"/>
    </xf>
    <xf numFmtId="10" fontId="0" fillId="0" borderId="22" pivotButton="0" quotePrefix="0" xfId="0"/>
    <xf numFmtId="10" fontId="0" fillId="0" borderId="23" pivotButton="0" quotePrefix="0" xfId="0"/>
    <xf numFmtId="164" fontId="1" fillId="0" borderId="18" pivotButton="0" quotePrefix="0" xfId="0"/>
    <xf numFmtId="164" fontId="0" fillId="0" borderId="19" pivotButton="0" quotePrefix="0" xfId="0"/>
    <xf numFmtId="164" fontId="0" fillId="0" borderId="21" pivotButton="0" quotePrefix="0" xfId="0"/>
    <xf numFmtId="164" fontId="1" fillId="0" borderId="15" pivotButton="0" quotePrefix="0" xfId="0"/>
    <xf numFmtId="164" fontId="1" fillId="0" borderId="16" pivotButton="0" quotePrefix="0" xfId="0"/>
    <xf numFmtId="164" fontId="1" fillId="0" borderId="19" pivotButton="0" quotePrefix="0" xfId="0"/>
    <xf numFmtId="10" fontId="2" fillId="0" borderId="20" pivotButton="0" quotePrefix="0" xfId="1"/>
    <xf numFmtId="164" fontId="1" fillId="0" borderId="21" pivotButton="0" quotePrefix="0" xfId="0"/>
    <xf numFmtId="164" fontId="1" fillId="0" borderId="22" applyAlignment="1" pivotButton="0" quotePrefix="0" xfId="0">
      <alignment horizontal="right"/>
    </xf>
    <xf numFmtId="10" fontId="0" fillId="0" borderId="22" pivotButton="0" quotePrefix="0" xfId="1"/>
    <xf numFmtId="10" fontId="2" fillId="0" borderId="22" pivotButton="0" quotePrefix="0" xfId="1"/>
    <xf numFmtId="10" fontId="0" fillId="0" borderId="23" pivotButton="0" quotePrefix="0" xfId="1"/>
    <xf numFmtId="38" fontId="1" fillId="0" borderId="20" pivotButton="0" quotePrefix="0" xfId="0"/>
    <xf numFmtId="174" fontId="0" fillId="0" borderId="22" pivotButton="0" quotePrefix="0" xfId="0"/>
    <xf numFmtId="174" fontId="0" fillId="0" borderId="23" pivotButton="0" quotePrefix="0" xfId="0"/>
    <xf numFmtId="166" fontId="1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166" fontId="1" fillId="0" borderId="19" pivotButton="0" quotePrefix="0" xfId="0"/>
    <xf numFmtId="166" fontId="1" fillId="0" borderId="20" pivotButton="0" quotePrefix="0" xfId="0"/>
    <xf numFmtId="166" fontId="2" fillId="0" borderId="19" pivotButton="0" quotePrefix="0" xfId="1"/>
    <xf numFmtId="166" fontId="0" fillId="0" borderId="19" pivotButton="0" quotePrefix="0" xfId="1"/>
    <xf numFmtId="38" fontId="2" fillId="0" borderId="19" pivotButton="0" quotePrefix="0" xfId="1"/>
    <xf numFmtId="38" fontId="0" fillId="0" borderId="21" pivotButton="0" quotePrefix="0" xfId="1"/>
    <xf numFmtId="38" fontId="0" fillId="0" borderId="22" pivotButton="0" quotePrefix="0" xfId="1"/>
    <xf numFmtId="38" fontId="0" fillId="0" borderId="0" pivotButton="0" quotePrefix="0" xfId="1"/>
    <xf numFmtId="164" fontId="1" fillId="0" borderId="20" applyAlignment="1" pivotButton="0" quotePrefix="0" xfId="0">
      <alignment horizontal="right"/>
    </xf>
    <xf numFmtId="164" fontId="0" fillId="0" borderId="24" pivotButton="0" quotePrefix="0" xfId="0"/>
    <xf numFmtId="164" fontId="1" fillId="0" borderId="25" applyAlignment="1" pivotButton="0" quotePrefix="0" xfId="0">
      <alignment horizontal="right"/>
    </xf>
    <xf numFmtId="164" fontId="1" fillId="0" borderId="23" applyAlignment="1" pivotButton="0" quotePrefix="0" xfId="0">
      <alignment horizontal="right"/>
    </xf>
    <xf numFmtId="9" fontId="0" fillId="0" borderId="0" applyAlignment="1" pivotButton="0" quotePrefix="0" xfId="1">
      <alignment horizontal="center"/>
    </xf>
    <xf numFmtId="167" fontId="0" fillId="0" borderId="0" pivotButton="0" quotePrefix="0" xfId="1"/>
    <xf numFmtId="170" fontId="5" fillId="0" borderId="0" applyAlignment="1" pivotButton="0" quotePrefix="0" xfId="0">
      <alignment horizontal="center" vertical="center"/>
    </xf>
    <xf numFmtId="164" fontId="3" fillId="36" borderId="34" applyAlignment="1" pivotButton="0" quotePrefix="0" xfId="0">
      <alignment vertical="center"/>
    </xf>
    <xf numFmtId="164" fontId="3" fillId="36" borderId="35" applyAlignment="1" pivotButton="0" quotePrefix="0" xfId="0">
      <alignment vertical="center"/>
    </xf>
    <xf numFmtId="164" fontId="3" fillId="36" borderId="3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8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horizontal="center" vertical="center"/>
    </xf>
    <xf numFmtId="10" fontId="0" fillId="0" borderId="0" applyAlignment="1" pivotButton="0" quotePrefix="0" xfId="0">
      <alignment horizontal="center" vertical="center"/>
    </xf>
    <xf numFmtId="175" fontId="0" fillId="0" borderId="0" pivotButton="0" quotePrefix="0" xfId="0"/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5" fillId="0" borderId="0" applyAlignment="1" pivotButton="0" quotePrefix="0" xfId="4">
      <alignment horizontal="center" vertical="center"/>
    </xf>
    <xf numFmtId="164" fontId="1" fillId="0" borderId="0" applyAlignment="1" pivotButton="0" quotePrefix="0" xfId="4">
      <alignment horizontal="center" vertical="center"/>
    </xf>
    <xf numFmtId="165" fontId="0" fillId="0" borderId="0" pivotButton="0" quotePrefix="0" xfId="1"/>
    <xf numFmtId="164" fontId="3" fillId="36" borderId="35" applyAlignment="1" pivotButton="0" quotePrefix="0" xfId="0">
      <alignment horizontal="center" vertical="center"/>
    </xf>
    <xf numFmtId="38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4" fontId="1" fillId="0" borderId="0" pivotButton="0" quotePrefix="0" xfId="0"/>
    <xf numFmtId="174" fontId="1" fillId="0" borderId="20" pivotButton="0" quotePrefix="0" xfId="0"/>
    <xf numFmtId="9" fontId="0" fillId="0" borderId="0" applyAlignment="1" pivotButton="0" quotePrefix="0" xfId="1">
      <alignment vertical="center"/>
    </xf>
    <xf numFmtId="174" fontId="0" fillId="0" borderId="0" applyAlignment="1" pivotButton="0" quotePrefix="0" xfId="0">
      <alignment vertical="center"/>
    </xf>
    <xf numFmtId="11" fontId="0" fillId="0" borderId="0" pivotButton="0" quotePrefix="0" xfId="0"/>
    <xf numFmtId="165" fontId="15" fillId="0" borderId="0" applyAlignment="1" pivotButton="0" quotePrefix="0" xfId="0">
      <alignment vertical="center"/>
    </xf>
    <xf numFmtId="38" fontId="4" fillId="0" borderId="0" applyAlignment="1" pivotButton="0" quotePrefix="0" xfId="3">
      <alignment horizontal="center"/>
    </xf>
    <xf numFmtId="38" fontId="0" fillId="0" borderId="23" pivotButton="0" quotePrefix="0" xfId="0"/>
    <xf numFmtId="38" fontId="0" fillId="0" borderId="20" pivotButton="0" quotePrefix="0" xfId="0"/>
    <xf numFmtId="166" fontId="5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5" fillId="0" borderId="0" applyAlignment="1" pivotButton="0" quotePrefix="0" xfId="3">
      <alignment horizontal="center" vertical="center"/>
    </xf>
    <xf numFmtId="2" fontId="0" fillId="0" borderId="0" pivotButton="0" quotePrefix="0" xfId="0"/>
    <xf numFmtId="4" fontId="0" fillId="0" borderId="0" pivotButton="0" quotePrefix="0" xfId="0"/>
    <xf numFmtId="176" fontId="1" fillId="0" borderId="0" pivotButton="0" quotePrefix="0" xfId="0"/>
    <xf numFmtId="164" fontId="1" fillId="0" borderId="37" pivotButton="0" quotePrefix="0" xfId="0"/>
    <xf numFmtId="164" fontId="1" fillId="0" borderId="38" pivotButton="0" quotePrefix="0" xfId="0"/>
    <xf numFmtId="164" fontId="0" fillId="0" borderId="38" pivotButton="0" quotePrefix="0" xfId="0"/>
    <xf numFmtId="164" fontId="0" fillId="0" borderId="39" pivotButton="0" quotePrefix="0" xfId="0"/>
    <xf numFmtId="164" fontId="1" fillId="0" borderId="40" pivotButton="0" quotePrefix="0" xfId="0"/>
    <xf numFmtId="176" fontId="0" fillId="0" borderId="41" pivotButton="0" quotePrefix="0" xfId="0"/>
    <xf numFmtId="10" fontId="0" fillId="0" borderId="41" pivotButton="0" quotePrefix="0" xfId="1"/>
    <xf numFmtId="164" fontId="1" fillId="0" borderId="10" pivotButton="0" quotePrefix="0" xfId="0"/>
    <xf numFmtId="164" fontId="1" fillId="0" borderId="42" applyAlignment="1" pivotButton="0" quotePrefix="0" xfId="0">
      <alignment horizontal="right"/>
    </xf>
    <xf numFmtId="10" fontId="0" fillId="0" borderId="42" pivotButton="0" quotePrefix="0" xfId="1"/>
    <xf numFmtId="10" fontId="2" fillId="0" borderId="42" pivotButton="0" quotePrefix="0" xfId="1"/>
    <xf numFmtId="10" fontId="0" fillId="0" borderId="43" pivotButton="0" quotePrefix="0" xfId="1"/>
    <xf numFmtId="164" fontId="0" fillId="0" borderId="37" pivotButton="0" quotePrefix="0" xfId="0"/>
    <xf numFmtId="164" fontId="0" fillId="0" borderId="40" applyAlignment="1" pivotButton="0" quotePrefix="0" xfId="0">
      <alignment horizontal="right"/>
    </xf>
    <xf numFmtId="10" fontId="0" fillId="0" borderId="41" pivotButton="0" quotePrefix="0" xfId="0"/>
    <xf numFmtId="164" fontId="0" fillId="0" borderId="10" applyAlignment="1" pivotButton="0" quotePrefix="0" xfId="0">
      <alignment horizontal="right"/>
    </xf>
    <xf numFmtId="10" fontId="0" fillId="0" borderId="42" pivotButton="0" quotePrefix="0" xfId="0"/>
    <xf numFmtId="10" fontId="0" fillId="0" borderId="43" pivotButton="0" quotePrefix="0" xfId="0"/>
    <xf numFmtId="10" fontId="1" fillId="0" borderId="0" pivotButton="0" quotePrefix="0" xfId="1"/>
    <xf numFmtId="164" fontId="0" fillId="0" borderId="40" pivotButton="0" quotePrefix="0" xfId="0"/>
    <xf numFmtId="164" fontId="0" fillId="0" borderId="10" pivotButton="0" quotePrefix="0" xfId="0"/>
    <xf numFmtId="10" fontId="1" fillId="0" borderId="42" pivotButton="0" quotePrefix="0" xfId="1"/>
    <xf numFmtId="164" fontId="1" fillId="0" borderId="40" applyAlignment="1" pivotButton="0" quotePrefix="0" xfId="0">
      <alignment horizontal="right"/>
    </xf>
    <xf numFmtId="38" fontId="0" fillId="0" borderId="41" pivotButton="0" quotePrefix="0" xfId="0"/>
    <xf numFmtId="164" fontId="1" fillId="0" borderId="10" applyAlignment="1" pivotButton="0" quotePrefix="0" xfId="0">
      <alignment horizontal="right"/>
    </xf>
    <xf numFmtId="174" fontId="0" fillId="0" borderId="42" pivotButton="0" quotePrefix="0" xfId="0"/>
    <xf numFmtId="174" fontId="0" fillId="0" borderId="43" pivotButton="0" quotePrefix="0" xfId="0"/>
    <xf numFmtId="38" fontId="1" fillId="0" borderId="19" pivotButton="0" quotePrefix="0" xfId="0"/>
    <xf numFmtId="14" fontId="11" fillId="2" borderId="44" pivotButton="0" quotePrefix="0" xfId="5"/>
    <xf numFmtId="173" fontId="3" fillId="37" borderId="0" applyAlignment="1" pivotButton="0" quotePrefix="0" xfId="2">
      <alignment horizontal="center" vertical="center"/>
    </xf>
    <xf numFmtId="164" fontId="1" fillId="0" borderId="45" pivotButton="0" quotePrefix="0" xfId="0"/>
    <xf numFmtId="164" fontId="1" fillId="0" borderId="46" pivotButton="0" quotePrefix="0" xfId="0"/>
    <xf numFmtId="164" fontId="1" fillId="0" borderId="47" pivotButton="0" quotePrefix="0" xfId="0"/>
    <xf numFmtId="164" fontId="1" fillId="0" borderId="48" pivotButton="0" quotePrefix="0" xfId="0"/>
    <xf numFmtId="38" fontId="1" fillId="0" borderId="49" pivotButton="0" quotePrefix="0" xfId="0"/>
    <xf numFmtId="164" fontId="0" fillId="0" borderId="50" pivotButton="0" quotePrefix="0" xfId="0"/>
    <xf numFmtId="164" fontId="1" fillId="0" borderId="51" applyAlignment="1" pivotButton="0" quotePrefix="0" xfId="0">
      <alignment horizontal="right"/>
    </xf>
    <xf numFmtId="170" fontId="2" fillId="0" borderId="51" pivotButton="0" quotePrefix="0" xfId="1"/>
    <xf numFmtId="170" fontId="2" fillId="0" borderId="52" pivotButton="0" quotePrefix="0" xfId="1"/>
    <xf numFmtId="0" fontId="5" fillId="0" borderId="54" applyAlignment="1" pivotButton="0" quotePrefix="0" xfId="0">
      <alignment horizontal="left" vertical="center"/>
    </xf>
    <xf numFmtId="164" fontId="1" fillId="0" borderId="54" applyAlignment="1" pivotButton="0" quotePrefix="0" xfId="0">
      <alignment vertical="center"/>
    </xf>
    <xf numFmtId="164" fontId="5" fillId="38" borderId="0" applyAlignment="1" pivotButton="0" quotePrefix="0" xfId="0">
      <alignment horizontal="left" vertical="center"/>
    </xf>
    <xf numFmtId="166" fontId="5" fillId="38" borderId="0" applyAlignment="1" pivotButton="0" quotePrefix="0" xfId="0">
      <alignment horizontal="center" vertical="center"/>
    </xf>
    <xf numFmtId="164" fontId="5" fillId="38" borderId="0" applyAlignment="1" pivotButton="0" quotePrefix="0" xfId="3">
      <alignment horizontal="center" vertical="center"/>
    </xf>
    <xf numFmtId="164" fontId="5" fillId="0" borderId="53" applyAlignment="1" pivotButton="0" quotePrefix="0" xfId="3">
      <alignment horizontal="center" vertical="center"/>
    </xf>
    <xf numFmtId="166" fontId="5" fillId="0" borderId="53" applyAlignment="1" pivotButton="0" quotePrefix="0" xfId="0">
      <alignment horizontal="center" vertical="center"/>
    </xf>
    <xf numFmtId="164" fontId="0" fillId="38" borderId="0" applyAlignment="1" pivotButton="0" quotePrefix="0" xfId="0">
      <alignment vertical="center"/>
    </xf>
    <xf numFmtId="164" fontId="5" fillId="0" borderId="54" applyAlignment="1" pivotButton="0" quotePrefix="0" xfId="0">
      <alignment horizontal="left" vertical="center"/>
    </xf>
    <xf numFmtId="0" fontId="5" fillId="0" borderId="53" applyAlignment="1" pivotButton="0" quotePrefix="0" xfId="0">
      <alignment horizontal="left" vertical="center"/>
    </xf>
    <xf numFmtId="164" fontId="35" fillId="0" borderId="0" applyAlignment="1" pivotButton="0" quotePrefix="0" xfId="0">
      <alignment vertical="center"/>
    </xf>
    <xf numFmtId="0" fontId="10" fillId="40" borderId="9" applyAlignment="1" pivotButton="0" quotePrefix="0" xfId="54">
      <alignment horizontal="right"/>
    </xf>
    <xf numFmtId="177" fontId="10" fillId="40" borderId="9" applyAlignment="1" pivotButton="0" quotePrefix="0" xfId="54">
      <alignment horizontal="right"/>
    </xf>
    <xf numFmtId="168" fontId="10" fillId="40" borderId="9" applyAlignment="1" pivotButton="0" quotePrefix="0" xfId="54">
      <alignment horizontal="right"/>
    </xf>
    <xf numFmtId="9" fontId="10" fillId="40" borderId="9" applyAlignment="1" pivotButton="0" quotePrefix="0" xfId="54">
      <alignment horizontal="right"/>
    </xf>
    <xf numFmtId="0" fontId="10" fillId="40" borderId="11" applyAlignment="1" pivotButton="0" quotePrefix="0" xfId="54">
      <alignment horizontal="right"/>
    </xf>
    <xf numFmtId="177" fontId="10" fillId="40" borderId="11" applyAlignment="1" pivotButton="0" quotePrefix="0" xfId="54">
      <alignment horizontal="right"/>
    </xf>
    <xf numFmtId="168" fontId="10" fillId="40" borderId="11" applyAlignment="1" pivotButton="0" quotePrefix="0" xfId="54">
      <alignment horizontal="right"/>
    </xf>
    <xf numFmtId="9" fontId="10" fillId="40" borderId="11" applyAlignment="1" pivotButton="0" quotePrefix="0" xfId="54">
      <alignment horizontal="right"/>
    </xf>
    <xf numFmtId="0" fontId="9" fillId="39" borderId="57" applyAlignment="1" pivotButton="0" quotePrefix="0" xfId="54">
      <alignment horizontal="center" vertical="center"/>
    </xf>
    <xf numFmtId="0" fontId="9" fillId="39" borderId="58" applyAlignment="1" pivotButton="0" quotePrefix="0" xfId="54">
      <alignment horizontal="center" vertical="center"/>
    </xf>
    <xf numFmtId="0" fontId="9" fillId="39" borderId="59" applyAlignment="1" pivotButton="0" quotePrefix="0" xfId="54">
      <alignment horizontal="center" vertical="center"/>
    </xf>
    <xf numFmtId="0" fontId="9" fillId="39" borderId="58" applyAlignment="1" pivotButton="0" quotePrefix="0" xfId="54">
      <alignment horizontal="left" vertical="center"/>
    </xf>
    <xf numFmtId="0" fontId="10" fillId="40" borderId="56" pivotButton="0" quotePrefix="0" xfId="54"/>
    <xf numFmtId="0" fontId="10" fillId="40" borderId="9" pivotButton="0" quotePrefix="0" xfId="54"/>
    <xf numFmtId="14" fontId="10" fillId="40" borderId="9" pivotButton="0" quotePrefix="0" xfId="54"/>
    <xf numFmtId="0" fontId="10" fillId="40" borderId="55" pivotButton="0" quotePrefix="0" xfId="54"/>
    <xf numFmtId="0" fontId="10" fillId="40" borderId="60" pivotButton="0" quotePrefix="0" xfId="54"/>
    <xf numFmtId="0" fontId="10" fillId="40" borderId="11" pivotButton="0" quotePrefix="0" xfId="54"/>
    <xf numFmtId="14" fontId="10" fillId="40" borderId="11" pivotButton="0" quotePrefix="0" xfId="54"/>
    <xf numFmtId="0" fontId="10" fillId="40" borderId="61" pivotButton="0" quotePrefix="0" xfId="54"/>
    <xf numFmtId="10" fontId="0" fillId="41" borderId="0" pivotButton="0" quotePrefix="0" xfId="0"/>
    <xf numFmtId="166" fontId="0" fillId="41" borderId="0" pivotButton="0" quotePrefix="0" xfId="0"/>
    <xf numFmtId="164" fontId="1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3">
      <alignment horizontal="center" vertical="center"/>
    </xf>
    <xf numFmtId="165" fontId="5" fillId="0" borderId="0" applyAlignment="1" pivotButton="0" quotePrefix="0" xfId="3">
      <alignment horizontal="center" vertical="center"/>
    </xf>
    <xf numFmtId="166" fontId="5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3">
      <alignment horizontal="center"/>
    </xf>
    <xf numFmtId="166" fontId="5" fillId="0" borderId="0" applyAlignment="1" pivotButton="0" quotePrefix="0" xfId="0">
      <alignment horizontal="right"/>
    </xf>
    <xf numFmtId="164" fontId="5" fillId="0" borderId="0" pivotButton="0" quotePrefix="0" xfId="0"/>
    <xf numFmtId="164" fontId="3" fillId="4" borderId="12" applyAlignment="1" pivotButton="0" quotePrefix="0" xfId="0">
      <alignment horizontal="center" vertical="center"/>
    </xf>
    <xf numFmtId="165" fontId="3" fillId="4" borderId="12" applyAlignment="1" pivotButton="0" quotePrefix="0" xfId="0">
      <alignment horizontal="center" vertical="center"/>
    </xf>
    <xf numFmtId="166" fontId="3" fillId="4" borderId="12" applyAlignment="1" pivotButton="0" quotePrefix="0" xfId="0">
      <alignment horizontal="center" vertical="center"/>
    </xf>
    <xf numFmtId="167" fontId="3" fillId="4" borderId="12" applyAlignment="1" pivotButton="0" quotePrefix="0" xfId="0">
      <alignment horizontal="center" vertical="center"/>
    </xf>
    <xf numFmtId="164" fontId="3" fillId="4" borderId="12" applyAlignment="1" pivotButton="0" quotePrefix="0" xfId="3">
      <alignment horizontal="center" vertical="center"/>
    </xf>
    <xf numFmtId="173" fontId="3" fillId="4" borderId="12" applyAlignment="1" pivotButton="0" quotePrefix="0" xfId="2">
      <alignment horizontal="center" vertical="center"/>
    </xf>
    <xf numFmtId="166" fontId="3" fillId="4" borderId="12" applyAlignment="1" pivotButton="0" quotePrefix="0" xfId="2">
      <alignment horizontal="center" vertical="center"/>
    </xf>
    <xf numFmtId="164" fontId="3" fillId="4" borderId="12" applyAlignment="1" pivotButton="0" quotePrefix="0" xfId="2">
      <alignment horizontal="center" vertical="center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3">
      <alignment horizontal="left" vertical="center"/>
    </xf>
    <xf numFmtId="164" fontId="5" fillId="0" borderId="0" applyAlignment="1" pivotButton="0" quotePrefix="0" xfId="0">
      <alignment horizontal="left"/>
    </xf>
    <xf numFmtId="164" fontId="5" fillId="0" borderId="14" applyAlignment="1" pivotButton="0" quotePrefix="0" xfId="0">
      <alignment horizontal="left" vertical="center"/>
    </xf>
    <xf numFmtId="164" fontId="21" fillId="5" borderId="13" applyAlignment="1" pivotButton="0" quotePrefix="0" xfId="0">
      <alignment horizontal="center" vertical="center"/>
    </xf>
    <xf numFmtId="165" fontId="0" fillId="0" borderId="0" pivotButton="0" quotePrefix="0" xfId="0"/>
    <xf numFmtId="17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0" borderId="0" pivotButton="0" quotePrefix="0" xfId="1"/>
    <xf numFmtId="170" fontId="0" fillId="0" borderId="0" pivotButton="0" quotePrefix="0" xfId="1"/>
    <xf numFmtId="167" fontId="0" fillId="0" borderId="0" pivotButton="0" quotePrefix="0" xfId="1"/>
    <xf numFmtId="165" fontId="0" fillId="0" borderId="0" pivotButton="0" quotePrefix="0" xfId="1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vertical="center"/>
    </xf>
    <xf numFmtId="164" fontId="3" fillId="36" borderId="34" applyAlignment="1" pivotButton="0" quotePrefix="0" xfId="0">
      <alignment vertical="center"/>
    </xf>
    <xf numFmtId="164" fontId="3" fillId="36" borderId="35" applyAlignment="1" pivotButton="0" quotePrefix="0" xfId="0">
      <alignment vertical="center"/>
    </xf>
    <xf numFmtId="164" fontId="3" fillId="36" borderId="35" applyAlignment="1" pivotButton="0" quotePrefix="0" xfId="0">
      <alignment horizontal="center" vertical="center"/>
    </xf>
    <xf numFmtId="164" fontId="3" fillId="36" borderId="36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74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horizontal="center" vertical="center"/>
    </xf>
    <xf numFmtId="164" fontId="22" fillId="0" borderId="0" pivotButton="0" quotePrefix="0" xfId="0"/>
    <xf numFmtId="164" fontId="1" fillId="0" borderId="0" pivotButton="0" quotePrefix="0" xfId="0"/>
    <xf numFmtId="167" fontId="0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164" fontId="20" fillId="0" borderId="0" pivotButton="0" quotePrefix="0" xfId="0"/>
    <xf numFmtId="166" fontId="5" fillId="0" borderId="0" pivotButton="0" quotePrefix="0" xfId="0"/>
    <xf numFmtId="170" fontId="5" fillId="0" borderId="0" pivotButton="0" quotePrefix="0" xfId="1"/>
  </cellXfs>
  <cellStyles count="55">
    <cellStyle name="Normal" xfId="0" builtinId="0"/>
    <cellStyle name="Percent" xfId="1" builtinId="5"/>
    <cellStyle name="Comma" xfId="2" builtinId="3"/>
    <cellStyle name="Currency" xfId="3" builtinId="4"/>
    <cellStyle name="Normal 14" xfId="4"/>
    <cellStyle name="Input" xfId="5" builtinId="20"/>
    <cellStyle name="Hyperlink" xfId="6" builtinId="8"/>
    <cellStyle name="Normal 2" xfId="7"/>
    <cellStyle name="Comma 2" xfId="8"/>
    <cellStyle name="Currency 2" xfId="9"/>
    <cellStyle name="Percent 2" xfId="10"/>
    <cellStyle name="Normal 3" xfId="11"/>
    <cellStyle name="Title" xfId="12" builtinId="15"/>
    <cellStyle name="Heading 1" xfId="13" builtinId="16"/>
    <cellStyle name="Heading 2" xfId="14" builtinId="17"/>
    <cellStyle name="Heading 3" xfId="15" builtinId="18"/>
    <cellStyle name="Heading 4" xfId="16" builtinId="19"/>
    <cellStyle name="Good" xfId="17" builtinId="26"/>
    <cellStyle name="Bad" xfId="18" builtinId="27"/>
    <cellStyle name="Neutral" xfId="19" builtinId="28"/>
    <cellStyle name="Output" xfId="20" builtinId="21"/>
    <cellStyle name="Calculation" xfId="21" builtinId="22"/>
    <cellStyle name="Linked Cell" xfId="22" builtinId="24"/>
    <cellStyle name="Check Cell" xfId="23" builtinId="23"/>
    <cellStyle name="Warning Text" xfId="24" builtinId="11"/>
    <cellStyle name="Note" xfId="25" builtinId="10"/>
    <cellStyle name="Explanatory Text" xfId="26" builtinId="53"/>
    <cellStyle name="Total" xfId="27" builtinId="25"/>
    <cellStyle name="Accent1" xfId="28" builtinId="29"/>
    <cellStyle name="20% - Accent1" xfId="29" builtinId="30"/>
    <cellStyle name="40% - Accent1" xfId="30" builtinId="31"/>
    <cellStyle name="60% - Accent1" xfId="31" builtinId="32"/>
    <cellStyle name="Accent2" xfId="32" builtinId="33"/>
    <cellStyle name="20% - Accent2" xfId="33" builtinId="34"/>
    <cellStyle name="40% - Accent2" xfId="34" builtinId="35"/>
    <cellStyle name="60% - Accent2" xfId="35" builtinId="36"/>
    <cellStyle name="Accent3" xfId="36" builtinId="37"/>
    <cellStyle name="20% - Accent3" xfId="37" builtinId="38"/>
    <cellStyle name="40% - Accent3" xfId="38" builtinId="39"/>
    <cellStyle name="60% - Accent3" xfId="39" builtinId="40"/>
    <cellStyle name="Accent4" xfId="40" builtinId="41"/>
    <cellStyle name="20% - Accent4" xfId="41" builtinId="42"/>
    <cellStyle name="40% - Accent4" xfId="42" builtinId="43"/>
    <cellStyle name="60% - Accent4" xfId="43" builtinId="44"/>
    <cellStyle name="Accent5" xfId="44" builtinId="45"/>
    <cellStyle name="20% - Accent5" xfId="45" builtinId="46"/>
    <cellStyle name="40% - Accent5" xfId="46" builtinId="47"/>
    <cellStyle name="60% - Accent5" xfId="47" builtinId="48"/>
    <cellStyle name="Accent6" xfId="48" builtinId="49"/>
    <cellStyle name="20% - Accent6" xfId="49" builtinId="50"/>
    <cellStyle name="40% - Accent6" xfId="50" builtinId="51"/>
    <cellStyle name="60% - Accent6" xfId="51" builtinId="52"/>
    <cellStyle name="Normal 4" xfId="52"/>
    <cellStyle name="Input 2" xfId="53"/>
    <cellStyle name="Normal 5" xfId="54"/>
  </cellStyles>
  <dxfs count="466">
    <dxf>
      <numFmt numFmtId="0" formatCode="General"/>
    </dxf>
    <dxf>
      <numFmt numFmtId="175" formatCode="yyyy\-mm\-dd"/>
    </dxf>
    <dxf>
      <numFmt numFmtId="175" formatCode="yyyy\-mm\-dd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6" formatCode="#,##0_);[Red]\(#,##0\)"/>
    </dxf>
    <dxf>
      <numFmt numFmtId="6" formatCode="#,##0_);[Red]\(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6" formatCode="#,##0_);[Red]\(#,##0\)"/>
    </dxf>
    <dxf>
      <numFmt numFmtId="6" formatCode="#,##0_);[Red]\(#,##0\)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69" formatCode="0.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69" formatCode="0.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69" formatCode="0.0%"/>
      <alignment horizontal="center" vertical="center"/>
    </dxf>
    <dxf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6" formatCode="#,##0_);[Red]\(#,##0\)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4" formatCode="0.00%"/>
      <alignment horizontal="center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3" formatCode="0%"/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71" formatCode="&quot;$&quot;#.##,,&quot;M&quot;"/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71" formatCode="&quot;$&quot;#.##,,&quot;M&quot;"/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71" formatCode="&quot;$&quot;#.##,,&quot;M&quot;"/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10" formatCode="&quot;$&quot;#,##0_);[Red]\(&quot;$&quot;#,##0\)"/>
      <alignment horizontal="general" vertical="center"/>
    </dxf>
    <dxf>
      <numFmt numFmtId="6" formatCode="#,##0_);[Red]\(#,##0\)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6" formatCode="#,##0_);[Red]\(#,##0\)"/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border outline="0">
        <top style="thin">
          <color theme="4" tint="0.3999755851924192"/>
        </top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border outline="0"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general" vertical="center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0.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0.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0.0%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6" formatCode="#,##0_);[Red]\(#,##0\)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165" formatCode="[$-409]mmm\-yy;@"/>
    </dxf>
    <dxf>
      <numFmt numFmtId="0" formatCode="General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3" formatCode="0%"/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3" formatCode="0%"/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3" formatCode="0%"/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67" formatCode="_(&quot;$&quot;* #,##0_);_(&quot;$&quot;* \(#,##0\);_(&quot;$&quot;* &quot;-&quot;??_);_(@_)"/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70" formatCode="_(* #,##0_);_(* \(#,##0\);_(* &quot;-&quot;??_);_(@_)"/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m/d/yyyy"/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m/d/yyyy"/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m/d/yyyy"/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0" formatCode="General"/>
      <fill>
        <patternFill patternType="solid">
          <fgColor rgb="FFF7F7E7"/>
          <bgColor rgb="FFF7F7E7"/>
        </patternFill>
      </fill>
      <alignment horizontal="general" vertical="bottom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rgb="FFF7F7E7"/>
          <bgColor rgb="FFF7F7E7"/>
        </patternFill>
      </fill>
      <alignment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/>
    </dxf>
    <dxf>
      <border outline="0">
        <bottom style="thin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theme="0"/>
          <bgColor theme="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9" formatCode="0.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3" formatCode="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3" formatCode="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" formatCode="0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border outline="0">
        <top style="medium">
          <color rgb="FFA8AD00"/>
        </top>
      </border>
    </dxf>
    <dxf>
      <border outline="0">
        <bottom style="medium">
          <color rgb="FFA8AD00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indexed="64"/>
          <bgColor rgb="FF5B7F9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fill>
        <patternFill>
          <fgColor indexed="64"/>
          <bgColor indexed="65"/>
        </patternFill>
      </fill>
      <alignment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alignment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3" formatCode="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righ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5" formatCode="[$-409]mmm\-yy;@"/>
      <fill>
        <patternFill>
          <fgColor indexed="64"/>
          <bgColor indexed="65"/>
        </patternFill>
      </fill>
      <alignment horizontal="center" vertical="center"/>
    </dxf>
    <dxf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2" formatCode="&quot;$&quot;#,##0.00_);[Red]\(&quot;$&quot;#,##0.0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2" formatCode="&quot;$&quot;#,##0.00_);[Red]\(&quot;$&quot;#,##0.0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0" formatCode="&quot;$&quot;#,##0_);[Red]\(&quot;$&quot;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3" formatCode="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3" formatCode="0%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6" formatCode="#,##0_);[Red]\(#,##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73" formatCode="0_);[Red]\(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73" formatCode="0_);[Red]\(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#,##0.0_);[Red]\(#,##0.0\)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4" formatCode="#,##0.0_);[Red]\(#,##0.0\)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left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left" vertical="center"/>
    </dxf>
    <dxf>
      <border outline="0">
        <top style="medium">
          <color rgb="FFA8AD00"/>
        </top>
      </border>
    </dxf>
    <dxf>
      <border>
        <bottom style="medium">
          <color theme="5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indexed="64"/>
          <bgColor theme="6"/>
        </patternFill>
      </fill>
      <alignment horizontal="center" vertic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pivotCacheDefinition" Target="/xl/pivotCache/pivotCacheDefinition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'All Charts'!$D$2</f>
              <strCache>
                <ptCount val="1"/>
                <pt idx="0">
                  <v>Transactions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Charts'!$B$6:$B$159</f>
              <strCache>
                <ptCount val="154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</strCache>
            </strRef>
          </cat>
          <val>
            <numRef>
              <f>'All Charts'!$D$6:$D$159</f>
              <numCache>
                <formatCode>#,##0_);[Red]\(#,##0\)</formatCode>
                <ptCount val="154"/>
                <pt idx="0">
                  <v>83</v>
                </pt>
                <pt idx="1">
                  <v>87</v>
                </pt>
                <pt idx="2">
                  <v>89</v>
                </pt>
                <pt idx="3">
                  <v>94</v>
                </pt>
                <pt idx="4">
                  <v>101</v>
                </pt>
                <pt idx="5">
                  <v>100</v>
                </pt>
                <pt idx="6">
                  <v>105</v>
                </pt>
                <pt idx="7">
                  <v>103</v>
                </pt>
                <pt idx="8">
                  <v>99</v>
                </pt>
                <pt idx="9">
                  <v>99</v>
                </pt>
                <pt idx="10">
                  <v>102</v>
                </pt>
                <pt idx="11">
                  <v>105</v>
                </pt>
                <pt idx="12">
                  <v>108</v>
                </pt>
                <pt idx="13">
                  <v>106</v>
                </pt>
                <pt idx="14">
                  <v>105</v>
                </pt>
                <pt idx="15">
                  <v>112</v>
                </pt>
                <pt idx="16">
                  <v>119</v>
                </pt>
                <pt idx="17">
                  <v>128</v>
                </pt>
                <pt idx="18">
                  <v>130</v>
                </pt>
                <pt idx="19">
                  <v>151</v>
                </pt>
                <pt idx="20">
                  <v>165</v>
                </pt>
                <pt idx="21">
                  <v>182</v>
                </pt>
                <pt idx="22">
                  <v>193</v>
                </pt>
                <pt idx="23">
                  <v>200</v>
                </pt>
                <pt idx="24">
                  <v>219</v>
                </pt>
                <pt idx="25">
                  <v>241</v>
                </pt>
                <pt idx="26">
                  <v>249</v>
                </pt>
                <pt idx="27">
                  <v>256</v>
                </pt>
                <pt idx="28">
                  <v>289</v>
                </pt>
                <pt idx="29">
                  <v>302</v>
                </pt>
                <pt idx="30">
                  <v>325</v>
                </pt>
                <pt idx="31">
                  <v>336</v>
                </pt>
                <pt idx="32">
                  <v>340</v>
                </pt>
                <pt idx="33">
                  <v>336</v>
                </pt>
                <pt idx="34">
                  <v>341</v>
                </pt>
                <pt idx="35">
                  <v>339</v>
                </pt>
                <pt idx="36">
                  <v>330</v>
                </pt>
                <pt idx="37">
                  <v>323</v>
                </pt>
                <pt idx="38">
                  <v>324</v>
                </pt>
                <pt idx="39">
                  <v>324</v>
                </pt>
                <pt idx="40">
                  <v>319</v>
                </pt>
                <pt idx="41">
                  <v>312</v>
                </pt>
                <pt idx="42">
                  <v>298</v>
                </pt>
                <pt idx="43">
                  <v>293</v>
                </pt>
                <pt idx="44">
                  <v>288</v>
                </pt>
                <pt idx="45">
                  <v>282</v>
                </pt>
                <pt idx="46">
                  <v>274</v>
                </pt>
                <pt idx="47">
                  <v>285</v>
                </pt>
                <pt idx="48">
                  <v>290</v>
                </pt>
                <pt idx="49">
                  <v>296</v>
                </pt>
                <pt idx="50">
                  <v>300</v>
                </pt>
                <pt idx="51">
                  <v>299</v>
                </pt>
                <pt idx="52">
                  <v>284</v>
                </pt>
                <pt idx="53">
                  <v>297</v>
                </pt>
                <pt idx="54">
                  <v>292</v>
                </pt>
                <pt idx="55">
                  <v>298</v>
                </pt>
                <pt idx="56">
                  <v>301</v>
                </pt>
                <pt idx="57">
                  <v>317</v>
                </pt>
                <pt idx="58">
                  <v>318</v>
                </pt>
                <pt idx="59">
                  <v>339</v>
                </pt>
                <pt idx="60">
                  <v>342</v>
                </pt>
                <pt idx="61">
                  <v>335</v>
                </pt>
                <pt idx="62">
                  <v>339</v>
                </pt>
                <pt idx="63">
                  <v>335</v>
                </pt>
                <pt idx="64">
                  <v>326</v>
                </pt>
                <pt idx="65">
                  <v>305</v>
                </pt>
                <pt idx="66">
                  <v>312</v>
                </pt>
                <pt idx="67">
                  <v>302</v>
                </pt>
                <pt idx="68">
                  <v>309</v>
                </pt>
                <pt idx="69">
                  <v>313</v>
                </pt>
                <pt idx="70">
                  <v>330</v>
                </pt>
                <pt idx="71">
                  <v>301</v>
                </pt>
                <pt idx="72">
                  <v>288</v>
                </pt>
                <pt idx="73">
                  <v>290</v>
                </pt>
                <pt idx="74">
                  <v>280</v>
                </pt>
                <pt idx="75">
                  <v>276</v>
                </pt>
                <pt idx="76">
                  <v>266</v>
                </pt>
                <pt idx="77">
                  <v>275</v>
                </pt>
                <pt idx="78">
                  <v>267</v>
                </pt>
                <pt idx="79">
                  <v>267</v>
                </pt>
                <pt idx="80">
                  <v>249</v>
                </pt>
                <pt idx="81">
                  <v>224</v>
                </pt>
                <pt idx="82">
                  <v>207</v>
                </pt>
                <pt idx="83">
                  <v>203</v>
                </pt>
                <pt idx="84">
                  <v>201</v>
                </pt>
                <pt idx="85">
                  <v>191</v>
                </pt>
                <pt idx="86">
                  <v>196</v>
                </pt>
                <pt idx="87">
                  <v>203</v>
                </pt>
                <pt idx="88">
                  <v>201</v>
                </pt>
                <pt idx="89">
                  <v>192</v>
                </pt>
                <pt idx="90">
                  <v>180</v>
                </pt>
                <pt idx="91">
                  <v>166</v>
                </pt>
                <pt idx="92">
                  <v>171</v>
                </pt>
                <pt idx="93">
                  <v>178</v>
                </pt>
                <pt idx="94">
                  <v>184</v>
                </pt>
                <pt idx="95">
                  <v>181</v>
                </pt>
                <pt idx="96">
                  <v>187</v>
                </pt>
                <pt idx="97">
                  <v>190</v>
                </pt>
                <pt idx="98">
                  <v>188</v>
                </pt>
                <pt idx="99">
                  <v>173</v>
                </pt>
                <pt idx="100">
                  <v>189</v>
                </pt>
                <pt idx="101">
                  <v>196</v>
                </pt>
                <pt idx="102">
                  <v>209</v>
                </pt>
                <pt idx="103">
                  <v>227</v>
                </pt>
                <pt idx="104">
                  <v>235</v>
                </pt>
                <pt idx="105">
                  <v>262</v>
                </pt>
                <pt idx="106">
                  <v>280</v>
                </pt>
                <pt idx="107">
                  <v>277</v>
                </pt>
                <pt idx="108">
                  <v>276</v>
                </pt>
                <pt idx="109">
                  <v>273</v>
                </pt>
                <pt idx="110">
                  <v>273</v>
                </pt>
                <pt idx="111">
                  <v>277</v>
                </pt>
                <pt idx="112">
                  <v>265</v>
                </pt>
                <pt idx="113">
                  <v>257</v>
                </pt>
                <pt idx="114">
                  <v>251</v>
                </pt>
                <pt idx="115">
                  <v>245</v>
                </pt>
                <pt idx="116">
                  <v>233</v>
                </pt>
                <pt idx="117">
                  <v>198</v>
                </pt>
                <pt idx="118">
                  <v>167</v>
                </pt>
                <pt idx="119">
                  <v>164</v>
                </pt>
                <pt idx="120">
                  <v>159</v>
                </pt>
                <pt idx="121">
                  <v>161</v>
                </pt>
                <pt idx="122">
                  <v>154</v>
                </pt>
                <pt idx="123">
                  <v>152</v>
                </pt>
                <pt idx="124">
                  <v>158</v>
                </pt>
                <pt idx="125">
                  <v>172</v>
                </pt>
                <pt idx="126">
                  <v>173</v>
                </pt>
                <pt idx="127">
                  <v>160</v>
                </pt>
                <pt idx="128">
                  <v>160</v>
                </pt>
                <pt idx="129">
                  <v>158</v>
                </pt>
                <pt idx="130">
                  <v>153</v>
                </pt>
                <pt idx="131">
                  <v>150</v>
                </pt>
                <pt idx="132">
                  <v>147</v>
                </pt>
                <pt idx="133">
                  <v>144</v>
                </pt>
                <pt idx="134">
                  <v>137</v>
                </pt>
                <pt idx="135">
                  <v>138</v>
                </pt>
                <pt idx="136">
                  <v>125</v>
                </pt>
                <pt idx="137">
                  <v>111</v>
                </pt>
                <pt idx="138">
                  <v>105</v>
                </pt>
                <pt idx="139">
                  <v>100</v>
                </pt>
                <pt idx="140">
                  <v>95</v>
                </pt>
                <pt idx="141">
                  <v>100</v>
                </pt>
                <pt idx="142">
                  <v>108</v>
                </pt>
                <pt idx="143">
                  <v>109</v>
                </pt>
                <pt idx="144">
                  <v>107</v>
                </pt>
                <pt idx="145">
                  <v>106</v>
                </pt>
                <pt idx="146">
                  <v>111</v>
                </pt>
                <pt idx="147">
                  <v>110</v>
                </pt>
                <pt idx="148">
                  <v>117</v>
                </pt>
                <pt idx="149">
                  <v>122</v>
                </pt>
                <pt idx="150">
                  <v>125</v>
                </pt>
                <pt idx="151">
                  <v>143</v>
                </pt>
                <pt idx="152">
                  <v>142</v>
                </pt>
                <pt idx="153">
                  <v>138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9"/>
        <overlap val="-27"/>
        <axId val="515089840"/>
        <axId val="515091152"/>
      </barChart>
      <scatterChart>
        <scatterStyle val="lineMarker"/>
        <varyColors val="0"/>
        <ser>
          <idx val="1"/>
          <order val="1"/>
          <tx>
            <strRef>
              <f>'All Charts'!$E$2</f>
              <strCache>
                <ptCount val="1"/>
                <pt idx="0">
                  <v>Average Deal Size (ttm)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 w="9525">
                <a:noFill/>
                <a:prstDash val="solid"/>
              </a:ln>
            </spPr>
          </marker>
          <xVal>
            <strRef>
              <f>'All Charts'!$B$6:$B$159</f>
              <strCache>
                <ptCount val="154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</strCache>
            </strRef>
          </xVal>
          <yVal>
            <numRef>
              <f>'All Charts'!$E$6:$E$159</f>
              <numCache>
                <formatCode>"$"#,##0_);[Red]\("$"#,##0\)</formatCode>
                <ptCount val="154"/>
                <pt idx="0">
                  <v>5015594.027027027</v>
                </pt>
                <pt idx="1">
                  <v>4953591.24050633</v>
                </pt>
                <pt idx="2">
                  <v>5027514.913580247</v>
                </pt>
                <pt idx="3">
                  <v>5182767.430232558</v>
                </pt>
                <pt idx="4">
                  <v>5479684.076923077</v>
                </pt>
                <pt idx="5">
                  <v>4624859.855555556</v>
                </pt>
                <pt idx="6">
                  <v>6141391.147368421</v>
                </pt>
                <pt idx="7">
                  <v>6117964.831578948</v>
                </pt>
                <pt idx="8">
                  <v>6388129.544444445</v>
                </pt>
                <pt idx="9">
                  <v>6946973.901098901</v>
                </pt>
                <pt idx="10">
                  <v>8086621.94680851</v>
                </pt>
                <pt idx="11">
                  <v>7789160.852631579</v>
                </pt>
                <pt idx="12">
                  <v>8561346.1</v>
                </pt>
                <pt idx="13">
                  <v>9318959.06122449</v>
                </pt>
                <pt idx="14">
                  <v>9283869.24742268</v>
                </pt>
                <pt idx="15">
                  <v>10694146.77669903</v>
                </pt>
                <pt idx="16">
                  <v>13614182.02547103</v>
                </pt>
                <pt idx="17">
                  <v>12675943.3735607</v>
                </pt>
                <pt idx="18">
                  <v>12959577.31825643</v>
                </pt>
                <pt idx="19">
                  <v>13277988.64416514</v>
                </pt>
                <pt idx="20">
                  <v>13459509.21824054</v>
                </pt>
                <pt idx="21">
                  <v>13548650.02278145</v>
                </pt>
                <pt idx="22">
                  <v>13854477.37892337</v>
                </pt>
                <pt idx="23">
                  <v>14676775.17840915</v>
                </pt>
                <pt idx="24">
                  <v>14438834.53302531</v>
                </pt>
                <pt idx="25">
                  <v>16201505.15729573</v>
                </pt>
                <pt idx="26">
                  <v>16802129.67081886</v>
                </pt>
                <pt idx="27">
                  <v>18248281.2000222</v>
                </pt>
                <pt idx="28">
                  <v>18384276.83892661</v>
                </pt>
                <pt idx="29">
                  <v>18337939.46862522</v>
                </pt>
                <pt idx="30">
                  <v>17829033.04003001</v>
                </pt>
                <pt idx="31">
                  <v>18950299.86033136</v>
                </pt>
                <pt idx="32">
                  <v>19338155.39031535</v>
                </pt>
                <pt idx="33">
                  <v>19024559.90827002</v>
                </pt>
                <pt idx="34">
                  <v>18213791.35130741</v>
                </pt>
                <pt idx="35">
                  <v>19003562.755417</v>
                </pt>
                <pt idx="36">
                  <v>19581812.84896499</v>
                </pt>
                <pt idx="37">
                  <v>17886185.55126877</v>
                </pt>
                <pt idx="38">
                  <v>17981854.01005013</v>
                </pt>
                <pt idx="39">
                  <v>16287587.97818306</v>
                </pt>
                <pt idx="40">
                  <v>15687545.04578112</v>
                </pt>
                <pt idx="41">
                  <v>15607192.72981359</v>
                </pt>
                <pt idx="42">
                  <v>15229628.24013882</v>
                </pt>
                <pt idx="43">
                  <v>14345877.69781834</v>
                </pt>
                <pt idx="44">
                  <v>13554649.28080863</v>
                </pt>
                <pt idx="45">
                  <v>13590037.21150491</v>
                </pt>
                <pt idx="46">
                  <v>13672595.52319328</v>
                </pt>
                <pt idx="47">
                  <v>11736891.24877399</v>
                </pt>
                <pt idx="48">
                  <v>10999119.9437504</v>
                </pt>
                <pt idx="49">
                  <v>15196612.29016584</v>
                </pt>
                <pt idx="50">
                  <v>15162048.1585744</v>
                </pt>
                <pt idx="51">
                  <v>15677380.76895644</v>
                </pt>
                <pt idx="52">
                  <v>15002706.85023483</v>
                </pt>
                <pt idx="53">
                  <v>15921028.0895586</v>
                </pt>
                <pt idx="54">
                  <v>18038883.20981301</v>
                </pt>
                <pt idx="55">
                  <v>17722110.82157023</v>
                </pt>
                <pt idx="56">
                  <v>18353788.34746626</v>
                </pt>
                <pt idx="57">
                  <v>18699343.99475642</v>
                </pt>
                <pt idx="58">
                  <v>20796215.85743247</v>
                </pt>
                <pt idx="59">
                  <v>20477688.10819672</v>
                </pt>
                <pt idx="60">
                  <v>20746176.47524752</v>
                </pt>
                <pt idx="61">
                  <v>18127509.63851351</v>
                </pt>
                <pt idx="62">
                  <v>18285581.77483444</v>
                </pt>
                <pt idx="63">
                  <v>18445551.14326628</v>
                </pt>
                <pt idx="64">
                  <v>18300793.81042999</v>
                </pt>
                <pt idx="65">
                  <v>18615828.50827159</v>
                </pt>
                <pt idx="66">
                  <v>17082886.33418868</v>
                </pt>
                <pt idx="67">
                  <v>17016406.01079722</v>
                </pt>
                <pt idx="68">
                  <v>16885840.02519874</v>
                </pt>
                <pt idx="69">
                  <v>16599360.9595053</v>
                </pt>
                <pt idx="70">
                  <v>17886920.33300499</v>
                </pt>
                <pt idx="71">
                  <v>19006177.45210819</v>
                </pt>
                <pt idx="72">
                  <v>19246578.66242036</v>
                </pt>
                <pt idx="73">
                  <v>18195052.26017032</v>
                </pt>
                <pt idx="74">
                  <v>17507228.91527893</v>
                </pt>
                <pt idx="75">
                  <v>17484988.98622146</v>
                </pt>
                <pt idx="76">
                  <v>19168844.47281212</v>
                </pt>
                <pt idx="77">
                  <v>18801811.79896317</v>
                </pt>
                <pt idx="78">
                  <v>19058484.69233057</v>
                </pt>
                <pt idx="79">
                  <v>18439323.58392411</v>
                </pt>
                <pt idx="80">
                  <v>18680053.06932439</v>
                </pt>
                <pt idx="81">
                  <v>21273830.43604885</v>
                </pt>
                <pt idx="82">
                  <v>18492049.0074732</v>
                </pt>
                <pt idx="83">
                  <v>18310714.05677604</v>
                </pt>
                <pt idx="84">
                  <v>18319095.87508295</v>
                </pt>
                <pt idx="85">
                  <v>18768881.00547422</v>
                </pt>
                <pt idx="86">
                  <v>21322091.93930947</v>
                </pt>
                <pt idx="87">
                  <v>19990197.16334901</v>
                </pt>
                <pt idx="88">
                  <v>18560542.66422723</v>
                </pt>
                <pt idx="89">
                  <v>20081073.09570927</v>
                </pt>
                <pt idx="90">
                  <v>21210423.98336988</v>
                </pt>
                <pt idx="91">
                  <v>22665598.10225475</v>
                </pt>
                <pt idx="92">
                  <v>24963476.15451389</v>
                </pt>
                <pt idx="93">
                  <v>22072215.02034024</v>
                </pt>
                <pt idx="94">
                  <v>19339538.24223164</v>
                </pt>
                <pt idx="95">
                  <v>20008374.80962644</v>
                </pt>
                <pt idx="96">
                  <v>19764316.43311096</v>
                </pt>
                <pt idx="97">
                  <v>21413324.06514831</v>
                </pt>
                <pt idx="98">
                  <v>21936163.10614224</v>
                </pt>
                <pt idx="99">
                  <v>24763217.16110248</v>
                </pt>
                <pt idx="100">
                  <v>25193388.0628592</v>
                </pt>
                <pt idx="101">
                  <v>23288617.70094274</v>
                </pt>
                <pt idx="102">
                  <v>21848002.64967105</v>
                </pt>
                <pt idx="103">
                  <v>23267771.1613782</v>
                </pt>
                <pt idx="104">
                  <v>20293427.13537467</v>
                </pt>
                <pt idx="105">
                  <v>20399778.27659671</v>
                </pt>
                <pt idx="106">
                  <v>20781867.16966578</v>
                </pt>
                <pt idx="107">
                  <v>20514017.79741967</v>
                </pt>
                <pt idx="108">
                  <v>20688318.07321655</v>
                </pt>
                <pt idx="109">
                  <v>20712795.0546119</v>
                </pt>
                <pt idx="110">
                  <v>18089555.58651064</v>
                </pt>
                <pt idx="111">
                  <v>17042064.22422651</v>
                </pt>
                <pt idx="112">
                  <v>17806066.47330123</v>
                </pt>
                <pt idx="113">
                  <v>17782529.38399662</v>
                </pt>
                <pt idx="114">
                  <v>19852470.2968328</v>
                </pt>
                <pt idx="115">
                  <v>18109140.3107986</v>
                </pt>
                <pt idx="116">
                  <v>19114779.12547589</v>
                </pt>
                <pt idx="117">
                  <v>19036160.58344972</v>
                </pt>
                <pt idx="118">
                  <v>19829246.71257716</v>
                </pt>
                <pt idx="119">
                  <v>21126456.98734177</v>
                </pt>
                <pt idx="120">
                  <v>22117595.56658497</v>
                </pt>
                <pt idx="121">
                  <v>20119610.24818549</v>
                </pt>
                <pt idx="122">
                  <v>22273764.73606419</v>
                </pt>
                <pt idx="123">
                  <v>22593735.29088185</v>
                </pt>
                <pt idx="124">
                  <v>19973689.58804899</v>
                </pt>
                <pt idx="125">
                  <v>19601716.12798611</v>
                </pt>
                <pt idx="126">
                  <v>17593321.06625772</v>
                </pt>
                <pt idx="127">
                  <v>17865771.31576858</v>
                </pt>
                <pt idx="128">
                  <v>17728635.50495777</v>
                </pt>
                <pt idx="129">
                  <v>17813390.7858476</v>
                </pt>
                <pt idx="130">
                  <v>17772076.14172873</v>
                </pt>
                <pt idx="131">
                  <v>16745811.41745471</v>
                </pt>
                <pt idx="132">
                  <v>15874699.34525</v>
                </pt>
                <pt idx="133">
                  <v>16430106.53657197</v>
                </pt>
                <pt idx="134">
                  <v>14692931.82262</v>
                </pt>
                <pt idx="135">
                  <v>14235175.22592742</v>
                </pt>
                <pt idx="136">
                  <v>15020360.50982759</v>
                </pt>
                <pt idx="137">
                  <v>15191166.25551471</v>
                </pt>
                <pt idx="138">
                  <v>13843778.22744845</v>
                </pt>
                <pt idx="139">
                  <v>15198262.15120968</v>
                </pt>
                <pt idx="140">
                  <v>14317294.08117816</v>
                </pt>
                <pt idx="141">
                  <v>17422236.59206989</v>
                </pt>
                <pt idx="142">
                  <v>17643806.1861328</v>
                </pt>
                <pt idx="143">
                  <v>17714591.73409624</v>
                </pt>
                <pt idx="144">
                  <v>18020596.20820113</v>
                </pt>
                <pt idx="145">
                  <v>17514626.34651456</v>
                </pt>
                <pt idx="146">
                  <v>16846997.60403835</v>
                </pt>
                <pt idx="147">
                  <v>17139644.79031286</v>
                </pt>
                <pt idx="148">
                  <v>19384118.12603623</v>
                </pt>
                <pt idx="149">
                  <v>20896911.80690274</v>
                </pt>
                <pt idx="150">
                  <v>21691339.0795302</v>
                </pt>
                <pt idx="151">
                  <v>20071165.60307074</v>
                </pt>
                <pt idx="152">
                  <v>20033994.18099931</v>
                </pt>
                <pt idx="153">
                  <v>18377174.63403994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5819968"/>
        <axId val="655800944"/>
      </scatterChart>
      <dateAx>
        <axId val="515089840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5091152"/>
        <crosses val="autoZero"/>
        <lblOffset val="100"/>
        <baseTimeUnit val="months"/>
      </dateAx>
      <valAx>
        <axId val="515091152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ysClr val="window" lastClr="FFFFFF">
                  <a:lumMod val="95000"/>
                </a:sys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5089840"/>
        <crosses val="max"/>
        <crossBetween val="between"/>
      </valAx>
      <valAx>
        <axId val="655819968"/>
        <scaling>
          <orientation val="maxMin"/>
        </scaling>
        <delete val="1"/>
        <axPos val="t"/>
        <majorTickMark val="out"/>
        <minorTickMark val="none"/>
        <tickLblPos val="nextTo"/>
        <crossAx val="655800944"/>
        <crosses val="max"/>
        <crossBetween val="midCat"/>
      </valAx>
      <valAx>
        <axId val="655800944"/>
        <scaling>
          <orientation val="minMax"/>
        </scaling>
        <delete val="0"/>
        <axPos val="r"/>
        <numFmt formatCode="&quot;$&quot;#,##0_);[Red]\(&quot;$&quot;#,##0\)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5819968"/>
        <crosses val="autoZero"/>
        <crossBetween val="midCat"/>
        <dispUnits>
          <builtInUnit val="millions"/>
          <dispUnits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0825779874681"/>
          <y val="0.03496058988049835"/>
          <w val="0.8868132374141492"/>
          <h val="0.6681931337781249"/>
        </manualLayout>
      </layout>
      <areaChart>
        <grouping val="standard"/>
        <varyColors val="0"/>
        <ser>
          <idx val="0"/>
          <order val="0"/>
          <tx>
            <strRef>
              <f>'All Charts'!$H$2</f>
              <strCache>
                <ptCount val="1"/>
                <pt idx="0">
                  <v>Trans. Vol.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'All Charts'!$B$6:$B$306</f>
              <strCache>
                <ptCount val="30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</strCache>
            </strRef>
          </cat>
          <val>
            <numRef>
              <f>'All Charts'!$H$6:$H$306</f>
              <numCache>
                <formatCode>"$"#,##0_);[Red]\("$"#,##0\)</formatCode>
                <ptCount val="301"/>
                <pt idx="0">
                  <v>416294304.2432432</v>
                </pt>
                <pt idx="1">
                  <v>430962437.9240507</v>
                </pt>
                <pt idx="2">
                  <v>447448827.308642</v>
                </pt>
                <pt idx="3">
                  <v>487180138.4418605</v>
                </pt>
                <pt idx="4">
                  <v>553448091.7692307</v>
                </pt>
                <pt idx="5">
                  <v>462485985.5555556</v>
                </pt>
                <pt idx="6">
                  <v>644846070.4736842</v>
                </pt>
                <pt idx="7">
                  <v>630150377.6526316</v>
                </pt>
                <pt idx="8">
                  <v>632424824.9</v>
                </pt>
                <pt idx="9">
                  <v>687750416.2087913</v>
                </pt>
                <pt idx="10">
                  <v>824835438.574468</v>
                </pt>
                <pt idx="11">
                  <v>817861889.5263158</v>
                </pt>
                <pt idx="12">
                  <v>924625378.8</v>
                </pt>
                <pt idx="13">
                  <v>987809660.4897959</v>
                </pt>
                <pt idx="14">
                  <v>974806270.9793814</v>
                </pt>
                <pt idx="15">
                  <v>1197744438.990291</v>
                </pt>
                <pt idx="16">
                  <v>1620087661.031052</v>
                </pt>
                <pt idx="17">
                  <v>1622520751.81577</v>
                </pt>
                <pt idx="18">
                  <v>1684745051.373335</v>
                </pt>
                <pt idx="19">
                  <v>2004976285.268935</v>
                </pt>
                <pt idx="20">
                  <v>2220819021.009689</v>
                </pt>
                <pt idx="21">
                  <v>2465854304.146224</v>
                </pt>
                <pt idx="22">
                  <v>2673914134.132211</v>
                </pt>
                <pt idx="23">
                  <v>2935355035.68183</v>
                </pt>
                <pt idx="24">
                  <v>3162104762.732543</v>
                </pt>
                <pt idx="25">
                  <v>3904562742.908272</v>
                </pt>
                <pt idx="26">
                  <v>4183730288.033895</v>
                </pt>
                <pt idx="27">
                  <v>4671559987.205683</v>
                </pt>
                <pt idx="28">
                  <v>5313056006.44979</v>
                </pt>
                <pt idx="29">
                  <v>5538057719.524816</v>
                </pt>
                <pt idx="30">
                  <v>5794435738.009752</v>
                </pt>
                <pt idx="31">
                  <v>6367300753.071336</v>
                </pt>
                <pt idx="32">
                  <v>6574972832.707218</v>
                </pt>
                <pt idx="33">
                  <v>6392252129.178725</v>
                </pt>
                <pt idx="34">
                  <v>6210902850.795828</v>
                </pt>
                <pt idx="35">
                  <v>6442207774.086365</v>
                </pt>
                <pt idx="36">
                  <v>6461998240.158447</v>
                </pt>
                <pt idx="37">
                  <v>5777237933.059813</v>
                </pt>
                <pt idx="38">
                  <v>5826120699.256243</v>
                </pt>
                <pt idx="39">
                  <v>5277178504.93131</v>
                </pt>
                <pt idx="40">
                  <v>5004326869.604177</v>
                </pt>
                <pt idx="41">
                  <v>4869444131.70184</v>
                </pt>
                <pt idx="42">
                  <v>4538429215.561368</v>
                </pt>
                <pt idx="43">
                  <v>4203342165.460775</v>
                </pt>
                <pt idx="44">
                  <v>3903738992.872885</v>
                </pt>
                <pt idx="45">
                  <v>3832390493.644384</v>
                </pt>
                <pt idx="46">
                  <v>3746291173.354959</v>
                </pt>
                <pt idx="47">
                  <v>3345014005.900588</v>
                </pt>
                <pt idx="48">
                  <v>3189744783.687616</v>
                </pt>
                <pt idx="49">
                  <v>4498197237.889088</v>
                </pt>
                <pt idx="50">
                  <v>4548614447.572319</v>
                </pt>
                <pt idx="51">
                  <v>4687536849.917975</v>
                </pt>
                <pt idx="52">
                  <v>4260768745.466693</v>
                </pt>
                <pt idx="53">
                  <v>4728545342.598905</v>
                </pt>
                <pt idx="54">
                  <v>5267353897.2654</v>
                </pt>
                <pt idx="55">
                  <v>5281189024.827929</v>
                </pt>
                <pt idx="56">
                  <v>5524490292.587344</v>
                </pt>
                <pt idx="57">
                  <v>5927692046.337784</v>
                </pt>
                <pt idx="58">
                  <v>6613196642.663527</v>
                </pt>
                <pt idx="59">
                  <v>6941936268.678688</v>
                </pt>
                <pt idx="60">
                  <v>7095192354.534654</v>
                </pt>
                <pt idx="61">
                  <v>6072715728.902027</v>
                </pt>
                <pt idx="62">
                  <v>6198812221.668874</v>
                </pt>
                <pt idx="63">
                  <v>6179259632.994204</v>
                </pt>
                <pt idx="64">
                  <v>5966058782.200175</v>
                </pt>
                <pt idx="65">
                  <v>5677827695.022836</v>
                </pt>
                <pt idx="66">
                  <v>5329860536.266869</v>
                </pt>
                <pt idx="67">
                  <v>5138954615.260762</v>
                </pt>
                <pt idx="68">
                  <v>5217724567.786409</v>
                </pt>
                <pt idx="69">
                  <v>5195599980.32516</v>
                </pt>
                <pt idx="70">
                  <v>5902683709.891647</v>
                </pt>
                <pt idx="71">
                  <v>5720859413.084564</v>
                </pt>
                <pt idx="72">
                  <v>5543014654.777064</v>
                </pt>
                <pt idx="73">
                  <v>5276565155.449392</v>
                </pt>
                <pt idx="74">
                  <v>4902024096.2781</v>
                </pt>
                <pt idx="75">
                  <v>4825856960.197124</v>
                </pt>
                <pt idx="76">
                  <v>5098912629.768024</v>
                </pt>
                <pt idx="77">
                  <v>5170498244.714873</v>
                </pt>
                <pt idx="78">
                  <v>5088615412.852262</v>
                </pt>
                <pt idx="79">
                  <v>4923299396.907738</v>
                </pt>
                <pt idx="80">
                  <v>4651333214.261774</v>
                </pt>
                <pt idx="81">
                  <v>4765338017.674942</v>
                </pt>
                <pt idx="82">
                  <v>3827854144.546953</v>
                </pt>
                <pt idx="83">
                  <v>3717074953.525536</v>
                </pt>
                <pt idx="84">
                  <v>3682138270.891674</v>
                </pt>
                <pt idx="85">
                  <v>3584856272.045577</v>
                </pt>
                <pt idx="86">
                  <v>4179130020.104657</v>
                </pt>
                <pt idx="87">
                  <v>4058010024.159849</v>
                </pt>
                <pt idx="88">
                  <v>3730669075.509674</v>
                </pt>
                <pt idx="89">
                  <v>3855566034.37618</v>
                </pt>
                <pt idx="90">
                  <v>3817876317.006579</v>
                </pt>
                <pt idx="91">
                  <v>3762489284.974288</v>
                </pt>
                <pt idx="92">
                  <v>4268754422.421875</v>
                </pt>
                <pt idx="93">
                  <v>3928854273.620563</v>
                </pt>
                <pt idx="94">
                  <v>3558475036.570621</v>
                </pt>
                <pt idx="95">
                  <v>3621515840.542385</v>
                </pt>
                <pt idx="96">
                  <v>3695927172.991749</v>
                </pt>
                <pt idx="97">
                  <v>4068531572.378178</v>
                </pt>
                <pt idx="98">
                  <v>4123998663.954741</v>
                </pt>
                <pt idx="99">
                  <v>4284036568.87073</v>
                </pt>
                <pt idx="100">
                  <v>4761550343.880388</v>
                </pt>
                <pt idx="101">
                  <v>4564569069.384776</v>
                </pt>
                <pt idx="102">
                  <v>4566232553.78125</v>
                </pt>
                <pt idx="103">
                  <v>5281784053.632853</v>
                </pt>
                <pt idx="104">
                  <v>4768955376.813048</v>
                </pt>
                <pt idx="105">
                  <v>5344741908.468338</v>
                </pt>
                <pt idx="106">
                  <v>5818922807.506419</v>
                </pt>
                <pt idx="107">
                  <v>5682382929.885248</v>
                </pt>
                <pt idx="108">
                  <v>5709975788.207768</v>
                </pt>
                <pt idx="109">
                  <v>5654593049.909049</v>
                </pt>
                <pt idx="110">
                  <v>4938448675.117406</v>
                </pt>
                <pt idx="111">
                  <v>4720651790.110744</v>
                </pt>
                <pt idx="112">
                  <v>4718607615.424826</v>
                </pt>
                <pt idx="113">
                  <v>4570110051.687131</v>
                </pt>
                <pt idx="114">
                  <v>4982970044.505032</v>
                </pt>
                <pt idx="115">
                  <v>4436739376.145657</v>
                </pt>
                <pt idx="116">
                  <v>4453743536.235882</v>
                </pt>
                <pt idx="117">
                  <v>3769159795.523045</v>
                </pt>
                <pt idx="118">
                  <v>3311484201.000386</v>
                </pt>
                <pt idx="119">
                  <v>3464738945.924051</v>
                </pt>
                <pt idx="120">
                  <v>3516697695.08701</v>
                </pt>
                <pt idx="121">
                  <v>3239257249.957863</v>
                </pt>
                <pt idx="122">
                  <v>3430159769.353885</v>
                </pt>
                <pt idx="123">
                  <v>3434247764.214041</v>
                </pt>
                <pt idx="124">
                  <v>3155842954.91174</v>
                </pt>
                <pt idx="125">
                  <v>3371495174.013611</v>
                </pt>
                <pt idx="126">
                  <v>3043644544.462584</v>
                </pt>
                <pt idx="127">
                  <v>2858523410.522974</v>
                </pt>
                <pt idx="128">
                  <v>2836581680.793243</v>
                </pt>
                <pt idx="129">
                  <v>2814515744.163921</v>
                </pt>
                <pt idx="130">
                  <v>2719127649.684495</v>
                </pt>
                <pt idx="131">
                  <v>2511871712.618207</v>
                </pt>
                <pt idx="132">
                  <v>2333580803.75175</v>
                </pt>
                <pt idx="133">
                  <v>2365935341.266364</v>
                </pt>
                <pt idx="134">
                  <v>2012931659.69894</v>
                </pt>
                <pt idx="135">
                  <v>1964454181.177984</v>
                </pt>
                <pt idx="136">
                  <v>1877545063.728448</v>
                </pt>
                <pt idx="137">
                  <v>1686219454.362132</v>
                </pt>
                <pt idx="138">
                  <v>1453596713.882088</v>
                </pt>
                <pt idx="139">
                  <v>1519826215.120968</v>
                </pt>
                <pt idx="140">
                  <v>1360142937.711925</v>
                </pt>
                <pt idx="141">
                  <v>1742223659.206989</v>
                </pt>
                <pt idx="142">
                  <v>1905531068.102342</v>
                </pt>
                <pt idx="143">
                  <v>1930890499.01649</v>
                </pt>
                <pt idx="144">
                  <v>1928203794.277521</v>
                </pt>
                <pt idx="145">
                  <v>1856550392.730543</v>
                </pt>
                <pt idx="146">
                  <v>1870016734.048257</v>
                </pt>
                <pt idx="147">
                  <v>1885360926.934415</v>
                </pt>
                <pt idx="148">
                  <v>2267941820.746239</v>
                </pt>
                <pt idx="149">
                  <v>2549423240.442135</v>
                </pt>
                <pt idx="150">
                  <v>2711417384.941275</v>
                </pt>
                <pt idx="151">
                  <v>2870176681.239115</v>
                </pt>
                <pt idx="152">
                  <v>2844827173.701902</v>
                </pt>
                <pt idx="153">
                  <v>2536050099.497511</v>
                </pt>
                <pt idx="154">
                  <v>2821357713.20339</v>
                </pt>
                <pt idx="155">
                  <v>3060736792.195122</v>
                </pt>
                <pt idx="156">
                  <v>3045387982.255165</v>
                </pt>
                <pt idx="157">
                  <v>3113997827.701271</v>
                </pt>
                <pt idx="158">
                  <v>3169743928.792735</v>
                </pt>
                <pt idx="159">
                  <v>3054424669.935307</v>
                </pt>
                <pt idx="160">
                  <v>3035254136.106085</v>
                </pt>
                <pt idx="161">
                  <v>3306618041.363348</v>
                </pt>
                <pt idx="162">
                  <v>3348286495.2875</v>
                </pt>
                <pt idx="163">
                  <v>3130642931.159855</v>
                </pt>
                <pt idx="164">
                  <v>3201605409.375</v>
                </pt>
                <pt idx="165">
                  <v>3413476634.10577</v>
                </pt>
                <pt idx="166">
                  <v>3457420299.883579</v>
                </pt>
                <pt idx="167">
                  <v>3188080551.482713</v>
                </pt>
                <pt idx="168">
                  <v>3102064825.89572</v>
                </pt>
                <pt idx="169">
                  <v>3048499145.640121</v>
                </pt>
                <pt idx="170">
                  <v>2951390273.349719</v>
                </pt>
                <pt idx="171">
                  <v>2996900711.191406</v>
                </pt>
                <pt idx="172">
                  <v>2497571914.763672</v>
                </pt>
                <pt idx="173">
                  <v>1825718878.09127</v>
                </pt>
                <pt idx="174">
                  <v>1747072123.484914</v>
                </pt>
                <pt idx="175">
                  <v>1640762006.365302</v>
                </pt>
                <pt idx="176">
                  <v>1564938042.305555</v>
                </pt>
                <pt idx="177">
                  <v>1252396821.809896</v>
                </pt>
                <pt idx="178">
                  <v>627006132.3081396</v>
                </pt>
                <pt idx="179">
                  <v>590060675.5198171</v>
                </pt>
                <pt idx="180">
                  <v>663429313.0465117</v>
                </pt>
                <pt idx="181">
                  <v>590411098.2894737</v>
                </pt>
                <pt idx="182">
                  <v>591735398.4722222</v>
                </pt>
                <pt idx="183">
                  <v>746072270.4324324</v>
                </pt>
                <pt idx="184">
                  <v>1250684690.918919</v>
                </pt>
                <pt idx="185">
                  <v>1246573542.27027</v>
                </pt>
                <pt idx="186">
                  <v>1057488305.783784</v>
                </pt>
                <pt idx="187">
                  <v>1147759102.894737</v>
                </pt>
                <pt idx="188">
                  <v>1111825057.081081</v>
                </pt>
                <pt idx="189">
                  <v>1189104721.837838</v>
                </pt>
                <pt idx="190">
                  <v>1388688635.405406</v>
                </pt>
                <pt idx="191">
                  <v>1358941297.325582</v>
                </pt>
                <pt idx="192">
                  <v>1283323372.2</v>
                </pt>
                <pt idx="193">
                  <v>1383704649.1</v>
                </pt>
                <pt idx="194">
                  <v>1413625093.463415</v>
                </pt>
                <pt idx="195">
                  <v>1244860548.545455</v>
                </pt>
                <pt idx="196">
                  <v>754532607.7934666</v>
                </pt>
                <pt idx="197">
                  <v>788076747.7235564</v>
                </pt>
                <pt idx="198">
                  <v>781681630.9997184</v>
                </pt>
                <pt idx="199">
                  <v>771886617.4080541</v>
                </pt>
                <pt idx="200">
                  <v>841792046.2189672</v>
                </pt>
                <pt idx="201">
                  <v>852051622.2532179</v>
                </pt>
                <pt idx="202">
                  <v>770096216.7511734</v>
                </pt>
                <pt idx="203">
                  <v>943876015.4913374</v>
                </pt>
                <pt idx="204">
                  <v>963203370.16529</v>
                </pt>
                <pt idx="205">
                  <v>948274438.8043435</v>
                </pt>
                <pt idx="206">
                  <v>1101311721.177052</v>
                </pt>
                <pt idx="207">
                  <v>1094741727.864626</v>
                </pt>
                <pt idx="208">
                  <v>1591679962.485301</v>
                </pt>
                <pt idx="209">
                  <v>1823832437.137182</v>
                </pt>
                <pt idx="210">
                  <v>1911167567.599968</v>
                </pt>
                <pt idx="211">
                  <v>2433395672.890607</v>
                </pt>
                <pt idx="212">
                  <v>2374592929.761647</v>
                </pt>
                <pt idx="213">
                  <v>2365251943.846154</v>
                </pt>
                <pt idx="214">
                  <v>2263911708.653846</v>
                </pt>
                <pt idx="215">
                  <v>2173130984.160839</v>
                </pt>
                <pt idx="216">
                  <v>2171371597.569231</v>
                </pt>
                <pt idx="217">
                  <v>1962526468.443439</v>
                </pt>
                <pt idx="218">
                  <v>1811935416.750392</v>
                </pt>
                <pt idx="219">
                  <v>1957554311.233672</v>
                </pt>
                <pt idx="220">
                  <v>1432450904.355556</v>
                </pt>
                <pt idx="221">
                  <v>1359980248.214047</v>
                </pt>
                <pt idx="222">
                  <v>1403504139.790347</v>
                </pt>
                <pt idx="223">
                  <v>909067547.1680911</v>
                </pt>
                <pt idx="224">
                  <v>1262084883.090909</v>
                </pt>
                <pt idx="225">
                  <v>1240097362.137931</v>
                </pt>
                <pt idx="226">
                  <v>1661494129.555556</v>
                </pt>
                <pt idx="227">
                  <v>1923363482.925373</v>
                </pt>
                <pt idx="228">
                  <v>2242912718.869565</v>
                </pt>
                <pt idx="229">
                  <v>2242529064.821918</v>
                </pt>
                <pt idx="230">
                  <v>2252752355.84</v>
                </pt>
                <pt idx="231">
                  <v>2317333586.08</v>
                </pt>
                <pt idx="232">
                  <v>2463851301.948718</v>
                </pt>
                <pt idx="233">
                  <v>2355056685.692307</v>
                </pt>
                <pt idx="234">
                  <v>2319095766.662162</v>
                </pt>
                <pt idx="235">
                  <v>2341300703.942857</v>
                </pt>
                <pt idx="236">
                  <v>2054512085.714286</v>
                </pt>
                <pt idx="237">
                  <v>2058881695.352113</v>
                </pt>
                <pt idx="238">
                  <v>1682725630.833333</v>
                </pt>
                <pt idx="239">
                  <v>1393227906</v>
                </pt>
                <pt idx="240">
                  <v>1178334288.416667</v>
                </pt>
                <pt idx="241">
                  <v>1116735008.660714</v>
                </pt>
                <pt idx="242">
                  <v>1157367898.8</v>
                </pt>
                <pt idx="243">
                  <v>884811611.0204082</v>
                </pt>
                <pt idx="244">
                  <v>705980286.2608696</v>
                </pt>
                <pt idx="245">
                  <v>699497105.3181819</v>
                </pt>
                <pt idx="246">
                  <v>717777160.7872341</v>
                </pt>
                <pt idx="247">
                  <v>834413223.6458334</v>
                </pt>
                <pt idx="248">
                  <v>1054661968.608696</v>
                </pt>
                <pt idx="249">
                  <v>1039497562.886364</v>
                </pt>
                <pt idx="250">
                  <v>1057690074.55814</v>
                </pt>
                <pt idx="251">
                  <v>983651046.5853658</v>
                </pt>
                <pt idx="252">
                  <v>843457482</v>
                </pt>
                <pt idx="253">
                  <v>907333017.8</v>
                </pt>
                <pt idx="254">
                  <v>950844565</v>
                </pt>
                <pt idx="255">
                  <v>1015521163.925</v>
                </pt>
                <pt idx="256">
                  <v>1117057934.04878</v>
                </pt>
                <pt idx="257">
                  <v>1508126339.534884</v>
                </pt>
                <pt idx="258">
                  <v>1506896041.3</v>
                </pt>
                <pt idx="259">
                  <v>1402436432.307692</v>
                </pt>
                <pt idx="260">
                  <v>1185352662.789474</v>
                </pt>
                <pt idx="261">
                  <v>1295299649.277778</v>
                </pt>
                <pt idx="262">
                  <v>1241790183.848485</v>
                </pt>
                <pt idx="263">
                  <v>1191875991.921053</v>
                </pt>
                <pt idx="264">
                  <v>1219713049.51282</v>
                </pt>
                <pt idx="265">
                  <v>1355003347.857143</v>
                </pt>
                <pt idx="266">
                  <v>1279416447.5</v>
                </pt>
                <pt idx="267">
                  <v>1201175387.707317</v>
                </pt>
                <pt idx="268">
                  <v>1078155108.769231</v>
                </pt>
                <pt idx="269">
                  <v>684981896.2432432</v>
                </pt>
                <pt idx="270">
                  <v>659804864.5882354</v>
                </pt>
                <pt idx="271">
                  <v>597832037.0909091</v>
                </pt>
                <pt idx="272">
                  <v>580155704.25</v>
                </pt>
                <pt idx="273">
                  <v>467926247.8333334</v>
                </pt>
                <pt idx="274">
                  <v>448715331.1666667</v>
                </pt>
                <pt idx="275">
                  <v>498868253.8888889</v>
                </pt>
                <pt idx="276">
                  <v>467319696.4583333</v>
                </pt>
                <pt idx="277">
                  <v>222722089.5555556</v>
                </pt>
                <pt idx="278">
                  <v>244013188.8</v>
                </pt>
                <pt idx="279">
                  <v>251946023.7894737</v>
                </pt>
                <pt idx="280">
                  <v>301820030</v>
                </pt>
                <pt idx="281">
                  <v>356659363.047619</v>
                </pt>
                <pt idx="282">
                  <v>313000626.4</v>
                </pt>
                <pt idx="283">
                  <v>265917804.4444444</v>
                </pt>
                <pt idx="284">
                  <v>258811501.4736842</v>
                </pt>
                <pt idx="285">
                  <v>276343251.5555555</v>
                </pt>
                <pt idx="286">
                  <v>291578058.4444444</v>
                </pt>
                <pt idx="287">
                  <v>235081097.7777778</v>
                </pt>
                <pt idx="288">
                  <v>295642896</v>
                </pt>
                <pt idx="289">
                  <v>360723107.3478261</v>
                </pt>
                <pt idx="290">
                  <v>358790337.1</v>
                </pt>
                <pt idx="291">
                  <v>375747815.5909091</v>
                </pt>
                <pt idx="292">
                  <v>382868883.2857143</v>
                </pt>
                <pt idx="293">
                  <v>297219830</v>
                </pt>
                <pt idx="294">
                  <v>422960821.5</v>
                </pt>
                <pt idx="295">
                  <v>461767392.9090909</v>
                </pt>
                <pt idx="296">
                  <v>745242776.6666666</v>
                </pt>
                <pt idx="297">
                  <v>853131454.1739131</v>
                </pt>
                <pt idx="298">
                  <v>974194494</v>
                </pt>
                <pt idx="299">
                  <v>1037054930</v>
                </pt>
                <pt idx="300">
                  <v>1060974580.956522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stockChart>
        <ser>
          <idx val="1"/>
          <order val="1"/>
          <tx>
            <strRef>
              <f>'All Charts'!$J$2</f>
              <strCache>
                <ptCount val="1"/>
                <pt idx="0">
                  <v>Upper Quartile Cap Rate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Charts'!$B$6:$B$306</f>
              <strCache>
                <ptCount val="30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</strCache>
            </strRef>
          </cat>
          <val>
            <numRef>
              <f>'All Charts'!$J$6:$J$306</f>
              <numCache>
                <formatCode>0.00%</formatCode>
                <ptCount val="301"/>
                <pt idx="0">
                  <v>0.08632547770700637</v>
                </pt>
                <pt idx="1">
                  <v>0.0853168570173512</v>
                </pt>
                <pt idx="2">
                  <v>0.0843169513374154</v>
                </pt>
                <pt idx="3">
                  <v>0.08489980781902043</v>
                </pt>
                <pt idx="4">
                  <v>0.08573390621568197</v>
                </pt>
                <pt idx="5">
                  <v>0.08439430529035158</v>
                </pt>
                <pt idx="6">
                  <v>0.0837500091424392</v>
                </pt>
                <pt idx="7">
                  <v>0.0806</v>
                </pt>
                <pt idx="8">
                  <v>0.08057787500000001</v>
                </pt>
                <pt idx="9">
                  <v>0.08066306049822064</v>
                </pt>
                <pt idx="10">
                  <v>0.0836250045712196</v>
                </pt>
                <pt idx="11">
                  <v>0.08419929720905246</v>
                </pt>
                <pt idx="12">
                  <v>0.08419929720905246</v>
                </pt>
                <pt idx="13">
                  <v>0.08440635976139174</v>
                </pt>
                <pt idx="14">
                  <v>0.08501125</v>
                </pt>
                <pt idx="15">
                  <v>0.08430964630095453</v>
                </pt>
                <pt idx="16">
                  <v>0.08487041216896948</v>
                </pt>
                <pt idx="17">
                  <v>0.08530259242174937</v>
                </pt>
                <pt idx="18">
                  <v>0.08649999999999999</v>
                </pt>
                <pt idx="19">
                  <v>0.08771415279770364</v>
                </pt>
                <pt idx="20">
                  <v>0.08630487179487178</v>
                </pt>
                <pt idx="21">
                  <v>0.08620730769230769</v>
                </pt>
                <pt idx="22">
                  <v>0.08422394933793897</v>
                </pt>
                <pt idx="23">
                  <v>0.08337287810873337</v>
                </pt>
                <pt idx="24">
                  <v>0.0828</v>
                </pt>
                <pt idx="25">
                  <v>0.08264639999999999</v>
                </pt>
                <pt idx="26">
                  <v>0.08214628623188407</v>
                </pt>
                <pt idx="27">
                  <v>0.08215338164251208</v>
                </pt>
                <pt idx="28">
                  <v>0.08142684571175951</v>
                </pt>
                <pt idx="29">
                  <v>0.08133722448979591</v>
                </pt>
                <pt idx="30">
                  <v>0.08117200576693157</v>
                </pt>
                <pt idx="31">
                  <v>0.08017031999999999</v>
                </pt>
                <pt idx="32">
                  <v>0.0805950793032629</v>
                </pt>
                <pt idx="33">
                  <v>0.08125631188938054</v>
                </pt>
                <pt idx="34">
                  <v>0.08144230769230769</v>
                </pt>
                <pt idx="35">
                  <v>0.08270705454545454</v>
                </pt>
                <pt idx="36">
                  <v>0.08272727272727273</v>
                </pt>
                <pt idx="37">
                  <v>0.08256205811138015</v>
                </pt>
                <pt idx="38">
                  <v>0.08210983050847458</v>
                </pt>
                <pt idx="39">
                  <v>0.08278817191283294</v>
                </pt>
                <pt idx="40">
                  <v>0.08256205811138015</v>
                </pt>
                <pt idx="41">
                  <v>0.08267653687585891</v>
                </pt>
                <pt idx="42">
                  <v>0.08324324324324324</v>
                </pt>
                <pt idx="43">
                  <v>0.08295989005955107</v>
                </pt>
                <pt idx="44">
                  <v>0.081364039894783</v>
                </pt>
                <pt idx="45">
                  <v>0.08275558192090396</v>
                </pt>
                <pt idx="46">
                  <v>0.08348849999999999</v>
                </pt>
                <pt idx="47">
                  <v>0.08391419093406594</v>
                </pt>
                <pt idx="48">
                  <v>0.08427458333333333</v>
                </pt>
                <pt idx="49">
                  <v>0.08447326847484277</v>
                </pt>
                <pt idx="50">
                  <v>0.08476974842767296</v>
                </pt>
                <pt idx="51">
                  <v>0.085025</v>
                </pt>
                <pt idx="52">
                  <v>0.08571653333333333</v>
                </pt>
                <pt idx="53">
                  <v>0.08567</v>
                </pt>
                <pt idx="54">
                  <v>0.08568779411764706</v>
                </pt>
                <pt idx="55">
                  <v>0.08607828500093773</v>
                </pt>
                <pt idx="56">
                  <v>0.08718553719008264</v>
                </pt>
                <pt idx="57">
                  <v>0.08738495125258264</v>
                </pt>
                <pt idx="58">
                  <v>0.08672632048092868</v>
                </pt>
                <pt idx="59">
                  <v>0.08752675458419422</v>
                </pt>
                <pt idx="60">
                  <v>0.08745585291838842</v>
                </pt>
                <pt idx="61">
                  <v>0.08815557107753913</v>
                </pt>
                <pt idx="62">
                  <v>0.08815557107753913</v>
                </pt>
                <pt idx="63">
                  <v>0.08887957581018519</v>
                </pt>
                <pt idx="64">
                  <v>0.08935881691962387</v>
                </pt>
                <pt idx="65">
                  <v>0.08935881691962387</v>
                </pt>
                <pt idx="66">
                  <v>0.08919263992241916</v>
                </pt>
                <pt idx="67">
                  <v>0.09037093805099533</v>
                </pt>
                <pt idx="68">
                  <v>0.09096196283391406</v>
                </pt>
                <pt idx="69">
                  <v>0.0915445945945946</v>
                </pt>
                <pt idx="70">
                  <v>0.09191852728524702</v>
                </pt>
                <pt idx="71">
                  <v>0.09251847802815394</v>
                </pt>
                <pt idx="72">
                  <v>0.09312089504853079</v>
                </pt>
                <pt idx="73">
                  <v>0.09418745120261932</v>
                </pt>
                <pt idx="74">
                  <v>0.0945215690719053</v>
                </pt>
                <pt idx="75">
                  <v>0.09336520615399571</v>
                </pt>
                <pt idx="76">
                  <v>0.09276266454558701</v>
                </pt>
                <pt idx="77">
                  <v>0.09299873949579832</v>
                </pt>
                <pt idx="78">
                  <v>0.09336520615399571</v>
                </pt>
                <pt idx="79">
                  <v>0.09350408555383578</v>
                </pt>
                <pt idx="80">
                  <v>0.0925</v>
                </pt>
                <pt idx="81">
                  <v>0.09003921568627452</v>
                </pt>
                <pt idx="82">
                  <v>0.0915</v>
                </pt>
                <pt idx="83">
                  <v>0.0925449421965318</v>
                </pt>
                <pt idx="84">
                  <v>0.0925</v>
                </pt>
                <pt idx="85">
                  <v>0.09001960784313726</v>
                </pt>
                <pt idx="86">
                  <v>0.08964046258503403</v>
                </pt>
                <pt idx="87">
                  <v>0.08962469387755102</v>
                </pt>
                <pt idx="88">
                  <v>0.08921233333333334</v>
                </pt>
                <pt idx="89">
                  <v>0.08921163095238095</v>
                </pt>
                <pt idx="90">
                  <v>0.08921233333333334</v>
                </pt>
                <pt idx="91">
                  <v>0.08700051984058223</v>
                </pt>
                <pt idx="92">
                  <v>0.08800015842682166</v>
                </pt>
                <pt idx="93">
                  <v>0.08820981132075471</v>
                </pt>
                <pt idx="94">
                  <v>0.08974979591836735</v>
                </pt>
                <pt idx="95">
                  <v>0.08850557371890533</v>
                </pt>
                <pt idx="96">
                  <v>0.08850557371890533</v>
                </pt>
                <pt idx="97">
                  <v>0.0873895447749652</v>
                </pt>
                <pt idx="98">
                  <v>0.08784750501385755</v>
                </pt>
                <pt idx="99">
                  <v>0.08800015842682166</v>
                </pt>
                <pt idx="100">
                  <v>0.09056913660209255</v>
                </pt>
                <pt idx="101">
                  <v>0.0931</v>
                </pt>
                <pt idx="102">
                  <v>0.09320000000000001</v>
                </pt>
                <pt idx="103">
                  <v>0.0931</v>
                </pt>
                <pt idx="104">
                  <v>0.09128207423580786</v>
                </pt>
                <pt idx="105">
                  <v>0.09287311572507159</v>
                </pt>
                <pt idx="106">
                  <v>0.09266059385956493</v>
                </pt>
                <pt idx="107">
                  <v>0.09359685577812199</v>
                </pt>
                <pt idx="108">
                  <v>0.09406498673740053</v>
                </pt>
                <pt idx="109">
                  <v>0.09201934717521479</v>
                </pt>
                <pt idx="110">
                  <v>0.09408392194012884</v>
                </pt>
                <pt idx="111">
                  <v>0.09359685577812199</v>
                </pt>
                <pt idx="112">
                  <v>0.0915580725842525</v>
                </pt>
                <pt idx="113">
                  <v>0.09173229033701001</v>
                </pt>
                <pt idx="114">
                  <v>0.09129203124999999</v>
                </pt>
                <pt idx="115">
                  <v>0.09408392194012884</v>
                </pt>
                <pt idx="116">
                  <v>0.09494812499999999</v>
                </pt>
                <pt idx="117">
                  <v>0.09426710171275476</v>
                </pt>
                <pt idx="118">
                  <v>0.09099489411133947</v>
                </pt>
                <pt idx="119">
                  <v>0.0909033366097757</v>
                </pt>
                <pt idx="120">
                  <v>0.08965000000000001</v>
                </pt>
                <pt idx="121">
                  <v>0.09108645161290323</v>
                </pt>
                <pt idx="122">
                  <v>0.090055</v>
                </pt>
                <pt idx="123">
                  <v>0.09</v>
                </pt>
                <pt idx="124">
                  <v>0.09086983870967742</v>
                </pt>
                <pt idx="125">
                  <v>0.09342926514209166</v>
                </pt>
                <pt idx="126">
                  <v>0.09464850971198928</v>
                </pt>
                <pt idx="127">
                  <v>0.09309523809523809</v>
                </pt>
                <pt idx="128">
                  <v>0.0925</v>
                </pt>
                <pt idx="129">
                  <v>0.09212770833333334</v>
                </pt>
                <pt idx="130">
                  <v>0.09175541666666667</v>
                </pt>
                <pt idx="131">
                  <v>0.091383125</v>
                </pt>
                <pt idx="132">
                  <v>0.09432500000000001</v>
                </pt>
                <pt idx="133">
                  <v>0.09506505617977529</v>
                </pt>
                <pt idx="134">
                  <v>0.09559999999999999</v>
                </pt>
                <pt idx="135">
                  <v>0.0953</v>
                </pt>
                <pt idx="136">
                  <v>0.09379585889570552</v>
                </pt>
                <pt idx="137">
                  <v>0.0914622491349481</v>
                </pt>
                <pt idx="138">
                  <v>0.09103674740484428</v>
                </pt>
                <pt idx="139">
                  <v>0.08975</v>
                </pt>
                <pt idx="140">
                  <v>0.0914622491349481</v>
                </pt>
                <pt idx="141">
                  <v>0.0898390366972477</v>
                </pt>
                <pt idx="142">
                  <v>0.09192085889570552</v>
                </pt>
                <pt idx="143">
                  <v>0.0916</v>
                </pt>
                <pt idx="144">
                  <v>0.09120710395250187</v>
                </pt>
                <pt idx="145">
                  <v>0.09112805024614713</v>
                </pt>
                <pt idx="146">
                  <v>0.0895890366972477</v>
                </pt>
                <pt idx="147">
                  <v>0.0894266388888889</v>
                </pt>
                <pt idx="148">
                  <v>0.0896771170574244</v>
                </pt>
                <pt idx="149">
                  <v>0.08875921375921376</v>
                </pt>
                <pt idx="150">
                  <v>0.089</v>
                </pt>
                <pt idx="151">
                  <v>0.08893980343980344</v>
                </pt>
                <pt idx="152">
                  <v>0.08763450289975146</v>
                </pt>
                <pt idx="153">
                  <v>0.08829285714285715</v>
                </pt>
                <pt idx="154">
                  <v>0.08799999999999999</v>
                </pt>
                <pt idx="155">
                  <v>0.08768507042253521</v>
                </pt>
                <pt idx="156">
                  <v>0.08771323529411765</v>
                </pt>
                <pt idx="157">
                  <v>0.08761764705882354</v>
                </pt>
                <pt idx="158">
                  <v>0.08928442592592592</v>
                </pt>
                <pt idx="159">
                  <v>0.09</v>
                </pt>
                <pt idx="160">
                  <v>0.09028428134289211</v>
                </pt>
                <pt idx="161">
                  <v>0.09</v>
                </pt>
                <pt idx="162">
                  <v>0.08991383333333333</v>
                </pt>
                <pt idx="163">
                  <v>0.09</v>
                </pt>
                <pt idx="164">
                  <v>0.09</v>
                </pt>
                <pt idx="165">
                  <v>0.09</v>
                </pt>
                <pt idx="166">
                  <v>0.08932766666666667</v>
                </pt>
                <pt idx="167">
                  <v>0.08965533333333334</v>
                </pt>
                <pt idx="168">
                  <v>0.08982766666666667</v>
                </pt>
                <pt idx="169">
                  <v>0.0894915</v>
                </pt>
                <pt idx="170">
                  <v>0.08844246150337748</v>
                </pt>
                <pt idx="171">
                  <v>0.08965533333333334</v>
                </pt>
                <pt idx="172">
                  <v>0.08844246150337748</v>
                </pt>
                <pt idx="173">
                  <v>0.08899153439153439</v>
                </pt>
                <pt idx="174">
                  <v>0.09133821281599058</v>
                </pt>
                <pt idx="175">
                  <v>0.0885987388151328</v>
                </pt>
                <pt idx="176">
                  <v>0.09368489124044679</v>
                </pt>
                <pt idx="177">
                  <v>0.09580450090093039</v>
                </pt>
                <pt idx="178">
                  <v>0.09700550546587933</v>
                </pt>
                <pt idx="179">
                  <v>0.09488327809081869</v>
                </pt>
                <pt idx="180">
                  <v>0.08974788359788359</v>
                </pt>
                <pt idx="181">
                  <v>0.09</v>
                </pt>
                <pt idx="182">
                  <v>0.09</v>
                </pt>
                <pt idx="183">
                  <v>0.08778930117904842</v>
                </pt>
                <pt idx="184">
                  <v>0.08446372239747635</v>
                </pt>
                <pt idx="185">
                  <v>0.08299093059936909</v>
                </pt>
                <pt idx="186">
                  <v>0.08584779179810725</v>
                </pt>
                <pt idx="187">
                  <v>0.08446372239747635</v>
                </pt>
                <pt idx="188">
                  <v>0.08299093059936909</v>
                </pt>
                <pt idx="189">
                  <v>0.08238542904701246</v>
                </pt>
                <pt idx="190">
                  <v>0.08245451145662268</v>
                </pt>
                <pt idx="191">
                  <v>0.08238542904701246</v>
                </pt>
                <pt idx="192">
                  <v>0.083</v>
                </pt>
                <pt idx="193">
                  <v>0.08259088359246701</v>
                </pt>
                <pt idx="194">
                  <v>0.083</v>
                </pt>
                <pt idx="195">
                  <v>0.0848415590405904</v>
                </pt>
                <pt idx="196">
                  <v>0.09036623616236163</v>
                </pt>
                <pt idx="197">
                  <v>0.08668311808118082</v>
                </pt>
                <pt idx="198">
                  <v>0.083081875</v>
                </pt>
                <pt idx="199">
                  <v>0.083</v>
                </pt>
                <pt idx="200">
                  <v>0.08481734892384106</v>
                </pt>
                <pt idx="201">
                  <v>0.08977814569536424</v>
                </pt>
                <pt idx="202">
                  <v>0.0831228125</v>
                </pt>
                <pt idx="203">
                  <v>0.08207182054933809</v>
                </pt>
                <pt idx="204">
                  <v>0.08077163247100803</v>
                </pt>
                <pt idx="205">
                  <v>0.0814075294890324</v>
                </pt>
                <pt idx="206">
                  <v>0.08101315789473684</v>
                </pt>
                <pt idx="207">
                  <v>0.08083898305084747</v>
                </pt>
                <pt idx="208">
                  <v>0.08091949152542373</v>
                </pt>
                <pt idx="209">
                  <v>0.081</v>
                </pt>
                <pt idx="210">
                  <v>0.08057174070530344</v>
                </pt>
                <pt idx="211">
                  <v>0.08075847457627119</v>
                </pt>
                <pt idx="212">
                  <v>0.08017756824293786</v>
                </pt>
                <pt idx="213">
                  <v>0.08067796610169492</v>
                </pt>
                <pt idx="214">
                  <v>0.08067796610169492</v>
                </pt>
                <pt idx="215">
                  <v>0.07974857714678843</v>
                </pt>
                <pt idx="216">
                  <v>0.08220818505338079</v>
                </pt>
                <pt idx="217">
                  <v>0.07595479704797048</v>
                </pt>
                <pt idx="218">
                  <v>0.07881918819188193</v>
                </pt>
                <pt idx="219">
                  <v>0.07690959409594096</v>
                </pt>
                <pt idx="220">
                  <v>0.0749488</v>
                </pt>
                <pt idx="221">
                  <v>0.07680000000000001</v>
                </pt>
                <pt idx="222">
                  <v>0.07940959409594096</v>
                </pt>
                <pt idx="223">
                  <v>0.082</v>
                </pt>
                <pt idx="224">
                  <v>0.07876439114391144</v>
                </pt>
                <pt idx="225">
                  <v>0.07870959409594097</v>
                </pt>
                <pt idx="226">
                  <v>0.07911439114391144</v>
                </pt>
                <pt idx="227">
                  <v>0.07895000000000001</v>
                </pt>
                <pt idx="228">
                  <v>0.07895000000000001</v>
                </pt>
                <pt idx="229">
                  <v>0.08065627272727273</v>
                </pt>
                <pt idx="230">
                  <v>0.08043751515151515</v>
                </pt>
                <pt idx="231">
                  <v>0.08162024796037295</v>
                </pt>
                <pt idx="232">
                  <v>0.08400000000000001</v>
                </pt>
                <pt idx="233">
                  <v>0.08596919350336527</v>
                </pt>
                <pt idx="234">
                  <v>0.08366364356435643</v>
                </pt>
                <pt idx="235">
                  <v>0.08276614870525514</v>
                </pt>
                <pt idx="236">
                  <v>0.08400000000000001</v>
                </pt>
                <pt idx="237">
                  <v>0.0840351274074074</v>
                </pt>
                <pt idx="238">
                  <v>0.09237013333333334</v>
                </pt>
                <pt idx="239">
                  <v>0.0925</v>
                </pt>
                <pt idx="240">
                  <v>0.09246753333333334</v>
                </pt>
                <pt idx="241">
                  <v>0.09243506666666668</v>
                </pt>
                <pt idx="242">
                  <v>0.0925</v>
                </pt>
                <pt idx="243">
                  <v>0.0925</v>
                </pt>
                <pt idx="244">
                  <v>0.0925</v>
                </pt>
                <pt idx="245">
                  <v>0.09</v>
                </pt>
                <pt idx="246">
                  <v>0.090625</v>
                </pt>
                <pt idx="247">
                  <v>0.09143620689655171</v>
                </pt>
                <pt idx="248">
                  <v>0.09196810344827586</v>
                </pt>
                <pt idx="249">
                  <v>0.09455741792929293</v>
                </pt>
                <pt idx="250">
                  <v>0.0944267319023569</v>
                </pt>
                <pt idx="251">
                  <v>0.09336414511494252</v>
                </pt>
                <pt idx="252">
                  <v>0.09436138888888888</v>
                </pt>
                <pt idx="253">
                  <v>0.0944267319023569</v>
                </pt>
                <pt idx="254">
                  <v>0.09352104166666667</v>
                </pt>
                <pt idx="255">
                  <v>0.09449207491582491</v>
                </pt>
                <pt idx="256">
                  <v>0.09462276094276094</v>
                </pt>
                <pt idx="257">
                  <v>0.09455741792929293</v>
                </pt>
                <pt idx="258">
                  <v>0.09449207491582491</v>
                </pt>
                <pt idx="259">
                  <v>0.09455741792929293</v>
                </pt>
                <pt idx="260">
                  <v>0.09671534722222222</v>
                </pt>
                <pt idx="261">
                  <v>0.0975</v>
                </pt>
                <pt idx="262">
                  <v>0.09937497556351352</v>
                </pt>
                <pt idx="263">
                  <v>0.09999997556351353</v>
                </pt>
                <pt idx="264">
                  <v>0.09999998370900902</v>
                </pt>
                <pt idx="265">
                  <v>0.09937497556351352</v>
                </pt>
                <pt idx="266">
                  <v>0.09937497556351352</v>
                </pt>
                <pt idx="267">
                  <v>0.09875</v>
                </pt>
                <pt idx="268">
                  <v>0.09875</v>
                </pt>
                <pt idx="269">
                  <v>0.100981018</v>
                </pt>
                <pt idx="270">
                  <v>0.1023716438224299</v>
                </pt>
                <pt idx="271">
                  <v>0.1043156363636364</v>
                </pt>
                <pt idx="272">
                  <v>0.1067793053545586</v>
                </pt>
                <pt idx="273">
                  <v>0.106909479015919</v>
                </pt>
                <pt idx="274">
                  <v>0.106909479015919</v>
                </pt>
                <pt idx="275">
                  <v>0.1073</v>
                </pt>
                <pt idx="276">
                  <v>0.1073881764705882</v>
                </pt>
                <pt idx="277">
                  <v>0.1075645294117647</v>
                </pt>
                <pt idx="278">
                  <v>0.1073</v>
                </pt>
                <pt idx="279">
                  <v>0.1078269992912828</v>
                </pt>
                <pt idx="280">
                  <v>0.1081755861091424</v>
                </pt>
                <pt idx="281">
                  <v>0.1080012927002126</v>
                </pt>
                <pt idx="282">
                  <v>0.1080012927002126</v>
                </pt>
                <pt idx="283">
                  <v>0.1073</v>
                </pt>
                <pt idx="284">
                  <v>0.1</v>
                </pt>
                <pt idx="285">
                  <v>0.1019131764705882</v>
                </pt>
                <pt idx="286">
                  <v>0.1</v>
                </pt>
                <pt idx="287">
                  <v>0.09608521208863027</v>
                </pt>
                <pt idx="288">
                  <v>0.09512189448795626</v>
                </pt>
                <pt idx="289">
                  <v>0.09387227722772278</v>
                </pt>
                <pt idx="290">
                  <v>0.09762112900842324</v>
                </pt>
                <pt idx="291">
                  <v>0.09194094210731117</v>
                </pt>
                <pt idx="292">
                  <v>0.09180000000000001</v>
                </pt>
                <pt idx="293">
                  <v>0.09045720524017467</v>
                </pt>
                <pt idx="294">
                  <v>0.09000960698689957</v>
                </pt>
                <pt idx="295">
                  <v>0.09045720524017467</v>
                </pt>
                <pt idx="296">
                  <v>0.09090000000000001</v>
                </pt>
                <pt idx="297">
                  <v>0.09090000000000001</v>
                </pt>
                <pt idx="298">
                  <v>0.08990000000000001</v>
                </pt>
                <pt idx="299">
                  <v>0.09598213895527484</v>
                </pt>
                <pt idx="300">
                  <v>0.09935424407796102</v>
                </pt>
              </numCache>
            </numRef>
          </val>
          <smooth val="0"/>
        </ser>
        <ser>
          <idx val="2"/>
          <order val="2"/>
          <tx>
            <strRef>
              <f>'All Charts'!$K$2</f>
              <strCache>
                <ptCount val="1"/>
                <pt idx="0">
                  <v>Lower Quartile Cap Rate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Charts'!$B$6:$B$306</f>
              <strCache>
                <ptCount val="30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</strCache>
            </strRef>
          </cat>
          <val>
            <numRef>
              <f>'All Charts'!$K$6:$K$306</f>
              <numCache>
                <formatCode>0.00%</formatCode>
                <ptCount val="301"/>
                <pt idx="0">
                  <v>0.06983341445511011</v>
                </pt>
                <pt idx="1">
                  <v>0.0685676394395982</v>
                </pt>
                <pt idx="2">
                  <v>0.06854210379981464</v>
                </pt>
                <pt idx="3">
                  <v>0.06840041538770392</v>
                </pt>
                <pt idx="4">
                  <v>0.06856176843774782</v>
                </pt>
                <pt idx="5">
                  <v>0.06840041538770392</v>
                </pt>
                <pt idx="6">
                  <v>0.06855589743589743</v>
                </pt>
                <pt idx="7">
                  <v>0.06850072289156627</v>
                </pt>
                <pt idx="8">
                  <v>0.06851451652764906</v>
                </pt>
                <pt idx="9">
                  <v>0.06606106327844297</v>
                </pt>
                <pt idx="10">
                  <v>0.06604248619876252</v>
                </pt>
                <pt idx="11">
                  <v>0.06584405287751549</v>
                </pt>
                <pt idx="12">
                  <v>0.06608728588012992</v>
                </pt>
                <pt idx="13">
                  <v>0.06604248619876252</v>
                </pt>
                <pt idx="14">
                  <v>0.06595288683602771</v>
                </pt>
                <pt idx="15">
                  <v>0.06549768276116613</v>
                </pt>
                <pt idx="16">
                  <v>0.06420691489361702</v>
                </pt>
                <pt idx="17">
                  <v>0.06562399821463996</v>
                </pt>
                <pt idx="18">
                  <v>0.06584799642927991</v>
                </pt>
                <pt idx="19">
                  <v>0.06581466512702078</v>
                </pt>
                <pt idx="20">
                  <v>0.06567644341801385</v>
                </pt>
                <pt idx="21">
                  <v>0.06539522788461538</v>
                </pt>
                <pt idx="22">
                  <v>0.064</v>
                </pt>
                <pt idx="23">
                  <v>0.06203908726666948</v>
                </pt>
                <pt idx="24">
                  <v>0.06192307692307692</v>
                </pt>
                <pt idx="25">
                  <v>0.06184875</v>
                </pt>
                <pt idx="26">
                  <v>0.06177245002983293</v>
                </pt>
                <pt idx="27">
                  <v>0.0615</v>
                </pt>
                <pt idx="28">
                  <v>0.06102646153846154</v>
                </pt>
                <pt idx="29">
                  <v>0.0603448275862069</v>
                </pt>
                <pt idx="30">
                  <v>0.06004285714285714</v>
                </pt>
                <pt idx="31">
                  <v>0.05974821428571428</v>
                </pt>
                <pt idx="32">
                  <v>0.05991607142857143</v>
                </pt>
                <pt idx="33">
                  <v>0.06025862068965517</v>
                </pt>
                <pt idx="34">
                  <v>0.0603448275862069</v>
                </pt>
                <pt idx="35">
                  <v>0.06070932277700628</v>
                </pt>
                <pt idx="36">
                  <v>0.061</v>
                </pt>
                <pt idx="37">
                  <v>0.06094956489045515</v>
                </pt>
                <pt idx="38">
                  <v>0.0615</v>
                </pt>
                <pt idx="39">
                  <v>0.06184284301858736</v>
                </pt>
                <pt idx="40">
                  <v>0.0619205203457249</v>
                </pt>
                <pt idx="41">
                  <v>0.06260584421775194</v>
                </pt>
                <pt idx="42">
                  <v>0.06266486887372995</v>
                </pt>
                <pt idx="43">
                  <v>0.063558325</v>
                </pt>
                <pt idx="44">
                  <v>0.065025</v>
                </pt>
                <pt idx="45">
                  <v>0.06403888333333332</v>
                </pt>
                <pt idx="46">
                  <v>0.06507500000000001</v>
                </pt>
                <pt idx="47">
                  <v>0.06541537693301067</v>
                </pt>
                <pt idx="48">
                  <v>0.0653403911717208</v>
                </pt>
                <pt idx="49">
                  <v>0.06539767863609242</v>
                </pt>
                <pt idx="50">
                  <v>0.06614434168892541</v>
                </pt>
                <pt idx="51">
                  <v>0.06629286764705883</v>
                </pt>
                <pt idx="52">
                  <v>0.0675</v>
                </pt>
                <pt idx="53">
                  <v>0.0675</v>
                </pt>
                <pt idx="54">
                  <v>0.067375</v>
                </pt>
                <pt idx="55">
                  <v>0.067</v>
                </pt>
                <pt idx="56">
                  <v>0.06670000000000001</v>
                </pt>
                <pt idx="57">
                  <v>0.06626014769930141</v>
                </pt>
                <pt idx="58">
                  <v>0.06575321089171046</v>
                </pt>
                <pt idx="59">
                  <v>0.06626750579222011</v>
                </pt>
                <pt idx="60">
                  <v>0.0668</v>
                </pt>
                <pt idx="61">
                  <v>0.0669</v>
                </pt>
                <pt idx="62">
                  <v>0.06651786764705883</v>
                </pt>
                <pt idx="63">
                  <v>0.06761594522968198</v>
                </pt>
                <pt idx="64">
                  <v>0.0683464</v>
                </pt>
                <pt idx="65">
                  <v>0.06815132994620443</v>
                </pt>
                <pt idx="66">
                  <v>0.06812699491930664</v>
                </pt>
                <pt idx="67">
                  <v>0.06850000096386863</v>
                </pt>
                <pt idx="68">
                  <v>0.07029217165072976</v>
                </pt>
                <pt idx="69">
                  <v>0.07180608689468819</v>
                </pt>
                <pt idx="70">
                  <v>0.07180608689468819</v>
                </pt>
                <pt idx="71">
                  <v>0.06999999782829927</v>
                </pt>
                <pt idx="72">
                  <v>0.06921226415094339</v>
                </pt>
                <pt idx="73">
                  <v>0.06921226415094339</v>
                </pt>
                <pt idx="74">
                  <v>0.06914150943396227</v>
                </pt>
                <pt idx="75">
                  <v>0.06875589473684211</v>
                </pt>
                <pt idx="76">
                  <v>0.06841363088388405</v>
                </pt>
                <pt idx="77">
                  <v>0.0683337552742616</v>
                </pt>
                <pt idx="78">
                  <v>0.06850384902943538</v>
                </pt>
                <pt idx="79">
                  <v>0.06845356868869527</v>
                </pt>
                <pt idx="80">
                  <v>0.06709998764035685</v>
                </pt>
                <pt idx="81">
                  <v>0.066</v>
                </pt>
                <pt idx="82">
                  <v>0.06709998764035685</v>
                </pt>
                <pt idx="83">
                  <v>0.0684657962611865</v>
                </pt>
                <pt idx="84">
                  <v>0.06859611887416658</v>
                </pt>
                <pt idx="85">
                  <v>0.06785397392281522</v>
                </pt>
                <pt idx="86">
                  <v>0.06830111020542881</v>
                </pt>
                <pt idx="87">
                  <v>0.06738704453441297</v>
                </pt>
                <pt idx="88">
                  <v>0.06825855513307985</v>
                </pt>
                <pt idx="89">
                  <v>0.06827983266925433</v>
                </pt>
                <pt idx="90">
                  <v>0.06825855513307985</v>
                </pt>
                <pt idx="91">
                  <v>0.0675</v>
                </pt>
                <pt idx="92">
                  <v>0.068022375</v>
                </pt>
                <pt idx="93">
                  <v>0.06834366527777778</v>
                </pt>
                <pt idx="94">
                  <v>0.06974425925925926</v>
                </pt>
                <pt idx="95">
                  <v>0.06787312298387096</v>
                </pt>
                <pt idx="96">
                  <v>0.06761193548387097</v>
                </pt>
                <pt idx="97">
                  <v>0.0675</v>
                </pt>
                <pt idx="98">
                  <v>0.06755596774193548</v>
                </pt>
                <pt idx="99">
                  <v>0.068022375</v>
                </pt>
                <pt idx="100">
                  <v>0.066025</v>
                </pt>
                <pt idx="101">
                  <v>0.0675</v>
                </pt>
                <pt idx="102">
                  <v>0.06766790322580646</v>
                </pt>
                <pt idx="103">
                  <v>0.06772387096774193</v>
                </pt>
                <pt idx="104">
                  <v>0.06840161913937777</v>
                </pt>
                <pt idx="105">
                  <v>0.06964012396694215</v>
                </pt>
                <pt idx="106">
                  <v>0.06988004132231405</v>
                </pt>
                <pt idx="107">
                  <v>0.0701186605442177</v>
                </pt>
                <pt idx="108">
                  <v>0.07099999999999999</v>
                </pt>
                <pt idx="109">
                  <v>0.07059398163265307</v>
                </pt>
                <pt idx="110">
                  <v>0.07023198775510205</v>
                </pt>
                <pt idx="111">
                  <v>0.0701186605442177</v>
                </pt>
                <pt idx="112">
                  <v>0.07075133333333333</v>
                </pt>
                <pt idx="113">
                  <v>0.07099999999999999</v>
                </pt>
                <pt idx="114">
                  <v>0.070254</v>
                </pt>
                <pt idx="115">
                  <v>0.07099999999999999</v>
                </pt>
                <pt idx="116">
                  <v>0.07099999999999999</v>
                </pt>
                <pt idx="117">
                  <v>0.07000000000000001</v>
                </pt>
                <pt idx="118">
                  <v>0.06882060970771675</v>
                </pt>
                <pt idx="119">
                  <v>0.06899999848520094</v>
                </pt>
                <pt idx="120">
                  <v>0.06871748932968536</v>
                </pt>
                <pt idx="121">
                  <v>0.07000000000000001</v>
                </pt>
                <pt idx="122">
                  <v>0.06995000000000001</v>
                </pt>
                <pt idx="123">
                  <v>0.06995000000000001</v>
                </pt>
                <pt idx="124">
                  <v>0.07025000000000001</v>
                </pt>
                <pt idx="125">
                  <v>0.07137499999999999</v>
                </pt>
                <pt idx="126">
                  <v>0.07197822916666666</v>
                </pt>
                <pt idx="127">
                  <v>0.07191291666666667</v>
                </pt>
                <pt idx="128">
                  <v>0.07191291666666667</v>
                </pt>
                <pt idx="129">
                  <v>0.07251969999999999</v>
                </pt>
                <pt idx="130">
                  <v>0.07240894039735099</v>
                </pt>
                <pt idx="131">
                  <v>0.07221663976269316</v>
                </pt>
                <pt idx="132">
                  <v>0.07175453084203656</v>
                </pt>
                <pt idx="133">
                  <v>0.07106984334203655</v>
                </pt>
                <pt idx="134">
                  <v>0.07175453084203656</v>
                </pt>
                <pt idx="135">
                  <v>0.07099999999999999</v>
                </pt>
                <pt idx="136">
                  <v>0.07153900022478515</v>
                </pt>
                <pt idx="137">
                  <v>0.07058291262135923</v>
                </pt>
                <pt idx="138">
                  <v>0.07001381322957199</v>
                </pt>
                <pt idx="139">
                  <v>0.07006410894202518</v>
                </pt>
                <pt idx="140">
                  <v>0.07294233542319749</v>
                </pt>
                <pt idx="141">
                  <v>0.07043911744063633</v>
                </pt>
                <pt idx="142">
                  <v>0.07211328571428571</v>
                </pt>
                <pt idx="143">
                  <v>0.07095314285714287</v>
                </pt>
                <pt idx="144">
                  <v>0.07338467084639498</v>
                </pt>
                <pt idx="145">
                  <v>0.07377500000000001</v>
                </pt>
                <pt idx="146">
                  <v>0.07292499999999999</v>
                </pt>
                <pt idx="147">
                  <v>0.07482847785546336</v>
                </pt>
                <pt idx="148">
                  <v>0.075</v>
                </pt>
                <pt idx="149">
                  <v>0.0717</v>
                </pt>
                <pt idx="150">
                  <v>0.0731</v>
                </pt>
                <pt idx="151">
                  <v>0.07345</v>
                </pt>
                <pt idx="152">
                  <v>0.073175</v>
                </pt>
                <pt idx="153">
                  <v>0.076</v>
                </pt>
                <pt idx="154">
                  <v>0.075</v>
                </pt>
                <pt idx="155">
                  <v>0.07586560000000001</v>
                </pt>
                <pt idx="156">
                  <v>0.0759664</v>
                </pt>
                <pt idx="157">
                  <v>0.076</v>
                </pt>
                <pt idx="158">
                  <v>0.07618279999999999</v>
                </pt>
                <pt idx="159">
                  <v>0.075</v>
                </pt>
                <pt idx="160">
                  <v>0.0763414</v>
                </pt>
                <pt idx="161">
                  <v>0.07902348009109103</v>
                </pt>
                <pt idx="162">
                  <v>0.07892376300982304</v>
                </pt>
                <pt idx="163">
                  <v>0.07886449848969689</v>
                </pt>
                <pt idx="164">
                  <v>0.07760660967472893</v>
                </pt>
                <pt idx="165">
                  <v>0.07725</v>
                </pt>
                <pt idx="166">
                  <v>0.0753978705392678</v>
                </pt>
                <pt idx="167">
                  <v>0.07550837004405286</v>
                </pt>
                <pt idx="168">
                  <v>0.0753978705392678</v>
                </pt>
                <pt idx="169">
                  <v>0.07625053719875108</v>
                </pt>
                <pt idx="170">
                  <v>0.07600071626500143</v>
                </pt>
                <pt idx="171">
                  <v>0.077</v>
                </pt>
                <pt idx="172">
                  <v>0.078</v>
                </pt>
                <pt idx="173">
                  <v>0.07792643869891576</v>
                </pt>
                <pt idx="174">
                  <v>0.07745555268279122</v>
                </pt>
                <pt idx="175">
                  <v>0.07640637691686844</v>
                </pt>
                <pt idx="176">
                  <v>0.07698466666666667</v>
                </pt>
                <pt idx="177">
                  <v>0.07611723204196934</v>
                </pt>
                <pt idx="178">
                  <v>0.08</v>
                </pt>
                <pt idx="179">
                  <v>0.08032043767096522</v>
                </pt>
                <pt idx="180">
                  <v>0.07587106537530267</v>
                </pt>
                <pt idx="181">
                  <v>0.07571108757139269</v>
                </pt>
                <pt idx="182">
                  <v>0.07582808716707022</v>
                </pt>
                <pt idx="183">
                  <v>0.07587106537530267</v>
                </pt>
                <pt idx="184">
                  <v>0.07582808716707022</v>
                </pt>
                <pt idx="185">
                  <v>0.07579883726815084</v>
                </pt>
                <pt idx="186">
                  <v>0.07595702179176755</v>
                </pt>
                <pt idx="187">
                  <v>0.076</v>
                </pt>
                <pt idx="188">
                  <v>0.076</v>
                </pt>
                <pt idx="189">
                  <v>0.07578331567854452</v>
                </pt>
                <pt idx="190">
                  <v>0.07571108757139269</v>
                </pt>
                <pt idx="191">
                  <v>0.07517777189284817</v>
                </pt>
                <pt idx="192">
                  <v>0.07571108757139269</v>
                </pt>
                <pt idx="193">
                  <v>0.07553331567854452</v>
                </pt>
                <pt idx="194">
                  <v>0.07571108757139269</v>
                </pt>
                <pt idx="195">
                  <v>0.075</v>
                </pt>
                <pt idx="196">
                  <v>0.075</v>
                </pt>
                <pt idx="197">
                  <v>0.07121106101270455</v>
                </pt>
                <pt idx="198">
                  <v>0.07121106101270455</v>
                </pt>
                <pt idx="199">
                  <v>0.06848158808933003</v>
                </pt>
                <pt idx="200">
                  <v>0.0702527801999026</v>
                </pt>
                <pt idx="201">
                  <v>0.07157894445531565</v>
                </pt>
                <pt idx="202">
                  <v>0.071027119291399</v>
                </pt>
                <pt idx="203">
                  <v>0.06912294290023702</v>
                </pt>
                <pt idx="204">
                  <v>0.06857066071428572</v>
                </pt>
                <pt idx="205">
                  <v>0.06912031113984055</v>
                </pt>
                <pt idx="206">
                  <v>0.06740383044554454</v>
                </pt>
                <pt idx="207">
                  <v>0.06724838696369637</v>
                </pt>
                <pt idx="208">
                  <v>0.066374375</v>
                </pt>
                <pt idx="209">
                  <v>0.06618666666666667</v>
                </pt>
                <pt idx="210">
                  <v>0.06615729166666667</v>
                </pt>
                <pt idx="211">
                  <v>0.066176875</v>
                </pt>
                <pt idx="212">
                  <v>0.06608542934782609</v>
                </pt>
                <pt idx="213">
                  <v>0.06606473913043479</v>
                </pt>
                <pt idx="214">
                  <v>0.065</v>
                </pt>
                <pt idx="215">
                  <v>0.06528013442038914</v>
                </pt>
                <pt idx="216">
                  <v>0.06478221043526547</v>
                </pt>
                <pt idx="217">
                  <v>0.06483338570543762</v>
                </pt>
                <pt idx="218">
                  <v>0.06488456097560975</v>
                </pt>
                <pt idx="219">
                  <v>0.06314094083393026</v>
                </pt>
                <pt idx="220">
                  <v>0.06109961578947368</v>
                </pt>
                <pt idx="221">
                  <v>0.06134127875939849</v>
                </pt>
                <pt idx="222">
                  <v>0.06134127875939849</v>
                </pt>
                <pt idx="223">
                  <v>0.06159248175113133</v>
                </pt>
                <pt idx="224">
                  <v>0.06171450381126359</v>
                </pt>
                <pt idx="225">
                  <v>0.06223159557201747</v>
                </pt>
                <pt idx="226">
                  <v>0.063</v>
                </pt>
                <pt idx="227">
                  <v>0.063</v>
                </pt>
                <pt idx="228">
                  <v>0.063</v>
                </pt>
                <pt idx="229">
                  <v>0.063</v>
                </pt>
                <pt idx="230">
                  <v>0.063</v>
                </pt>
                <pt idx="231">
                  <v>0.0637815076923077</v>
                </pt>
                <pt idx="232">
                  <v>0.06658360975609756</v>
                </pt>
                <pt idx="233">
                  <v>0.06579180487804878</v>
                </pt>
                <pt idx="234">
                  <v>0.06658360975609756</v>
                </pt>
                <pt idx="235">
                  <v>0.06579180487804878</v>
                </pt>
                <pt idx="236">
                  <v>0.07217194444444444</v>
                </pt>
                <pt idx="237">
                  <v>0.07207895833333333</v>
                </pt>
                <pt idx="238">
                  <v>0.07062037659717552</v>
                </pt>
                <pt idx="239">
                  <v>0.07299196425120773</v>
                </pt>
                <pt idx="240">
                  <v>0.07319810209822655</v>
                </pt>
                <pt idx="241">
                  <v>0.07340423994524536</v>
                </pt>
                <pt idx="242">
                  <v>0.0726939731884058</v>
                </pt>
                <pt idx="243">
                  <v>0.07381651563928301</v>
                </pt>
                <pt idx="244">
                  <v>0.0726939731884058</v>
                </pt>
                <pt idx="245">
                  <v>0.07239598212560386</v>
                </pt>
                <pt idx="246">
                  <v>0.0726939731884058</v>
                </pt>
                <pt idx="247">
                  <v>0.07239598212560386</v>
                </pt>
                <pt idx="248">
                  <v>0.07319810209822655</v>
                </pt>
                <pt idx="249">
                  <v>0.07461238672946226</v>
                </pt>
                <pt idx="250">
                  <v>0.07265813806295776</v>
                </pt>
                <pt idx="251">
                  <v>0.07219662353347667</v>
                </pt>
                <pt idx="252">
                  <v>0.07000000000000001</v>
                </pt>
                <pt idx="253">
                  <v>0.07525</v>
                </pt>
                <pt idx="254">
                  <v>0.07704027777777778</v>
                </pt>
                <pt idx="255">
                  <v>0.07708055555555555</v>
                </pt>
                <pt idx="256">
                  <v>0.07716111111111111</v>
                </pt>
                <pt idx="257">
                  <v>0.07704027777777778</v>
                </pt>
                <pt idx="258">
                  <v>0.07731264857881137</v>
                </pt>
                <pt idx="259">
                  <v>0.07723687984496125</v>
                </pt>
                <pt idx="260">
                  <v>0.07554027777777778</v>
                </pt>
                <pt idx="261">
                  <v>0.075</v>
                </pt>
                <pt idx="262">
                  <v>0.07809813953488373</v>
                </pt>
                <pt idx="263">
                  <v>0.0793660465116279</v>
                </pt>
                <pt idx="264">
                  <v>0.08499999999999999</v>
                </pt>
                <pt idx="265">
                  <v>0.08037914467050167</v>
                </pt>
                <pt idx="266">
                  <v>0.08037914467050167</v>
                </pt>
                <pt idx="267">
                  <v>0.08075828934100335</v>
                </pt>
                <pt idx="268">
                  <v>0.0803582430686674</v>
                </pt>
                <pt idx="269">
                  <v>0.08111653240967073</v>
                </pt>
                <pt idx="270">
                  <v>0.08053736460300109</v>
                </pt>
                <pt idx="271">
                  <v>0.08151657868200669</v>
                </pt>
                <pt idx="272">
                  <v>0.08753322368421053</v>
                </pt>
                <pt idx="273">
                  <v>0.08880723913070013</v>
                </pt>
                <pt idx="274">
                  <v>0.08880723913070013</v>
                </pt>
                <pt idx="275">
                  <v>0.08923191094619666</v>
                </pt>
                <pt idx="276">
                  <v>0.08880723913070013</v>
                </pt>
                <pt idx="277">
                  <v>0.09215</v>
                </pt>
                <pt idx="278">
                  <v>0.0912</v>
                </pt>
                <pt idx="279">
                  <v>0.09254999999999999</v>
                </pt>
                <pt idx="280">
                  <v>0.09307491947715096</v>
                </pt>
                <pt idx="281">
                  <v>0.09314983895430191</v>
                </pt>
                <pt idx="282">
                  <v>0.09314983895430191</v>
                </pt>
                <pt idx="283">
                  <v>0.0912</v>
                </pt>
                <pt idx="284">
                  <v>0.08923191094619666</v>
                </pt>
                <pt idx="285">
                  <v>0.08871745524017467</v>
                </pt>
                <pt idx="286">
                  <v>0.09</v>
                </pt>
                <pt idx="287">
                  <v>0.08577848583792289</v>
                </pt>
                <pt idx="288">
                  <v>0.08624722875688434</v>
                </pt>
                <pt idx="289">
                  <v>0.08599999999999999</v>
                </pt>
                <pt idx="290">
                  <v>0.08617899291896144</v>
                </pt>
                <pt idx="291">
                  <v>0.0854205</v>
                </pt>
                <pt idx="292">
                  <v>0.084841</v>
                </pt>
                <pt idx="293">
                  <v>0.08474196572228571</v>
                </pt>
                <pt idx="294">
                  <v>0.084841</v>
                </pt>
                <pt idx="295">
                  <v>0.08561121572228569</v>
                </pt>
                <pt idx="296">
                  <v>0.08629999999999999</v>
                </pt>
                <pt idx="297">
                  <v>0.08629999999999999</v>
                </pt>
                <pt idx="298">
                  <v>0.08522243144457141</v>
                </pt>
                <pt idx="299">
                  <v>0.08561121572228569</v>
                </pt>
                <pt idx="300">
                  <v>0.08561121572228569</v>
                </pt>
              </numCache>
            </numRef>
          </val>
          <smooth val="0"/>
        </ser>
        <ser>
          <idx val="3"/>
          <order val="3"/>
          <tx>
            <strRef>
              <f>'All Charts'!$L$2</f>
              <strCache>
                <ptCount val="1"/>
                <pt idx="0">
                  <v>Average Cap Rate (ttm)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3"/>
            <spPr>
              <a:solidFill xmlns:a="http://schemas.openxmlformats.org/drawingml/2006/main">
                <a:srgbClr val="62B5E5"/>
              </a:solidFill>
              <a:ln xmlns:a="http://schemas.openxmlformats.org/drawingml/2006/main" w="31750">
                <a:noFill/>
                <a:prstDash val="solid"/>
                <a:miter lim="800000"/>
              </a:ln>
            </spPr>
          </marker>
          <cat>
            <strRef>
              <f>'All Charts'!$B$6:$B$306</f>
              <strCache>
                <ptCount val="30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</strCache>
            </strRef>
          </cat>
          <val>
            <numRef>
              <f>'All Charts'!$L$6:$L$306</f>
              <numCache>
                <formatCode>0.00%</formatCode>
                <ptCount val="301"/>
                <pt idx="0">
                  <v>0.07963243764761611</v>
                </pt>
                <pt idx="1">
                  <v>0.07914012451228919</v>
                </pt>
                <pt idx="2">
                  <v>0.07853422407331198</v>
                </pt>
                <pt idx="3">
                  <v>0.07792455003075016</v>
                </pt>
                <pt idx="4">
                  <v>0.07825699740552627</v>
                </pt>
                <pt idx="5">
                  <v>0.07787431263764497</v>
                </pt>
                <pt idx="6">
                  <v>0.07710577519821682</v>
                </pt>
                <pt idx="7">
                  <v>0.07605548485648066</v>
                </pt>
                <pt idx="8">
                  <v>0.07621215225185558</v>
                </pt>
                <pt idx="9">
                  <v>0.07781049750079454</v>
                </pt>
                <pt idx="10">
                  <v>0.07878310466473215</v>
                </pt>
                <pt idx="11">
                  <v>0.07728535990241998</v>
                </pt>
                <pt idx="12">
                  <v>0.07737837254893547</v>
                </pt>
                <pt idx="13">
                  <v>0.07781749048067148</v>
                </pt>
                <pt idx="14">
                  <v>0.07834219292118855</v>
                </pt>
                <pt idx="15">
                  <v>0.07768642694545207</v>
                </pt>
                <pt idx="16">
                  <v>0.07753256607878796</v>
                </pt>
                <pt idx="17">
                  <v>0.07813908904891008</v>
                </pt>
                <pt idx="18">
                  <v>0.07839024143218373</v>
                </pt>
                <pt idx="19">
                  <v>0.07868646026601565</v>
                </pt>
                <pt idx="20">
                  <v>0.07810157240027849</v>
                </pt>
                <pt idx="21">
                  <v>0.07641894725608667</v>
                </pt>
                <pt idx="22">
                  <v>0.07486290313567324</v>
                </pt>
                <pt idx="23">
                  <v>0.07441415372740476</v>
                </pt>
                <pt idx="24">
                  <v>0.07440967691456218</v>
                </pt>
                <pt idx="25">
                  <v>0.07424571544779637</v>
                </pt>
                <pt idx="26">
                  <v>0.07405539852861889</v>
                </pt>
                <pt idx="27">
                  <v>0.07379954811633249</v>
                </pt>
                <pt idx="28">
                  <v>0.07275666225689036</v>
                </pt>
                <pt idx="29">
                  <v>0.07231614607996051</v>
                </pt>
                <pt idx="30">
                  <v>0.0721180514088082</v>
                </pt>
                <pt idx="31">
                  <v>0.07181307303837918</v>
                </pt>
                <pt idx="32">
                  <v>0.07196095676072101</v>
                </pt>
                <pt idx="33">
                  <v>0.0722692934656652</v>
                </pt>
                <pt idx="34">
                  <v>0.0728707532696838</v>
                </pt>
                <pt idx="35">
                  <v>0.07368850785144208</v>
                </pt>
                <pt idx="36">
                  <v>0.07371596664733641</v>
                </pt>
                <pt idx="37">
                  <v>0.07355910014415848</v>
                </pt>
                <pt idx="38">
                  <v>0.07352990118927741</v>
                </pt>
                <pt idx="39">
                  <v>0.07377932889382741</v>
                </pt>
                <pt idx="40">
                  <v>0.07411361222635118</v>
                </pt>
                <pt idx="41">
                  <v>0.07440249560230761</v>
                </pt>
                <pt idx="42">
                  <v>0.07496165332625061</v>
                </pt>
                <pt idx="43">
                  <v>0.07480936379444533</v>
                </pt>
                <pt idx="44">
                  <v>0.07448299180266044</v>
                </pt>
                <pt idx="45">
                  <v>0.0748219582905385</v>
                </pt>
                <pt idx="46">
                  <v>0.07483210428926058</v>
                </pt>
                <pt idx="47">
                  <v>0.07526011048377414</v>
                </pt>
                <pt idx="48">
                  <v>0.07527575214719538</v>
                </pt>
                <pt idx="49">
                  <v>0.07531091099412784</v>
                </pt>
                <pt idx="50">
                  <v>0.07557119351363627</v>
                </pt>
                <pt idx="51">
                  <v>0.07567621400756849</v>
                </pt>
                <pt idx="52">
                  <v>0.07747067142225708</v>
                </pt>
                <pt idx="53">
                  <v>0.07738172790547349</v>
                </pt>
                <pt idx="54">
                  <v>0.07729137152709889</v>
                </pt>
                <pt idx="55">
                  <v>0.07734969848229223</v>
                </pt>
                <pt idx="56">
                  <v>0.07749971003511846</v>
                </pt>
                <pt idx="57">
                  <v>0.07707081128478026</v>
                </pt>
                <pt idx="58">
                  <v>0.07660682293061062</v>
                </pt>
                <pt idx="59">
                  <v>0.0768387699844293</v>
                </pt>
                <pt idx="60">
                  <v>0.07740672305932308</v>
                </pt>
                <pt idx="61">
                  <v>0.0784771260890943</v>
                </pt>
                <pt idx="62">
                  <v>0.07854898463632418</v>
                </pt>
                <pt idx="63">
                  <v>0.08158953649213538</v>
                </pt>
                <pt idx="64">
                  <v>0.08248950052468666</v>
                </pt>
                <pt idx="65">
                  <v>0.08271377770227185</v>
                </pt>
                <pt idx="66">
                  <v>0.08245944630776893</v>
                </pt>
                <pt idx="67">
                  <v>0.08321158516254468</v>
                </pt>
                <pt idx="68">
                  <v>0.08405328303797445</v>
                </pt>
                <pt idx="69">
                  <v>0.08559222674757637</v>
                </pt>
                <pt idx="70">
                  <v>0.08547746440086515</v>
                </pt>
                <pt idx="71">
                  <v>0.08497108060473157</v>
                </pt>
                <pt idx="72">
                  <v>0.08484287368797441</v>
                </pt>
                <pt idx="73">
                  <v>0.084453554984946</v>
                </pt>
                <pt idx="74">
                  <v>0.0844446528814959</v>
                </pt>
                <pt idx="75">
                  <v>0.0815084225383135</v>
                </pt>
                <pt idx="76">
                  <v>0.08095068032200001</v>
                </pt>
                <pt idx="77">
                  <v>0.08069439373112959</v>
                </pt>
                <pt idx="78">
                  <v>0.08105951983578549</v>
                </pt>
                <pt idx="79">
                  <v>0.08147734420267448</v>
                </pt>
                <pt idx="80">
                  <v>0.08020320761376823</v>
                </pt>
                <pt idx="81">
                  <v>0.07804140826434093</v>
                </pt>
                <pt idx="82">
                  <v>0.07866441928667636</v>
                </pt>
                <pt idx="83">
                  <v>0.08039234297590137</v>
                </pt>
                <pt idx="84">
                  <v>0.08036554654483002</v>
                </pt>
                <pt idx="85">
                  <v>0.07973455808710446</v>
                </pt>
                <pt idx="86">
                  <v>0.0796306518784731</v>
                </pt>
                <pt idx="87">
                  <v>0.07958164641125849</v>
                </pt>
                <pt idx="88">
                  <v>0.07937696769968632</v>
                </pt>
                <pt idx="89">
                  <v>0.07918998477925185</v>
                </pt>
                <pt idx="90">
                  <v>0.07952322465324455</v>
                </pt>
                <pt idx="91">
                  <v>0.07804597238371423</v>
                </pt>
                <pt idx="92">
                  <v>0.07872277445660054</v>
                </pt>
                <pt idx="93">
                  <v>0.07971951262013506</v>
                </pt>
                <pt idx="94">
                  <v>0.0814734820867488</v>
                </pt>
                <pt idx="95">
                  <v>0.0802966240743862</v>
                </pt>
                <pt idx="96">
                  <v>0.08014957817243504</v>
                </pt>
                <pt idx="97">
                  <v>0.07969719980547395</v>
                </pt>
                <pt idx="98">
                  <v>0.07959785091340268</v>
                </pt>
                <pt idx="99">
                  <v>0.0799241004642767</v>
                </pt>
                <pt idx="100">
                  <v>0.07968604329206927</v>
                </pt>
                <pt idx="101">
                  <v>0.08068964926789583</v>
                </pt>
                <pt idx="102">
                  <v>0.08084958419195415</v>
                </pt>
                <pt idx="103">
                  <v>0.08107261198669632</v>
                </pt>
                <pt idx="104">
                  <v>0.08196162381576329</v>
                </pt>
                <pt idx="105">
                  <v>0.08271156930473106</v>
                </pt>
                <pt idx="106">
                  <v>0.08235371857685583</v>
                </pt>
                <pt idx="107">
                  <v>0.08268803932201968</v>
                </pt>
                <pt idx="108">
                  <v>0.08302732181811573</v>
                </pt>
                <pt idx="109">
                  <v>0.08259749598772789</v>
                </pt>
                <pt idx="110">
                  <v>0.08305258962681125</v>
                </pt>
                <pt idx="111">
                  <v>0.08287755571251887</v>
                </pt>
                <pt idx="112">
                  <v>0.08284514364848977</v>
                </pt>
                <pt idx="113">
                  <v>0.08301212314396464</v>
                </pt>
                <pt idx="114">
                  <v>0.08283620522202007</v>
                </pt>
                <pt idx="115">
                  <v>0.08364415203863371</v>
                </pt>
                <pt idx="116">
                  <v>0.08314849259913495</v>
                </pt>
                <pt idx="117">
                  <v>0.08208128385572483</v>
                </pt>
                <pt idx="118">
                  <v>0.07981438518662655</v>
                </pt>
                <pt idx="119">
                  <v>0.08012427052719934</v>
                </pt>
                <pt idx="120">
                  <v>0.07927527682383369</v>
                </pt>
                <pt idx="121">
                  <v>0.08094862112137283</v>
                </pt>
                <pt idx="122">
                  <v>0.08079321837080007</v>
                </pt>
                <pt idx="123">
                  <v>0.08084701773904306</v>
                </pt>
                <pt idx="124">
                  <v>0.08275005424066209</v>
                </pt>
                <pt idx="125">
                  <v>0.08365251468906269</v>
                </pt>
                <pt idx="126">
                  <v>0.08450390112198954</v>
                </pt>
                <pt idx="127">
                  <v>0.08359905263147775</v>
                </pt>
                <pt idx="128">
                  <v>0.08336882487404988</v>
                </pt>
                <pt idx="129">
                  <v>0.08379875135107301</v>
                </pt>
                <pt idx="130">
                  <v>0.08404291723996077</v>
                </pt>
                <pt idx="131">
                  <v>0.08402036349728102</v>
                </pt>
                <pt idx="132">
                  <v>0.08489684901932881</v>
                </pt>
                <pt idx="133">
                  <v>0.08546511053073846</v>
                </pt>
                <pt idx="134">
                  <v>0.08647747579810533</v>
                </pt>
                <pt idx="135">
                  <v>0.08634379244107171</v>
                </pt>
                <pt idx="136">
                  <v>0.08462901719745469</v>
                </pt>
                <pt idx="137">
                  <v>0.08285965458913559</v>
                </pt>
                <pt idx="138">
                  <v>0.08149653262259803</v>
                </pt>
                <pt idx="139">
                  <v>0.08158697121579685</v>
                </pt>
                <pt idx="140">
                  <v>0.08363014571579466</v>
                </pt>
                <pt idx="141">
                  <v>0.0820154082942445</v>
                </pt>
                <pt idx="142">
                  <v>0.08331351267668645</v>
                </pt>
                <pt idx="143">
                  <v>0.08298603754628051</v>
                </pt>
                <pt idx="144">
                  <v>0.08287479107554459</v>
                </pt>
                <pt idx="145">
                  <v>0.08243047520062978</v>
                </pt>
                <pt idx="146">
                  <v>0.08162172583806372</v>
                </pt>
                <pt idx="147">
                  <v>0.0822245856987306</v>
                </pt>
                <pt idx="148">
                  <v>0.08289322618300096</v>
                </pt>
                <pt idx="149">
                  <v>0.08185547630712448</v>
                </pt>
                <pt idx="150">
                  <v>0.08247427242204858</v>
                </pt>
                <pt idx="151">
                  <v>0.08280314225379848</v>
                </pt>
                <pt idx="152">
                  <v>0.08185661420529868</v>
                </pt>
                <pt idx="153">
                  <v>0.08311987279945811</v>
                </pt>
                <pt idx="154">
                  <v>0.08366197511524816</v>
                </pt>
                <pt idx="155">
                  <v>0.08363148526753987</v>
                </pt>
                <pt idx="156">
                  <v>0.08377691537038059</v>
                </pt>
                <pt idx="157">
                  <v>0.08355526460187826</v>
                </pt>
                <pt idx="158">
                  <v>0.08496007210083401</v>
                </pt>
                <pt idx="159">
                  <v>0.08486290760547091</v>
                </pt>
                <pt idx="160">
                  <v>0.08640148688613564</v>
                </pt>
                <pt idx="161">
                  <v>0.08711595676703841</v>
                </pt>
                <pt idx="162">
                  <v>0.08635020774769681</v>
                </pt>
                <pt idx="163">
                  <v>0.08702767191430978</v>
                </pt>
                <pt idx="164">
                  <v>0.08677663448350401</v>
                </pt>
                <pt idx="165">
                  <v>0.08708324116360264</v>
                </pt>
                <pt idx="166">
                  <v>0.08508433028782079</v>
                </pt>
                <pt idx="167">
                  <v>0.08576754347959319</v>
                </pt>
                <pt idx="168">
                  <v>0.08617663085994938</v>
                </pt>
                <pt idx="169">
                  <v>0.08642516783409775</v>
                </pt>
                <pt idx="170">
                  <v>0.08528323184210851</v>
                </pt>
                <pt idx="171">
                  <v>0.08578051014016783</v>
                </pt>
                <pt idx="172">
                  <v>0.08440477870482764</v>
                </pt>
                <pt idx="173">
                  <v>0.08491458111085036</v>
                </pt>
                <pt idx="174">
                  <v>0.08564746190423765</v>
                </pt>
                <pt idx="175">
                  <v>0.08516109402149395</v>
                </pt>
                <pt idx="176">
                  <v>0.08630667062012619</v>
                </pt>
                <pt idx="177">
                  <v>0.08570884887225479</v>
                </pt>
                <pt idx="178">
                  <v>0.08673661808956756</v>
                </pt>
                <pt idx="179">
                  <v>0.08604812854762561</v>
                </pt>
                <pt idx="180">
                  <v>0.08429183146667206</v>
                </pt>
                <pt idx="181">
                  <v>0.08394713278588775</v>
                </pt>
                <pt idx="182">
                  <v>0.08417013603577703</v>
                </pt>
                <pt idx="183">
                  <v>0.08298188305385998</v>
                </pt>
                <pt idx="184">
                  <v>0.08155833515683962</v>
                </pt>
                <pt idx="185">
                  <v>0.08141493245504129</v>
                </pt>
                <pt idx="186">
                  <v>0.0825653818816153</v>
                </pt>
                <pt idx="187">
                  <v>0.08226964311966788</v>
                </pt>
                <pt idx="188">
                  <v>0.08158164390109228</v>
                </pt>
                <pt idx="189">
                  <v>0.07980820037892059</v>
                </pt>
                <pt idx="190">
                  <v>0.0806414547965478</v>
                </pt>
                <pt idx="191">
                  <v>0.08030305951860725</v>
                </pt>
                <pt idx="192">
                  <v>0.08105118189935152</v>
                </pt>
                <pt idx="193">
                  <v>0.07942194147720723</v>
                </pt>
                <pt idx="194">
                  <v>0.07973559231881217</v>
                </pt>
                <pt idx="195">
                  <v>0.08166888499134368</v>
                </pt>
                <pt idx="196">
                  <v>0.08252019760745928</v>
                </pt>
                <pt idx="197">
                  <v>0.08136698235704176</v>
                </pt>
                <pt idx="198">
                  <v>0.08110637779542915</v>
                </pt>
                <pt idx="199">
                  <v>0.07984005272691143</v>
                </pt>
                <pt idx="200">
                  <v>0.08070084440443494</v>
                </pt>
                <pt idx="201">
                  <v>0.08178123548393833</v>
                </pt>
                <pt idx="202">
                  <v>0.08061471811680529</v>
                </pt>
                <pt idx="203">
                  <v>0.07954823166398821</v>
                </pt>
                <pt idx="204">
                  <v>0.07816649707672829</v>
                </pt>
                <pt idx="205">
                  <v>0.07926905066199232</v>
                </pt>
                <pt idx="206">
                  <v>0.07753226802928176</v>
                </pt>
                <pt idx="207">
                  <v>0.07562806208408517</v>
                </pt>
                <pt idx="208">
                  <v>0.07488272079578466</v>
                </pt>
                <pt idx="209">
                  <v>0.0749741809810045</v>
                </pt>
                <pt idx="210">
                  <v>0.07469108936344933</v>
                </pt>
                <pt idx="211">
                  <v>0.07476426850441076</v>
                </pt>
                <pt idx="212">
                  <v>0.0739983010245934</v>
                </pt>
                <pt idx="213">
                  <v>0.07391508245521641</v>
                </pt>
                <pt idx="214">
                  <v>0.07308070490736034</v>
                </pt>
                <pt idx="215">
                  <v>0.07325297169920075</v>
                </pt>
                <pt idx="216">
                  <v>0.07391104527511828</v>
                </pt>
                <pt idx="217">
                  <v>0.07172450068584831</v>
                </pt>
                <pt idx="218">
                  <v>0.07316187518058681</v>
                </pt>
                <pt idx="219">
                  <v>0.07201706557003475</v>
                </pt>
                <pt idx="220">
                  <v>0.07026136590316667</v>
                </pt>
                <pt idx="221">
                  <v>0.07100159606070575</v>
                </pt>
                <pt idx="222">
                  <v>0.07257594244101773</v>
                </pt>
                <pt idx="223">
                  <v>0.07327122514393671</v>
                </pt>
                <pt idx="224">
                  <v>0.07116339671841485</v>
                </pt>
                <pt idx="225">
                  <v>0.07165291828444749</v>
                </pt>
                <pt idx="226">
                  <v>0.07346173513705903</v>
                </pt>
                <pt idx="227">
                  <v>0.07290712567616442</v>
                </pt>
                <pt idx="228">
                  <v>0.07242344317905046</v>
                </pt>
                <pt idx="229">
                  <v>0.07319025286044301</v>
                </pt>
                <pt idx="230">
                  <v>0.07329497057890011</v>
                </pt>
                <pt idx="231">
                  <v>0.07417522271658224</v>
                </pt>
                <pt idx="232">
                  <v>0.07728735414063304</v>
                </pt>
                <pt idx="233">
                  <v>0.07773345113988497</v>
                </pt>
                <pt idx="234">
                  <v>0.0773392242077767</v>
                </pt>
                <pt idx="235">
                  <v>0.0772827976030793</v>
                </pt>
                <pt idx="236">
                  <v>0.07991081016503539</v>
                </pt>
                <pt idx="237">
                  <v>0.08010079491720186</v>
                </pt>
                <pt idx="238">
                  <v>0.08151463469389522</v>
                </pt>
                <pt idx="239">
                  <v>0.08304477392070606</v>
                </pt>
                <pt idx="240">
                  <v>0.08329733181709084</v>
                </pt>
                <pt idx="241">
                  <v>0.08346859714207708</v>
                </pt>
                <pt idx="242">
                  <v>0.08362852581306977</v>
                </pt>
                <pt idx="243">
                  <v>0.08515827301366044</v>
                </pt>
                <pt idx="244">
                  <v>0.08203155110759394</v>
                </pt>
                <pt idx="245">
                  <v>0.08133365451476689</v>
                </pt>
                <pt idx="246">
                  <v>0.08169814303584509</v>
                </pt>
                <pt idx="247">
                  <v>0.08322664301231412</v>
                </pt>
                <pt idx="248">
                  <v>0.08372873612945778</v>
                </pt>
                <pt idx="249">
                  <v>0.08607730306483707</v>
                </pt>
                <pt idx="250">
                  <v>0.08315790647248678</v>
                </pt>
                <pt idx="251">
                  <v>0.0829622799457426</v>
                </pt>
                <pt idx="252">
                  <v>0.08360021681198143</v>
                </pt>
                <pt idx="253">
                  <v>0.08513068172810304</v>
                </pt>
                <pt idx="254">
                  <v>0.08542297969789225</v>
                </pt>
                <pt idx="255">
                  <v>0.08619018957789888</v>
                </pt>
                <pt idx="256">
                  <v>0.08713236576225877</v>
                </pt>
                <pt idx="257">
                  <v>0.08658089459124702</v>
                </pt>
                <pt idx="258">
                  <v>0.08743430362317457</v>
                </pt>
                <pt idx="259">
                  <v>0.08663976934858029</v>
                </pt>
                <pt idx="260">
                  <v>0.08676040102235981</v>
                </pt>
                <pt idx="261">
                  <v>0.08655818851693106</v>
                </pt>
                <pt idx="262">
                  <v>0.08952529358738244</v>
                </pt>
                <pt idx="263">
                  <v>0.09034055666107664</v>
                </pt>
                <pt idx="264">
                  <v>0.09170599724565059</v>
                </pt>
                <pt idx="265">
                  <v>0.09014003208838844</v>
                </pt>
                <pt idx="266">
                  <v>0.09014003208838844</v>
                </pt>
                <pt idx="267">
                  <v>0.09010609841353601</v>
                </pt>
                <pt idx="268">
                  <v>0.08986029380640642</v>
                </pt>
                <pt idx="269">
                  <v>0.09170239906956433</v>
                </pt>
                <pt idx="270">
                  <v>0.09182101749975879</v>
                </pt>
                <pt idx="271">
                  <v>0.09548613461870674</v>
                </pt>
                <pt idx="272">
                  <v>0.09685221357365319</v>
                </pt>
                <pt idx="273">
                  <v>0.09696274408341654</v>
                </pt>
                <pt idx="274">
                  <v>0.09696274408341654</v>
                </pt>
                <pt idx="275">
                  <v>0.09757063309225698</v>
                </pt>
                <pt idx="276">
                  <v>0.09764013288779579</v>
                </pt>
                <pt idx="277">
                  <v>0.1000518248230518</v>
                </pt>
                <pt idx="278">
                  <v>0.09818166767243115</v>
                </pt>
                <pt idx="279">
                  <v>0.09973081817169492</v>
                </pt>
                <pt idx="280">
                  <v>0.1005855213753733</v>
                </pt>
                <pt idx="281">
                  <v>0.1029778697015922</v>
                </pt>
                <pt idx="282">
                  <v>0.1029778697015922</v>
                </pt>
                <pt idx="283">
                  <v>0.1004737820004469</v>
                </pt>
                <pt idx="284">
                  <v>0.09646599912915262</v>
                </pt>
                <pt idx="285">
                  <v>0.09706883981106562</v>
                </pt>
                <pt idx="286">
                  <v>0.09652508290252212</v>
                </pt>
                <pt idx="287">
                  <v>0.09444448577511638</v>
                </pt>
                <pt idx="288">
                  <v>0.09439680172950025</v>
                </pt>
                <pt idx="289">
                  <v>0.09375089390415409</v>
                </pt>
                <pt idx="290">
                  <v>0.09503988178453993</v>
                </pt>
                <pt idx="291">
                  <v>0.09008171071321812</v>
                </pt>
                <pt idx="292">
                  <v>0.08978028313342631</v>
                </pt>
                <pt idx="293">
                  <v>0.08687185626043549</v>
                </pt>
                <pt idx="294">
                  <v>0.08685094424040199</v>
                </pt>
                <pt idx="295">
                  <v>0.08701843959376883</v>
                </pt>
                <pt idx="296">
                  <v>0.08952931385927744</v>
                </pt>
                <pt idx="297">
                  <v>0.08952931385927744</v>
                </pt>
                <pt idx="298">
                  <v>0.08863956530995444</v>
                </pt>
                <pt idx="299">
                  <v>0.09489825991831101</v>
                </pt>
                <pt idx="300">
                  <v>0.09527293826527615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12700" cap="flat" cmpd="sng" algn="ctr">
              <a:solidFill>
                <a:srgbClr val="003DA5"/>
              </a:solidFill>
              <a:prstDash val="solid"/>
              <a:round/>
            </a:ln>
          </spPr>
        </hiLowLines>
        <axId val="478263704"/>
        <axId val="478253208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478263704"/>
        <scaling>
          <orientation val="maxMin"/>
        </scaling>
        <delete val="1"/>
        <axPos val="t"/>
        <numFmt formatCode="General" sourceLinked="1"/>
        <majorTickMark val="out"/>
        <minorTickMark val="none"/>
        <tickLblPos val="nextTo"/>
        <crossAx val="478253208"/>
        <crosses val="max"/>
        <lblOffset val="100"/>
        <baseTimeUnit val="days"/>
      </dateAx>
      <valAx>
        <axId val="478253208"/>
        <scaling>
          <orientation val="minMax"/>
          <max val="0.115"/>
          <min val="0.05500000000000001"/>
        </scaling>
        <delete val="0"/>
        <axPos val="l"/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78263704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786687154055492"/>
          <y val="0.9245824233802836"/>
          <w val="0.6426624082161795"/>
          <h val="0.05847335224578241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78161445415653"/>
          <y val="0.04678360223020814"/>
          <w val="0.928958679476992"/>
          <h val="0.8016608810995399"/>
        </manualLayout>
      </layout>
      <barChart>
        <barDir val="col"/>
        <grouping val="percentStacked"/>
        <varyColors val="0"/>
        <ser>
          <idx val="0"/>
          <order val="0"/>
          <tx>
            <strRef>
              <f>'All Charts'!$BW$159</f>
              <strCache>
                <ptCount val="1"/>
                <pt idx="0">
                  <v>Private Volume (ttm)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Charts'!$BZ$158:$CJ$158</f>
              <strCache>
                <ptCount val="11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  <pt idx="5">
                  <v>2021</v>
                </pt>
                <pt idx="6">
                  <v>2022</v>
                </pt>
                <pt idx="7">
                  <v>2023</v>
                </pt>
                <pt idx="8">
                  <v>2024</v>
                </pt>
                <pt idx="9">
                  <v>2025 (YTD)</v>
                </pt>
                <pt idx="10">
                  <v>5-Year Avg</v>
                </pt>
              </strCache>
            </strRef>
          </cat>
          <val>
            <numRef>
              <f>'All Charts'!$BZ$159:$CJ$159</f>
              <numCache>
                <formatCode>0%</formatCode>
                <ptCount val="11"/>
                <pt idx="0">
                  <v>0.4688459098144335</v>
                </pt>
                <pt idx="1">
                  <v>0.422066993353337</v>
                </pt>
                <pt idx="2">
                  <v>0.5984599026769201</v>
                </pt>
                <pt idx="3">
                  <v>0.7364130925210186</v>
                </pt>
                <pt idx="4">
                  <v>0.7014364796387945</v>
                </pt>
                <pt idx="5">
                  <v>0.7682270752176978</v>
                </pt>
                <pt idx="6">
                  <v>0.7045661825423589</v>
                </pt>
                <pt idx="7">
                  <v>0.810086589188419</v>
                </pt>
                <pt idx="8">
                  <v>0.5907289484783339</v>
                </pt>
                <pt idx="9">
                  <v>0.331179392707765</v>
                </pt>
                <pt idx="10">
                  <v>0.729859745706594</v>
                </pt>
              </numCache>
            </numRef>
          </val>
        </ser>
        <ser>
          <idx val="1"/>
          <order val="1"/>
          <tx>
            <strRef>
              <f>'All Charts'!$BW$160</f>
              <strCache>
                <ptCount val="1"/>
                <pt idx="0">
                  <v>Public Listed/REIT Volume (ttm)</v>
                </pt>
              </strCache>
            </strRef>
          </tx>
          <spPr>
            <a:solidFill xmlns:a="http://schemas.openxmlformats.org/drawingml/2006/main">
              <a:srgbClr val="265AB2"/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Charts'!$BZ$158:$CJ$158</f>
              <strCache>
                <ptCount val="11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  <pt idx="5">
                  <v>2021</v>
                </pt>
                <pt idx="6">
                  <v>2022</v>
                </pt>
                <pt idx="7">
                  <v>2023</v>
                </pt>
                <pt idx="8">
                  <v>2024</v>
                </pt>
                <pt idx="9">
                  <v>2025 (YTD)</v>
                </pt>
                <pt idx="10">
                  <v>5-Year Avg</v>
                </pt>
              </strCache>
            </strRef>
          </cat>
          <val>
            <numRef>
              <f>'All Charts'!$BZ$160:$CJ$160</f>
              <numCache>
                <formatCode>0%</formatCode>
                <ptCount val="11"/>
                <pt idx="0">
                  <v>0.1444335510199237</v>
                </pt>
                <pt idx="1">
                  <v>0.1985013619064948</v>
                </pt>
                <pt idx="2">
                  <v>0.2321470671695741</v>
                </pt>
                <pt idx="3">
                  <v>0.05017102629091527</v>
                </pt>
                <pt idx="4">
                  <v>0.07994166910598766</v>
                </pt>
                <pt idx="5">
                  <v>0.1473368258440699</v>
                </pt>
                <pt idx="6">
                  <v>0.1119849487388039</v>
                </pt>
                <pt idx="7">
                  <v>0.189913410811581</v>
                </pt>
                <pt idx="8">
                  <v>0.3926576926123532</v>
                </pt>
                <pt idx="9">
                  <v>0.6622837349241881</v>
                </pt>
                <pt idx="10">
                  <v>0.1306539492208896</v>
                </pt>
              </numCache>
            </numRef>
          </val>
        </ser>
        <ser>
          <idx val="2"/>
          <order val="2"/>
          <tx>
            <strRef>
              <f>'All Charts'!$BW$161</f>
              <strCache>
                <ptCount val="1"/>
                <pt idx="0">
                  <v>Cross-Border Volume (ttm)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prstDash val="solid"/>
            </a:ln>
          </spPr>
          <invertIfNegative val="0"/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</dLbl>
            <dLbl>
              <idx val="8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Charts'!$BZ$158:$CJ$158</f>
              <strCache>
                <ptCount val="11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  <pt idx="5">
                  <v>2021</v>
                </pt>
                <pt idx="6">
                  <v>2022</v>
                </pt>
                <pt idx="7">
                  <v>2023</v>
                </pt>
                <pt idx="8">
                  <v>2024</v>
                </pt>
                <pt idx="9">
                  <v>2025 (YTD)</v>
                </pt>
                <pt idx="10">
                  <v>5-Year Avg</v>
                </pt>
              </strCache>
            </strRef>
          </cat>
          <val>
            <numRef>
              <f>'All Charts'!$BZ$161:$CJ$161</f>
              <numCache>
                <formatCode>0%</formatCode>
                <ptCount val="11"/>
                <pt idx="0">
                  <v>0.1130926452856454</v>
                </pt>
                <pt idx="1">
                  <v>0.290981262842461</v>
                </pt>
                <pt idx="2">
                  <v>0.04387930316520836</v>
                </pt>
                <pt idx="3">
                  <v>0.008187097886046844</v>
                </pt>
                <pt idx="4">
                  <v>0.06649820232316601</v>
                </pt>
                <pt idx="5">
                  <v>0.007711363687739597</v>
                </pt>
                <pt idx="6">
                  <v>0.1387443808262909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0.06148419643199794</v>
                </pt>
              </numCache>
            </numRef>
          </val>
        </ser>
        <ser>
          <idx val="3"/>
          <order val="3"/>
          <tx>
            <strRef>
              <f>'All Charts'!$BW$162</f>
              <strCache>
                <ptCount val="1"/>
                <pt idx="0">
                  <v>Institutional Volume (ttm)</v>
                </pt>
              </strCache>
            </strRef>
          </tx>
          <spPr>
            <a:solidFill xmlns:a="http://schemas.openxmlformats.org/drawingml/2006/main">
              <a:srgbClr val="B1DAF2"/>
            </a:solidFill>
            <a:ln xmlns:a="http://schemas.openxmlformats.org/drawingml/2006/main">
              <a:prstDash val="solid"/>
            </a:ln>
          </spPr>
          <invertIfNegative val="0"/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Charts'!$BZ$158:$CJ$158</f>
              <strCache>
                <ptCount val="11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  <pt idx="5">
                  <v>2021</v>
                </pt>
                <pt idx="6">
                  <v>2022</v>
                </pt>
                <pt idx="7">
                  <v>2023</v>
                </pt>
                <pt idx="8">
                  <v>2024</v>
                </pt>
                <pt idx="9">
                  <v>2025 (YTD)</v>
                </pt>
                <pt idx="10">
                  <v>5-Year Avg</v>
                </pt>
              </strCache>
            </strRef>
          </cat>
          <val>
            <numRef>
              <f>'All Charts'!$BZ$162:$CJ$162</f>
              <numCache>
                <formatCode>0%</formatCode>
                <ptCount val="11"/>
                <pt idx="0">
                  <v>0.2736278938799974</v>
                </pt>
                <pt idx="1">
                  <v>0.08845038189770722</v>
                </pt>
                <pt idx="2">
                  <v>0.1255137269882975</v>
                </pt>
                <pt idx="3">
                  <v>0.2052287833020193</v>
                </pt>
                <pt idx="4">
                  <v>0.1521236489320518</v>
                </pt>
                <pt idx="5">
                  <v>0.07672473525049267</v>
                </pt>
                <pt idx="6">
                  <v>0.04470448789254623</v>
                </pt>
                <pt idx="7">
                  <v>0</v>
                </pt>
                <pt idx="8">
                  <v>0.01661335890931294</v>
                </pt>
                <pt idx="9">
                  <v>0.006536872368046784</v>
                </pt>
                <pt idx="10">
                  <v>0.07800210864051846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35"/>
        <overlap val="100"/>
        <axId val="204756096"/>
        <axId val="204757632"/>
      </barChart>
      <catAx>
        <axId val="204756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204757632"/>
        <crosses val="autoZero"/>
        <auto val="1"/>
        <lblAlgn val="ctr"/>
        <lblOffset val="100"/>
        <noMultiLvlLbl val="0"/>
      </catAx>
      <valAx>
        <axId val="204757632"/>
        <scaling>
          <orientation val="minMax"/>
        </scaling>
        <delete val="1"/>
        <axPos val="l"/>
        <numFmt formatCode="0%" sourceLinked="1"/>
        <majorTickMark val="out"/>
        <minorTickMark val="none"/>
        <tickLblPos val="nextTo"/>
        <crossAx val="204756096"/>
        <crosses val="autoZero"/>
        <crossBetween val="between"/>
        <majorUnit val="0.2"/>
      </valAx>
    </plotArea>
    <legend>
      <legendPos val="b"/>
      <layout>
        <manualLayout>
          <xMode val="edge"/>
          <yMode val="edge"/>
          <wMode val="factor"/>
          <hMode val="factor"/>
          <x val="0.1205035354722451"/>
          <y val="0.9106880598794045"/>
          <w val="0.7581976110262336"/>
          <h val="0.07145989784695937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>
              <a:solidFill>
                <a:srgbClr val="666666"/>
              </a:solidFill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463337555211551"/>
          <y val="0.02345557417239559"/>
          <w val="0.916173615735844"/>
          <h val="0.6486402741324001"/>
        </manualLayout>
      </layout>
      <barChart>
        <barDir val="col"/>
        <grouping val="stacked"/>
        <varyColors val="0"/>
        <ser>
          <idx val="0"/>
          <order val="0"/>
          <tx>
            <strRef>
              <f>'All Charts'!$AN$2</f>
              <strCache>
                <ptCount val="1"/>
                <pt idx="0">
                  <v>First Generation Lease Commencements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Charts'!$AN$6:$AN$150</f>
              <numCache>
                <formatCode>#,##0_);[Red]\(#,##0\)</formatCode>
                <ptCount val="145"/>
                <pt idx="0">
                  <v>61</v>
                </pt>
                <pt idx="1">
                  <v>62</v>
                </pt>
                <pt idx="2">
                  <v>65</v>
                </pt>
                <pt idx="3">
                  <v>70</v>
                </pt>
                <pt idx="4">
                  <v>73</v>
                </pt>
                <pt idx="5">
                  <v>75</v>
                </pt>
                <pt idx="6">
                  <v>85</v>
                </pt>
                <pt idx="7">
                  <v>81</v>
                </pt>
                <pt idx="8">
                  <v>96</v>
                </pt>
                <pt idx="9">
                  <v>93</v>
                </pt>
                <pt idx="10">
                  <v>101</v>
                </pt>
                <pt idx="11">
                  <v>102</v>
                </pt>
                <pt idx="12">
                  <v>103</v>
                </pt>
                <pt idx="13">
                  <v>106</v>
                </pt>
                <pt idx="14">
                  <v>103</v>
                </pt>
                <pt idx="15">
                  <v>102</v>
                </pt>
                <pt idx="16">
                  <v>97</v>
                </pt>
                <pt idx="17">
                  <v>97</v>
                </pt>
                <pt idx="18">
                  <v>93</v>
                </pt>
                <pt idx="19">
                  <v>100</v>
                </pt>
                <pt idx="20">
                  <v>93</v>
                </pt>
                <pt idx="21">
                  <v>94</v>
                </pt>
                <pt idx="22">
                  <v>91</v>
                </pt>
                <pt idx="23">
                  <v>93</v>
                </pt>
                <pt idx="24">
                  <v>96</v>
                </pt>
                <pt idx="25">
                  <v>95</v>
                </pt>
                <pt idx="26">
                  <v>96</v>
                </pt>
                <pt idx="27">
                  <v>100</v>
                </pt>
                <pt idx="28">
                  <v>103</v>
                </pt>
                <pt idx="29">
                  <v>107</v>
                </pt>
                <pt idx="30">
                  <v>104</v>
                </pt>
                <pt idx="31">
                  <v>102</v>
                </pt>
                <pt idx="32">
                  <v>104</v>
                </pt>
                <pt idx="33">
                  <v>104</v>
                </pt>
                <pt idx="34">
                  <v>103</v>
                </pt>
                <pt idx="35">
                  <v>97</v>
                </pt>
                <pt idx="36">
                  <v>91</v>
                </pt>
                <pt idx="37">
                  <v>90</v>
                </pt>
                <pt idx="38">
                  <v>90</v>
                </pt>
                <pt idx="39">
                  <v>81</v>
                </pt>
                <pt idx="40">
                  <v>81</v>
                </pt>
                <pt idx="41">
                  <v>79</v>
                </pt>
                <pt idx="42">
                  <v>82</v>
                </pt>
                <pt idx="43">
                  <v>85</v>
                </pt>
                <pt idx="44">
                  <v>88</v>
                </pt>
                <pt idx="45">
                  <v>88</v>
                </pt>
                <pt idx="46">
                  <v>82</v>
                </pt>
                <pt idx="47">
                  <v>83</v>
                </pt>
                <pt idx="48">
                  <v>82</v>
                </pt>
                <pt idx="49">
                  <v>83</v>
                </pt>
                <pt idx="50">
                  <v>78</v>
                </pt>
                <pt idx="51">
                  <v>76</v>
                </pt>
                <pt idx="52">
                  <v>76</v>
                </pt>
                <pt idx="53">
                  <v>72</v>
                </pt>
                <pt idx="54">
                  <v>80</v>
                </pt>
                <pt idx="55">
                  <v>85</v>
                </pt>
                <pt idx="56">
                  <v>130</v>
                </pt>
                <pt idx="57">
                  <v>162</v>
                </pt>
                <pt idx="58">
                  <v>253</v>
                </pt>
                <pt idx="59">
                  <v>261</v>
                </pt>
                <pt idx="60">
                  <v>266</v>
                </pt>
                <pt idx="61">
                  <v>265</v>
                </pt>
                <pt idx="62">
                  <v>278</v>
                </pt>
                <pt idx="63">
                  <v>303</v>
                </pt>
                <pt idx="64">
                  <v>299</v>
                </pt>
                <pt idx="65">
                  <v>299</v>
                </pt>
                <pt idx="66">
                  <v>296</v>
                </pt>
                <pt idx="67">
                  <v>285</v>
                </pt>
                <pt idx="68">
                  <v>233</v>
                </pt>
                <pt idx="69">
                  <v>200</v>
                </pt>
                <pt idx="70">
                  <v>117</v>
                </pt>
                <pt idx="71">
                  <v>110</v>
                </pt>
                <pt idx="72">
                  <v>110</v>
                </pt>
                <pt idx="73">
                  <v>107</v>
                </pt>
                <pt idx="74">
                  <v>97</v>
                </pt>
                <pt idx="75">
                  <v>79</v>
                </pt>
                <pt idx="76">
                  <v>83</v>
                </pt>
                <pt idx="77">
                  <v>83</v>
                </pt>
                <pt idx="78">
                  <v>83</v>
                </pt>
                <pt idx="79">
                  <v>93</v>
                </pt>
                <pt idx="80">
                  <v>92</v>
                </pt>
                <pt idx="81">
                  <v>93</v>
                </pt>
                <pt idx="82">
                  <v>87</v>
                </pt>
                <pt idx="83">
                  <v>89</v>
                </pt>
                <pt idx="84">
                  <v>85</v>
                </pt>
                <pt idx="85">
                  <v>94</v>
                </pt>
                <pt idx="86">
                  <v>100</v>
                </pt>
                <pt idx="87">
                  <v>102</v>
                </pt>
                <pt idx="88">
                  <v>100</v>
                </pt>
                <pt idx="89">
                  <v>99</v>
                </pt>
                <pt idx="90">
                  <v>92</v>
                </pt>
                <pt idx="91">
                  <v>88</v>
                </pt>
                <pt idx="92">
                  <v>89</v>
                </pt>
                <pt idx="93">
                  <v>86</v>
                </pt>
                <pt idx="94">
                  <v>93</v>
                </pt>
                <pt idx="95">
                  <v>92</v>
                </pt>
                <pt idx="96">
                  <v>94</v>
                </pt>
                <pt idx="97">
                  <v>87</v>
                </pt>
                <pt idx="98">
                  <v>82</v>
                </pt>
                <pt idx="99">
                  <v>77</v>
                </pt>
                <pt idx="100">
                  <v>76</v>
                </pt>
                <pt idx="101">
                  <v>78</v>
                </pt>
                <pt idx="102">
                  <v>81</v>
                </pt>
                <pt idx="103">
                  <v>79</v>
                </pt>
                <pt idx="104">
                  <v>82</v>
                </pt>
                <pt idx="105">
                  <v>83</v>
                </pt>
                <pt idx="106">
                  <v>77</v>
                </pt>
                <pt idx="107">
                  <v>76</v>
                </pt>
                <pt idx="108">
                  <v>79</v>
                </pt>
                <pt idx="109">
                  <v>76</v>
                </pt>
                <pt idx="110">
                  <v>76</v>
                </pt>
                <pt idx="111">
                  <v>83</v>
                </pt>
                <pt idx="112">
                  <v>85</v>
                </pt>
                <pt idx="113">
                  <v>84</v>
                </pt>
                <pt idx="114">
                  <v>87</v>
                </pt>
                <pt idx="115">
                  <v>96</v>
                </pt>
                <pt idx="116">
                  <v>89</v>
                </pt>
                <pt idx="117">
                  <v>93</v>
                </pt>
                <pt idx="118">
                  <v>91</v>
                </pt>
                <pt idx="119">
                  <v>96</v>
                </pt>
                <pt idx="120">
                  <v>91</v>
                </pt>
                <pt idx="121">
                  <v>99</v>
                </pt>
                <pt idx="122">
                  <v>98</v>
                </pt>
                <pt idx="123">
                  <v>92</v>
                </pt>
                <pt idx="124">
                  <v>94</v>
                </pt>
                <pt idx="125">
                  <v>99</v>
                </pt>
                <pt idx="126">
                  <v>95</v>
                </pt>
                <pt idx="127">
                  <v>84</v>
                </pt>
                <pt idx="128">
                  <v>88</v>
                </pt>
                <pt idx="129">
                  <v>93</v>
                </pt>
                <pt idx="130">
                  <v>95</v>
                </pt>
                <pt idx="131">
                  <v>93</v>
                </pt>
                <pt idx="132">
                  <v>93</v>
                </pt>
                <pt idx="133">
                  <v>89</v>
                </pt>
                <pt idx="134">
                  <v>96</v>
                </pt>
                <pt idx="135">
                  <v>101</v>
                </pt>
                <pt idx="136">
                  <v>110</v>
                </pt>
                <pt idx="137">
                  <v>117</v>
                </pt>
                <pt idx="138">
                  <v>132</v>
                </pt>
                <pt idx="139">
                  <v>146</v>
                </pt>
                <pt idx="140">
                  <v>153</v>
                </pt>
                <pt idx="141">
                  <v>151</v>
                </pt>
                <pt idx="142">
                  <v>169</v>
                </pt>
                <pt idx="143">
                  <v>174</v>
                </pt>
                <pt idx="144">
                  <v>183</v>
                </pt>
              </numCache>
            </numRef>
          </val>
        </ser>
        <ser>
          <idx val="1"/>
          <order val="1"/>
          <tx>
            <strRef>
              <f>'All Charts'!$AO$2</f>
              <strCache>
                <ptCount val="1"/>
                <pt idx="0">
                  <v>Renewed Leases (ttm)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Charts'!$AO$6:$AO$150</f>
              <numCache>
                <formatCode>#,##0_);[Red]\(#,##0\)</formatCode>
                <ptCount val="145"/>
                <pt idx="0">
                  <v>167</v>
                </pt>
                <pt idx="1">
                  <v>184</v>
                </pt>
                <pt idx="2">
                  <v>179</v>
                </pt>
                <pt idx="3">
                  <v>188</v>
                </pt>
                <pt idx="4">
                  <v>183</v>
                </pt>
                <pt idx="5">
                  <v>193</v>
                </pt>
                <pt idx="6">
                  <v>208</v>
                </pt>
                <pt idx="7">
                  <v>213</v>
                </pt>
                <pt idx="8">
                  <v>220</v>
                </pt>
                <pt idx="9">
                  <v>230</v>
                </pt>
                <pt idx="10">
                  <v>232</v>
                </pt>
                <pt idx="11">
                  <v>229</v>
                </pt>
                <pt idx="12">
                  <v>231</v>
                </pt>
                <pt idx="13">
                  <v>226</v>
                </pt>
                <pt idx="14">
                  <v>237</v>
                </pt>
                <pt idx="15">
                  <v>243</v>
                </pt>
                <pt idx="16">
                  <v>251</v>
                </pt>
                <pt idx="17">
                  <v>262</v>
                </pt>
                <pt idx="18">
                  <v>260</v>
                </pt>
                <pt idx="19">
                  <v>273</v>
                </pt>
                <pt idx="20">
                  <v>290</v>
                </pt>
                <pt idx="21">
                  <v>297</v>
                </pt>
                <pt idx="22">
                  <v>296</v>
                </pt>
                <pt idx="23">
                  <v>300</v>
                </pt>
                <pt idx="24">
                  <v>309</v>
                </pt>
                <pt idx="25">
                  <v>322</v>
                </pt>
                <pt idx="26">
                  <v>326</v>
                </pt>
                <pt idx="27">
                  <v>340</v>
                </pt>
                <pt idx="28">
                  <v>347</v>
                </pt>
                <pt idx="29">
                  <v>335</v>
                </pt>
                <pt idx="30">
                  <v>338</v>
                </pt>
                <pt idx="31">
                  <v>344</v>
                </pt>
                <pt idx="32">
                  <v>352</v>
                </pt>
                <pt idx="33">
                  <v>358</v>
                </pt>
                <pt idx="34">
                  <v>349</v>
                </pt>
                <pt idx="35">
                  <v>334</v>
                </pt>
                <pt idx="36">
                  <v>331</v>
                </pt>
                <pt idx="37">
                  <v>327</v>
                </pt>
                <pt idx="38">
                  <v>335</v>
                </pt>
                <pt idx="39">
                  <v>320</v>
                </pt>
                <pt idx="40">
                  <v>323</v>
                </pt>
                <pt idx="41">
                  <v>339</v>
                </pt>
                <pt idx="42">
                  <v>341</v>
                </pt>
                <pt idx="43">
                  <v>328</v>
                </pt>
                <pt idx="44">
                  <v>325</v>
                </pt>
                <pt idx="45">
                  <v>327</v>
                </pt>
                <pt idx="46">
                  <v>348</v>
                </pt>
                <pt idx="47">
                  <v>358</v>
                </pt>
                <pt idx="48">
                  <v>366</v>
                </pt>
                <pt idx="49">
                  <v>366</v>
                </pt>
                <pt idx="50">
                  <v>379</v>
                </pt>
                <pt idx="51">
                  <v>393</v>
                </pt>
                <pt idx="52">
                  <v>402</v>
                </pt>
                <pt idx="53">
                  <v>410</v>
                </pt>
                <pt idx="54">
                  <v>416</v>
                </pt>
                <pt idx="55">
                  <v>424</v>
                </pt>
                <pt idx="56">
                  <v>411</v>
                </pt>
                <pt idx="57">
                  <v>411</v>
                </pt>
                <pt idx="58">
                  <v>418</v>
                </pt>
                <pt idx="59">
                  <v>433</v>
                </pt>
                <pt idx="60">
                  <v>445</v>
                </pt>
                <pt idx="61">
                  <v>449</v>
                </pt>
                <pt idx="62">
                  <v>430</v>
                </pt>
                <pt idx="63">
                  <v>434</v>
                </pt>
                <pt idx="64">
                  <v>425</v>
                </pt>
                <pt idx="65">
                  <v>415</v>
                </pt>
                <pt idx="66">
                  <v>409</v>
                </pt>
                <pt idx="67">
                  <v>403</v>
                </pt>
                <pt idx="68">
                  <v>392</v>
                </pt>
                <pt idx="69">
                  <v>389</v>
                </pt>
                <pt idx="70">
                  <v>393</v>
                </pt>
                <pt idx="71">
                  <v>388</v>
                </pt>
                <pt idx="72">
                  <v>382</v>
                </pt>
                <pt idx="73">
                  <v>387</v>
                </pt>
                <pt idx="74">
                  <v>385</v>
                </pt>
                <pt idx="75">
                  <v>379</v>
                </pt>
                <pt idx="76">
                  <v>379</v>
                </pt>
                <pt idx="77">
                  <v>376</v>
                </pt>
                <pt idx="78">
                  <v>374</v>
                </pt>
                <pt idx="79">
                  <v>364</v>
                </pt>
                <pt idx="80">
                  <v>372</v>
                </pt>
                <pt idx="81">
                  <v>370</v>
                </pt>
                <pt idx="82">
                  <v>351</v>
                </pt>
                <pt idx="83">
                  <v>352</v>
                </pt>
                <pt idx="84">
                  <v>338</v>
                </pt>
                <pt idx="85">
                  <v>328</v>
                </pt>
                <pt idx="86">
                  <v>325</v>
                </pt>
                <pt idx="87">
                  <v>312</v>
                </pt>
                <pt idx="88">
                  <v>295</v>
                </pt>
                <pt idx="89">
                  <v>274</v>
                </pt>
                <pt idx="90">
                  <v>257</v>
                </pt>
                <pt idx="91">
                  <v>252</v>
                </pt>
                <pt idx="92">
                  <v>243</v>
                </pt>
                <pt idx="93">
                  <v>225</v>
                </pt>
                <pt idx="94">
                  <v>221</v>
                </pt>
                <pt idx="95">
                  <v>203</v>
                </pt>
                <pt idx="96">
                  <v>199</v>
                </pt>
                <pt idx="97">
                  <v>194</v>
                </pt>
                <pt idx="98">
                  <v>182</v>
                </pt>
                <pt idx="99">
                  <v>177</v>
                </pt>
                <pt idx="100">
                  <v>176</v>
                </pt>
                <pt idx="101">
                  <v>183</v>
                </pt>
                <pt idx="102">
                  <v>198</v>
                </pt>
                <pt idx="103">
                  <v>200</v>
                </pt>
                <pt idx="104">
                  <v>204</v>
                </pt>
                <pt idx="105">
                  <v>202</v>
                </pt>
                <pt idx="106">
                  <v>190</v>
                </pt>
                <pt idx="107">
                  <v>193</v>
                </pt>
                <pt idx="108">
                  <v>201</v>
                </pt>
                <pt idx="109">
                  <v>202</v>
                </pt>
                <pt idx="110">
                  <v>202</v>
                </pt>
                <pt idx="111">
                  <v>196</v>
                </pt>
                <pt idx="112">
                  <v>203</v>
                </pt>
                <pt idx="113">
                  <v>205</v>
                </pt>
                <pt idx="114">
                  <v>195</v>
                </pt>
                <pt idx="115">
                  <v>197</v>
                </pt>
                <pt idx="116">
                  <v>194</v>
                </pt>
                <pt idx="117">
                  <v>197</v>
                </pt>
                <pt idx="118">
                  <v>209</v>
                </pt>
                <pt idx="119">
                  <v>214</v>
                </pt>
                <pt idx="120">
                  <v>207</v>
                </pt>
                <pt idx="121">
                  <v>211</v>
                </pt>
                <pt idx="122">
                  <v>219</v>
                </pt>
                <pt idx="123">
                  <v>230</v>
                </pt>
                <pt idx="124">
                  <v>228</v>
                </pt>
                <pt idx="125">
                  <v>235</v>
                </pt>
                <pt idx="126">
                  <v>245</v>
                </pt>
                <pt idx="127">
                  <v>243</v>
                </pt>
                <pt idx="128">
                  <v>247</v>
                </pt>
                <pt idx="129">
                  <v>253</v>
                </pt>
                <pt idx="130">
                  <v>237</v>
                </pt>
                <pt idx="131">
                  <v>240</v>
                </pt>
                <pt idx="132">
                  <v>241</v>
                </pt>
                <pt idx="133">
                  <v>236</v>
                </pt>
                <pt idx="134">
                  <v>234</v>
                </pt>
                <pt idx="135">
                  <v>257</v>
                </pt>
                <pt idx="136">
                  <v>273</v>
                </pt>
                <pt idx="137">
                  <v>283</v>
                </pt>
                <pt idx="138">
                  <v>291</v>
                </pt>
                <pt idx="139">
                  <v>313</v>
                </pt>
                <pt idx="140">
                  <v>320</v>
                </pt>
                <pt idx="141">
                  <v>342</v>
                </pt>
                <pt idx="142">
                  <v>381</v>
                </pt>
                <pt idx="143">
                  <v>394</v>
                </pt>
                <pt idx="144">
                  <v>413</v>
                </pt>
              </numCache>
            </numRef>
          </val>
        </ser>
        <ser>
          <idx val="2"/>
          <order val="2"/>
          <tx>
            <strRef>
              <f>'All Charts'!$AP$2</f>
              <strCache>
                <ptCount val="1"/>
                <pt idx="0">
                  <v>Succeeding/Superseding Leases (ttm)</v>
                </pt>
              </strCache>
            </strRef>
          </tx>
          <spPr>
            <a:solidFill xmlns:a="http://schemas.openxmlformats.org/drawingml/2006/main">
              <a:srgbClr val="B1DAF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Charts'!$AP$6:$AP$150</f>
              <numCache>
                <formatCode>#,##0_);[Red]\(#,##0\)</formatCode>
                <ptCount val="145"/>
                <pt idx="0">
                  <v>220</v>
                </pt>
                <pt idx="1">
                  <v>236</v>
                </pt>
                <pt idx="2">
                  <v>237</v>
                </pt>
                <pt idx="3">
                  <v>236</v>
                </pt>
                <pt idx="4">
                  <v>235</v>
                </pt>
                <pt idx="5">
                  <v>240</v>
                </pt>
                <pt idx="6">
                  <v>235</v>
                </pt>
                <pt idx="7">
                  <v>230</v>
                </pt>
                <pt idx="8">
                  <v>233</v>
                </pt>
                <pt idx="9">
                  <v>224</v>
                </pt>
                <pt idx="10">
                  <v>221</v>
                </pt>
                <pt idx="11">
                  <v>219</v>
                </pt>
                <pt idx="12">
                  <v>221</v>
                </pt>
                <pt idx="13">
                  <v>217</v>
                </pt>
                <pt idx="14">
                  <v>214</v>
                </pt>
                <pt idx="15">
                  <v>221</v>
                </pt>
                <pt idx="16">
                  <v>217</v>
                </pt>
                <pt idx="17">
                  <v>210</v>
                </pt>
                <pt idx="18">
                  <v>217</v>
                </pt>
                <pt idx="19">
                  <v>230</v>
                </pt>
                <pt idx="20">
                  <v>232</v>
                </pt>
                <pt idx="21">
                  <v>243</v>
                </pt>
                <pt idx="22">
                  <v>243</v>
                </pt>
                <pt idx="23">
                  <v>241</v>
                </pt>
                <pt idx="24">
                  <v>230</v>
                </pt>
                <pt idx="25">
                  <v>225</v>
                </pt>
                <pt idx="26">
                  <v>234</v>
                </pt>
                <pt idx="27">
                  <v>231</v>
                </pt>
                <pt idx="28">
                  <v>232</v>
                </pt>
                <pt idx="29">
                  <v>228</v>
                </pt>
                <pt idx="30">
                  <v>228</v>
                </pt>
                <pt idx="31">
                  <v>223</v>
                </pt>
                <pt idx="32">
                  <v>208</v>
                </pt>
                <pt idx="33">
                  <v>199</v>
                </pt>
                <pt idx="34">
                  <v>185</v>
                </pt>
                <pt idx="35">
                  <v>173</v>
                </pt>
                <pt idx="36">
                  <v>173</v>
                </pt>
                <pt idx="37">
                  <v>170</v>
                </pt>
                <pt idx="38">
                  <v>160</v>
                </pt>
                <pt idx="39">
                  <v>153</v>
                </pt>
                <pt idx="40">
                  <v>153</v>
                </pt>
                <pt idx="41">
                  <v>160</v>
                </pt>
                <pt idx="42">
                  <v>151</v>
                </pt>
                <pt idx="43">
                  <v>133</v>
                </pt>
                <pt idx="44">
                  <v>120</v>
                </pt>
                <pt idx="45">
                  <v>111</v>
                </pt>
                <pt idx="46">
                  <v>117</v>
                </pt>
                <pt idx="47">
                  <v>123</v>
                </pt>
                <pt idx="48">
                  <v>124</v>
                </pt>
                <pt idx="49">
                  <v>124</v>
                </pt>
                <pt idx="50">
                  <v>120</v>
                </pt>
                <pt idx="51">
                  <v>121</v>
                </pt>
                <pt idx="52">
                  <v>118</v>
                </pt>
                <pt idx="53">
                  <v>117</v>
                </pt>
                <pt idx="54">
                  <v>117</v>
                </pt>
                <pt idx="55">
                  <v>122</v>
                </pt>
                <pt idx="56">
                  <v>119</v>
                </pt>
                <pt idx="57">
                  <v>121</v>
                </pt>
                <pt idx="58">
                  <v>123</v>
                </pt>
                <pt idx="59">
                  <v>123</v>
                </pt>
                <pt idx="60">
                  <v>120</v>
                </pt>
                <pt idx="61">
                  <v>116</v>
                </pt>
                <pt idx="62">
                  <v>115</v>
                </pt>
                <pt idx="63">
                  <v>115</v>
                </pt>
                <pt idx="64">
                  <v>113</v>
                </pt>
                <pt idx="65">
                  <v>106</v>
                </pt>
                <pt idx="66">
                  <v>106</v>
                </pt>
                <pt idx="67">
                  <v>106</v>
                </pt>
                <pt idx="68">
                  <v>110</v>
                </pt>
                <pt idx="69">
                  <v>108</v>
                </pt>
                <pt idx="70">
                  <v>106</v>
                </pt>
                <pt idx="71">
                  <v>104</v>
                </pt>
                <pt idx="72">
                  <v>103</v>
                </pt>
                <pt idx="73">
                  <v>108</v>
                </pt>
                <pt idx="74">
                  <v>111</v>
                </pt>
                <pt idx="75">
                  <v>109</v>
                </pt>
                <pt idx="76">
                  <v>114</v>
                </pt>
                <pt idx="77">
                  <v>125</v>
                </pt>
                <pt idx="78">
                  <v>119</v>
                </pt>
                <pt idx="79">
                  <v>115</v>
                </pt>
                <pt idx="80">
                  <v>112</v>
                </pt>
                <pt idx="81">
                  <v>114</v>
                </pt>
                <pt idx="82">
                  <v>114</v>
                </pt>
                <pt idx="83">
                  <v>115</v>
                </pt>
                <pt idx="84">
                  <v>115</v>
                </pt>
                <pt idx="85">
                  <v>118</v>
                </pt>
                <pt idx="86">
                  <v>117</v>
                </pt>
                <pt idx="87">
                  <v>122</v>
                </pt>
                <pt idx="88">
                  <v>119</v>
                </pt>
                <pt idx="89">
                  <v>106</v>
                </pt>
                <pt idx="90">
                  <v>108</v>
                </pt>
                <pt idx="91">
                  <v>116</v>
                </pt>
                <pt idx="92">
                  <v>123</v>
                </pt>
                <pt idx="93">
                  <v>118</v>
                </pt>
                <pt idx="94">
                  <v>132</v>
                </pt>
                <pt idx="95">
                  <v>138</v>
                </pt>
                <pt idx="96">
                  <v>151</v>
                </pt>
                <pt idx="97">
                  <v>152</v>
                </pt>
                <pt idx="98">
                  <v>161</v>
                </pt>
                <pt idx="99">
                  <v>179</v>
                </pt>
                <pt idx="100">
                  <v>195</v>
                </pt>
                <pt idx="101">
                  <v>210</v>
                </pt>
                <pt idx="102">
                  <v>229</v>
                </pt>
                <pt idx="103">
                  <v>241</v>
                </pt>
                <pt idx="104">
                  <v>237</v>
                </pt>
                <pt idx="105">
                  <v>246</v>
                </pt>
                <pt idx="106">
                  <v>249</v>
                </pt>
                <pt idx="107">
                  <v>260</v>
                </pt>
                <pt idx="108">
                  <v>261</v>
                </pt>
                <pt idx="109">
                  <v>268</v>
                </pt>
                <pt idx="110">
                  <v>264</v>
                </pt>
                <pt idx="111">
                  <v>254</v>
                </pt>
                <pt idx="112">
                  <v>243</v>
                </pt>
                <pt idx="113">
                  <v>250</v>
                </pt>
                <pt idx="114">
                  <v>245</v>
                </pt>
                <pt idx="115">
                  <v>250</v>
                </pt>
                <pt idx="116">
                  <v>270</v>
                </pt>
                <pt idx="117">
                  <v>282</v>
                </pt>
                <pt idx="118">
                  <v>276</v>
                </pt>
                <pt idx="119">
                  <v>268</v>
                </pt>
                <pt idx="120">
                  <v>273</v>
                </pt>
                <pt idx="121">
                  <v>270</v>
                </pt>
                <pt idx="122">
                  <v>274</v>
                </pt>
                <pt idx="123">
                  <v>273</v>
                </pt>
                <pt idx="124">
                  <v>271</v>
                </pt>
                <pt idx="125">
                  <v>264</v>
                </pt>
                <pt idx="126">
                  <v>267</v>
                </pt>
                <pt idx="127">
                  <v>262</v>
                </pt>
                <pt idx="128">
                  <v>249</v>
                </pt>
                <pt idx="129">
                  <v>241</v>
                </pt>
                <pt idx="130">
                  <v>242</v>
                </pt>
                <pt idx="131">
                  <v>242</v>
                </pt>
                <pt idx="132">
                  <v>244</v>
                </pt>
                <pt idx="133">
                  <v>246</v>
                </pt>
                <pt idx="134">
                  <v>242</v>
                </pt>
                <pt idx="135">
                  <v>256</v>
                </pt>
                <pt idx="136">
                  <v>272</v>
                </pt>
                <pt idx="137">
                  <v>291</v>
                </pt>
                <pt idx="138">
                  <v>283</v>
                </pt>
                <pt idx="139">
                  <v>285</v>
                </pt>
                <pt idx="140">
                  <v>293</v>
                </pt>
                <pt idx="141">
                  <v>299</v>
                </pt>
                <pt idx="142">
                  <v>298</v>
                </pt>
                <pt idx="143">
                  <v>300</v>
                </pt>
                <pt idx="144">
                  <v>289</v>
                </pt>
              </numCache>
            </numRef>
          </val>
        </ser>
        <ser>
          <idx val="3"/>
          <order val="3"/>
          <tx>
            <strRef>
              <f>'All Charts'!$AQ$2</f>
              <strCache>
                <ptCount val="1"/>
                <pt idx="0">
                  <v>Expired Leases (ttm)</v>
                </pt>
              </strCache>
            </strRef>
          </tx>
          <spPr>
            <a:solidFill xmlns:a="http://schemas.openxmlformats.org/drawingml/2006/main">
              <a:srgbClr val="668BC9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Charts'!$AQ$6:$AQ$150</f>
              <numCache>
                <formatCode>#,##0_);[Red]\(#,##0\)</formatCode>
                <ptCount val="145"/>
                <pt idx="0">
                  <v>-43</v>
                </pt>
                <pt idx="1">
                  <v>-40</v>
                </pt>
                <pt idx="2">
                  <v>-37</v>
                </pt>
                <pt idx="3">
                  <v>-39</v>
                </pt>
                <pt idx="4">
                  <v>-36</v>
                </pt>
                <pt idx="5">
                  <v>-37</v>
                </pt>
                <pt idx="6">
                  <v>-35</v>
                </pt>
                <pt idx="7">
                  <v>-36</v>
                </pt>
                <pt idx="8">
                  <v>-37</v>
                </pt>
                <pt idx="9">
                  <v>-35</v>
                </pt>
                <pt idx="10">
                  <v>-40</v>
                </pt>
                <pt idx="11">
                  <v>-44</v>
                </pt>
                <pt idx="12">
                  <v>-43</v>
                </pt>
                <pt idx="13">
                  <v>-50</v>
                </pt>
                <pt idx="14">
                  <v>-67</v>
                </pt>
                <pt idx="15">
                  <v>-87</v>
                </pt>
                <pt idx="16">
                  <v>-117</v>
                </pt>
                <pt idx="17">
                  <v>-141</v>
                </pt>
                <pt idx="18">
                  <v>-173</v>
                </pt>
                <pt idx="19">
                  <v>-226</v>
                </pt>
                <pt idx="20">
                  <v>-248</v>
                </pt>
                <pt idx="21">
                  <v>-289</v>
                </pt>
                <pt idx="22">
                  <v>-329</v>
                </pt>
                <pt idx="23">
                  <v>-347</v>
                </pt>
                <pt idx="24">
                  <v>-372</v>
                </pt>
                <pt idx="25">
                  <v>-389</v>
                </pt>
                <pt idx="26">
                  <v>-402</v>
                </pt>
                <pt idx="27">
                  <v>-413</v>
                </pt>
                <pt idx="28">
                  <v>-420</v>
                </pt>
                <pt idx="29">
                  <v>-431</v>
                </pt>
                <pt idx="30">
                  <v>-432</v>
                </pt>
                <pt idx="31">
                  <v>-444</v>
                </pt>
                <pt idx="32">
                  <v>-462</v>
                </pt>
                <pt idx="33">
                  <v>-467</v>
                </pt>
                <pt idx="34">
                  <v>-458</v>
                </pt>
                <pt idx="35">
                  <v>-475</v>
                </pt>
                <pt idx="36">
                  <v>-489</v>
                </pt>
                <pt idx="37">
                  <v>-560</v>
                </pt>
                <pt idx="38">
                  <v>-615</v>
                </pt>
                <pt idx="39">
                  <v>-699</v>
                </pt>
                <pt idx="40">
                  <v>-764</v>
                </pt>
                <pt idx="41">
                  <v>-781</v>
                </pt>
                <pt idx="42">
                  <v>-805</v>
                </pt>
                <pt idx="43">
                  <v>-796</v>
                </pt>
                <pt idx="44">
                  <v>-806</v>
                </pt>
                <pt idx="45">
                  <v>-790</v>
                </pt>
                <pt idx="46">
                  <v>-809</v>
                </pt>
                <pt idx="47">
                  <v>-815</v>
                </pt>
                <pt idx="48">
                  <v>-808</v>
                </pt>
                <pt idx="49">
                  <v>-757</v>
                </pt>
                <pt idx="50">
                  <v>-702</v>
                </pt>
                <pt idx="51">
                  <v>-631</v>
                </pt>
                <pt idx="52">
                  <v>-583</v>
                </pt>
                <pt idx="53">
                  <v>-579</v>
                </pt>
                <pt idx="54">
                  <v>-573</v>
                </pt>
                <pt idx="55">
                  <v>-587</v>
                </pt>
                <pt idx="56">
                  <v>-572</v>
                </pt>
                <pt idx="57">
                  <v>-586</v>
                </pt>
                <pt idx="58">
                  <v>-583</v>
                </pt>
                <pt idx="59">
                  <v>-579</v>
                </pt>
                <pt idx="60">
                  <v>-596</v>
                </pt>
                <pt idx="61">
                  <v>-610</v>
                </pt>
                <pt idx="62">
                  <v>-607</v>
                </pt>
                <pt idx="63">
                  <v>-610</v>
                </pt>
                <pt idx="64">
                  <v>-605</v>
                </pt>
                <pt idx="65">
                  <v>-608</v>
                </pt>
                <pt idx="66">
                  <v>-620</v>
                </pt>
                <pt idx="67">
                  <v>-626</v>
                </pt>
                <pt idx="68">
                  <v>-614</v>
                </pt>
                <pt idx="69">
                  <v>-625</v>
                </pt>
                <pt idx="70">
                  <v>-645</v>
                </pt>
                <pt idx="71">
                  <v>-654</v>
                </pt>
                <pt idx="72">
                  <v>-661</v>
                </pt>
                <pt idx="73">
                  <v>-662</v>
                </pt>
                <pt idx="74">
                  <v>-664</v>
                </pt>
                <pt idx="75">
                  <v>-683</v>
                </pt>
                <pt idx="76">
                  <v>-717</v>
                </pt>
                <pt idx="77">
                  <v>-748</v>
                </pt>
                <pt idx="78">
                  <v>-764</v>
                </pt>
                <pt idx="79">
                  <v>-788</v>
                </pt>
                <pt idx="80">
                  <v>-818</v>
                </pt>
                <pt idx="81">
                  <v>-839</v>
                </pt>
                <pt idx="82">
                  <v>-831</v>
                </pt>
                <pt idx="83">
                  <v>-844</v>
                </pt>
                <pt idx="84">
                  <v>-860</v>
                </pt>
                <pt idx="85">
                  <v>-894</v>
                </pt>
                <pt idx="86">
                  <v>-917</v>
                </pt>
                <pt idx="87">
                  <v>-934</v>
                </pt>
                <pt idx="88">
                  <v>-933</v>
                </pt>
                <pt idx="89">
                  <v>-928</v>
                </pt>
                <pt idx="90">
                  <v>-937</v>
                </pt>
                <pt idx="91">
                  <v>-940</v>
                </pt>
                <pt idx="92">
                  <v>-934</v>
                </pt>
                <pt idx="93">
                  <v>-923</v>
                </pt>
                <pt idx="94">
                  <v>-931</v>
                </pt>
                <pt idx="95">
                  <v>-966</v>
                </pt>
                <pt idx="96">
                  <v>-968</v>
                </pt>
                <pt idx="97">
                  <v>-930</v>
                </pt>
                <pt idx="98">
                  <v>-893</v>
                </pt>
                <pt idx="99">
                  <v>-841</v>
                </pt>
                <pt idx="100">
                  <v>-801</v>
                </pt>
                <pt idx="101">
                  <v>-758</v>
                </pt>
                <pt idx="102">
                  <v>-712</v>
                </pt>
                <pt idx="103">
                  <v>-673</v>
                </pt>
                <pt idx="104">
                  <v>-652</v>
                </pt>
                <pt idx="105">
                  <v>-624</v>
                </pt>
                <pt idx="106">
                  <v>-591</v>
                </pt>
                <pt idx="107">
                  <v>-533</v>
                </pt>
                <pt idx="108">
                  <v>-495</v>
                </pt>
                <pt idx="109">
                  <v>-511</v>
                </pt>
                <pt idx="110">
                  <v>-510</v>
                </pt>
                <pt idx="111">
                  <v>-520</v>
                </pt>
                <pt idx="112">
                  <v>-544</v>
                </pt>
                <pt idx="113">
                  <v>-564</v>
                </pt>
                <pt idx="114">
                  <v>-569</v>
                </pt>
                <pt idx="115">
                  <v>-605</v>
                </pt>
                <pt idx="116">
                  <v>-615</v>
                </pt>
                <pt idx="117">
                  <v>-638</v>
                </pt>
                <pt idx="118">
                  <v>-637</v>
                </pt>
                <pt idx="119">
                  <v>-646</v>
                </pt>
                <pt idx="120">
                  <v>-671</v>
                </pt>
                <pt idx="121">
                  <v>-674</v>
                </pt>
                <pt idx="122">
                  <v>-709</v>
                </pt>
                <pt idx="123">
                  <v>-741</v>
                </pt>
                <pt idx="124">
                  <v>-759</v>
                </pt>
                <pt idx="125">
                  <v>-774</v>
                </pt>
                <pt idx="126">
                  <v>-803</v>
                </pt>
                <pt idx="127">
                  <v>-813</v>
                </pt>
                <pt idx="128">
                  <v>-846</v>
                </pt>
                <pt idx="129">
                  <v>-852</v>
                </pt>
                <pt idx="130">
                  <v>-913</v>
                </pt>
                <pt idx="131">
                  <v>-930</v>
                </pt>
                <pt idx="132">
                  <v>-968</v>
                </pt>
                <pt idx="133">
                  <v>-1058</v>
                </pt>
                <pt idx="134">
                  <v>-1013</v>
                </pt>
                <pt idx="135">
                  <v>-953</v>
                </pt>
                <pt idx="136">
                  <v>-882</v>
                </pt>
                <pt idx="137">
                  <v>-815</v>
                </pt>
                <pt idx="138">
                  <v>-746</v>
                </pt>
                <pt idx="139">
                  <v>-653</v>
                </pt>
                <pt idx="140">
                  <v>-564</v>
                </pt>
                <pt idx="141">
                  <v>-497</v>
                </pt>
                <pt idx="142">
                  <v>-396</v>
                </pt>
                <pt idx="143">
                  <v>-325</v>
                </pt>
                <pt idx="144">
                  <v>-226</v>
                </pt>
              </numCache>
            </numRef>
          </val>
        </ser>
        <ser>
          <idx val="4"/>
          <order val="4"/>
          <tx>
            <strRef>
              <f>'All Charts'!$AR$2</f>
              <strCache>
                <ptCount val="1"/>
                <pt idx="0">
                  <v>Terminated Leases (ttm)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Charts'!$AR$6:$AR$150</f>
              <numCache>
                <formatCode>#,##0_);[Red]\(#,##0\)</formatCode>
                <ptCount val="145"/>
                <pt idx="0">
                  <v>-1</v>
                </pt>
                <pt idx="1">
                  <v>-2</v>
                </pt>
                <pt idx="2">
                  <v>-2</v>
                </pt>
                <pt idx="3">
                  <v>-2</v>
                </pt>
                <pt idx="4">
                  <v>-3</v>
                </pt>
                <pt idx="5">
                  <v>-3</v>
                </pt>
                <pt idx="6">
                  <v>-3</v>
                </pt>
                <pt idx="7">
                  <v>-3</v>
                </pt>
                <pt idx="8">
                  <v>-3</v>
                </pt>
                <pt idx="9">
                  <v>-3</v>
                </pt>
                <pt idx="10">
                  <v>-3</v>
                </pt>
                <pt idx="11">
                  <v>-3</v>
                </pt>
                <pt idx="12">
                  <v>-3</v>
                </pt>
                <pt idx="13">
                  <v>-3</v>
                </pt>
                <pt idx="14">
                  <v>-6</v>
                </pt>
                <pt idx="15">
                  <v>-7</v>
                </pt>
                <pt idx="16">
                  <v>-9</v>
                </pt>
                <pt idx="17">
                  <v>-11</v>
                </pt>
                <pt idx="18">
                  <v>-17</v>
                </pt>
                <pt idx="19">
                  <v>-25</v>
                </pt>
                <pt idx="20">
                  <v>-32</v>
                </pt>
                <pt idx="21">
                  <v>-41</v>
                </pt>
                <pt idx="22">
                  <v>-53</v>
                </pt>
                <pt idx="23">
                  <v>-55</v>
                </pt>
                <pt idx="24">
                  <v>-61</v>
                </pt>
                <pt idx="25">
                  <v>-66</v>
                </pt>
                <pt idx="26">
                  <v>-71</v>
                </pt>
                <pt idx="27">
                  <v>-74</v>
                </pt>
                <pt idx="28">
                  <v>-79</v>
                </pt>
                <pt idx="29">
                  <v>-88</v>
                </pt>
                <pt idx="30">
                  <v>-88</v>
                </pt>
                <pt idx="31">
                  <v>-90</v>
                </pt>
                <pt idx="32">
                  <v>-90</v>
                </pt>
                <pt idx="33">
                  <v>-88</v>
                </pt>
                <pt idx="34">
                  <v>-81</v>
                </pt>
                <pt idx="35">
                  <v>-92</v>
                </pt>
                <pt idx="36">
                  <v>-93</v>
                </pt>
                <pt idx="37">
                  <v>-101</v>
                </pt>
                <pt idx="38">
                  <v>-100</v>
                </pt>
                <pt idx="39">
                  <v>-107</v>
                </pt>
                <pt idx="40">
                  <v>-121</v>
                </pt>
                <pt idx="41">
                  <v>-126</v>
                </pt>
                <pt idx="42">
                  <v>-133</v>
                </pt>
                <pt idx="43">
                  <v>-133</v>
                </pt>
                <pt idx="44">
                  <v>-141</v>
                </pt>
                <pt idx="45">
                  <v>-190</v>
                </pt>
                <pt idx="46">
                  <v>-233</v>
                </pt>
                <pt idx="47">
                  <v>-341</v>
                </pt>
                <pt idx="48">
                  <v>-339</v>
                </pt>
                <pt idx="49">
                  <v>-286</v>
                </pt>
                <pt idx="50">
                  <v>-245</v>
                </pt>
                <pt idx="51">
                  <v>-170</v>
                </pt>
                <pt idx="52">
                  <v>-123</v>
                </pt>
                <pt idx="53">
                  <v>-119</v>
                </pt>
                <pt idx="54">
                  <v>-119</v>
                </pt>
                <pt idx="55">
                  <v>-128</v>
                </pt>
                <pt idx="56">
                  <v>-128</v>
                </pt>
                <pt idx="57">
                  <v>-138</v>
                </pt>
                <pt idx="58">
                  <v>-142</v>
                </pt>
                <pt idx="59">
                  <v>-141</v>
                </pt>
                <pt idx="60">
                  <v>-143</v>
                </pt>
                <pt idx="61">
                  <v>-145</v>
                </pt>
                <pt idx="62">
                  <v>-151</v>
                </pt>
                <pt idx="63">
                  <v>-148</v>
                </pt>
                <pt idx="64">
                  <v>-142</v>
                </pt>
                <pt idx="65">
                  <v>-140</v>
                </pt>
                <pt idx="66">
                  <v>-144</v>
                </pt>
                <pt idx="67">
                  <v>-147</v>
                </pt>
                <pt idx="68">
                  <v>-141</v>
                </pt>
                <pt idx="69">
                  <v>-133</v>
                </pt>
                <pt idx="70">
                  <v>-138</v>
                </pt>
                <pt idx="71">
                  <v>-141</v>
                </pt>
                <pt idx="72">
                  <v>-148</v>
                </pt>
                <pt idx="73">
                  <v>-144</v>
                </pt>
                <pt idx="74">
                  <v>-139</v>
                </pt>
                <pt idx="75">
                  <v>-146</v>
                </pt>
                <pt idx="76">
                  <v>-151</v>
                </pt>
                <pt idx="77">
                  <v>-164</v>
                </pt>
                <pt idx="78">
                  <v>-167</v>
                </pt>
                <pt idx="79">
                  <v>-163</v>
                </pt>
                <pt idx="80">
                  <v>-167</v>
                </pt>
                <pt idx="81">
                  <v>-177</v>
                </pt>
                <pt idx="82">
                  <v>-176</v>
                </pt>
                <pt idx="83">
                  <v>-175</v>
                </pt>
                <pt idx="84">
                  <v>-171</v>
                </pt>
                <pt idx="85">
                  <v>-181</v>
                </pt>
                <pt idx="86">
                  <v>-194</v>
                </pt>
                <pt idx="87">
                  <v>-196</v>
                </pt>
                <pt idx="88">
                  <v>-199</v>
                </pt>
                <pt idx="89">
                  <v>-196</v>
                </pt>
                <pt idx="90">
                  <v>-204</v>
                </pt>
                <pt idx="91">
                  <v>-207</v>
                </pt>
                <pt idx="92">
                  <v>-207</v>
                </pt>
                <pt idx="93">
                  <v>-209</v>
                </pt>
                <pt idx="94">
                  <v>-209</v>
                </pt>
                <pt idx="95">
                  <v>-219</v>
                </pt>
                <pt idx="96">
                  <v>-236</v>
                </pt>
                <pt idx="97">
                  <v>-226</v>
                </pt>
                <pt idx="98">
                  <v>-214</v>
                </pt>
                <pt idx="99">
                  <v>-205</v>
                </pt>
                <pt idx="100">
                  <v>-202</v>
                </pt>
                <pt idx="101">
                  <v>-182</v>
                </pt>
                <pt idx="102">
                  <v>-170</v>
                </pt>
                <pt idx="103">
                  <v>-168</v>
                </pt>
                <pt idx="104">
                  <v>-174</v>
                </pt>
                <pt idx="105">
                  <v>-166</v>
                </pt>
                <pt idx="106">
                  <v>-160</v>
                </pt>
                <pt idx="107">
                  <v>-154</v>
                </pt>
                <pt idx="108">
                  <v>-142</v>
                </pt>
                <pt idx="109">
                  <v>-150</v>
                </pt>
                <pt idx="110">
                  <v>-150</v>
                </pt>
                <pt idx="111">
                  <v>-147</v>
                </pt>
                <pt idx="112">
                  <v>-144</v>
                </pt>
                <pt idx="113">
                  <v>-149</v>
                </pt>
                <pt idx="114">
                  <v>-146</v>
                </pt>
                <pt idx="115">
                  <v>-146</v>
                </pt>
                <pt idx="116">
                  <v>-146</v>
                </pt>
                <pt idx="117">
                  <v>-155</v>
                </pt>
                <pt idx="118">
                  <v>-156</v>
                </pt>
                <pt idx="119">
                  <v>-158</v>
                </pt>
                <pt idx="120">
                  <v>-161</v>
                </pt>
                <pt idx="121">
                  <v>-167</v>
                </pt>
                <pt idx="122">
                  <v>-179</v>
                </pt>
                <pt idx="123">
                  <v>-184</v>
                </pt>
                <pt idx="124">
                  <v>-204</v>
                </pt>
                <pt idx="125">
                  <v>-210</v>
                </pt>
                <pt idx="126">
                  <v>-220</v>
                </pt>
                <pt idx="127">
                  <v>-241</v>
                </pt>
                <pt idx="128">
                  <v>-258</v>
                </pt>
                <pt idx="129">
                  <v>-253</v>
                </pt>
                <pt idx="130">
                  <v>-267</v>
                </pt>
                <pt idx="131">
                  <v>-275</v>
                </pt>
                <pt idx="132">
                  <v>-292</v>
                </pt>
                <pt idx="133">
                  <v>-324</v>
                </pt>
                <pt idx="134">
                  <v>-313</v>
                </pt>
                <pt idx="135">
                  <v>-310</v>
                </pt>
                <pt idx="136">
                  <v>-292</v>
                </pt>
                <pt idx="137">
                  <v>-283</v>
                </pt>
                <pt idx="138">
                  <v>-270</v>
                </pt>
                <pt idx="139">
                  <v>-233</v>
                </pt>
                <pt idx="140">
                  <v>-200</v>
                </pt>
                <pt idx="141">
                  <v>-185</v>
                </pt>
                <pt idx="142">
                  <v>-160</v>
                </pt>
                <pt idx="143">
                  <v>-138</v>
                </pt>
                <pt idx="144">
                  <v>-97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27308144"/>
        <axId val="527307816"/>
      </barChart>
      <lineChart>
        <grouping val="standard"/>
        <varyColors val="0"/>
        <ser>
          <idx val="5"/>
          <order val="5"/>
          <tx>
            <strRef>
              <f>'All Charts'!$AS$2</f>
              <strCache>
                <ptCount val="1"/>
                <pt idx="0">
                  <v>Net Change (ttm)</v>
                </pt>
              </strCache>
            </strRef>
          </tx>
          <spPr>
            <a:ln xmlns:a="http://schemas.openxmlformats.org/drawingml/2006/main" w="28575" cap="rnd">
              <a:solidFill>
                <a:srgbClr val="6A74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Charts'!$B$6:$B$150</f>
              <strCache>
                <ptCount val="145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</strCache>
            </strRef>
          </cat>
          <val>
            <numRef>
              <f>'All Charts'!$AS$6:$AS$150</f>
              <numCache>
                <formatCode>#,##0_);[Red]\(#,##0\)</formatCode>
                <ptCount val="145"/>
                <pt idx="0">
                  <v>404</v>
                </pt>
                <pt idx="1">
                  <v>440</v>
                </pt>
                <pt idx="2">
                  <v>442</v>
                </pt>
                <pt idx="3">
                  <v>453</v>
                </pt>
                <pt idx="4">
                  <v>452</v>
                </pt>
                <pt idx="5">
                  <v>468</v>
                </pt>
                <pt idx="6">
                  <v>490</v>
                </pt>
                <pt idx="7">
                  <v>485</v>
                </pt>
                <pt idx="8">
                  <v>509</v>
                </pt>
                <pt idx="9">
                  <v>509</v>
                </pt>
                <pt idx="10">
                  <v>511</v>
                </pt>
                <pt idx="11">
                  <v>503</v>
                </pt>
                <pt idx="12">
                  <v>509</v>
                </pt>
                <pt idx="13">
                  <v>496</v>
                </pt>
                <pt idx="14">
                  <v>481</v>
                </pt>
                <pt idx="15">
                  <v>472</v>
                </pt>
                <pt idx="16">
                  <v>439</v>
                </pt>
                <pt idx="17">
                  <v>417</v>
                </pt>
                <pt idx="18">
                  <v>380</v>
                </pt>
                <pt idx="19">
                  <v>352</v>
                </pt>
                <pt idx="20">
                  <v>335</v>
                </pt>
                <pt idx="21">
                  <v>304</v>
                </pt>
                <pt idx="22">
                  <v>248</v>
                </pt>
                <pt idx="23">
                  <v>232</v>
                </pt>
                <pt idx="24">
                  <v>202</v>
                </pt>
                <pt idx="25">
                  <v>187</v>
                </pt>
                <pt idx="26">
                  <v>183</v>
                </pt>
                <pt idx="27">
                  <v>184</v>
                </pt>
                <pt idx="28">
                  <v>183</v>
                </pt>
                <pt idx="29">
                  <v>151</v>
                </pt>
                <pt idx="30">
                  <v>150</v>
                </pt>
                <pt idx="31">
                  <v>135</v>
                </pt>
                <pt idx="32">
                  <v>112</v>
                </pt>
                <pt idx="33">
                  <v>106</v>
                </pt>
                <pt idx="34">
                  <v>98</v>
                </pt>
                <pt idx="35">
                  <v>37</v>
                </pt>
                <pt idx="36">
                  <v>13</v>
                </pt>
                <pt idx="37">
                  <v>-74</v>
                </pt>
                <pt idx="38">
                  <v>-130</v>
                </pt>
                <pt idx="39">
                  <v>-252</v>
                </pt>
                <pt idx="40">
                  <v>-328</v>
                </pt>
                <pt idx="41">
                  <v>-329</v>
                </pt>
                <pt idx="42">
                  <v>-364</v>
                </pt>
                <pt idx="43">
                  <v>-383</v>
                </pt>
                <pt idx="44">
                  <v>-414</v>
                </pt>
                <pt idx="45">
                  <v>-454</v>
                </pt>
                <pt idx="46">
                  <v>-495</v>
                </pt>
                <pt idx="47">
                  <v>-592</v>
                </pt>
                <pt idx="48">
                  <v>-575</v>
                </pt>
                <pt idx="49">
                  <v>-470</v>
                </pt>
                <pt idx="50">
                  <v>-370</v>
                </pt>
                <pt idx="51">
                  <v>-211</v>
                </pt>
                <pt idx="52">
                  <v>-110</v>
                </pt>
                <pt idx="53">
                  <v>-99</v>
                </pt>
                <pt idx="54">
                  <v>-79</v>
                </pt>
                <pt idx="55">
                  <v>-84</v>
                </pt>
                <pt idx="56">
                  <v>-40</v>
                </pt>
                <pt idx="57">
                  <v>-30</v>
                </pt>
                <pt idx="58">
                  <v>69</v>
                </pt>
                <pt idx="59">
                  <v>97</v>
                </pt>
                <pt idx="60">
                  <v>92</v>
                </pt>
                <pt idx="61">
                  <v>75</v>
                </pt>
                <pt idx="62">
                  <v>65</v>
                </pt>
                <pt idx="63">
                  <v>94</v>
                </pt>
                <pt idx="64">
                  <v>90</v>
                </pt>
                <pt idx="65">
                  <v>72</v>
                </pt>
                <pt idx="66">
                  <v>47</v>
                </pt>
                <pt idx="67">
                  <v>21</v>
                </pt>
                <pt idx="68">
                  <v>-20</v>
                </pt>
                <pt idx="69">
                  <v>-61</v>
                </pt>
                <pt idx="70">
                  <v>-167</v>
                </pt>
                <pt idx="71">
                  <v>-193</v>
                </pt>
                <pt idx="72">
                  <v>-214</v>
                </pt>
                <pt idx="73">
                  <v>-204</v>
                </pt>
                <pt idx="74">
                  <v>-210</v>
                </pt>
                <pt idx="75">
                  <v>-262</v>
                </pt>
                <pt idx="76">
                  <v>-292</v>
                </pt>
                <pt idx="77">
                  <v>-328</v>
                </pt>
                <pt idx="78">
                  <v>-355</v>
                </pt>
                <pt idx="79">
                  <v>-379</v>
                </pt>
                <pt idx="80">
                  <v>-409</v>
                </pt>
                <pt idx="81">
                  <v>-439</v>
                </pt>
                <pt idx="82">
                  <v>-455</v>
                </pt>
                <pt idx="83">
                  <v>-463</v>
                </pt>
                <pt idx="84">
                  <v>-493</v>
                </pt>
                <pt idx="85">
                  <v>-535</v>
                </pt>
                <pt idx="86">
                  <v>-569</v>
                </pt>
                <pt idx="87">
                  <v>-594</v>
                </pt>
                <pt idx="88">
                  <v>-618</v>
                </pt>
                <pt idx="89">
                  <v>-645</v>
                </pt>
                <pt idx="90">
                  <v>-684</v>
                </pt>
                <pt idx="91">
                  <v>-691</v>
                </pt>
                <pt idx="92">
                  <v>-686</v>
                </pt>
                <pt idx="93">
                  <v>-703</v>
                </pt>
                <pt idx="94">
                  <v>-694</v>
                </pt>
                <pt idx="95">
                  <v>-752</v>
                </pt>
                <pt idx="96">
                  <v>-760</v>
                </pt>
                <pt idx="97">
                  <v>-723</v>
                </pt>
                <pt idx="98">
                  <v>-682</v>
                </pt>
                <pt idx="99">
                  <v>-613</v>
                </pt>
                <pt idx="100">
                  <v>-556</v>
                </pt>
                <pt idx="101">
                  <v>-469</v>
                </pt>
                <pt idx="102">
                  <v>-374</v>
                </pt>
                <pt idx="103">
                  <v>-321</v>
                </pt>
                <pt idx="104">
                  <v>-303</v>
                </pt>
                <pt idx="105">
                  <v>-259</v>
                </pt>
                <pt idx="106">
                  <v>-235</v>
                </pt>
                <pt idx="107">
                  <v>-158</v>
                </pt>
                <pt idx="108">
                  <v>-96</v>
                </pt>
                <pt idx="109">
                  <v>-115</v>
                </pt>
                <pt idx="110">
                  <v>-118</v>
                </pt>
                <pt idx="111">
                  <v>-134</v>
                </pt>
                <pt idx="112">
                  <v>-157</v>
                </pt>
                <pt idx="113">
                  <v>-174</v>
                </pt>
                <pt idx="114">
                  <v>-188</v>
                </pt>
                <pt idx="115">
                  <v>-208</v>
                </pt>
                <pt idx="116">
                  <v>-208</v>
                </pt>
                <pt idx="117">
                  <v>-221</v>
                </pt>
                <pt idx="118">
                  <v>-217</v>
                </pt>
                <pt idx="119">
                  <v>-226</v>
                </pt>
                <pt idx="120">
                  <v>-261</v>
                </pt>
                <pt idx="121">
                  <v>-261</v>
                </pt>
                <pt idx="122">
                  <v>-297</v>
                </pt>
                <pt idx="123">
                  <v>-330</v>
                </pt>
                <pt idx="124">
                  <v>-370</v>
                </pt>
                <pt idx="125">
                  <v>-386</v>
                </pt>
                <pt idx="126">
                  <v>-416</v>
                </pt>
                <pt idx="127">
                  <v>-465</v>
                </pt>
                <pt idx="128">
                  <v>-520</v>
                </pt>
                <pt idx="129">
                  <v>-518</v>
                </pt>
                <pt idx="130">
                  <v>-606</v>
                </pt>
                <pt idx="131">
                  <v>-630</v>
                </pt>
                <pt idx="132">
                  <v>-682</v>
                </pt>
                <pt idx="133">
                  <v>-811</v>
                </pt>
                <pt idx="134">
                  <v>-754</v>
                </pt>
                <pt idx="135">
                  <v>-649</v>
                </pt>
                <pt idx="136">
                  <v>-519</v>
                </pt>
                <pt idx="137">
                  <v>-407</v>
                </pt>
                <pt idx="138">
                  <v>-310</v>
                </pt>
                <pt idx="139">
                  <v>-142</v>
                </pt>
                <pt idx="140">
                  <v>2</v>
                </pt>
                <pt idx="141">
                  <v>110</v>
                </pt>
                <pt idx="142">
                  <v>292</v>
                </pt>
                <pt idx="143">
                  <v>405</v>
                </pt>
                <pt idx="144">
                  <v>562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7308144"/>
        <axId val="527307816"/>
      </lineChart>
      <catAx>
        <axId val="52730814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27307816"/>
        <crosses val="autoZero"/>
        <auto val="1"/>
        <lblAlgn val="ctr"/>
        <lblOffset val="100"/>
        <noMultiLvlLbl val="0"/>
      </catAx>
      <valAx>
        <axId val="527307816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rPr lang="en-US"/>
                  <a:t>Percentage of Leases Renewed, Reduced or Expired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700" b="0" i="0" strike="noStrike" kern="1200" baseline="0">
                  <a:solidFill>
                    <a:srgbClr val="6A748C"/>
                  </a:solidFill>
                  <a:latin typeface="Futura PT Light" panose="020B0402020204020303" pitchFamily="34" charset="0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2730814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1044568609692418"/>
          <y val="0.905899734515072"/>
          <w val="0.9308610139486053"/>
          <h val="0.09331001988194326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7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barChart>
        <barDir val="col"/>
        <grouping val="stacked"/>
        <varyColors val="0"/>
        <ser>
          <idx val="0"/>
          <order val="0"/>
          <tx>
            <strRef>
              <f>'All Charts'!$AY$2</f>
              <strCache>
                <ptCount val="1"/>
                <pt idx="0">
                  <v>Leases In Firm Term (ttm)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Charts'!$B$6:$B$149</f>
              <strCache>
                <ptCount val="14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</strCache>
            </strRef>
          </cat>
          <val>
            <numRef>
              <f>'All Charts'!$AY$6:$AY$149</f>
              <numCache>
                <formatCode>#,##0_);[Red]\(#,##0\)</formatCode>
                <ptCount val="144"/>
                <pt idx="0">
                  <v>3937</v>
                </pt>
                <pt idx="1">
                  <v>3936</v>
                </pt>
                <pt idx="2">
                  <v>3927</v>
                </pt>
                <pt idx="3">
                  <v>3947</v>
                </pt>
                <pt idx="4">
                  <v>3937</v>
                </pt>
                <pt idx="5">
                  <v>3950</v>
                </pt>
                <pt idx="6">
                  <v>3959</v>
                </pt>
                <pt idx="7">
                  <v>3923</v>
                </pt>
                <pt idx="8">
                  <v>3935</v>
                </pt>
                <pt idx="9">
                  <v>3910</v>
                </pt>
                <pt idx="10">
                  <v>3906</v>
                </pt>
                <pt idx="11">
                  <v>3895</v>
                </pt>
                <pt idx="12">
                  <v>3903</v>
                </pt>
                <pt idx="13">
                  <v>3870</v>
                </pt>
                <pt idx="14">
                  <v>3882</v>
                </pt>
                <pt idx="15">
                  <v>3875</v>
                </pt>
                <pt idx="16">
                  <v>3862</v>
                </pt>
                <pt idx="17">
                  <v>3868</v>
                </pt>
                <pt idx="18">
                  <v>3853</v>
                </pt>
                <pt idx="19">
                  <v>3818</v>
                </pt>
                <pt idx="20">
                  <v>3809</v>
                </pt>
                <pt idx="21">
                  <v>3810</v>
                </pt>
                <pt idx="22">
                  <v>3800</v>
                </pt>
                <pt idx="23">
                  <v>3787</v>
                </pt>
                <pt idx="24">
                  <v>3793</v>
                </pt>
                <pt idx="25">
                  <v>3780</v>
                </pt>
                <pt idx="26">
                  <v>3789</v>
                </pt>
                <pt idx="27">
                  <v>3793</v>
                </pt>
                <pt idx="28">
                  <v>3789</v>
                </pt>
                <pt idx="29">
                  <v>3800</v>
                </pt>
                <pt idx="30">
                  <v>3797</v>
                </pt>
                <pt idx="31">
                  <v>3774</v>
                </pt>
                <pt idx="32">
                  <v>3722</v>
                </pt>
                <pt idx="33">
                  <v>3715</v>
                </pt>
                <pt idx="34">
                  <v>3717</v>
                </pt>
                <pt idx="35">
                  <v>3714</v>
                </pt>
                <pt idx="36">
                  <v>3702</v>
                </pt>
                <pt idx="37">
                  <v>3713</v>
                </pt>
                <pt idx="38">
                  <v>3710</v>
                </pt>
                <pt idx="39">
                  <v>3710</v>
                </pt>
                <pt idx="40">
                  <v>3714</v>
                </pt>
                <pt idx="41">
                  <v>3725</v>
                </pt>
                <pt idx="42">
                  <v>3745</v>
                </pt>
                <pt idx="43">
                  <v>3740</v>
                </pt>
                <pt idx="44">
                  <v>3705</v>
                </pt>
                <pt idx="45">
                  <v>3670</v>
                </pt>
                <pt idx="46">
                  <v>3680</v>
                </pt>
                <pt idx="47">
                  <v>3665</v>
                </pt>
                <pt idx="48">
                  <v>3682</v>
                </pt>
                <pt idx="49">
                  <v>3659</v>
                </pt>
                <pt idx="50">
                  <v>3651</v>
                </pt>
                <pt idx="51">
                  <v>3726</v>
                </pt>
                <pt idx="52">
                  <v>3693</v>
                </pt>
                <pt idx="53">
                  <v>3708</v>
                </pt>
                <pt idx="54">
                  <v>3724</v>
                </pt>
                <pt idx="55">
                  <v>3743</v>
                </pt>
                <pt idx="56">
                  <v>3704</v>
                </pt>
                <pt idx="57">
                  <v>3769</v>
                </pt>
                <pt idx="58">
                  <v>3804</v>
                </pt>
                <pt idx="59">
                  <v>3919</v>
                </pt>
                <pt idx="60">
                  <v>3930</v>
                </pt>
                <pt idx="61">
                  <v>3934</v>
                </pt>
                <pt idx="62">
                  <v>3925</v>
                </pt>
                <pt idx="63">
                  <v>3937</v>
                </pt>
                <pt idx="64">
                  <v>3932</v>
                </pt>
                <pt idx="65">
                  <v>3948</v>
                </pt>
                <pt idx="66">
                  <v>3950</v>
                </pt>
                <pt idx="67">
                  <v>3943</v>
                </pt>
                <pt idx="68">
                  <v>3903</v>
                </pt>
                <pt idx="69">
                  <v>3891</v>
                </pt>
                <pt idx="70">
                  <v>3786</v>
                </pt>
                <pt idx="71">
                  <v>3796</v>
                </pt>
                <pt idx="72">
                  <v>3796</v>
                </pt>
                <pt idx="73">
                  <v>3786</v>
                </pt>
                <pt idx="74">
                  <v>3790</v>
                </pt>
                <pt idx="75">
                  <v>3791</v>
                </pt>
                <pt idx="76">
                  <v>3788</v>
                </pt>
                <pt idx="77">
                  <v>3814</v>
                </pt>
                <pt idx="78">
                  <v>3853</v>
                </pt>
                <pt idx="79">
                  <v>3854</v>
                </pt>
                <pt idx="80">
                  <v>3870</v>
                </pt>
                <pt idx="81">
                  <v>3890</v>
                </pt>
                <pt idx="82">
                  <v>3872</v>
                </pt>
                <pt idx="83">
                  <v>3893</v>
                </pt>
                <pt idx="84">
                  <v>3899</v>
                </pt>
                <pt idx="85">
                  <v>3894</v>
                </pt>
                <pt idx="86">
                  <v>3915</v>
                </pt>
                <pt idx="87">
                  <v>3969</v>
                </pt>
                <pt idx="88">
                  <v>3995</v>
                </pt>
                <pt idx="89">
                  <v>4029</v>
                </pt>
                <pt idx="90">
                  <v>4053</v>
                </pt>
                <pt idx="91">
                  <v>4085</v>
                </pt>
                <pt idx="92">
                  <v>4108</v>
                </pt>
                <pt idx="93">
                  <v>4160</v>
                </pt>
                <pt idx="94">
                  <v>4201</v>
                </pt>
                <pt idx="95">
                  <v>4216</v>
                </pt>
                <pt idx="96">
                  <v>4252</v>
                </pt>
                <pt idx="97">
                  <v>4267</v>
                </pt>
                <pt idx="98">
                  <v>4309</v>
                </pt>
                <pt idx="99">
                  <v>4352</v>
                </pt>
                <pt idx="100">
                  <v>4404</v>
                </pt>
                <pt idx="101">
                  <v>4436</v>
                </pt>
                <pt idx="102">
                  <v>4509</v>
                </pt>
                <pt idx="103">
                  <v>4551</v>
                </pt>
                <pt idx="104">
                  <v>4608</v>
                </pt>
                <pt idx="105">
                  <v>4682</v>
                </pt>
                <pt idx="106">
                  <v>4778</v>
                </pt>
                <pt idx="107">
                  <v>4790</v>
                </pt>
                <pt idx="108">
                  <v>4792</v>
                </pt>
                <pt idx="109">
                  <v>4810</v>
                </pt>
                <pt idx="110">
                  <v>4851</v>
                </pt>
                <pt idx="111">
                  <v>4910</v>
                </pt>
                <pt idx="112">
                  <v>4938</v>
                </pt>
                <pt idx="113">
                  <v>4984</v>
                </pt>
                <pt idx="114">
                  <v>4998</v>
                </pt>
                <pt idx="115">
                  <v>5026</v>
                </pt>
                <pt idx="116">
                  <v>5055</v>
                </pt>
                <pt idx="117">
                  <v>5096</v>
                </pt>
                <pt idx="118">
                  <v>5116</v>
                </pt>
                <pt idx="119">
                  <v>5129</v>
                </pt>
                <pt idx="120">
                  <v>5149</v>
                </pt>
                <pt idx="121">
                  <v>5164</v>
                </pt>
                <pt idx="122">
                  <v>5200</v>
                </pt>
                <pt idx="123">
                  <v>5232</v>
                </pt>
                <pt idx="124">
                  <v>5255</v>
                </pt>
                <pt idx="125">
                  <v>5271</v>
                </pt>
                <pt idx="126">
                  <v>5320</v>
                </pt>
                <pt idx="127">
                  <v>5288</v>
                </pt>
                <pt idx="128">
                  <v>5306</v>
                </pt>
                <pt idx="129">
                  <v>5330</v>
                </pt>
                <pt idx="130">
                  <v>5349</v>
                </pt>
                <pt idx="131">
                  <v>5364</v>
                </pt>
                <pt idx="132">
                  <v>5393</v>
                </pt>
                <pt idx="133">
                  <v>5421</v>
                </pt>
                <pt idx="134">
                  <v>5440</v>
                </pt>
                <pt idx="135">
                  <v>5466</v>
                </pt>
                <pt idx="136">
                  <v>5497</v>
                </pt>
                <pt idx="137">
                  <v>5530</v>
                </pt>
                <pt idx="138">
                  <v>5585</v>
                </pt>
                <pt idx="139">
                  <v>5617</v>
                </pt>
                <pt idx="140">
                  <v>5653</v>
                </pt>
                <pt idx="141">
                  <v>5692</v>
                </pt>
                <pt idx="142">
                  <v>5735</v>
                </pt>
                <pt idx="143">
                  <v>5780</v>
                </pt>
              </numCache>
            </numRef>
          </val>
        </ser>
        <ser>
          <idx val="1"/>
          <order val="1"/>
          <tx>
            <strRef>
              <f>'All Charts'!$AZ$2</f>
              <strCache>
                <ptCount val="1"/>
                <pt idx="0">
                  <v>Leases Outside Firm (ttm)</v>
                </pt>
              </strCache>
            </strRef>
          </tx>
          <spPr>
            <a:solidFill xmlns:a="http://schemas.openxmlformats.org/drawingml/2006/main">
              <a:srgbClr val="B1DAF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Charts'!$B$6:$B$149</f>
              <strCache>
                <ptCount val="14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</strCache>
            </strRef>
          </cat>
          <val>
            <numRef>
              <f>'All Charts'!$AZ$6:$AZ$149</f>
              <numCache>
                <formatCode>#,##0_);[Red]\(#,##0\)</formatCode>
                <ptCount val="144"/>
                <pt idx="0">
                  <v>2017</v>
                </pt>
                <pt idx="1">
                  <v>2042</v>
                </pt>
                <pt idx="2">
                  <v>2059</v>
                </pt>
                <pt idx="3">
                  <v>2056</v>
                </pt>
                <pt idx="4">
                  <v>2070</v>
                </pt>
                <pt idx="5">
                  <v>2074</v>
                </pt>
                <pt idx="6">
                  <v>2086</v>
                </pt>
                <pt idx="7">
                  <v>2134</v>
                </pt>
                <pt idx="8">
                  <v>2132</v>
                </pt>
                <pt idx="9">
                  <v>2162</v>
                </pt>
                <pt idx="10">
                  <v>2165</v>
                </pt>
                <pt idx="11">
                  <v>2165</v>
                </pt>
                <pt idx="12">
                  <v>2163</v>
                </pt>
                <pt idx="13">
                  <v>2193</v>
                </pt>
                <pt idx="14">
                  <v>2189</v>
                </pt>
                <pt idx="15">
                  <v>2205</v>
                </pt>
                <pt idx="16">
                  <v>2221</v>
                </pt>
                <pt idx="17">
                  <v>2222</v>
                </pt>
                <pt idx="18">
                  <v>2235</v>
                </pt>
                <pt idx="19">
                  <v>2270</v>
                </pt>
                <pt idx="20">
                  <v>2259</v>
                </pt>
                <pt idx="21">
                  <v>2265</v>
                </pt>
                <pt idx="22">
                  <v>2263</v>
                </pt>
                <pt idx="23">
                  <v>2282</v>
                </pt>
                <pt idx="24">
                  <v>2281</v>
                </pt>
                <pt idx="25">
                  <v>2282</v>
                </pt>
                <pt idx="26">
                  <v>2281</v>
                </pt>
                <pt idx="27">
                  <v>2300</v>
                </pt>
                <pt idx="28">
                  <v>2316</v>
                </pt>
                <pt idx="29">
                  <v>2322</v>
                </pt>
                <pt idx="30">
                  <v>2330</v>
                </pt>
                <pt idx="31">
                  <v>2357</v>
                </pt>
                <pt idx="32">
                  <v>2386</v>
                </pt>
                <pt idx="33">
                  <v>2409</v>
                </pt>
                <pt idx="34">
                  <v>2430</v>
                </pt>
                <pt idx="35">
                  <v>2441</v>
                </pt>
                <pt idx="36">
                  <v>2451</v>
                </pt>
                <pt idx="37">
                  <v>2444</v>
                </pt>
                <pt idx="38">
                  <v>2454</v>
                </pt>
                <pt idx="39">
                  <v>2462</v>
                </pt>
                <pt idx="40">
                  <v>2482</v>
                </pt>
                <pt idx="41">
                  <v>2489</v>
                </pt>
                <pt idx="42">
                  <v>2488</v>
                </pt>
                <pt idx="43">
                  <v>2519</v>
                </pt>
                <pt idx="44">
                  <v>2555</v>
                </pt>
                <pt idx="45">
                  <v>2594</v>
                </pt>
                <pt idx="46">
                  <v>2598</v>
                </pt>
                <pt idx="47">
                  <v>2628</v>
                </pt>
                <pt idx="48">
                  <v>2641</v>
                </pt>
                <pt idx="49">
                  <v>2717</v>
                </pt>
                <pt idx="50">
                  <v>2772</v>
                </pt>
                <pt idx="51">
                  <v>2865</v>
                </pt>
                <pt idx="52">
                  <v>2930</v>
                </pt>
                <pt idx="53">
                  <v>2945</v>
                </pt>
                <pt idx="54">
                  <v>2970</v>
                </pt>
                <pt idx="55">
                  <v>2982</v>
                </pt>
                <pt idx="56">
                  <v>3012</v>
                </pt>
                <pt idx="57">
                  <v>2966</v>
                </pt>
                <pt idx="58">
                  <v>2961</v>
                </pt>
                <pt idx="59">
                  <v>2872</v>
                </pt>
                <pt idx="60">
                  <v>2872</v>
                </pt>
                <pt idx="61">
                  <v>2888</v>
                </pt>
                <pt idx="62">
                  <v>2916</v>
                </pt>
                <pt idx="63">
                  <v>2938</v>
                </pt>
                <pt idx="64">
                  <v>2958</v>
                </pt>
                <pt idx="65">
                  <v>2974</v>
                </pt>
                <pt idx="66">
                  <v>2992</v>
                </pt>
                <pt idx="67">
                  <v>3006</v>
                </pt>
                <pt idx="68">
                  <v>3012</v>
                </pt>
                <pt idx="69">
                  <v>3007</v>
                </pt>
                <pt idx="70">
                  <v>3026</v>
                </pt>
                <pt idx="71">
                  <v>3038</v>
                </pt>
                <pt idx="72">
                  <v>3056</v>
                </pt>
                <pt idx="73">
                  <v>3079</v>
                </pt>
                <pt idx="74">
                  <v>3089</v>
                </pt>
                <pt idx="75">
                  <v>3092</v>
                </pt>
                <pt idx="76">
                  <v>3117</v>
                </pt>
                <pt idx="77">
                  <v>3137</v>
                </pt>
                <pt idx="78">
                  <v>3151</v>
                </pt>
                <pt idx="79">
                  <v>3167</v>
                </pt>
                <pt idx="80">
                  <v>3170</v>
                </pt>
                <pt idx="81">
                  <v>3184</v>
                </pt>
                <pt idx="82">
                  <v>3229</v>
                </pt>
                <pt idx="83">
                  <v>3244</v>
                </pt>
                <pt idx="84">
                  <v>3259</v>
                </pt>
                <pt idx="85">
                  <v>3278</v>
                </pt>
                <pt idx="86">
                  <v>3291</v>
                </pt>
                <pt idx="87">
                  <v>3292</v>
                </pt>
                <pt idx="88">
                  <v>3317</v>
                </pt>
                <pt idx="89">
                  <v>3349</v>
                </pt>
                <pt idx="90">
                  <v>3376</v>
                </pt>
                <pt idx="91">
                  <v>3391</v>
                </pt>
                <pt idx="92">
                  <v>3409</v>
                </pt>
                <pt idx="93">
                  <v>3402</v>
                </pt>
                <pt idx="94">
                  <v>3398</v>
                </pt>
                <pt idx="95">
                  <v>3423</v>
                </pt>
                <pt idx="96">
                  <v>3449</v>
                </pt>
                <pt idx="97">
                  <v>3472</v>
                </pt>
                <pt idx="98">
                  <v>3479</v>
                </pt>
                <pt idx="99">
                  <v>3485</v>
                </pt>
                <pt idx="100">
                  <v>3488</v>
                </pt>
                <pt idx="101">
                  <v>3494</v>
                </pt>
                <pt idx="102">
                  <v>3485</v>
                </pt>
                <pt idx="103">
                  <v>3491</v>
                </pt>
                <pt idx="104">
                  <v>3473</v>
                </pt>
                <pt idx="105">
                  <v>3456</v>
                </pt>
                <pt idx="106">
                  <v>3459</v>
                </pt>
                <pt idx="107">
                  <v>3523</v>
                </pt>
                <pt idx="108">
                  <v>3516</v>
                </pt>
                <pt idx="109">
                  <v>3495</v>
                </pt>
                <pt idx="110">
                  <v>3457</v>
                </pt>
                <pt idx="111">
                  <v>3393</v>
                </pt>
                <pt idx="112">
                  <v>3361</v>
                </pt>
                <pt idx="113">
                  <v>3316</v>
                </pt>
                <pt idx="114">
                  <v>3290</v>
                </pt>
                <pt idx="115">
                  <v>3250</v>
                </pt>
                <pt idx="116">
                  <v>3222</v>
                </pt>
                <pt idx="117">
                  <v>3190</v>
                </pt>
                <pt idx="118">
                  <v>3168</v>
                </pt>
                <pt idx="119">
                  <v>3148</v>
                </pt>
                <pt idx="120">
                  <v>3120</v>
                </pt>
                <pt idx="121">
                  <v>3111</v>
                </pt>
                <pt idx="122">
                  <v>3089</v>
                </pt>
                <pt idx="123">
                  <v>3071</v>
                </pt>
                <pt idx="124">
                  <v>3065</v>
                </pt>
                <pt idx="125">
                  <v>3052</v>
                </pt>
                <pt idx="126">
                  <v>3031</v>
                </pt>
                <pt idx="127">
                  <v>3049</v>
                </pt>
                <pt idx="128">
                  <v>3036</v>
                </pt>
                <pt idx="129">
                  <v>3020</v>
                </pt>
                <pt idx="130">
                  <v>3002</v>
                </pt>
                <pt idx="131">
                  <v>2992</v>
                </pt>
                <pt idx="132">
                  <v>2984</v>
                </pt>
                <pt idx="133">
                  <v>2969</v>
                </pt>
                <pt idx="134">
                  <v>2978</v>
                </pt>
                <pt idx="135">
                  <v>2988</v>
                </pt>
                <pt idx="136">
                  <v>2997</v>
                </pt>
                <pt idx="137">
                  <v>2982</v>
                </pt>
                <pt idx="138">
                  <v>2973</v>
                </pt>
                <pt idx="139">
                  <v>2962</v>
                </pt>
                <pt idx="140">
                  <v>2957</v>
                </pt>
                <pt idx="141">
                  <v>2948</v>
                </pt>
                <pt idx="142">
                  <v>2956</v>
                </pt>
                <pt idx="143">
                  <v>2954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57064144"/>
        <axId val="657063488"/>
      </barChart>
      <lineChart>
        <grouping val="standard"/>
        <varyColors val="0"/>
        <ser>
          <idx val="2"/>
          <order val="2"/>
          <tx>
            <strRef>
              <f>'All Charts'!$BA$2</f>
              <strCache>
                <ptCount val="1"/>
                <pt idx="0">
                  <v>Leases Terminated (ttm)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Charts'!$B$6:$B$149</f>
              <strCache>
                <ptCount val="14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</strCache>
            </strRef>
          </cat>
          <val>
            <numRef>
              <f>'All Charts'!$BA$6:$BA$149</f>
              <numCache>
                <formatCode>0.0%</formatCode>
                <ptCount val="144"/>
                <pt idx="0">
                  <v>0.0004957858205255329</v>
                </pt>
                <pt idx="1">
                  <v>0.0009794319294809011</v>
                </pt>
                <pt idx="2">
                  <v>0.0009713453132588635</v>
                </pt>
                <pt idx="3">
                  <v>0.0009727626459143969</v>
                </pt>
                <pt idx="4">
                  <v>0.001449275362318841</v>
                </pt>
                <pt idx="5">
                  <v>0.001446480231436837</v>
                </pt>
                <pt idx="6">
                  <v>0.001438159156279962</v>
                </pt>
                <pt idx="7">
                  <v>0.0014058106841612</v>
                </pt>
                <pt idx="8">
                  <v>0.001407129455909944</v>
                </pt>
                <pt idx="9">
                  <v>0.001387604070305273</v>
                </pt>
                <pt idx="10">
                  <v>0.00138568129330254</v>
                </pt>
                <pt idx="11">
                  <v>0.00138568129330254</v>
                </pt>
                <pt idx="12">
                  <v>0.001386962552011096</v>
                </pt>
                <pt idx="13">
                  <v>0.001367989056087551</v>
                </pt>
                <pt idx="14">
                  <v>0.002740977615349475</v>
                </pt>
                <pt idx="15">
                  <v>0.003174603174603175</v>
                </pt>
                <pt idx="16">
                  <v>0.00405222872579919</v>
                </pt>
                <pt idx="17">
                  <v>0.004950495049504951</v>
                </pt>
                <pt idx="18">
                  <v>0.007606263982102908</v>
                </pt>
                <pt idx="19">
                  <v>0.01101321585903084</v>
                </pt>
                <pt idx="20">
                  <v>0.01416555998229305</v>
                </pt>
                <pt idx="21">
                  <v>0.01810154525386314</v>
                </pt>
                <pt idx="22">
                  <v>0.02342023862129916</v>
                </pt>
                <pt idx="23">
                  <v>0.02410166520595968</v>
                </pt>
                <pt idx="24">
                  <v>0.0267426567295046</v>
                </pt>
                <pt idx="25">
                  <v>0.02892199824715162</v>
                </pt>
                <pt idx="26">
                  <v>0.03112669881630864</v>
                </pt>
                <pt idx="27">
                  <v>0.03217391304347826</v>
                </pt>
                <pt idx="28">
                  <v>0.03411053540587219</v>
                </pt>
                <pt idx="29">
                  <v>0.03789836347975883</v>
                </pt>
                <pt idx="30">
                  <v>0.03776824034334764</v>
                </pt>
                <pt idx="31">
                  <v>0.03818413237165889</v>
                </pt>
                <pt idx="32">
                  <v>0.03772003352891869</v>
                </pt>
                <pt idx="33">
                  <v>0.0365296803652968</v>
                </pt>
                <pt idx="34">
                  <v>0.03333333333333333</v>
                </pt>
                <pt idx="35">
                  <v>0.03768947152806227</v>
                </pt>
                <pt idx="36">
                  <v>0.03794369645042839</v>
                </pt>
                <pt idx="37">
                  <v>0.04132569558101473</v>
                </pt>
                <pt idx="38">
                  <v>0.04074979625101875</v>
                </pt>
                <pt idx="39">
                  <v>0.04346060113728676</v>
                </pt>
                <pt idx="40">
                  <v>0.04875100725221596</v>
                </pt>
                <pt idx="41">
                  <v>0.05062274005624749</v>
                </pt>
                <pt idx="42">
                  <v>0.05345659163987138</v>
                </pt>
                <pt idx="43">
                  <v>0.05279872965462485</v>
                </pt>
                <pt idx="44">
                  <v>0.05518590998043053</v>
                </pt>
                <pt idx="45">
                  <v>0.07324595219737856</v>
                </pt>
                <pt idx="46">
                  <v>0.08968437259430331</v>
                </pt>
                <pt idx="47">
                  <v>0.1297564687975647</v>
                </pt>
                <pt idx="48">
                  <v>0.1283604695191216</v>
                </pt>
                <pt idx="49">
                  <v>0.1052631578947368</v>
                </pt>
                <pt idx="50">
                  <v>0.08838383838383838</v>
                </pt>
                <pt idx="51">
                  <v>0.0593368237347295</v>
                </pt>
                <pt idx="52">
                  <v>0.04197952218430034</v>
                </pt>
                <pt idx="53">
                  <v>0.04040747028862478</v>
                </pt>
                <pt idx="54">
                  <v>0.04006734006734006</v>
                </pt>
                <pt idx="55">
                  <v>0.04292421193829644</v>
                </pt>
                <pt idx="56">
                  <v>0.04249667994687915</v>
                </pt>
                <pt idx="57">
                  <v>0.04652730950775455</v>
                </pt>
                <pt idx="58">
                  <v>0.04795677136102668</v>
                </pt>
                <pt idx="59">
                  <v>0.04909470752089137</v>
                </pt>
                <pt idx="60">
                  <v>0.04979108635097493</v>
                </pt>
                <pt idx="61">
                  <v>0.05020775623268698</v>
                </pt>
                <pt idx="62">
                  <v>0.05178326474622771</v>
                </pt>
                <pt idx="63">
                  <v>0.05037440435670524</v>
                </pt>
                <pt idx="64">
                  <v>0.04800540906017579</v>
                </pt>
                <pt idx="65">
                  <v>0.04707464694014795</v>
                </pt>
                <pt idx="66">
                  <v>0.0481283422459893</v>
                </pt>
                <pt idx="67">
                  <v>0.04890219560878244</v>
                </pt>
                <pt idx="68">
                  <v>0.04681274900398406</v>
                </pt>
                <pt idx="69">
                  <v>0.0442301296973728</v>
                </pt>
                <pt idx="70">
                  <v>0.04560475875743556</v>
                </pt>
                <pt idx="71">
                  <v>0.04641211323238973</v>
                </pt>
                <pt idx="72">
                  <v>0.04842931937172775</v>
                </pt>
                <pt idx="73">
                  <v>0.04676843130886651</v>
                </pt>
                <pt idx="74">
                  <v>0.04499838135318873</v>
                </pt>
                <pt idx="75">
                  <v>0.04721862871927555</v>
                </pt>
                <pt idx="76">
                  <v>0.04844401668270773</v>
                </pt>
                <pt idx="77">
                  <v>0.05227924768887472</v>
                </pt>
                <pt idx="78">
                  <v>0.05299904792129483</v>
                </pt>
                <pt idx="79">
                  <v>0.05146826649826334</v>
                </pt>
                <pt idx="80">
                  <v>0.0526813880126183</v>
                </pt>
                <pt idx="81">
                  <v>0.05559045226130653</v>
                </pt>
                <pt idx="82">
                  <v>0.05450603902136884</v>
                </pt>
                <pt idx="83">
                  <v>0.05394574599260173</v>
                </pt>
                <pt idx="84">
                  <v>0.05247008284749923</v>
                </pt>
                <pt idx="85">
                  <v>0.05521659548505186</v>
                </pt>
                <pt idx="86">
                  <v>0.05894864782740808</v>
                </pt>
                <pt idx="87">
                  <v>0.05953827460510328</v>
                </pt>
                <pt idx="88">
                  <v>0.05999397045523063</v>
                </pt>
                <pt idx="89">
                  <v>0.0585249328157659</v>
                </pt>
                <pt idx="90">
                  <v>0.06042654028436019</v>
                </pt>
                <pt idx="91">
                  <v>0.06104393984075494</v>
                </pt>
                <pt idx="92">
                  <v>0.06072161924317982</v>
                </pt>
                <pt idx="93">
                  <v>0.06143445032333921</v>
                </pt>
                <pt idx="94">
                  <v>0.06150676868746321</v>
                </pt>
                <pt idx="95">
                  <v>0.06397896581945661</v>
                </pt>
                <pt idx="96">
                  <v>0.06842563061757032</v>
                </pt>
                <pt idx="97">
                  <v>0.06509216589861751</v>
                </pt>
                <pt idx="98">
                  <v>0.06151192871514803</v>
                </pt>
                <pt idx="99">
                  <v>0.05882352941176471</v>
                </pt>
                <pt idx="100">
                  <v>0.05791284403669725</v>
                </pt>
                <pt idx="101">
                  <v>0.0520892959358901</v>
                </pt>
                <pt idx="102">
                  <v>0.04878048780487805</v>
                </pt>
                <pt idx="103">
                  <v>0.04812374677742767</v>
                </pt>
                <pt idx="104">
                  <v>0.05010077742585661</v>
                </pt>
                <pt idx="105">
                  <v>0.04803240740740741</v>
                </pt>
                <pt idx="106">
                  <v>0.04625614339404452</v>
                </pt>
                <pt idx="107">
                  <v>0.04371274481975589</v>
                </pt>
                <pt idx="108">
                  <v>0.040386803185438</v>
                </pt>
                <pt idx="109">
                  <v>0.04291845493562232</v>
                </pt>
                <pt idx="110">
                  <v>0.04339022273647671</v>
                </pt>
                <pt idx="111">
                  <v>0.04332449160035367</v>
                </pt>
                <pt idx="112">
                  <v>0.04284439155013389</v>
                </pt>
                <pt idx="113">
                  <v>0.04493365500603137</v>
                </pt>
                <pt idx="114">
                  <v>0.04437689969604863</v>
                </pt>
                <pt idx="115">
                  <v>0.04492307692307692</v>
                </pt>
                <pt idx="116">
                  <v>0.04531346989447548</v>
                </pt>
                <pt idx="117">
                  <v>0.04858934169278997</v>
                </pt>
                <pt idx="118">
                  <v>0.04924242424242424</v>
                </pt>
                <pt idx="119">
                  <v>0.05019059720457433</v>
                </pt>
                <pt idx="120">
                  <v>0.0516025641025641</v>
                </pt>
                <pt idx="121">
                  <v>0.05368048858887817</v>
                </pt>
                <pt idx="122">
                  <v>0.05794755584331499</v>
                </pt>
                <pt idx="123">
                  <v>0.05991533702377076</v>
                </pt>
                <pt idx="124">
                  <v>0.066557911908646</v>
                </pt>
                <pt idx="125">
                  <v>0.06880733944954129</v>
                </pt>
                <pt idx="126">
                  <v>0.07258330583965687</v>
                </pt>
                <pt idx="127">
                  <v>0.07904230895375533</v>
                </pt>
                <pt idx="128">
                  <v>0.08498023715415019</v>
                </pt>
                <pt idx="129">
                  <v>0.0837748344370861</v>
                </pt>
                <pt idx="130">
                  <v>0.08894070619586943</v>
                </pt>
                <pt idx="131">
                  <v>0.09191176470588236</v>
                </pt>
                <pt idx="132">
                  <v>0.09785522788203753</v>
                </pt>
                <pt idx="133">
                  <v>0.1091276524082183</v>
                </pt>
                <pt idx="134">
                  <v>0.1051040967092008</v>
                </pt>
                <pt idx="135">
                  <v>0.1037483266398929</v>
                </pt>
                <pt idx="136">
                  <v>0.09743076409743076</v>
                </pt>
                <pt idx="137">
                  <v>0.0949027498323273</v>
                </pt>
                <pt idx="138">
                  <v>0.09081735620585267</v>
                </pt>
                <pt idx="139">
                  <v>0.07866306549628629</v>
                </pt>
                <pt idx="140">
                  <v>0.06763611768684477</v>
                </pt>
                <pt idx="141">
                  <v>0.06275440976933515</v>
                </pt>
                <pt idx="142">
                  <v>0.05412719891745602</v>
                </pt>
                <pt idx="143">
                  <v>0.04671631685849695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57025232"/>
        <axId val="657024904"/>
      </lineChart>
      <catAx>
        <axId val="65706414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7063488"/>
        <crosses val="autoZero"/>
        <auto val="1"/>
        <lblAlgn val="ctr"/>
        <lblOffset val="100"/>
        <noMultiLvlLbl val="0"/>
      </catAx>
      <valAx>
        <axId val="657063488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7064144"/>
        <crosses val="autoZero"/>
        <crossBetween val="between"/>
      </valAx>
      <catAx>
        <axId val="657025232"/>
        <scaling>
          <orientation val="maxMin"/>
        </scaling>
        <delete val="1"/>
        <axPos val="t"/>
        <numFmt formatCode="General" sourceLinked="1"/>
        <majorTickMark val="out"/>
        <minorTickMark val="none"/>
        <tickLblPos val="nextTo"/>
        <crossAx val="657024904"/>
        <crosses val="max"/>
        <auto val="1"/>
        <lblAlgn val="ctr"/>
        <lblOffset val="100"/>
        <noMultiLvlLbl val="0"/>
      </catAx>
      <valAx>
        <axId val="657024904"/>
        <scaling>
          <orientation val="minMax"/>
        </scaling>
        <delete val="0"/>
        <axPos val="l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702523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526251526251526"/>
          <y val="0.01676245210727969"/>
          <w val="0.9336218243698559"/>
          <h val="0.7075822358715425"/>
        </manualLayout>
      </layout>
      <lineChart>
        <grouping val="standard"/>
        <varyColors val="0"/>
        <ser>
          <idx val="0"/>
          <order val="0"/>
          <tx>
            <strRef>
              <f>'All Charts'!$O$2</f>
              <strCache>
                <ptCount val="1"/>
                <pt idx="0">
                  <v>10+ Year Cap (ttm)</v>
                </pt>
              </strCache>
            </strRef>
          </tx>
          <spPr>
            <a:ln xmlns:a="http://schemas.openxmlformats.org/drawingml/2006/main" w="31750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Charts'!$B$6:$B$137</f>
              <strCache>
                <ptCount val="13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</strCache>
            </strRef>
          </cat>
          <val>
            <numRef>
              <f>'All Charts'!$O$6:$O$137</f>
              <numCache>
                <formatCode>0.00%</formatCode>
                <ptCount val="132"/>
                <pt idx="0">
                  <v>0.07185521041094101</v>
                </pt>
                <pt idx="1">
                  <v>0.07185521041094101</v>
                </pt>
                <pt idx="2">
                  <v>0.07345124407884386</v>
                </pt>
                <pt idx="3">
                  <v>0.07157210247196219</v>
                </pt>
                <pt idx="4">
                  <v>0.07128241205496191</v>
                </pt>
                <pt idx="5">
                  <v>0.07109589547480212</v>
                </pt>
                <pt idx="6">
                  <v>0.071038479866199</v>
                </pt>
                <pt idx="7">
                  <v>0.07069244763707107</v>
                </pt>
                <pt idx="8">
                  <v>0.07069244763707107</v>
                </pt>
                <pt idx="9">
                  <v>0.07071358333162912</v>
                </pt>
                <pt idx="10">
                  <v>0.07071358333162912</v>
                </pt>
                <pt idx="11">
                  <v>0.07127140734935963</v>
                </pt>
                <pt idx="12">
                  <v>0.07161345845360523</v>
                </pt>
                <pt idx="13">
                  <v>0.07161345845360523</v>
                </pt>
                <pt idx="14">
                  <v>0.07139394000086417</v>
                </pt>
                <pt idx="15">
                  <v>0.0725366300303992</v>
                </pt>
                <pt idx="16">
                  <v>0.06877722013200829</v>
                </pt>
                <pt idx="17">
                  <v>0.06888691982779456</v>
                </pt>
                <pt idx="18">
                  <v>0.06509833239987148</v>
                </pt>
                <pt idx="19">
                  <v>0.06536353275694348</v>
                </pt>
                <pt idx="20">
                  <v>0.06591760927024201</v>
                </pt>
                <pt idx="21">
                  <v>0.06437339104107535</v>
                </pt>
                <pt idx="22">
                  <v>0.06383204616619362</v>
                </pt>
                <pt idx="23">
                  <v>0.06093013265273457</v>
                </pt>
                <pt idx="24">
                  <v>0.05899514371387715</v>
                </pt>
                <pt idx="25">
                  <v>0.05934168282447959</v>
                </pt>
                <pt idx="26">
                  <v>0.05934168282447959</v>
                </pt>
                <pt idx="27">
                  <v>0.05934168282447959</v>
                </pt>
                <pt idx="28">
                  <v>0.05941714559054292</v>
                </pt>
                <pt idx="29">
                  <v>0.05876661011879245</v>
                </pt>
                <pt idx="30">
                  <v>0.05926650892245571</v>
                </pt>
                <pt idx="31">
                  <v>0.05866659413334097</v>
                </pt>
                <pt idx="32">
                  <v>0.05832908672847027</v>
                </pt>
                <pt idx="33">
                  <v>0.05869750778110185</v>
                </pt>
                <pt idx="34">
                  <v>0.05829083842622297</v>
                </pt>
                <pt idx="35">
                  <v>0.05864651648502321</v>
                </pt>
                <pt idx="36">
                  <v>0.05900799248816267</v>
                </pt>
                <pt idx="37">
                  <v>0.05840582829379634</v>
                </pt>
                <pt idx="38">
                  <v>0.05835055883417488</v>
                </pt>
                <pt idx="39">
                  <v>0.05836597282140122</v>
                </pt>
                <pt idx="40">
                  <v>0.05814165300330389</v>
                </pt>
                <pt idx="41">
                  <v>0.05819967585907549</v>
                </pt>
                <pt idx="42">
                  <v>0.05909940048541609</v>
                </pt>
                <pt idx="43">
                  <v>0.05978245172827953</v>
                </pt>
                <pt idx="44">
                  <v>0.05878628452382158</v>
                </pt>
                <pt idx="45">
                  <v>0.05827203682540968</v>
                </pt>
                <pt idx="46">
                  <v>0.05923034473519755</v>
                </pt>
                <pt idx="47">
                  <v>0.05923034473519755</v>
                </pt>
                <pt idx="48">
                  <v>0.06030365082788001</v>
                </pt>
                <pt idx="49">
                  <v>0.06248933087547471</v>
                </pt>
                <pt idx="50">
                  <v>0.0633189386309175</v>
                </pt>
                <pt idx="51">
                  <v>0.06296199639918611</v>
                </pt>
                <pt idx="52">
                  <v>0.0679282346635047</v>
                </pt>
                <pt idx="53">
                  <v>0.0679282346635047</v>
                </pt>
                <pt idx="54">
                  <v>0.06743866480359788</v>
                </pt>
                <pt idx="55">
                  <v>0.06706447446048375</v>
                </pt>
                <pt idx="56">
                  <v>0.06743034059643226</v>
                </pt>
                <pt idx="57">
                  <v>0.06670947829862652</v>
                </pt>
                <pt idx="58">
                  <v>0.06464983289195328</v>
                </pt>
                <pt idx="59">
                  <v>0.0650857315736028</v>
                </pt>
                <pt idx="60">
                  <v>0.06459490730959404</v>
                </pt>
                <pt idx="61">
                  <v>0.06416481546112469</v>
                </pt>
                <pt idx="62">
                  <v>0.0639754649953275</v>
                </pt>
                <pt idx="63">
                  <v>0.06447959538795102</v>
                </pt>
                <pt idx="64">
                  <v>0.06203558970161199</v>
                </pt>
                <pt idx="65">
                  <v>0.0620058347181891</v>
                </pt>
                <pt idx="66">
                  <v>0.06213873141794025</v>
                </pt>
                <pt idx="67">
                  <v>0.06213512738370146</v>
                </pt>
                <pt idx="68">
                  <v>0.06272858563864157</v>
                </pt>
                <pt idx="69">
                  <v>0.06430159629202745</v>
                </pt>
                <pt idx="70">
                  <v>0.06714419465422795</v>
                </pt>
                <pt idx="71">
                  <v>0.06600814373318215</v>
                </pt>
                <pt idx="72">
                  <v>0.06570045142548984</v>
                </pt>
                <pt idx="73">
                  <v>0.06482968111812053</v>
                </pt>
                <pt idx="74">
                  <v>0.06482968111812053</v>
                </pt>
                <pt idx="75">
                  <v>0.06482968111812053</v>
                </pt>
                <pt idx="76">
                  <v>0.06423470389539764</v>
                </pt>
                <pt idx="77">
                  <v>0.06304572363570446</v>
                </pt>
                <pt idx="78">
                  <v>0.06289623675654271</v>
                </pt>
                <pt idx="79">
                  <v>0.06265502610672423</v>
                </pt>
                <pt idx="80">
                  <v>0.06252212680116867</v>
                </pt>
                <pt idx="81">
                  <v>0.06173829525183247</v>
                </pt>
                <pt idx="82">
                  <v>0.06157312570358074</v>
                </pt>
                <pt idx="83">
                  <v>0.06239834122272797</v>
                </pt>
                <pt idx="84">
                  <v>0.06251263012816356</v>
                </pt>
                <pt idx="85">
                  <v>0.06317593944282657</v>
                </pt>
                <pt idx="86">
                  <v>0.06320831689905207</v>
                </pt>
                <pt idx="87">
                  <v>0.06332448169926075</v>
                </pt>
                <pt idx="88">
                  <v>0.06305497966584526</v>
                </pt>
                <pt idx="89">
                  <v>0.06386748765195639</v>
                </pt>
                <pt idx="90">
                  <v>0.06408481782912767</v>
                </pt>
                <pt idx="91">
                  <v>0.06442134792710638</v>
                </pt>
                <pt idx="92">
                  <v>0.06422134792710639</v>
                </pt>
                <pt idx="93">
                  <v>0.06526844095539301</v>
                </pt>
                <pt idx="94">
                  <v>0.06577868861678247</v>
                </pt>
                <pt idx="95">
                  <v>0.06542184865292169</v>
                </pt>
                <pt idx="96">
                  <v>0.06677244126558388</v>
                </pt>
                <pt idx="97">
                  <v>0.06594244103331352</v>
                </pt>
                <pt idx="98">
                  <v>0.06606215906012419</v>
                </pt>
                <pt idx="99">
                  <v>0.06610297030296251</v>
                </pt>
                <pt idx="100">
                  <v>0.06553027297758483</v>
                </pt>
                <pt idx="101">
                  <v>0.0661868423779825</v>
                </pt>
                <pt idx="102">
                  <v>0.0665502583555472</v>
                </pt>
                <pt idx="103">
                  <v>0.06649168756855925</v>
                </pt>
                <pt idx="104">
                  <v>0.0665984570955243</v>
                </pt>
                <pt idx="105">
                  <v>0.06505230196165931</v>
                </pt>
                <pt idx="106">
                  <v>0.06430232204849629</v>
                </pt>
                <pt idx="107">
                  <v>0.06402747442225803</v>
                </pt>
                <pt idx="108">
                  <v>0.06261388487047413</v>
                </pt>
                <pt idx="109">
                  <v>0.06421118322539571</v>
                </pt>
                <pt idx="110">
                  <v>0.06391245941849744</v>
                </pt>
                <pt idx="111">
                  <v>0.06464769038045221</v>
                </pt>
                <pt idx="112">
                  <v>0.06527879038441274</v>
                </pt>
                <pt idx="113">
                  <v>0.06527879038441274</v>
                </pt>
                <pt idx="114">
                  <v>0.06282344473958262</v>
                </pt>
                <pt idx="115">
                  <v>0.06250627508450984</v>
                </pt>
                <pt idx="116">
                  <v>0.06293627508450983</v>
                </pt>
                <pt idx="117">
                  <v>0.0653879417511765</v>
                </pt>
                <pt idx="118">
                  <v>0.0653864878504673</v>
                </pt>
                <pt idx="119">
                  <v>0.06626044350042481</v>
                </pt>
                <pt idx="120">
                  <v>0.06776890753514175</v>
                </pt>
                <pt idx="121">
                  <v>0.06914083995785922</v>
                </pt>
                <pt idx="122">
                  <v>0.06877363710372641</v>
                </pt>
                <pt idx="123">
                  <v>0.06818792281801213</v>
                </pt>
                <pt idx="124">
                  <v>0.06801361818104981</v>
                </pt>
                <pt idx="125">
                  <v>0.0685752670447342</v>
                </pt>
                <pt idx="126">
                  <v>0.07310272517797511</v>
                </pt>
                <pt idx="127">
                  <v>0.07357494740019734</v>
                </pt>
                <pt idx="128">
                  <v>0.074334315825222</v>
                </pt>
                <pt idx="129">
                  <v>0.07481064665739658</v>
                </pt>
                <pt idx="130">
                  <v>0.07547300409258093</v>
                </pt>
                <pt idx="131">
                  <v>0.07623368785326469</v>
                </pt>
              </numCache>
            </numRef>
          </val>
          <smooth val="0"/>
        </ser>
        <ser>
          <idx val="1"/>
          <order val="1"/>
          <tx>
            <strRef>
              <f>'All Charts'!$P$2</f>
              <strCache>
                <ptCount val="1"/>
                <pt idx="0">
                  <v>6 to 10 Year Cap (ttm)</v>
                </pt>
              </strCache>
            </strRef>
          </tx>
          <spPr>
            <a:ln xmlns:a="http://schemas.openxmlformats.org/drawingml/2006/main" w="31750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Charts'!$B$6:$B$137</f>
              <strCache>
                <ptCount val="13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</strCache>
            </strRef>
          </cat>
          <val>
            <numRef>
              <f>'All Charts'!$P$6:$P$137</f>
              <numCache>
                <formatCode>0.00%</formatCode>
                <ptCount val="132"/>
                <pt idx="0">
                  <v>0.0775795123666093</v>
                </pt>
                <pt idx="1">
                  <v>0.07802098507470275</v>
                </pt>
                <pt idx="2">
                  <v>0.07718559660352481</v>
                </pt>
                <pt idx="3">
                  <v>0.0765008752738067</v>
                </pt>
                <pt idx="4">
                  <v>0.07712550261267274</v>
                </pt>
                <pt idx="5">
                  <v>0.07592467158774199</v>
                </pt>
                <pt idx="6">
                  <v>0.07534520582435934</v>
                </pt>
                <pt idx="7">
                  <v>0.07534520582435934</v>
                </pt>
                <pt idx="8">
                  <v>0.07527298930110397</v>
                </pt>
                <pt idx="9">
                  <v>0.07407226817265083</v>
                </pt>
                <pt idx="10">
                  <v>0.07401686634994993</v>
                </pt>
                <pt idx="11">
                  <v>0.07356883305127571</v>
                </pt>
                <pt idx="12">
                  <v>0.07301475430272962</v>
                </pt>
                <pt idx="13">
                  <v>0.07176231950143552</v>
                </pt>
                <pt idx="14">
                  <v>0.07148454172365774</v>
                </pt>
                <pt idx="15">
                  <v>0.07135870393399642</v>
                </pt>
                <pt idx="16">
                  <v>0.07062168610916833</v>
                </pt>
                <pt idx="17">
                  <v>0.07152076843035592</v>
                </pt>
                <pt idx="18">
                  <v>0.07287396015148882</v>
                </pt>
                <pt idx="19">
                  <v>0.07280279408404856</v>
                </pt>
                <pt idx="20">
                  <v>0.07214291944800845</v>
                </pt>
                <pt idx="21">
                  <v>0.07091898817095216</v>
                </pt>
                <pt idx="22">
                  <v>0.06961852626670066</v>
                </pt>
                <pt idx="23">
                  <v>0.06951617334564618</v>
                </pt>
                <pt idx="24">
                  <v>0.06861606663184266</v>
                </pt>
                <pt idx="25">
                  <v>0.06767038173340402</v>
                </pt>
                <pt idx="26">
                  <v>0.06787084228403252</v>
                </pt>
                <pt idx="27">
                  <v>0.06848246689595806</v>
                </pt>
                <pt idx="28">
                  <v>0.06718424099277287</v>
                </pt>
                <pt idx="29">
                  <v>0.06643098506404738</v>
                </pt>
                <pt idx="30">
                  <v>0.06544584715222086</v>
                </pt>
                <pt idx="31">
                  <v>0.06459291386393647</v>
                </pt>
                <pt idx="32">
                  <v>0.06457920255266643</v>
                </pt>
                <pt idx="33">
                  <v>0.06550063112409499</v>
                </pt>
                <pt idx="34">
                  <v>0.06629382216396325</v>
                </pt>
                <pt idx="35">
                  <v>0.06700869255111531</v>
                </pt>
                <pt idx="36">
                  <v>0.06775945922930803</v>
                </pt>
                <pt idx="37">
                  <v>0.06849400170316904</v>
                </pt>
                <pt idx="38">
                  <v>0.06854949878995537</v>
                </pt>
                <pt idx="39">
                  <v>0.06768820365556098</v>
                </pt>
                <pt idx="40">
                  <v>0.06849321781028621</v>
                </pt>
                <pt idx="41">
                  <v>0.06954788280991661</v>
                </pt>
                <pt idx="42">
                  <v>0.06940041336897143</v>
                </pt>
                <pt idx="43">
                  <v>0.06940041336897143</v>
                </pt>
                <pt idx="44">
                  <v>0.06924888655883463</v>
                </pt>
                <pt idx="45">
                  <v>0.06834896909492395</v>
                </pt>
                <pt idx="46">
                  <v>0.06846498073808818</v>
                </pt>
                <pt idx="47">
                  <v>0.06761871018341419</v>
                </pt>
                <pt idx="48">
                  <v>0.06853522458666107</v>
                </pt>
                <pt idx="49">
                  <v>0.06790843273330743</v>
                </pt>
                <pt idx="50">
                  <v>0.06755983371632794</v>
                </pt>
                <pt idx="51">
                  <v>0.06842456343341369</v>
                </pt>
                <pt idx="52">
                  <v>0.06919066921139809</v>
                </pt>
                <pt idx="53">
                  <v>0.06817878438826161</v>
                </pt>
                <pt idx="54">
                  <v>0.0704547136963605</v>
                </pt>
                <pt idx="55">
                  <v>0.06927206444481591</v>
                </pt>
                <pt idx="56">
                  <v>0.06862782686504404</v>
                </pt>
                <pt idx="57">
                  <v>0.06891378433196606</v>
                </pt>
                <pt idx="58">
                  <v>0.06870676449328615</v>
                </pt>
                <pt idx="59">
                  <v>0.06991162804973824</v>
                </pt>
                <pt idx="60">
                  <v>0.06894244096348616</v>
                </pt>
                <pt idx="61">
                  <v>0.06903994973017163</v>
                </pt>
                <pt idx="62">
                  <v>0.06915156425500479</v>
                </pt>
                <pt idx="63">
                  <v>0.07053975454589635</v>
                </pt>
                <pt idx="64">
                  <v>0.07236990025715269</v>
                </pt>
                <pt idx="65">
                  <v>0.07236990025715269</v>
                </pt>
                <pt idx="66">
                  <v>0.0730458693159747</v>
                </pt>
                <pt idx="67">
                  <v>0.07486836379809836</v>
                </pt>
                <pt idx="68">
                  <v>0.07630698549754351</v>
                </pt>
                <pt idx="69">
                  <v>0.0788494968516185</v>
                </pt>
                <pt idx="70">
                  <v>0.07935250151935901</v>
                </pt>
                <pt idx="71">
                  <v>0.08016468925059671</v>
                </pt>
                <pt idx="72">
                  <v>0.08044865407322302</v>
                </pt>
                <pt idx="73">
                  <v>0.08079503055078453</v>
                </pt>
                <pt idx="74">
                  <v>0.07978167211594711</v>
                </pt>
                <pt idx="75">
                  <v>0.07807826910061366</v>
                </pt>
                <pt idx="76">
                  <v>0.07670202242348902</v>
                </pt>
                <pt idx="77">
                  <v>0.07518648223706678</v>
                </pt>
                <pt idx="78">
                  <v>0.07496114721644218</v>
                </pt>
                <pt idx="79">
                  <v>0.0732073383319629</v>
                </pt>
                <pt idx="80">
                  <v>0.07227964368317927</v>
                </pt>
                <pt idx="81">
                  <v>0.06994202458553524</v>
                </pt>
                <pt idx="82">
                  <v>0.06944169584197338</v>
                </pt>
                <pt idx="83">
                  <v>0.06986134107259086</v>
                </pt>
                <pt idx="84">
                  <v>0.06943668460436872</v>
                </pt>
                <pt idx="85">
                  <v>0.06923869417238937</v>
                </pt>
                <pt idx="86">
                  <v>0.06989773240310065</v>
                </pt>
                <pt idx="87">
                  <v>0.06929749370869021</v>
                </pt>
                <pt idx="88">
                  <v>0.07053381803001198</v>
                </pt>
                <pt idx="89">
                  <v>0.07195843045422375</v>
                </pt>
                <pt idx="90">
                  <v>0.07117496225748712</v>
                </pt>
                <pt idx="91">
                  <v>0.07113859859017083</v>
                </pt>
                <pt idx="92">
                  <v>0.07048573115259742</v>
                </pt>
                <pt idx="93">
                  <v>0.07008200928107845</v>
                </pt>
                <pt idx="94">
                  <v>0.07090617763793021</v>
                </pt>
                <pt idx="95">
                  <v>0.07345190463504034</v>
                </pt>
                <pt idx="96">
                  <v>0.07392345940535835</v>
                </pt>
                <pt idx="97">
                  <v>0.07415906572507337</v>
                </pt>
                <pt idx="98">
                  <v>0.07345472439234368</v>
                </pt>
                <pt idx="99">
                  <v>0.07345472439234368</v>
                </pt>
                <pt idx="100">
                  <v>0.07225273007744105</v>
                </pt>
                <pt idx="101">
                  <v>0.07392536247418495</v>
                </pt>
                <pt idx="102">
                  <v>0.07468085130272997</v>
                </pt>
                <pt idx="103">
                  <v>0.07314782946574797</v>
                </pt>
                <pt idx="104">
                  <v>0.07433256896981666</v>
                </pt>
                <pt idx="105">
                  <v>0.07639024377788749</v>
                </pt>
                <pt idx="106">
                  <v>0.07937647125843357</v>
                </pt>
                <pt idx="107">
                  <v>0.07777784739715167</v>
                </pt>
                <pt idx="108">
                  <v>0.07735375836898527</v>
                </pt>
                <pt idx="109">
                  <v>0.07642136211897026</v>
                </pt>
                <pt idx="110">
                  <v>0.07740844267213659</v>
                </pt>
                <pt idx="111">
                  <v>0.07685736391882549</v>
                </pt>
                <pt idx="112">
                  <v>0.07667010899077899</v>
                </pt>
                <pt idx="113">
                  <v>0.0761103030614444</v>
                </pt>
                <pt idx="114">
                  <v>0.07638743992614913</v>
                </pt>
                <pt idx="115">
                  <v>0.07941942305248356</v>
                </pt>
                <pt idx="116">
                  <v>0.08048490642710175</v>
                </pt>
                <pt idx="117">
                  <v>0.08006763157293625</v>
                </pt>
                <pt idx="118">
                  <v>0.0758445983919165</v>
                </pt>
                <pt idx="119">
                  <v>0.07724620181847851</v>
                </pt>
                <pt idx="120">
                  <v>0.07637949356674854</v>
                </pt>
                <pt idx="121">
                  <v>0.07864022698617751</v>
                </pt>
                <pt idx="122">
                  <v>0.07849201677243983</v>
                </pt>
                <pt idx="123">
                  <v>0.07898517304958555</v>
                </pt>
                <pt idx="124">
                  <v>0.0786417454666517</v>
                </pt>
                <pt idx="125">
                  <v>0.07820127773768266</v>
                </pt>
                <pt idx="126">
                  <v>0.07834819266698524</v>
                </pt>
                <pt idx="127">
                  <v>0.07584428666449895</v>
                </pt>
                <pt idx="128">
                  <v>0.07557964059144714</v>
                </pt>
                <pt idx="129">
                  <v>0.07544201763018861</v>
                </pt>
                <pt idx="130">
                  <v>0.07574387269512001</v>
                </pt>
                <pt idx="131">
                  <v>0.07530900160291645</v>
                </pt>
              </numCache>
            </numRef>
          </val>
          <smooth val="0"/>
        </ser>
        <ser>
          <idx val="2"/>
          <order val="2"/>
          <tx>
            <strRef>
              <f>'All Charts'!$Q$2</f>
              <strCache>
                <ptCount val="1"/>
                <pt idx="0">
                  <v>Less than 5 Year Cap (ttm)</v>
                </pt>
              </strCache>
            </strRef>
          </tx>
          <spPr>
            <a:ln xmlns:a="http://schemas.openxmlformats.org/drawingml/2006/main" w="31750" cap="rnd">
              <a:solidFill>
                <a:srgbClr val="B1DAF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Charts'!$B$6:$B$137</f>
              <strCache>
                <ptCount val="13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</strCache>
            </strRef>
          </cat>
          <val>
            <numRef>
              <f>'All Charts'!$Q$6:$Q$137</f>
              <numCache>
                <formatCode>0.00%</formatCode>
                <ptCount val="132"/>
                <pt idx="0">
                  <v>0.08374655376834195</v>
                </pt>
                <pt idx="1">
                  <v>0.08237138358518406</v>
                </pt>
                <pt idx="2">
                  <v>0.08127758410843169</v>
                </pt>
                <pt idx="3">
                  <v>0.0808039947509898</v>
                </pt>
                <pt idx="4">
                  <v>0.0806723529529082</v>
                </pt>
                <pt idx="5">
                  <v>0.08045440249293748</v>
                </pt>
                <pt idx="6">
                  <v>0.07995981998931664</v>
                </pt>
                <pt idx="7">
                  <v>0.07876105545106905</v>
                </pt>
                <pt idx="8">
                  <v>0.07808877056840569</v>
                </pt>
                <pt idx="9">
                  <v>0.08185686238527279</v>
                </pt>
                <pt idx="10">
                  <v>0.08332525357717381</v>
                </pt>
                <pt idx="11">
                  <v>0.08090451143805001</v>
                </pt>
                <pt idx="12">
                  <v>0.08119880756254109</v>
                </pt>
                <pt idx="13">
                  <v>0.08245020366112364</v>
                </pt>
                <pt idx="14">
                  <v>0.08347328936685015</v>
                </pt>
                <pt idx="15">
                  <v>0.08225042741760986</v>
                </pt>
                <pt idx="16">
                  <v>0.08291691334971374</v>
                </pt>
                <pt idx="17">
                  <v>0.08321403002742976</v>
                </pt>
                <pt idx="18">
                  <v>0.08302596905077893</v>
                </pt>
                <pt idx="19">
                  <v>0.08309363699927783</v>
                </pt>
                <pt idx="20">
                  <v>0.0827588446238476</v>
                </pt>
                <pt idx="21">
                  <v>0.08015121819607414</v>
                </pt>
                <pt idx="22">
                  <v>0.07879664868595196</v>
                </pt>
                <pt idx="23">
                  <v>0.07846400497065802</v>
                </pt>
                <pt idx="24">
                  <v>0.07895010207343227</v>
                </pt>
                <pt idx="25">
                  <v>0.07804695128087565</v>
                </pt>
                <pt idx="26">
                  <v>0.07765366586608695</v>
                </pt>
                <pt idx="27">
                  <v>0.0767995753320226</v>
                </pt>
                <pt idx="28">
                  <v>0.07598611573253136</v>
                </pt>
                <pt idx="29">
                  <v>0.07651169678735796</v>
                </pt>
                <pt idx="30">
                  <v>0.0773321570424641</v>
                </pt>
                <pt idx="31">
                  <v>0.07761026162123044</v>
                </pt>
                <pt idx="32">
                  <v>0.07792393522204494</v>
                </pt>
                <pt idx="33">
                  <v>0.07844143676725547</v>
                </pt>
                <pt idx="34">
                  <v>0.07892702784536036</v>
                </pt>
                <pt idx="35">
                  <v>0.07991009515281851</v>
                </pt>
                <pt idx="36">
                  <v>0.07962806976323905</v>
                </pt>
                <pt idx="37">
                  <v>0.07997214470302896</v>
                </pt>
                <pt idx="38">
                  <v>0.07982072716199851</v>
                </pt>
                <pt idx="39">
                  <v>0.0812328364670611</v>
                </pt>
                <pt idx="40">
                  <v>0.08182659451456599</v>
                </pt>
                <pt idx="41">
                  <v>0.08130964576271997</v>
                </pt>
                <pt idx="42">
                  <v>0.08216512531699205</v>
                </pt>
                <pt idx="43">
                  <v>0.0817377055659373</v>
                </pt>
                <pt idx="44">
                  <v>0.08133924368924231</v>
                </pt>
                <pt idx="45">
                  <v>0.08180439222433834</v>
                </pt>
                <pt idx="46">
                  <v>0.08164028099997975</v>
                </pt>
                <pt idx="47">
                  <v>0.08199399836969157</v>
                </pt>
                <pt idx="48">
                  <v>0.08128605697558249</v>
                </pt>
                <pt idx="49">
                  <v>0.08143478729420459</v>
                </pt>
                <pt idx="50">
                  <v>0.08211093875945719</v>
                </pt>
                <pt idx="51">
                  <v>0.08170199832435053</v>
                </pt>
                <pt idx="52">
                  <v>0.08250942398394398</v>
                </pt>
                <pt idx="53">
                  <v>0.08174541210153302</v>
                </pt>
                <pt idx="54">
                  <v>0.08107885698936428</v>
                </pt>
                <pt idx="55">
                  <v>0.08121795106817675</v>
                </pt>
                <pt idx="56">
                  <v>0.08135677143023115</v>
                </pt>
                <pt idx="57">
                  <v>0.0812182880825195</v>
                </pt>
                <pt idx="58">
                  <v>0.08148293131740265</v>
                </pt>
                <pt idx="59">
                  <v>0.08175855727865994</v>
                </pt>
                <pt idx="60">
                  <v>0.08368908033966356</v>
                </pt>
                <pt idx="61">
                  <v>0.08602026155390753</v>
                </pt>
                <pt idx="62">
                  <v>0.08579095941036365</v>
                </pt>
                <pt idx="63">
                  <v>0.09100767424466948</v>
                </pt>
                <pt idx="64">
                  <v>0.09177178525289416</v>
                </pt>
                <pt idx="65">
                  <v>0.09167159399588796</v>
                </pt>
                <pt idx="66">
                  <v>0.09078879416993728</v>
                </pt>
                <pt idx="67">
                  <v>0.09112346792468784</v>
                </pt>
                <pt idx="68">
                  <v>0.09071544968163642</v>
                </pt>
                <pt idx="69">
                  <v>0.09163305025528055</v>
                </pt>
                <pt idx="70">
                  <v>0.09115577546426536</v>
                </pt>
                <pt idx="71">
                  <v>0.09026976832047881</v>
                </pt>
                <pt idx="72">
                  <v>0.09012763636967504</v>
                </pt>
                <pt idx="73">
                  <v>0.08945983062901081</v>
                </pt>
                <pt idx="74">
                  <v>0.09011377976203598</v>
                </pt>
                <pt idx="75">
                  <v>0.08506225708536198</v>
                </pt>
                <pt idx="76">
                  <v>0.08509058965820697</v>
                </pt>
                <pt idx="77">
                  <v>0.08598181706196462</v>
                </pt>
                <pt idx="78">
                  <v>0.08684995308500995</v>
                </pt>
                <pt idx="79">
                  <v>0.0878812197212854</v>
                </pt>
                <pt idx="80">
                  <v>0.08805308165836108</v>
                </pt>
                <pt idx="81">
                  <v>0.08681701558403279</v>
                </pt>
                <pt idx="82">
                  <v>0.08822000157271974</v>
                </pt>
                <pt idx="83">
                  <v>0.09135394351454849</v>
                </pt>
                <pt idx="84">
                  <v>0.09078496826812214</v>
                </pt>
                <pt idx="85">
                  <v>0.08975373048891996</v>
                </pt>
                <pt idx="86">
                  <v>0.08908719148750073</v>
                </pt>
                <pt idx="87">
                  <v>0.08863161700190252</v>
                </pt>
                <pt idx="88">
                  <v>0.08730146617577418</v>
                </pt>
                <pt idx="89">
                  <v>0.08660241235162938</v>
                </pt>
                <pt idx="90">
                  <v>0.08681056746893814</v>
                </pt>
                <pt idx="91">
                  <v>0.08465286488329669</v>
                </pt>
                <pt idx="92">
                  <v>0.08599539975355683</v>
                </pt>
                <pt idx="93">
                  <v>0.08636269099551648</v>
                </pt>
                <pt idx="94">
                  <v>0.08862034441996627</v>
                </pt>
                <pt idx="95">
                  <v>0.0867662066848669</v>
                </pt>
                <pt idx="96">
                  <v>0.08637302808503119</v>
                </pt>
                <pt idx="97">
                  <v>0.08535040016900768</v>
                </pt>
                <pt idx="98">
                  <v>0.08589449211266934</v>
                </pt>
                <pt idx="99">
                  <v>0.08716012245455494</v>
                </pt>
                <pt idx="100">
                  <v>0.08870988995004937</v>
                </pt>
                <pt idx="101">
                  <v>0.08834667377051987</v>
                </pt>
                <pt idx="102">
                  <v>0.08760083846239217</v>
                </pt>
                <pt idx="103">
                  <v>0.08866453221629497</v>
                </pt>
                <pt idx="104">
                  <v>0.08888553349789759</v>
                </pt>
                <pt idx="105">
                  <v>0.0899715029042802</v>
                </pt>
                <pt idx="106">
                  <v>0.08805043681174909</v>
                </pt>
                <pt idx="107">
                  <v>0.08885391643693753</v>
                </pt>
                <pt idx="108">
                  <v>0.08885999003669769</v>
                </pt>
                <pt idx="109">
                  <v>0.08924501414222891</v>
                </pt>
                <pt idx="110">
                  <v>0.08912592767510132</v>
                </pt>
                <pt idx="111">
                  <v>0.08895442793709861</v>
                </pt>
                <pt idx="112">
                  <v>0.08777399485907306</v>
                </pt>
                <pt idx="113">
                  <v>0.08886866188957056</v>
                </pt>
                <pt idx="114">
                  <v>0.08939850699738779</v>
                </pt>
                <pt idx="115">
                  <v>0.08855346112521471</v>
                </pt>
                <pt idx="116">
                  <v>0.08812135206950449</v>
                </pt>
                <pt idx="117">
                  <v>0.08669576569371286</v>
                </pt>
                <pt idx="118">
                  <v>0.08568741827688479</v>
                </pt>
                <pt idx="119">
                  <v>0.08554646540898032</v>
                </pt>
                <pt idx="120">
                  <v>0.08563721085531625</v>
                </pt>
                <pt idx="121">
                  <v>0.0865113237083108</v>
                </pt>
                <pt idx="122">
                  <v>0.08623134175027179</v>
                </pt>
                <pt idx="123">
                  <v>0.08635112986551326</v>
                </pt>
                <pt idx="124">
                  <v>0.09006995844651325</v>
                </pt>
                <pt idx="125">
                  <v>0.09138035550124367</v>
                </pt>
                <pt idx="126">
                  <v>0.09230459673460463</v>
                </pt>
                <pt idx="127">
                  <v>0.09270584565792171</v>
                </pt>
                <pt idx="128">
                  <v>0.09223772548470741</v>
                </pt>
                <pt idx="129">
                  <v>0.09291858391280522</v>
                </pt>
                <pt idx="130">
                  <v>0.09214622444321292</v>
                </pt>
                <pt idx="131">
                  <v>0.09195785668939044</v>
                </pt>
              </numCache>
            </numRef>
          </val>
          <smooth val="0"/>
        </ser>
        <ser>
          <idx val="3"/>
          <order val="3"/>
          <tx>
            <strRef>
              <f>'All Charts'!$R$2</f>
              <strCache>
                <ptCount val="1"/>
                <pt idx="0">
                  <v>Outside Firm Term (ttm)</v>
                </pt>
              </strCache>
            </strRef>
          </tx>
          <spPr>
            <a:ln xmlns:a="http://schemas.openxmlformats.org/drawingml/2006/main" w="31750" cap="rnd">
              <a:solidFill>
                <a:srgbClr val="6A74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Charts'!$B$6:$B$137</f>
              <strCache>
                <ptCount val="13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</strCache>
            </strRef>
          </cat>
          <val>
            <numRef>
              <f>'All Charts'!$R$6:$R$137</f>
              <numCache>
                <formatCode>0.00%</formatCode>
                <ptCount val="132"/>
                <pt idx="0">
                  <v>0.1007915504823445</v>
                </pt>
                <pt idx="1">
                  <v>0.1007915504823445</v>
                </pt>
                <pt idx="2">
                  <v>0.1010526512764878</v>
                </pt>
                <pt idx="3">
                  <v>0.1010526512764878</v>
                </pt>
                <pt idx="4">
                  <v>0.09249266874406607</v>
                </pt>
                <pt idx="5">
                  <v>0.09249266874406607</v>
                </pt>
                <pt idx="6">
                  <v>0.09249266874406607</v>
                </pt>
                <pt idx="7">
                  <v>0.09087635131873284</v>
                </pt>
                <pt idx="8">
                  <v>0.09087635131873284</v>
                </pt>
                <pt idx="9">
                  <v>0.1095027664670557</v>
                </pt>
                <pt idx="10">
                  <v>0.1084858023240083</v>
                </pt>
                <pt idx="11">
                  <v>0.1001444669872624</v>
                </pt>
                <pt idx="12">
                  <v>0.1015340016985829</v>
                </pt>
                <pt idx="13">
                  <v>0.1002655889898429</v>
                </pt>
                <pt idx="14">
                  <v>0.09850950523478204</v>
                </pt>
                <pt idx="15">
                  <v>0.09332250504988583</v>
                </pt>
                <pt idx="16">
                  <v>0.09414935906107894</v>
                </pt>
                <pt idx="17">
                  <v>0.09339369005552629</v>
                </pt>
                <pt idx="18">
                  <v>0.09015766760326505</v>
                </pt>
                <pt idx="19">
                  <v>0.09076872564208124</v>
                </pt>
                <pt idx="20">
                  <v>0.09041936594646946</v>
                </pt>
                <pt idx="21">
                  <v>0.08438804101015003</v>
                </pt>
                <pt idx="22">
                  <v>0.08199375687893902</v>
                </pt>
                <pt idx="23">
                  <v>0.08097183340975124</v>
                </pt>
                <pt idx="24">
                  <v>0.08173294432405052</v>
                </pt>
                <pt idx="25">
                  <v>0.08085458876728199</v>
                </pt>
                <pt idx="26">
                  <v>0.08239887798218569</v>
                </pt>
                <pt idx="27">
                  <v>0.08358112246634559</v>
                </pt>
                <pt idx="28">
                  <v>0.08363603983184273</v>
                </pt>
                <pt idx="29">
                  <v>0.08533831675884151</v>
                </pt>
                <pt idx="30">
                  <v>0.08459779036668547</v>
                </pt>
                <pt idx="31">
                  <v>0.08316960358922279</v>
                </pt>
                <pt idx="32">
                  <v>0.08200637151396838</v>
                </pt>
                <pt idx="33">
                  <v>0.08161479043986114</v>
                </pt>
                <pt idx="34">
                  <v>0.08243649856447668</v>
                </pt>
                <pt idx="35">
                  <v>0.08560740256586351</v>
                </pt>
                <pt idx="36">
                  <v>0.08492806584347252</v>
                </pt>
                <pt idx="37">
                  <v>0.08605807977868112</v>
                </pt>
                <pt idx="38">
                  <v>0.08364749799460915</v>
                </pt>
                <pt idx="39">
                  <v>0.0837347730102343</v>
                </pt>
                <pt idx="40">
                  <v>0.08411707919327605</v>
                </pt>
                <pt idx="41">
                  <v>0.08332447826567212</v>
                </pt>
                <pt idx="42">
                  <v>0.08617305174226098</v>
                </pt>
                <pt idx="43">
                  <v>0.08716061469929977</v>
                </pt>
                <pt idx="44">
                  <v>0.08766468935555037</v>
                </pt>
                <pt idx="45">
                  <v>0.0888636788515309</v>
                </pt>
                <pt idx="46">
                  <v>0.08893883336664574</v>
                </pt>
                <pt idx="47">
                  <v>0.08759519554700217</v>
                </pt>
                <pt idx="48">
                  <v>0.08772656688752604</v>
                </pt>
                <pt idx="49">
                  <v>0.08790880967508029</v>
                </pt>
                <pt idx="50">
                  <v>0.08877559632449823</v>
                </pt>
                <pt idx="51">
                  <v>0.08797871650547917</v>
                </pt>
                <pt idx="52">
                  <v>0.08780497001657415</v>
                </pt>
                <pt idx="53">
                  <v>0.0857179645817355</v>
                </pt>
                <pt idx="54">
                  <v>0.08538965739201514</v>
                </pt>
                <pt idx="55">
                  <v>0.08532724273082123</v>
                </pt>
                <pt idx="56">
                  <v>0.08585822333048941</v>
                </pt>
                <pt idx="57">
                  <v>0.08755442646819374</v>
                </pt>
                <pt idx="58">
                  <v>0.08755442646819374</v>
                </pt>
                <pt idx="59">
                  <v>0.08465896100274364</v>
                </pt>
                <pt idx="60">
                  <v>0.08706578827658328</v>
                </pt>
                <pt idx="61">
                  <v>0.08694980292426085</v>
                </pt>
                <pt idx="62">
                  <v>0.08995048540006279</v>
                </pt>
                <pt idx="63">
                  <v>0.09032517576497033</v>
                </pt>
                <pt idx="64">
                  <v>0.09142177687550317</v>
                </pt>
                <pt idx="65">
                  <v>0.09263697889585985</v>
                </pt>
                <pt idx="66">
                  <v>0.09162308724048615</v>
                </pt>
                <pt idx="67">
                  <v>0.09187695687250889</v>
                </pt>
                <pt idx="68">
                  <v>0.09178929567301296</v>
                </pt>
                <pt idx="69">
                  <v>0.09195099874889026</v>
                </pt>
                <pt idx="70">
                  <v>0.0927672899998732</v>
                </pt>
                <pt idx="71">
                  <v>0.09206580646377918</v>
                </pt>
                <pt idx="72">
                  <v>0.09121550780402309</v>
                </pt>
                <pt idx="73">
                  <v>0.09253666841828133</v>
                </pt>
                <pt idx="74">
                  <v>0.09115932905972593</v>
                </pt>
                <pt idx="75">
                  <v>0.09136680747629834</v>
                </pt>
                <pt idx="76">
                  <v>0.09174603154143998</v>
                </pt>
                <pt idx="77">
                  <v>0.09238772844318062</v>
                </pt>
                <pt idx="78">
                  <v>0.09322161110233033</v>
                </pt>
                <pt idx="79">
                  <v>0.09513152612601977</v>
                </pt>
                <pt idx="80">
                  <v>0.09593087508571953</v>
                </pt>
                <pt idx="81">
                  <v>0.09575688699503064</v>
                </pt>
                <pt idx="82">
                  <v>0.09491783105776756</v>
                </pt>
                <pt idx="83">
                  <v>0.09824650082412374</v>
                </pt>
                <pt idx="84">
                  <v>0.09790135440946608</v>
                </pt>
                <pt idx="85">
                  <v>0.09640905131418943</v>
                </pt>
                <pt idx="86">
                  <v>0.09502654138300709</v>
                </pt>
                <pt idx="87">
                  <v>0.09587649245262608</v>
                </pt>
                <pt idx="88">
                  <v>0.09549373556815405</v>
                </pt>
                <pt idx="89">
                  <v>0.09627542880702422</v>
                </pt>
                <pt idx="90">
                  <v>0.09558539257514015</v>
                </pt>
                <pt idx="91">
                  <v>0.0915363264141198</v>
                </pt>
                <pt idx="92">
                  <v>0.09365804077078527</v>
                </pt>
                <pt idx="93">
                  <v>0.09515927304162546</v>
                </pt>
                <pt idx="94">
                  <v>0.09531242775436521</v>
                </pt>
                <pt idx="95">
                  <v>0.09083237374034524</v>
                </pt>
                <pt idx="96">
                  <v>0.09001556998896597</v>
                </pt>
                <pt idx="97">
                  <v>0.08727156517988557</v>
                </pt>
                <pt idx="98">
                  <v>0.08875180597679103</v>
                </pt>
                <pt idx="99">
                  <v>0.08875180597679103</v>
                </pt>
                <pt idx="100">
                  <v>0.09035675036507075</v>
                </pt>
                <pt idx="101">
                  <v>0.08832820346725383</v>
                </pt>
                <pt idx="102">
                  <v>0.08989495277083696</v>
                </pt>
                <pt idx="103">
                  <v>0.09362611585738001</v>
                </pt>
                <pt idx="104">
                  <v>0.09270078128157938</v>
                </pt>
                <pt idx="105">
                  <v>0.09518647301341883</v>
                </pt>
                <pt idx="106">
                  <v>0.09536560255161274</v>
                </pt>
                <pt idx="107">
                  <v>0.09692849458801824</v>
                </pt>
                <pt idx="108">
                  <v>0.09692849458801824</v>
                </pt>
                <pt idx="109">
                  <v>0.09989364496849173</v>
                </pt>
                <pt idx="110">
                  <v>0.09869764176184651</v>
                </pt>
                <pt idx="111">
                  <v>0.09839313064676956</v>
                </pt>
                <pt idx="112">
                  <v>0.09638785020802591</v>
                </pt>
                <pt idx="113">
                  <v>0.09962400121275404</v>
                </pt>
                <pt idx="114">
                  <v>0.09900536218427834</v>
                </pt>
                <pt idx="115">
                  <v>0.0984060042066615</v>
                </pt>
                <pt idx="116">
                  <v>0.09732407938323</v>
                </pt>
                <pt idx="117">
                  <v>0.09433041213599072</v>
                </pt>
                <pt idx="118">
                  <v>0.09363143381185926</v>
                </pt>
                <pt idx="119">
                  <v>0.09363143381185926</v>
                </pt>
                <pt idx="120">
                  <v>0.09374546572631214</v>
                </pt>
                <pt idx="121">
                  <v>0.09374546572631214</v>
                </pt>
                <pt idx="122">
                  <v>0.09491559767004146</v>
                </pt>
                <pt idx="123">
                  <v>0.09520944955921157</v>
                </pt>
                <pt idx="124">
                  <v>0.09994521989028615</v>
                </pt>
                <pt idx="125">
                  <v>0.09949402075625116</v>
                </pt>
                <pt idx="126">
                  <v>0.1017649607117658</v>
                </pt>
                <pt idx="127">
                  <v>0.0987699552369275</v>
                </pt>
                <pt idx="128">
                  <v>0.1001369364972177</v>
                </pt>
                <pt idx="129">
                  <v>0.1000580348483835</v>
                </pt>
                <pt idx="130">
                  <v>0.10144608804876</v>
                </pt>
                <pt idx="131">
                  <v>0.10144608804876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3175" cap="flat" cmpd="sng" algn="ctr">
              <a:solidFill>
                <a:schemeClr val="bg1">
                  <a:alpha val="50000"/>
                  <a:lumMod val="75000"/>
                </a:schemeClr>
              </a:solidFill>
              <a:prstDash val="sysDot"/>
              <a:round/>
            </a:ln>
          </spPr>
        </hiLowLines>
        <smooth val="0"/>
        <axId val="724604184"/>
        <axId val="724597624"/>
      </lineChart>
      <dateAx>
        <axId val="72460418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597624"/>
        <crosses val="autoZero"/>
        <lblOffset val="100"/>
        <baseTimeUnit val="days"/>
      </dateAx>
      <valAx>
        <axId val="724597624"/>
        <scaling>
          <orientation val="minMax"/>
          <min val="0.05000000000000001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6041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4735365357811286"/>
          <y val="0.9053617198143488"/>
          <w val="0.9905292315492366"/>
          <h val="0.08291705472299833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5137600934582269"/>
          <y val="0.02712362011733828"/>
          <w val="0.9478668371581758"/>
          <h val="0.6691835855076939"/>
        </manualLayout>
      </layout>
      <lineChart>
        <grouping val="standard"/>
        <varyColors val="0"/>
        <ser>
          <idx val="0"/>
          <order val="0"/>
          <tx>
            <strRef>
              <f>'All Charts'!$W$2</f>
              <strCache>
                <ptCount val="1"/>
                <pt idx="0">
                  <v>Federal Cap</v>
                </pt>
              </strCache>
            </strRef>
          </tx>
          <spPr>
            <a:ln xmlns:a="http://schemas.openxmlformats.org/drawingml/2006/main" w="31750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</dLbl>
            <dLbl>
              <idx val="12"/>
            </dLbl>
            <dLbl>
              <idx val="15"/>
            </dLbl>
            <dLbl>
              <idx val="18"/>
            </dLbl>
            <dLbl>
              <idx val="21"/>
            </dLbl>
            <dLbl>
              <idx val="24"/>
            </dLbl>
            <dLbl>
              <idx val="27"/>
            </dLbl>
            <dLbl>
              <idx val="30"/>
            </dLbl>
            <dLbl>
              <idx val="33"/>
            </dLbl>
            <dLbl>
              <idx val="36"/>
            </dLbl>
            <dLbl>
              <idx val="6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Charts'!$B$6:$B$93</f>
              <strCache>
                <ptCount val="88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</strCache>
            </strRef>
          </cat>
          <val>
            <numRef>
              <f>'All Charts'!$W$6:$W$93</f>
              <numCache>
                <formatCode>0.00%</formatCode>
                <ptCount val="88"/>
                <pt idx="0">
                  <v>0.07748288310506544</v>
                </pt>
                <pt idx="1">
                  <v>0.07695045731821609</v>
                </pt>
                <pt idx="2">
                  <v>0.07612173710399363</v>
                </pt>
                <pt idx="3">
                  <v>0.07562500445090953</v>
                </pt>
                <pt idx="4">
                  <v>0.07650561297156205</v>
                </pt>
                <pt idx="5">
                  <v>0.07612270561807005</v>
                </pt>
                <pt idx="6">
                  <v>0.07567790300860019</v>
                </pt>
                <pt idx="7">
                  <v>0.07456336084141481</v>
                </pt>
                <pt idx="8">
                  <v>0.07387188113675927</v>
                </pt>
                <pt idx="9">
                  <v>0.07501887889498102</v>
                </pt>
                <pt idx="10">
                  <v>0.07613794333623757</v>
                </pt>
                <pt idx="11">
                  <v>0.07582615789581632</v>
                </pt>
                <pt idx="12">
                  <v>0.07619260271022632</v>
                </pt>
                <pt idx="13">
                  <v>0.07616742637087806</v>
                </pt>
                <pt idx="14">
                  <v>0.07708412891899241</v>
                </pt>
                <pt idx="15">
                  <v>0.07590615163324468</v>
                </pt>
                <pt idx="16">
                  <v>0.07483376099583432</v>
                </pt>
                <pt idx="17">
                  <v>0.07592402994385364</v>
                </pt>
                <pt idx="18">
                  <v>0.07608862317940349</v>
                </pt>
                <pt idx="19">
                  <v>0.07703504553831662</v>
                </pt>
                <pt idx="20">
                  <v>0.07692833469804264</v>
                </pt>
                <pt idx="21">
                  <v>0.07558984027462409</v>
                </pt>
                <pt idx="22">
                  <v>0.07399914516319013</v>
                </pt>
                <pt idx="23">
                  <v>0.07334193118194918</v>
                </pt>
                <pt idx="24">
                  <v>0.07275106947210191</v>
                </pt>
                <pt idx="25">
                  <v>0.07311438644008618</v>
                </pt>
                <pt idx="26">
                  <v>0.07307300120788739</v>
                </pt>
                <pt idx="27">
                  <v>0.07294463472781214</v>
                </pt>
                <pt idx="28">
                  <v>0.07144706882801428</v>
                </pt>
                <pt idx="29">
                  <v>0.07084409353837832</v>
                </pt>
                <pt idx="30">
                  <v>0.07093049135683216</v>
                </pt>
                <pt idx="31">
                  <v>0.07055528534662943</v>
                </pt>
                <pt idx="32">
                  <v>0.07028602223732962</v>
                </pt>
                <pt idx="33">
                  <v>0.07048826763331137</v>
                </pt>
                <pt idx="34">
                  <v>0.0709588306388923</v>
                </pt>
                <pt idx="35">
                  <v>0.07225892800970619</v>
                </pt>
                <pt idx="36">
                  <v>0.07248643810408339</v>
                </pt>
                <pt idx="37">
                  <v>0.07236231153981737</v>
                </pt>
                <pt idx="38">
                  <v>0.07213909950408255</v>
                </pt>
                <pt idx="39">
                  <v>0.07259836620100063</v>
                </pt>
                <pt idx="40">
                  <v>0.07319561359110768</v>
                </pt>
                <pt idx="41">
                  <v>0.07363972385303263</v>
                </pt>
                <pt idx="42">
                  <v>0.07447497410320295</v>
                </pt>
                <pt idx="43">
                  <v>0.07407928292362786</v>
                </pt>
                <pt idx="44">
                  <v>0.07396894400175762</v>
                </pt>
                <pt idx="45">
                  <v>0.07420346712035329</v>
                </pt>
                <pt idx="46">
                  <v>0.07436931770570576</v>
                </pt>
                <pt idx="47">
                  <v>0.07471943265893656</v>
                </pt>
                <pt idx="48">
                  <v>0.07469133278426066</v>
                </pt>
                <pt idx="49">
                  <v>0.07455354670006056</v>
                </pt>
                <pt idx="50">
                  <v>0.07489694492768068</v>
                </pt>
                <pt idx="51">
                  <v>0.07483775099250228</v>
                </pt>
                <pt idx="52">
                  <v>0.07714418707973986</v>
                </pt>
                <pt idx="53">
                  <v>0.07720642889937129</v>
                </pt>
                <pt idx="54">
                  <v>0.07643045868272501</v>
                </pt>
                <pt idx="55">
                  <v>0.07640727721175873</v>
                </pt>
                <pt idx="56">
                  <v>0.07590046382930352</v>
                </pt>
                <pt idx="57">
                  <v>0.07625905088601445</v>
                </pt>
                <pt idx="58">
                  <v>0.07592759069024894</v>
                </pt>
                <pt idx="59">
                  <v>0.07641477767753473</v>
                </pt>
                <pt idx="60">
                  <v>0.0776114307087306</v>
                </pt>
                <pt idx="61">
                  <v>0.07903227313205825</v>
                </pt>
                <pt idx="62">
                  <v>0.07955975779468935</v>
                </pt>
                <pt idx="63">
                  <v>0.08369165076410184</v>
                </pt>
                <pt idx="64">
                  <v>0.08466110994496268</v>
                </pt>
                <pt idx="65">
                  <v>0.08448431993299171</v>
                </pt>
                <pt idx="66">
                  <v>0.08462572515260454</v>
                </pt>
                <pt idx="67">
                  <v>0.08549053616544328</v>
                </pt>
                <pt idx="68">
                  <v>0.08644275417686445</v>
                </pt>
                <pt idx="69">
                  <v>0.08810544894824919</v>
                </pt>
                <pt idx="70">
                  <v>0.08786118955931364</v>
                </pt>
                <pt idx="71">
                  <v>0.08742659197385788</v>
                </pt>
                <pt idx="72">
                  <v>0.08716697078425341</v>
                </pt>
                <pt idx="73">
                  <v>0.0866805248964847</v>
                </pt>
                <pt idx="74">
                  <v>0.0863670514861095</v>
                </pt>
                <pt idx="75">
                  <v>0.08269839449768178</v>
                </pt>
                <pt idx="76">
                  <v>0.08207471834824566</v>
                </pt>
                <pt idx="77">
                  <v>0.08237703396470702</v>
                </pt>
                <pt idx="78">
                  <v>0.08219012945367982</v>
                </pt>
                <pt idx="79">
                  <v>0.08263633128715064</v>
                </pt>
                <pt idx="80">
                  <v>0.08202518528189805</v>
                </pt>
                <pt idx="81">
                  <v>0.07934443822988566</v>
                </pt>
                <pt idx="82">
                  <v>0.08019516406384326</v>
                </pt>
                <pt idx="83">
                  <v>0.08182197500304655</v>
                </pt>
                <pt idx="84">
                  <v>0.08174835131725143</v>
                </pt>
                <pt idx="85">
                  <v>0.081091339520186</v>
                </pt>
                <pt idx="86">
                  <v>0.0806226597040445</v>
                </pt>
                <pt idx="87">
                  <v>0.08030176711389871</v>
                </pt>
              </numCache>
            </numRef>
          </val>
          <smooth val="0"/>
        </ser>
        <ser>
          <idx val="1"/>
          <order val="1"/>
          <tx>
            <strRef>
              <f>'All Charts'!$X$2</f>
              <strCache>
                <ptCount val="1"/>
                <pt idx="0">
                  <v>State Cap</v>
                </pt>
              </strCache>
            </strRef>
          </tx>
          <spPr>
            <a:ln xmlns:a="http://schemas.openxmlformats.org/drawingml/2006/main" w="31750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</dLbl>
            <dLbl>
              <idx val="12"/>
            </dLbl>
            <dLbl>
              <idx val="15"/>
            </dLbl>
            <dLbl>
              <idx val="18"/>
            </dLbl>
            <dLbl>
              <idx val="21"/>
            </dLbl>
            <dLbl>
              <idx val="24"/>
            </dLbl>
            <dLbl>
              <idx val="27"/>
            </dLbl>
            <dLbl>
              <idx val="30"/>
            </dLbl>
            <dLbl>
              <idx val="33"/>
            </dLbl>
            <dLbl>
              <idx val="36"/>
            </dLbl>
            <dLbl>
              <idx val="39"/>
            </dLbl>
            <dLbl>
              <idx val="4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4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9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Charts'!$B$6:$B$93</f>
              <strCache>
                <ptCount val="88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</strCache>
            </strRef>
          </cat>
          <val>
            <numRef>
              <f>'All Charts'!$X$6:$X$93</f>
              <numCache>
                <formatCode>0.00%</formatCode>
                <ptCount val="88"/>
                <pt idx="0">
                  <v>0.0895527574426888</v>
                </pt>
                <pt idx="1">
                  <v>0.08697062244601385</v>
                </pt>
                <pt idx="2">
                  <v>0.08722567838106977</v>
                </pt>
                <pt idx="3">
                  <v>0.08661992565195072</v>
                </pt>
                <pt idx="4">
                  <v>0.08544292664340648</v>
                </pt>
                <pt idx="5">
                  <v>0.08535483719702371</v>
                </pt>
                <pt idx="6">
                  <v>0.08304487432382902</v>
                </pt>
                <pt idx="7">
                  <v>0.0825564446785897</v>
                </pt>
                <pt idx="8">
                  <v>0.08384335797914214</v>
                </pt>
                <pt idx="9">
                  <v>0.08607629262497427</v>
                </pt>
                <pt idx="10">
                  <v>0.08766528418745186</v>
                </pt>
                <pt idx="11">
                  <v>0.08196703401657011</v>
                </pt>
                <pt idx="12">
                  <v>0.08191529091705463</v>
                </pt>
                <pt idx="13">
                  <v>0.0840513952751336</v>
                </pt>
                <pt idx="14">
                  <v>0.08354455963348487</v>
                </pt>
                <pt idx="15">
                  <v>0.08458381081754915</v>
                </pt>
                <pt idx="16">
                  <v>0.08624796422960301</v>
                </pt>
                <pt idx="17">
                  <v>0.08431907254067221</v>
                </pt>
                <pt idx="18">
                  <v>0.0846494787001309</v>
                </pt>
                <pt idx="19">
                  <v>0.08448662035487368</v>
                </pt>
                <pt idx="20">
                  <v>0.08278799109885769</v>
                </pt>
                <pt idx="21">
                  <v>0.08036290010244074</v>
                </pt>
                <pt idx="22">
                  <v>0.07955047274135027</v>
                </pt>
                <pt idx="23">
                  <v>0.07928270982836791</v>
                </pt>
                <pt idx="24">
                  <v>0.08018046756009967</v>
                </pt>
                <pt idx="25">
                  <v>0.0785464958042635</v>
                </pt>
                <pt idx="26">
                  <v>0.07849933847455491</v>
                </pt>
                <pt idx="27">
                  <v>0.07777992318479497</v>
                </pt>
                <pt idx="28">
                  <v>0.07761027034321109</v>
                </pt>
                <pt idx="29">
                  <v>0.07774820058920116</v>
                </pt>
                <pt idx="30">
                  <v>0.07734344658976861</v>
                </pt>
                <pt idx="31">
                  <v>0.07563351867788445</v>
                </pt>
                <pt idx="32">
                  <v>0.07638555484468718</v>
                </pt>
                <pt idx="33">
                  <v>0.0769152025085094</v>
                </pt>
                <pt idx="34">
                  <v>0.07736080200473565</v>
                </pt>
                <pt idx="35">
                  <v>0.0771840490245556</v>
                </pt>
                <pt idx="36">
                  <v>0.07650979965678678</v>
                </pt>
                <pt idx="37">
                  <v>0.07715132105202413</v>
                </pt>
                <pt idx="38">
                  <v>0.07714707203887888</v>
                </pt>
                <pt idx="39">
                  <v>0.07700918424721896</v>
                </pt>
                <pt idx="40">
                  <v>0.07629704940823563</v>
                </pt>
                <pt idx="41">
                  <v>0.07621182193656492</v>
                </pt>
                <pt idx="42">
                  <v>0.07601588161352911</v>
                </pt>
                <pt idx="43">
                  <v>0.07750374233787224</v>
                </pt>
                <pt idx="44">
                  <v>0.0768467886543735</v>
                </pt>
                <pt idx="45">
                  <v>0.07777161488284369</v>
                </pt>
                <pt idx="46">
                  <v>0.07762817116659015</v>
                </pt>
                <pt idx="47">
                  <v>0.07845689280610288</v>
                </pt>
                <pt idx="48">
                  <v>0.07860814111493178</v>
                </pt>
                <pt idx="49">
                  <v>0.07841727501704833</v>
                </pt>
                <pt idx="50">
                  <v>0.07831908989908098</v>
                </pt>
                <pt idx="51">
                  <v>0.07910035635676126</v>
                </pt>
                <pt idx="52">
                  <v>0.08015503098184459</v>
                </pt>
                <pt idx="53">
                  <v>0.08029295808095177</v>
                </pt>
                <pt idx="54">
                  <v>0.08131163079964129</v>
                </pt>
                <pt idx="55">
                  <v>0.08121138716921858</v>
                </pt>
                <pt idx="56">
                  <v>0.08190402714869106</v>
                </pt>
                <pt idx="57">
                  <v>0.08045555532666596</v>
                </pt>
                <pt idx="58">
                  <v>0.07925285015679977</v>
                </pt>
                <pt idx="59">
                  <v>0.07926843197429011</v>
                </pt>
                <pt idx="60">
                  <v>0.07844432914337271</v>
                </pt>
                <pt idx="61">
                  <v>0.07885258261674657</v>
                </pt>
                <pt idx="62">
                  <v>0.07784779831694212</v>
                </pt>
                <pt idx="63">
                  <v>0.07844448997965627</v>
                </pt>
                <pt idx="64">
                  <v>0.07923168932524205</v>
                </pt>
                <pt idx="65">
                  <v>0.07910560345146009</v>
                </pt>
                <pt idx="66">
                  <v>0.07857023160575743</v>
                </pt>
                <pt idx="67">
                  <v>0.07851543636385992</v>
                </pt>
                <pt idx="68">
                  <v>0.07978785400294035</v>
                </pt>
                <pt idx="69">
                  <v>0.08086223207546538</v>
                </pt>
                <pt idx="70">
                  <v>0.08104923961046778</v>
                </pt>
                <pt idx="71">
                  <v>0.08007962429999355</v>
                </pt>
                <pt idx="72">
                  <v>0.0803162250834028</v>
                </pt>
                <pt idx="73">
                  <v>0.08011189609683256</v>
                </pt>
                <pt idx="74">
                  <v>0.08136900190269096</v>
                </pt>
                <pt idx="75">
                  <v>0.08020650896931662</v>
                </pt>
                <pt idx="76">
                  <v>0.07905838138354737</v>
                </pt>
                <pt idx="77">
                  <v>0.0787596819680063</v>
                </pt>
                <pt idx="78">
                  <v>0.07960245703703957</v>
                </pt>
                <pt idx="79">
                  <v>0.08085840980478065</v>
                </pt>
                <pt idx="80">
                  <v>0.07774671405400582</v>
                </pt>
                <pt idx="81">
                  <v>0.07647791348473734</v>
                </pt>
                <pt idx="82">
                  <v>0.07614062107078276</v>
                </pt>
                <pt idx="83">
                  <v>0.07839852678196221</v>
                </pt>
                <pt idx="84">
                  <v>0.07831580426013733</v>
                </pt>
                <pt idx="85">
                  <v>0.07780974609426659</v>
                </pt>
                <pt idx="86">
                  <v>0.07912208377402805</v>
                </pt>
                <pt idx="87">
                  <v>0.08003235961654716</v>
                </pt>
              </numCache>
            </numRef>
          </val>
          <smooth val="0"/>
        </ser>
        <ser>
          <idx val="2"/>
          <order val="2"/>
          <tx>
            <strRef>
              <f>'All Charts'!$Y$2</f>
              <strCache>
                <ptCount val="1"/>
                <pt idx="0">
                  <v>Municipal Cap</v>
                </pt>
              </strCache>
            </strRef>
          </tx>
          <spPr>
            <a:ln xmlns:a="http://schemas.openxmlformats.org/drawingml/2006/main" w="31750" cap="rnd">
              <a:solidFill>
                <a:srgbClr val="6A74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2"/>
            </dLbl>
            <dLbl>
              <idx val="1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"/>
            </dLbl>
            <dLbl>
              <idx val="21"/>
            </dLbl>
            <dLbl>
              <idx val="24"/>
            </dLbl>
            <dLbl>
              <idx val="27"/>
            </dLbl>
            <dLbl>
              <idx val="30"/>
            </dLbl>
            <dLbl>
              <idx val="33"/>
            </dLbl>
            <dLbl>
              <idx val="36"/>
            </dLbl>
            <dLbl>
              <idx val="37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9"/>
            </dLbl>
            <dLbl>
              <idx val="42"/>
            </dLbl>
            <dLbl>
              <idx val="5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3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7"/>
            </dLbl>
            <spPr>
              <a:solidFill xmlns:a="http://schemas.openxmlformats.org/drawingml/2006/main">
                <a:srgbClr val="E0E8F4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Charts'!$B$6:$B$93</f>
              <strCache>
                <ptCount val="88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</strCache>
            </strRef>
          </cat>
          <val>
            <numRef>
              <f>'All Charts'!$Y$6:$Y$93</f>
              <numCache>
                <formatCode>0.00%</formatCode>
                <ptCount val="88"/>
                <pt idx="0">
                  <v>0.07852760307967434</v>
                </pt>
                <pt idx="1">
                  <v>0.08417288235294118</v>
                </pt>
                <pt idx="2">
                  <v>0.08417288235294118</v>
                </pt>
                <pt idx="3">
                  <v>0.08417288235294118</v>
                </pt>
                <pt idx="4">
                  <v>0.08417288235294118</v>
                </pt>
                <pt idx="5">
                  <v>0.08417288235294118</v>
                </pt>
                <pt idx="6">
                  <v>0.08628752941176471</v>
                </pt>
                <pt idx="7">
                  <v>0.08628752941176471</v>
                </pt>
                <pt idx="8">
                  <v>0.08628752941176471</v>
                </pt>
                <pt idx="9">
                  <v>0.08628752941176471</v>
                </pt>
                <pt idx="10">
                  <v>0.08628752941176471</v>
                </pt>
                <pt idx="11">
                  <v>0.08628752941176471</v>
                </pt>
                <pt idx="12">
                  <v>0.08628752941176471</v>
                </pt>
                <pt idx="13">
                  <v>0.07000000000000001</v>
                </pt>
                <pt idx="14">
                  <v>0.07000000000000001</v>
                </pt>
                <pt idx="15">
                  <v>0.07000000000000001</v>
                </pt>
                <pt idx="16">
                  <v>0.07000000000000001</v>
                </pt>
                <pt idx="17">
                  <v>0.07000000000000001</v>
                </pt>
                <pt idx="18">
                  <v>0.07000000000000001</v>
                </pt>
                <pt idx="19">
                  <v>0.07000000000000001</v>
                </pt>
                <pt idx="20">
                  <v>0.07000000000000001</v>
                </pt>
                <pt idx="21">
                  <v>0.07000000000000001</v>
                </pt>
                <pt idx="22">
                  <v>0.07000000000000001</v>
                </pt>
                <pt idx="23">
                  <v>0.07000000000000001</v>
                </pt>
                <pt idx="24">
                  <v>0.07572115384615385</v>
                </pt>
                <pt idx="25">
                  <v>0.07505562873490147</v>
                </pt>
                <pt idx="26">
                  <v>0.06953615980752684</v>
                </pt>
                <pt idx="27">
                  <v>0.06953615980752684</v>
                </pt>
                <pt idx="28">
                  <v>0.06953615980752684</v>
                </pt>
                <pt idx="29">
                  <v>0.06953615980752684</v>
                </pt>
                <pt idx="30">
                  <v>0.06953615980752684</v>
                </pt>
                <pt idx="31">
                  <v>0.06868013317293904</v>
                </pt>
                <pt idx="32">
                  <v>0.06868013317293904</v>
                </pt>
                <pt idx="33">
                  <v>0.06841615980752683</v>
                </pt>
                <pt idx="34">
                  <v>0.06841615980752683</v>
                </pt>
                <pt idx="35">
                  <v>0.06841615980752683</v>
                </pt>
                <pt idx="36">
                  <v>0.06515962283633163</v>
                </pt>
                <pt idx="37">
                  <v>0.06288771113801453</v>
                </pt>
                <pt idx="38">
                  <v>0.06397488095238095</v>
                </pt>
                <pt idx="39">
                  <v>0.06397488095238095</v>
                </pt>
                <pt idx="40">
                  <v>0.06510616071428571</v>
                </pt>
                <pt idx="41">
                  <v>0.06510616071428571</v>
                </pt>
                <pt idx="42">
                  <v>0.06435271137685843</v>
                </pt>
                <pt idx="43">
                  <v>0.06434088922107305</v>
                </pt>
                <pt idx="44">
                  <v>0.06434088922107305</v>
                </pt>
                <pt idx="45">
                  <v>0.06434088922107305</v>
                </pt>
                <pt idx="46">
                  <v>0.06475271137685844</v>
                </pt>
                <pt idx="47">
                  <v>0.06475271137685844</v>
                </pt>
                <pt idx="48">
                  <v>0.06787683398617016</v>
                </pt>
                <pt idx="49">
                  <v>0.07109029471008237</v>
                </pt>
                <pt idx="50">
                  <v>0.07109029471008237</v>
                </pt>
                <pt idx="51">
                  <v>0.07109029471008237</v>
                </pt>
                <pt idx="52">
                  <v>0.0689984094157236</v>
                </pt>
                <pt idx="53">
                  <v>0.0689984094157236</v>
                </pt>
                <pt idx="54">
                  <v>0.0700926230426628</v>
                </pt>
                <pt idx="55">
                  <v>0.0700926230426628</v>
                </pt>
                <pt idx="56">
                  <v>0.0700926230426628</v>
                </pt>
                <pt idx="57">
                  <v>0.06831811314127249</v>
                </pt>
                <pt idx="58">
                  <v>0.06859212930431142</v>
                </pt>
                <pt idx="59">
                  <v>0.06744822307714252</v>
                </pt>
                <pt idx="60">
                  <v>0.06509424666791194</v>
                </pt>
                <pt idx="61">
                  <v>0.06112817175017107</v>
                </pt>
                <pt idx="62">
                  <v>0.06112817175017107</v>
                </pt>
                <pt idx="63">
                  <v>0.06112817175017107</v>
                </pt>
                <pt idx="64">
                  <v>0.06119641159891074</v>
                </pt>
                <pt idx="65">
                  <v>0.07295712927912859</v>
                </pt>
                <pt idx="66">
                  <v>0.06897956376295805</v>
                </pt>
                <pt idx="67">
                  <v>0.07220405667818493</v>
                </pt>
                <pt idx="68">
                  <v>0.07220405667818493</v>
                </pt>
                <pt idx="69">
                  <v>0.07352274135049744</v>
                </pt>
                <pt idx="70">
                  <v>0.07292046721544769</v>
                </pt>
                <pt idx="71">
                  <v>0.07433995217670826</v>
                </pt>
                <pt idx="72">
                  <v>0.07433995217670826</v>
                </pt>
                <pt idx="73">
                  <v>0.07665188006377141</v>
                </pt>
                <pt idx="74">
                  <v>0.07609755672512379</v>
                </pt>
                <pt idx="75">
                  <v>0.075932638414046</v>
                </pt>
                <pt idx="76">
                  <v>0.0770043798305111</v>
                </pt>
                <pt idx="77">
                  <v>0.07138899521512648</v>
                </pt>
                <pt idx="78">
                  <v>0.07410060740886228</v>
                </pt>
                <pt idx="79">
                  <v>0.0712182544676858</v>
                </pt>
                <pt idx="80">
                  <v>0.07054535632367895</v>
                </pt>
                <pt idx="81">
                  <v>0.07079814272743586</v>
                </pt>
                <pt idx="82">
                  <v>0.07112795700017943</v>
                </pt>
                <pt idx="83">
                  <v>0.07303718662980906</v>
                </pt>
                <pt idx="84">
                  <v>0.07303718662980906</v>
                </pt>
                <pt idx="85">
                  <v>0.06953259439837242</v>
                </pt>
                <pt idx="86">
                  <v>0.06946582216956849</v>
                </pt>
                <pt idx="87">
                  <v>0.06727489961836418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hiLow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hiLowLines>
        <smooth val="0"/>
        <axId val="724604184"/>
        <axId val="724597624"/>
      </lineChart>
      <dateAx>
        <axId val="72460418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597624"/>
        <crosses val="autoZero"/>
        <lblOffset val="100"/>
        <baseTimeUnit val="days"/>
        <majorUnit val="1"/>
      </dateAx>
      <valAx>
        <axId val="724597624"/>
        <scaling>
          <orientation val="minMax"/>
          <min val="0.05500000000000001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604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284212058930969"/>
          <y val="0.02441997990991867"/>
          <w val="0.9068201381352258"/>
          <h val="0.6402399888722826"/>
        </manualLayout>
      </layout>
      <lineChart>
        <grouping val="standard"/>
        <varyColors val="0"/>
        <ser>
          <idx val="0"/>
          <order val="0"/>
          <tx>
            <strRef>
              <f>'All Charts'!$M$2</f>
              <strCache>
                <ptCount val="1"/>
                <pt idx="0">
                  <v>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Charts'!$B$6:$B$69</f>
              <strCache>
                <ptCount val="64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</strCache>
            </strRef>
          </cat>
          <val>
            <numRef>
              <f>'All Charts'!$M$6:$M$69</f>
              <numCache>
                <formatCode>0.00%</formatCode>
                <ptCount val="64"/>
                <pt idx="0">
                  <v>0.07571684074822374</v>
                </pt>
                <pt idx="1">
                  <v>0.0726762177718252</v>
                </pt>
                <pt idx="2">
                  <v>0.0726762177718252</v>
                </pt>
                <pt idx="3">
                  <v>0.0726762177718252</v>
                </pt>
                <pt idx="4">
                  <v>0.0726762177718252</v>
                </pt>
                <pt idx="5">
                  <v>0.0725337960195378</v>
                </pt>
                <pt idx="6">
                  <v>0.07241797344712002</v>
                </pt>
                <pt idx="7">
                  <v>0.07241797344712002</v>
                </pt>
                <pt idx="8">
                  <v>0.07241797344712002</v>
                </pt>
                <pt idx="9">
                  <v>0.06772349068849932</v>
                </pt>
                <pt idx="10">
                  <v>0.06772349068849932</v>
                </pt>
                <pt idx="11">
                  <v>0.06772349068849932</v>
                </pt>
                <pt idx="12">
                  <v>0.06784316415114222</v>
                </pt>
                <pt idx="13">
                  <v>0.06784316415114222</v>
                </pt>
                <pt idx="14">
                  <v>0.06784316415114222</v>
                </pt>
                <pt idx="15">
                  <v>0.06784316415114222</v>
                </pt>
                <pt idx="16">
                  <v>0.06784316415114222</v>
                </pt>
                <pt idx="17">
                  <v>0.07282877610076148</v>
                </pt>
                <pt idx="18">
                  <v>0.07314999999999999</v>
                </pt>
                <pt idx="19">
                  <v>0.06787499999999999</v>
                </pt>
                <pt idx="20">
                  <v>0.06787499999999999</v>
                </pt>
                <pt idx="21">
                  <v>0.06933333333333334</v>
                </pt>
                <pt idx="22">
                  <v>0.06339988619572168</v>
                </pt>
                <pt idx="23">
                  <v>0.06471672807976807</v>
                </pt>
                <pt idx="24">
                  <v>0.06475719329023875</v>
                </pt>
                <pt idx="25">
                  <v>0.06435004412895891</v>
                </pt>
                <pt idx="26">
                  <v>0.06564448367018569</v>
                </pt>
                <pt idx="27">
                  <v>0.06824400106925727</v>
                </pt>
                <pt idx="28">
                  <v>0.0672320009801525</v>
                </pt>
                <pt idx="29">
                  <v>0.06342184666686249</v>
                </pt>
                <pt idx="30">
                  <v>0.06342184666686249</v>
                </pt>
                <pt idx="31">
                  <v>0.0638320005557677</v>
                </pt>
                <pt idx="32">
                  <v>0.06644363882774987</v>
                </pt>
                <pt idx="33">
                  <v>0.06644363882774987</v>
                </pt>
                <pt idx="34">
                  <v>0.06734421146029587</v>
                </pt>
                <pt idx="35">
                  <v>0.06712439334697898</v>
                </pt>
                <pt idx="36">
                  <v>0.06807494034450184</v>
                </pt>
                <pt idx="37">
                  <v>0.06933633039564085</v>
                </pt>
                <pt idx="38">
                  <v>0.06894434983067854</v>
                </pt>
                <pt idx="39">
                  <v>0.06711942968199459</v>
                </pt>
                <pt idx="40">
                  <v>0.06757124479630085</v>
                </pt>
                <pt idx="41">
                  <v>0.07051824505093172</v>
                </pt>
                <pt idx="42">
                  <v>0.07010884562303352</v>
                </pt>
                <pt idx="43">
                  <v>0.07071108059594511</v>
                </pt>
                <pt idx="44">
                  <v>0.06995924061751439</v>
                </pt>
                <pt idx="45">
                  <v>0.07080127858663868</v>
                </pt>
                <pt idx="46">
                  <v>0.07276635194589948</v>
                </pt>
                <pt idx="47">
                  <v>0.07409817120951519</v>
                </pt>
                <pt idx="48">
                  <v>0.07365307902623969</v>
                </pt>
                <pt idx="49">
                  <v>0.07303237656187131</v>
                </pt>
                <pt idx="50">
                  <v>0.07348057786398957</v>
                </pt>
                <pt idx="51">
                  <v>0.07461189908433002</v>
                </pt>
                <pt idx="52">
                  <v>0.07618429184747474</v>
                </pt>
                <pt idx="53">
                  <v>0.07554143581974287</v>
                </pt>
                <pt idx="54">
                  <v>0.07739260913290689</v>
                </pt>
                <pt idx="55">
                  <v>0.07619658413290689</v>
                </pt>
                <pt idx="56">
                  <v>0.07723371712156063</v>
                </pt>
                <pt idx="57">
                  <v>0.07211999979255863</v>
                </pt>
                <pt idx="58">
                  <v>0.07124444421395404</v>
                </pt>
                <pt idx="59">
                  <v>0.07023941750504267</v>
                </pt>
                <pt idx="60">
                  <v>0.07023941750504267</v>
                </pt>
                <pt idx="61">
                  <v>0.07023941750504267</v>
                </pt>
                <pt idx="62">
                  <v>0.06955746832036311</v>
                </pt>
                <pt idx="63">
                  <v>0.06955746832036311</v>
                </pt>
              </numCache>
            </numRef>
          </val>
          <smooth val="0"/>
        </ser>
        <ser>
          <idx val="1"/>
          <order val="1"/>
          <tx>
            <strRef>
              <f>'All Charts'!$N$2</f>
              <strCache>
                <ptCount val="1"/>
                <pt idx="0">
                  <v>Non-NM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9EA9B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700" b="0" i="0" strike="noStrike" kern="1200" baseline="0">
                    <a:solidFill>
                      <a:srgbClr val="9EA9B7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'All Charts'!$B$6:$B$69</f>
              <strCache>
                <ptCount val="64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</strCache>
            </strRef>
          </cat>
          <val>
            <numRef>
              <f>'All Charts'!$N$6:$N$69</f>
              <numCache>
                <formatCode>0.00%</formatCode>
                <ptCount val="64"/>
                <pt idx="0">
                  <v>0.07980819043761413</v>
                </pt>
                <pt idx="1">
                  <v>0.07914012451228919</v>
                </pt>
                <pt idx="2">
                  <v>0.07855156261147614</v>
                </pt>
                <pt idx="3">
                  <v>0.07792455003075016</v>
                </pt>
                <pt idx="4">
                  <v>0.07825699740552627</v>
                </pt>
                <pt idx="5">
                  <v>0.07787431263764497</v>
                </pt>
                <pt idx="6">
                  <v>0.07710577519821682</v>
                </pt>
                <pt idx="7">
                  <v>0.07605548485648066</v>
                </pt>
                <pt idx="8">
                  <v>0.07621215225185558</v>
                </pt>
                <pt idx="9">
                  <v>0.08209758601265639</v>
                </pt>
                <pt idx="10">
                  <v>0.08305141600336378</v>
                </pt>
                <pt idx="11">
                  <v>0.08000870503904335</v>
                </pt>
                <pt idx="12">
                  <v>0.08066379577691715</v>
                </pt>
                <pt idx="13">
                  <v>0.08051810914177053</v>
                </pt>
                <pt idx="14">
                  <v>0.08230399065381977</v>
                </pt>
                <pt idx="15">
                  <v>0.08323355104680018</v>
                </pt>
                <pt idx="16">
                  <v>0.08425990366004311</v>
                </pt>
                <pt idx="17">
                  <v>0.08441370687137502</v>
                </pt>
                <pt idx="18">
                  <v>0.08629264802177002</v>
                </pt>
                <pt idx="19">
                  <v>0.08763948008738069</v>
                </pt>
                <pt idx="20">
                  <v>0.08646056614019099</v>
                </pt>
                <pt idx="21">
                  <v>0.07847612654989961</v>
                </pt>
                <pt idx="22">
                  <v>0.07517808911213449</v>
                </pt>
                <pt idx="23">
                  <v>0.07656093845753276</v>
                </pt>
                <pt idx="24">
                  <v>0.0745682754071359</v>
                </pt>
                <pt idx="25">
                  <v>0.07627339232912207</v>
                </pt>
                <pt idx="26">
                  <v>0.07738247946637375</v>
                </pt>
                <pt idx="27">
                  <v>0.0783473386114083</v>
                </pt>
                <pt idx="28">
                  <v>0.0766201756677555</v>
                </pt>
                <pt idx="29">
                  <v>0.07479818143290375</v>
                </pt>
                <pt idx="30">
                  <v>0.07664716506407376</v>
                </pt>
                <pt idx="31">
                  <v>0.07703485964327859</v>
                </pt>
                <pt idx="32">
                  <v>0.07703485964327859</v>
                </pt>
                <pt idx="33">
                  <v>0.07667758885466873</v>
                </pt>
                <pt idx="34">
                  <v>0.07667758885466873</v>
                </pt>
                <pt idx="35">
                  <v>0.07627435245440024</v>
                </pt>
                <pt idx="36">
                  <v>0.07736467016961389</v>
                </pt>
                <pt idx="37">
                  <v>0.07685984221752457</v>
                </pt>
                <pt idx="38">
                  <v>0.07496847858116093</v>
                </pt>
                <pt idx="39">
                  <v>0.07532306246061192</v>
                </pt>
                <pt idx="40">
                  <v>0.07590552617827589</v>
                </pt>
                <pt idx="41">
                  <v>0.07675754669845029</v>
                </pt>
                <pt idx="42">
                  <v>0.07496165332625061</v>
                </pt>
                <pt idx="43">
                  <v>0.07480936379444533</v>
                </pt>
                <pt idx="44">
                  <v>0.07448299180266044</v>
                </pt>
                <pt idx="45">
                  <v>0.0751348158417964</v>
                </pt>
                <pt idx="46">
                  <v>0.07529095281206129</v>
                </pt>
                <pt idx="47">
                  <v>0.0805950797346013</v>
                </pt>
                <pt idx="48">
                  <v>0.07951594818412261</v>
                </pt>
                <pt idx="49">
                  <v>0.07917016689990732</v>
                </pt>
                <pt idx="50">
                  <v>0.07906382828625724</v>
                </pt>
                <pt idx="51">
                  <v>0.07901217689387169</v>
                </pt>
                <pt idx="52">
                  <v>0.0806839910468654</v>
                </pt>
                <pt idx="53">
                  <v>0.08253499791649878</v>
                </pt>
                <pt idx="54">
                  <v>0.08210295246195334</v>
                </pt>
                <pt idx="55">
                  <v>0.08013080712499498</v>
                </pt>
                <pt idx="56">
                  <v>0.08068516864492158</v>
                </pt>
                <pt idx="57">
                  <v>0.08238161507419767</v>
                </pt>
                <pt idx="58">
                  <v>0.08089417832110753</v>
                </pt>
                <pt idx="59">
                  <v>0.07795692663576061</v>
                </pt>
                <pt idx="60">
                  <v>0.08074231145028427</v>
                </pt>
                <pt idx="61">
                  <v>0.08200593774156667</v>
                </pt>
                <pt idx="62">
                  <v>0.08256118411892277</v>
                </pt>
                <pt idx="63">
                  <v>0.08256118411892277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9525" cap="flat" cmpd="sng" algn="ctr">
              <a:solidFill>
                <a:srgbClr val="9EA9B7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58704"/>
        <crosses val="autoZero"/>
        <lblOffset val="100"/>
        <baseTimeUnit val="months"/>
        <majorUnit val="1"/>
        <majorTimeUnit val="months"/>
      </dateAx>
      <valAx>
        <axId val="696758704"/>
        <scaling>
          <orientation val="minMax"/>
          <max val="0.09250000000000003"/>
          <min val="0.05250000000000001"/>
        </scaling>
        <delete val="0"/>
        <axPos val="r"/>
        <majorGridlines>
          <spPr>
            <a:ln xmlns:a="http://schemas.openxmlformats.org/drawingml/2006/main"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9EA9B7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662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9EA9B7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5610617704234079"/>
          <y val="0"/>
          <w val="0.9923528849582952"/>
          <h val="0.9371964132723265"/>
        </manualLayout>
      </layout>
      <lineChart>
        <grouping val="standard"/>
        <varyColors val="0"/>
        <ser>
          <idx val="0"/>
          <order val="0"/>
          <tx>
            <strRef>
              <f>'All Charts'!$M$2</f>
              <strCache>
                <ptCount val="1"/>
                <pt idx="0">
                  <v>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Charts'!$C$15:$C$69</f>
              <numCache>
                <formatCode>[$-409]mmm\-yy;@</formatCode>
                <ptCount val="55"/>
                <pt idx="0">
                  <v>45473</v>
                </pt>
                <pt idx="1">
                  <v>45443</v>
                </pt>
                <pt idx="2">
                  <v>45412</v>
                </pt>
                <pt idx="3">
                  <v>45382</v>
                </pt>
                <pt idx="4">
                  <v>45350</v>
                </pt>
                <pt idx="5">
                  <v>45322</v>
                </pt>
                <pt idx="6">
                  <v>45291</v>
                </pt>
                <pt idx="7">
                  <v>45260</v>
                </pt>
                <pt idx="8">
                  <v>45230</v>
                </pt>
                <pt idx="9">
                  <v>45199</v>
                </pt>
                <pt idx="10">
                  <v>45168</v>
                </pt>
                <pt idx="11">
                  <v>45138</v>
                </pt>
                <pt idx="12">
                  <v>45107</v>
                </pt>
                <pt idx="13">
                  <v>45077</v>
                </pt>
                <pt idx="14">
                  <v>45046</v>
                </pt>
                <pt idx="15">
                  <v>45016</v>
                </pt>
                <pt idx="16">
                  <v>44985</v>
                </pt>
                <pt idx="17">
                  <v>44957</v>
                </pt>
                <pt idx="18">
                  <v>44926</v>
                </pt>
                <pt idx="19">
                  <v>44895</v>
                </pt>
                <pt idx="20">
                  <v>44865</v>
                </pt>
                <pt idx="21">
                  <v>44834</v>
                </pt>
                <pt idx="22">
                  <v>44804</v>
                </pt>
                <pt idx="23">
                  <v>44773</v>
                </pt>
                <pt idx="24">
                  <v>44742</v>
                </pt>
                <pt idx="25">
                  <v>44712</v>
                </pt>
                <pt idx="26">
                  <v>44681</v>
                </pt>
                <pt idx="27">
                  <v>44651</v>
                </pt>
                <pt idx="28">
                  <v>44620</v>
                </pt>
                <pt idx="29">
                  <v>44592</v>
                </pt>
                <pt idx="30">
                  <v>44561</v>
                </pt>
                <pt idx="31">
                  <v>44530</v>
                </pt>
                <pt idx="32">
                  <v>44500</v>
                </pt>
                <pt idx="33">
                  <v>44469</v>
                </pt>
                <pt idx="34">
                  <v>44439</v>
                </pt>
                <pt idx="35">
                  <v>44408</v>
                </pt>
                <pt idx="36">
                  <v>44377</v>
                </pt>
                <pt idx="37">
                  <v>44347</v>
                </pt>
                <pt idx="38">
                  <v>44316</v>
                </pt>
                <pt idx="39">
                  <v>44286</v>
                </pt>
                <pt idx="40">
                  <v>44255</v>
                </pt>
                <pt idx="41">
                  <v>44227</v>
                </pt>
                <pt idx="42">
                  <v>44196</v>
                </pt>
                <pt idx="43">
                  <v>44165</v>
                </pt>
                <pt idx="44">
                  <v>44135</v>
                </pt>
                <pt idx="45">
                  <v>44104</v>
                </pt>
                <pt idx="46">
                  <v>44074</v>
                </pt>
                <pt idx="47">
                  <v>44043</v>
                </pt>
                <pt idx="48">
                  <v>44012</v>
                </pt>
                <pt idx="49">
                  <v>43982</v>
                </pt>
                <pt idx="50">
                  <v>43951</v>
                </pt>
                <pt idx="51">
                  <v>43921</v>
                </pt>
                <pt idx="52">
                  <v>43890</v>
                </pt>
                <pt idx="53">
                  <v>43861</v>
                </pt>
                <pt idx="54">
                  <v>43830</v>
                </pt>
              </numCache>
            </numRef>
          </cat>
          <val>
            <numRef>
              <f>'All Charts'!$M$15:$M$69</f>
              <numCache>
                <formatCode>0.00%</formatCode>
                <ptCount val="55"/>
                <pt idx="0">
                  <v>0.06772349068849932</v>
                </pt>
                <pt idx="1">
                  <v>0.06772349068849932</v>
                </pt>
                <pt idx="2">
                  <v>0.06772349068849932</v>
                </pt>
                <pt idx="3">
                  <v>0.06784316415114222</v>
                </pt>
                <pt idx="4">
                  <v>0.06784316415114222</v>
                </pt>
                <pt idx="5">
                  <v>0.06784316415114222</v>
                </pt>
                <pt idx="6">
                  <v>0.06784316415114222</v>
                </pt>
                <pt idx="7">
                  <v>0.06784316415114222</v>
                </pt>
                <pt idx="8">
                  <v>0.07282877610076148</v>
                </pt>
                <pt idx="9">
                  <v>0.07314999999999999</v>
                </pt>
                <pt idx="10">
                  <v>0.06787499999999999</v>
                </pt>
                <pt idx="11">
                  <v>0.06787499999999999</v>
                </pt>
                <pt idx="12">
                  <v>0.06933333333333334</v>
                </pt>
                <pt idx="13">
                  <v>0.06339988619572168</v>
                </pt>
                <pt idx="14">
                  <v>0.06471672807976807</v>
                </pt>
                <pt idx="15">
                  <v>0.06475719329023875</v>
                </pt>
                <pt idx="16">
                  <v>0.06435004412895891</v>
                </pt>
                <pt idx="17">
                  <v>0.06564448367018569</v>
                </pt>
                <pt idx="18">
                  <v>0.06824400106925727</v>
                </pt>
                <pt idx="19">
                  <v>0.0672320009801525</v>
                </pt>
                <pt idx="20">
                  <v>0.06342184666686249</v>
                </pt>
                <pt idx="21">
                  <v>0.06342184666686249</v>
                </pt>
                <pt idx="22">
                  <v>0.0638320005557677</v>
                </pt>
                <pt idx="23">
                  <v>0.06644363882774987</v>
                </pt>
                <pt idx="24">
                  <v>0.06644363882774987</v>
                </pt>
                <pt idx="25">
                  <v>0.06734421146029587</v>
                </pt>
                <pt idx="26">
                  <v>0.06712439334697898</v>
                </pt>
                <pt idx="27">
                  <v>0.06807494034450184</v>
                </pt>
                <pt idx="28">
                  <v>0.06933633039564085</v>
                </pt>
                <pt idx="29">
                  <v>0.06894434983067854</v>
                </pt>
                <pt idx="30">
                  <v>0.06711942968199459</v>
                </pt>
                <pt idx="31">
                  <v>0.06757124479630085</v>
                </pt>
                <pt idx="32">
                  <v>0.07051824505093172</v>
                </pt>
                <pt idx="33">
                  <v>0.07010884562303352</v>
                </pt>
                <pt idx="34">
                  <v>0.07071108059594511</v>
                </pt>
                <pt idx="35">
                  <v>0.06995924061751439</v>
                </pt>
                <pt idx="36">
                  <v>0.07080127858663868</v>
                </pt>
                <pt idx="37">
                  <v>0.07276635194589948</v>
                </pt>
                <pt idx="38">
                  <v>0.07409817120951519</v>
                </pt>
                <pt idx="39">
                  <v>0.07365307902623969</v>
                </pt>
                <pt idx="40">
                  <v>0.07303237656187131</v>
                </pt>
                <pt idx="41">
                  <v>0.07348057786398957</v>
                </pt>
                <pt idx="42">
                  <v>0.07461189908433002</v>
                </pt>
                <pt idx="43">
                  <v>0.07618429184747474</v>
                </pt>
                <pt idx="44">
                  <v>0.07554143581974287</v>
                </pt>
                <pt idx="45">
                  <v>0.07739260913290689</v>
                </pt>
                <pt idx="46">
                  <v>0.07619658413290689</v>
                </pt>
                <pt idx="47">
                  <v>0.07723371712156063</v>
                </pt>
                <pt idx="48">
                  <v>0.07211999979255863</v>
                </pt>
                <pt idx="49">
                  <v>0.07124444421395404</v>
                </pt>
                <pt idx="50">
                  <v>0.07023941750504267</v>
                </pt>
                <pt idx="51">
                  <v>0.07023941750504267</v>
                </pt>
                <pt idx="52">
                  <v>0.07023941750504267</v>
                </pt>
                <pt idx="53">
                  <v>0.06955746832036311</v>
                </pt>
                <pt idx="54">
                  <v>0.06955746832036311</v>
                </pt>
              </numCache>
            </numRef>
          </val>
          <smooth val="0"/>
        </ser>
        <ser>
          <idx val="1"/>
          <order val="1"/>
          <tx>
            <strRef>
              <f>'All Charts'!$N$2</f>
              <strCache>
                <ptCount val="1"/>
                <pt idx="0">
                  <v>Non-NM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6A74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Charts'!$C$15:$C$69</f>
              <numCache>
                <formatCode>[$-409]mmm\-yy;@</formatCode>
                <ptCount val="55"/>
                <pt idx="0">
                  <v>45473</v>
                </pt>
                <pt idx="1">
                  <v>45443</v>
                </pt>
                <pt idx="2">
                  <v>45412</v>
                </pt>
                <pt idx="3">
                  <v>45382</v>
                </pt>
                <pt idx="4">
                  <v>45350</v>
                </pt>
                <pt idx="5">
                  <v>45322</v>
                </pt>
                <pt idx="6">
                  <v>45291</v>
                </pt>
                <pt idx="7">
                  <v>45260</v>
                </pt>
                <pt idx="8">
                  <v>45230</v>
                </pt>
                <pt idx="9">
                  <v>45199</v>
                </pt>
                <pt idx="10">
                  <v>45168</v>
                </pt>
                <pt idx="11">
                  <v>45138</v>
                </pt>
                <pt idx="12">
                  <v>45107</v>
                </pt>
                <pt idx="13">
                  <v>45077</v>
                </pt>
                <pt idx="14">
                  <v>45046</v>
                </pt>
                <pt idx="15">
                  <v>45016</v>
                </pt>
                <pt idx="16">
                  <v>44985</v>
                </pt>
                <pt idx="17">
                  <v>44957</v>
                </pt>
                <pt idx="18">
                  <v>44926</v>
                </pt>
                <pt idx="19">
                  <v>44895</v>
                </pt>
                <pt idx="20">
                  <v>44865</v>
                </pt>
                <pt idx="21">
                  <v>44834</v>
                </pt>
                <pt idx="22">
                  <v>44804</v>
                </pt>
                <pt idx="23">
                  <v>44773</v>
                </pt>
                <pt idx="24">
                  <v>44742</v>
                </pt>
                <pt idx="25">
                  <v>44712</v>
                </pt>
                <pt idx="26">
                  <v>44681</v>
                </pt>
                <pt idx="27">
                  <v>44651</v>
                </pt>
                <pt idx="28">
                  <v>44620</v>
                </pt>
                <pt idx="29">
                  <v>44592</v>
                </pt>
                <pt idx="30">
                  <v>44561</v>
                </pt>
                <pt idx="31">
                  <v>44530</v>
                </pt>
                <pt idx="32">
                  <v>44500</v>
                </pt>
                <pt idx="33">
                  <v>44469</v>
                </pt>
                <pt idx="34">
                  <v>44439</v>
                </pt>
                <pt idx="35">
                  <v>44408</v>
                </pt>
                <pt idx="36">
                  <v>44377</v>
                </pt>
                <pt idx="37">
                  <v>44347</v>
                </pt>
                <pt idx="38">
                  <v>44316</v>
                </pt>
                <pt idx="39">
                  <v>44286</v>
                </pt>
                <pt idx="40">
                  <v>44255</v>
                </pt>
                <pt idx="41">
                  <v>44227</v>
                </pt>
                <pt idx="42">
                  <v>44196</v>
                </pt>
                <pt idx="43">
                  <v>44165</v>
                </pt>
                <pt idx="44">
                  <v>44135</v>
                </pt>
                <pt idx="45">
                  <v>44104</v>
                </pt>
                <pt idx="46">
                  <v>44074</v>
                </pt>
                <pt idx="47">
                  <v>44043</v>
                </pt>
                <pt idx="48">
                  <v>44012</v>
                </pt>
                <pt idx="49">
                  <v>43982</v>
                </pt>
                <pt idx="50">
                  <v>43951</v>
                </pt>
                <pt idx="51">
                  <v>43921</v>
                </pt>
                <pt idx="52">
                  <v>43890</v>
                </pt>
                <pt idx="53">
                  <v>43861</v>
                </pt>
                <pt idx="54">
                  <v>43830</v>
                </pt>
              </numCache>
            </numRef>
          </cat>
          <val>
            <numRef>
              <f>'All Charts'!$N$15:$N$69</f>
              <numCache>
                <formatCode>0.00%</formatCode>
                <ptCount val="55"/>
                <pt idx="0">
                  <v>0.08209758601265639</v>
                </pt>
                <pt idx="1">
                  <v>0.08305141600336378</v>
                </pt>
                <pt idx="2">
                  <v>0.08000870503904335</v>
                </pt>
                <pt idx="3">
                  <v>0.08066379577691715</v>
                </pt>
                <pt idx="4">
                  <v>0.08051810914177053</v>
                </pt>
                <pt idx="5">
                  <v>0.08230399065381977</v>
                </pt>
                <pt idx="6">
                  <v>0.08323355104680018</v>
                </pt>
                <pt idx="7">
                  <v>0.08425990366004311</v>
                </pt>
                <pt idx="8">
                  <v>0.08441370687137502</v>
                </pt>
                <pt idx="9">
                  <v>0.08629264802177002</v>
                </pt>
                <pt idx="10">
                  <v>0.08763948008738069</v>
                </pt>
                <pt idx="11">
                  <v>0.08646056614019099</v>
                </pt>
                <pt idx="12">
                  <v>0.07847612654989961</v>
                </pt>
                <pt idx="13">
                  <v>0.07517808911213449</v>
                </pt>
                <pt idx="14">
                  <v>0.07656093845753276</v>
                </pt>
                <pt idx="15">
                  <v>0.0745682754071359</v>
                </pt>
                <pt idx="16">
                  <v>0.07627339232912207</v>
                </pt>
                <pt idx="17">
                  <v>0.07738247946637375</v>
                </pt>
                <pt idx="18">
                  <v>0.0783473386114083</v>
                </pt>
                <pt idx="19">
                  <v>0.0766201756677555</v>
                </pt>
                <pt idx="20">
                  <v>0.07479818143290375</v>
                </pt>
                <pt idx="21">
                  <v>0.07664716506407376</v>
                </pt>
                <pt idx="22">
                  <v>0.07703485964327859</v>
                </pt>
                <pt idx="23">
                  <v>0.07703485964327859</v>
                </pt>
                <pt idx="24">
                  <v>0.07667758885466873</v>
                </pt>
                <pt idx="25">
                  <v>0.07667758885466873</v>
                </pt>
                <pt idx="26">
                  <v>0.07627435245440024</v>
                </pt>
                <pt idx="27">
                  <v>0.07736467016961389</v>
                </pt>
                <pt idx="28">
                  <v>0.07685984221752457</v>
                </pt>
                <pt idx="29">
                  <v>0.07496847858116093</v>
                </pt>
                <pt idx="30">
                  <v>0.07532306246061192</v>
                </pt>
                <pt idx="31">
                  <v>0.07590552617827589</v>
                </pt>
                <pt idx="32">
                  <v>0.07675754669845029</v>
                </pt>
                <pt idx="33">
                  <v>0.07496165332625061</v>
                </pt>
                <pt idx="34">
                  <v>0.07480936379444533</v>
                </pt>
                <pt idx="35">
                  <v>0.07448299180266044</v>
                </pt>
                <pt idx="36">
                  <v>0.0751348158417964</v>
                </pt>
                <pt idx="37">
                  <v>0.07529095281206129</v>
                </pt>
                <pt idx="38">
                  <v>0.0805950797346013</v>
                </pt>
                <pt idx="39">
                  <v>0.07951594818412261</v>
                </pt>
                <pt idx="40">
                  <v>0.07917016689990732</v>
                </pt>
                <pt idx="41">
                  <v>0.07906382828625724</v>
                </pt>
                <pt idx="42">
                  <v>0.07901217689387169</v>
                </pt>
                <pt idx="43">
                  <v>0.0806839910468654</v>
                </pt>
                <pt idx="44">
                  <v>0.08253499791649878</v>
                </pt>
                <pt idx="45">
                  <v>0.08210295246195334</v>
                </pt>
                <pt idx="46">
                  <v>0.08013080712499498</v>
                </pt>
                <pt idx="47">
                  <v>0.08068516864492158</v>
                </pt>
                <pt idx="48">
                  <v>0.08238161507419767</v>
                </pt>
                <pt idx="49">
                  <v>0.08089417832110753</v>
                </pt>
                <pt idx="50">
                  <v>0.07795692663576061</v>
                </pt>
                <pt idx="51">
                  <v>0.08074231145028427</v>
                </pt>
                <pt idx="52">
                  <v>0.08200593774156667</v>
                </pt>
                <pt idx="53">
                  <v>0.08256118411892277</v>
                </pt>
                <pt idx="54">
                  <v>0.08256118411892277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6350" cap="flat" cmpd="sng" algn="ctr">
              <a:solidFill>
                <a:srgbClr val="E0E8F4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696758704"/>
        <crosses val="autoZero"/>
        <lblOffset val="100"/>
        <baseTimeUnit val="months"/>
      </dateAx>
      <valAx>
        <axId val="696758704"/>
        <scaling>
          <orientation val="minMax"/>
          <max val="0.09250000000000003"/>
          <min val="0.05250000000000001"/>
        </scaling>
        <delete val="1"/>
        <axPos val="l"/>
        <numFmt formatCode="0.00%" sourceLinked="1"/>
        <majorTickMark val="out"/>
        <minorTickMark val="none"/>
        <tickLblPos val="nextTo"/>
        <crossAx val="696766248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257545271629779"/>
          <y val="0.02962085308056872"/>
          <w val="0.8926615247037782"/>
          <h val="0.7749473969720381"/>
        </manualLayout>
      </layout>
      <barChart>
        <barDir val="col"/>
        <grouping val="clustered"/>
        <varyColors val="0"/>
        <ser>
          <idx val="0"/>
          <order val="0"/>
          <tx>
            <strRef>
              <f>'All Charts'!$AD$2</f>
              <strCache>
                <ptCount val="1"/>
                <pt idx="0">
                  <v>DOM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B1DAF2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Charts'!$B$6:$B$209</f>
              <strCache>
                <ptCount val="20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</strCache>
            </strRef>
          </cat>
          <val>
            <numRef>
              <f>'All Charts'!$AD$6:$AD$209</f>
              <numCache>
                <formatCode>#,##0_);[Red]\(#,##0\)</formatCode>
                <ptCount val="204"/>
                <pt idx="0">
                  <v>184.125</v>
                </pt>
                <pt idx="1">
                  <v>204.5151515151515</v>
                </pt>
                <pt idx="2">
                  <v>209.6417910447761</v>
                </pt>
                <pt idx="3">
                  <v>227.0857142857143</v>
                </pt>
                <pt idx="4">
                  <v>224.9571428571429</v>
                </pt>
                <pt idx="5">
                  <v>228.3857142857143</v>
                </pt>
                <pt idx="6">
                  <v>217.8333333333333</v>
                </pt>
                <pt idx="7">
                  <v>215.9285714285714</v>
                </pt>
                <pt idx="8">
                  <v>227.984375</v>
                </pt>
                <pt idx="9">
                  <v>242.031746031746</v>
                </pt>
                <pt idx="10">
                  <v>241.9166666666667</v>
                </pt>
                <pt idx="11">
                  <v>241.3225806451613</v>
                </pt>
                <pt idx="12">
                  <v>241.4426229508197</v>
                </pt>
                <pt idx="13">
                  <v>221.1818181818182</v>
                </pt>
                <pt idx="14">
                  <v>213.5</v>
                </pt>
                <pt idx="15">
                  <v>184.5098039215686</v>
                </pt>
                <pt idx="16">
                  <v>216.2941176470588</v>
                </pt>
                <pt idx="17">
                  <v>239.7068965517241</v>
                </pt>
                <pt idx="18">
                  <v>241.1016949152542</v>
                </pt>
                <pt idx="19">
                  <v>242.6268656716418</v>
                </pt>
                <pt idx="20">
                  <v>244.3283582089552</v>
                </pt>
                <pt idx="21">
                  <v>221.3661971830986</v>
                </pt>
                <pt idx="22">
                  <v>235.0909090909091</v>
                </pt>
                <pt idx="23">
                  <v>232</v>
                </pt>
                <pt idx="24">
                  <v>229.2643678160919</v>
                </pt>
                <pt idx="25">
                  <v>235.7448979591837</v>
                </pt>
                <pt idx="26">
                  <v>232.3980582524272</v>
                </pt>
                <pt idx="27">
                  <v>235.0485436893204</v>
                </pt>
                <pt idx="28">
                  <v>220.1964285714286</v>
                </pt>
                <pt idx="29">
                  <v>206.4910714285714</v>
                </pt>
                <pt idx="30">
                  <v>241.8793103448276</v>
                </pt>
                <pt idx="31">
                  <v>241.8198198198198</v>
                </pt>
                <pt idx="32">
                  <v>251.3589743589744</v>
                </pt>
                <pt idx="33">
                  <v>259</v>
                </pt>
                <pt idx="34">
                  <v>254.5042016806723</v>
                </pt>
                <pt idx="35">
                  <v>256.1130434782609</v>
                </pt>
                <pt idx="36">
                  <v>262.2545454545455</v>
                </pt>
                <pt idx="37">
                  <v>255.3271028037383</v>
                </pt>
                <pt idx="38">
                  <v>265.9907407407408</v>
                </pt>
                <pt idx="39">
                  <v>266.8571428571428</v>
                </pt>
                <pt idx="40">
                  <v>273.9711538461539</v>
                </pt>
                <pt idx="41">
                  <v>278.2448979591837</v>
                </pt>
                <pt idx="42">
                  <v>237.0322580645161</v>
                </pt>
                <pt idx="43">
                  <v>242.0860215053764</v>
                </pt>
                <pt idx="44">
                  <v>225.1444444444444</v>
                </pt>
                <pt idx="45">
                  <v>220.1860465116279</v>
                </pt>
                <pt idx="46">
                  <v>214.1410256410256</v>
                </pt>
                <pt idx="47">
                  <v>218.9634146341463</v>
                </pt>
                <pt idx="48">
                  <v>216.225</v>
                </pt>
                <pt idx="49">
                  <v>217.1866666666667</v>
                </pt>
                <pt idx="50">
                  <v>206.4722222222222</v>
                </pt>
                <pt idx="51">
                  <v>205.1232876712329</v>
                </pt>
                <pt idx="52">
                  <v>239.4857142857143</v>
                </pt>
                <pt idx="53">
                  <v>259.8133333333333</v>
                </pt>
                <pt idx="54">
                  <v>272.2876712328767</v>
                </pt>
                <pt idx="55">
                  <v>269.6923076923077</v>
                </pt>
                <pt idx="56">
                  <v>266.6962025316456</v>
                </pt>
                <pt idx="57">
                  <v>272.2650602409639</v>
                </pt>
                <pt idx="58">
                  <v>274.2352941176471</v>
                </pt>
                <pt idx="59">
                  <v>267.8876404494382</v>
                </pt>
                <pt idx="60">
                  <v>269.2755102040816</v>
                </pt>
                <pt idx="61">
                  <v>265.4901960784314</v>
                </pt>
                <pt idx="62">
                  <v>267.2336448598131</v>
                </pt>
                <pt idx="63">
                  <v>268.9439252336448</v>
                </pt>
                <pt idx="64">
                  <v>249.0588235294118</v>
                </pt>
                <pt idx="65">
                  <v>232.15625</v>
                </pt>
                <pt idx="66">
                  <v>221.2285714285714</v>
                </pt>
                <pt idx="67">
                  <v>220.7909090909091</v>
                </pt>
                <pt idx="68">
                  <v>230.7008547008547</v>
                </pt>
                <pt idx="69">
                  <v>224.2521008403361</v>
                </pt>
                <pt idx="70">
                  <v>236.8492063492064</v>
                </pt>
                <pt idx="71">
                  <v>237.5275590551181</v>
                </pt>
                <pt idx="72">
                  <v>231.0416666666667</v>
                </pt>
                <pt idx="73">
                  <v>235.2333333333333</v>
                </pt>
                <pt idx="74">
                  <v>231.3333333333333</v>
                </pt>
                <pt idx="75">
                  <v>230.4871794871795</v>
                </pt>
                <pt idx="76">
                  <v>228.1282051282051</v>
                </pt>
                <pt idx="77">
                  <v>229.6528925619835</v>
                </pt>
                <pt idx="78">
                  <v>239.5526315789474</v>
                </pt>
                <pt idx="79">
                  <v>236.0964912280702</v>
                </pt>
                <pt idx="80">
                  <v>230.3861386138614</v>
                </pt>
                <pt idx="81">
                  <v>236.9247311827957</v>
                </pt>
                <pt idx="82">
                  <v>210.9080459770115</v>
                </pt>
                <pt idx="83">
                  <v>218.5769230769231</v>
                </pt>
                <pt idx="84">
                  <v>221.8783783783784</v>
                </pt>
                <pt idx="85">
                  <v>223.8</v>
                </pt>
                <pt idx="86">
                  <v>218.3768115942029</v>
                </pt>
                <pt idx="87">
                  <v>232.1739130434783</v>
                </pt>
                <pt idx="88">
                  <v>233.625</v>
                </pt>
                <pt idx="89">
                  <v>239.2950819672131</v>
                </pt>
                <pt idx="90">
                  <v>230.8947368421053</v>
                </pt>
                <pt idx="91">
                  <v>242.5</v>
                </pt>
                <pt idx="92">
                  <v>250.4901960784314</v>
                </pt>
                <pt idx="93">
                  <v>249</v>
                </pt>
                <pt idx="94">
                  <v>270.4117647058824</v>
                </pt>
                <pt idx="95">
                  <v>281.4897959183673</v>
                </pt>
                <pt idx="96">
                  <v>272.4705882352941</v>
                </pt>
                <pt idx="97">
                  <v>257.6923076923077</v>
                </pt>
                <pt idx="98">
                  <v>261.8163265306122</v>
                </pt>
                <pt idx="99">
                  <v>247.0425531914894</v>
                </pt>
                <pt idx="100">
                  <v>263.0754716981132</v>
                </pt>
                <pt idx="101">
                  <v>252.5283018867925</v>
                </pt>
                <pt idx="102">
                  <v>250.8947368421053</v>
                </pt>
                <pt idx="103">
                  <v>255.3703703703704</v>
                </pt>
                <pt idx="104">
                  <v>255.7777777777778</v>
                </pt>
                <pt idx="105">
                  <v>286.2166666666666</v>
                </pt>
                <pt idx="106">
                  <v>285.5172413793103</v>
                </pt>
                <pt idx="107">
                  <v>279.6896551724138</v>
                </pt>
                <pt idx="108">
                  <v>289.6333333333333</v>
                </pt>
                <pt idx="109">
                  <v>287.6779661016949</v>
                </pt>
                <pt idx="110">
                  <v>297.5333333333334</v>
                </pt>
                <pt idx="111">
                  <v>307.6666666666667</v>
                </pt>
                <pt idx="112">
                  <v>303.9019607843137</v>
                </pt>
                <pt idx="113">
                  <v>310.36</v>
                </pt>
                <pt idx="114">
                  <v>325.4347826086956</v>
                </pt>
                <pt idx="115">
                  <v>322.6170212765957</v>
                </pt>
                <pt idx="116">
                  <v>325.1836734693878</v>
                </pt>
                <pt idx="117">
                  <v>293.2558139534884</v>
                </pt>
                <pt idx="118">
                  <v>284.1627906976744</v>
                </pt>
                <pt idx="119">
                  <v>273.7317073170732</v>
                </pt>
                <pt idx="120">
                  <v>281.1666666666667</v>
                </pt>
                <pt idx="121">
                  <v>293.6111111111111</v>
                </pt>
                <pt idx="122">
                  <v>286.3333333333333</v>
                </pt>
                <pt idx="123">
                  <v>282.5277777777778</v>
                </pt>
                <pt idx="124">
                  <v>271.4571428571429</v>
                </pt>
                <pt idx="125">
                  <v>272.2307692307692</v>
                </pt>
                <pt idx="126">
                  <v>270.125</v>
                </pt>
                <pt idx="127">
                  <v>279.825</v>
                </pt>
                <pt idx="128">
                  <v>260.4864864864865</v>
                </pt>
                <pt idx="129">
                  <v>263.1315789473684</v>
                </pt>
                <pt idx="130">
                  <v>266.7575757575758</v>
                </pt>
                <pt idx="131">
                  <v>265.4375</v>
                </pt>
                <pt idx="132">
                  <v>262.21875</v>
                </pt>
                <pt idx="133">
                  <v>268.0714285714286</v>
                </pt>
                <pt idx="134">
                  <v>269.28</v>
                </pt>
                <pt idx="135">
                  <v>275.56</v>
                </pt>
                <pt idx="136">
                  <v>283.32</v>
                </pt>
                <pt idx="137">
                  <v>286</v>
                </pt>
                <pt idx="138">
                  <v>276.1111111111111</v>
                </pt>
                <pt idx="139">
                  <v>247.5714285714286</v>
                </pt>
                <pt idx="140">
                  <v>261.5</v>
                </pt>
                <pt idx="141">
                  <v>225</v>
                </pt>
                <pt idx="142">
                  <v>298.2727272727273</v>
                </pt>
                <pt idx="143">
                  <v>287.1538461538461</v>
                </pt>
                <pt idx="144">
                  <v>274.4285714285714</v>
                </pt>
                <pt idx="145">
                  <v>263.6875</v>
                </pt>
                <pt idx="146">
                  <v>263.3529411764706</v>
                </pt>
                <pt idx="147">
                  <v>267.7777777777778</v>
                </pt>
                <pt idx="148">
                  <v>285.1052631578947</v>
                </pt>
                <pt idx="149">
                  <v>311.9473684210527</v>
                </pt>
                <pt idx="150">
                  <v>317.35</v>
                </pt>
                <pt idx="151">
                  <v>290.1538461538461</v>
                </pt>
                <pt idx="152">
                  <v>286.9259259259259</v>
                </pt>
                <pt idx="153">
                  <v>285</v>
                </pt>
                <pt idx="154">
                  <v>256.3846153846154</v>
                </pt>
                <pt idx="155">
                  <v>275.8076923076923</v>
                </pt>
                <pt idx="156">
                  <v>284.7037037037037</v>
                </pt>
                <pt idx="157">
                  <v>305.1111111111111</v>
                </pt>
                <pt idx="158">
                  <v>300.4814814814815</v>
                </pt>
                <pt idx="159">
                  <v>296.84</v>
                </pt>
                <pt idx="160">
                  <v>268.5384615384615</v>
                </pt>
                <pt idx="161">
                  <v>268.448275862069</v>
                </pt>
                <pt idx="162">
                  <v>261.551724137931</v>
                </pt>
                <pt idx="163">
                  <v>277.7391304347826</v>
                </pt>
                <pt idx="164">
                  <v>276.68</v>
                </pt>
                <pt idx="165">
                  <v>292.9565217391304</v>
                </pt>
                <pt idx="166">
                  <v>301.0952380952381</v>
                </pt>
                <pt idx="167">
                  <v>288.8</v>
                </pt>
                <pt idx="168">
                  <v>282.3529411764706</v>
                </pt>
                <pt idx="169">
                  <v>291.5882352941176</v>
                </pt>
                <pt idx="170">
                  <v>301.5</v>
                </pt>
                <pt idx="171">
                  <v>290.8235294117647</v>
                </pt>
                <pt idx="172">
                  <v>309.8823529411765</v>
                </pt>
                <pt idx="173">
                  <v>290.3333333333333</v>
                </pt>
                <pt idx="174">
                  <v>279.9166666666667</v>
                </pt>
                <pt idx="175">
                  <v>269.8461538461539</v>
                </pt>
                <pt idx="176">
                  <v>277.6</v>
                </pt>
                <pt idx="177">
                  <v>294.2727272727273</v>
                </pt>
                <pt idx="178">
                  <v>274.6666666666667</v>
                </pt>
                <pt idx="179">
                  <v>262.3636363636364</v>
                </pt>
                <pt idx="180">
                  <v>250.4166666666667</v>
                </pt>
                <pt idx="181">
                  <v>203.9090909090909</v>
                </pt>
                <pt idx="182">
                  <v>203.9090909090909</v>
                </pt>
                <pt idx="183">
                  <v>233.6666666666667</v>
                </pt>
                <pt idx="184">
                  <v>209.8181818181818</v>
                </pt>
                <pt idx="185">
                  <v>209.8181818181818</v>
                </pt>
                <pt idx="186">
                  <v>221.3</v>
                </pt>
                <pt idx="187">
                  <v>229.3333333333333</v>
                </pt>
                <pt idx="188">
                  <v>256.8</v>
                </pt>
                <pt idx="189">
                  <v>234.1111111111111</v>
                </pt>
                <pt idx="190">
                  <v>256</v>
                </pt>
                <pt idx="191">
                  <v>228.1</v>
                </pt>
                <pt idx="192">
                  <v>252.8</v>
                </pt>
                <pt idx="193">
                  <v>225.2</v>
                </pt>
                <pt idx="194">
                  <v>220.3333333333333</v>
                </pt>
                <pt idx="195">
                  <v>196.3</v>
                </pt>
                <pt idx="196">
                  <v>204.875</v>
                </pt>
                <pt idx="197">
                  <v>204.1111111111111</v>
                </pt>
                <pt idx="198">
                  <v>179.9090909090909</v>
                </pt>
                <pt idx="199">
                  <v>171.0833333333333</v>
                </pt>
                <pt idx="200">
                  <v>158.6666666666667</v>
                </pt>
                <pt idx="201">
                  <v>148.4285714285714</v>
                </pt>
                <pt idx="202">
                  <v>178.25</v>
                </pt>
                <pt idx="203">
                  <v>189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20"/>
        <overlap val="-27"/>
        <axId val="497854144"/>
        <axId val="497856768"/>
      </barChart>
      <lineChart>
        <grouping val="standard"/>
        <varyColors val="0"/>
        <ser>
          <idx val="1"/>
          <order val="1"/>
          <tx>
            <strRef>
              <f>'All Charts'!$AE$2</f>
              <strCache>
                <ptCount val="1"/>
                <pt idx="0">
                  <v>% of Ask</v>
                </pt>
              </strCache>
            </strRef>
          </tx>
          <spPr>
            <a:ln xmlns:a="http://schemas.openxmlformats.org/drawingml/2006/main" w="6350" cap="rnd">
              <a:solidFill>
                <a:srgbClr val="003DA5"/>
              </a:solidFill>
              <a:prstDash val="solid"/>
              <a:round/>
            </a:ln>
          </spPr>
          <marker>
            <symbol val="circle"/>
            <size val="4"/>
            <spPr>
              <a:solidFill xmlns:a="http://schemas.openxmlformats.org/drawingml/2006/main">
                <a:srgbClr val="003DA5"/>
              </a:solidFill>
              <a:ln xmlns:a="http://schemas.openxmlformats.org/drawingml/2006/main" w="9525">
                <a:noFill/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B1DAF2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Charts'!$B$6:$B$209</f>
              <strCache>
                <ptCount val="20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</strCache>
            </strRef>
          </cat>
          <val>
            <numRef>
              <f>'All Charts'!$AE$6:$AE$209</f>
              <numCache>
                <formatCode>0.0%</formatCode>
                <ptCount val="204"/>
                <pt idx="0">
                  <v>0.8957524314422243</v>
                </pt>
                <pt idx="1">
                  <v>0.9028267489481808</v>
                </pt>
                <pt idx="2">
                  <v>0.9005621101470458</v>
                </pt>
                <pt idx="3">
                  <v>0.8993694723862649</v>
                </pt>
                <pt idx="4">
                  <v>0.8962595453728605</v>
                </pt>
                <pt idx="5">
                  <v>0.8957727380629259</v>
                </pt>
                <pt idx="6">
                  <v>0.9018642749483219</v>
                </pt>
                <pt idx="7">
                  <v>0.9091099937469531</v>
                </pt>
                <pt idx="8">
                  <v>0.910317124318653</v>
                </pt>
                <pt idx="9">
                  <v>0.904140113868572</v>
                </pt>
                <pt idx="10">
                  <v>0.9061500313567442</v>
                </pt>
                <pt idx="11">
                  <v>0.908474132606137</v>
                </pt>
                <pt idx="12">
                  <v>0.9066862423752724</v>
                </pt>
                <pt idx="13">
                  <v>0.898244564944242</v>
                </pt>
                <pt idx="14">
                  <v>0.9037713011697845</v>
                </pt>
                <pt idx="15">
                  <v>0.9104927190797616</v>
                </pt>
                <pt idx="16">
                  <v>0.9166807602758683</v>
                </pt>
                <pt idx="17">
                  <v>0.9158388396720462</v>
                </pt>
                <pt idx="18">
                  <v>0.9105127551332336</v>
                </pt>
                <pt idx="19">
                  <v>0.9024520965874291</v>
                </pt>
                <pt idx="20">
                  <v>0.9041558489317725</v>
                </pt>
                <pt idx="21">
                  <v>0.9104272590497483</v>
                </pt>
                <pt idx="22">
                  <v>0.9109625844596501</v>
                </pt>
                <pt idx="23">
                  <v>0.9156013755100736</v>
                </pt>
                <pt idx="24">
                  <v>0.9200478273372616</v>
                </pt>
                <pt idx="25">
                  <v>0.9173014526589963</v>
                </pt>
                <pt idx="26">
                  <v>0.918755996945363</v>
                </pt>
                <pt idx="27">
                  <v>0.9168290726990074</v>
                </pt>
                <pt idx="28">
                  <v>0.9188924251472647</v>
                </pt>
                <pt idx="29">
                  <v>0.9230102888012719</v>
                </pt>
                <pt idx="30">
                  <v>0.9312066524257122</v>
                </pt>
                <pt idx="31">
                  <v>0.9380574596846676</v>
                </pt>
                <pt idx="32">
                  <v>0.9339717862754336</v>
                </pt>
                <pt idx="33">
                  <v>0.9348615060428106</v>
                </pt>
                <pt idx="34">
                  <v>0.9338298670263785</v>
                </pt>
                <pt idx="35">
                  <v>0.9328660573417314</v>
                </pt>
                <pt idx="36">
                  <v>0.9263564323261619</v>
                </pt>
                <pt idx="37">
                  <v>0.9322425665362375</v>
                </pt>
                <pt idx="38">
                  <v>0.9288548232356203</v>
                </pt>
                <pt idx="39">
                  <v>0.9301661160310037</v>
                </pt>
                <pt idx="40">
                  <v>0.9246486796682507</v>
                </pt>
                <pt idx="41">
                  <v>0.9152637398011514</v>
                </pt>
                <pt idx="42">
                  <v>0.9096812274678996</v>
                </pt>
                <pt idx="43">
                  <v>0.9090533885223593</v>
                </pt>
                <pt idx="44">
                  <v>0.9090646893185392</v>
                </pt>
                <pt idx="45">
                  <v>0.9074196493094556</v>
                </pt>
                <pt idx="46">
                  <v>0.9074763608672295</v>
                </pt>
                <pt idx="47">
                  <v>0.9114054080121844</v>
                </pt>
                <pt idx="48">
                  <v>0.9168608068095496</v>
                </pt>
                <pt idx="49">
                  <v>0.9117448496270469</v>
                </pt>
                <pt idx="50">
                  <v>0.9127055512968109</v>
                </pt>
                <pt idx="51">
                  <v>0.9135250400914078</v>
                </pt>
                <pt idx="52">
                  <v>0.9173173884426781</v>
                </pt>
                <pt idx="53">
                  <v>0.9249462735085933</v>
                </pt>
                <pt idx="54">
                  <v>0.9275477951682896</v>
                </pt>
                <pt idx="55">
                  <v>0.9268026843031222</v>
                </pt>
                <pt idx="56">
                  <v>0.9273334195731273</v>
                </pt>
                <pt idx="57">
                  <v>0.9289419600543581</v>
                </pt>
                <pt idx="58">
                  <v>0.9266478894879875</v>
                </pt>
                <pt idx="59">
                  <v>0.9237720834751284</v>
                </pt>
                <pt idx="60">
                  <v>0.9218602875247793</v>
                </pt>
                <pt idx="61">
                  <v>0.9251187069921343</v>
                </pt>
                <pt idx="62">
                  <v>0.9274971825742333</v>
                </pt>
                <pt idx="63">
                  <v>0.9250743467065351</v>
                </pt>
                <pt idx="64">
                  <v>0.9196796321588739</v>
                </pt>
                <pt idx="65">
                  <v>0.9213937763759842</v>
                </pt>
                <pt idx="66">
                  <v>0.9170326387309822</v>
                </pt>
                <pt idx="67">
                  <v>0.9099945661656613</v>
                </pt>
                <pt idx="68">
                  <v>0.9062454490502097</v>
                </pt>
                <pt idx="69">
                  <v>0.9048142542785341</v>
                </pt>
                <pt idx="70">
                  <v>0.9035665974511949</v>
                </pt>
                <pt idx="71">
                  <v>0.9034513397902337</v>
                </pt>
                <pt idx="72">
                  <v>0.905110955270892</v>
                </pt>
                <pt idx="73">
                  <v>0.9014614112463172</v>
                </pt>
                <pt idx="74">
                  <v>0.8988583438170477</v>
                </pt>
                <pt idx="75">
                  <v>0.9019327752338769</v>
                </pt>
                <pt idx="76">
                  <v>0.9082462541141492</v>
                </pt>
                <pt idx="77">
                  <v>0.9093996851342089</v>
                </pt>
                <pt idx="78">
                  <v>0.9136352551978916</v>
                </pt>
                <pt idx="79">
                  <v>0.9196752291695908</v>
                </pt>
                <pt idx="80">
                  <v>0.9268331286344688</v>
                </pt>
                <pt idx="81">
                  <v>0.9261434379849771</v>
                </pt>
                <pt idx="82">
                  <v>0.931077809994178</v>
                </pt>
                <pt idx="83">
                  <v>0.9312599128746677</v>
                </pt>
                <pt idx="84">
                  <v>0.9316729253446063</v>
                </pt>
                <pt idx="85">
                  <v>0.9386165646629483</v>
                </pt>
                <pt idx="86">
                  <v>0.9402489556386991</v>
                </pt>
                <pt idx="87">
                  <v>0.9373536665783481</v>
                </pt>
                <pt idx="88">
                  <v>0.9343390114009186</v>
                </pt>
                <pt idx="89">
                  <v>0.9329456776070459</v>
                </pt>
                <pt idx="90">
                  <v>0.9317720710728165</v>
                </pt>
                <pt idx="91">
                  <v>0.9283017389809842</v>
                </pt>
                <pt idx="92">
                  <v>0.923464644134859</v>
                </pt>
                <pt idx="93">
                  <v>0.9266023950215938</v>
                </pt>
                <pt idx="94">
                  <v>0.9155569439874246</v>
                </pt>
                <pt idx="95">
                  <v>0.9133043711425378</v>
                </pt>
                <pt idx="96">
                  <v>0.9051122941713262</v>
                </pt>
                <pt idx="97">
                  <v>0.8912913834604402</v>
                </pt>
                <pt idx="98">
                  <v>0.888301877621743</v>
                </pt>
                <pt idx="99">
                  <v>0.8859452056223864</v>
                </pt>
                <pt idx="100">
                  <v>0.8824239562431685</v>
                </pt>
                <pt idx="101">
                  <v>0.8861379821662371</v>
                </pt>
                <pt idx="102">
                  <v>0.8916671659765449</v>
                </pt>
                <pt idx="103">
                  <v>0.8854571295333161</v>
                </pt>
                <pt idx="104">
                  <v>0.888955805096678</v>
                </pt>
                <pt idx="105">
                  <v>0.8903066405779415</v>
                </pt>
                <pt idx="106">
                  <v>0.8983464645578606</v>
                </pt>
                <pt idx="107">
                  <v>0.8997489321576295</v>
                </pt>
                <pt idx="108">
                  <v>0.9022402124905866</v>
                </pt>
                <pt idx="109">
                  <v>0.9069837053304876</v>
                </pt>
                <pt idx="110">
                  <v>0.9071849931399995</v>
                </pt>
                <pt idx="111">
                  <v>0.9037960624122063</v>
                </pt>
                <pt idx="112">
                  <v>0.9097220298340896</v>
                </pt>
                <pt idx="113">
                  <v>0.9095813490361884</v>
                </pt>
                <pt idx="114">
                  <v>0.9054596639976057</v>
                </pt>
                <pt idx="115">
                  <v>0.9192266183435632</v>
                </pt>
                <pt idx="116">
                  <v>0.9190094253770485</v>
                </pt>
                <pt idx="117">
                  <v>0.9249070683791567</v>
                </pt>
                <pt idx="118">
                  <v>0.9312371450951511</v>
                </pt>
                <pt idx="119">
                  <v>0.9312371450951511</v>
                </pt>
                <pt idx="120">
                  <v>0.9399434855187706</v>
                </pt>
                <pt idx="121">
                  <v>0.9375666443104373</v>
                </pt>
                <pt idx="122">
                  <v>0.938028521541856</v>
                </pt>
                <pt idx="123">
                  <v>0.9413001787145957</v>
                </pt>
                <pt idx="124">
                  <v>0.9310101903722741</v>
                </pt>
                <pt idx="125">
                  <v>0.9168453202678868</v>
                </pt>
                <pt idx="126">
                  <v>0.9093419058071589</v>
                </pt>
                <pt idx="127">
                  <v>0.9051438998078414</v>
                </pt>
                <pt idx="128">
                  <v>0.907411753972577</v>
                </pt>
                <pt idx="129">
                  <v>0.9067188250107187</v>
                </pt>
                <pt idx="130">
                  <v>0.8965745910543695</v>
                </pt>
                <pt idx="131">
                  <v>0.8965745910543695</v>
                </pt>
                <pt idx="132">
                  <v>0.8932444327421499</v>
                </pt>
                <pt idx="133">
                  <v>0.8962010227169275</v>
                </pt>
                <pt idx="134">
                  <v>0.891365381327778</v>
                </pt>
                <pt idx="135">
                  <v>0.8900957862293379</v>
                </pt>
                <pt idx="136">
                  <v>0.8950642114634102</v>
                </pt>
                <pt idx="137">
                  <v>0.9019176756399191</v>
                </pt>
                <pt idx="138">
                  <v>0.9060847586523009</v>
                </pt>
                <pt idx="139">
                  <v>0.911734777554721</v>
                </pt>
                <pt idx="140">
                  <v>0.9008941958506643</v>
                </pt>
                <pt idx="141">
                  <v>0.8928106392790489</v>
                </pt>
                <pt idx="142">
                  <v>0.9013087902725367</v>
                </pt>
                <pt idx="143">
                  <v>0.9051424149782695</v>
                </pt>
                <pt idx="144">
                  <v>0.9180057335427144</v>
                </pt>
                <pt idx="145">
                  <v>0.906601782044026</v>
                </pt>
                <pt idx="146">
                  <v>0.9137685561065957</v>
                </pt>
                <pt idx="147">
                  <v>0.9198487064585105</v>
                </pt>
                <pt idx="148">
                  <v>0.9257849455703795</v>
                </pt>
                <pt idx="149">
                  <v>0.9212206109015584</v>
                </pt>
                <pt idx="150">
                  <v>0.9245300393312251</v>
                </pt>
                <pt idx="151">
                  <v>0.9255913468446576</v>
                </pt>
                <pt idx="152">
                  <v>0.9270467503938502</v>
                </pt>
                <pt idx="153">
                  <v>0.9299913564555053</v>
                </pt>
                <pt idx="154">
                  <v>0.9357194848975255</v>
                </pt>
                <pt idx="155">
                  <v>0.9378677015201802</v>
                </pt>
                <pt idx="156">
                  <v>0.9371504062057904</v>
                </pt>
                <pt idx="157">
                  <v>0.9468461726430777</v>
                </pt>
                <pt idx="158">
                  <v>0.9379590367618733</v>
                </pt>
                <pt idx="159">
                  <v>0.9367181381168764</v>
                </pt>
                <pt idx="160">
                  <v>0.9361538887026329</v>
                </pt>
                <pt idx="161">
                  <v>0.9468394131411056</v>
                </pt>
                <pt idx="162">
                  <v>0.9456422756964857</v>
                </pt>
                <pt idx="163">
                  <v>0.9402672079360859</v>
                </pt>
                <pt idx="164">
                  <v>0.9263643545402144</v>
                </pt>
                <pt idx="165">
                  <v>0.9212677158735459</v>
                </pt>
                <pt idx="166">
                  <v>0.9196250054930746</v>
                </pt>
                <pt idx="167">
                  <v>0.9015039566327261</v>
                </pt>
                <pt idx="168">
                  <v>0.897865845491905</v>
                </pt>
                <pt idx="169">
                  <v>0.8929219691357405</v>
                </pt>
                <pt idx="170">
                  <v>0.8880753024690738</v>
                </pt>
                <pt idx="171">
                  <v>0.8880753024690738</v>
                </pt>
                <pt idx="172">
                  <v>0.8824781492416741</v>
                </pt>
                <pt idx="173">
                  <v>0.8717456550045033</v>
                </pt>
                <pt idx="174">
                  <v>0.8728760744395103</v>
                </pt>
                <pt idx="175">
                  <v>0.8741507384871139</v>
                </pt>
                <pt idx="176">
                  <v>0.8731946242705756</v>
                </pt>
                <pt idx="177">
                  <v>0.8751608761292322</v>
                </pt>
                <pt idx="178">
                  <v>0.8830445408555576</v>
                </pt>
                <pt idx="179">
                  <v>0.8946823282744468</v>
                </pt>
                <pt idx="180">
                  <v>0.9001282603489158</v>
                </pt>
                <pt idx="181">
                  <v>0.8978688947378289</v>
                </pt>
                <pt idx="182">
                  <v>0.9082933397139953</v>
                </pt>
                <pt idx="183">
                  <v>0.9164646619335962</v>
                </pt>
                <pt idx="184">
                  <v>0.9283239600630425</v>
                </pt>
                <pt idx="185">
                  <v>0.9283239600630425</v>
                </pt>
                <pt idx="186">
                  <v>0.9259858346692034</v>
                </pt>
                <pt idx="187">
                  <v>0.9307125586265098</v>
                </pt>
                <pt idx="188">
                  <v>0.9305495280034385</v>
                </pt>
                <pt idx="189">
                  <v>0.9352610761467254</v>
                </pt>
                <pt idx="190">
                  <v>0.9314582030078559</v>
                </pt>
                <pt idx="191">
                  <v>0.9363751523140755</v>
                </pt>
                <pt idx="192">
                  <v>0.9340985987166344</v>
                </pt>
                <pt idx="193">
                  <v>0.9428247023881717</v>
                </pt>
                <pt idx="194">
                  <v>0.9345901531395181</v>
                </pt>
                <pt idx="195">
                  <v>0.9256202714883072</v>
                </pt>
                <pt idx="196">
                  <v>0.9295905388658039</v>
                </pt>
                <pt idx="197">
                  <v>0.9260068277633881</v>
                </pt>
                <pt idx="198">
                  <v>0.9376340902059694</v>
                </pt>
                <pt idx="199">
                  <v>0.9363141687164998</v>
                </pt>
                <pt idx="200">
                  <v>0.9444480651639195</v>
                </pt>
                <pt idx="201">
                  <v>0.9444480651639195</v>
                </pt>
                <pt idx="202">
                  <v>0.9444480651639195</v>
                </pt>
                <pt idx="203">
                  <v>0.9465630734773363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1033583"/>
        <axId val="121039407"/>
      </lineChart>
      <dateAx>
        <axId val="497854144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6768"/>
        <crosses val="autoZero"/>
        <lblOffset val="100"/>
        <baseTimeUnit val="days"/>
        <majorUnit val="1"/>
      </dateAx>
      <valAx>
        <axId val="497856768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4144"/>
        <crosses val="autoZero"/>
        <crossBetween val="between"/>
      </valAx>
      <catAx>
        <axId val="121033583"/>
        <scaling>
          <orientation val="maxMin"/>
        </scaling>
        <delete val="1"/>
        <axPos val="t"/>
        <numFmt formatCode="General" sourceLinked="1"/>
        <majorTickMark val="out"/>
        <minorTickMark val="none"/>
        <tickLblPos val="nextTo"/>
        <crossAx val="121039407"/>
        <crosses val="max"/>
        <auto val="1"/>
        <lblAlgn val="ctr"/>
        <lblOffset val="100"/>
        <tickLblSkip val="4"/>
        <noMultiLvlLbl val="0"/>
      </catAx>
      <valAx>
        <axId val="121039407"/>
        <scaling>
          <orientation val="minMax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1033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'All Charts'!$AF$2</f>
              <strCache>
                <ptCount val="1"/>
                <pt idx="0">
                  <v>Last Ask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dash"/>
            <size val="3"/>
            <spPr>
              <a:solidFill xmlns:a="http://schemas.openxmlformats.org/drawingml/2006/main">
                <a:srgbClr val="62B5E5"/>
              </a:solidFill>
              <a:ln xmlns:a="http://schemas.openxmlformats.org/drawingml/2006/main" w="19050">
                <a:solidFill>
                  <a:srgbClr val="62B5E5"/>
                </a:solidFill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8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B1DAF2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003DA5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Charts'!$B$6:$B$209</f>
              <strCache>
                <ptCount val="20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</strCache>
            </strRef>
          </cat>
          <val>
            <numRef>
              <f>'All Charts'!$AF$6:$AF$209</f>
              <numCache>
                <formatCode>0.00%</formatCode>
                <ptCount val="204"/>
                <pt idx="0">
                  <v>0.07269657353706845</v>
                </pt>
                <pt idx="1">
                  <v>0.07256600489636617</v>
                </pt>
                <pt idx="2">
                  <v>0.07203494277879366</v>
                </pt>
                <pt idx="3">
                  <v>0.0719524835506094</v>
                </pt>
                <pt idx="4">
                  <v>0.07274387341757285</v>
                </pt>
                <pt idx="5">
                  <v>0.0725377820138088</v>
                </pt>
                <pt idx="6">
                  <v>0.0724256073887532</v>
                </pt>
                <pt idx="7">
                  <v>0.07220581300028432</v>
                </pt>
                <pt idx="8">
                  <v>0.07240124697513524</v>
                </pt>
                <pt idx="9">
                  <v>0.0719449732364655</v>
                </pt>
                <pt idx="10">
                  <v>0.07250681659786051</v>
                </pt>
                <pt idx="11">
                  <v>0.07114861159112722</v>
                </pt>
                <pt idx="12">
                  <v>0.0708768793130677</v>
                </pt>
                <pt idx="13">
                  <v>0.07058380331628311</v>
                </pt>
                <pt idx="14">
                  <v>0.07056717730739333</v>
                </pt>
                <pt idx="15">
                  <v>0.06948037547611145</v>
                </pt>
                <pt idx="16">
                  <v>0.06905270458463478</v>
                </pt>
                <pt idx="17">
                  <v>0.07012991480839614</v>
                </pt>
                <pt idx="18">
                  <v>0.06994231141098631</v>
                </pt>
                <pt idx="19">
                  <v>0.07041345340594579</v>
                </pt>
                <pt idx="20">
                  <v>0.06988576544963786</v>
                </pt>
                <pt idx="21">
                  <v>0.07067395184857976</v>
                </pt>
                <pt idx="22">
                  <v>0.06974768903520176</v>
                </pt>
                <pt idx="23">
                  <v>0.06988771968733039</v>
                </pt>
                <pt idx="24">
                  <v>0.07064084061788739</v>
                </pt>
                <pt idx="25">
                  <v>0.0707634967182742</v>
                </pt>
                <pt idx="26">
                  <v>0.0707006157341262</v>
                </pt>
                <pt idx="27">
                  <v>0.07007842531622925</v>
                </pt>
                <pt idx="28">
                  <v>0.06979626524504216</v>
                </pt>
                <pt idx="29">
                  <v>0.06991512126464786</v>
                </pt>
                <pt idx="30">
                  <v>0.06984230698446579</v>
                </pt>
                <pt idx="31">
                  <v>0.07006116783459551</v>
                </pt>
                <pt idx="32">
                  <v>0.069762078199917</v>
                </pt>
                <pt idx="33">
                  <v>0.07015410254549641</v>
                </pt>
                <pt idx="34">
                  <v>0.07077597362483945</v>
                </pt>
                <pt idx="35">
                  <v>0.07109002300572133</v>
                </pt>
                <pt idx="36">
                  <v>0.07103261996805998</v>
                </pt>
                <pt idx="37">
                  <v>0.07103545422145476</v>
                </pt>
                <pt idx="38">
                  <v>0.07082593382506994</v>
                </pt>
                <pt idx="39">
                  <v>0.07153465037153107</v>
                </pt>
                <pt idx="40">
                  <v>0.07168080663700446</v>
                </pt>
                <pt idx="41">
                  <v>0.07102906779342112</v>
                </pt>
                <pt idx="42">
                  <v>0.07116829093418869</v>
                </pt>
                <pt idx="43">
                  <v>0.07063576623418728</v>
                </pt>
                <pt idx="44">
                  <v>0.07048934633946921</v>
                </pt>
                <pt idx="45">
                  <v>0.06975763415213825</v>
                </pt>
                <pt idx="46">
                  <v>0.06952724366136502</v>
                </pt>
                <pt idx="47">
                  <v>0.0700424172132518</v>
                </pt>
                <pt idx="48">
                  <v>0.06979922597425364</v>
                </pt>
                <pt idx="49">
                  <v>0.06945744570475938</v>
                </pt>
                <pt idx="50">
                  <v>0.07011077874190913</v>
                </pt>
                <pt idx="51">
                  <v>0.07037649206619799</v>
                </pt>
                <pt idx="52">
                  <v>0.07213214672827105</v>
                </pt>
                <pt idx="53">
                  <v>0.07306456950937971</v>
                </pt>
                <pt idx="54">
                  <v>0.07372452761983669</v>
                </pt>
                <pt idx="55">
                  <v>0.0745309912578809</v>
                </pt>
                <pt idx="56">
                  <v>0.07531999882732612</v>
                </pt>
                <pt idx="57">
                  <v>0.075603395085311</v>
                </pt>
                <pt idx="58">
                  <v>0.07487819442242166</v>
                </pt>
                <pt idx="59">
                  <v>0.07572250237290218</v>
                </pt>
                <pt idx="60">
                  <v>0.07658391293244607</v>
                </pt>
                <pt idx="61">
                  <v>0.07858990605258619</v>
                </pt>
                <pt idx="62">
                  <v>0.0788616677310072</v>
                </pt>
                <pt idx="63">
                  <v>0.07933204358214045</v>
                </pt>
                <pt idx="64">
                  <v>0.08017287237799343</v>
                </pt>
                <pt idx="65">
                  <v>0.08042044325153257</v>
                </pt>
                <pt idx="66">
                  <v>0.08112149747631874</v>
                </pt>
                <pt idx="67">
                  <v>0.08125758849671617</v>
                </pt>
                <pt idx="68">
                  <v>0.08140228258309908</v>
                </pt>
                <pt idx="69">
                  <v>0.08155235962092203</v>
                </pt>
                <pt idx="70">
                  <v>0.08179970717922184</v>
                </pt>
                <pt idx="71">
                  <v>0.08086992263524491</v>
                </pt>
                <pt idx="72">
                  <v>0.08069110837297745</v>
                </pt>
                <pt idx="73">
                  <v>0.0797497809037172</v>
                </pt>
                <pt idx="74">
                  <v>0.07924697916247532</v>
                </pt>
                <pt idx="75">
                  <v>0.07914822292746125</v>
                </pt>
                <pt idx="76">
                  <v>0.07866277728012461</v>
                </pt>
                <pt idx="77">
                  <v>0.07873233867658468</v>
                </pt>
                <pt idx="78">
                  <v>0.07750826405999679</v>
                </pt>
                <pt idx="79">
                  <v>0.07839518609129462</v>
                </pt>
                <pt idx="80">
                  <v>0.07807068036661398</v>
                </pt>
                <pt idx="81">
                  <v>0.07751629546579032</v>
                </pt>
                <pt idx="82">
                  <v>0.07839598321200965</v>
                </pt>
                <pt idx="83">
                  <v>0.07930532733805053</v>
                </pt>
                <pt idx="84">
                  <v>0.07910347662706706</v>
                </pt>
                <pt idx="85">
                  <v>0.07791375278867935</v>
                </pt>
                <pt idx="86">
                  <v>0.07829940058592895</v>
                </pt>
                <pt idx="87">
                  <v>0.07840206794059282</v>
                </pt>
                <pt idx="88">
                  <v>0.07789109087984562</v>
                </pt>
                <pt idx="89">
                  <v>0.07762509185641643</v>
                </pt>
                <pt idx="90">
                  <v>0.07811832492569661</v>
                </pt>
                <pt idx="91">
                  <v>0.07538610656095204</v>
                </pt>
                <pt idx="92">
                  <v>0.07606806006194559</v>
                </pt>
                <pt idx="93">
                  <v>0.07642684885458914</v>
                </pt>
                <pt idx="94">
                  <v>0.07459838730265468</v>
                </pt>
                <pt idx="95">
                  <v>0.07423427442216798</v>
                </pt>
                <pt idx="96">
                  <v>0.07414518041741212</v>
                </pt>
                <pt idx="97">
                  <v>0.07338997863045389</v>
                </pt>
                <pt idx="98">
                  <v>0.07354434172270347</v>
                </pt>
                <pt idx="99">
                  <v>0.0730628709102636</v>
                </pt>
                <pt idx="100">
                  <v>0.07438267506026025</v>
                </pt>
                <pt idx="101">
                  <v>0.0754688877408648</v>
                </pt>
                <pt idx="102">
                  <v>0.07605732876257014</v>
                </pt>
                <pt idx="103">
                  <v>0.07602217620361106</v>
                </pt>
                <pt idx="104">
                  <v>0.07583688599289873</v>
                </pt>
                <pt idx="105">
                  <v>0.07699581818458717</v>
                </pt>
                <pt idx="106">
                  <v>0.07730304075076079</v>
                </pt>
                <pt idx="107">
                  <v>0.07824794943466658</v>
                </pt>
                <pt idx="108">
                  <v>0.07864809162900374</v>
                </pt>
                <pt idx="109">
                  <v>0.07931576774973211</v>
                </pt>
                <pt idx="110">
                  <v>0.07912679052958053</v>
                </pt>
                <pt idx="111">
                  <v>0.07944964579970767</v>
                </pt>
                <pt idx="112">
                  <v>0.07800886416141134</v>
                </pt>
                <pt idx="113">
                  <v>0.07767958070711604</v>
                </pt>
                <pt idx="114">
                  <v>0.07790357529884648</v>
                </pt>
                <pt idx="115">
                  <v>0.07800910828274961</v>
                </pt>
                <pt idx="116">
                  <v>0.07804237006840159</v>
                </pt>
                <pt idx="117">
                  <v>0.07740797034790793</v>
                </pt>
                <pt idx="118">
                  <v>0.07800417640590579</v>
                </pt>
                <pt idx="119">
                  <v>0.07800417640590579</v>
                </pt>
                <pt idx="120">
                  <v>0.07791544693865664</v>
                </pt>
                <pt idx="121">
                  <v>0.07910687473876604</v>
                </pt>
                <pt idx="122">
                  <v>0.07992103874764001</v>
                </pt>
                <pt idx="123">
                  <v>0.07995813082023222</v>
                </pt>
                <pt idx="124">
                  <v>0.08107608944873801</v>
                </pt>
                <pt idx="125">
                  <v>0.08147297126372098</v>
                </pt>
                <pt idx="126">
                  <v>0.08091277297177844</v>
                </pt>
                <pt idx="127">
                  <v>0.07992599764440513</v>
                </pt>
                <pt idx="128">
                  <v>0.0805090115857084</v>
                </pt>
                <pt idx="129">
                  <v>0.08020690974675226</v>
                </pt>
                <pt idx="130">
                  <v>0.08027409928212982</v>
                </pt>
                <pt idx="131">
                  <v>0.08027409928212982</v>
                </pt>
                <pt idx="132">
                  <v>0.08087894161743253</v>
                </pt>
                <pt idx="133">
                  <v>0.08049786291484151</v>
                </pt>
                <pt idx="134">
                  <v>0.08051707759556516</v>
                </pt>
                <pt idx="135">
                  <v>0.07962609956539986</v>
                </pt>
                <pt idx="136">
                  <v>0.08041232633453109</v>
                </pt>
                <pt idx="137">
                  <v>0.07919311895665346</v>
                </pt>
                <pt idx="138">
                  <v>0.07949522759232122</v>
                </pt>
                <pt idx="139">
                  <v>0.08100447976762236</v>
                </pt>
                <pt idx="140">
                  <v>0.08109163077804078</v>
                </pt>
                <pt idx="141">
                  <v>0.08040291878252055</v>
                </pt>
                <pt idx="142">
                  <v>0.07982744052660165</v>
                </pt>
                <pt idx="143">
                  <v>0.08019642182595858</v>
                </pt>
                <pt idx="144">
                  <v>0.07978058034762667</v>
                </pt>
                <pt idx="145">
                  <v>0.08201208355924496</v>
                </pt>
                <pt idx="146">
                  <v>0.0812046720543196</v>
                </pt>
                <pt idx="147">
                  <v>0.08233292152325461</v>
                </pt>
                <pt idx="148">
                  <v>0.08203174437684099</v>
                </pt>
                <pt idx="149">
                  <v>0.08143799437684099</v>
                </pt>
                <pt idx="150">
                  <v>0.08244177894093779</v>
                </pt>
                <pt idx="151">
                  <v>0.08170636092401043</v>
                </pt>
                <pt idx="152">
                  <v>0.08150665657151901</v>
                </pt>
                <pt idx="153">
                  <v>0.08159650485011426</v>
                </pt>
                <pt idx="154">
                  <v>0.08171492432322093</v>
                </pt>
                <pt idx="155">
                  <v>0.08159038026176595</v>
                </pt>
                <pt idx="156">
                  <v>0.08173732966267562</v>
                </pt>
                <pt idx="157">
                  <v>0.08125449146538197</v>
                </pt>
                <pt idx="158">
                  <v>0.08305219469494021</v>
                </pt>
                <pt idx="159">
                  <v>0.08352585320640728</v>
                </pt>
                <pt idx="160">
                  <v>0.08779214432901759</v>
                </pt>
                <pt idx="161">
                  <v>0.08777668741782353</v>
                </pt>
                <pt idx="162">
                  <v>0.08653106633591177</v>
                </pt>
                <pt idx="163">
                  <v>0.08954193470939177</v>
                </pt>
                <pt idx="164">
                  <v>0.08652516416311741</v>
                </pt>
                <pt idx="165">
                  <v>0.08671527950452385</v>
                </pt>
                <pt idx="166">
                  <v>0.08716296480482541</v>
                </pt>
                <pt idx="167">
                  <v>0.088096556737294</v>
                </pt>
                <pt idx="168">
                  <v>0.08784956822420835</v>
                </pt>
                <pt idx="169">
                  <v>0.0870871756699322</v>
                </pt>
                <pt idx="170">
                  <v>0.08573172657025875</v>
                </pt>
                <pt idx="171">
                  <v>0.08573172657025875</v>
                </pt>
                <pt idx="172">
                  <v>0.07874759004992843</v>
                </pt>
                <pt idx="173">
                  <v>0.07852001887570355</v>
                </pt>
                <pt idx="174">
                  <v>0.07873278840711906</v>
                </pt>
                <pt idx="175">
                  <v>0.07645400052833118</v>
                </pt>
                <pt idx="176">
                  <v>0.07946033326972908</v>
                </pt>
                <pt idx="177">
                  <v>0.08035749862071156</v>
                </pt>
                <pt idx="178">
                  <v>0.0785717487586404</v>
                </pt>
                <pt idx="179">
                  <v>0.077301943065156</v>
                </pt>
                <pt idx="180">
                  <v>0.07612021956494254</v>
                </pt>
                <pt idx="181">
                  <v>0.07785099325528687</v>
                </pt>
                <pt idx="182">
                  <v>0.07785099325528687</v>
                </pt>
                <pt idx="183">
                  <v>0.07844674381734629</v>
                </pt>
                <pt idx="184">
                  <v>0.07666781131604619</v>
                </pt>
                <pt idx="185">
                  <v>0.07666781131604619</v>
                </pt>
                <pt idx="186">
                  <v>0.07711544912295704</v>
                </pt>
                <pt idx="187">
                  <v>0.07819003709290327</v>
                </pt>
                <pt idx="188">
                  <v>0.07788510321100735</v>
                </pt>
                <pt idx="189">
                  <v>0.07650657203706963</v>
                </pt>
                <pt idx="190">
                  <v>0.07884100070991455</v>
                </pt>
                <pt idx="191">
                  <v>0.07836271971051811</v>
                </pt>
                <pt idx="192">
                  <v>0.0802024356601605</v>
                </pt>
                <pt idx="193">
                  <v>0.07770971991039889</v>
                </pt>
                <pt idx="194">
                  <v>0.07735997262510687</v>
                </pt>
                <pt idx="195">
                  <v>0.07626854014297926</v>
                </pt>
                <pt idx="196">
                  <v>0.07644555620017099</v>
                </pt>
                <pt idx="197">
                  <v>0.07480530970901229</v>
                </pt>
                <pt idx="198">
                  <v>0.07615558645949325</v>
                </pt>
                <pt idx="199">
                  <v>0.07581508985724977</v>
                </pt>
                <pt idx="200">
                  <v>0.07711982158117742</v>
                </pt>
                <pt idx="201">
                  <v>0.07711982158117742</v>
                </pt>
                <pt idx="202">
                  <v>0.07711982158117742</v>
                </pt>
                <pt idx="203">
                  <v>0.07712364775166811</v>
                </pt>
              </numCache>
            </numRef>
          </val>
          <smooth val="0"/>
        </ser>
        <ser>
          <idx val="1"/>
          <order val="1"/>
          <tx>
            <strRef>
              <f>'All Charts'!$AG$2</f>
              <strCache>
                <ptCount val="1"/>
                <pt idx="0">
                  <v>Bid-Ask Spread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dash"/>
            <size val="3"/>
            <spPr>
              <a:solidFill xmlns:a="http://schemas.openxmlformats.org/drawingml/2006/main">
                <a:srgbClr val="003DA5"/>
              </a:solidFill>
              <a:ln xmlns:a="http://schemas.openxmlformats.org/drawingml/2006/main" w="22225" cap="sq" cmpd="sng">
                <a:solidFill>
                  <a:srgbClr val="003DA5"/>
                </a:solidFill>
                <a:prstDash val="solid"/>
                <a:round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solidFill xmlns:a="http://schemas.openxmlformats.org/drawingml/2006/main">
                <a:srgbClr val="265AB2"/>
              </a:solid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chemeClr val="bg1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Charts'!$B$6:$B$209</f>
              <strCache>
                <ptCount val="20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</strCache>
            </strRef>
          </cat>
          <val>
            <numRef>
              <f>'All Charts'!$AG$6:$AG$209</f>
              <numCache>
                <formatCode>0.00%</formatCode>
                <ptCount val="204"/>
                <pt idx="0">
                  <v>0.008039810258724418</v>
                </pt>
                <pt idx="1">
                  <v>0.007408112312251487</v>
                </pt>
                <pt idx="2">
                  <v>0.007269549038802061</v>
                </pt>
                <pt idx="3">
                  <v>0.00689962068301691</v>
                </pt>
                <pt idx="4">
                  <v>0.007587991823425989</v>
                </pt>
                <pt idx="5">
                  <v>0.007589806928843514</v>
                </pt>
                <pt idx="6">
                  <v>0.007511494464383273</v>
                </pt>
                <pt idx="7">
                  <v>0.006713897200132996</v>
                </pt>
                <pt idx="8">
                  <v>0.006412759937539232</v>
                </pt>
                <pt idx="9">
                  <v>0.007788158485267048</v>
                </pt>
                <pt idx="10">
                  <v>0.007760441177588767</v>
                </pt>
                <pt idx="11">
                  <v>0.005999310569221735</v>
                </pt>
                <pt idx="12">
                  <v>0.006136509831461095</v>
                </pt>
                <pt idx="13">
                  <v>0.006817015735071349</v>
                </pt>
                <pt idx="14">
                  <v>0.007110767077355868</v>
                </pt>
                <pt idx="15">
                  <v>0.00710819299213587</v>
                </pt>
                <pt idx="16">
                  <v>0.006520006416440725</v>
                </pt>
                <pt idx="17">
                  <v>0.006469195726019362</v>
                </pt>
                <pt idx="18">
                  <v>0.00629504480813375</v>
                </pt>
                <pt idx="19">
                  <v>0.006860241347073056</v>
                </pt>
                <pt idx="20">
                  <v>0.006792089981843077</v>
                </pt>
                <pt idx="21">
                  <v>0.005689595906133462</v>
                </pt>
                <pt idx="22">
                  <v>0.005895197887570231</v>
                </pt>
                <pt idx="23">
                  <v>0.006152708310952398</v>
                </pt>
                <pt idx="24">
                  <v>0.006046652402423676</v>
                </pt>
                <pt idx="25">
                  <v>0.006109554131327269</v>
                </pt>
                <pt idx="26">
                  <v>0.00600051485814864</v>
                </pt>
                <pt idx="27">
                  <v>0.006066952060817857</v>
                </pt>
                <pt idx="28">
                  <v>0.005920504614277204</v>
                </pt>
                <pt idx="29">
                  <v>0.005721240343880561</v>
                </pt>
                <pt idx="30">
                  <v>0.005406432888988247</v>
                </pt>
                <pt idx="31">
                  <v>0.004948330879851076</v>
                </pt>
                <pt idx="32">
                  <v>0.00528138436188034</v>
                </pt>
                <pt idx="33">
                  <v>0.005170814619868187</v>
                </pt>
                <pt idx="34">
                  <v>0.005288770779030665</v>
                </pt>
                <pt idx="35">
                  <v>0.005128571279158419</v>
                </pt>
                <pt idx="36">
                  <v>0.005556060562494591</v>
                </pt>
                <pt idx="37">
                  <v>0.005337304916253957</v>
                </pt>
                <pt idx="38">
                  <v>0.005622757225503455</v>
                </pt>
                <pt idx="39">
                  <v>0.005581157410288462</v>
                </pt>
                <pt idx="40">
                  <v>0.005939561537258387</v>
                </pt>
                <pt idx="41">
                  <v>0.006366921132786995</v>
                </pt>
                <pt idx="42">
                  <v>0.006785665076262949</v>
                </pt>
                <pt idx="43">
                  <v>0.006848080093563853</v>
                </pt>
                <pt idx="44">
                  <v>0.006793550809453461</v>
                </pt>
                <pt idx="45">
                  <v>0.006944516185284561</v>
                </pt>
                <pt idx="46">
                  <v>0.006955870099919631</v>
                </pt>
                <pt idx="47">
                  <v>0.006672650271005308</v>
                </pt>
                <pt idx="48">
                  <v>0.006185578662340669</v>
                </pt>
                <pt idx="49">
                  <v>0.006527125323637556</v>
                </pt>
                <pt idx="50">
                  <v>0.006214669286268993</v>
                </pt>
                <pt idx="51">
                  <v>0.006173621636553994</v>
                </pt>
                <pt idx="52">
                  <v>0.005770151953631265</v>
                </pt>
                <pt idx="53">
                  <v>0.005424655062530582</v>
                </pt>
                <pt idx="54">
                  <v>0.005346583723704209</v>
                </pt>
                <pt idx="55">
                  <v>0.005359371697604061</v>
                </pt>
                <pt idx="56">
                  <v>0.005402569890320119</v>
                </pt>
                <pt idx="57">
                  <v>0.005242702058002088</v>
                </pt>
                <pt idx="58">
                  <v>0.005222410457234549</v>
                </pt>
                <pt idx="59">
                  <v>0.005426448877210984</v>
                </pt>
                <pt idx="60">
                  <v>0.005551909416520468</v>
                </pt>
                <pt idx="61">
                  <v>0.005482027281530012</v>
                </pt>
                <pt idx="62">
                  <v>0.005596850739705291</v>
                </pt>
                <pt idx="63">
                  <v>0.005776830179888694</v>
                </pt>
                <pt idx="64">
                  <v>0.00613477221386302</v>
                </pt>
                <pt idx="65">
                  <v>0.006088863650530599</v>
                </pt>
                <pt idx="66">
                  <v>0.006358604713720221</v>
                </pt>
                <pt idx="67">
                  <v>0.006969898803746564</v>
                </pt>
                <pt idx="68">
                  <v>0.007371131937329341</v>
                </pt>
                <pt idx="69">
                  <v>0.007594648774734065</v>
                </pt>
                <pt idx="70">
                  <v>0.0074893854808741</v>
                </pt>
                <pt idx="71">
                  <v>0.007451299893073457</v>
                </pt>
                <pt idx="72">
                  <v>0.007255083390262165</v>
                </pt>
                <pt idx="73">
                  <v>0.007343671853338757</v>
                </pt>
                <pt idx="74">
                  <v>0.007398620201542503</v>
                </pt>
                <pt idx="75">
                  <v>0.007134802698525183</v>
                </pt>
                <pt idx="76">
                  <v>0.006798366724490203</v>
                </pt>
                <pt idx="77">
                  <v>0.006748059637774584</v>
                </pt>
                <pt idx="78">
                  <v>0.006506159751840357</v>
                </pt>
                <pt idx="79">
                  <v>0.006137025866577443</v>
                </pt>
                <pt idx="80">
                  <v>0.005353328651677236</v>
                </pt>
                <pt idx="81">
                  <v>0.005162139072470049</v>
                </pt>
                <pt idx="82">
                  <v>0.005376117405914257</v>
                </pt>
                <pt idx="83">
                  <v>0.005549599796934637</v>
                </pt>
                <pt idx="84">
                  <v>0.005632173785929033</v>
                </pt>
                <pt idx="85">
                  <v>0.005216076432870082</v>
                </pt>
                <pt idx="86">
                  <v>0.005202917475926364</v>
                </pt>
                <pt idx="87">
                  <v>0.005504333439094488</v>
                </pt>
                <pt idx="88">
                  <v>0.005777273394194517</v>
                </pt>
                <pt idx="89">
                  <v>0.005923208189739277</v>
                </pt>
                <pt idx="90">
                  <v>0.005897364897793156</v>
                </pt>
                <pt idx="91">
                  <v>0.005922901867621332</v>
                </pt>
                <pt idx="92">
                  <v>0.005977447624939436</v>
                </pt>
                <pt idx="93">
                  <v>0.005889776534834184</v>
                </pt>
                <pt idx="94">
                  <v>0.006867659975382374</v>
                </pt>
                <pt idx="95">
                  <v>0.006866854598213489</v>
                </pt>
                <pt idx="96">
                  <v>0.006920087643795749</v>
                </pt>
                <pt idx="97">
                  <v>0.008216671726199507</v>
                </pt>
                <pt idx="98">
                  <v>0.008251295240594521</v>
                </pt>
                <pt idx="99">
                  <v>0.008377553317777753</v>
                </pt>
                <pt idx="100">
                  <v>0.008941011714436408</v>
                </pt>
                <pt idx="101">
                  <v>0.008648468492623025</v>
                </pt>
                <pt idx="102">
                  <v>0.008742662610691298</v>
                </pt>
                <pt idx="103">
                  <v>0.01070636893552557</v>
                </pt>
                <pt idx="104">
                  <v>0.01097707446707907</v>
                </pt>
                <pt idx="105">
                  <v>0.01054666277124383</v>
                </pt>
                <pt idx="106">
                  <v>0.009508278498972962</v>
                </pt>
                <pt idx="107">
                  <v>0.009642896620104324</v>
                </pt>
                <pt idx="108">
                  <v>0.009957098365661218</v>
                </pt>
                <pt idx="109">
                  <v>0.00956425255367045</v>
                </pt>
                <pt idx="110">
                  <v>0.009589042544373174</v>
                </pt>
                <pt idx="111">
                  <v>0.0100278625807529</v>
                </pt>
                <pt idx="112">
                  <v>0.00949605532237297</v>
                </pt>
                <pt idx="113">
                  <v>0.009628460826155717</v>
                </pt>
                <pt idx="114">
                  <v>0.009613880940500382</v>
                </pt>
                <pt idx="115">
                  <v>0.00679398848403997</v>
                </pt>
                <pt idx="116">
                  <v>0.006165658757353046</v>
                </pt>
                <pt idx="117">
                  <v>0.005861993376215378</v>
                </pt>
                <pt idx="118">
                  <v>0.004907000439233073</v>
                </pt>
                <pt idx="119">
                  <v>0.004907000439233073</v>
                </pt>
                <pt idx="120">
                  <v>0.003746106227201604</v>
                </pt>
                <pt idx="121">
                  <v>0.004238594678836242</v>
                </pt>
                <pt idx="122">
                  <v>0.004110920145969984</v>
                </pt>
                <pt idx="123">
                  <v>0.003766652338533924</v>
                </pt>
                <pt idx="124">
                  <v>0.003870411781988051</v>
                </pt>
                <pt idx="125">
                  <v>0.005843475380944111</v>
                </pt>
                <pt idx="126">
                  <v>0.006564331538673234</v>
                </pt>
                <pt idx="127">
                  <v>0.007427714670507542</v>
                </pt>
                <pt idx="128">
                  <v>0.007840424892694988</v>
                </pt>
                <pt idx="129">
                  <v>0.007914282216655605</v>
                </pt>
                <pt idx="130">
                  <v>0.009387568801205264</v>
                </pt>
                <pt idx="131">
                  <v>0.009387568801205264</v>
                </pt>
                <pt idx="132">
                  <v>0.009949585385774293</v>
                </pt>
                <pt idx="133">
                  <v>0.009555855855357516</v>
                </pt>
                <pt idx="134">
                  <v>0.0100731193665451</v>
                </pt>
                <pt idx="135">
                  <v>0.01020297609403201</v>
                </pt>
                <pt idx="136">
                  <v>0.01047744017708452</v>
                </pt>
                <pt idx="137">
                  <v>0.009482634956061045</v>
                </pt>
                <pt idx="138">
                  <v>0.009120333316425757</v>
                </pt>
                <pt idx="139">
                  <v>0.008628126400486368</v>
                </pt>
                <pt idx="140">
                  <v>0.009801605171775704</v>
                </pt>
                <pt idx="141">
                  <v>0.01078072929575324</v>
                </pt>
                <pt idx="142">
                  <v>0.009299375922050197</v>
                </pt>
                <pt idx="143">
                  <v>0.008921336304932402</v>
                </pt>
                <pt idx="144">
                  <v>0.007332679360388015</v>
                </pt>
                <pt idx="145">
                  <v>0.008742282968629663</v>
                </pt>
                <pt idx="146">
                  <v>0.008039189542994103</v>
                </pt>
                <pt idx="147">
                  <v>0.007799733143905872</v>
                </pt>
                <pt idx="148">
                  <v>0.007214750760121375</v>
                </pt>
                <pt idx="149">
                  <v>0.007661112067080509</v>
                </pt>
                <pt idx="150">
                  <v>0.007329652855593366</v>
                </pt>
                <pt idx="151">
                  <v>0.007230397512609889</v>
                </pt>
                <pt idx="152">
                  <v>0.00704363352143703</v>
                </pt>
                <pt idx="153">
                  <v>0.00673215034869298</v>
                </pt>
                <pt idx="154">
                  <v>0.006303194525410555</v>
                </pt>
                <pt idx="155">
                  <v>0.006093454867894883</v>
                </pt>
                <pt idx="156">
                  <v>0.006001270143599971</v>
                </pt>
                <pt idx="157">
                  <v>0.004807062859948333</v>
                </pt>
                <pt idx="158">
                  <v>0.00605115947545422</v>
                </pt>
                <pt idx="159">
                  <v>0.005998176447869193</v>
                </pt>
                <pt idx="160">
                  <v>0.006272771731423478</v>
                </pt>
                <pt idx="161">
                  <v>0.005091742687679032</v>
                </pt>
                <pt idx="162">
                  <v>0.005121031534099645</v>
                </pt>
                <pt idx="163">
                  <v>0.005728950757503703</v>
                </pt>
                <pt idx="164">
                  <v>0.006687411229052035</v>
                </pt>
                <pt idx="165">
                  <v>0.007151440336765186</v>
                </pt>
                <pt idx="166">
                  <v>0.007326969192101639</v>
                </pt>
                <pt idx="167">
                  <v>0.009448451977927675</v>
                </pt>
                <pt idx="168">
                  <v>0.01013194651714928</v>
                </pt>
                <pt idx="169">
                  <v>0.01060504668865843</v>
                </pt>
                <pt idx="170">
                  <v>0.00952001216723942</v>
                </pt>
                <pt idx="171">
                  <v>0.00952001216723942</v>
                </pt>
                <pt idx="172">
                  <v>0.009889181459901758</v>
                </pt>
                <pt idx="173">
                  <v>0.01086880607069298</v>
                </pt>
                <pt idx="174">
                  <v>0.01078238924839731</v>
                </pt>
                <pt idx="175">
                  <v>0.01036896784706455</v>
                </pt>
                <pt idx="176">
                  <v>0.01061443550393722</v>
                </pt>
                <pt idx="177">
                  <v>0.01060218473365848</v>
                </pt>
                <pt idx="178">
                  <v>0.009789650254116617</v>
                </pt>
                <pt idx="179">
                  <v>0.007833910910371122</v>
                </pt>
                <pt idx="180">
                  <v>0.007362049013031878</v>
                </pt>
                <pt idx="181">
                  <v>0.007951069088326239</v>
                </pt>
                <pt idx="182">
                  <v>0.007951069088326239</v>
                </pt>
                <pt idx="183">
                  <v>0.00724379019742208</v>
                </pt>
                <pt idx="184">
                  <v>0.004908132175863256</v>
                </pt>
                <pt idx="185">
                  <v>0.004908132175863256</v>
                </pt>
                <pt idx="186">
                  <v>0.005034403972107766</v>
                </pt>
                <pt idx="187">
                  <v>0.004862925420446461</v>
                </pt>
                <pt idx="188">
                  <v>0.004976035942488393</v>
                </pt>
                <pt idx="189">
                  <v>0.004186301281211224</v>
                </pt>
                <pt idx="190">
                  <v>0.004471211505039788</v>
                </pt>
                <pt idx="191">
                  <v>0.004351836646959331</v>
                </pt>
                <pt idx="192">
                  <v>0.004528485891242281</v>
                </pt>
                <pt idx="193">
                  <v>0.002976355232904355</v>
                </pt>
                <pt idx="194">
                  <v>0.004334758024309573</v>
                </pt>
                <pt idx="195">
                  <v>0.00503062025671432</v>
                </pt>
                <pt idx="196">
                  <v>0.006115033307853656</v>
                </pt>
                <pt idx="197">
                  <v>0.005925005623560842</v>
                </pt>
                <pt idx="198">
                  <v>0.005007922214826288</v>
                </pt>
                <pt idx="199">
                  <v>0.005109346711835489</v>
                </pt>
                <pt idx="200">
                  <v>0.004494469352261509</v>
                </pt>
                <pt idx="201">
                  <v>0.004494469352261509</v>
                </pt>
                <pt idx="202">
                  <v>0.004494469352261509</v>
                </pt>
                <pt idx="203">
                  <v>0.004271033206629948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209"/>
          <upBars>
            <spPr>
              <a:noFill xmlns:a="http://schemas.openxmlformats.org/drawingml/2006/main"/>
              <a:ln xmlns:a="http://schemas.openxmlformats.org/drawingml/2006/main" w="3175">
                <a:solidFill>
                  <a:srgbClr val="D8DFDF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489190456"/>
        <axId val="489191440"/>
      </lineChart>
      <catAx>
        <axId val="489190456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1440"/>
        <crosses val="autoZero"/>
        <auto val="1"/>
        <lblAlgn val="ctr"/>
        <lblOffset val="100"/>
        <tickLblSkip val="1"/>
        <noMultiLvlLbl val="0"/>
      </catAx>
      <valAx>
        <axId val="489191440"/>
        <scaling>
          <orientation val="minMax"/>
          <min val="0.06500000000000002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ysClr val="window" lastClr="FFFFFF">
                  <a:lumMod val="95000"/>
                </a:sys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0456"/>
        <crosses val="autoZero"/>
        <crossBetween val="between"/>
        <majorUnit val="0.0025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528908574878817"/>
          <y val="0.02853881278538813"/>
          <w val="0.9315242671280169"/>
          <h val="0.6858289959517773"/>
        </manualLayout>
      </layout>
      <lineChart>
        <grouping val="standard"/>
        <varyColors val="0"/>
        <ser>
          <idx val="0"/>
          <order val="0"/>
          <tx>
            <strRef>
              <f>'All Charts'!$AH$2</f>
              <strCache>
                <ptCount val="1"/>
                <pt idx="0">
                  <v>10-Year Treasury Yield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Charts'!$B$6:$B$246</f>
              <strCache>
                <ptCount val="24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</strCache>
            </strRef>
          </cat>
          <val>
            <numRef>
              <f>'All Charts'!$AH$6:$AH$246</f>
              <numCache>
                <formatCode>0.00%</formatCode>
                <ptCount val="241"/>
                <pt idx="0">
                  <v>0.04246</v>
                </pt>
                <pt idx="1">
                  <v>0.0423</v>
                </pt>
                <pt idx="2">
                  <v>0.04569</v>
                </pt>
                <pt idx="3">
                  <v>0.04573</v>
                </pt>
                <pt idx="4">
                  <v>0.04178</v>
                </pt>
                <pt idx="5">
                  <v>0.04288</v>
                </pt>
                <pt idx="6">
                  <v>0.03802</v>
                </pt>
                <pt idx="7">
                  <v>0.03911</v>
                </pt>
                <pt idx="8">
                  <v>0.04109</v>
                </pt>
                <pt idx="9">
                  <v>0.04343</v>
                </pt>
                <pt idx="10">
                  <v>0.04514</v>
                </pt>
                <pt idx="11">
                  <v>0.04686</v>
                </pt>
                <pt idx="12">
                  <v>0.04206</v>
                </pt>
                <pt idx="13">
                  <v>0.0425</v>
                </pt>
                <pt idx="14">
                  <v>0.0398</v>
                </pt>
                <pt idx="15">
                  <v>0.0386</v>
                </pt>
                <pt idx="16">
                  <v>0.0422</v>
                </pt>
                <pt idx="17">
                  <v>0.0479</v>
                </pt>
                <pt idx="18">
                  <v>0.0457</v>
                </pt>
                <pt idx="19">
                  <v>0.0409</v>
                </pt>
                <pt idx="20">
                  <v>0.03956</v>
                </pt>
                <pt idx="21">
                  <v>0.03819</v>
                </pt>
                <pt idx="22">
                  <v>0.0363</v>
                </pt>
                <pt idx="23">
                  <v>0.0346</v>
                </pt>
                <pt idx="24">
                  <v>0.035</v>
                </pt>
                <pt idx="25">
                  <v>0.03916</v>
                </pt>
                <pt idx="26">
                  <v>0.0353</v>
                </pt>
                <pt idx="27">
                  <v>0.0387</v>
                </pt>
                <pt idx="28">
                  <v>0.037</v>
                </pt>
                <pt idx="29">
                  <v>0.0405</v>
                </pt>
                <pt idx="30">
                  <v>0.03804</v>
                </pt>
                <pt idx="31">
                  <v>0.03133</v>
                </pt>
                <pt idx="32">
                  <v>0.02642</v>
                </pt>
                <pt idx="33">
                  <v>0.02972</v>
                </pt>
                <pt idx="34">
                  <v>0.02844</v>
                </pt>
                <pt idx="35">
                  <v>0.02887</v>
                </pt>
                <pt idx="36">
                  <v>0.02327</v>
                </pt>
                <pt idx="37">
                  <v>0.01839</v>
                </pt>
                <pt idx="38">
                  <v>0.01782</v>
                </pt>
                <pt idx="39">
                  <v>0.01512</v>
                </pt>
                <pt idx="40">
                  <v>0.01443</v>
                </pt>
                <pt idx="41">
                  <v>0.01557</v>
                </pt>
                <pt idx="42">
                  <v>0.01529</v>
                </pt>
                <pt idx="43">
                  <v>0.01304</v>
                </pt>
                <pt idx="44">
                  <v>0.01239</v>
                </pt>
                <pt idx="45">
                  <v>0.01443</v>
                </pt>
                <pt idx="46">
                  <v>0.01581</v>
                </pt>
                <pt idx="47">
                  <v>0.01631</v>
                </pt>
                <pt idx="48">
                  <v>0.01746</v>
                </pt>
                <pt idx="49">
                  <v>0.0146</v>
                </pt>
                <pt idx="50">
                  <v>0.01093</v>
                </pt>
                <pt idx="51">
                  <v>0.009170000000000001</v>
                </pt>
                <pt idx="52">
                  <v>0.00844</v>
                </pt>
                <pt idx="53">
                  <v>0.0086</v>
                </pt>
                <pt idx="54">
                  <v>0.006770000000000001</v>
                </pt>
                <pt idx="55">
                  <v>0.00693</v>
                </pt>
                <pt idx="56">
                  <v>0.00536</v>
                </pt>
                <pt idx="57">
                  <v>0.00653</v>
                </pt>
                <pt idx="58">
                  <v>0.006480000000000001</v>
                </pt>
                <pt idx="59">
                  <v>0.00622</v>
                </pt>
                <pt idx="60">
                  <v>0.00698</v>
                </pt>
                <pt idx="61">
                  <v>0.01127</v>
                </pt>
                <pt idx="62">
                  <v>0.0152</v>
                </pt>
                <pt idx="63">
                  <v>0.01919</v>
                </pt>
                <pt idx="64">
                  <v>0.01776</v>
                </pt>
                <pt idx="65">
                  <v>0.01691</v>
                </pt>
                <pt idx="66">
                  <v>0.01675</v>
                </pt>
                <pt idx="67">
                  <v>0.01506</v>
                </pt>
                <pt idx="68">
                  <v>0.02021</v>
                </pt>
                <pt idx="69">
                  <v>0.02</v>
                </pt>
                <pt idx="70">
                  <v>0.02142</v>
                </pt>
                <pt idx="71">
                  <v>0.02509</v>
                </pt>
                <pt idx="72">
                  <v>0.02414</v>
                </pt>
                <pt idx="73">
                  <v>0.02711</v>
                </pt>
                <pt idx="74">
                  <v>0.02635</v>
                </pt>
                <pt idx="75">
                  <v>0.02686</v>
                </pt>
                <pt idx="76">
                  <v>0.03013</v>
                </pt>
                <pt idx="77">
                  <v>0.03159</v>
                </pt>
                <pt idx="78">
                  <v>0.03056</v>
                </pt>
                <pt idx="79">
                  <v>0.02853</v>
                </pt>
                <pt idx="80">
                  <v>0.02964</v>
                </pt>
                <pt idx="81">
                  <v>0.02849</v>
                </pt>
                <pt idx="82">
                  <v>0.02822</v>
                </pt>
                <pt idx="83">
                  <v>0.02936</v>
                </pt>
                <pt idx="84">
                  <v>0.02741</v>
                </pt>
                <pt idx="85">
                  <v>0.02868</v>
                </pt>
                <pt idx="86">
                  <v>0.0272</v>
                </pt>
                <pt idx="87">
                  <v>0.02405</v>
                </pt>
                <pt idx="88">
                  <v>0.02417</v>
                </pt>
                <pt idx="89">
                  <v>0.02376</v>
                </pt>
                <pt idx="90">
                  <v>0.02326</v>
                </pt>
                <pt idx="91">
                  <v>0.02121</v>
                </pt>
                <pt idx="92">
                  <v>0.02292</v>
                </pt>
                <pt idx="93">
                  <v>0.02302</v>
                </pt>
                <pt idx="94">
                  <v>0.02196</v>
                </pt>
                <pt idx="95">
                  <v>0.02282</v>
                </pt>
                <pt idx="96">
                  <v>0.02396</v>
                </pt>
                <pt idx="97">
                  <v>0.02358</v>
                </pt>
                <pt idx="98">
                  <v>0.02451</v>
                </pt>
                <pt idx="99">
                  <v>0.02446</v>
                </pt>
                <pt idx="100">
                  <v>0.02368</v>
                </pt>
                <pt idx="101">
                  <v>0.01834</v>
                </pt>
                <pt idx="102">
                  <v>0.01608</v>
                </pt>
                <pt idx="103">
                  <v>0.01568</v>
                </pt>
                <pt idx="104">
                  <v>0.01458</v>
                </pt>
                <pt idx="105">
                  <v>0.01488</v>
                </pt>
                <pt idx="106">
                  <v>0.01834</v>
                </pt>
                <pt idx="107">
                  <v>0.01819</v>
                </pt>
                <pt idx="108">
                  <v>0.01786</v>
                </pt>
                <pt idx="109">
                  <v>0.0174</v>
                </pt>
                <pt idx="110">
                  <v>0.01931</v>
                </pt>
                <pt idx="111">
                  <v>0.02269</v>
                </pt>
                <pt idx="112">
                  <v>0.02218</v>
                </pt>
                <pt idx="113">
                  <v>0.02151</v>
                </pt>
                <pt idx="114">
                  <v>0.0206</v>
                </pt>
                <pt idx="115">
                  <v>0.022</v>
                </pt>
                <pt idx="116">
                  <v>0.02205</v>
                </pt>
                <pt idx="117">
                  <v>0.02335</v>
                </pt>
                <pt idx="118">
                  <v>0.02095</v>
                </pt>
                <pt idx="119">
                  <v>0.02046</v>
                </pt>
                <pt idx="120">
                  <v>0.01934</v>
                </pt>
                <pt idx="121">
                  <v>0.02002</v>
                </pt>
                <pt idx="122">
                  <v>0.01675</v>
                </pt>
                <pt idx="123">
                  <v>0.0217</v>
                </pt>
                <pt idx="124">
                  <v>0.02194</v>
                </pt>
                <pt idx="125">
                  <v>0.02335</v>
                </pt>
                <pt idx="126">
                  <v>0.02508</v>
                </pt>
                <pt idx="127">
                  <v>0.02343</v>
                </pt>
                <pt idx="128">
                  <v>0.02556</v>
                </pt>
                <pt idx="129">
                  <v>0.02516</v>
                </pt>
                <pt idx="130">
                  <v>0.02457</v>
                </pt>
                <pt idx="131">
                  <v>0.02648</v>
                </pt>
                <pt idx="132">
                  <v>0.02723</v>
                </pt>
                <pt idx="133">
                  <v>0.02658</v>
                </pt>
                <pt idx="134">
                  <v>0.02668</v>
                </pt>
                <pt idx="135">
                  <v>0.03026</v>
                </pt>
                <pt idx="136">
                  <v>0.02741</v>
                </pt>
                <pt idx="137">
                  <v>0.02542</v>
                </pt>
                <pt idx="138">
                  <v>0.02615</v>
                </pt>
                <pt idx="139">
                  <v>0.02749</v>
                </pt>
                <pt idx="140">
                  <v>0.02593</v>
                </pt>
                <pt idx="141">
                  <v>0.02478</v>
                </pt>
                <pt idx="142">
                  <v>0.02164</v>
                </pt>
                <pt idx="143">
                  <v>0.01675</v>
                </pt>
                <pt idx="144">
                  <v>0.01852</v>
                </pt>
                <pt idx="145">
                  <v>0.01888</v>
                </pt>
                <pt idx="146">
                  <v>0.01985</v>
                </pt>
                <pt idx="147">
                  <v>0.01756</v>
                </pt>
                <pt idx="148">
                  <v>0.01606</v>
                </pt>
                <pt idx="149">
                  <v>0.01686</v>
                </pt>
                <pt idx="150">
                  <v>0.01637</v>
                </pt>
                <pt idx="151">
                  <v>0.01562</v>
                </pt>
                <pt idx="152">
                  <v>0.01492</v>
                </pt>
                <pt idx="153">
                  <v>0.01659</v>
                </pt>
                <pt idx="154">
                  <v>0.01581</v>
                </pt>
                <pt idx="155">
                  <v>0.01915</v>
                </pt>
                <pt idx="156">
                  <v>0.02216</v>
                </pt>
                <pt idx="157">
                  <v>0.01977</v>
                </pt>
                <pt idx="158">
                  <v>0.01799</v>
                </pt>
                <pt idx="159">
                  <v>0.01871</v>
                </pt>
                <pt idx="160">
                  <v>0.02068</v>
                </pt>
                <pt idx="161">
                  <v>0.02175</v>
                </pt>
                <pt idx="162">
                  <v>0.01924</v>
                </pt>
                <pt idx="163">
                  <v>0.02218</v>
                </pt>
                <pt idx="164">
                  <v>0.02805</v>
                </pt>
                <pt idx="165">
                  <v>0.03158</v>
                </pt>
                <pt idx="166">
                  <v>0.0305</v>
                </pt>
                <pt idx="167">
                  <v>0.03296</v>
                </pt>
                <pt idx="168">
                  <v>0.03454</v>
                </pt>
                <pt idx="169">
                  <v>0.03414</v>
                </pt>
                <pt idx="170">
                  <v>0.03378</v>
                </pt>
                <pt idx="171">
                  <v>0.03305</v>
                </pt>
                <pt idx="172">
                  <v>0.02797</v>
                </pt>
                <pt idx="173">
                  <v>0.02612</v>
                </pt>
                <pt idx="174">
                  <v>0.02517</v>
                </pt>
                <pt idx="175">
                  <v>0.02477</v>
                </pt>
                <pt idx="176">
                  <v>0.02907</v>
                </pt>
                <pt idx="177">
                  <v>0.02951</v>
                </pt>
                <pt idx="178">
                  <v>0.03301</v>
                </pt>
                <pt idx="179">
                  <v>0.03663</v>
                </pt>
                <pt idx="180">
                  <v>0.03833</v>
                </pt>
                <pt idx="181">
                  <v>0.03595</v>
                </pt>
                <pt idx="182">
                  <v>0.03609</v>
                </pt>
                <pt idx="183">
                  <v>0.03843</v>
                </pt>
                <pt idx="184">
                  <v>0.03201</v>
                </pt>
                <pt idx="185">
                  <v>0.03392</v>
                </pt>
                <pt idx="186">
                  <v>0.03307</v>
                </pt>
                <pt idx="187">
                  <v>0.03401</v>
                </pt>
                <pt idx="188">
                  <v>0.03501</v>
                </pt>
                <pt idx="189">
                  <v>0.03523</v>
                </pt>
                <pt idx="190">
                  <v>0.03465</v>
                </pt>
                <pt idx="191">
                  <v>0.03124</v>
                </pt>
                <pt idx="192">
                  <v>0.02685</v>
                </pt>
                <pt idx="193">
                  <v>0.03041</v>
                </pt>
                <pt idx="194">
                  <v>0.02844</v>
                </pt>
                <pt idx="195">
                  <v>0.02244</v>
                </pt>
                <pt idx="196">
                  <v>0.02957</v>
                </pt>
                <pt idx="197">
                  <v>0.03970000000000001</v>
                </pt>
                <pt idx="198">
                  <v>0.03827</v>
                </pt>
                <pt idx="199">
                  <v>0.03813</v>
                </pt>
                <pt idx="200">
                  <v>0.03979</v>
                </pt>
                <pt idx="201">
                  <v>0.03979</v>
                </pt>
                <pt idx="202">
                  <v>0.04046</v>
                </pt>
                <pt idx="203">
                  <v>0.03759</v>
                </pt>
                <pt idx="204">
                  <v>0.03432</v>
                </pt>
                <pt idx="205">
                  <v>0.03534</v>
                </pt>
                <pt idx="206">
                  <v>0.03639</v>
                </pt>
                <pt idx="207">
                  <v>0.04035</v>
                </pt>
                <pt idx="208">
                  <v>0.03972</v>
                </pt>
                <pt idx="209">
                  <v>0.04475</v>
                </pt>
                <pt idx="210">
                  <v>0.04579</v>
                </pt>
                <pt idx="211">
                  <v>0.04537</v>
                </pt>
                <pt idx="212">
                  <v>0.04771</v>
                </pt>
                <pt idx="213">
                  <v>0.05033000000000001</v>
                </pt>
                <pt idx="214">
                  <v>0.0489</v>
                </pt>
                <pt idx="215">
                  <v>0.0463</v>
                </pt>
                <pt idx="216">
                  <v>0.04648</v>
                </pt>
                <pt idx="217">
                  <v>0.0455</v>
                </pt>
                <pt idx="218">
                  <v>0.04826</v>
                </pt>
                <pt idx="219">
                  <v>0.0471</v>
                </pt>
                <pt idx="220">
                  <v>0.04458</v>
                </pt>
                <pt idx="221">
                  <v>0.04606</v>
                </pt>
                <pt idx="222">
                  <v>0.04633</v>
                </pt>
                <pt idx="223">
                  <v>0.04732</v>
                </pt>
                <pt idx="224">
                  <v>0.04988000000000001</v>
                </pt>
                <pt idx="225">
                  <v>0.05138</v>
                </pt>
                <pt idx="226">
                  <v>0.05113000000000001</v>
                </pt>
                <pt idx="227">
                  <v>0.05069</v>
                </pt>
                <pt idx="228">
                  <v>0.04853</v>
                </pt>
                <pt idx="229">
                  <v>0.04547</v>
                </pt>
                <pt idx="230">
                  <v>0.04527</v>
                </pt>
                <pt idx="231">
                  <v>0.04395</v>
                </pt>
                <pt idx="232">
                  <v>0.045</v>
                </pt>
                <pt idx="233">
                  <v>0.04559000000000001</v>
                </pt>
                <pt idx="234">
                  <v>0.04328000000000001</v>
                </pt>
                <pt idx="235">
                  <v>0.0402</v>
                </pt>
                <pt idx="236">
                  <v>0.04286</v>
                </pt>
                <pt idx="237">
                  <v>0.03945</v>
                </pt>
                <pt idx="238">
                  <v>0.04006000000000001</v>
                </pt>
                <pt idx="239">
                  <v>0.04201</v>
                </pt>
                <pt idx="240">
                  <v>0.04496000000000001</v>
                </pt>
              </numCache>
            </numRef>
          </val>
          <smooth val="0"/>
        </ser>
        <ser>
          <idx val="1"/>
          <order val="1"/>
          <tx>
            <strRef>
              <f>'All Charts'!$L$2</f>
              <strCache>
                <ptCount val="1"/>
                <pt idx="0">
                  <v>Average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B1DAF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Charts'!$B$6:$B$246</f>
              <strCache>
                <ptCount val="24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</strCache>
            </strRef>
          </cat>
          <val>
            <numRef>
              <f>'All Charts'!$L$6:$L$246</f>
              <numCache>
                <formatCode>0.00%</formatCode>
                <ptCount val="241"/>
                <pt idx="0">
                  <v>0.07963243764761611</v>
                </pt>
                <pt idx="1">
                  <v>0.07914012451228919</v>
                </pt>
                <pt idx="2">
                  <v>0.07853422407331198</v>
                </pt>
                <pt idx="3">
                  <v>0.07792455003075016</v>
                </pt>
                <pt idx="4">
                  <v>0.07825699740552627</v>
                </pt>
                <pt idx="5">
                  <v>0.07787431263764497</v>
                </pt>
                <pt idx="6">
                  <v>0.07710577519821682</v>
                </pt>
                <pt idx="7">
                  <v>0.07605548485648066</v>
                </pt>
                <pt idx="8">
                  <v>0.07621215225185558</v>
                </pt>
                <pt idx="9">
                  <v>0.07781049750079454</v>
                </pt>
                <pt idx="10">
                  <v>0.07878310466473215</v>
                </pt>
                <pt idx="11">
                  <v>0.07728535990241998</v>
                </pt>
                <pt idx="12">
                  <v>0.07737837254893547</v>
                </pt>
                <pt idx="13">
                  <v>0.07781749048067148</v>
                </pt>
                <pt idx="14">
                  <v>0.07834219292118855</v>
                </pt>
                <pt idx="15">
                  <v>0.07768642694545207</v>
                </pt>
                <pt idx="16">
                  <v>0.07753256607878796</v>
                </pt>
                <pt idx="17">
                  <v>0.07813908904891008</v>
                </pt>
                <pt idx="18">
                  <v>0.07839024143218373</v>
                </pt>
                <pt idx="19">
                  <v>0.07868646026601565</v>
                </pt>
                <pt idx="20">
                  <v>0.07810157240027849</v>
                </pt>
                <pt idx="21">
                  <v>0.07641894725608667</v>
                </pt>
                <pt idx="22">
                  <v>0.07486290313567324</v>
                </pt>
                <pt idx="23">
                  <v>0.07441415372740476</v>
                </pt>
                <pt idx="24">
                  <v>0.07440967691456218</v>
                </pt>
                <pt idx="25">
                  <v>0.07424571544779637</v>
                </pt>
                <pt idx="26">
                  <v>0.07405539852861889</v>
                </pt>
                <pt idx="27">
                  <v>0.07379954811633249</v>
                </pt>
                <pt idx="28">
                  <v>0.07275666225689036</v>
                </pt>
                <pt idx="29">
                  <v>0.07231614607996051</v>
                </pt>
                <pt idx="30">
                  <v>0.0721180514088082</v>
                </pt>
                <pt idx="31">
                  <v>0.07181307303837918</v>
                </pt>
                <pt idx="32">
                  <v>0.07196095676072101</v>
                </pt>
                <pt idx="33">
                  <v>0.0722692934656652</v>
                </pt>
                <pt idx="34">
                  <v>0.0728707532696838</v>
                </pt>
                <pt idx="35">
                  <v>0.07368850785144208</v>
                </pt>
                <pt idx="36">
                  <v>0.07371596664733641</v>
                </pt>
                <pt idx="37">
                  <v>0.07355910014415848</v>
                </pt>
                <pt idx="38">
                  <v>0.07352990118927741</v>
                </pt>
                <pt idx="39">
                  <v>0.07377932889382741</v>
                </pt>
                <pt idx="40">
                  <v>0.07411361222635118</v>
                </pt>
                <pt idx="41">
                  <v>0.07440249560230761</v>
                </pt>
                <pt idx="42">
                  <v>0.07496165332625061</v>
                </pt>
                <pt idx="43">
                  <v>0.07480936379444533</v>
                </pt>
                <pt idx="44">
                  <v>0.07448299180266044</v>
                </pt>
                <pt idx="45">
                  <v>0.0748219582905385</v>
                </pt>
                <pt idx="46">
                  <v>0.07483210428926058</v>
                </pt>
                <pt idx="47">
                  <v>0.07526011048377414</v>
                </pt>
                <pt idx="48">
                  <v>0.07527575214719538</v>
                </pt>
                <pt idx="49">
                  <v>0.07531091099412784</v>
                </pt>
                <pt idx="50">
                  <v>0.07557119351363627</v>
                </pt>
                <pt idx="51">
                  <v>0.07567621400756849</v>
                </pt>
                <pt idx="52">
                  <v>0.07747067142225708</v>
                </pt>
                <pt idx="53">
                  <v>0.07738172790547349</v>
                </pt>
                <pt idx="54">
                  <v>0.07729137152709889</v>
                </pt>
                <pt idx="55">
                  <v>0.07734969848229223</v>
                </pt>
                <pt idx="56">
                  <v>0.07749971003511846</v>
                </pt>
                <pt idx="57">
                  <v>0.07707081128478026</v>
                </pt>
                <pt idx="58">
                  <v>0.07660682293061062</v>
                </pt>
                <pt idx="59">
                  <v>0.0768387699844293</v>
                </pt>
                <pt idx="60">
                  <v>0.07740672305932308</v>
                </pt>
                <pt idx="61">
                  <v>0.0784771260890943</v>
                </pt>
                <pt idx="62">
                  <v>0.07854898463632418</v>
                </pt>
                <pt idx="63">
                  <v>0.08158953649213538</v>
                </pt>
                <pt idx="64">
                  <v>0.08248950052468666</v>
                </pt>
                <pt idx="65">
                  <v>0.08271377770227185</v>
                </pt>
                <pt idx="66">
                  <v>0.08245944630776893</v>
                </pt>
                <pt idx="67">
                  <v>0.08321158516254468</v>
                </pt>
                <pt idx="68">
                  <v>0.08405328303797445</v>
                </pt>
                <pt idx="69">
                  <v>0.08559222674757637</v>
                </pt>
                <pt idx="70">
                  <v>0.08547746440086515</v>
                </pt>
                <pt idx="71">
                  <v>0.08497108060473157</v>
                </pt>
                <pt idx="72">
                  <v>0.08484287368797441</v>
                </pt>
                <pt idx="73">
                  <v>0.084453554984946</v>
                </pt>
                <pt idx="74">
                  <v>0.0844446528814959</v>
                </pt>
                <pt idx="75">
                  <v>0.0815084225383135</v>
                </pt>
                <pt idx="76">
                  <v>0.08095068032200001</v>
                </pt>
                <pt idx="77">
                  <v>0.08069439373112959</v>
                </pt>
                <pt idx="78">
                  <v>0.08105951983578549</v>
                </pt>
                <pt idx="79">
                  <v>0.08147734420267448</v>
                </pt>
                <pt idx="80">
                  <v>0.08020320761376823</v>
                </pt>
                <pt idx="81">
                  <v>0.07804140826434093</v>
                </pt>
                <pt idx="82">
                  <v>0.07866441928667636</v>
                </pt>
                <pt idx="83">
                  <v>0.08039234297590137</v>
                </pt>
                <pt idx="84">
                  <v>0.08036554654483002</v>
                </pt>
                <pt idx="85">
                  <v>0.07973455808710446</v>
                </pt>
                <pt idx="86">
                  <v>0.0796306518784731</v>
                </pt>
                <pt idx="87">
                  <v>0.07958164641125849</v>
                </pt>
                <pt idx="88">
                  <v>0.07937696769968632</v>
                </pt>
                <pt idx="89">
                  <v>0.07918998477925185</v>
                </pt>
                <pt idx="90">
                  <v>0.07952322465324455</v>
                </pt>
                <pt idx="91">
                  <v>0.07804597238371423</v>
                </pt>
                <pt idx="92">
                  <v>0.07872277445660054</v>
                </pt>
                <pt idx="93">
                  <v>0.07971951262013506</v>
                </pt>
                <pt idx="94">
                  <v>0.0814734820867488</v>
                </pt>
                <pt idx="95">
                  <v>0.0802966240743862</v>
                </pt>
                <pt idx="96">
                  <v>0.08014957817243504</v>
                </pt>
                <pt idx="97">
                  <v>0.07969719980547395</v>
                </pt>
                <pt idx="98">
                  <v>0.07959785091340268</v>
                </pt>
                <pt idx="99">
                  <v>0.0799241004642767</v>
                </pt>
                <pt idx="100">
                  <v>0.07968604329206927</v>
                </pt>
                <pt idx="101">
                  <v>0.08068964926789583</v>
                </pt>
                <pt idx="102">
                  <v>0.08084958419195415</v>
                </pt>
                <pt idx="103">
                  <v>0.08107261198669632</v>
                </pt>
                <pt idx="104">
                  <v>0.08196162381576329</v>
                </pt>
                <pt idx="105">
                  <v>0.08271156930473106</v>
                </pt>
                <pt idx="106">
                  <v>0.08235371857685583</v>
                </pt>
                <pt idx="107">
                  <v>0.08268803932201968</v>
                </pt>
                <pt idx="108">
                  <v>0.08302732181811573</v>
                </pt>
                <pt idx="109">
                  <v>0.08259749598772789</v>
                </pt>
                <pt idx="110">
                  <v>0.08305258962681125</v>
                </pt>
                <pt idx="111">
                  <v>0.08287755571251887</v>
                </pt>
                <pt idx="112">
                  <v>0.08284514364848977</v>
                </pt>
                <pt idx="113">
                  <v>0.08301212314396464</v>
                </pt>
                <pt idx="114">
                  <v>0.08283620522202007</v>
                </pt>
                <pt idx="115">
                  <v>0.08364415203863371</v>
                </pt>
                <pt idx="116">
                  <v>0.08314849259913495</v>
                </pt>
                <pt idx="117">
                  <v>0.08208128385572483</v>
                </pt>
                <pt idx="118">
                  <v>0.07981438518662655</v>
                </pt>
                <pt idx="119">
                  <v>0.08012427052719934</v>
                </pt>
                <pt idx="120">
                  <v>0.07927527682383369</v>
                </pt>
                <pt idx="121">
                  <v>0.08094862112137283</v>
                </pt>
                <pt idx="122">
                  <v>0.08079321837080007</v>
                </pt>
                <pt idx="123">
                  <v>0.08084701773904306</v>
                </pt>
                <pt idx="124">
                  <v>0.08275005424066209</v>
                </pt>
                <pt idx="125">
                  <v>0.08365251468906269</v>
                </pt>
                <pt idx="126">
                  <v>0.08450390112198954</v>
                </pt>
                <pt idx="127">
                  <v>0.08359905263147775</v>
                </pt>
                <pt idx="128">
                  <v>0.08336882487404988</v>
                </pt>
                <pt idx="129">
                  <v>0.08379875135107301</v>
                </pt>
                <pt idx="130">
                  <v>0.08404291723996077</v>
                </pt>
                <pt idx="131">
                  <v>0.08402036349728102</v>
                </pt>
                <pt idx="132">
                  <v>0.08489684901932881</v>
                </pt>
                <pt idx="133">
                  <v>0.08546511053073846</v>
                </pt>
                <pt idx="134">
                  <v>0.08647747579810533</v>
                </pt>
                <pt idx="135">
                  <v>0.08634379244107171</v>
                </pt>
                <pt idx="136">
                  <v>0.08462901719745469</v>
                </pt>
                <pt idx="137">
                  <v>0.08285965458913559</v>
                </pt>
                <pt idx="138">
                  <v>0.08149653262259803</v>
                </pt>
                <pt idx="139">
                  <v>0.08158697121579685</v>
                </pt>
                <pt idx="140">
                  <v>0.08363014571579466</v>
                </pt>
                <pt idx="141">
                  <v>0.0820154082942445</v>
                </pt>
                <pt idx="142">
                  <v>0.08331351267668645</v>
                </pt>
                <pt idx="143">
                  <v>0.08298603754628051</v>
                </pt>
                <pt idx="144">
                  <v>0.08287479107554459</v>
                </pt>
                <pt idx="145">
                  <v>0.08243047520062978</v>
                </pt>
                <pt idx="146">
                  <v>0.08162172583806372</v>
                </pt>
                <pt idx="147">
                  <v>0.0822245856987306</v>
                </pt>
                <pt idx="148">
                  <v>0.08289322618300096</v>
                </pt>
                <pt idx="149">
                  <v>0.08185547630712448</v>
                </pt>
                <pt idx="150">
                  <v>0.08247427242204858</v>
                </pt>
                <pt idx="151">
                  <v>0.08280314225379848</v>
                </pt>
                <pt idx="152">
                  <v>0.08185661420529868</v>
                </pt>
                <pt idx="153">
                  <v>0.08311987279945811</v>
                </pt>
                <pt idx="154">
                  <v>0.08366197511524816</v>
                </pt>
                <pt idx="155">
                  <v>0.08363148526753987</v>
                </pt>
                <pt idx="156">
                  <v>0.08377691537038059</v>
                </pt>
                <pt idx="157">
                  <v>0.08355526460187826</v>
                </pt>
                <pt idx="158">
                  <v>0.08496007210083401</v>
                </pt>
                <pt idx="159">
                  <v>0.08486290760547091</v>
                </pt>
                <pt idx="160">
                  <v>0.08640148688613564</v>
                </pt>
                <pt idx="161">
                  <v>0.08711595676703841</v>
                </pt>
                <pt idx="162">
                  <v>0.08635020774769681</v>
                </pt>
                <pt idx="163">
                  <v>0.08702767191430978</v>
                </pt>
                <pt idx="164">
                  <v>0.08677663448350401</v>
                </pt>
                <pt idx="165">
                  <v>0.08708324116360264</v>
                </pt>
                <pt idx="166">
                  <v>0.08508433028782079</v>
                </pt>
                <pt idx="167">
                  <v>0.08576754347959319</v>
                </pt>
                <pt idx="168">
                  <v>0.08617663085994938</v>
                </pt>
                <pt idx="169">
                  <v>0.08642516783409775</v>
                </pt>
                <pt idx="170">
                  <v>0.08528323184210851</v>
                </pt>
                <pt idx="171">
                  <v>0.08578051014016783</v>
                </pt>
                <pt idx="172">
                  <v>0.08440477870482764</v>
                </pt>
                <pt idx="173">
                  <v>0.08491458111085036</v>
                </pt>
                <pt idx="174">
                  <v>0.08564746190423765</v>
                </pt>
                <pt idx="175">
                  <v>0.08516109402149395</v>
                </pt>
                <pt idx="176">
                  <v>0.08630667062012619</v>
                </pt>
                <pt idx="177">
                  <v>0.08570884887225479</v>
                </pt>
                <pt idx="178">
                  <v>0.08673661808956756</v>
                </pt>
                <pt idx="179">
                  <v>0.08604812854762561</v>
                </pt>
                <pt idx="180">
                  <v>0.08429183146667206</v>
                </pt>
                <pt idx="181">
                  <v>0.08394713278588775</v>
                </pt>
                <pt idx="182">
                  <v>0.08417013603577703</v>
                </pt>
                <pt idx="183">
                  <v>0.08298188305385998</v>
                </pt>
                <pt idx="184">
                  <v>0.08155833515683962</v>
                </pt>
                <pt idx="185">
                  <v>0.08141493245504129</v>
                </pt>
                <pt idx="186">
                  <v>0.0825653818816153</v>
                </pt>
                <pt idx="187">
                  <v>0.08226964311966788</v>
                </pt>
                <pt idx="188">
                  <v>0.08158164390109228</v>
                </pt>
                <pt idx="189">
                  <v>0.07980820037892059</v>
                </pt>
                <pt idx="190">
                  <v>0.0806414547965478</v>
                </pt>
                <pt idx="191">
                  <v>0.08030305951860725</v>
                </pt>
                <pt idx="192">
                  <v>0.08105118189935152</v>
                </pt>
                <pt idx="193">
                  <v>0.07942194147720723</v>
                </pt>
                <pt idx="194">
                  <v>0.07973559231881217</v>
                </pt>
                <pt idx="195">
                  <v>0.08166888499134368</v>
                </pt>
                <pt idx="196">
                  <v>0.08252019760745928</v>
                </pt>
                <pt idx="197">
                  <v>0.08136698235704176</v>
                </pt>
                <pt idx="198">
                  <v>0.08110637779542915</v>
                </pt>
                <pt idx="199">
                  <v>0.07984005272691143</v>
                </pt>
                <pt idx="200">
                  <v>0.08070084440443494</v>
                </pt>
                <pt idx="201">
                  <v>0.08178123548393833</v>
                </pt>
                <pt idx="202">
                  <v>0.08061471811680529</v>
                </pt>
                <pt idx="203">
                  <v>0.07954823166398821</v>
                </pt>
                <pt idx="204">
                  <v>0.07816649707672829</v>
                </pt>
                <pt idx="205">
                  <v>0.07926905066199232</v>
                </pt>
                <pt idx="206">
                  <v>0.07753226802928176</v>
                </pt>
                <pt idx="207">
                  <v>0.07562806208408517</v>
                </pt>
                <pt idx="208">
                  <v>0.07488272079578466</v>
                </pt>
                <pt idx="209">
                  <v>0.0749741809810045</v>
                </pt>
                <pt idx="210">
                  <v>0.07469108936344933</v>
                </pt>
                <pt idx="211">
                  <v>0.07476426850441076</v>
                </pt>
                <pt idx="212">
                  <v>0.0739983010245934</v>
                </pt>
                <pt idx="213">
                  <v>0.07391508245521641</v>
                </pt>
                <pt idx="214">
                  <v>0.07308070490736034</v>
                </pt>
                <pt idx="215">
                  <v>0.07325297169920075</v>
                </pt>
                <pt idx="216">
                  <v>0.07391104527511828</v>
                </pt>
                <pt idx="217">
                  <v>0.07172450068584831</v>
                </pt>
                <pt idx="218">
                  <v>0.07316187518058681</v>
                </pt>
                <pt idx="219">
                  <v>0.07201706557003475</v>
                </pt>
                <pt idx="220">
                  <v>0.07026136590316667</v>
                </pt>
                <pt idx="221">
                  <v>0.07100159606070575</v>
                </pt>
                <pt idx="222">
                  <v>0.07257594244101773</v>
                </pt>
                <pt idx="223">
                  <v>0.07327122514393671</v>
                </pt>
                <pt idx="224">
                  <v>0.07116339671841485</v>
                </pt>
                <pt idx="225">
                  <v>0.07165291828444749</v>
                </pt>
                <pt idx="226">
                  <v>0.07346173513705903</v>
                </pt>
                <pt idx="227">
                  <v>0.07290712567616442</v>
                </pt>
                <pt idx="228">
                  <v>0.07242344317905046</v>
                </pt>
                <pt idx="229">
                  <v>0.07319025286044301</v>
                </pt>
                <pt idx="230">
                  <v>0.07329497057890011</v>
                </pt>
                <pt idx="231">
                  <v>0.07417522271658224</v>
                </pt>
                <pt idx="232">
                  <v>0.07728735414063304</v>
                </pt>
                <pt idx="233">
                  <v>0.07773345113988497</v>
                </pt>
                <pt idx="234">
                  <v>0.0773392242077767</v>
                </pt>
                <pt idx="235">
                  <v>0.0772827976030793</v>
                </pt>
                <pt idx="236">
                  <v>0.07991081016503539</v>
                </pt>
                <pt idx="237">
                  <v>0.08010079491720186</v>
                </pt>
                <pt idx="238">
                  <v>0.08151463469389522</v>
                </pt>
                <pt idx="239">
                  <v>0.08304477392070606</v>
                </pt>
                <pt idx="240">
                  <v>0.08329733181709084</v>
                </pt>
              </numCache>
            </numRef>
          </val>
          <smooth val="0"/>
        </ser>
        <ser>
          <idx val="2"/>
          <order val="2"/>
          <tx>
            <strRef>
              <f>'All Charts'!$O$2</f>
              <strCache>
                <ptCount val="1"/>
                <pt idx="0">
                  <v>10+ Year Cap (ttm)</v>
                </pt>
              </strCache>
            </strRef>
          </tx>
          <spPr>
            <a:ln xmlns:a="http://schemas.openxmlformats.org/drawingml/2006/main" w="25400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Charts'!$B$6:$B$246</f>
              <strCache>
                <ptCount val="24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</strCache>
            </strRef>
          </cat>
          <val>
            <numRef>
              <f>'All Charts'!$O$6:$O$246</f>
              <numCache>
                <formatCode>0.00%</formatCode>
                <ptCount val="241"/>
                <pt idx="0">
                  <v>0.07185521041094101</v>
                </pt>
                <pt idx="1">
                  <v>0.07185521041094101</v>
                </pt>
                <pt idx="2">
                  <v>0.07345124407884386</v>
                </pt>
                <pt idx="3">
                  <v>0.07157210247196219</v>
                </pt>
                <pt idx="4">
                  <v>0.07128241205496191</v>
                </pt>
                <pt idx="5">
                  <v>0.07109589547480212</v>
                </pt>
                <pt idx="6">
                  <v>0.071038479866199</v>
                </pt>
                <pt idx="7">
                  <v>0.07069244763707107</v>
                </pt>
                <pt idx="8">
                  <v>0.07069244763707107</v>
                </pt>
                <pt idx="9">
                  <v>0.07071358333162912</v>
                </pt>
                <pt idx="10">
                  <v>0.07071358333162912</v>
                </pt>
                <pt idx="11">
                  <v>0.07127140734935963</v>
                </pt>
                <pt idx="12">
                  <v>0.07161345845360523</v>
                </pt>
                <pt idx="13">
                  <v>0.07161345845360523</v>
                </pt>
                <pt idx="14">
                  <v>0.07139394000086417</v>
                </pt>
                <pt idx="15">
                  <v>0.0725366300303992</v>
                </pt>
                <pt idx="16">
                  <v>0.06877722013200829</v>
                </pt>
                <pt idx="17">
                  <v>0.06888691982779456</v>
                </pt>
                <pt idx="18">
                  <v>0.06509833239987148</v>
                </pt>
                <pt idx="19">
                  <v>0.06536353275694348</v>
                </pt>
                <pt idx="20">
                  <v>0.06591760927024201</v>
                </pt>
                <pt idx="21">
                  <v>0.06437339104107535</v>
                </pt>
                <pt idx="22">
                  <v>0.06383204616619362</v>
                </pt>
                <pt idx="23">
                  <v>0.06093013265273457</v>
                </pt>
                <pt idx="24">
                  <v>0.05899514371387715</v>
                </pt>
                <pt idx="25">
                  <v>0.05934168282447959</v>
                </pt>
                <pt idx="26">
                  <v>0.05934168282447959</v>
                </pt>
                <pt idx="27">
                  <v>0.05934168282447959</v>
                </pt>
                <pt idx="28">
                  <v>0.05941714559054292</v>
                </pt>
                <pt idx="29">
                  <v>0.05876661011879245</v>
                </pt>
                <pt idx="30">
                  <v>0.05926650892245571</v>
                </pt>
                <pt idx="31">
                  <v>0.05866659413334097</v>
                </pt>
                <pt idx="32">
                  <v>0.05832908672847027</v>
                </pt>
                <pt idx="33">
                  <v>0.05869750778110185</v>
                </pt>
                <pt idx="34">
                  <v>0.05829083842622297</v>
                </pt>
                <pt idx="35">
                  <v>0.05864651648502321</v>
                </pt>
                <pt idx="36">
                  <v>0.05900799248816267</v>
                </pt>
                <pt idx="37">
                  <v>0.05840582829379634</v>
                </pt>
                <pt idx="38">
                  <v>0.05835055883417488</v>
                </pt>
                <pt idx="39">
                  <v>0.05836597282140122</v>
                </pt>
                <pt idx="40">
                  <v>0.05814165300330389</v>
                </pt>
                <pt idx="41">
                  <v>0.05819967585907549</v>
                </pt>
                <pt idx="42">
                  <v>0.05909940048541609</v>
                </pt>
                <pt idx="43">
                  <v>0.05978245172827953</v>
                </pt>
                <pt idx="44">
                  <v>0.05878628452382158</v>
                </pt>
                <pt idx="45">
                  <v>0.05827203682540968</v>
                </pt>
                <pt idx="46">
                  <v>0.05923034473519755</v>
                </pt>
                <pt idx="47">
                  <v>0.05923034473519755</v>
                </pt>
                <pt idx="48">
                  <v>0.06030365082788001</v>
                </pt>
                <pt idx="49">
                  <v>0.06248933087547471</v>
                </pt>
                <pt idx="50">
                  <v>0.0633189386309175</v>
                </pt>
                <pt idx="51">
                  <v>0.06296199639918611</v>
                </pt>
                <pt idx="52">
                  <v>0.0679282346635047</v>
                </pt>
                <pt idx="53">
                  <v>0.0679282346635047</v>
                </pt>
                <pt idx="54">
                  <v>0.06743866480359788</v>
                </pt>
                <pt idx="55">
                  <v>0.06706447446048375</v>
                </pt>
                <pt idx="56">
                  <v>0.06743034059643226</v>
                </pt>
                <pt idx="57">
                  <v>0.06670947829862652</v>
                </pt>
                <pt idx="58">
                  <v>0.06464983289195328</v>
                </pt>
                <pt idx="59">
                  <v>0.0650857315736028</v>
                </pt>
                <pt idx="60">
                  <v>0.06459490730959404</v>
                </pt>
                <pt idx="61">
                  <v>0.06416481546112469</v>
                </pt>
                <pt idx="62">
                  <v>0.0639754649953275</v>
                </pt>
                <pt idx="63">
                  <v>0.06447959538795102</v>
                </pt>
                <pt idx="64">
                  <v>0.06203558970161199</v>
                </pt>
                <pt idx="65">
                  <v>0.0620058347181891</v>
                </pt>
                <pt idx="66">
                  <v>0.06213873141794025</v>
                </pt>
                <pt idx="67">
                  <v>0.06213512738370146</v>
                </pt>
                <pt idx="68">
                  <v>0.06272858563864157</v>
                </pt>
                <pt idx="69">
                  <v>0.06430159629202745</v>
                </pt>
                <pt idx="70">
                  <v>0.06714419465422795</v>
                </pt>
                <pt idx="71">
                  <v>0.06600814373318215</v>
                </pt>
                <pt idx="72">
                  <v>0.06570045142548984</v>
                </pt>
                <pt idx="73">
                  <v>0.06482968111812053</v>
                </pt>
                <pt idx="74">
                  <v>0.06482968111812053</v>
                </pt>
                <pt idx="75">
                  <v>0.06482968111812053</v>
                </pt>
                <pt idx="76">
                  <v>0.06423470389539764</v>
                </pt>
                <pt idx="77">
                  <v>0.06304572363570446</v>
                </pt>
                <pt idx="78">
                  <v>0.06289623675654271</v>
                </pt>
                <pt idx="79">
                  <v>0.06265502610672423</v>
                </pt>
                <pt idx="80">
                  <v>0.06252212680116867</v>
                </pt>
                <pt idx="81">
                  <v>0.06173829525183247</v>
                </pt>
                <pt idx="82">
                  <v>0.06157312570358074</v>
                </pt>
                <pt idx="83">
                  <v>0.06239834122272797</v>
                </pt>
                <pt idx="84">
                  <v>0.06251263012816356</v>
                </pt>
                <pt idx="85">
                  <v>0.06317593944282657</v>
                </pt>
                <pt idx="86">
                  <v>0.06320831689905207</v>
                </pt>
                <pt idx="87">
                  <v>0.06332448169926075</v>
                </pt>
                <pt idx="88">
                  <v>0.06305497966584526</v>
                </pt>
                <pt idx="89">
                  <v>0.06386748765195639</v>
                </pt>
                <pt idx="90">
                  <v>0.06408481782912767</v>
                </pt>
                <pt idx="91">
                  <v>0.06442134792710638</v>
                </pt>
                <pt idx="92">
                  <v>0.06422134792710639</v>
                </pt>
                <pt idx="93">
                  <v>0.06526844095539301</v>
                </pt>
                <pt idx="94">
                  <v>0.06577868861678247</v>
                </pt>
                <pt idx="95">
                  <v>0.06542184865292169</v>
                </pt>
                <pt idx="96">
                  <v>0.06677244126558388</v>
                </pt>
                <pt idx="97">
                  <v>0.06594244103331352</v>
                </pt>
                <pt idx="98">
                  <v>0.06606215906012419</v>
                </pt>
                <pt idx="99">
                  <v>0.06610297030296251</v>
                </pt>
                <pt idx="100">
                  <v>0.06553027297758483</v>
                </pt>
                <pt idx="101">
                  <v>0.0661868423779825</v>
                </pt>
                <pt idx="102">
                  <v>0.0665502583555472</v>
                </pt>
                <pt idx="103">
                  <v>0.06649168756855925</v>
                </pt>
                <pt idx="104">
                  <v>0.0665984570955243</v>
                </pt>
                <pt idx="105">
                  <v>0.06505230196165931</v>
                </pt>
                <pt idx="106">
                  <v>0.06430232204849629</v>
                </pt>
                <pt idx="107">
                  <v>0.06402747442225803</v>
                </pt>
                <pt idx="108">
                  <v>0.06261388487047413</v>
                </pt>
                <pt idx="109">
                  <v>0.06421118322539571</v>
                </pt>
                <pt idx="110">
                  <v>0.06391245941849744</v>
                </pt>
                <pt idx="111">
                  <v>0.06464769038045221</v>
                </pt>
                <pt idx="112">
                  <v>0.06527879038441274</v>
                </pt>
                <pt idx="113">
                  <v>0.06527879038441274</v>
                </pt>
                <pt idx="114">
                  <v>0.06282344473958262</v>
                </pt>
                <pt idx="115">
                  <v>0.06250627508450984</v>
                </pt>
                <pt idx="116">
                  <v>0.06293627508450983</v>
                </pt>
                <pt idx="117">
                  <v>0.0653879417511765</v>
                </pt>
                <pt idx="118">
                  <v>0.0653864878504673</v>
                </pt>
                <pt idx="119">
                  <v>0.06626044350042481</v>
                </pt>
                <pt idx="120">
                  <v>0.06776890753514175</v>
                </pt>
                <pt idx="121">
                  <v>0.06914083995785922</v>
                </pt>
                <pt idx="122">
                  <v>0.06877363710372641</v>
                </pt>
                <pt idx="123">
                  <v>0.06818792281801213</v>
                </pt>
                <pt idx="124">
                  <v>0.06801361818104981</v>
                </pt>
                <pt idx="125">
                  <v>0.0685752670447342</v>
                </pt>
                <pt idx="126">
                  <v>0.07310272517797511</v>
                </pt>
                <pt idx="127">
                  <v>0.07357494740019734</v>
                </pt>
                <pt idx="128">
                  <v>0.074334315825222</v>
                </pt>
                <pt idx="129">
                  <v>0.07481064665739658</v>
                </pt>
                <pt idx="130">
                  <v>0.07547300409258093</v>
                </pt>
                <pt idx="131">
                  <v>0.07623368785326469</v>
                </pt>
                <pt idx="132">
                  <v>0.075749808304459</v>
                </pt>
                <pt idx="133">
                  <v>0.07363969056745595</v>
                </pt>
                <pt idx="134">
                  <v>0.07451602607358832</v>
                </pt>
                <pt idx="135">
                  <v>0.07415079617801701</v>
                </pt>
                <pt idx="136">
                  <v>0.07313601840392089</v>
                </pt>
                <pt idx="137">
                  <v>0.07301048688583064</v>
                </pt>
                <pt idx="138">
                  <v>0.06922745781034764</v>
                </pt>
                <pt idx="139">
                  <v>0.06905020359138241</v>
                </pt>
                <pt idx="140">
                  <v>0.06905020359138241</v>
                </pt>
                <pt idx="141">
                  <v>0.07078598167407804</v>
                </pt>
                <pt idx="142">
                  <v>0.07101903623470142</v>
                </pt>
                <pt idx="143">
                  <v>0.07007751576686515</v>
                </pt>
                <pt idx="144">
                  <v>0.07007274329248425</v>
                </pt>
                <pt idx="145">
                  <v>0.07085254930482084</v>
                </pt>
                <pt idx="146">
                  <v>0.07073493632179294</v>
                </pt>
                <pt idx="147">
                  <v>0.07109382228926214</v>
                </pt>
                <pt idx="148">
                  <v>0.07194911818116871</v>
                </pt>
                <pt idx="149">
                  <v>0.07267376782526519</v>
                </pt>
                <pt idx="150">
                  <v>0.07287376782526518</v>
                </pt>
                <pt idx="151">
                  <v>0.07309007025115018</v>
                </pt>
                <pt idx="152">
                  <v>0.07309007025115018</v>
                </pt>
                <pt idx="153">
                  <v>0.07302861221177762</v>
                </pt>
                <pt idx="154">
                  <v>0.07303179134641956</v>
                </pt>
                <pt idx="155">
                  <v>0.0733866026020913</v>
                </pt>
                <pt idx="156">
                  <v>0.07484971325243146</v>
                </pt>
                <pt idx="157">
                  <v>0.07555903448726235</v>
                </pt>
                <pt idx="158">
                  <v>0.07617393833341618</v>
                </pt>
                <pt idx="159">
                  <v>0.07617393833341618</v>
                </pt>
                <pt idx="160">
                  <v>0.07915701505913098</v>
                </pt>
                <pt idx="161">
                  <v>0.07894943337052977</v>
                </pt>
                <pt idx="162">
                  <v>0.07866920983574249</v>
                </pt>
                <pt idx="163">
                  <v>0.07902862974337123</v>
                </pt>
                <pt idx="164">
                  <v>0.07896379497605033</v>
                </pt>
                <pt idx="165">
                  <v>0.07930781178632394</v>
                </pt>
                <pt idx="166">
                  <v>0.0791612751697139</v>
                </pt>
                <pt idx="167">
                  <v>0.0791612751697139</v>
                </pt>
                <pt idx="168">
                  <v>0.0787443056372725</v>
                </pt>
                <pt idx="169">
                  <v>0.07907541817747663</v>
                </pt>
                <pt idx="170">
                  <v>0.07965744160350735</v>
                </pt>
                <pt idx="171">
                  <v>0.07965744160350735</v>
                </pt>
                <pt idx="172">
                  <v>0.0789396649040516</v>
                </pt>
                <pt idx="173">
                  <v>0.07979055493445944</v>
                </pt>
                <pt idx="174">
                  <v>0.07954691695518382</v>
                </pt>
                <pt idx="175">
                  <v>0.07954691695518382</v>
                </pt>
                <pt idx="176">
                  <v>0.07905611211781936</v>
                </pt>
                <pt idx="177">
                  <v>0.0781846856259399</v>
                </pt>
                <pt idx="178">
                  <v>0.07885131802352209</v>
                </pt>
                <pt idx="179">
                  <v>0.07885131802352209</v>
                </pt>
                <pt idx="180">
                  <v>0.0784027136732179</v>
                </pt>
                <pt idx="181">
                  <v>0.07735244405859641</v>
                </pt>
                <pt idx="182">
                  <v>0.07804183516710861</v>
                </pt>
                <pt idx="183">
                  <v>0.07863859529182032</v>
                </pt>
                <pt idx="184">
                  <v>0.07827105128224524</v>
                </pt>
                <pt idx="185">
                  <v>0.07730977289399456</v>
                </pt>
                <pt idx="186">
                  <v>0.08074428814407984</v>
                </pt>
                <pt idx="187">
                  <v>0.08002625212606986</v>
                </pt>
                <pt idx="188">
                  <v>0.08088714528693697</v>
                </pt>
                <pt idx="189">
                  <v>0.08088714528693697</v>
                </pt>
                <pt idx="190">
                  <v>0.0807850028347598</v>
                </pt>
                <pt idx="191">
                  <v>0.07936474208266461</v>
                </pt>
                <pt idx="192">
                  <v>0.07936474208266461</v>
                </pt>
                <pt idx="193">
                  <v>0.07661108633020555</v>
                </pt>
                <pt idx="194">
                  <v>0.07581578697478038</v>
                </pt>
                <pt idx="195">
                  <v>0.07385119947336798</v>
                </pt>
                <pt idx="196">
                  <v>0.07914168356138508</v>
                </pt>
                <pt idx="197">
                  <v>0.0773982287669015</v>
                </pt>
                <pt idx="198">
                  <v>0.07523689420099149</v>
                </pt>
                <pt idx="199">
                  <v>0.07662252307174933</v>
                </pt>
                <pt idx="200">
                  <v>0.0801191344999222</v>
                </pt>
                <pt idx="201">
                  <v>0.0801191344999222</v>
                </pt>
                <pt idx="202">
                  <v>0.07984089468187308</v>
                </pt>
                <pt idx="203">
                  <v>0.08084064102762638</v>
                </pt>
                <pt idx="204">
                  <v>0.08148183520965559</v>
                </pt>
                <pt idx="205">
                  <v>0.08078650084979452</v>
                </pt>
                <pt idx="206">
                  <v>0.08078650084979452</v>
                </pt>
                <pt idx="207">
                  <v>0.08078650084979452</v>
                </pt>
                <pt idx="208">
                  <v>0.07832230819482687</v>
                </pt>
                <pt idx="209">
                  <v>0.07837187388966514</v>
                </pt>
                <pt idx="210">
                  <v>0.07984728144741812</v>
                </pt>
                <pt idx="211">
                  <v>0.07981706477223562</v>
                </pt>
                <pt idx="212">
                  <v>0.07563699486347175</v>
                </pt>
                <pt idx="213">
                  <v>0.07563699486347175</v>
                </pt>
                <pt idx="214">
                  <v>0.07529704657227987</v>
                </pt>
                <pt idx="215">
                  <v>0.07588407017554688</v>
                </pt>
                <pt idx="216">
                  <v>0.07853171567225194</v>
                </pt>
                <pt idx="217">
                  <v>0.08343253753437305</v>
                </pt>
                <pt idx="218">
                  <v>0.08343253753437305</v>
                </pt>
                <pt idx="219">
                  <v>0.08169171555094468</v>
                </pt>
                <pt idx="220">
                  <v>0.07669065386648442</v>
                </pt>
                <pt idx="221">
                  <v>0.07855206638907239</v>
                </pt>
                <pt idx="222">
                  <v>0.07264918355089564</v>
                </pt>
                <pt idx="223">
                  <v>0.07217497338239134</v>
                </pt>
                <pt idx="224">
                  <v>0.06916672880341594</v>
                </pt>
                <pt idx="225">
                  <v>0.07119877433558806</v>
                </pt>
                <pt idx="226">
                  <v>0.07119877433558806</v>
                </pt>
                <pt idx="227">
                  <v>0.07013575985928946</v>
                </pt>
                <pt idx="228">
                  <v>0.0674391681099278</v>
                </pt>
                <pt idx="229">
                  <v>0.06938622830396642</v>
                </pt>
                <pt idx="230">
                  <v>0.06938622830396642</v>
                </pt>
                <pt idx="231">
                  <v>0.06922841303485794</v>
                </pt>
                <pt idx="232">
                  <v>0.0710010797015246</v>
                </pt>
                <pt idx="233">
                  <v>0.0710010797015246</v>
                </pt>
                <pt idx="234">
                  <v>0.07134219109539722</v>
                </pt>
                <pt idx="235">
                  <v>0.0715682537219914</v>
                </pt>
                <pt idx="236">
                  <v>0.07637854748000637</v>
                </pt>
                <pt idx="237">
                  <v>0.07317775193973183</v>
                </pt>
                <pt idx="238">
                  <v>0.07317775193973183</v>
                </pt>
                <pt idx="239">
                  <v>0.07450974598159979</v>
                </pt>
                <pt idx="240">
                  <v>0.07691884926968351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4720559"/>
        <axId val="994720887"/>
      </lineChart>
      <lineChart>
        <grouping val="standard"/>
        <varyColors val="0"/>
        <ser>
          <idx val="3"/>
          <order val="3"/>
          <tx>
            <strRef>
              <f>'All Charts'!$AI$2</f>
              <strCache>
                <ptCount val="1"/>
                <pt idx="0">
                  <v>Low Assumed Loan Constant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dash"/>
            <size val="2"/>
            <spPr>
              <a:solidFill xmlns:a="http://schemas.openxmlformats.org/drawingml/2006/main">
                <a:srgbClr val="666666"/>
              </a:solidFill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'All Charts'!$B$18:$B$246</f>
              <strCache>
                <ptCount val="229"/>
                <pt idx="0">
                  <v>Q1-2024</v>
                </pt>
                <pt idx="3">
                  <v>Q4-2023</v>
                </pt>
                <pt idx="6">
                  <v>Q3-2023</v>
                </pt>
                <pt idx="9">
                  <v>Q2-2023</v>
                </pt>
                <pt idx="12">
                  <v>Q1-2023</v>
                </pt>
                <pt idx="15">
                  <v>Q4-2022</v>
                </pt>
                <pt idx="18">
                  <v>Q3-2022</v>
                </pt>
                <pt idx="21">
                  <v>Q2-2022</v>
                </pt>
                <pt idx="24">
                  <v>Q1-2022</v>
                </pt>
                <pt idx="27">
                  <v>Q4-2021</v>
                </pt>
                <pt idx="30">
                  <v>Q3-2021</v>
                </pt>
                <pt idx="33">
                  <v>Q2-2021</v>
                </pt>
                <pt idx="36">
                  <v>Q1-2021</v>
                </pt>
                <pt idx="39">
                  <v>Q4-2020</v>
                </pt>
                <pt idx="42">
                  <v>Q3-2020</v>
                </pt>
                <pt idx="45">
                  <v>Q2-2020</v>
                </pt>
                <pt idx="48">
                  <v>Q1-2020</v>
                </pt>
                <pt idx="51">
                  <v>4Q-2019</v>
                </pt>
                <pt idx="54">
                  <v>3Q-2019</v>
                </pt>
                <pt idx="57">
                  <v>2Q-2019</v>
                </pt>
                <pt idx="60">
                  <v>1Q-2019</v>
                </pt>
                <pt idx="63">
                  <v>4Q-2018</v>
                </pt>
                <pt idx="66">
                  <v>3Q-2018</v>
                </pt>
                <pt idx="69">
                  <v>2Q-2018</v>
                </pt>
                <pt idx="72">
                  <v>1Q-2018</v>
                </pt>
                <pt idx="75">
                  <v>4Q-2017</v>
                </pt>
                <pt idx="78">
                  <v>3Q-2017</v>
                </pt>
                <pt idx="81">
                  <v>2Q-2017</v>
                </pt>
                <pt idx="84">
                  <v>1Q-2017</v>
                </pt>
                <pt idx="87">
                  <v>4Q-2016</v>
                </pt>
                <pt idx="90">
                  <v>3Q-2016</v>
                </pt>
                <pt idx="93">
                  <v>2Q-2016</v>
                </pt>
                <pt idx="96">
                  <v>1Q-2016</v>
                </pt>
                <pt idx="99">
                  <v>4Q-2015</v>
                </pt>
                <pt idx="102">
                  <v>3Q-2015</v>
                </pt>
                <pt idx="105">
                  <v>2Q-2015</v>
                </pt>
                <pt idx="108">
                  <v>1Q-2015</v>
                </pt>
                <pt idx="111">
                  <v>4Q-2014</v>
                </pt>
                <pt idx="114">
                  <v>3Q-2014</v>
                </pt>
                <pt idx="117">
                  <v>2Q-2014</v>
                </pt>
                <pt idx="120">
                  <v>1Q-2014</v>
                </pt>
                <pt idx="123">
                  <v>4Q-2013</v>
                </pt>
                <pt idx="126">
                  <v>3Q-2013</v>
                </pt>
                <pt idx="129">
                  <v>2Q-2013</v>
                </pt>
                <pt idx="132">
                  <v>1Q-2013</v>
                </pt>
                <pt idx="135">
                  <v>4Q-2012</v>
                </pt>
                <pt idx="138">
                  <v>3Q-2012</v>
                </pt>
                <pt idx="141">
                  <v>2Q-2012</v>
                </pt>
                <pt idx="144">
                  <v>1Q-2012</v>
                </pt>
                <pt idx="147">
                  <v>4Q-2011</v>
                </pt>
                <pt idx="150">
                  <v>3Q-2011</v>
                </pt>
                <pt idx="153">
                  <v>2Q-2011</v>
                </pt>
                <pt idx="156">
                  <v>1Q-2011</v>
                </pt>
                <pt idx="159">
                  <v>4Q-2010</v>
                </pt>
                <pt idx="162">
                  <v>3Q-2010</v>
                </pt>
                <pt idx="165">
                  <v>2Q-2010</v>
                </pt>
                <pt idx="168">
                  <v>1Q-2010</v>
                </pt>
                <pt idx="171">
                  <v>4Q-2009</v>
                </pt>
                <pt idx="174">
                  <v>3Q-2009</v>
                </pt>
                <pt idx="177">
                  <v>2Q-2009</v>
                </pt>
                <pt idx="180">
                  <v>1Q-2009</v>
                </pt>
                <pt idx="183">
                  <v>4Q-2008</v>
                </pt>
                <pt idx="186">
                  <v>3Q-2008</v>
                </pt>
                <pt idx="189">
                  <v>2Q-2008</v>
                </pt>
                <pt idx="192">
                  <v>1Q-2008</v>
                </pt>
                <pt idx="195">
                  <v>4Q-2007</v>
                </pt>
                <pt idx="198">
                  <v>3Q-2007</v>
                </pt>
                <pt idx="201">
                  <v>2Q-2007</v>
                </pt>
                <pt idx="204">
                  <v>1Q-2007</v>
                </pt>
                <pt idx="207">
                  <v>4Q-2006</v>
                </pt>
                <pt idx="210">
                  <v>3Q-2006</v>
                </pt>
                <pt idx="213">
                  <v>2Q-2006</v>
                </pt>
                <pt idx="216">
                  <v>1Q-2006</v>
                </pt>
                <pt idx="219">
                  <v>4Q-2005</v>
                </pt>
                <pt idx="222">
                  <v>3Q-2005</v>
                </pt>
                <pt idx="225">
                  <v>2Q-2005</v>
                </pt>
                <pt idx="228">
                  <v>1Q-2005</v>
                </pt>
              </strCache>
            </strRef>
          </cat>
          <val>
            <numRef>
              <f>'All Charts'!$AI$6:$AI$246</f>
              <numCache>
                <formatCode>0.00%</formatCode>
                <ptCount val="241"/>
                <pt idx="0">
                  <v>0.07230133771679134</v>
                </pt>
                <pt idx="1">
                  <v>0.07217767703838002</v>
                </pt>
                <pt idx="2">
                  <v>0.07481730318226916</v>
                </pt>
                <pt idx="3">
                  <v>0.07484869157118644</v>
                </pt>
                <pt idx="4">
                  <v>0.07177642025955164</v>
                </pt>
                <pt idx="5">
                  <v>0.07262638653488129</v>
                </pt>
                <pt idx="6">
                  <v>0.06890461226486358</v>
                </pt>
                <pt idx="7">
                  <v>0.06973172337456969</v>
                </pt>
                <pt idx="8">
                  <v>0.07124550259463037</v>
                </pt>
                <pt idx="9">
                  <v>0.07305300457333207</v>
                </pt>
                <pt idx="10">
                  <v>0.07438628028788387</v>
                </pt>
                <pt idx="11">
                  <v>0.07573771125029882</v>
                </pt>
                <pt idx="12">
                  <v>0.07199235972557827</v>
                </pt>
                <pt idx="13">
                  <v>0.07233226733997557</v>
                </pt>
                <pt idx="14">
                  <v>0.07025760450458424</v>
                </pt>
                <pt idx="15">
                  <v>0.06934417105193537</v>
                </pt>
                <pt idx="16">
                  <v>0.07210043613687034</v>
                </pt>
                <pt idx="17">
                  <v>0.07655981483105676</v>
                </pt>
                <pt idx="18">
                  <v>0.07482514975594143</v>
                </pt>
                <pt idx="19">
                  <v>0.07109961356449433</v>
                </pt>
                <pt idx="20">
                  <v>0.07007448835767591</v>
                </pt>
                <pt idx="21">
                  <v>0.06903331720543499</v>
                </pt>
                <pt idx="22">
                  <v>0.06760858811769092</v>
                </pt>
                <pt idx="23">
                  <v>0.06633878916584782</v>
                </pt>
                <pt idx="24">
                  <v>0.06663655828770434</v>
                </pt>
                <pt idx="25">
                  <v>0.06976977107755179</v>
                </pt>
                <pt idx="26">
                  <v>0.06686029309341134</v>
                </pt>
                <pt idx="27">
                  <v>0.06942008489324292</v>
                </pt>
                <pt idx="28">
                  <v>0.06813468016164034</v>
                </pt>
                <pt idx="29">
                  <v>0.07079291210151427</v>
                </pt>
                <pt idx="30">
                  <v>0.06891974836292519</v>
                </pt>
                <pt idx="31">
                  <v>0.06392812140698607</v>
                </pt>
                <pt idx="32">
                  <v>0.06038939028549816</v>
                </pt>
                <pt idx="33">
                  <v>0.06275690644519018</v>
                </pt>
                <pt idx="34">
                  <v>0.06183327153837095</v>
                </pt>
                <pt idx="35">
                  <v>0.06214280730463216</v>
                </pt>
                <pt idx="36">
                  <v>0.05817191253020799</v>
                </pt>
                <pt idx="37">
                  <v>0.05482075715847043</v>
                </pt>
                <pt idx="38">
                  <v>0.05443613946596525</v>
                </pt>
                <pt idx="39">
                  <v>0.05263396254854708</v>
                </pt>
                <pt idx="40">
                  <v>0.05217866716477895</v>
                </pt>
                <pt idx="41">
                  <v>0.05293205336680749</v>
                </pt>
                <pt idx="42">
                  <v>0.05274646727378198</v>
                </pt>
                <pt idx="43">
                  <v>0.05126804249209592</v>
                </pt>
                <pt idx="44">
                  <v>0.05084523725578294</v>
                </pt>
                <pt idx="45">
                  <v>0.05217866716477895</v>
                </pt>
                <pt idx="46">
                  <v>0.05309140825816985</v>
                </pt>
                <pt idx="47">
                  <v>0.05342422928203389</v>
                </pt>
                <pt idx="48">
                  <v>0.05419396625486732</v>
                </pt>
                <pt idx="49">
                  <v>0.05229064128067185</v>
                </pt>
                <pt idx="50">
                  <v>0.04990262837859236</v>
                </pt>
                <pt idx="51">
                  <v>0.04877944104680677</v>
                </pt>
                <pt idx="52">
                  <v>0.04831780636798874</v>
                </pt>
                <pt idx="53">
                  <v>0.04841877337965067</v>
                </pt>
                <pt idx="54">
                  <v>0.04727113459184226</v>
                </pt>
                <pt idx="55">
                  <v>0.04737084610748254</v>
                </pt>
                <pt idx="56">
                  <v>0.04639765939677066</v>
                </pt>
                <pt idx="57">
                  <v>0.04712179383966121</v>
                </pt>
                <pt idx="58">
                  <v>0.04709071542024831</v>
                </pt>
                <pt idx="59">
                  <v>0.04692929810767825</v>
                </pt>
                <pt idx="60">
                  <v>0.04740203071505751</v>
                </pt>
                <pt idx="61">
                  <v>0.05012126247005148</v>
                </pt>
                <pt idx="62">
                  <v>0.05268688969709374</v>
                </pt>
                <pt idx="63">
                  <v>0.05536299542428647</v>
                </pt>
                <pt idx="64">
                  <v>0.05439573725189052</v>
                </pt>
                <pt idx="65">
                  <v>0.05382509397116854</v>
                </pt>
                <pt idx="66">
                  <v>0.05371803921681138</v>
                </pt>
                <pt idx="67">
                  <v>0.0525942861559618</v>
                </pt>
                <pt idx="68">
                  <v>0.05605843342335887</v>
                </pt>
                <pt idx="69">
                  <v>0.05591488211934857</v>
                </pt>
                <pt idx="70">
                  <v>0.05688930999962678</v>
                </pt>
                <pt idx="71">
                  <v>0.05944800678225959</v>
                </pt>
                <pt idx="72">
                  <v>0.05878015707069126</v>
                </pt>
                <pt idx="73">
                  <v>0.06088069376046025</v>
                </pt>
                <pt idx="74">
                  <v>0.06033965886152987</v>
                </pt>
                <pt idx="75">
                  <v>0.06070245613802637</v>
                </pt>
                <pt idx="76">
                  <v>0.06305417104875422</v>
                </pt>
                <pt idx="77">
                  <v>0.06411824102959181</v>
                </pt>
                <pt idx="78">
                  <v>0.06336666850483519</v>
                </pt>
                <pt idx="79">
                  <v>0.06189799528041257</v>
                </pt>
                <pt idx="80">
                  <v>0.06269898325752206</v>
                </pt>
                <pt idx="81">
                  <v>0.06186922506312106</v>
                </pt>
                <pt idx="82">
                  <v>0.06167519819080518</v>
                </pt>
                <pt idx="83">
                  <v>0.06249645738456806</v>
                </pt>
                <pt idx="84">
                  <v>0.06109492168750122</v>
                </pt>
                <pt idx="85">
                  <v>0.06200594212052093</v>
                </pt>
                <pt idx="86">
                  <v>0.06094492290997709</v>
                </pt>
                <pt idx="87">
                  <v>0.05871708564045044</v>
                </pt>
                <pt idx="88">
                  <v>0.05880118853455801</v>
                </pt>
                <pt idx="89">
                  <v>0.05851409000537644</v>
                </pt>
                <pt idx="90">
                  <v>0.05816494000102596</v>
                </pt>
                <pt idx="91">
                  <v>0.05674465151130571</v>
                </pt>
                <pt idx="92">
                  <v>0.05792812882344139</v>
                </pt>
                <pt idx="93">
                  <v>0.05799772774741194</v>
                </pt>
                <pt idx="94">
                  <v>0.05726216630601539</v>
                </pt>
                <pt idx="95">
                  <v>0.05785857279712987</v>
                </pt>
                <pt idx="96">
                  <v>0.05865404867019166</v>
                </pt>
                <pt idx="97">
                  <v>0.05838827301058661</v>
                </pt>
                <pt idx="98">
                  <v>0.05903981227655131</v>
                </pt>
                <pt idx="99">
                  <v>0.05900468978184206</v>
                </pt>
                <pt idx="100">
                  <v>0.05845815427622268</v>
                </pt>
                <pt idx="101">
                  <v>0.05478696115560388</v>
                </pt>
                <pt idx="102">
                  <v>0.05327099217039999</v>
                </pt>
                <pt idx="103">
                  <v>0.05300505884153003</v>
                </pt>
                <pt idx="104">
                  <v>0.05227746105705219</v>
                </pt>
                <pt idx="105">
                  <v>0.05247535459403291</v>
                </pt>
                <pt idx="106">
                  <v>0.05478696115560388</v>
                </pt>
                <pt idx="107">
                  <v>0.05468563956565992</v>
                </pt>
                <pt idx="108">
                  <v>0.05446308315937964</v>
                </pt>
                <pt idx="109">
                  <v>0.05415366011298142</v>
                </pt>
                <pt idx="110">
                  <v>0.0554445745363551</v>
                </pt>
                <pt idx="111">
                  <v>0.05776821414602946</v>
                </pt>
                <pt idx="112">
                  <v>0.05741443210169667</v>
                </pt>
                <pt idx="113">
                  <v>0.05695136504532025</v>
                </pt>
                <pt idx="114">
                  <v>0.05632554004606681</v>
                </pt>
                <pt idx="115">
                  <v>0.05728983545585513</v>
                </pt>
                <pt idx="116">
                  <v>0.05732443160882379</v>
                </pt>
                <pt idx="117">
                  <v>0.05822770816490056</v>
                </pt>
                <pt idx="118">
                  <v>0.05656581586741539</v>
                </pt>
                <pt idx="119">
                  <v>0.05622957921433008</v>
                </pt>
                <pt idx="120">
                  <v>0.0554649792136739</v>
                </pt>
                <pt idx="121">
                  <v>0.05592854535730959</v>
                </pt>
                <pt idx="122">
                  <v>0.05371803921681138</v>
                </pt>
                <pt idx="123">
                  <v>0.05708248537631485</v>
                </pt>
                <pt idx="124">
                  <v>0.0572483343226149</v>
                </pt>
                <pt idx="125">
                  <v>0.05822770816490056</v>
                </pt>
                <pt idx="126">
                  <v>0.0594409568976424</v>
                </pt>
                <pt idx="127">
                  <v>0.05828353116821874</v>
                </pt>
                <pt idx="128">
                  <v>0.05977982695203705</v>
                </pt>
                <pt idx="129">
                  <v>0.05949736779207938</v>
                </pt>
                <pt idx="130">
                  <v>0.05908197326092895</v>
                </pt>
                <pt idx="131">
                  <v>0.06043203351535478</v>
                </pt>
                <pt idx="132">
                  <v>0.06096634010216077</v>
                </pt>
                <pt idx="133">
                  <v>0.0605031389707644</v>
                </pt>
                <pt idx="134">
                  <v>0.0605742861548775</v>
                </pt>
                <pt idx="135">
                  <v>0.06314856809192412</v>
                </pt>
                <pt idx="136">
                  <v>0.06109492168750122</v>
                </pt>
                <pt idx="137">
                  <v>0.05968088959039856</v>
                </pt>
                <pt idx="138">
                  <v>0.06019768198742866</v>
                </pt>
                <pt idx="139">
                  <v>0.06115211218402347</v>
                </pt>
                <pt idx="140">
                  <v>0.06004170087105796</v>
                </pt>
                <pt idx="141">
                  <v>0.05922965680293039</v>
                </pt>
                <pt idx="142">
                  <v>0.05704106206941916</v>
                </pt>
                <pt idx="143">
                  <v>0.05371803921681138</v>
                </pt>
                <pt idx="144">
                  <v>0.05490867853546424</v>
                </pt>
                <pt idx="145">
                  <v>0.05515254292254466</v>
                </pt>
                <pt idx="146">
                  <v>0.05581246367670335</v>
                </pt>
                <pt idx="147">
                  <v>0.05426117877126714</v>
                </pt>
                <pt idx="148">
                  <v>0.0532576784255583</v>
                </pt>
                <pt idx="149">
                  <v>0.05379162706946598</v>
                </pt>
                <pt idx="150">
                  <v>0.05346424320639799</v>
                </pt>
                <pt idx="151">
                  <v>0.05296523091906397</v>
                </pt>
                <pt idx="152">
                  <v>0.05250177117110877</v>
                </pt>
                <pt idx="153">
                  <v>0.05361109894437314</v>
                </pt>
                <pt idx="154">
                  <v>0.05309140825816985</v>
                </pt>
                <pt idx="155">
                  <v>0.05533581647186309</v>
                </pt>
                <pt idx="156">
                  <v>0.05740058112641762</v>
                </pt>
                <pt idx="157">
                  <v>0.0557578808238607</v>
                </pt>
                <pt idx="158">
                  <v>0.05455069922312328</v>
                </pt>
                <pt idx="159">
                  <v>0.05503731341375447</v>
                </pt>
                <pt idx="160">
                  <v>0.05638041318567578</v>
                </pt>
                <pt idx="161">
                  <v>0.05711701669922635</v>
                </pt>
                <pt idx="162">
                  <v>0.05539697901981852</v>
                </pt>
                <pt idx="163">
                  <v>0.05741443210169667</v>
                </pt>
                <pt idx="164">
                  <v>0.06155318711835938</v>
                </pt>
                <pt idx="165">
                  <v>0.06411092372752095</v>
                </pt>
                <pt idx="166">
                  <v>0.06332301930851547</v>
                </pt>
                <pt idx="167">
                  <v>0.06512448151951654</v>
                </pt>
                <pt idx="168">
                  <v>0.06629417754017755</v>
                </pt>
                <pt idx="169">
                  <v>0.06599712592307198</v>
                </pt>
                <pt idx="170">
                  <v>0.06573031493797421</v>
                </pt>
                <pt idx="171">
                  <v>0.06519084581695182</v>
                </pt>
                <pt idx="172">
                  <v>0.06149581137616635</v>
                </pt>
                <pt idx="173">
                  <v>0.06017639989477977</v>
                </pt>
                <pt idx="174">
                  <v>0.05950442105273963</v>
                </pt>
                <pt idx="175">
                  <v>0.05922262001986209</v>
                </pt>
                <pt idx="176">
                  <v>0.06228703569216577</v>
                </pt>
                <pt idx="177">
                  <v>0.06260491365214449</v>
                </pt>
                <pt idx="178">
                  <v>0.06516134661899219</v>
                </pt>
                <pt idx="179">
                  <v>0.06785636940552781</v>
                </pt>
                <pt idx="180">
                  <v>0.0691393913093669</v>
                </pt>
                <pt idx="181">
                  <v>0.06734624648963292</v>
                </pt>
                <pt idx="182">
                  <v>0.06745112662889349</v>
                </pt>
                <pt idx="183">
                  <v>0.06921520370169834</v>
                </pt>
                <pt idx="184">
                  <v>0.06442592885050383</v>
                </pt>
                <pt idx="185">
                  <v>0.06583401437335934</v>
                </pt>
                <pt idx="186">
                  <v>0.06520559778795335</v>
                </pt>
                <pt idx="187">
                  <v>0.06590071890019022</v>
                </pt>
                <pt idx="188">
                  <v>0.06664401048782854</v>
                </pt>
                <pt idx="189">
                  <v>0.06680805708840271</v>
                </pt>
                <pt idx="190">
                  <v>0.06637597624155654</v>
                </pt>
                <pt idx="191">
                  <v>0.06386237394213071</v>
                </pt>
                <pt idx="192">
                  <v>0.06069533204250444</v>
                </pt>
                <pt idx="193">
                  <v>0.06325757279661853</v>
                </pt>
                <pt idx="194">
                  <v>0.06183327153837095</v>
                </pt>
                <pt idx="195">
                  <v>0.05759465167119793</v>
                </pt>
                <pt idx="196">
                  <v>0.06264832183959081</v>
                </pt>
                <pt idx="197">
                  <v>0.07018128010873817</v>
                </pt>
                <pt idx="198">
                  <v>0.06909392193939791</v>
                </pt>
                <pt idx="199">
                  <v>0.06898787948465979</v>
                </pt>
                <pt idx="200">
                  <v>0.07024997039475482</v>
                </pt>
                <pt idx="201">
                  <v>0.07024997039475482</v>
                </pt>
                <pt idx="202">
                  <v>0.07076227434014026</v>
                </pt>
                <pt idx="203">
                  <v>0.06857955190788007</v>
                </pt>
                <pt idx="204">
                  <v>0.06613072177468542</v>
                </pt>
                <pt idx="205">
                  <v>0.066890150761588</v>
                </pt>
                <pt idx="206">
                  <v>0.06767612344045984</v>
                </pt>
                <pt idx="207">
                  <v>0.07067805091303164</v>
                </pt>
                <pt idx="208">
                  <v>0.07019654201789739</v>
                </pt>
                <pt idx="209">
                  <v>0.07408128919575133</v>
                </pt>
                <pt idx="210">
                  <v>0.07489578462231719</v>
                </pt>
                <pt idx="211">
                  <v>0.07456639735515988</v>
                </pt>
                <pt idx="212">
                  <v>0.07640934641230229</v>
                </pt>
                <pt idx="213">
                  <v>0.07849498431432585</v>
                </pt>
                <pt idx="214">
                  <v>0.07735377534913586</v>
                </pt>
                <pt idx="215">
                  <v>0.07529658160723479</v>
                </pt>
                <pt idx="216">
                  <v>0.07543825498922022</v>
                </pt>
                <pt idx="217">
                  <v>0.07466828465451823</v>
                </pt>
                <pt idx="218">
                  <v>0.07684525003232091</v>
                </pt>
                <pt idx="219">
                  <v>0.07592709810266107</v>
                </pt>
                <pt idx="220">
                  <v>0.07394851208272217</v>
                </pt>
                <pt idx="221">
                  <v>0.07510785859178701</v>
                </pt>
                <pt idx="222">
                  <v>0.07532018604041005</v>
                </pt>
                <pt idx="223">
                  <v>0.07610087668617821</v>
                </pt>
                <pt idx="224">
                  <v>0.07813512628203846</v>
                </pt>
                <pt idx="225">
                  <v>0.07933725811802411</v>
                </pt>
                <pt idx="226">
                  <v>0.07913638751562664</v>
                </pt>
                <pt idx="227">
                  <v>0.07878335432096606</v>
                </pt>
                <pt idx="228">
                  <v>0.07705961519195786</v>
                </pt>
                <pt idx="229">
                  <v>0.07464476695058214</v>
                </pt>
                <pt idx="230">
                  <v>0.07448806279014414</v>
                </pt>
                <pt idx="231">
                  <v>0.07345734741133089</v>
                </pt>
                <pt idx="232">
                  <v>0.07427673473554525</v>
                </pt>
                <pt idx="233">
                  <v>0.07473885665229403</v>
                </pt>
                <pt idx="234">
                  <v>0.07293654666562956</v>
                </pt>
                <pt idx="235">
                  <v>0.07056327275098619</v>
                </pt>
                <pt idx="236">
                  <v>0.07261089361281695</v>
                </pt>
                <pt idx="237">
                  <v>0.06999063168615875</v>
                </pt>
                <pt idx="238">
                  <v>0.07045622148440514</v>
                </pt>
                <pt idx="239">
                  <v>0.07195377822916943</v>
                </pt>
                <pt idx="240">
                  <v>0.074245448662786</v>
                </pt>
              </numCache>
            </numRef>
          </val>
          <smooth val="0"/>
        </ser>
        <ser>
          <idx val="4"/>
          <order val="4"/>
          <tx>
            <strRef>
              <f>'All Charts'!$AJ$2</f>
              <strCache>
                <ptCount val="1"/>
                <pt idx="0">
                  <v>High Assumed Loan Constant</v>
                </pt>
              </strCache>
            </strRef>
          </tx>
          <spPr>
            <a:ln xmlns:a="http://schemas.openxmlformats.org/drawingml/2006/main" w="31750" cap="rnd">
              <a:noFill/>
              <a:prstDash val="solid"/>
              <a:round/>
            </a:ln>
          </spPr>
          <marker>
            <symbol val="dash"/>
            <size val="2"/>
            <spPr>
              <a:solidFill xmlns:a="http://schemas.openxmlformats.org/drawingml/2006/main">
                <a:srgbClr val="666666"/>
              </a:solidFill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'All Charts'!$B$18:$B$246</f>
              <strCache>
                <ptCount val="229"/>
                <pt idx="0">
                  <v>Q1-2024</v>
                </pt>
                <pt idx="3">
                  <v>Q4-2023</v>
                </pt>
                <pt idx="6">
                  <v>Q3-2023</v>
                </pt>
                <pt idx="9">
                  <v>Q2-2023</v>
                </pt>
                <pt idx="12">
                  <v>Q1-2023</v>
                </pt>
                <pt idx="15">
                  <v>Q4-2022</v>
                </pt>
                <pt idx="18">
                  <v>Q3-2022</v>
                </pt>
                <pt idx="21">
                  <v>Q2-2022</v>
                </pt>
                <pt idx="24">
                  <v>Q1-2022</v>
                </pt>
                <pt idx="27">
                  <v>Q4-2021</v>
                </pt>
                <pt idx="30">
                  <v>Q3-2021</v>
                </pt>
                <pt idx="33">
                  <v>Q2-2021</v>
                </pt>
                <pt idx="36">
                  <v>Q1-2021</v>
                </pt>
                <pt idx="39">
                  <v>Q4-2020</v>
                </pt>
                <pt idx="42">
                  <v>Q3-2020</v>
                </pt>
                <pt idx="45">
                  <v>Q2-2020</v>
                </pt>
                <pt idx="48">
                  <v>Q1-2020</v>
                </pt>
                <pt idx="51">
                  <v>4Q-2019</v>
                </pt>
                <pt idx="54">
                  <v>3Q-2019</v>
                </pt>
                <pt idx="57">
                  <v>2Q-2019</v>
                </pt>
                <pt idx="60">
                  <v>1Q-2019</v>
                </pt>
                <pt idx="63">
                  <v>4Q-2018</v>
                </pt>
                <pt idx="66">
                  <v>3Q-2018</v>
                </pt>
                <pt idx="69">
                  <v>2Q-2018</v>
                </pt>
                <pt idx="72">
                  <v>1Q-2018</v>
                </pt>
                <pt idx="75">
                  <v>4Q-2017</v>
                </pt>
                <pt idx="78">
                  <v>3Q-2017</v>
                </pt>
                <pt idx="81">
                  <v>2Q-2017</v>
                </pt>
                <pt idx="84">
                  <v>1Q-2017</v>
                </pt>
                <pt idx="87">
                  <v>4Q-2016</v>
                </pt>
                <pt idx="90">
                  <v>3Q-2016</v>
                </pt>
                <pt idx="93">
                  <v>2Q-2016</v>
                </pt>
                <pt idx="96">
                  <v>1Q-2016</v>
                </pt>
                <pt idx="99">
                  <v>4Q-2015</v>
                </pt>
                <pt idx="102">
                  <v>3Q-2015</v>
                </pt>
                <pt idx="105">
                  <v>2Q-2015</v>
                </pt>
                <pt idx="108">
                  <v>1Q-2015</v>
                </pt>
                <pt idx="111">
                  <v>4Q-2014</v>
                </pt>
                <pt idx="114">
                  <v>3Q-2014</v>
                </pt>
                <pt idx="117">
                  <v>2Q-2014</v>
                </pt>
                <pt idx="120">
                  <v>1Q-2014</v>
                </pt>
                <pt idx="123">
                  <v>4Q-2013</v>
                </pt>
                <pt idx="126">
                  <v>3Q-2013</v>
                </pt>
                <pt idx="129">
                  <v>2Q-2013</v>
                </pt>
                <pt idx="132">
                  <v>1Q-2013</v>
                </pt>
                <pt idx="135">
                  <v>4Q-2012</v>
                </pt>
                <pt idx="138">
                  <v>3Q-2012</v>
                </pt>
                <pt idx="141">
                  <v>2Q-2012</v>
                </pt>
                <pt idx="144">
                  <v>1Q-2012</v>
                </pt>
                <pt idx="147">
                  <v>4Q-2011</v>
                </pt>
                <pt idx="150">
                  <v>3Q-2011</v>
                </pt>
                <pt idx="153">
                  <v>2Q-2011</v>
                </pt>
                <pt idx="156">
                  <v>1Q-2011</v>
                </pt>
                <pt idx="159">
                  <v>4Q-2010</v>
                </pt>
                <pt idx="162">
                  <v>3Q-2010</v>
                </pt>
                <pt idx="165">
                  <v>2Q-2010</v>
                </pt>
                <pt idx="168">
                  <v>1Q-2010</v>
                </pt>
                <pt idx="171">
                  <v>4Q-2009</v>
                </pt>
                <pt idx="174">
                  <v>3Q-2009</v>
                </pt>
                <pt idx="177">
                  <v>2Q-2009</v>
                </pt>
                <pt idx="180">
                  <v>1Q-2009</v>
                </pt>
                <pt idx="183">
                  <v>4Q-2008</v>
                </pt>
                <pt idx="186">
                  <v>3Q-2008</v>
                </pt>
                <pt idx="189">
                  <v>2Q-2008</v>
                </pt>
                <pt idx="192">
                  <v>1Q-2008</v>
                </pt>
                <pt idx="195">
                  <v>4Q-2007</v>
                </pt>
                <pt idx="198">
                  <v>3Q-2007</v>
                </pt>
                <pt idx="201">
                  <v>2Q-2007</v>
                </pt>
                <pt idx="204">
                  <v>1Q-2007</v>
                </pt>
                <pt idx="207">
                  <v>4Q-2006</v>
                </pt>
                <pt idx="210">
                  <v>3Q-2006</v>
                </pt>
                <pt idx="213">
                  <v>2Q-2006</v>
                </pt>
                <pt idx="216">
                  <v>1Q-2006</v>
                </pt>
                <pt idx="219">
                  <v>4Q-2005</v>
                </pt>
                <pt idx="222">
                  <v>3Q-2005</v>
                </pt>
                <pt idx="225">
                  <v>2Q-2005</v>
                </pt>
                <pt idx="228">
                  <v>1Q-2005</v>
                </pt>
              </strCache>
            </strRef>
          </cat>
          <val>
            <numRef>
              <f>'All Charts'!$AJ$6:$AJ$246</f>
              <numCache>
                <formatCode>0.00%</formatCode>
                <ptCount val="241"/>
                <pt idx="0">
                  <v>0.07542250796030198</v>
                </pt>
                <pt idx="1">
                  <v>0.07529658160723479</v>
                </pt>
                <pt idx="2">
                  <v>0.07798338865042091</v>
                </pt>
                <pt idx="3">
                  <v>0.07801532340407451</v>
                </pt>
                <pt idx="4">
                  <v>0.07488793490843138</v>
                </pt>
                <pt idx="5">
                  <v>0.07575348591195386</v>
                </pt>
                <pt idx="6">
                  <v>0.07196149380287233</v>
                </pt>
                <pt idx="7">
                  <v>0.07280465845619372</v>
                </pt>
                <pt idx="8">
                  <v>0.07434714896969549</v>
                </pt>
                <pt idx="9">
                  <v>0.07618782824960957</v>
                </pt>
                <pt idx="10">
                  <v>0.07754482872736672</v>
                </pt>
                <pt idx="11">
                  <v>0.07891967790723092</v>
                </pt>
                <pt idx="12">
                  <v>0.07510785859178702</v>
                </pt>
                <pt idx="13">
                  <v>0.07545400340264111</v>
                </pt>
                <pt idx="14">
                  <v>0.07334061113507073</v>
                </pt>
                <pt idx="15">
                  <v>0.07240961666565403</v>
                </pt>
                <pt idx="16">
                  <v>0.07521792271129436</v>
                </pt>
                <pt idx="17">
                  <v>0.07975572409401259</v>
                </pt>
                <pt idx="18">
                  <v>0.07799137183794826</v>
                </pt>
                <pt idx="19">
                  <v>0.07419853010972546</v>
                </pt>
                <pt idx="20">
                  <v>0.0731539998430361</v>
                </pt>
                <pt idx="21">
                  <v>0.07209271403797346</v>
                </pt>
                <pt idx="22">
                  <v>0.07063978229438088</v>
                </pt>
                <pt idx="23">
                  <v>0.06934417105193537</v>
                </pt>
                <pt idx="24">
                  <v>0.06964805130791352</v>
                </pt>
                <pt idx="25">
                  <v>0.0728434383511745</v>
                </pt>
                <pt idx="26">
                  <v>0.06987635429068538</v>
                </pt>
                <pt idx="27">
                  <v>0.07248700205828951</v>
                </pt>
                <pt idx="28">
                  <v>0.07117638076670493</v>
                </pt>
                <pt idx="29">
                  <v>0.07388606405116699</v>
                </pt>
                <pt idx="30">
                  <v>0.07197692603872069</v>
                </pt>
                <pt idx="31">
                  <v>0.06688268576364576</v>
                </pt>
                <pt idx="32">
                  <v>0.06326484301388924</v>
                </pt>
                <pt idx="33">
                  <v>0.06568589588188847</v>
                </pt>
                <pt idx="34">
                  <v>0.06474167161991573</v>
                </pt>
                <pt idx="35">
                  <v>0.06505814926803445</v>
                </pt>
                <pt idx="36">
                  <v>0.06099490217035856</v>
                </pt>
                <pt idx="37">
                  <v>0.05755997144558437</v>
                </pt>
                <pt idx="38">
                  <v>0.05716537871891743</v>
                </pt>
                <pt idx="39">
                  <v>0.05531543688110661</v>
                </pt>
                <pt idx="40">
                  <v>0.05484780192686307</v>
                </pt>
                <pt idx="41">
                  <v>0.05562154651288051</v>
                </pt>
                <pt idx="42">
                  <v>0.05543097361749974</v>
                </pt>
                <pt idx="43">
                  <v>0.05391216017648055</v>
                </pt>
                <pt idx="44">
                  <v>0.0534775847674741</v>
                </pt>
                <pt idx="45">
                  <v>0.05484780192686307</v>
                </pt>
                <pt idx="46">
                  <v>0.05578516874299552</v>
                </pt>
                <pt idx="47">
                  <v>0.05612685897393492</v>
                </pt>
                <pt idx="48">
                  <v>0.05691688568537612</v>
                </pt>
                <pt idx="49">
                  <v>0.05496282114512875</v>
                </pt>
                <pt idx="50">
                  <v>0.05250837644592757</v>
                </pt>
                <pt idx="51">
                  <v>0.05135283552145593</v>
                </pt>
                <pt idx="52">
                  <v>0.05087769200895036</v>
                </pt>
                <pt idx="53">
                  <v>0.05098162425523787</v>
                </pt>
                <pt idx="54">
                  <v>0.04979992663891071</v>
                </pt>
                <pt idx="55">
                  <v>0.04990262837859236</v>
                </pt>
                <pt idx="56">
                  <v>0.04890000065054038</v>
                </pt>
                <pt idx="57">
                  <v>0.04964609618575335</v>
                </pt>
                <pt idx="58">
                  <v>0.04961408175571397</v>
                </pt>
                <pt idx="59">
                  <v>0.04944779356064537</v>
                </pt>
                <pt idx="60">
                  <v>0.04993474695158076</v>
                </pt>
                <pt idx="61">
                  <v>0.05273322465321255</v>
                </pt>
                <pt idx="62">
                  <v>0.05536979126304556</v>
                </pt>
                <pt idx="63">
                  <v>0.05811614428016053</v>
                </pt>
                <pt idx="64">
                  <v>0.05712392426167867</v>
                </pt>
                <pt idx="65">
                  <v>0.05653832877871903</v>
                </pt>
                <pt idx="66">
                  <v>0.05642845006396072</v>
                </pt>
                <pt idx="67">
                  <v>0.05527468959216462</v>
                </pt>
                <pt idx="68">
                  <v>0.05882923643696041</v>
                </pt>
                <pt idx="69">
                  <v>0.05868206084562314</v>
                </pt>
                <pt idx="70">
                  <v>0.05968088959039856</v>
                </pt>
                <pt idx="71">
                  <v>0.06230146753361503</v>
                </pt>
                <pt idx="72">
                  <v>0.06161776637843203</v>
                </pt>
                <pt idx="73">
                  <v>0.06376746281849657</v>
                </pt>
                <pt idx="74">
                  <v>0.0632139599878547</v>
                </pt>
                <pt idx="75">
                  <v>0.06358513246956171</v>
                </pt>
                <pt idx="76">
                  <v>0.06598970764840502</v>
                </pt>
                <pt idx="77">
                  <v>0.06707690145911206</v>
                </pt>
                <pt idx="78">
                  <v>0.06630904652222561</v>
                </pt>
                <pt idx="79">
                  <v>0.06480785041085604</v>
                </pt>
                <pt idx="80">
                  <v>0.06562669248068989</v>
                </pt>
                <pt idx="81">
                  <v>0.06477843364204015</v>
                </pt>
                <pt idx="82">
                  <v>0.06458003682301558</v>
                </pt>
                <pt idx="83">
                  <v>0.06541967888740731</v>
                </pt>
                <pt idx="84">
                  <v>0.06398659088707179</v>
                </pt>
                <pt idx="85">
                  <v>0.06491821986712344</v>
                </pt>
                <pt idx="86">
                  <v>0.06383316328698851</v>
                </pt>
                <pt idx="87">
                  <v>0.06155318711835937</v>
                </pt>
                <pt idx="88">
                  <v>0.06163930021800949</v>
                </pt>
                <pt idx="89">
                  <v>0.06134532576314591</v>
                </pt>
                <pt idx="90">
                  <v>0.0609877610306989</v>
                </pt>
                <pt idx="91">
                  <v>0.05953263831366765</v>
                </pt>
                <pt idx="92">
                  <v>0.06074520945375322</v>
                </pt>
                <pt idx="93">
                  <v>0.06081649827018674</v>
                </pt>
                <pt idx="94">
                  <v>0.06006295907793231</v>
                </pt>
                <pt idx="95">
                  <v>0.06067396225448006</v>
                </pt>
                <pt idx="96">
                  <v>0.06148864126518044</v>
                </pt>
                <pt idx="97">
                  <v>0.06121648318503083</v>
                </pt>
                <pt idx="98">
                  <v>0.06188360934997966</v>
                </pt>
                <pt idx="99">
                  <v>0.06184765171512129</v>
                </pt>
                <pt idx="100">
                  <v>0.06128804584775922</v>
                </pt>
                <pt idx="101">
                  <v>0.05752530198542975</v>
                </pt>
                <pt idx="102">
                  <v>0.05596954557718704</v>
                </pt>
                <pt idx="103">
                  <v>0.05569650866262676</v>
                </pt>
                <pt idx="104">
                  <v>0.05494928284045888</v>
                </pt>
                <pt idx="105">
                  <v>0.05515254292254466</v>
                </pt>
                <pt idx="106">
                  <v>0.05752530198542975</v>
                </pt>
                <pt idx="107">
                  <v>0.05742135823624923</v>
                </pt>
                <pt idx="108">
                  <v>0.0571930236715261</v>
                </pt>
                <pt idx="109">
                  <v>0.05687552475815585</v>
                </pt>
                <pt idx="110">
                  <v>0.05819980692547438</v>
                </pt>
                <pt idx="111">
                  <v>0.06058140316710672</v>
                </pt>
                <pt idx="112">
                  <v>0.06021896784829543</v>
                </pt>
                <pt idx="113">
                  <v>0.05974448271182588</v>
                </pt>
                <pt idx="114">
                  <v>0.0591030594745902</v>
                </pt>
                <pt idx="115">
                  <v>0.06009130922393476</v>
                </pt>
                <pt idx="116">
                  <v>0.06012675633771573</v>
                </pt>
                <pt idx="117">
                  <v>0.06105204622552586</v>
                </pt>
                <pt idx="118">
                  <v>0.0593493468249341</v>
                </pt>
                <pt idx="119">
                  <v>0.05900468978184206</v>
                </pt>
                <pt idx="120">
                  <v>0.05822073221351357</v>
                </pt>
                <pt idx="121">
                  <v>0.05869606948700534</v>
                </pt>
                <pt idx="122">
                  <v>0.05642845006396072</v>
                </pt>
                <pt idx="123">
                  <v>0.05987884675210213</v>
                </pt>
                <pt idx="124">
                  <v>0.06004878652065328</v>
                </pt>
                <pt idx="125">
                  <v>0.06105204622552586</v>
                </pt>
                <pt idx="126">
                  <v>0.06229425140840164</v>
                </pt>
                <pt idx="127">
                  <v>0.06110921682495871</v>
                </pt>
                <pt idx="128">
                  <v>0.06264108612318359</v>
                </pt>
                <pt idx="129">
                  <v>0.06235199185864641</v>
                </pt>
                <pt idx="130">
                  <v>0.06192677207092893</v>
                </pt>
                <pt idx="131">
                  <v>0.06330847280926119</v>
                </pt>
                <pt idx="132">
                  <v>0.06385507067584485</v>
                </pt>
                <pt idx="133">
                  <v>0.06338122146888088</v>
                </pt>
                <pt idx="134">
                  <v>0.06345401051631808</v>
                </pt>
                <pt idx="135">
                  <v>0.06608617574385989</v>
                </pt>
                <pt idx="136">
                  <v>0.06398659088707179</v>
                </pt>
                <pt idx="137">
                  <v>0.06253982888113449</v>
                </pt>
                <pt idx="138">
                  <v>0.06306868921307551</v>
                </pt>
                <pt idx="139">
                  <v>0.06404508603260273</v>
                </pt>
                <pt idx="140">
                  <v>0.0629090786421598</v>
                </pt>
                <pt idx="141">
                  <v>0.06207795797800712</v>
                </pt>
                <pt idx="142">
                  <v>0.05983639960611718</v>
                </pt>
                <pt idx="143">
                  <v>0.05642845006396072</v>
                </pt>
                <pt idx="144">
                  <v>0.05765016241470459</v>
                </pt>
                <pt idx="145">
                  <v>0.05790030126345619</v>
                </pt>
                <pt idx="146">
                  <v>0.05857705031543682</v>
                </pt>
                <pt idx="147">
                  <v>0.05698585523811449</v>
                </pt>
                <pt idx="148">
                  <v>0.05595587708646609</v>
                </pt>
                <pt idx="149">
                  <v>0.05650397970849502</v>
                </pt>
                <pt idx="150">
                  <v>0.05616793527869411</v>
                </pt>
                <pt idx="151">
                  <v>0.05565561363289111</v>
                </pt>
                <pt idx="152">
                  <v>0.05517967428109329</v>
                </pt>
                <pt idx="153">
                  <v>0.05631868286557469</v>
                </pt>
                <pt idx="154">
                  <v>0.05578516874299552</v>
                </pt>
                <pt idx="155">
                  <v>0.05808827042937952</v>
                </pt>
                <pt idx="156">
                  <v>0.0602047768557368</v>
                </pt>
                <pt idx="157">
                  <v>0.05852108389041411</v>
                </pt>
                <pt idx="158">
                  <v>0.05728291752059197</v>
                </pt>
                <pt idx="159">
                  <v>0.05778211075207531</v>
                </pt>
                <pt idx="160">
                  <v>0.0591593080175009</v>
                </pt>
                <pt idx="161">
                  <v>0.0599142309282218</v>
                </pt>
                <pt idx="162">
                  <v>0.05815099622644228</v>
                </pt>
                <pt idx="163">
                  <v>0.06021896784829543</v>
                </pt>
                <pt idx="164">
                  <v>0.06445526919578441</v>
                </pt>
                <pt idx="165">
                  <v>0.06706942679174804</v>
                </pt>
                <pt idx="166">
                  <v>0.06626444425702779</v>
                </pt>
                <pt idx="167">
                  <v>0.06810456731792</v>
                </pt>
                <pt idx="168">
                  <v>0.06929864076529862</v>
                </pt>
                <pt idx="169">
                  <v>0.0689954514954839</v>
                </pt>
                <pt idx="170">
                  <v>0.06872309696402362</v>
                </pt>
                <pt idx="171">
                  <v>0.06817232979391513</v>
                </pt>
                <pt idx="172">
                  <v>0.06439659488832625</v>
                </pt>
                <pt idx="173">
                  <v>0.06304691257470123</v>
                </pt>
                <pt idx="174">
                  <v>0.06235921125446568</v>
                </pt>
                <pt idx="175">
                  <v>0.06207075454676031</v>
                </pt>
                <pt idx="176">
                  <v>0.06520559778795335</v>
                </pt>
                <pt idx="177">
                  <v>0.0655305406389083</v>
                </pt>
                <pt idx="178">
                  <v>0.0681422093257603</v>
                </pt>
                <pt idx="179">
                  <v>0.07089252552784475</v>
                </pt>
                <pt idx="180">
                  <v>0.07220085636535026</v>
                </pt>
                <pt idx="181">
                  <v>0.07037216065513061</v>
                </pt>
                <pt idx="182">
                  <v>0.07047915493874188</v>
                </pt>
                <pt idx="183">
                  <v>0.07227814429177537</v>
                </pt>
                <pt idx="184">
                  <v>0.06739118588596807</v>
                </pt>
                <pt idx="185">
                  <v>0.06882895443281559</v>
                </pt>
                <pt idx="186">
                  <v>0.06818739231449142</v>
                </pt>
                <pt idx="187">
                  <v>0.06889704478212558</v>
                </pt>
                <pt idx="188">
                  <v>0.06965565599033614</v>
                </pt>
                <pt idx="189">
                  <v>0.069823053542617</v>
                </pt>
                <pt idx="190">
                  <v>0.06938212328203672</v>
                </pt>
                <pt idx="191">
                  <v>0.06681551821232212</v>
                </pt>
                <pt idx="192">
                  <v>0.06357784448995618</v>
                </pt>
                <pt idx="193">
                  <v>0.06619756719993725</v>
                </pt>
                <pt idx="194">
                  <v>0.06474167161991573</v>
                </pt>
                <pt idx="195">
                  <v>0.06040360302455762</v>
                </pt>
                <pt idx="196">
                  <v>0.06557491014908193</v>
                </pt>
                <pt idx="197">
                  <v>0.07326283146700573</v>
                </pt>
                <pt idx="198">
                  <v>0.07215450096748308</v>
                </pt>
                <pt idx="199">
                  <v>0.07204638905198593</v>
                </pt>
                <pt idx="200">
                  <v>0.07333283156478665</v>
                </pt>
                <pt idx="201">
                  <v>0.07333283156478665</v>
                </pt>
                <pt idx="202">
                  <v>0.07385484851986954</v>
                </pt>
                <pt idx="203">
                  <v>0.07163005225777203</v>
                </pt>
                <pt idx="204">
                  <v>0.06913181213979679</v>
                </pt>
                <pt idx="205">
                  <v>0.0699068200648682</v>
                </pt>
                <pt idx="206">
                  <v>0.07070867245028895</v>
                </pt>
                <pt idx="207">
                  <v>0.07376903499791188</v>
                </pt>
                <pt idx="208">
                  <v>0.07327838454929389</v>
                </pt>
                <pt idx="209">
                  <v>0.077234465521293</v>
                </pt>
                <pt idx="210">
                  <v>0.07806323554886435</v>
                </pt>
                <pt idx="211">
                  <v>0.07772810320160353</v>
                </pt>
                <pt idx="212">
                  <v>0.07960272070646728</v>
                </pt>
                <pt idx="213">
                  <v>0.08172283152654558</v>
                </pt>
                <pt idx="214">
                  <v>0.08056293631225661</v>
                </pt>
                <pt idx="215">
                  <v>0.07847097285230771</v>
                </pt>
                <pt idx="216">
                  <v>0.07861508636457779</v>
                </pt>
                <pt idx="217">
                  <v>0.07783177158818583</v>
                </pt>
                <pt idx="218">
                  <v>0.0800459473821753</v>
                </pt>
                <pt idx="219">
                  <v>0.07911229682969209</v>
                </pt>
                <pt idx="220">
                  <v>0.07709933953644522</v>
                </pt>
                <pt idx="221">
                  <v>0.07827898870460212</v>
                </pt>
                <pt idx="222">
                  <v>0.07849498431432585</v>
                </pt>
                <pt idx="223">
                  <v>0.07928903047926365</v>
                </pt>
                <pt idx="224">
                  <v>0.08135712668202519</v>
                </pt>
                <pt idx="225">
                  <v>0.08257862831272844</v>
                </pt>
                <pt idx="226">
                  <v>0.08237455313744972</v>
                </pt>
                <pt idx="227">
                  <v>0.08201585684403744</v>
                </pt>
                <pt idx="228">
                  <v>0.08026389070700798</v>
                </pt>
                <pt idx="229">
                  <v>0.07780784309071653</v>
                </pt>
                <pt idx="230">
                  <v>0.07764839683249376</v>
                </pt>
                <pt idx="231">
                  <v>0.07659943223981475</v>
                </pt>
                <pt idx="232">
                  <v>0.07743335736481172</v>
                </pt>
                <pt idx="233">
                  <v>0.07790357515069929</v>
                </pt>
                <pt idx="234">
                  <v>0.07606926822188062</v>
                </pt>
                <pt idx="235">
                  <v>0.07365208562439642</v>
                </pt>
                <pt idx="236">
                  <v>0.07573771125029882</v>
                </pt>
                <pt idx="237">
                  <v>0.07306853837587134</v>
                </pt>
                <pt idx="238">
                  <v>0.0735430048761512</v>
                </pt>
                <pt idx="239">
                  <v>0.07506856648844466</v>
                </pt>
                <pt idx="240">
                  <v>0.07740152051719949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150"/>
          <upBars>
            <spPr>
              <a:solidFill xmlns:a="http://schemas.openxmlformats.org/drawingml/2006/main">
                <a:srgbClr val="E2E2E2"/>
              </a:solidFill>
              <a:ln xmlns:a="http://schemas.openxmlformats.org/drawingml/2006/main" w="9525">
                <a:noFill/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1007786791"/>
        <axId val="1007788431"/>
      </lineChart>
      <catAx>
        <axId val="994720559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7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720887"/>
        <crosses val="autoZero"/>
        <auto val="1"/>
        <lblAlgn val="ctr"/>
        <lblOffset val="100"/>
        <noMultiLvlLbl val="0"/>
      </catAx>
      <valAx>
        <axId val="994720887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720559"/>
        <crosses val="autoZero"/>
        <crossBetween val="between"/>
      </valAx>
      <catAx>
        <axId val="1007786791"/>
        <scaling>
          <orientation val="maxMin"/>
        </scaling>
        <delete val="1"/>
        <axPos val="t"/>
        <numFmt formatCode="General" sourceLinked="1"/>
        <majorTickMark val="out"/>
        <minorTickMark val="none"/>
        <tickLblPos val="nextTo"/>
        <crossAx val="1007788431"/>
        <crosses val="max"/>
        <auto val="1"/>
        <lblAlgn val="ctr"/>
        <lblOffset val="100"/>
        <noMultiLvlLbl val="0"/>
      </catAx>
      <valAx>
        <axId val="1007788431"/>
        <scaling>
          <orientation val="minMax"/>
          <max val="0.1"/>
        </scaling>
        <delete val="1"/>
        <axPos val="r"/>
        <numFmt formatCode="0.00%" sourceLinked="1"/>
        <majorTickMark val="out"/>
        <minorTickMark val="none"/>
        <tickLblPos val="nextTo"/>
        <crossAx val="1007786791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8871073389034344"/>
          <y val="0.923171418641163"/>
          <w val="0.822578532219313"/>
          <h val="0.074284588598610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32050503785157"/>
          <y val="0.02707905046351964"/>
          <w val="0.9436646028478638"/>
          <h val="0.7263377730408008"/>
        </manualLayout>
      </layout>
      <barChart>
        <barDir val="col"/>
        <grouping val="clustered"/>
        <varyColors val="0"/>
        <ser>
          <idx val="0"/>
          <order val="0"/>
          <tx>
            <strRef>
              <f>'All Charts'!$AK$2</f>
              <strCache>
                <ptCount val="1"/>
                <pt idx="0">
                  <v>Price Change (ttm)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Charts'!$B$6:$B$102</f>
              <strCache>
                <ptCount val="97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</strCache>
            </strRef>
          </cat>
          <val>
            <numRef>
              <f>'All Charts'!$AK$6:$AK$102</f>
              <numCache>
                <formatCode>0.0%</formatCode>
                <ptCount val="97"/>
                <pt idx="0">
                  <v>0.1566265060240964</v>
                </pt>
                <pt idx="1">
                  <v>0.1609195402298851</v>
                </pt>
                <pt idx="2">
                  <v>0.1573033707865168</v>
                </pt>
                <pt idx="3">
                  <v>0.1808510638297872</v>
                </pt>
                <pt idx="4">
                  <v>0.1485148514851485</v>
                </pt>
                <pt idx="5">
                  <v>0.15</v>
                </pt>
                <pt idx="6">
                  <v>0.1238095238095238</v>
                </pt>
                <pt idx="7">
                  <v>0.1262135922330097</v>
                </pt>
                <pt idx="8">
                  <v>0.1313131313131313</v>
                </pt>
                <pt idx="9">
                  <v>0.1212121212121212</v>
                </pt>
                <pt idx="10">
                  <v>0.1176470588235294</v>
                </pt>
                <pt idx="11">
                  <v>0.1238095238095238</v>
                </pt>
                <pt idx="12">
                  <v>0.1111111111111111</v>
                </pt>
                <pt idx="13">
                  <v>0.1037735849056604</v>
                </pt>
                <pt idx="14">
                  <v>0.08571428571428572</v>
                </pt>
                <pt idx="15">
                  <v>0.05357142857142857</v>
                </pt>
                <pt idx="16">
                  <v>0.05042016806722689</v>
                </pt>
                <pt idx="17">
                  <v>0.0625</v>
                </pt>
                <pt idx="18">
                  <v>0.08461538461538462</v>
                </pt>
                <pt idx="19">
                  <v>0.08609271523178808</v>
                </pt>
                <pt idx="20">
                  <v>0.07272727272727272</v>
                </pt>
                <pt idx="21">
                  <v>0.06593406593406594</v>
                </pt>
                <pt idx="22">
                  <v>0.06217616580310881</v>
                </pt>
                <pt idx="23">
                  <v>0.055</v>
                </pt>
                <pt idx="24">
                  <v>0.0502283105022831</v>
                </pt>
                <pt idx="25">
                  <v>0.05394190871369295</v>
                </pt>
                <pt idx="26">
                  <v>0.05220883534136546</v>
                </pt>
                <pt idx="27">
                  <v>0.0546875</v>
                </pt>
                <pt idx="28">
                  <v>0.04844290657439446</v>
                </pt>
                <pt idx="29">
                  <v>0.04304635761589404</v>
                </pt>
                <pt idx="30">
                  <v>0.03076923076923077</v>
                </pt>
                <pt idx="31">
                  <v>0.02380952380952381</v>
                </pt>
                <pt idx="32">
                  <v>0.02058823529411765</v>
                </pt>
                <pt idx="33">
                  <v>0.02083333333333333</v>
                </pt>
                <pt idx="34">
                  <v>0.02052785923753666</v>
                </pt>
                <pt idx="35">
                  <v>0.02064896755162242</v>
                </pt>
                <pt idx="36">
                  <v>0.02121212121212121</v>
                </pt>
                <pt idx="37">
                  <v>0.01857585139318885</v>
                </pt>
                <pt idx="38">
                  <v>0.02160493827160494</v>
                </pt>
                <pt idx="39">
                  <v>0.01851851851851852</v>
                </pt>
                <pt idx="40">
                  <v>0.02821316614420063</v>
                </pt>
                <pt idx="41">
                  <v>0.02564102564102564</v>
                </pt>
                <pt idx="42">
                  <v>0.0302013422818792</v>
                </pt>
                <pt idx="43">
                  <v>0.03071672354948805</v>
                </pt>
                <pt idx="44">
                  <v>0.03125</v>
                </pt>
                <pt idx="45">
                  <v>0.03191489361702127</v>
                </pt>
                <pt idx="46">
                  <v>0.03284671532846715</v>
                </pt>
                <pt idx="47">
                  <v>0.02807017543859649</v>
                </pt>
                <pt idx="48">
                  <v>0.02758620689655172</v>
                </pt>
                <pt idx="49">
                  <v>0.02027027027027027</v>
                </pt>
                <pt idx="50">
                  <v>0.02</v>
                </pt>
                <pt idx="51">
                  <v>0.02006688963210702</v>
                </pt>
                <pt idx="52">
                  <v>0.02112676056338028</v>
                </pt>
                <pt idx="53">
                  <v>0.0303030303030303</v>
                </pt>
                <pt idx="54">
                  <v>0.0273972602739726</v>
                </pt>
                <pt idx="55">
                  <v>0.03355704697986577</v>
                </pt>
                <pt idx="56">
                  <v>0.03654485049833887</v>
                </pt>
                <pt idx="57">
                  <v>0.03785488958990536</v>
                </pt>
                <pt idx="58">
                  <v>0.03773584905660377</v>
                </pt>
                <pt idx="59">
                  <v>0.0471976401179941</v>
                </pt>
                <pt idx="60">
                  <v>0.05263157894736842</v>
                </pt>
                <pt idx="61">
                  <v>0.05373134328358209</v>
                </pt>
                <pt idx="62">
                  <v>0.05309734513274336</v>
                </pt>
                <pt idx="63">
                  <v>0.05671641791044776</v>
                </pt>
                <pt idx="64">
                  <v>0.05521472392638037</v>
                </pt>
                <pt idx="65">
                  <v>0.04918032786885246</v>
                </pt>
                <pt idx="66">
                  <v>0.0576923076923077</v>
                </pt>
                <pt idx="67">
                  <v>0.06291390728476821</v>
                </pt>
                <pt idx="68">
                  <v>0.06472491909385113</v>
                </pt>
                <pt idx="69">
                  <v>0.06070287539936102</v>
                </pt>
                <pt idx="70">
                  <v>0.05757575757575758</v>
                </pt>
                <pt idx="71">
                  <v>0.04983388704318937</v>
                </pt>
                <pt idx="72">
                  <v>0.05208333333333334</v>
                </pt>
                <pt idx="73">
                  <v>0.05862068965517241</v>
                </pt>
                <pt idx="74">
                  <v>0.06071428571428571</v>
                </pt>
                <pt idx="75">
                  <v>0.05797101449275362</v>
                </pt>
                <pt idx="76">
                  <v>0.05263157894736842</v>
                </pt>
                <pt idx="77">
                  <v>0.05090909090909091</v>
                </pt>
                <pt idx="78">
                  <v>0.04119850187265917</v>
                </pt>
                <pt idx="79">
                  <v>0.0299625468164794</v>
                </pt>
                <pt idx="80">
                  <v>0.02409638554216868</v>
                </pt>
                <pt idx="81">
                  <v>0.03125</v>
                </pt>
                <pt idx="82">
                  <v>0.02898550724637681</v>
                </pt>
                <pt idx="83">
                  <v>0.02955665024630542</v>
                </pt>
                <pt idx="84">
                  <v>0.01990049751243781</v>
                </pt>
                <pt idx="85">
                  <v>0.01047120418848168</v>
                </pt>
                <pt idx="86">
                  <v>0.00510204081632653</v>
                </pt>
                <pt idx="87">
                  <v>0.004926108374384237</v>
                </pt>
                <pt idx="88">
                  <v>0.004975124378109453</v>
                </pt>
                <pt idx="89">
                  <v>0.005208333333333333</v>
                </pt>
                <pt idx="90">
                  <v>0.005555555555555556</v>
                </pt>
                <pt idx="91">
                  <v>0.01204819277108434</v>
                </pt>
                <pt idx="92">
                  <v>0.01169590643274854</v>
                </pt>
                <pt idx="93">
                  <v>0.005617977528089887</v>
                </pt>
                <pt idx="94">
                  <v>0.005434782608695652</v>
                </pt>
                <pt idx="95">
                  <v>0.01104972375690608</v>
                </pt>
                <pt idx="96">
                  <v>0.0106951871657754</v>
                </pt>
              </numCache>
            </numRef>
          </val>
        </ser>
        <ser>
          <idx val="1"/>
          <order val="1"/>
          <tx>
            <strRef>
              <f>'All Charts'!$AM$2</f>
              <strCache>
                <ptCount val="1"/>
                <pt idx="0">
                  <v>8+ Year Firm Price Change (ttm)</v>
                </pt>
              </strCache>
            </strRef>
          </tx>
          <spPr>
            <a:solidFill xmlns:a="http://schemas.openxmlformats.org/drawingml/2006/main">
              <a:srgbClr val="62B5E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Charts'!$B$6:$B$102</f>
              <strCache>
                <ptCount val="97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</strCache>
            </strRef>
          </cat>
          <val>
            <numRef>
              <f>'All Charts'!$AM$6:$AM$102</f>
              <numCache>
                <formatCode>0.00%</formatCode>
                <ptCount val="97"/>
                <pt idx="0">
                  <v>0.05555555555555555</v>
                </pt>
                <pt idx="1">
                  <v>0.1052631578947368</v>
                </pt>
                <pt idx="2">
                  <v>0.1052631578947368</v>
                </pt>
                <pt idx="3">
                  <v>0.09523809523809523</v>
                </pt>
                <pt idx="4">
                  <v>0.08695652173913043</v>
                </pt>
                <pt idx="5">
                  <v>0.09090909090909091</v>
                </pt>
                <pt idx="6">
                  <v>0.07692307692307693</v>
                </pt>
                <pt idx="7">
                  <v>0.07407407407407407</v>
                </pt>
                <pt idx="8">
                  <v>0.07407407407407407</v>
                </pt>
                <pt idx="9">
                  <v>0.07142857142857142</v>
                </pt>
                <pt idx="10">
                  <v>0.06896551724137931</v>
                </pt>
                <pt idx="11">
                  <v>0.1</v>
                </pt>
                <pt idx="12">
                  <v>0.09375</v>
                </pt>
                <pt idx="13">
                  <v>0.0625</v>
                </pt>
                <pt idx="14">
                  <v>0.03225806451612903</v>
                </pt>
                <pt idx="15">
                  <v>0.03333333333333333</v>
                </pt>
                <pt idx="16">
                  <v>0.03125</v>
                </pt>
                <pt idx="17">
                  <v>0.0303030303030303</v>
                </pt>
                <pt idx="18">
                  <v>0.03448275862068965</v>
                </pt>
                <pt idx="19">
                  <v>0.06060606060606061</v>
                </pt>
                <pt idx="20">
                  <v>0.05128205128205128</v>
                </pt>
                <pt idx="21">
                  <v>0.05128205128205128</v>
                </pt>
                <pt idx="22">
                  <v>0.04761904761904762</v>
                </pt>
                <pt idx="23">
                  <v>0.02325581395348837</v>
                </pt>
                <pt idx="24">
                  <v>0.02127659574468085</v>
                </pt>
                <pt idx="25">
                  <v>0.0196078431372549</v>
                </pt>
                <pt idx="26">
                  <v>0.01923076923076923</v>
                </pt>
                <pt idx="27">
                  <v>0.01754385964912281</v>
                </pt>
                <pt idx="28">
                  <v>0.015625</v>
                </pt>
                <pt idx="29">
                  <v>0.02985074626865672</v>
                </pt>
                <pt idx="30">
                  <v>0.02702702702702703</v>
                </pt>
                <pt idx="31">
                  <v>0.01298701298701299</v>
                </pt>
                <pt idx="32">
                  <v>0.01298701298701299</v>
                </pt>
                <pt idx="33">
                  <v>0.0131578947368421</v>
                </pt>
                <pt idx="34">
                  <v>0.01282051282051282</v>
                </pt>
                <pt idx="35">
                  <v>0.01298701298701299</v>
                </pt>
                <pt idx="36">
                  <v>0.01388888888888889</v>
                </pt>
                <pt idx="37">
                  <v>0.02898550724637681</v>
                </pt>
                <pt idx="38">
                  <v>0.04225352112676056</v>
                </pt>
                <pt idx="39">
                  <v>0.04285714285714286</v>
                </pt>
                <pt idx="40">
                  <v>0.04166666666666666</v>
                </pt>
                <pt idx="41">
                  <v>0.02857142857142857</v>
                </pt>
                <pt idx="42">
                  <v>0.04347826086956522</v>
                </pt>
                <pt idx="43">
                  <v>0.04918032786885246</v>
                </pt>
                <pt idx="44">
                  <v>0.05454545454545454</v>
                </pt>
                <pt idx="45">
                  <v>0.05660377358490566</v>
                </pt>
                <pt idx="46">
                  <v>0.06</v>
                </pt>
                <pt idx="47">
                  <v>0.06</v>
                </pt>
                <pt idx="48">
                  <v>0.0576923076923077</v>
                </pt>
                <pt idx="49">
                  <v>0.03846153846153846</v>
                </pt>
                <pt idx="50">
                  <v>0.02</v>
                </pt>
                <pt idx="51">
                  <v>0.02</v>
                </pt>
                <pt idx="52">
                  <v>0.02564102564102564</v>
                </pt>
                <pt idx="53">
                  <v>0.025</v>
                </pt>
                <pt idx="54">
                  <v>0</v>
                </pt>
                <pt idx="55">
                  <v>0</v>
                </pt>
                <pt idx="56">
                  <v>0.02173913043478261</v>
                </pt>
                <pt idx="57">
                  <v>0.0196078431372549</v>
                </pt>
                <pt idx="58">
                  <v>0.03846153846153846</v>
                </pt>
                <pt idx="59">
                  <v>0.05084745762711865</v>
                </pt>
                <pt idx="60">
                  <v>0.06896551724137931</v>
                </pt>
                <pt idx="61">
                  <v>0.06666666666666667</v>
                </pt>
                <pt idx="62">
                  <v>0.06779661016949153</v>
                </pt>
                <pt idx="63">
                  <v>0.07272727272727272</v>
                </pt>
                <pt idx="64">
                  <v>0.07142857142857142</v>
                </pt>
                <pt idx="65">
                  <v>0.07407407407407407</v>
                </pt>
                <pt idx="66">
                  <v>0.1186440677966102</v>
                </pt>
                <pt idx="67">
                  <v>0.1272727272727273</v>
                </pt>
                <pt idx="68">
                  <v>0.1090909090909091</v>
                </pt>
                <pt idx="69">
                  <v>0.1153846153846154</v>
                </pt>
                <pt idx="70">
                  <v>0.1020408163265306</v>
                </pt>
                <pt idx="71">
                  <v>0.0975609756097561</v>
                </pt>
                <pt idx="72">
                  <v>0.075</v>
                </pt>
                <pt idx="73">
                  <v>0.1025641025641026</v>
                </pt>
                <pt idx="74">
                  <v>0.1</v>
                </pt>
                <pt idx="75">
                  <v>0.09523809523809523</v>
                </pt>
                <pt idx="76">
                  <v>0.1025641025641026</v>
                </pt>
                <pt idx="77">
                  <v>0.1</v>
                </pt>
                <pt idx="78">
                  <v>0.0303030303030303</v>
                </pt>
                <pt idx="79">
                  <v>0.02857142857142857</v>
                </pt>
                <pt idx="80">
                  <v>0.0303030303030303</v>
                </pt>
                <pt idx="81">
                  <v>0.02857142857142857</v>
                </pt>
                <pt idx="82">
                  <v>0.02941176470588235</v>
                </pt>
                <pt idx="83">
                  <v>0.02857142857142857</v>
                </pt>
                <pt idx="84">
                  <v>0.02702702702702703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845604903"/>
        <axId val="845601951"/>
      </barChart>
      <lineChart>
        <grouping val="standard"/>
        <varyColors val="0"/>
        <ser>
          <idx val="2"/>
          <order val="0"/>
          <tx>
            <strRef>
              <f>'All Charts'!$AF$2</f>
              <strCache>
                <ptCount val="1"/>
                <pt idx="0">
                  <v>Last Ask</v>
                </pt>
              </strCache>
            </strRef>
          </tx>
          <spPr>
            <a:ln xmlns:a="http://schemas.openxmlformats.org/drawingml/2006/main" w="28575" cap="rnd">
              <a:solidFill>
                <a:srgbClr val="6A748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Charts'!$B$3:$B$102</f>
              <strCache>
                <ptCount val="100"/>
                <pt idx="0">
                  <v>Q2-2025</v>
                </pt>
                <pt idx="3">
                  <v>Q1-2025</v>
                </pt>
                <pt idx="6">
                  <v>Q4-2024</v>
                </pt>
                <pt idx="9">
                  <v>Q3-2024</v>
                </pt>
                <pt idx="12">
                  <v>Q2-2024</v>
                </pt>
                <pt idx="15">
                  <v>Q1-2024</v>
                </pt>
                <pt idx="18">
                  <v>Q4-2023</v>
                </pt>
                <pt idx="21">
                  <v>Q3-2023</v>
                </pt>
                <pt idx="24">
                  <v>Q2-2023</v>
                </pt>
                <pt idx="27">
                  <v>Q1-2023</v>
                </pt>
                <pt idx="30">
                  <v>Q4-2022</v>
                </pt>
                <pt idx="33">
                  <v>Q3-2022</v>
                </pt>
                <pt idx="36">
                  <v>Q2-2022</v>
                </pt>
                <pt idx="39">
                  <v>Q1-2022</v>
                </pt>
                <pt idx="42">
                  <v>Q4-2021</v>
                </pt>
                <pt idx="45">
                  <v>Q3-2021</v>
                </pt>
                <pt idx="48">
                  <v>Q2-2021</v>
                </pt>
                <pt idx="51">
                  <v>Q1-2021</v>
                </pt>
                <pt idx="54">
                  <v>Q4-2020</v>
                </pt>
                <pt idx="57">
                  <v>Q3-2020</v>
                </pt>
                <pt idx="60">
                  <v>Q2-2020</v>
                </pt>
                <pt idx="63">
                  <v>Q1-2020</v>
                </pt>
                <pt idx="66">
                  <v>4Q-2019</v>
                </pt>
                <pt idx="69">
                  <v>3Q-2019</v>
                </pt>
                <pt idx="72">
                  <v>2Q-2019</v>
                </pt>
                <pt idx="75">
                  <v>1Q-2019</v>
                </pt>
                <pt idx="78">
                  <v>4Q-2018</v>
                </pt>
                <pt idx="81">
                  <v>3Q-2018</v>
                </pt>
                <pt idx="84">
                  <v>2Q-2018</v>
                </pt>
                <pt idx="87">
                  <v>1Q-2018</v>
                </pt>
                <pt idx="90">
                  <v>4Q-2017</v>
                </pt>
                <pt idx="93">
                  <v>3Q-2017</v>
                </pt>
                <pt idx="96">
                  <v>2Q-2017</v>
                </pt>
                <pt idx="99">
                  <v>1Q-2017</v>
                </pt>
              </strCache>
            </strRef>
          </cat>
          <val>
            <numRef>
              <f>'All Charts'!$AF$6:$AF$102</f>
              <numCache>
                <formatCode>0.00%</formatCode>
                <ptCount val="97"/>
                <pt idx="0">
                  <v>0.07269657353706845</v>
                </pt>
                <pt idx="1">
                  <v>0.07256600489636617</v>
                </pt>
                <pt idx="2">
                  <v>0.07203494277879366</v>
                </pt>
                <pt idx="3">
                  <v>0.0719524835506094</v>
                </pt>
                <pt idx="4">
                  <v>0.07274387341757285</v>
                </pt>
                <pt idx="5">
                  <v>0.0725377820138088</v>
                </pt>
                <pt idx="6">
                  <v>0.0724256073887532</v>
                </pt>
                <pt idx="7">
                  <v>0.07220581300028432</v>
                </pt>
                <pt idx="8">
                  <v>0.07240124697513524</v>
                </pt>
                <pt idx="9">
                  <v>0.0719449732364655</v>
                </pt>
                <pt idx="10">
                  <v>0.07250681659786051</v>
                </pt>
                <pt idx="11">
                  <v>0.07114861159112722</v>
                </pt>
                <pt idx="12">
                  <v>0.0708768793130677</v>
                </pt>
                <pt idx="13">
                  <v>0.07058380331628311</v>
                </pt>
                <pt idx="14">
                  <v>0.07056717730739333</v>
                </pt>
                <pt idx="15">
                  <v>0.06948037547611145</v>
                </pt>
                <pt idx="16">
                  <v>0.06905270458463478</v>
                </pt>
                <pt idx="17">
                  <v>0.07012991480839614</v>
                </pt>
                <pt idx="18">
                  <v>0.06994231141098631</v>
                </pt>
                <pt idx="19">
                  <v>0.07041345340594579</v>
                </pt>
                <pt idx="20">
                  <v>0.06988576544963786</v>
                </pt>
                <pt idx="21">
                  <v>0.07067395184857976</v>
                </pt>
                <pt idx="22">
                  <v>0.06974768903520176</v>
                </pt>
                <pt idx="23">
                  <v>0.06988771968733039</v>
                </pt>
                <pt idx="24">
                  <v>0.07064084061788739</v>
                </pt>
                <pt idx="25">
                  <v>0.0707634967182742</v>
                </pt>
                <pt idx="26">
                  <v>0.0707006157341262</v>
                </pt>
                <pt idx="27">
                  <v>0.07007842531622925</v>
                </pt>
                <pt idx="28">
                  <v>0.06979626524504216</v>
                </pt>
                <pt idx="29">
                  <v>0.06991512126464786</v>
                </pt>
                <pt idx="30">
                  <v>0.06984230698446579</v>
                </pt>
                <pt idx="31">
                  <v>0.07006116783459551</v>
                </pt>
                <pt idx="32">
                  <v>0.069762078199917</v>
                </pt>
                <pt idx="33">
                  <v>0.07015410254549641</v>
                </pt>
                <pt idx="34">
                  <v>0.07077597362483945</v>
                </pt>
                <pt idx="35">
                  <v>0.07109002300572133</v>
                </pt>
                <pt idx="36">
                  <v>0.07103261996805998</v>
                </pt>
                <pt idx="37">
                  <v>0.07103545422145476</v>
                </pt>
                <pt idx="38">
                  <v>0.07082593382506994</v>
                </pt>
                <pt idx="39">
                  <v>0.07153465037153107</v>
                </pt>
                <pt idx="40">
                  <v>0.07168080663700446</v>
                </pt>
                <pt idx="41">
                  <v>0.07102906779342112</v>
                </pt>
                <pt idx="42">
                  <v>0.07116829093418869</v>
                </pt>
                <pt idx="43">
                  <v>0.07063576623418728</v>
                </pt>
                <pt idx="44">
                  <v>0.07048934633946921</v>
                </pt>
                <pt idx="45">
                  <v>0.06975763415213825</v>
                </pt>
                <pt idx="46">
                  <v>0.06952724366136502</v>
                </pt>
                <pt idx="47">
                  <v>0.0700424172132518</v>
                </pt>
                <pt idx="48">
                  <v>0.06979922597425364</v>
                </pt>
                <pt idx="49">
                  <v>0.06945744570475938</v>
                </pt>
                <pt idx="50">
                  <v>0.07011077874190913</v>
                </pt>
                <pt idx="51">
                  <v>0.07037649206619799</v>
                </pt>
                <pt idx="52">
                  <v>0.07213214672827105</v>
                </pt>
                <pt idx="53">
                  <v>0.07306456950937971</v>
                </pt>
                <pt idx="54">
                  <v>0.07372452761983669</v>
                </pt>
                <pt idx="55">
                  <v>0.0745309912578809</v>
                </pt>
                <pt idx="56">
                  <v>0.07531999882732612</v>
                </pt>
                <pt idx="57">
                  <v>0.075603395085311</v>
                </pt>
                <pt idx="58">
                  <v>0.07487819442242166</v>
                </pt>
                <pt idx="59">
                  <v>0.07572250237290218</v>
                </pt>
                <pt idx="60">
                  <v>0.07658391293244607</v>
                </pt>
                <pt idx="61">
                  <v>0.07858990605258619</v>
                </pt>
                <pt idx="62">
                  <v>0.0788616677310072</v>
                </pt>
                <pt idx="63">
                  <v>0.07933204358214045</v>
                </pt>
                <pt idx="64">
                  <v>0.08017287237799343</v>
                </pt>
                <pt idx="65">
                  <v>0.08042044325153257</v>
                </pt>
                <pt idx="66">
                  <v>0.08112149747631874</v>
                </pt>
                <pt idx="67">
                  <v>0.08125758849671617</v>
                </pt>
                <pt idx="68">
                  <v>0.08140228258309908</v>
                </pt>
                <pt idx="69">
                  <v>0.08155235962092203</v>
                </pt>
                <pt idx="70">
                  <v>0.08179970717922184</v>
                </pt>
                <pt idx="71">
                  <v>0.08086992263524491</v>
                </pt>
                <pt idx="72">
                  <v>0.08069110837297745</v>
                </pt>
                <pt idx="73">
                  <v>0.0797497809037172</v>
                </pt>
                <pt idx="74">
                  <v>0.07924697916247532</v>
                </pt>
                <pt idx="75">
                  <v>0.07914822292746125</v>
                </pt>
                <pt idx="76">
                  <v>0.07866277728012461</v>
                </pt>
                <pt idx="77">
                  <v>0.07873233867658468</v>
                </pt>
                <pt idx="78">
                  <v>0.07750826405999679</v>
                </pt>
                <pt idx="79">
                  <v>0.07839518609129462</v>
                </pt>
                <pt idx="80">
                  <v>0.07807068036661398</v>
                </pt>
                <pt idx="81">
                  <v>0.07751629546579032</v>
                </pt>
                <pt idx="82">
                  <v>0.07839598321200965</v>
                </pt>
                <pt idx="83">
                  <v>0.07930532733805053</v>
                </pt>
                <pt idx="84">
                  <v>0.07910347662706706</v>
                </pt>
                <pt idx="85">
                  <v>0.07791375278867935</v>
                </pt>
                <pt idx="86">
                  <v>0.07829940058592895</v>
                </pt>
                <pt idx="87">
                  <v>0.07840206794059282</v>
                </pt>
                <pt idx="88">
                  <v>0.07789109087984562</v>
                </pt>
                <pt idx="89">
                  <v>0.07762509185641643</v>
                </pt>
                <pt idx="90">
                  <v>0.07811832492569661</v>
                </pt>
                <pt idx="91">
                  <v>0.07538610656095204</v>
                </pt>
                <pt idx="92">
                  <v>0.07606806006194559</v>
                </pt>
                <pt idx="93">
                  <v>0.07642684885458914</v>
                </pt>
                <pt idx="94">
                  <v>0.07459838730265468</v>
                </pt>
                <pt idx="95">
                  <v>0.07423427442216798</v>
                </pt>
                <pt idx="96">
                  <v>0.07414518041741212</v>
                </pt>
              </numCache>
            </numRef>
          </val>
          <smooth val="0"/>
        </ser>
        <ser>
          <idx val="3"/>
          <order val="2"/>
          <tx>
            <strRef>
              <f>'All Charts'!$AL$2</f>
              <strCache>
                <ptCount val="1"/>
                <pt idx="0">
                  <v>8+ Year Firm Ask (ttm)</v>
                </pt>
              </strCache>
            </strRef>
          </tx>
          <spPr>
            <a:ln xmlns:a="http://schemas.openxmlformats.org/drawingml/2006/main" w="28575" cap="rnd">
              <a:solidFill>
                <a:srgbClr val="9EA9B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Charts'!$B$3:$B$102</f>
              <strCache>
                <ptCount val="100"/>
                <pt idx="0">
                  <v>Q2-2025</v>
                </pt>
                <pt idx="3">
                  <v>Q1-2025</v>
                </pt>
                <pt idx="6">
                  <v>Q4-2024</v>
                </pt>
                <pt idx="9">
                  <v>Q3-2024</v>
                </pt>
                <pt idx="12">
                  <v>Q2-2024</v>
                </pt>
                <pt idx="15">
                  <v>Q1-2024</v>
                </pt>
                <pt idx="18">
                  <v>Q4-2023</v>
                </pt>
                <pt idx="21">
                  <v>Q3-2023</v>
                </pt>
                <pt idx="24">
                  <v>Q2-2023</v>
                </pt>
                <pt idx="27">
                  <v>Q1-2023</v>
                </pt>
                <pt idx="30">
                  <v>Q4-2022</v>
                </pt>
                <pt idx="33">
                  <v>Q3-2022</v>
                </pt>
                <pt idx="36">
                  <v>Q2-2022</v>
                </pt>
                <pt idx="39">
                  <v>Q1-2022</v>
                </pt>
                <pt idx="42">
                  <v>Q4-2021</v>
                </pt>
                <pt idx="45">
                  <v>Q3-2021</v>
                </pt>
                <pt idx="48">
                  <v>Q2-2021</v>
                </pt>
                <pt idx="51">
                  <v>Q1-2021</v>
                </pt>
                <pt idx="54">
                  <v>Q4-2020</v>
                </pt>
                <pt idx="57">
                  <v>Q3-2020</v>
                </pt>
                <pt idx="60">
                  <v>Q2-2020</v>
                </pt>
                <pt idx="63">
                  <v>Q1-2020</v>
                </pt>
                <pt idx="66">
                  <v>4Q-2019</v>
                </pt>
                <pt idx="69">
                  <v>3Q-2019</v>
                </pt>
                <pt idx="72">
                  <v>2Q-2019</v>
                </pt>
                <pt idx="75">
                  <v>1Q-2019</v>
                </pt>
                <pt idx="78">
                  <v>4Q-2018</v>
                </pt>
                <pt idx="81">
                  <v>3Q-2018</v>
                </pt>
                <pt idx="84">
                  <v>2Q-2018</v>
                </pt>
                <pt idx="87">
                  <v>1Q-2018</v>
                </pt>
                <pt idx="90">
                  <v>4Q-2017</v>
                </pt>
                <pt idx="93">
                  <v>3Q-2017</v>
                </pt>
                <pt idx="96">
                  <v>2Q-2017</v>
                </pt>
                <pt idx="99">
                  <v>1Q-2017</v>
                </pt>
              </strCache>
            </strRef>
          </cat>
          <val>
            <numRef>
              <f>'All Charts'!$AL$6:$AL$102</f>
              <numCache>
                <formatCode>0.00%</formatCode>
                <ptCount val="97"/>
                <pt idx="0">
                  <v>0.07114270602243419</v>
                </pt>
                <pt idx="1">
                  <v>0.07219339417407721</v>
                </pt>
                <pt idx="2">
                  <v>0.0714471416570205</v>
                </pt>
                <pt idx="3">
                  <v>0.07111779664644745</v>
                </pt>
                <pt idx="4">
                  <v>0.07198168774420464</v>
                </pt>
                <pt idx="5">
                  <v>0.07251939282894138</v>
                </pt>
                <pt idx="6">
                  <v>0.07229035711721944</v>
                </pt>
                <pt idx="7">
                  <v>0.07229035711721944</v>
                </pt>
                <pt idx="8">
                  <v>0.07193269754997142</v>
                </pt>
                <pt idx="9">
                  <v>0.06942108535968607</v>
                </pt>
                <pt idx="10">
                  <v>0.06966127828357616</v>
                </pt>
                <pt idx="11">
                  <v>0.0689374853163482</v>
                </pt>
                <pt idx="12">
                  <v>0.06780256315605607</v>
                </pt>
                <pt idx="13">
                  <v>0.06523091052406854</v>
                </pt>
                <pt idx="14">
                  <v>0.0646347479133228</v>
                </pt>
                <pt idx="15">
                  <v>0.06422614025377693</v>
                </pt>
                <pt idx="16">
                  <v>0.06276044958286872</v>
                </pt>
                <pt idx="17">
                  <v>0.06353650502620875</v>
                </pt>
                <pt idx="18">
                  <v>0.06053650502620875</v>
                </pt>
                <pt idx="19">
                  <v>0.06093145903819095</v>
                </pt>
                <pt idx="20">
                  <v>0.06117276858611324</v>
                </pt>
                <pt idx="21">
                  <v>0.06180709350452124</v>
                </pt>
                <pt idx="22">
                  <v>0.06424469723717233</v>
                </pt>
                <pt idx="23">
                  <v>0.06341589518720191</v>
                </pt>
                <pt idx="24">
                  <v>0.06378718688134927</v>
                </pt>
                <pt idx="25">
                  <v>0.06378718688134927</v>
                </pt>
                <pt idx="26">
                  <v>0.06378718688134927</v>
                </pt>
                <pt idx="27">
                  <v>0.0649049213079035</v>
                </pt>
                <pt idx="28">
                  <v>0.06389875941106574</v>
                </pt>
                <pt idx="29">
                  <v>0.06122126198844294</v>
                </pt>
                <pt idx="30">
                  <v>0.06189345289983102</v>
                </pt>
                <pt idx="31">
                  <v>0.06132408580710581</v>
                </pt>
                <pt idx="32">
                  <v>0.06118832711583781</v>
                </pt>
                <pt idx="33">
                  <v>0.06202202776257861</v>
                </pt>
                <pt idx="34">
                  <v>0.05958193009081302</v>
                </pt>
                <pt idx="35">
                  <v>0.05958193009081302</v>
                </pt>
                <pt idx="36">
                  <v>0.05937341486323822</v>
                </pt>
                <pt idx="37">
                  <v>0.05992877376122611</v>
                </pt>
                <pt idx="38">
                  <v>0.05991591915815174</v>
                </pt>
                <pt idx="39">
                  <v>0.05936383674163856</v>
                </pt>
                <pt idx="40">
                  <v>0.0598508723648425</v>
                </pt>
                <pt idx="41">
                  <v>0.06104471662783255</v>
                </pt>
                <pt idx="42">
                  <v>0.06124598858626541</v>
                </pt>
                <pt idx="43">
                  <v>0.06146279502258569</v>
                </pt>
                <pt idx="44">
                  <v>0.06045523672511156</v>
                </pt>
                <pt idx="45">
                  <v>0.05971975894223164</v>
                </pt>
                <pt idx="46">
                  <v>0.05995109955251636</v>
                </pt>
                <pt idx="47">
                  <v>0.05995109955251636</v>
                </pt>
                <pt idx="48">
                  <v>0.06217990496125583</v>
                </pt>
                <pt idx="49">
                  <v>0.06159149722115338</v>
                </pt>
                <pt idx="50">
                  <v>0.06184647467674391</v>
                </pt>
                <pt idx="51">
                  <v>0.06092003038828808</v>
                </pt>
                <pt idx="52">
                  <v>0.06359811963025218</v>
                </pt>
                <pt idx="53">
                  <v>0.06368962959943986</v>
                </pt>
                <pt idx="54">
                  <v>0.06537468807671994</v>
                </pt>
                <pt idx="55">
                  <v>0.06483721883448121</v>
                </pt>
                <pt idx="56">
                  <v>0.064925953126568</v>
                </pt>
                <pt idx="57">
                  <v>0.06406316652989404</v>
                </pt>
                <pt idx="58">
                  <v>0.06319841246116092</v>
                </pt>
                <pt idx="59">
                  <v>0.06496555015623251</v>
                </pt>
                <pt idx="60">
                  <v>0.06329135191546577</v>
                </pt>
                <pt idx="61">
                  <v>0.06397726928404725</v>
                </pt>
                <pt idx="62">
                  <v>0.06397726928404725</v>
                </pt>
                <pt idx="63">
                  <v>0.06514917510013563</v>
                </pt>
                <pt idx="64">
                  <v>0.06353574016722148</v>
                </pt>
                <pt idx="65">
                  <v>0.06353574016722148</v>
                </pt>
                <pt idx="66">
                  <v>0.06490694660229672</v>
                </pt>
                <pt idx="67">
                  <v>0.06490694687390093</v>
                </pt>
                <pt idx="68">
                  <v>0.0654815543525628</v>
                </pt>
                <pt idx="69">
                  <v>0.06620882371163496</v>
                </pt>
                <pt idx="70">
                  <v>0.06716507085986861</v>
                </pt>
                <pt idx="71">
                  <v>0.06437300011477498</v>
                </pt>
                <pt idx="72">
                  <v>0.06442414888553966</v>
                </pt>
                <pt idx="73">
                  <v>0.06420455765662786</v>
                </pt>
                <pt idx="74">
                  <v>0.06514202731427446</v>
                </pt>
                <pt idx="75">
                  <v>0.06592486731843958</v>
                </pt>
                <pt idx="76">
                  <v>0.06560954206388465</v>
                </pt>
                <pt idx="77">
                  <v>0.06560954206388465</v>
                </pt>
                <pt idx="78">
                  <v>0.06390403014206576</v>
                </pt>
                <pt idx="79">
                  <v>0.06430510441851811</v>
                </pt>
                <pt idx="80">
                  <v>0.06589228660194454</v>
                </pt>
                <pt idx="81">
                  <v>0.06589228660194454</v>
                </pt>
                <pt idx="82">
                  <v>0.06589228660194454</v>
                </pt>
                <pt idx="83">
                  <v>0.06770766770226863</v>
                </pt>
                <pt idx="84">
                  <v>0.06587599677666191</v>
                </pt>
                <pt idx="85">
                  <v>0.06620480975576125</v>
                </pt>
                <pt idx="86">
                  <v>0.0639579884479608</v>
                </pt>
                <pt idx="87">
                  <v>0.06233499431646649</v>
                </pt>
                <pt idx="88">
                  <v>0.06233499431646649</v>
                </pt>
                <pt idx="89">
                  <v>0.06233499431646649</v>
                </pt>
                <pt idx="90">
                  <v>0.06260562002690817</v>
                </pt>
                <pt idx="91">
                  <v>0.0644166667129334</v>
                </pt>
                <pt idx="92">
                  <v>0.0644166667129334</v>
                </pt>
                <pt idx="93">
                  <v>0.0644166667129334</v>
                </pt>
                <pt idx="94">
                  <v>0.06386459228550787</v>
                </pt>
                <pt idx="95">
                  <v>0.06417709228550787</v>
                </pt>
                <pt idx="96">
                  <v>0.06481634588263016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66458863"/>
        <axId val="1564577199"/>
      </lineChart>
      <dateAx>
        <axId val="845604903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5601951"/>
        <crosses val="autoZero"/>
        <lblOffset val="100"/>
        <baseTimeUnit val="days"/>
      </dateAx>
      <valAx>
        <axId val="845601951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5604903"/>
        <crosses val="autoZero"/>
        <crossBetween val="between"/>
      </valAx>
      <catAx>
        <axId val="156645886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564577199"/>
        <crosses val="autoZero"/>
        <auto val="1"/>
        <lblAlgn val="ctr"/>
        <lblOffset val="100"/>
        <noMultiLvlLbl val="0"/>
      </catAx>
      <valAx>
        <axId val="1564577199"/>
        <scaling>
          <orientation val="minMax"/>
          <min val="0.05000000000000001"/>
        </scaling>
        <delete val="0"/>
        <axPos val="l"/>
        <numFmt formatCode="0.0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664588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'All Charts'!$I$2</f>
              <strCache>
                <ptCount val="1"/>
                <pt idx="0">
                  <v>yoy Change (%)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"/>
            </dLbl>
            <dLbl>
              <idx val="3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3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4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8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0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Charts'!$B$6:$B$308</f>
              <strCache>
                <ptCount val="301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</strCache>
            </strRef>
          </cat>
          <val>
            <numRef>
              <f>'All Charts'!$I$6:$I$308</f>
              <numCache>
                <formatCode>0%</formatCode>
                <ptCount val="303"/>
                <pt idx="0">
                  <v>-0.5497697621240729</v>
                </pt>
                <pt idx="1">
                  <v>-0.5637191503974945</v>
                </pt>
                <pt idx="2">
                  <v>-0.5409869215766399</v>
                </pt>
                <pt idx="3">
                  <v>-0.5932520138832308</v>
                </pt>
                <pt idx="4">
                  <v>-0.6583838608973748</v>
                </pt>
                <pt idx="5">
                  <v>-0.7149583541301486</v>
                </pt>
                <pt idx="6">
                  <v>-0.6172441225169162</v>
                </pt>
                <pt idx="7">
                  <v>-0.685706817440932</v>
                </pt>
                <pt idx="8">
                  <v>-0.71522901284749</v>
                </pt>
                <pt idx="9">
                  <v>-0.7210904086862028</v>
                </pt>
                <pt idx="10">
                  <v>-0.6915250837543595</v>
                </pt>
                <pt idx="11">
                  <v>-0.7213754794277071</v>
                </pt>
                <pt idx="12">
                  <v>-0.7075917946497819</v>
                </pt>
                <pt idx="13">
                  <v>-0.7470114515936717</v>
                </pt>
                <pt idx="14">
                  <v>-0.767000689846696</v>
                </pt>
                <pt idx="15">
                  <v>-0.7436093205972663</v>
                </pt>
                <pt idx="16">
                  <v>-0.6950742361713588</v>
                </pt>
                <pt idx="17">
                  <v>-0.7070235028256463</v>
                </pt>
                <pt idx="18">
                  <v>-0.7092477805350544</v>
                </pt>
                <pt idx="19">
                  <v>-0.6851136198801645</v>
                </pt>
                <pt idx="20">
                  <v>-0.6622314528871938</v>
                </pt>
                <pt idx="21">
                  <v>-0.6142432660172563</v>
                </pt>
                <pt idx="22">
                  <v>-0.5694806055790115</v>
                </pt>
                <pt idx="23">
                  <v>-0.5443557335283054</v>
                </pt>
                <pt idx="24">
                  <v>-0.510661463340942</v>
                </pt>
                <pt idx="25">
                  <v>-0.324147146413219</v>
                </pt>
                <pt idx="26">
                  <v>-0.2819011991001171</v>
                </pt>
                <pt idx="27">
                  <v>-0.1147618025730418</v>
                </pt>
                <pt idx="28">
                  <v>0.06169244034013965</v>
                </pt>
                <pt idx="29">
                  <v>0.1373079903453577</v>
                </pt>
                <pt idx="30">
                  <v>0.2767491708677065</v>
                </pt>
                <pt idx="31">
                  <v>0.5148185663760603</v>
                </pt>
                <pt idx="32">
                  <v>0.6842757276322124</v>
                </pt>
                <pt idx="33">
                  <v>0.6679542806975444</v>
                </pt>
                <pt idx="34">
                  <v>0.6578804378501385</v>
                </pt>
                <pt idx="35">
                  <v>0.9259135425807914</v>
                </pt>
                <pt idx="36">
                  <v>1.025866857187185</v>
                </pt>
                <pt idx="37">
                  <v>0.2843451781965332</v>
                </pt>
                <pt idx="38">
                  <v>0.2808561302367038</v>
                </pt>
                <pt idx="39">
                  <v>0.1257892308673055</v>
                </pt>
                <pt idx="40">
                  <v>0.1745126686184513</v>
                </pt>
                <pt idx="41">
                  <v>0.02979749138357526</v>
                </pt>
                <pt idx="42">
                  <v>-0.138385363110396</v>
                </pt>
                <pt idx="43">
                  <v>-0.2040917025124418</v>
                </pt>
                <pt idx="44">
                  <v>-0.2933757168311351</v>
                </pt>
                <pt idx="45">
                  <v>-0.3534767893328582</v>
                </pt>
                <pt idx="46">
                  <v>-0.4335128114614621</v>
                </pt>
                <pt idx="47">
                  <v>-0.5181439476774007</v>
                </pt>
                <pt idx="48">
                  <v>-0.5504357564528891</v>
                </pt>
                <pt idx="49">
                  <v>-0.259277489891268</v>
                </pt>
                <pt idx="50">
                  <v>-0.2662119314290635</v>
                </pt>
                <pt idx="51">
                  <v>-0.2414080119098999</v>
                </pt>
                <pt idx="52">
                  <v>-0.2858319200308989</v>
                </pt>
                <pt idx="53">
                  <v>-0.1671911166406245</v>
                </pt>
                <pt idx="54">
                  <v>-0.01172763125341539</v>
                </pt>
                <pt idx="55">
                  <v>0.02767769326951917</v>
                </pt>
                <pt idx="56">
                  <v>0.05879300848781262</v>
                </pt>
                <pt idx="57">
                  <v>0.1409061645979156</v>
                </pt>
                <pt idx="58">
                  <v>0.1203711680470377</v>
                </pt>
                <pt idx="59">
                  <v>0.2134429055888555</v>
                </pt>
                <pt idx="60">
                  <v>0.2800241017620071</v>
                </pt>
                <pt idx="61">
                  <v>0.1508842495065957</v>
                </pt>
                <pt idx="62">
                  <v>0.2645413608585421</v>
                </pt>
                <pt idx="63">
                  <v>0.2804481533455557</v>
                </pt>
                <pt idx="64">
                  <v>0.1700649168549495</v>
                </pt>
                <pt idx="65">
                  <v>0.09812003143537264</v>
                </pt>
                <pt idx="66">
                  <v>0.04740879469988964</v>
                </pt>
                <pt idx="67">
                  <v>0.04380298677112239</v>
                </pt>
                <pt idx="68">
                  <v>0.1217696792369086</v>
                </pt>
                <pt idx="69">
                  <v>0.09028991459878585</v>
                </pt>
                <pt idx="70">
                  <v>0.5420346457820069</v>
                </pt>
                <pt idx="71">
                  <v>0.5390756131130736</v>
                </pt>
                <pt idx="72">
                  <v>0.5053792788272333</v>
                </pt>
                <pt idx="73">
                  <v>0.47190424246451</v>
                </pt>
                <pt idx="74">
                  <v>0.1729771681416459</v>
                </pt>
                <pt idx="75">
                  <v>0.1892176045563726</v>
                </pt>
                <pt idx="76">
                  <v>0.3667555407796188</v>
                </pt>
                <pt idx="77">
                  <v>0.3410477731712473</v>
                </pt>
                <pt idx="78">
                  <v>0.3328392515454798</v>
                </pt>
                <pt idx="79">
                  <v>0.3085218386054174</v>
                </pt>
                <pt idx="80">
                  <v>0.08962305018775084</v>
                </pt>
                <pt idx="81">
                  <v>0.2129078061435792</v>
                </pt>
                <pt idx="82">
                  <v>0.07570071595498325</v>
                </pt>
                <pt idx="83">
                  <v>0.02638649592896419</v>
                </pt>
                <pt idx="84">
                  <v>-0.003730837068662541</v>
                </pt>
                <pt idx="85">
                  <v>-0.1188820319390759</v>
                </pt>
                <pt idx="86">
                  <v>0.01336842240803409</v>
                </pt>
                <pt idx="87">
                  <v>-0.05276018098287645</v>
                </pt>
                <pt idx="88">
                  <v>-0.2165011800611576</v>
                </pt>
                <pt idx="89">
                  <v>-0.1553274852962532</v>
                </pt>
                <pt idx="90">
                  <v>-0.1638892079981702</v>
                </pt>
                <pt idx="91">
                  <v>-0.2876480282478762</v>
                </pt>
                <pt idx="92">
                  <v>-0.1048869018198788</v>
                </pt>
                <pt idx="93">
                  <v>-0.2649122556515608</v>
                </pt>
                <pt idx="94">
                  <v>-0.3884649866844456</v>
                </pt>
                <pt idx="95">
                  <v>-0.3626765592484421</v>
                </pt>
                <pt idx="96">
                  <v>-0.3527245455883419</v>
                </pt>
                <pt idx="97">
                  <v>-0.2804908264010939</v>
                </pt>
                <pt idx="98">
                  <v>-0.1649202137639512</v>
                </pt>
                <pt idx="99">
                  <v>-0.09249045272830235</v>
                </pt>
                <pt idx="100">
                  <v>0.009100720372506832</v>
                </pt>
                <pt idx="101">
                  <v>-0.001212439577972366</v>
                </pt>
                <pt idx="102">
                  <v>-0.08363234918165698</v>
                </pt>
                <pt idx="103">
                  <v>0.190465250681755</v>
                </pt>
                <pt idx="104">
                  <v>0.07077458277796805</v>
                </pt>
                <pt idx="105">
                  <v>0.4180194521911084</v>
                </pt>
                <pt idx="106">
                  <v>0.7571947967465907</v>
                </pt>
                <pt idx="107">
                  <v>0.6400609161535974</v>
                </pt>
                <pt idx="108">
                  <v>0.623675471504096</v>
                </pt>
                <pt idx="109">
                  <v>0.745644946841627</v>
                </pt>
                <pt idx="110">
                  <v>0.4397138929909455</v>
                </pt>
                <pt idx="111">
                  <v>0.3745810186735631</v>
                </pt>
                <pt idx="112">
                  <v>0.495197220787177</v>
                </pt>
                <pt idx="113">
                  <v>0.3555143388346079</v>
                </pt>
                <pt idx="114">
                  <v>0.6371721374530196</v>
                </pt>
                <pt idx="115">
                  <v>0.5521088124773988</v>
                </pt>
                <pt idx="116">
                  <v>0.5701093913115884</v>
                </pt>
                <pt idx="117">
                  <v>0.3391858984404826</v>
                </pt>
                <pt idx="118">
                  <v>0.2178480114328663</v>
                </pt>
                <pt idx="119">
                  <v>0.3793455010139187</v>
                </pt>
                <pt idx="120">
                  <v>0.5069963248896874</v>
                </pt>
                <pt idx="121">
                  <v>0.3691233202611764</v>
                </pt>
                <pt idx="122">
                  <v>0.7040617115967615</v>
                </pt>
                <pt idx="123">
                  <v>0.7481943825000269</v>
                </pt>
                <pt idx="124">
                  <v>0.6808347324803138</v>
                </pt>
                <pt idx="125">
                  <v>0.9994403250963495</v>
                </pt>
                <pt idx="126">
                  <v>1.093871371196205</v>
                </pt>
                <pt idx="127">
                  <v>0.8808225454220467</v>
                </pt>
                <pt idx="128">
                  <v>1.085502635160558</v>
                </pt>
                <pt idx="129">
                  <v>0.6154732656110347</v>
                </pt>
                <pt idx="130">
                  <v>0.4269657919523654</v>
                </pt>
                <pt idx="131">
                  <v>0.3008877064223183</v>
                </pt>
                <pt idx="132">
                  <v>0.2102355625879886</v>
                </pt>
                <pt idx="133">
                  <v>0.2743717329356389</v>
                </pt>
                <pt idx="134">
                  <v>0.0764244100325759</v>
                </pt>
                <pt idx="135">
                  <v>0.0419512535311601</v>
                </pt>
                <pt idx="136">
                  <v>-0.1721370246126222</v>
                </pt>
                <pt idx="137">
                  <v>-0.3385878705374558</v>
                </pt>
                <pt idx="138">
                  <v>-0.4638978410498131</v>
                </pt>
                <pt idx="139">
                  <v>-0.4704764257004461</v>
                </pt>
                <pt idx="140">
                  <v>-0.5218890798410065</v>
                </pt>
                <pt idx="141">
                  <v>-0.3130168605296124</v>
                </pt>
                <pt idx="142">
                  <v>-0.3246049378337111</v>
                </pt>
                <pt idx="143">
                  <v>-0.3691419321190049</v>
                </pt>
                <pt idx="144">
                  <v>-0.3668446170035612</v>
                </pt>
                <pt idx="145">
                  <v>-0.4038048529722211</v>
                </pt>
                <pt idx="146">
                  <v>-0.4100417017722648</v>
                </pt>
                <pt idx="147">
                  <v>-0.3827443362764788</v>
                </pt>
                <pt idx="148">
                  <v>-0.252800022980688</v>
                </pt>
                <pt idx="149">
                  <v>-0.2289937305879498</v>
                </pt>
                <pt idx="150">
                  <v>-0.1902074721630235</v>
                </pt>
                <pt idx="151">
                  <v>-0.08319896444537715</v>
                </pt>
                <pt idx="152">
                  <v>-0.1114372916251244</v>
                </pt>
                <pt idx="153">
                  <v>-0.2570477635151934</v>
                </pt>
                <pt idx="154">
                  <v>-0.1839702817449204</v>
                </pt>
                <pt idx="155">
                  <v>-0.03994370820660897</v>
                </pt>
                <pt idx="156">
                  <v>-0.01827068318090016</v>
                </pt>
                <pt idx="157">
                  <v>0.02148555040759138</v>
                </pt>
                <pt idx="158">
                  <v>0.07398332149248181</v>
                </pt>
                <pt idx="159">
                  <v>0.01919448266306839</v>
                </pt>
                <pt idx="160">
                  <v>0.2152819777336784</v>
                </pt>
                <pt idx="161">
                  <v>0.8111320866771724</v>
                </pt>
                <pt idx="162">
                  <v>0.9165130335939521</v>
                </pt>
                <pt idx="163">
                  <v>0.9080420676579489</v>
                </pt>
                <pt idx="164">
                  <v>1.045835248952229</v>
                </pt>
                <pt idx="165">
                  <v>1.725555171221848</v>
                </pt>
                <pt idx="166">
                  <v>4.514173022767892</v>
                </pt>
                <pt idx="167">
                  <v>4.402970717670951</v>
                </pt>
                <pt idx="168">
                  <v>3.675803080890157</v>
                </pt>
                <pt idx="169">
                  <v>4.16335000218012</v>
                </pt>
                <pt idx="170">
                  <v>3.987685849063272</v>
                </pt>
                <pt idx="171">
                  <v>3.01690403190346</v>
                </pt>
                <pt idx="172">
                  <v>0.996963689488055</v>
                </pt>
                <pt idx="173">
                  <v>0.4645897864687991</v>
                </pt>
                <pt idx="174">
                  <v>0.6520959276140909</v>
                </pt>
                <pt idx="175">
                  <v>0.4295351718206145</v>
                </pt>
                <pt idx="176">
                  <v>0.4075398214302256</v>
                </pt>
                <pt idx="177">
                  <v>0.05322668290664597</v>
                </pt>
                <pt idx="178">
                  <v>-0.5484904849638269</v>
                </pt>
                <pt idx="179">
                  <v>-0.5657938450460913</v>
                </pt>
                <pt idx="180">
                  <v>-0.4830380811118593</v>
                </pt>
                <pt idx="181">
                  <v>-0.5733113286325277</v>
                </pt>
                <pt idx="182">
                  <v>-0.5814057056510955</v>
                </pt>
                <pt idx="183">
                  <v>-0.4006780347371652</v>
                </pt>
                <pt idx="184">
                  <v>0.6575621490718409</v>
                </pt>
                <pt idx="185">
                  <v>0.5817920600641128</v>
                </pt>
                <pt idx="186">
                  <v>0.3528376052937655</v>
                </pt>
                <pt idx="187">
                  <v>0.486952976006811</v>
                </pt>
                <pt idx="188">
                  <v>0.3207835142598542</v>
                </pt>
                <pt idx="189">
                  <v>0.3955782616706908</v>
                </pt>
                <pt idx="190">
                  <v>0.8032664038578262</v>
                </pt>
                <pt idx="191">
                  <v>0.4397455545241084</v>
                </pt>
                <pt idx="192">
                  <v>0.3323493375856607</v>
                </pt>
                <pt idx="193">
                  <v>0.4591816382235086</v>
                </pt>
                <pt idx="194">
                  <v>0.2835830821382441</v>
                </pt>
                <pt idx="195">
                  <v>0.1371271568990488</v>
                </pt>
                <pt idx="196">
                  <v>-0.5259520597247989</v>
                </pt>
                <pt idx="197">
                  <v>-0.5679006844726493</v>
                </pt>
                <pt idx="198">
                  <v>-0.5909926244817197</v>
                </pt>
                <pt idx="199">
                  <v>-0.6827944481009381</v>
                </pt>
                <pt idx="200">
                  <v>-0.6455004831908333</v>
                </pt>
                <pt idx="201">
                  <v>-0.6397628487442693</v>
                </pt>
                <pt idx="202">
                  <v>-0.6598382287580095</v>
                </pt>
                <pt idx="203">
                  <v>-0.5656607805185669</v>
                </pt>
                <pt idx="204">
                  <v>-0.556407861628309</v>
                </pt>
                <pt idx="205">
                  <v>-0.5168093505732643</v>
                </pt>
                <pt idx="206">
                  <v>-0.3921904108744701</v>
                </pt>
                <pt idx="207">
                  <v>-0.440760482821696</v>
                </pt>
                <pt idx="208">
                  <v>0.111158475062279</v>
                </pt>
                <pt idx="209">
                  <v>0.3410727394991771</v>
                </pt>
                <pt idx="210">
                  <v>0.3617113861063887</v>
                </pt>
                <pt idx="211">
                  <v>1.676804028997705</v>
                </pt>
                <pt idx="212">
                  <v>0.8814843292838987</v>
                </pt>
                <pt idx="213">
                  <v>0.9073114870339323</v>
                </pt>
                <pt idx="214">
                  <v>0.3625758095572901</v>
                </pt>
                <pt idx="215">
                  <v>0.1298597500954825</v>
                </pt>
                <pt idx="216">
                  <v>-0.03189652486182851</v>
                </pt>
                <pt idx="217">
                  <v>-0.1248601861045286</v>
                </pt>
                <pt idx="218">
                  <v>-0.1956792711577199</v>
                </pt>
                <pt idx="219">
                  <v>-0.1552557115675911</v>
                </pt>
                <pt idx="220">
                  <v>-0.4186130862594685</v>
                </pt>
                <pt idx="221">
                  <v>-0.4225275949932142</v>
                </pt>
                <pt idx="222">
                  <v>-0.394805440997209</v>
                </pt>
                <pt idx="223">
                  <v>-0.6117254201319892</v>
                </pt>
                <pt idx="224">
                  <v>-0.3857009204926998</v>
                </pt>
                <pt idx="225">
                  <v>-0.3976840121812595</v>
                </pt>
                <pt idx="226">
                  <v>-0.01261732803538699</v>
                </pt>
                <pt idx="227">
                  <v>0.3805088705461038</v>
                </pt>
                <pt idx="228">
                  <v>0.9034604533857512</v>
                </pt>
                <pt idx="229">
                  <v>1.008112083377196</v>
                </pt>
                <pt idx="230">
                  <v>0.9464444781782297</v>
                </pt>
                <pt idx="231">
                  <v>1.619013536008572</v>
                </pt>
                <pt idx="232">
                  <v>2.489971816349402</v>
                </pt>
                <pt idx="233">
                  <v>2.366785463137917</v>
                </pt>
                <pt idx="234">
                  <v>2.230941151873174</v>
                </pt>
                <pt idx="235">
                  <v>1.805924735603929</v>
                </pt>
                <pt idx="236">
                  <v>0.9480289864102965</v>
                </pt>
                <pt idx="237">
                  <v>0.9806508152219562</v>
                </pt>
                <pt idx="238">
                  <v>0.5909439554269321</v>
                </pt>
                <pt idx="239">
                  <v>0.4163843070532323</v>
                </pt>
                <pt idx="240">
                  <v>0.3970286749044059</v>
                </pt>
                <pt idx="241">
                  <v>0.2307884610751285</v>
                </pt>
                <pt idx="242">
                  <v>0.2171998888167384</v>
                </pt>
                <pt idx="243">
                  <v>-0.1287117960194921</v>
                </pt>
                <pt idx="244">
                  <v>-0.3680002936803451</v>
                </pt>
                <pt idx="245">
                  <v>-0.5361813616133039</v>
                </pt>
                <pt idx="246">
                  <v>-0.523671745684588</v>
                </pt>
                <pt idx="247">
                  <v>-0.4050259930335549</v>
                </pt>
                <pt idx="248">
                  <v>-0.1102546932093825</v>
                </pt>
                <pt idx="249">
                  <v>-0.1974848727350787</v>
                </pt>
                <pt idx="250">
                  <v>-0.148253796563114</v>
                </pt>
                <pt idx="251">
                  <v>-0.1747035318666602</v>
                </pt>
                <pt idx="252">
                  <v>-0.3084787587237056</v>
                </pt>
                <pt idx="253">
                  <v>-0.3303831911301968</v>
                </pt>
                <pt idx="254">
                  <v>-0.2568138647443799</v>
                </pt>
                <pt idx="255">
                  <v>-0.1545604627619578</v>
                </pt>
                <pt idx="256">
                  <v>0.03608277228678086</v>
                </pt>
                <pt idx="257">
                  <v>1.201702479738727</v>
                </pt>
                <pt idx="258">
                  <v>1.283851062905408</v>
                </pt>
                <pt idx="259">
                  <v>1.345870320252562</v>
                </pt>
                <pt idx="260">
                  <v>1.043162989014899</v>
                </pt>
                <pt idx="261">
                  <v>1.768170529598372</v>
                </pt>
                <pt idx="262">
                  <v>1.767434267556251</v>
                </pt>
                <pt idx="263">
                  <v>1.389159828531633</v>
                </pt>
                <pt idx="264">
                  <v>1.61001849217278</v>
                </pt>
                <pt idx="265">
                  <v>5.08383007972432</v>
                </pt>
                <pt idx="266">
                  <v>4.243226621445636</v>
                </pt>
                <pt idx="267">
                  <v>3.767590175231422</v>
                </pt>
                <pt idx="268">
                  <v>2.572178787369516</v>
                </pt>
                <pt idx="269">
                  <v>0.9205493173938868</v>
                </pt>
                <pt idx="270">
                  <v>1.107998543571718</v>
                </pt>
                <pt idx="271">
                  <v>1.248183563112293</v>
                </pt>
                <pt idx="272">
                  <v>1.241614846892691</v>
                </pt>
                <pt idx="273">
                  <v>0.6932790838905736</v>
                </pt>
                <pt idx="274">
                  <v>0.5389200873362777</v>
                </pt>
                <pt idx="275">
                  <v>1.122111299482144</v>
                </pt>
                <pt idx="276">
                  <v>0.5806897536896449</v>
                </pt>
                <pt idx="277">
                  <v>-0.3825677229465743</v>
                </pt>
                <pt idx="278">
                  <v>-0.3199003329568766</v>
                </pt>
                <pt idx="279">
                  <v>-0.3294810685904908</v>
                </pt>
                <pt idx="280">
                  <v>-0.2116882745606462</v>
                </pt>
                <pt idx="281">
                  <v>0.1999850852738158</v>
                </pt>
                <pt idx="282">
                  <v>-0.2599772591466844</v>
                </pt>
                <pt idx="283">
                  <v>-0.4241303987074803</v>
                </pt>
                <pt idx="284">
                  <v>-0.6527151827874129</v>
                </pt>
                <pt idx="285">
                  <v>-0.676083620872778</v>
                </pt>
                <pt idx="286">
                  <v>-0.7006983099984094</v>
                </pt>
                <pt idx="287">
                  <v>-0.7733185668595416</v>
                </pt>
                <pt idx="288">
                  <v>-0.7213478048329272</v>
                </pt>
                <pt idx="289">
                  <v>-0.6332701952302495</v>
                </pt>
                <pt idx="290">
                  <v>-0.6160369996069522</v>
                </pt>
                <pt idx="291">
                  <v>-0.5934064850070576</v>
                </pt>
                <pt idx="292">
                  <v>-0.6147791339134269</v>
                </pt>
                <pt idx="293">
                  <v>-0.6995479842728426</v>
                </pt>
                <pt idx="294">
                  <v>-0.503965913741061</v>
                </pt>
                <pt idx="295">
                  <v>-0.5376328439571866</v>
                </pt>
                <pt idx="296">
                  <v>0.05271265577529809</v>
                </pt>
                <pt idx="297">
                  <v>0.4155330271358255</v>
                </pt>
                <pt idx="298">
                  <v>1.046948335131591</v>
                </pt>
                <pt idx="299">
                  <v>1.3556002773897</v>
                </pt>
                <pt idx="300">
                  <v>1.80505893144942</v>
                </pt>
                <pt idx="301">
                  <v>1.691581254132546</v>
                </pt>
                <pt idx="302">
                  <v>0.9532532689913925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3265215"/>
        <axId val="393249823"/>
      </lineChart>
      <dateAx>
        <axId val="393265215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3249823"/>
        <crosses val="autoZero"/>
        <lblOffset val="100"/>
        <baseTimeUnit val="months"/>
      </dateAx>
      <valAx>
        <axId val="393249823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3265215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'All Charts'!$BB$2</f>
              <strCache>
                <ptCount val="1"/>
                <pt idx="0">
                  <v>Renewal Rent/SF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 w="19050">
              <a:noFill/>
              <a:prstDash val="solid"/>
            </a:ln>
          </spPr>
          <invertIfNegative val="0"/>
          <dLbls>
            <dLbl>
              <idx val="2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'All Charts'!$C$6:$C$75</f>
              <numCache>
                <formatCode>[$-409]mmm\-yy;@</formatCode>
                <ptCount val="70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</numCache>
            </numRef>
          </cat>
          <val>
            <numRef>
              <f>'All Charts'!$BB$6:$BB$75</f>
              <numCache>
                <formatCode>"$"#,##0.00_);[Red]\("$"#,##0.00\)</formatCode>
                <ptCount val="70"/>
                <pt idx="0">
                  <v>31.98129800078404</v>
                </pt>
                <pt idx="1">
                  <v>32.86869730161818</v>
                </pt>
                <pt idx="2">
                  <v>32.53018701996155</v>
                </pt>
                <pt idx="3">
                  <v>32.37167988451996</v>
                </pt>
                <pt idx="4">
                  <v>32.34349587271803</v>
                </pt>
                <pt idx="5">
                  <v>32.22583284825664</v>
                </pt>
                <pt idx="6">
                  <v>32.1916044788427</v>
                </pt>
                <pt idx="7">
                  <v>31.15178846706192</v>
                </pt>
                <pt idx="8">
                  <v>30.69752617998929</v>
                </pt>
                <pt idx="9">
                  <v>30.80953384831801</v>
                </pt>
                <pt idx="10">
                  <v>31.22931987525802</v>
                </pt>
                <pt idx="11">
                  <v>30.95327470478026</v>
                </pt>
                <pt idx="12">
                  <v>31.75195457445575</v>
                </pt>
                <pt idx="13">
                  <v>31.16017532279747</v>
                </pt>
                <pt idx="14">
                  <v>30.51423388692011</v>
                </pt>
                <pt idx="15">
                  <v>30.06533262159718</v>
                </pt>
                <pt idx="16">
                  <v>30.27493046264746</v>
                </pt>
                <pt idx="17">
                  <v>30.82229884231079</v>
                </pt>
                <pt idx="18">
                  <v>36.17503201635775</v>
                </pt>
                <pt idx="19">
                  <v>37.06129743920814</v>
                </pt>
                <pt idx="20">
                  <v>36.45800159887836</v>
                </pt>
                <pt idx="21">
                  <v>35.91182741120506</v>
                </pt>
                <pt idx="22">
                  <v>35.4381349769077</v>
                </pt>
                <pt idx="23">
                  <v>35.40177048125631</v>
                </pt>
                <pt idx="24">
                  <v>35.06895324896503</v>
                </pt>
                <pt idx="25">
                  <v>34.7741820666541</v>
                </pt>
                <pt idx="26">
                  <v>35.09137661920169</v>
                </pt>
                <pt idx="27">
                  <v>35.08436013171209</v>
                </pt>
                <pt idx="28">
                  <v>35.21199304060902</v>
                </pt>
                <pt idx="29">
                  <v>34.8531368682488</v>
                </pt>
                <pt idx="30">
                  <v>34.70797561752552</v>
                </pt>
                <pt idx="31">
                  <v>30.09113646770927</v>
                </pt>
                <pt idx="32">
                  <v>29.95182905090243</v>
                </pt>
                <pt idx="33">
                  <v>30.33930940622646</v>
                </pt>
                <pt idx="34">
                  <v>30.12286845573686</v>
                </pt>
                <pt idx="35">
                  <v>30.30072156713513</v>
                </pt>
                <pt idx="36">
                  <v>30.86605205638282</v>
                </pt>
                <pt idx="37">
                  <v>30.77477793991107</v>
                </pt>
                <pt idx="38">
                  <v>30.61992018716874</v>
                </pt>
                <pt idx="39">
                  <v>41.12985587923095</v>
                </pt>
                <pt idx="40">
                  <v>41.01975674519824</v>
                </pt>
                <pt idx="41">
                  <v>41.22977790647482</v>
                </pt>
                <pt idx="42">
                  <v>40.74470773939253</v>
                </pt>
                <pt idx="43">
                  <v>41.37905933631924</v>
                </pt>
                <pt idx="44">
                  <v>41.75254171445624</v>
                </pt>
                <pt idx="45">
                  <v>41.46141764516487</v>
                </pt>
                <pt idx="46">
                  <v>41.06790435388201</v>
                </pt>
                <pt idx="47">
                  <v>41.44520295823109</v>
                </pt>
                <pt idx="48">
                  <v>41.6015646141569</v>
                </pt>
                <pt idx="49">
                  <v>41.52513886106595</v>
                </pt>
                <pt idx="50">
                  <v>41.26441219735356</v>
                </pt>
                <pt idx="51">
                  <v>36.06927834946777</v>
                </pt>
                <pt idx="52">
                  <v>31.92814161322474</v>
                </pt>
                <pt idx="53">
                  <v>31.08188758171828</v>
                </pt>
                <pt idx="54">
                  <v>30.64570913137881</v>
                </pt>
                <pt idx="55">
                  <v>30.91435472779442</v>
                </pt>
                <pt idx="56">
                  <v>29.77931889050173</v>
                </pt>
                <pt idx="57">
                  <v>30.15001849239511</v>
                </pt>
                <pt idx="58">
                  <v>30.20332675318719</v>
                </pt>
                <pt idx="59">
                  <v>30.16506251446624</v>
                </pt>
                <pt idx="60">
                  <v>29.78417643011581</v>
                </pt>
                <pt idx="61">
                  <v>30.70122042167015</v>
                </pt>
                <pt idx="62">
                  <v>30.40524865001272</v>
                </pt>
                <pt idx="63">
                  <v>30.79602963743925</v>
                </pt>
                <pt idx="64">
                  <v>30.95670367976401</v>
                </pt>
                <pt idx="65">
                  <v>31.16006243481269</v>
                </pt>
                <pt idx="66">
                  <v>31.45015232403612</v>
                </pt>
                <pt idx="67">
                  <v>31.52425246444268</v>
                </pt>
                <pt idx="68">
                  <v>31.08318341383475</v>
                </pt>
                <pt idx="69">
                  <v>31.21465996312219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00"/>
        <axId val="1488836111"/>
        <axId val="1488839023"/>
      </barChart>
      <stockChart>
        <ser>
          <idx val="1"/>
          <order val="1"/>
          <tx>
            <strRef>
              <f>'All Charts'!$BC$2</f>
              <strCache>
                <ptCount val="1"/>
                <pt idx="0">
                  <v>Upper Quartile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Charts'!$C$6:$C$75</f>
              <numCache>
                <formatCode>[$-409]mmm\-yy;@</formatCode>
                <ptCount val="70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</numCache>
            </numRef>
          </cat>
          <val>
            <numRef>
              <f>'All Charts'!$BC$6:$BC$75</f>
              <numCache>
                <formatCode>0.00%</formatCode>
                <ptCount val="70"/>
                <pt idx="0">
                  <v>0.02580638196002805</v>
                </pt>
                <pt idx="1">
                  <v>0.02638266658662958</v>
                </pt>
                <pt idx="2">
                  <v>0.02646924729198874</v>
                </pt>
                <pt idx="3">
                  <v>0.02558569126474741</v>
                </pt>
                <pt idx="4">
                  <v>0.02551197703346536</v>
                </pt>
                <pt idx="5">
                  <v>0.02551269093500363</v>
                </pt>
                <pt idx="6">
                  <v>0.02551126313192709</v>
                </pt>
                <pt idx="7">
                  <v>0.02597968294085351</v>
                </pt>
                <pt idx="8">
                  <v>0.02551054923038881</v>
                </pt>
                <pt idx="9">
                  <v>0.02630095474640648</v>
                </pt>
                <pt idx="10">
                  <v>0.02614031884362999</v>
                </pt>
                <pt idx="11">
                  <v>0.02597968294085351</v>
                </pt>
                <pt idx="12">
                  <v>0.02665246422374379</v>
                </pt>
                <pt idx="13">
                  <v>0.0254311590158392</v>
                </pt>
                <pt idx="14">
                  <v>0.02430659733802421</v>
                </pt>
                <pt idx="15">
                  <v>0.02409073803525169</v>
                </pt>
                <pt idx="16">
                  <v>0.02516419058082175</v>
                </pt>
                <pt idx="17">
                  <v>0.02425489838795786</v>
                </pt>
                <pt idx="18">
                  <v>0.02351670171207171</v>
                </pt>
                <pt idx="19">
                  <v>0.0212541426673421</v>
                </pt>
                <pt idx="20">
                  <v>0.02117408500658158</v>
                </pt>
                <pt idx="21">
                  <v>0.01992486952394756</v>
                </pt>
                <pt idx="22">
                  <v>0.01954475104627107</v>
                </pt>
                <pt idx="23">
                  <v>0.01943036880962268</v>
                </pt>
                <pt idx="24">
                  <v>0.01857024971196686</v>
                </pt>
                <pt idx="25">
                  <v>0.01811932338478517</v>
                </pt>
                <pt idx="26">
                  <v>0.0187667614107736</v>
                </pt>
                <pt idx="27">
                  <v>0.01859730105905538</v>
                </pt>
                <pt idx="28">
                  <v>0.01853940169613377</v>
                </pt>
                <pt idx="29">
                  <v>0.01835622451293195</v>
                </pt>
                <pt idx="30">
                  <v>0.01857024971196686</v>
                </pt>
                <pt idx="31">
                  <v>0.01884698302878463</v>
                </pt>
                <pt idx="32">
                  <v>0.01892720464679565</v>
                </pt>
                <pt idx="33">
                  <v>0.01925116060785187</v>
                </pt>
                <pt idx="34">
                  <v>0.0196744150243322</v>
                </pt>
                <pt idx="35">
                  <v>0.01948829030171628</v>
                </pt>
                <pt idx="36">
                  <v>0.02032663738206775</v>
                </pt>
                <pt idx="37">
                  <v>0.02023847501613735</v>
                </pt>
                <pt idx="38">
                  <v>0.02088934792863417</v>
                </pt>
                <pt idx="39">
                  <v>0.03002582552759581</v>
                </pt>
                <pt idx="40">
                  <v>0.03468288683790777</v>
                </pt>
                <pt idx="41">
                  <v>0.0359712264877371</v>
                </pt>
                <pt idx="42">
                  <v>0.03522314292340406</v>
                </pt>
                <pt idx="43">
                  <v>0.036049523140332</v>
                </pt>
                <pt idx="44">
                  <v>0.03690900845407685</v>
                </pt>
                <pt idx="45">
                  <v>0.03685264606598349</v>
                </pt>
                <pt idx="46">
                  <v>0.03614228030787436</v>
                </pt>
                <pt idx="47">
                  <v>0.03594710028337988</v>
                </pt>
                <pt idx="48">
                  <v>0.03521249935003878</v>
                </pt>
                <pt idx="49">
                  <v>0.03584951027113265</v>
                </pt>
                <pt idx="50">
                  <v>0.03652465845231173</v>
                </pt>
                <pt idx="51">
                  <v>0.02813405746441333</v>
                </pt>
                <pt idx="52">
                  <v>0.02337359564911501</v>
                </pt>
                <pt idx="53">
                  <v>0.02263645687017068</v>
                </pt>
                <pt idx="54">
                  <v>0.02276291586761414</v>
                </pt>
                <pt idx="55">
                  <v>0.02275613359382395</v>
                </pt>
                <pt idx="56">
                  <v>0.02263317222380901</v>
                </pt>
                <pt idx="57">
                  <v>0.02273578677245336</v>
                </pt>
                <pt idx="58">
                  <v>0.02185549233636142</v>
                </pt>
                <pt idx="59">
                  <v>0.02150362112308035</v>
                </pt>
                <pt idx="60">
                  <v>0.02182065694235269</v>
                </pt>
                <pt idx="61">
                  <v>0.02271095429688269</v>
                </pt>
                <pt idx="62">
                  <v>0.02263601956293326</v>
                </pt>
                <pt idx="63">
                  <v>0.02184579267347619</v>
                </pt>
                <pt idx="64">
                  <v>0.02205409109792611</v>
                </pt>
                <pt idx="65">
                  <v>0.02111388474425513</v>
                </pt>
                <pt idx="66">
                  <v>0.0216439638928283</v>
                </pt>
                <pt idx="67">
                  <v>0.0206437676351352</v>
                </pt>
                <pt idx="68">
                  <v>0.02227956990097191</v>
                </pt>
                <pt idx="69">
                  <v>0.0220036252208462</v>
                </pt>
              </numCache>
            </numRef>
          </val>
          <smooth val="0"/>
        </ser>
        <ser>
          <idx val="2"/>
          <order val="2"/>
          <tx>
            <strRef>
              <f>'All Charts'!$BD$2</f>
              <strCache>
                <ptCount val="1"/>
                <pt idx="0">
                  <v>Lower Quartile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Charts'!$C$6:$C$75</f>
              <numCache>
                <formatCode>[$-409]mmm\-yy;@</formatCode>
                <ptCount val="70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</numCache>
            </numRef>
          </cat>
          <val>
            <numRef>
              <f>'All Charts'!$BD$6:$BD$75</f>
              <numCache>
                <formatCode>0.00%</formatCode>
                <ptCount val="70"/>
                <pt idx="0">
                  <v>-0.001946206865681921</v>
                </pt>
                <pt idx="1">
                  <v>-0.001946206865681921</v>
                </pt>
                <pt idx="2">
                  <v>-0.001591465168164247</v>
                </pt>
                <pt idx="3">
                  <v>-0.001257121477239137</v>
                </pt>
                <pt idx="4">
                  <v>-0.00145155870757388</v>
                </pt>
                <pt idx="5">
                  <v>-0.0008456713522863035</v>
                </pt>
                <pt idx="6">
                  <v>-0.0008834991847749274</v>
                </pt>
                <pt idx="7">
                  <v>8.637621533785778e-05</v>
                </pt>
                <pt idx="8">
                  <v>-0.0001233245114652948</v>
                </pt>
                <pt idx="9">
                  <v>8.334040156826594e-05</v>
                </pt>
                <pt idx="10">
                  <v>-0.000126570054845343</v>
                </pt>
                <pt idx="11">
                  <v>8.637621533785778e-05</v>
                </pt>
                <pt idx="12">
                  <v>8.789412222265369e-05</v>
                </pt>
                <pt idx="13">
                  <v>8.334040156826594e-05</v>
                </pt>
                <pt idx="14">
                  <v>-0.0007311324950765308</v>
                </pt>
                <pt idx="15">
                  <v>-0.001720553566930461</v>
                </pt>
                <pt idx="16">
                  <v>-0.002413229995208266</v>
                </pt>
                <pt idx="17">
                  <v>-0.004091528516466797</v>
                </pt>
                <pt idx="18">
                  <v>-0.005258054857854216</v>
                </pt>
                <pt idx="19">
                  <v>-0.005706376727907803</v>
                </pt>
                <pt idx="20">
                  <v>-0.006441869167449488</v>
                </pt>
                <pt idx="21">
                  <v>-0.006899709599344273</v>
                </pt>
                <pt idx="22">
                  <v>-0.007474727316933799</v>
                </pt>
                <pt idx="23">
                  <v>-0.007533657431481044</v>
                </pt>
                <pt idx="24">
                  <v>-0.00864010954470007</v>
                </pt>
                <pt idx="25">
                  <v>-0.009292467205373578</v>
                </pt>
                <pt idx="26">
                  <v>-0.008721902998832243</v>
                </pt>
                <pt idx="27">
                  <v>-0.009761384885026453</v>
                </pt>
                <pt idx="28">
                  <v>-0.009761384885026453</v>
                </pt>
                <pt idx="29">
                  <v>-0.009259059054358199</v>
                </pt>
                <pt idx="30">
                  <v>-0.007588098090680062</v>
                </pt>
                <pt idx="31">
                  <v>-0.008590616290814146</v>
                </pt>
                <pt idx="32">
                  <v>-0.00864010954470007</v>
                </pt>
                <pt idx="33">
                  <v>-0.009011897397927071</v>
                </pt>
                <pt idx="34">
                  <v>-0.008796530737628538</v>
                </pt>
                <pt idx="35">
                  <v>-0.008589527420100995</v>
                </pt>
                <pt idx="36">
                  <v>-0.008170651380218052</v>
                </pt>
                <pt idx="37">
                  <v>-0.007825659154671261</v>
                </pt>
                <pt idx="38">
                  <v>-0.00779097883889629</v>
                </pt>
                <pt idx="39">
                  <v>-0.007097696051653224</v>
                </pt>
                <pt idx="40">
                  <v>-0.00701126293052326</v>
                </pt>
                <pt idx="41">
                  <v>-0.006660093070957107</v>
                </pt>
                <pt idx="42">
                  <v>-0.006701607633332302</v>
                </pt>
                <pt idx="43">
                  <v>-0.006170339340348607</v>
                </pt>
                <pt idx="44">
                  <v>-0.00417640152836693</v>
                </pt>
                <pt idx="45">
                  <v>-0.003104238762753231</v>
                </pt>
                <pt idx="46">
                  <v>-0.002841945597430673</v>
                </pt>
                <pt idx="47">
                  <v>-0.001959017268604757</v>
                </pt>
                <pt idx="48">
                  <v>-0.002692731968983619</v>
                </pt>
                <pt idx="49">
                  <v>-0.002119552466363694</v>
                </pt>
                <pt idx="50">
                  <v>-0.002692731968983619</v>
                </pt>
                <pt idx="51">
                  <v>-0.001919914050416915</v>
                </pt>
                <pt idx="52">
                  <v>-0.001765208887541447</v>
                </pt>
                <pt idx="53">
                  <v>-0.001998120486792598</v>
                </pt>
                <pt idx="54">
                  <v>-0.001495552697192704</v>
                </pt>
                <pt idx="55">
                  <v>-0.00115078320519954</v>
                </pt>
                <pt idx="56">
                  <v>-0.00141145053653588</v>
                </pt>
                <pt idx="57">
                  <v>-0.001159144054565409</v>
                </pt>
                <pt idx="58">
                  <v>-0.001744682541540588</v>
                </pt>
                <pt idx="59">
                  <v>-0.002192192165351381</v>
                </pt>
                <pt idx="60">
                  <v>-0.002648031829213915</v>
                </pt>
                <pt idx="61">
                  <v>-0.002696285196875065</v>
                </pt>
                <pt idx="62">
                  <v>-0.002596793759468669</v>
                </pt>
                <pt idx="63">
                  <v>-0.002570234139754518</v>
                </pt>
                <pt idx="64">
                  <v>-0.001606922292294782</v>
                </pt>
                <pt idx="65">
                  <v>-0.001321688850075997</v>
                </pt>
                <pt idx="66">
                  <v>-0.001547201520380598</v>
                </pt>
                <pt idx="67">
                  <v>-0.003467376546774037</v>
                </pt>
                <pt idx="68">
                  <v>-0.002680200740988015</v>
                </pt>
                <pt idx="69">
                  <v>-0.001828659013660472</v>
                </pt>
              </numCache>
            </numRef>
          </val>
          <smooth val="0"/>
        </ser>
        <ser>
          <idx val="3"/>
          <order val="3"/>
          <tx>
            <strRef>
              <f>'All Charts'!$BE$2</f>
              <strCache>
                <ptCount val="1"/>
                <pt idx="0">
                  <v>Average Renewal Rent CAGR</v>
                </pt>
              </strCache>
            </strRef>
          </tx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4"/>
            <spPr>
              <a:solidFill xmlns:a="http://schemas.openxmlformats.org/drawingml/2006/main">
                <a:srgbClr val="62B5E5"/>
              </a:solidFill>
              <a:ln xmlns:a="http://schemas.openxmlformats.org/drawingml/2006/main" w="38100">
                <a:noFill/>
                <a:prstDash val="solid"/>
              </a:ln>
            </spPr>
          </marker>
          <cat>
            <numRef>
              <f>'All Charts'!$C$6:$C$75</f>
              <numCache>
                <formatCode>[$-409]mmm\-yy;@</formatCode>
                <ptCount val="70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</numCache>
            </numRef>
          </cat>
          <val>
            <numRef>
              <f>'All Charts'!$BE$6:$BE$75</f>
              <numCache>
                <formatCode>0.00%</formatCode>
                <ptCount val="70"/>
                <pt idx="0">
                  <v>0.01373286213527118</v>
                </pt>
                <pt idx="1">
                  <v>0.01437257179129316</v>
                </pt>
                <pt idx="2">
                  <v>0.01458546873442144</v>
                </pt>
                <pt idx="3">
                  <v>0.0130541436502845</v>
                </pt>
                <pt idx="4">
                  <v>0.01339356210050146</v>
                </pt>
                <pt idx="5">
                  <v>0.0132704305359733</v>
                </pt>
                <pt idx="6">
                  <v>0.01278441451148465</v>
                </pt>
                <pt idx="7">
                  <v>0.01276802735989453</v>
                </pt>
                <pt idx="8">
                  <v>0.01224275266050019</v>
                </pt>
                <pt idx="9">
                  <v>0.01367807493804611</v>
                </pt>
                <pt idx="10">
                  <v>0.01389397209675241</v>
                </pt>
                <pt idx="11">
                  <v>0.01447024966040112</v>
                </pt>
                <pt idx="12">
                  <v>0.01435027242470066</v>
                </pt>
                <pt idx="13">
                  <v>0.0135205756006025</v>
                </pt>
                <pt idx="14">
                  <v>0.01219718438189049</v>
                </pt>
                <pt idx="15">
                  <v>0.01240323569920218</v>
                </pt>
                <pt idx="16">
                  <v>0.01243768739122306</v>
                </pt>
                <pt idx="17">
                  <v>0.01164531486701648</v>
                </pt>
                <pt idx="18">
                  <v>0.01118767260048946</v>
                </pt>
                <pt idx="19">
                  <v>0.009210883557954106</v>
                </pt>
                <pt idx="20">
                  <v>0.008863292659138497</v>
                </pt>
                <pt idx="21">
                  <v>0.007658216220765747</v>
                </pt>
                <pt idx="22">
                  <v>0.006603567574182424</v>
                </pt>
                <pt idx="23">
                  <v>0.006568396107280504</v>
                </pt>
                <pt idx="24">
                  <v>0.005997070561429838</v>
                </pt>
                <pt idx="25">
                  <v>0.006025507635326681</v>
                </pt>
                <pt idx="26">
                  <v>0.006378609464720898</v>
                </pt>
                <pt idx="27">
                  <v>0.006163651220879965</v>
                </pt>
                <pt idx="28">
                  <v>0.00654176135127309</v>
                </pt>
                <pt idx="29">
                  <v>0.006476833335918317</v>
                </pt>
                <pt idx="30">
                  <v>0.006628897659800225</v>
                </pt>
                <pt idx="31">
                  <v>0.006246268004595212</v>
                </pt>
                <pt idx="32">
                  <v>0.006753283515458609</v>
                </pt>
                <pt idx="33">
                  <v>0.006373702489328676</v>
                </pt>
                <pt idx="34">
                  <v>0.006431694139917169</v>
                </pt>
                <pt idx="35">
                  <v>0.006371108416737423</v>
                </pt>
                <pt idx="36">
                  <v>0.007741742243131313</v>
                </pt>
                <pt idx="37">
                  <v>0.007566712133714923</v>
                </pt>
                <pt idx="38">
                  <v>0.00782391686723352</v>
                </pt>
                <pt idx="39">
                  <v>0.009523745747507695</v>
                </pt>
                <pt idx="40">
                  <v>0.009816199871409026</v>
                </pt>
                <pt idx="41">
                  <v>0.00970688395315753</v>
                </pt>
                <pt idx="42">
                  <v>0.009831297553408919</v>
                </pt>
                <pt idx="43">
                  <v>0.01133978429430814</v>
                </pt>
                <pt idx="44">
                  <v>0.01219067167421234</v>
                </pt>
                <pt idx="45">
                  <v>0.01233408765361015</v>
                </pt>
                <pt idx="46">
                  <v>0.01238407941797741</v>
                </pt>
                <pt idx="47">
                  <v>0.01329692621380654</v>
                </pt>
                <pt idx="48">
                  <v>0.0123817586005567</v>
                </pt>
                <pt idx="49">
                  <v>0.01321837367016018</v>
                </pt>
                <pt idx="50">
                  <v>0.01302311050463741</v>
                </pt>
                <pt idx="51">
                  <v>0.01282238793124482</v>
                </pt>
                <pt idx="52">
                  <v>0.01211595993943474</v>
                </pt>
                <pt idx="53">
                  <v>0.01179281192872396</v>
                </pt>
                <pt idx="54">
                  <v>0.01218057347168361</v>
                </pt>
                <pt idx="55">
                  <v>0.01201719828242294</v>
                </pt>
                <pt idx="56">
                  <v>0.0109610132563459</v>
                </pt>
                <pt idx="57">
                  <v>0.01131346410750047</v>
                </pt>
                <pt idx="58">
                  <v>0.01114931123098527</v>
                </pt>
                <pt idx="59">
                  <v>0.01018596688532153</v>
                </pt>
                <pt idx="60">
                  <v>0.01070909264780458</v>
                </pt>
                <pt idx="61">
                  <v>0.01137545388371495</v>
                </pt>
                <pt idx="62">
                  <v>0.01113582074603641</v>
                </pt>
                <pt idx="63">
                  <v>0.0105214216575614</v>
                </pt>
                <pt idx="64">
                  <v>0.0109504347530809</v>
                </pt>
                <pt idx="65">
                  <v>0.01070156048866944</v>
                </pt>
                <pt idx="66">
                  <v>0.009560742308775814</v>
                </pt>
                <pt idx="67">
                  <v>0.0094821208305717</v>
                </pt>
                <pt idx="68">
                  <v>0.009911085741536865</v>
                </pt>
                <pt idx="69">
                  <v>0.01031942617647568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19050" cap="flat" cmpd="sng" algn="ctr">
              <a:solidFill>
                <a:schemeClr val="tx2"/>
              </a:solidFill>
              <a:prstDash val="solid"/>
              <a:round/>
            </a:ln>
          </spPr>
        </hiLowLines>
        <axId val="1488835695"/>
        <axId val="1488838607"/>
      </stockChart>
      <dateAx>
        <axId val="1488836111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8839023"/>
        <crosses val="autoZero"/>
        <lblOffset val="100"/>
        <baseTimeUnit val="months"/>
        <majorUnit val="3"/>
        <majorTimeUnit val="months"/>
      </dateAx>
      <valAx>
        <axId val="1488839023"/>
        <scaling>
          <orientation val="minMax"/>
        </scaling>
        <delete val="0"/>
        <axPos val="l"/>
        <majorGridlines>
          <spPr>
            <a:ln xmlns:a="http://schemas.openxmlformats.org/drawingml/2006/main"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&quot;$&quot;#,##0.00_);[Red]\(&quot;$&quot;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8836111"/>
        <crosses val="autoZero"/>
        <crossBetween val="between"/>
      </valAx>
      <dateAx>
        <axId val="1488835695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1488838607"/>
        <crosses val="autoZero"/>
        <lblOffset val="100"/>
        <baseTimeUnit val="months"/>
      </dateAx>
      <valAx>
        <axId val="1488838607"/>
        <scaling>
          <orientation val="minMax"/>
          <max val="0.08000000000000002"/>
          <min val="-0.04000000000000001"/>
        </scaling>
        <delete val="0"/>
        <axPos val="r"/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88835695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'All Charts'!$BE$2</f>
              <strCache>
                <ptCount val="1"/>
                <pt idx="0">
                  <v>Average Renewal Rent CAGR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Charts'!$C$6:$C$130</f>
              <numCache>
                <formatCode>[$-409]mmm\-yy;@</formatCode>
                <ptCount val="125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  <pt idx="70">
                  <v>43616</v>
                </pt>
                <pt idx="71">
                  <v>43585</v>
                </pt>
                <pt idx="72">
                  <v>43555</v>
                </pt>
                <pt idx="73">
                  <v>43524</v>
                </pt>
                <pt idx="74">
                  <v>43496</v>
                </pt>
                <pt idx="75">
                  <v>43465</v>
                </pt>
                <pt idx="76">
                  <v>43434</v>
                </pt>
                <pt idx="77">
                  <v>43404</v>
                </pt>
                <pt idx="78">
                  <v>43373</v>
                </pt>
                <pt idx="79">
                  <v>43343</v>
                </pt>
                <pt idx="80">
                  <v>43312</v>
                </pt>
                <pt idx="81">
                  <v>43281</v>
                </pt>
                <pt idx="82">
                  <v>43251</v>
                </pt>
                <pt idx="83">
                  <v>43220</v>
                </pt>
                <pt idx="84">
                  <v>43190</v>
                </pt>
                <pt idx="85">
                  <v>43159</v>
                </pt>
                <pt idx="86">
                  <v>43131</v>
                </pt>
                <pt idx="87">
                  <v>43100</v>
                </pt>
                <pt idx="88">
                  <v>43069</v>
                </pt>
                <pt idx="89">
                  <v>43039</v>
                </pt>
                <pt idx="90">
                  <v>43008</v>
                </pt>
                <pt idx="91">
                  <v>42978</v>
                </pt>
                <pt idx="92">
                  <v>42947</v>
                </pt>
                <pt idx="93">
                  <v>42916</v>
                </pt>
                <pt idx="94">
                  <v>42886</v>
                </pt>
                <pt idx="95">
                  <v>42855</v>
                </pt>
                <pt idx="96">
                  <v>42825</v>
                </pt>
                <pt idx="97">
                  <v>42794</v>
                </pt>
                <pt idx="98">
                  <v>42766</v>
                </pt>
                <pt idx="99">
                  <v>42735</v>
                </pt>
                <pt idx="100">
                  <v>42704</v>
                </pt>
                <pt idx="101">
                  <v>42674</v>
                </pt>
                <pt idx="102">
                  <v>42643</v>
                </pt>
                <pt idx="103">
                  <v>42613</v>
                </pt>
                <pt idx="104">
                  <v>42582</v>
                </pt>
                <pt idx="105">
                  <v>42551</v>
                </pt>
                <pt idx="106">
                  <v>42521</v>
                </pt>
                <pt idx="107">
                  <v>42490</v>
                </pt>
                <pt idx="108">
                  <v>42460</v>
                </pt>
                <pt idx="109">
                  <v>42429</v>
                </pt>
                <pt idx="110">
                  <v>42400</v>
                </pt>
                <pt idx="111">
                  <v>42369</v>
                </pt>
                <pt idx="112">
                  <v>42338</v>
                </pt>
                <pt idx="113">
                  <v>42308</v>
                </pt>
                <pt idx="114">
                  <v>42277</v>
                </pt>
                <pt idx="115">
                  <v>42247</v>
                </pt>
                <pt idx="116">
                  <v>42216</v>
                </pt>
                <pt idx="117">
                  <v>42185</v>
                </pt>
                <pt idx="118">
                  <v>42155</v>
                </pt>
                <pt idx="119">
                  <v>42124</v>
                </pt>
                <pt idx="120">
                  <v>42094</v>
                </pt>
                <pt idx="121">
                  <v>42063</v>
                </pt>
                <pt idx="122">
                  <v>42035</v>
                </pt>
                <pt idx="123">
                  <v>42004</v>
                </pt>
                <pt idx="124">
                  <v>41973</v>
                </pt>
              </numCache>
            </numRef>
          </cat>
          <val>
            <numRef>
              <f>'All Charts'!$BE$6:$BE$130</f>
              <numCache>
                <formatCode>0.00%</formatCode>
                <ptCount val="125"/>
                <pt idx="0">
                  <v>0.01373286213527118</v>
                </pt>
                <pt idx="1">
                  <v>0.01437257179129316</v>
                </pt>
                <pt idx="2">
                  <v>0.01458546873442144</v>
                </pt>
                <pt idx="3">
                  <v>0.0130541436502845</v>
                </pt>
                <pt idx="4">
                  <v>0.01339356210050146</v>
                </pt>
                <pt idx="5">
                  <v>0.0132704305359733</v>
                </pt>
                <pt idx="6">
                  <v>0.01278441451148465</v>
                </pt>
                <pt idx="7">
                  <v>0.01276802735989453</v>
                </pt>
                <pt idx="8">
                  <v>0.01224275266050019</v>
                </pt>
                <pt idx="9">
                  <v>0.01367807493804611</v>
                </pt>
                <pt idx="10">
                  <v>0.01389397209675241</v>
                </pt>
                <pt idx="11">
                  <v>0.01447024966040112</v>
                </pt>
                <pt idx="12">
                  <v>0.01435027242470066</v>
                </pt>
                <pt idx="13">
                  <v>0.0135205756006025</v>
                </pt>
                <pt idx="14">
                  <v>0.01219718438189049</v>
                </pt>
                <pt idx="15">
                  <v>0.01240323569920218</v>
                </pt>
                <pt idx="16">
                  <v>0.01243768739122306</v>
                </pt>
                <pt idx="17">
                  <v>0.01164531486701648</v>
                </pt>
                <pt idx="18">
                  <v>0.01118767260048946</v>
                </pt>
                <pt idx="19">
                  <v>0.009210883557954106</v>
                </pt>
                <pt idx="20">
                  <v>0.008863292659138497</v>
                </pt>
                <pt idx="21">
                  <v>0.007658216220765747</v>
                </pt>
                <pt idx="22">
                  <v>0.006603567574182424</v>
                </pt>
                <pt idx="23">
                  <v>0.006568396107280504</v>
                </pt>
                <pt idx="24">
                  <v>0.005997070561429838</v>
                </pt>
                <pt idx="25">
                  <v>0.006025507635326681</v>
                </pt>
                <pt idx="26">
                  <v>0.006378609464720898</v>
                </pt>
                <pt idx="27">
                  <v>0.006163651220879965</v>
                </pt>
                <pt idx="28">
                  <v>0.00654176135127309</v>
                </pt>
                <pt idx="29">
                  <v>0.006476833335918317</v>
                </pt>
                <pt idx="30">
                  <v>0.006628897659800225</v>
                </pt>
                <pt idx="31">
                  <v>0.006246268004595212</v>
                </pt>
                <pt idx="32">
                  <v>0.006753283515458609</v>
                </pt>
                <pt idx="33">
                  <v>0.006373702489328676</v>
                </pt>
                <pt idx="34">
                  <v>0.006431694139917169</v>
                </pt>
                <pt idx="35">
                  <v>0.006371108416737423</v>
                </pt>
                <pt idx="36">
                  <v>0.007741742243131313</v>
                </pt>
                <pt idx="37">
                  <v>0.007566712133714923</v>
                </pt>
                <pt idx="38">
                  <v>0.00782391686723352</v>
                </pt>
                <pt idx="39">
                  <v>0.009523745747507695</v>
                </pt>
                <pt idx="40">
                  <v>0.009816199871409026</v>
                </pt>
                <pt idx="41">
                  <v>0.00970688395315753</v>
                </pt>
                <pt idx="42">
                  <v>0.009831297553408919</v>
                </pt>
                <pt idx="43">
                  <v>0.01133978429430814</v>
                </pt>
                <pt idx="44">
                  <v>0.01219067167421234</v>
                </pt>
                <pt idx="45">
                  <v>0.01233408765361015</v>
                </pt>
                <pt idx="46">
                  <v>0.01238407941797741</v>
                </pt>
                <pt idx="47">
                  <v>0.01329692621380654</v>
                </pt>
                <pt idx="48">
                  <v>0.0123817586005567</v>
                </pt>
                <pt idx="49">
                  <v>0.01321837367016018</v>
                </pt>
                <pt idx="50">
                  <v>0.01302311050463741</v>
                </pt>
                <pt idx="51">
                  <v>0.01282238793124482</v>
                </pt>
                <pt idx="52">
                  <v>0.01211595993943474</v>
                </pt>
                <pt idx="53">
                  <v>0.01179281192872396</v>
                </pt>
                <pt idx="54">
                  <v>0.01218057347168361</v>
                </pt>
                <pt idx="55">
                  <v>0.01201719828242294</v>
                </pt>
                <pt idx="56">
                  <v>0.0109610132563459</v>
                </pt>
                <pt idx="57">
                  <v>0.01131346410750047</v>
                </pt>
                <pt idx="58">
                  <v>0.01114931123098527</v>
                </pt>
                <pt idx="59">
                  <v>0.01018596688532153</v>
                </pt>
                <pt idx="60">
                  <v>0.01070909264780458</v>
                </pt>
                <pt idx="61">
                  <v>0.01137545388371495</v>
                </pt>
                <pt idx="62">
                  <v>0.01113582074603641</v>
                </pt>
                <pt idx="63">
                  <v>0.0105214216575614</v>
                </pt>
                <pt idx="64">
                  <v>0.0109504347530809</v>
                </pt>
                <pt idx="65">
                  <v>0.01070156048866944</v>
                </pt>
                <pt idx="66">
                  <v>0.009560742308775814</v>
                </pt>
                <pt idx="67">
                  <v>0.0094821208305717</v>
                </pt>
                <pt idx="68">
                  <v>0.009911085741536865</v>
                </pt>
                <pt idx="69">
                  <v>0.01031942617647568</v>
                </pt>
                <pt idx="70">
                  <v>0.01070812988808266</v>
                </pt>
                <pt idx="71">
                  <v>0.01060711923052129</v>
                </pt>
                <pt idx="72">
                  <v>0.01200262453677197</v>
                </pt>
                <pt idx="73">
                  <v>0.01141432630239615</v>
                </pt>
                <pt idx="74">
                  <v>0.01113142885628906</v>
                </pt>
                <pt idx="75">
                  <v>0.0121663824295742</v>
                </pt>
                <pt idx="76">
                  <v>0.01223686335738628</v>
                </pt>
                <pt idx="77">
                  <v>0.01317906868806745</v>
                </pt>
                <pt idx="78">
                  <v>0.01331576523994434</v>
                </pt>
                <pt idx="79">
                  <v>0.01387235644385851</v>
                </pt>
                <pt idx="80">
                  <v>0.0135042911983984</v>
                </pt>
                <pt idx="81">
                  <v>0.01415343686220424</v>
                </pt>
                <pt idx="82">
                  <v>0.01363328107088011</v>
                </pt>
                <pt idx="83">
                  <v>0.01415590547044214</v>
                </pt>
                <pt idx="84">
                  <v>0.01452550592765879</v>
                </pt>
                <pt idx="85">
                  <v>0.01514543903618549</v>
                </pt>
                <pt idx="86">
                  <v>0.01583750938188522</v>
                </pt>
                <pt idx="87">
                  <v>0.01500830034648776</v>
                </pt>
                <pt idx="88">
                  <v>0.01502817949121857</v>
                </pt>
                <pt idx="89">
                  <v>0.01586694045288078</v>
                </pt>
                <pt idx="90">
                  <v>0.01522159112983986</v>
                </pt>
                <pt idx="91">
                  <v>0.01567374742538479</v>
                </pt>
                <pt idx="92">
                  <v>0.01678557748291793</v>
                </pt>
                <pt idx="93">
                  <v>0.01739013277853812</v>
                </pt>
                <pt idx="94">
                  <v>0.01786362538737597</v>
                </pt>
                <pt idx="95">
                  <v>0.01779834664050425</v>
                </pt>
                <pt idx="96">
                  <v>0.01771280339168393</v>
                </pt>
                <pt idx="97">
                  <v>0.01748422126506255</v>
                </pt>
                <pt idx="98">
                  <v>0.01732166289839391</v>
                </pt>
                <pt idx="99">
                  <v>0.01817518629334659</v>
                </pt>
                <pt idx="100">
                  <v>0.01762549562110216</v>
                </pt>
                <pt idx="101">
                  <v>0.01818929999136254</v>
                </pt>
                <pt idx="102">
                  <v>0.01843116222924349</v>
                </pt>
                <pt idx="103">
                  <v>0.01897577457925468</v>
                </pt>
                <pt idx="104">
                  <v>0.01849917575202552</v>
                </pt>
                <pt idx="105">
                  <v>0.0177407975076365</v>
                </pt>
                <pt idx="106">
                  <v>0.01689915332856987</v>
                </pt>
                <pt idx="107">
                  <v>0.01645316665707704</v>
                </pt>
                <pt idx="108">
                  <v>0.01638951092062815</v>
                </pt>
                <pt idx="109">
                  <v>0.01695350809350983</v>
                </pt>
                <pt idx="110">
                  <v>0.01727936054754474</v>
                </pt>
                <pt idx="111">
                  <v>0.01311208045859588</v>
                </pt>
                <pt idx="112">
                  <v>0.0142387518695051</v>
                </pt>
                <pt idx="113">
                  <v>0.01423264734126869</v>
                </pt>
                <pt idx="114">
                  <v>0.01510166794368833</v>
                </pt>
                <pt idx="115">
                  <v>0.01471342004829265</v>
                </pt>
                <pt idx="116">
                  <v>0.01404048604951146</v>
                </pt>
                <pt idx="117">
                  <v>0.01472413333974475</v>
                </pt>
                <pt idx="118">
                  <v>0.01558212900586447</v>
                </pt>
                <pt idx="119">
                  <v>0.01594482526312387</v>
                </pt>
                <pt idx="120">
                  <v>0.01619434034410199</v>
                </pt>
                <pt idx="121">
                  <v>0.01600819332363563</v>
                </pt>
                <pt idx="122">
                  <v>0.01559814595727761</v>
                </pt>
                <pt idx="123">
                  <v>0.01565934932306424</v>
                </pt>
                <pt idx="124">
                  <v>0.0172312370146272</v>
                </pt>
              </numCache>
            </numRef>
          </val>
          <smooth val="0"/>
        </ser>
        <ser>
          <idx val="1"/>
          <order val="1"/>
          <tx>
            <strRef>
              <f>'All Charts'!$BO$2</f>
              <strCache>
                <ptCount val="1"/>
                <pt idx="0">
                  <v>CPI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Charts'!$C$6:$C$130</f>
              <numCache>
                <formatCode>[$-409]mmm\-yy;@</formatCode>
                <ptCount val="125"/>
                <pt idx="0">
                  <v>45747</v>
                </pt>
                <pt idx="1">
                  <v>45716</v>
                </pt>
                <pt idx="2">
                  <v>45688</v>
                </pt>
                <pt idx="3">
                  <v>45657</v>
                </pt>
                <pt idx="4">
                  <v>45626</v>
                </pt>
                <pt idx="5">
                  <v>45596</v>
                </pt>
                <pt idx="6">
                  <v>45565</v>
                </pt>
                <pt idx="7">
                  <v>45534</v>
                </pt>
                <pt idx="8">
                  <v>45504</v>
                </pt>
                <pt idx="9">
                  <v>45473</v>
                </pt>
                <pt idx="10">
                  <v>45443</v>
                </pt>
                <pt idx="11">
                  <v>45412</v>
                </pt>
                <pt idx="12">
                  <v>45382</v>
                </pt>
                <pt idx="13">
                  <v>45350</v>
                </pt>
                <pt idx="14">
                  <v>45322</v>
                </pt>
                <pt idx="15">
                  <v>45291</v>
                </pt>
                <pt idx="16">
                  <v>45260</v>
                </pt>
                <pt idx="17">
                  <v>45230</v>
                </pt>
                <pt idx="18">
                  <v>45199</v>
                </pt>
                <pt idx="19">
                  <v>45168</v>
                </pt>
                <pt idx="20">
                  <v>45138</v>
                </pt>
                <pt idx="21">
                  <v>45107</v>
                </pt>
                <pt idx="22">
                  <v>45077</v>
                </pt>
                <pt idx="23">
                  <v>45046</v>
                </pt>
                <pt idx="24">
                  <v>45016</v>
                </pt>
                <pt idx="25">
                  <v>44985</v>
                </pt>
                <pt idx="26">
                  <v>44957</v>
                </pt>
                <pt idx="27">
                  <v>44926</v>
                </pt>
                <pt idx="28">
                  <v>44895</v>
                </pt>
                <pt idx="29">
                  <v>44865</v>
                </pt>
                <pt idx="30">
                  <v>44834</v>
                </pt>
                <pt idx="31">
                  <v>44804</v>
                </pt>
                <pt idx="32">
                  <v>44773</v>
                </pt>
                <pt idx="33">
                  <v>44742</v>
                </pt>
                <pt idx="34">
                  <v>44712</v>
                </pt>
                <pt idx="35">
                  <v>44681</v>
                </pt>
                <pt idx="36">
                  <v>44651</v>
                </pt>
                <pt idx="37">
                  <v>44620</v>
                </pt>
                <pt idx="38">
                  <v>44592</v>
                </pt>
                <pt idx="39">
                  <v>44561</v>
                </pt>
                <pt idx="40">
                  <v>44530</v>
                </pt>
                <pt idx="41">
                  <v>44500</v>
                </pt>
                <pt idx="42">
                  <v>44469</v>
                </pt>
                <pt idx="43">
                  <v>44439</v>
                </pt>
                <pt idx="44">
                  <v>44408</v>
                </pt>
                <pt idx="45">
                  <v>44377</v>
                </pt>
                <pt idx="46">
                  <v>44347</v>
                </pt>
                <pt idx="47">
                  <v>44316</v>
                </pt>
                <pt idx="48">
                  <v>44286</v>
                </pt>
                <pt idx="49">
                  <v>44255</v>
                </pt>
                <pt idx="50">
                  <v>44227</v>
                </pt>
                <pt idx="51">
                  <v>44196</v>
                </pt>
                <pt idx="52">
                  <v>44165</v>
                </pt>
                <pt idx="53">
                  <v>44135</v>
                </pt>
                <pt idx="54">
                  <v>44104</v>
                </pt>
                <pt idx="55">
                  <v>44074</v>
                </pt>
                <pt idx="56">
                  <v>44043</v>
                </pt>
                <pt idx="57">
                  <v>44012</v>
                </pt>
                <pt idx="58">
                  <v>43982</v>
                </pt>
                <pt idx="59">
                  <v>43951</v>
                </pt>
                <pt idx="60">
                  <v>43921</v>
                </pt>
                <pt idx="61">
                  <v>43890</v>
                </pt>
                <pt idx="62">
                  <v>43861</v>
                </pt>
                <pt idx="63">
                  <v>43830</v>
                </pt>
                <pt idx="64">
                  <v>43799</v>
                </pt>
                <pt idx="65">
                  <v>43769</v>
                </pt>
                <pt idx="66">
                  <v>43738</v>
                </pt>
                <pt idx="67">
                  <v>43708</v>
                </pt>
                <pt idx="68">
                  <v>43677</v>
                </pt>
                <pt idx="69">
                  <v>43646</v>
                </pt>
                <pt idx="70">
                  <v>43616</v>
                </pt>
                <pt idx="71">
                  <v>43585</v>
                </pt>
                <pt idx="72">
                  <v>43555</v>
                </pt>
                <pt idx="73">
                  <v>43524</v>
                </pt>
                <pt idx="74">
                  <v>43496</v>
                </pt>
                <pt idx="75">
                  <v>43465</v>
                </pt>
                <pt idx="76">
                  <v>43434</v>
                </pt>
                <pt idx="77">
                  <v>43404</v>
                </pt>
                <pt idx="78">
                  <v>43373</v>
                </pt>
                <pt idx="79">
                  <v>43343</v>
                </pt>
                <pt idx="80">
                  <v>43312</v>
                </pt>
                <pt idx="81">
                  <v>43281</v>
                </pt>
                <pt idx="82">
                  <v>43251</v>
                </pt>
                <pt idx="83">
                  <v>43220</v>
                </pt>
                <pt idx="84">
                  <v>43190</v>
                </pt>
                <pt idx="85">
                  <v>43159</v>
                </pt>
                <pt idx="86">
                  <v>43131</v>
                </pt>
                <pt idx="87">
                  <v>43100</v>
                </pt>
                <pt idx="88">
                  <v>43069</v>
                </pt>
                <pt idx="89">
                  <v>43039</v>
                </pt>
                <pt idx="90">
                  <v>43008</v>
                </pt>
                <pt idx="91">
                  <v>42978</v>
                </pt>
                <pt idx="92">
                  <v>42947</v>
                </pt>
                <pt idx="93">
                  <v>42916</v>
                </pt>
                <pt idx="94">
                  <v>42886</v>
                </pt>
                <pt idx="95">
                  <v>42855</v>
                </pt>
                <pt idx="96">
                  <v>42825</v>
                </pt>
                <pt idx="97">
                  <v>42794</v>
                </pt>
                <pt idx="98">
                  <v>42766</v>
                </pt>
                <pt idx="99">
                  <v>42735</v>
                </pt>
                <pt idx="100">
                  <v>42704</v>
                </pt>
                <pt idx="101">
                  <v>42674</v>
                </pt>
                <pt idx="102">
                  <v>42643</v>
                </pt>
                <pt idx="103">
                  <v>42613</v>
                </pt>
                <pt idx="104">
                  <v>42582</v>
                </pt>
                <pt idx="105">
                  <v>42551</v>
                </pt>
                <pt idx="106">
                  <v>42521</v>
                </pt>
                <pt idx="107">
                  <v>42490</v>
                </pt>
                <pt idx="108">
                  <v>42460</v>
                </pt>
                <pt idx="109">
                  <v>42429</v>
                </pt>
                <pt idx="110">
                  <v>42400</v>
                </pt>
                <pt idx="111">
                  <v>42369</v>
                </pt>
                <pt idx="112">
                  <v>42338</v>
                </pt>
                <pt idx="113">
                  <v>42308</v>
                </pt>
                <pt idx="114">
                  <v>42277</v>
                </pt>
                <pt idx="115">
                  <v>42247</v>
                </pt>
                <pt idx="116">
                  <v>42216</v>
                </pt>
                <pt idx="117">
                  <v>42185</v>
                </pt>
                <pt idx="118">
                  <v>42155</v>
                </pt>
                <pt idx="119">
                  <v>42124</v>
                </pt>
                <pt idx="120">
                  <v>42094</v>
                </pt>
                <pt idx="121">
                  <v>42063</v>
                </pt>
                <pt idx="122">
                  <v>42035</v>
                </pt>
                <pt idx="123">
                  <v>42004</v>
                </pt>
                <pt idx="124">
                  <v>41973</v>
                </pt>
              </numCache>
            </numRef>
          </cat>
          <val>
            <numRef>
              <f>'All Charts'!$BO$6:$BO$130</f>
              <numCache>
                <formatCode>0.00%</formatCode>
                <ptCount val="125"/>
                <pt idx="0">
                  <v>0.024</v>
                </pt>
                <pt idx="1">
                  <v>0.028</v>
                </pt>
                <pt idx="2">
                  <v>0.03</v>
                </pt>
                <pt idx="3">
                  <v>0.029</v>
                </pt>
                <pt idx="4">
                  <v>0.027</v>
                </pt>
                <pt idx="5">
                  <v>0.026</v>
                </pt>
                <pt idx="6">
                  <v>0.024</v>
                </pt>
                <pt idx="7">
                  <v>0.026</v>
                </pt>
                <pt idx="8">
                  <v>0.029</v>
                </pt>
                <pt idx="9">
                  <v>0.03</v>
                </pt>
                <pt idx="10">
                  <v>0.033</v>
                </pt>
                <pt idx="11">
                  <v>0.034</v>
                </pt>
                <pt idx="12">
                  <v>0.035</v>
                </pt>
                <pt idx="13">
                  <v>0.032</v>
                </pt>
                <pt idx="14">
                  <v>0.031</v>
                </pt>
                <pt idx="15">
                  <v>0.034</v>
                </pt>
                <pt idx="16">
                  <v>0.031</v>
                </pt>
                <pt idx="17">
                  <v>0.0324114465189321</v>
                </pt>
                <pt idx="18">
                  <v>0.03699698121344436</v>
                </pt>
                <pt idx="19">
                  <v>0.037</v>
                </pt>
                <pt idx="20">
                  <v>0.032</v>
                </pt>
                <pt idx="21">
                  <v>0.03</v>
                </pt>
                <pt idx="22">
                  <v>0.04</v>
                </pt>
                <pt idx="23">
                  <v>0.0491</v>
                </pt>
                <pt idx="24">
                  <v>0.05</v>
                </pt>
                <pt idx="25">
                  <v>0.06035613077866587</v>
                </pt>
                <pt idx="26">
                  <v>0.06410146968856258</v>
                </pt>
                <pt idx="27">
                  <v>0.06454401331410824</v>
                </pt>
                <pt idx="28">
                  <v>0.07110322794191731</v>
                </pt>
                <pt idx="29">
                  <v>0.07745427330804913</v>
                </pt>
                <pt idx="30">
                  <v>0.08201669643833616</v>
                </pt>
                <pt idx="31">
                  <v>0.08262692503116233</v>
                </pt>
                <pt idx="32">
                  <v>0.08524814745625515</v>
                </pt>
                <pt idx="33">
                  <v>0.09059757964784151</v>
                </pt>
                <pt idx="34">
                  <v>0.08581511543676516</v>
                </pt>
                <pt idx="35">
                  <v>0.08258629340882372</v>
                </pt>
                <pt idx="36">
                  <v>0.0854245555484244</v>
                </pt>
                <pt idx="37">
                  <v>0.07871063897739283</v>
                </pt>
                <pt idx="38">
                  <v>0.07479872468289114</v>
                </pt>
                <pt idx="39">
                  <v>0.07036402865545134</v>
                </pt>
                <pt idx="40">
                  <v>0.06809002839806476</v>
                </pt>
                <pt idx="41">
                  <v>0.06221868903328887</v>
                </pt>
                <pt idx="42">
                  <v>0.05390348855079157</v>
                </pt>
                <pt idx="43">
                  <v>0.05251271554874999</v>
                </pt>
                <pt idx="44">
                  <v>0.05365475239385408</v>
                </pt>
                <pt idx="45">
                  <v>0.05391451413321334</v>
                </pt>
                <pt idx="46">
                  <v>0.04992706537594479</v>
                </pt>
                <pt idx="47">
                  <v>0.04159694838702114</v>
                </pt>
                <pt idx="48">
                  <v>0.02619762508959185</v>
                </pt>
                <pt idx="49">
                  <v>0.01676215217374501</v>
                </pt>
                <pt idx="50">
                  <v>0.01399769741560094</v>
                </pt>
                <pt idx="51">
                  <v>0.0136200549471931</v>
                </pt>
                <pt idx="52">
                  <v>0.01174535784267969</v>
                </pt>
                <pt idx="53">
                  <v>0.01182066167727485</v>
                </pt>
                <pt idx="54">
                  <v>0.01371324861056461</v>
                </pt>
                <pt idx="55">
                  <v>0.01309645382330706</v>
                </pt>
                <pt idx="56">
                  <v>0.009860818253037064</v>
                </pt>
                <pt idx="57">
                  <v>0.006457330475554879</v>
                </pt>
                <pt idx="58">
                  <v>0.001179263702107137</v>
                </pt>
                <pt idx="59">
                  <v>0.003290966863368166</v>
                </pt>
                <pt idx="60">
                  <v>0.01539326991919816</v>
                </pt>
                <pt idx="61">
                  <v>0.02334873563945939</v>
                </pt>
                <pt idx="62">
                  <v>0.02486571955250451</v>
                </pt>
                <pt idx="63">
                  <v>0.02285129740121714</v>
                </pt>
                <pt idx="64">
                  <v>0.02051277981891626</v>
                </pt>
                <pt idx="65">
                  <v>0.01764042944421382</v>
                </pt>
                <pt idx="66">
                  <v>0.01711304513169527</v>
                </pt>
                <pt idx="67">
                  <v>0.01749779889429143</v>
                </pt>
                <pt idx="68">
                  <v>0.01811464806393509</v>
                </pt>
                <pt idx="69">
                  <v>0.01648484656076244</v>
                </pt>
                <pt idx="70">
                  <v>0.01790228468766392</v>
                </pt>
                <pt idx="71">
                  <v>0.01996439775530246</v>
                </pt>
                <pt idx="72">
                  <v>0.01862522740569174</v>
                </pt>
                <pt idx="73">
                  <v>0.01520135265933305</v>
                </pt>
                <pt idx="74">
                  <v>0.01551235138199114</v>
                </pt>
                <pt idx="75">
                  <v>0.01910158848631372</v>
                </pt>
                <pt idx="76">
                  <v>0.02176601032152398</v>
                </pt>
                <pt idx="77">
                  <v>0.02522469928607039</v>
                </pt>
                <pt idx="78">
                  <v>0.0227697219419899</v>
                </pt>
                <pt idx="79">
                  <v>0.02699180104187448</v>
                </pt>
                <pt idx="80">
                  <v>0.02949515086647112</v>
                </pt>
                <pt idx="81">
                  <v>0.02871547835316687</v>
                </pt>
                <pt idx="82">
                  <v>0.02801011714807562</v>
                </pt>
                <pt idx="83">
                  <v>0.02462743943334802</v>
                </pt>
                <pt idx="84">
                  <v>0.02359711403972918</v>
                </pt>
                <pt idx="85">
                  <v>0.02211795421238657</v>
                </pt>
                <pt idx="86">
                  <v>0.02070507620275158</v>
                </pt>
                <pt idx="87">
                  <v>0.02109082474568414</v>
                </pt>
                <pt idx="88">
                  <v>0.02202582938683174</v>
                </pt>
                <pt idx="89">
                  <v>0.02041128701976179</v>
                </pt>
                <pt idx="90">
                  <v>0.02232963865003227</v>
                </pt>
                <pt idx="91">
                  <v>0.01938974212058184</v>
                </pt>
                <pt idx="92">
                  <v>0.01727978456372499</v>
                </pt>
                <pt idx="93">
                  <v>0.01633487955256459</v>
                </pt>
                <pt idx="94">
                  <v>0.0187487772084136</v>
                </pt>
                <pt idx="95">
                  <v>0.02199689878417295</v>
                </pt>
                <pt idx="96">
                  <v>0.02380612433440269</v>
                </pt>
                <pt idx="97">
                  <v>0.0273795817148931</v>
                </pt>
                <pt idx="98">
                  <v>0.02500042209052998</v>
                </pt>
                <pt idx="99">
                  <v>0.02074622132966909</v>
                </pt>
                <pt idx="100">
                  <v>0.0169253716250379</v>
                </pt>
                <pt idx="101">
                  <v>0.01635987520917608</v>
                </pt>
                <pt idx="102">
                  <v>0.01463783647481563</v>
                </pt>
                <pt idx="103">
                  <v>0.01062874502761034</v>
                </pt>
                <pt idx="104">
                  <v>0.008271388704987092</v>
                </pt>
                <pt idx="105">
                  <v>0.009973264945230832</v>
                </pt>
                <pt idx="106">
                  <v>0.01019322554193565</v>
                </pt>
                <pt idx="107">
                  <v>0.01125110418894419</v>
                </pt>
                <pt idx="108">
                  <v>0.008525362211427311</v>
                </pt>
                <pt idx="109">
                  <v>0.01017799780165464</v>
                </pt>
                <pt idx="110">
                  <v>0.01373086813830995</v>
                </pt>
                <pt idx="111">
                  <v>0.007295197860415966</v>
                </pt>
                <pt idx="112">
                  <v>0.005017975786678871</v>
                </pt>
                <pt idx="113">
                  <v>0.001705744357355553</v>
                </pt>
                <pt idx="114">
                  <v>-0.0003612974780596339</v>
                </pt>
                <pt idx="115">
                  <v>0.001950792930057341</v>
                </pt>
                <pt idx="116">
                  <v>0.001695697796432304</v>
                </pt>
                <pt idx="117">
                  <v>0.001237712036854516</v>
                </pt>
                <pt idx="118">
                  <v>-0.0003993274485077716</v>
                </pt>
                <pt idx="119">
                  <v>-0.001995174461766945</v>
                </pt>
                <pt idx="120">
                  <v>-0.000736373908664271</v>
                </pt>
                <pt idx="121">
                  <v>-0.0002512980181530767</v>
                </pt>
                <pt idx="122">
                  <v>-0.0008934831306965029</v>
                </pt>
                <pt idx="123">
                  <v>0.007564932696557398</v>
                </pt>
                <pt idx="124">
                  <v>0.01322355182370895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79719263"/>
        <axId val="579726335"/>
      </lineChart>
      <dateAx>
        <axId val="579719263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9726335"/>
        <crosses val="autoZero"/>
        <lblOffset val="100"/>
        <baseTimeUnit val="months"/>
        <majorUnit val="4"/>
        <majorTimeUnit val="months"/>
      </dateAx>
      <valAx>
        <axId val="579726335"/>
        <scaling>
          <orientation val="minMax"/>
        </scaling>
        <delete val="0"/>
        <axPos val="l"/>
        <majorGridlines>
          <spPr>
            <a:ln xmlns:a="http://schemas.openxmlformats.org/drawingml/2006/main"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797192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'All Charts'!$BK$2</f>
              <strCache>
                <ptCount val="1"/>
                <pt idx="0">
                  <v>YOY Change (%)2</v>
                </pt>
              </strCache>
            </strRef>
          </tx>
          <spPr>
            <a:solidFill xmlns:a="http://schemas.openxmlformats.org/drawingml/2006/main">
              <a:srgbClr val="D0DE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2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5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9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09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Charts'!$B$6:$B$328</f>
              <strCache>
                <ptCount val="32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  <pt idx="303">
                  <v>4Q-1999</v>
                </pt>
                <pt idx="306">
                  <v>3Q-1999</v>
                </pt>
                <pt idx="309">
                  <v>2Q-1999</v>
                </pt>
                <pt idx="312">
                  <v>1Q-1999</v>
                </pt>
                <pt idx="315">
                  <v>4Q-1998</v>
                </pt>
                <pt idx="318">
                  <v>3Q-1998</v>
                </pt>
                <pt idx="321">
                  <v>2Q-1998</v>
                </pt>
              </strCache>
            </strRef>
          </cat>
          <val>
            <numRef>
              <f>'All Charts'!$BK$6:$BK$328</f>
              <numCache>
                <formatCode>0.0%</formatCode>
                <ptCount val="323"/>
                <pt idx="0">
                  <v>0.3029183917109673</v>
                </pt>
                <pt idx="1">
                  <v>0.3332394526584308</v>
                </pt>
                <pt idx="2">
                  <v>0.2376329684291527</v>
                </pt>
                <pt idx="3">
                  <v>0.2032156816713878</v>
                </pt>
                <pt idx="4">
                  <v>0.1618727526970051</v>
                </pt>
                <pt idx="5">
                  <v>0.0528656477014658</v>
                </pt>
                <pt idx="6">
                  <v>-0.02433327360871205</v>
                </pt>
                <pt idx="7">
                  <v>-0.05521920322773651</v>
                </pt>
                <pt idx="8">
                  <v>-0.07006149523011228</v>
                </pt>
                <pt idx="9">
                  <v>-0.1279351439189034</v>
                </pt>
                <pt idx="10">
                  <v>-0.2162691322809384</v>
                </pt>
                <pt idx="11">
                  <v>-0.2108948051413478</v>
                </pt>
                <pt idx="12">
                  <v>-0.2301280221438699</v>
                </pt>
                <pt idx="13">
                  <v>-0.2365134909513322</v>
                </pt>
                <pt idx="14">
                  <v>-0.2065587690178671</v>
                </pt>
                <pt idx="15">
                  <v>-0.2044667766017705</v>
                </pt>
                <pt idx="16">
                  <v>-0.2289898780127155</v>
                </pt>
                <pt idx="17">
                  <v>-0.1589387506371318</v>
                </pt>
                <pt idx="18">
                  <v>-0.1222088155504717</v>
                </pt>
                <pt idx="19">
                  <v>-0.1230967463715505</v>
                </pt>
                <pt idx="20">
                  <v>-0.1354496560151175</v>
                </pt>
                <pt idx="21">
                  <v>-0.1229719310700134</v>
                </pt>
                <pt idx="22">
                  <v>-0.06177523763346025</v>
                </pt>
                <pt idx="23">
                  <v>-0.02012969228786979</v>
                </pt>
                <pt idx="24">
                  <v>0.0186498806619935</v>
                </pt>
                <pt idx="25">
                  <v>-0.003652950982347783</v>
                </pt>
                <pt idx="26">
                  <v>-0.01371571250336868</v>
                </pt>
                <pt idx="27">
                  <v>-0.01444250647316385</v>
                </pt>
                <pt idx="28">
                  <v>0.08766871548225161</v>
                </pt>
                <pt idx="29">
                  <v>0.05096295605927507</v>
                </pt>
                <pt idx="30">
                  <v>0.07184599999286805</v>
                </pt>
                <pt idx="31">
                  <v>0.1540122548488113</v>
                </pt>
                <pt idx="32">
                  <v>0.1509824232377873</v>
                </pt>
                <pt idx="33">
                  <v>0.1448428452375052</v>
                </pt>
                <pt idx="34">
                  <v>0.1099274086309609</v>
                </pt>
                <pt idx="35">
                  <v>0.1100657099358421</v>
                </pt>
                <pt idx="36">
                  <v>0.1203190859327344</v>
                </pt>
                <pt idx="37">
                  <v>0.1644185574340406</v>
                </pt>
                <pt idx="38">
                  <v>0.1858970116540841</v>
                </pt>
                <pt idx="39">
                  <v>0.2712224355767603</v>
                </pt>
                <pt idx="40">
                  <v>0.2655837469774566</v>
                </pt>
                <pt idx="41">
                  <v>0.3189471883591985</v>
                </pt>
                <pt idx="42">
                  <v>0.3172568700471959</v>
                </pt>
                <pt idx="43">
                  <v>0.1588130763921064</v>
                </pt>
                <pt idx="44">
                  <v>0.1797710047830027</v>
                </pt>
                <pt idx="45">
                  <v>0.1641914280505851</v>
                </pt>
                <pt idx="46">
                  <v>0.1595493873115958</v>
                </pt>
                <pt idx="47">
                  <v>0.08698407834971292</v>
                </pt>
                <pt idx="48">
                  <v>0.01003346564035362</v>
                </pt>
                <pt idx="49">
                  <v>0.01300203047567691</v>
                </pt>
                <pt idx="50">
                  <v>0.01545840435763279</v>
                </pt>
                <pt idx="51">
                  <v>-0.03222529989369564</v>
                </pt>
                <pt idx="52">
                  <v>-0.09379031658796118</v>
                </pt>
                <pt idx="53">
                  <v>-0.1235465691541881</v>
                </pt>
                <pt idx="54">
                  <v>-0.1324269143627488</v>
                </pt>
                <pt idx="55">
                  <v>-0.07428457811659353</v>
                </pt>
                <pt idx="56">
                  <v>-0.06399444331446812</v>
                </pt>
                <pt idx="57">
                  <v>-0.03100318014494807</v>
                </pt>
                <pt idx="58">
                  <v>-0.04668139196739115</v>
                </pt>
                <pt idx="59">
                  <v>-0.03969742863583994</v>
                </pt>
                <pt idx="60">
                  <v>0.04982895711654676</v>
                </pt>
                <pt idx="61">
                  <v>0.02250826306213578</v>
                </pt>
                <pt idx="62">
                  <v>-0.011710682685889</v>
                </pt>
                <pt idx="63">
                  <v>-0.04455204702789058</v>
                </pt>
                <pt idx="64">
                  <v>-0.06463514506352712</v>
                </pt>
                <pt idx="65">
                  <v>-0.05668922384934664</v>
                </pt>
                <pt idx="66">
                  <v>-0.05611176460589257</v>
                </pt>
                <pt idx="67">
                  <v>-0.01243717792439885</v>
                </pt>
                <pt idx="68">
                  <v>-0.0328128414326985</v>
                </pt>
                <pt idx="69">
                  <v>-0.07388271143712474</v>
                </pt>
                <pt idx="70">
                  <v>0.00490497762754124</v>
                </pt>
                <pt idx="71">
                  <v>0.1666267613720039</v>
                </pt>
                <pt idx="72">
                  <v>0.08085390541363868</v>
                </pt>
                <pt idx="73">
                  <v>0.07216935680588907</v>
                </pt>
                <pt idx="74">
                  <v>0.09901860949391102</v>
                </pt>
                <pt idx="75">
                  <v>0.1412533142801693</v>
                </pt>
                <pt idx="76">
                  <v>0.2576232258373382</v>
                </pt>
                <pt idx="77">
                  <v>0.2542218387607716</v>
                </pt>
                <pt idx="78">
                  <v>0.2522944526487645</v>
                </pt>
                <pt idx="79">
                  <v>0.226907342605253</v>
                </pt>
                <pt idx="80">
                  <v>0.3199594941472375</v>
                </pt>
                <pt idx="81">
                  <v>0.3466096314680153</v>
                </pt>
                <pt idx="82">
                  <v>0.2280408213756078</v>
                </pt>
                <pt idx="83">
                  <v>0.1918429341068228</v>
                </pt>
                <pt idx="84">
                  <v>0.3131317828800531</v>
                </pt>
                <pt idx="85">
                  <v>0.3188630220597869</v>
                </pt>
                <pt idx="86">
                  <v>0.3963939614108363</v>
                </pt>
                <pt idx="87">
                  <v>0.4730306248387063</v>
                </pt>
                <pt idx="88">
                  <v>0.3450998811904376</v>
                </pt>
                <pt idx="89">
                  <v>0.3355648574087974</v>
                </pt>
                <pt idx="90">
                  <v>0.2370863996681447</v>
                </pt>
                <pt idx="91">
                  <v>0.06424555224037036</v>
                </pt>
                <pt idx="92">
                  <v>-0.04002571454053967</v>
                </pt>
                <pt idx="93">
                  <v>-0.04426254835978152</v>
                </pt>
                <pt idx="94">
                  <v>-0.0156075439005022</v>
                </pt>
                <pt idx="95">
                  <v>-0.1414509146600401</v>
                </pt>
                <pt idx="96">
                  <v>-0.2301820432966715</v>
                </pt>
                <pt idx="97">
                  <v>-0.2324324190470901</v>
                </pt>
                <pt idx="98">
                  <v>-0.2434902351623517</v>
                </pt>
                <pt idx="99">
                  <v>-0.2947969870490948</v>
                </pt>
                <pt idx="100">
                  <v>-0.2791378250694029</v>
                </pt>
                <pt idx="101">
                  <v>-0.26686242523058</v>
                </pt>
                <pt idx="102">
                  <v>-0.1721289577279312</v>
                </pt>
                <pt idx="103">
                  <v>0.01247910848902823</v>
                </pt>
                <pt idx="104">
                  <v>0.08229332116210449</v>
                </pt>
                <pt idx="105">
                  <v>0.1092050287709818</v>
                </pt>
                <pt idx="106">
                  <v>0.1684682694280869</v>
                </pt>
                <pt idx="107">
                  <v>0.228902787397467</v>
                </pt>
                <pt idx="108">
                  <v>0.2250117716947519</v>
                </pt>
                <pt idx="109">
                  <v>0.22398707775892</v>
                </pt>
                <pt idx="110">
                  <v>0.01545072561090489</v>
                </pt>
                <pt idx="111">
                  <v>0.04795320800206374</v>
                </pt>
                <pt idx="112">
                  <v>0.06832048791857653</v>
                </pt>
                <pt idx="113">
                  <v>0.08591428655737136</v>
                </pt>
                <pt idx="114">
                  <v>0.03410963965565053</v>
                </pt>
                <pt idx="115">
                  <v>-0.08911223345620936</v>
                </pt>
                <pt idx="116">
                  <v>-0.1586579611646315</v>
                </pt>
                <pt idx="117">
                  <v>-0.169165155333886</v>
                </pt>
                <pt idx="118">
                  <v>-0.1948643304467524</v>
                </pt>
                <pt idx="119">
                  <v>-0.2046039698069606</v>
                </pt>
                <pt idx="120">
                  <v>-0.148656223200799</v>
                </pt>
                <pt idx="121">
                  <v>-0.08064864451634994</v>
                </pt>
                <pt idx="122">
                  <v>0.05971682005737679</v>
                </pt>
                <pt idx="123">
                  <v>0.0196470664954869</v>
                </pt>
                <pt idx="124">
                  <v>0.004247636056751229</v>
                </pt>
                <pt idx="125">
                  <v>-0.07402104430435669</v>
                </pt>
                <pt idx="126">
                  <v>-0.04860809269497549</v>
                </pt>
                <pt idx="127">
                  <v>0.03331298362249892</v>
                </pt>
                <pt idx="128">
                  <v>0.1471787562560284</v>
                </pt>
                <pt idx="129">
                  <v>0.1158670174689911</v>
                </pt>
                <pt idx="130">
                  <v>0.1628268376336658</v>
                </pt>
                <pt idx="131">
                  <v>0.1671809261602926</v>
                </pt>
                <pt idx="132">
                  <v>0.08397637816769056</v>
                </pt>
                <pt idx="133">
                  <v>-0.09581444274310602</v>
                </pt>
                <pt idx="134">
                  <v>-0.02547521394372838</v>
                </pt>
                <pt idx="135">
                  <v>0.04517910519634441</v>
                </pt>
                <pt idx="136">
                  <v>-0.01192571624688603</v>
                </pt>
                <pt idx="137">
                  <v>0.01757574920527859</v>
                </pt>
                <pt idx="138">
                  <v>-0.12864860758289</v>
                </pt>
                <pt idx="139">
                  <v>0.2351638458130183</v>
                </pt>
                <pt idx="140">
                  <v>0.1226347842357856</v>
                </pt>
                <pt idx="141">
                  <v>0.1035362768304716</v>
                </pt>
                <pt idx="142">
                  <v>-0.03554119390917634</v>
                </pt>
                <pt idx="143">
                  <v>-0.03308618962880822</v>
                </pt>
                <pt idx="144">
                  <v>-0.1522810592495528</v>
                </pt>
                <pt idx="145">
                  <v>0.2081913341773141</v>
                </pt>
                <pt idx="146">
                  <v>0.134010993884578</v>
                </pt>
                <pt idx="147">
                  <v>0.06570546876357693</v>
                </pt>
                <pt idx="148">
                  <v>0.1359683609619121</v>
                </pt>
                <pt idx="149">
                  <v>0.2034457094683463</v>
                </pt>
                <pt idx="150">
                  <v>0.308290554274293</v>
                </pt>
                <pt idx="151">
                  <v>-0.1616651977614902</v>
                </pt>
                <pt idx="152">
                  <v>-0.1457081785040134</v>
                </pt>
                <pt idx="153">
                  <v>-0.09517698885278841</v>
                </pt>
                <pt idx="154">
                  <v>-0.004724021970374546</v>
                </pt>
                <pt idx="155">
                  <v>0.06741011268617192</v>
                </pt>
                <pt idx="156">
                  <v>0.3239228392499076</v>
                </pt>
                <pt idx="157">
                  <v>0.03530126425410367</v>
                </pt>
                <pt idx="158">
                  <v>0.01773217006488866</v>
                </pt>
                <pt idx="159">
                  <v>0.025634093863371</v>
                </pt>
                <pt idx="160">
                  <v>-0.006989657833639151</v>
                </pt>
                <pt idx="161">
                  <v>-0.07397782014007008</v>
                </pt>
                <pt idx="162">
                  <v>-0.02471241553146668</v>
                </pt>
                <pt idx="163">
                  <v>-0.001989063490348383</v>
                </pt>
                <pt idx="164">
                  <v>0.03583458561809178</v>
                </pt>
                <pt idx="165">
                  <v>-0.1035932228555676</v>
                </pt>
                <pt idx="166">
                  <v>0.3103675813547378</v>
                </pt>
                <pt idx="167">
                  <v>0.1766053434532739</v>
                </pt>
                <pt idx="168">
                  <v>0.08708782240369056</v>
                </pt>
                <pt idx="169">
                  <v>0.08893321580662625</v>
                </pt>
                <pt idx="170">
                  <v>0.06508797521922428</v>
                </pt>
                <pt idx="171">
                  <v>0.09700588045938004</v>
                </pt>
                <pt idx="172">
                  <v>0.1164349935313728</v>
                </pt>
                <pt idx="173">
                  <v>0.2891907176861763</v>
                </pt>
                <pt idx="174">
                  <v>0.2777126962735229</v>
                </pt>
                <pt idx="175">
                  <v>0.4484037750941742</v>
                </pt>
                <pt idx="176">
                  <v>0.3214252947017374</v>
                </pt>
                <pt idx="177">
                  <v>0.8018937337007741</v>
                </pt>
                <pt idx="178">
                  <v>0.2316509597079205</v>
                </pt>
                <pt idx="179">
                  <v>0.2506755880646374</v>
                </pt>
                <pt idx="180">
                  <v>0.3871765943328649</v>
                </pt>
                <pt idx="181">
                  <v>0.2038250069302837</v>
                </pt>
                <pt idx="182">
                  <v>0.1308087945560862</v>
                </pt>
                <pt idx="183">
                  <v>-0.06596679529419223</v>
                </pt>
                <pt idx="184">
                  <v>-0.087238703877727</v>
                </pt>
                <pt idx="185">
                  <v>-0.1764825546645681</v>
                </pt>
                <pt idx="186">
                  <v>-0.1683058261928036</v>
                </pt>
                <pt idx="187">
                  <v>-0.2798788527296535</v>
                </pt>
                <pt idx="188">
                  <v>-0.3448149573240137</v>
                </pt>
                <pt idx="189">
                  <v>-0.4309488087796565</v>
                </pt>
                <pt idx="190">
                  <v>-0.4610366150363351</v>
                </pt>
                <pt idx="191">
                  <v>-0.3586154638266296</v>
                </pt>
                <pt idx="192">
                  <v>-0.4279389312391499</v>
                </pt>
                <pt idx="193">
                  <v>-0.3036785237068604</v>
                </pt>
                <pt idx="194">
                  <v>-0.2080067574720989</v>
                </pt>
                <pt idx="195">
                  <v>-0.05472816823918043</v>
                </pt>
                <pt idx="196">
                  <v>-0.02066028999011494</v>
                </pt>
                <pt idx="197">
                  <v>-0.0372849929572739</v>
                </pt>
                <pt idx="198">
                  <v>-0.05762092492153859</v>
                </pt>
                <pt idx="199">
                  <v>0.0313088553964433</v>
                </pt>
                <pt idx="200">
                  <v>0.1712622159177542</v>
                </pt>
                <pt idx="201">
                  <v>0.0922591421432425</v>
                </pt>
                <pt idx="202">
                  <v>0.04509700675983304</v>
                </pt>
                <pt idx="203">
                  <v>-0.1647025435846138</v>
                </pt>
                <pt idx="204">
                  <v>-0.1047321792332666</v>
                </pt>
                <pt idx="205">
                  <v>-0.1934730981050591</v>
                </pt>
                <pt idx="206">
                  <v>-0.2485800499778123</v>
                </pt>
                <pt idx="207">
                  <v>-0.2566370136579208</v>
                </pt>
                <pt idx="208">
                  <v>-0.2697254669866481</v>
                </pt>
                <pt idx="209">
                  <v>-0.2424314743795268</v>
                </pt>
                <pt idx="210">
                  <v>-0.1863878203840587</v>
                </pt>
                <pt idx="211">
                  <v>-0.2093782294988308</v>
                </pt>
                <pt idx="212">
                  <v>-0.1978877973317125</v>
                </pt>
                <pt idx="213">
                  <v>-0.1706631632375177</v>
                </pt>
                <pt idx="214">
                  <v>-0.07193087266303952</v>
                </pt>
                <pt idx="215">
                  <v>-0.01408596657907618</v>
                </pt>
                <pt idx="216">
                  <v>0.005821894148791281</v>
                </pt>
                <pt idx="217">
                  <v>0.06312171229189262</v>
                </pt>
                <pt idx="218">
                  <v>0.09959443435364787</v>
                </pt>
                <pt idx="219">
                  <v>0.07356679374741684</v>
                </pt>
                <pt idx="220">
                  <v>0.1100714988225883</v>
                </pt>
                <pt idx="221">
                  <v>0.1140516384735209</v>
                </pt>
                <pt idx="222">
                  <v>0.06604550480873148</v>
                </pt>
                <pt idx="223">
                  <v>0.08282787796850981</v>
                </pt>
                <pt idx="224">
                  <v>0.1644567663106006</v>
                </pt>
                <pt idx="225">
                  <v>0.1671102842304861</v>
                </pt>
                <pt idx="226">
                  <v>0.6211581467110867</v>
                </pt>
                <pt idx="227">
                  <v>0.8178536771651845</v>
                </pt>
                <pt idx="228">
                  <v>0.7044205134399676</v>
                </pt>
                <pt idx="229">
                  <v>0.7666778922059267</v>
                </pt>
                <pt idx="230">
                  <v>0.9283117105311987</v>
                </pt>
                <pt idx="231">
                  <v>1.17829158385839</v>
                </pt>
                <pt idx="232">
                  <v>1.138387626015566</v>
                </pt>
                <pt idx="233">
                  <v>0.9164514959272843</v>
                </pt>
                <pt idx="234">
                  <v>0.6215191079145926</v>
                </pt>
                <pt idx="235">
                  <v>0.4234198872857257</v>
                </pt>
                <pt idx="236">
                  <v>0.2676094026556476</v>
                </pt>
                <pt idx="237">
                  <v>0.2557503396463171</v>
                </pt>
                <pt idx="238">
                  <v>-0.1028200819370851</v>
                </pt>
                <pt idx="239">
                  <v>-0.2353293083016716</v>
                </pt>
                <pt idx="240">
                  <v>-0.133127720080935</v>
                </pt>
                <pt idx="241">
                  <v>-0.2046834650441744</v>
                </pt>
                <pt idx="242">
                  <v>-0.3167437241952739</v>
                </pt>
                <pt idx="243">
                  <v>-0.3753681698149288</v>
                </pt>
                <pt idx="244">
                  <v>-0.3224586857952563</v>
                </pt>
                <pt idx="245">
                  <v>-0.331475764242784</v>
                </pt>
                <pt idx="246">
                  <v>-0.2109885801500255</v>
                </pt>
                <pt idx="247">
                  <v>-0.05025446016423944</v>
                </pt>
                <pt idx="248">
                  <v>-0.03463161977933534</v>
                </pt>
                <pt idx="249">
                  <v>-0.04342180980622212</v>
                </pt>
                <pt idx="250">
                  <v>-0.1123713705358185</v>
                </pt>
                <pt idx="251">
                  <v>-0.0335225351000042</v>
                </pt>
                <pt idx="252">
                  <v>-0.1343586033224954</v>
                </pt>
                <pt idx="253">
                  <v>-0.1118483773275656</v>
                </pt>
                <pt idx="254">
                  <v>-0.05909653711710836</v>
                </pt>
                <pt idx="255">
                  <v>-0.1291002451941723</v>
                </pt>
                <pt idx="256">
                  <v>-0.2252860778341884</v>
                </pt>
                <pt idx="257">
                  <v>-0.07002254480129709</v>
                </pt>
                <pt idx="258">
                  <v>-0.09997327808360539</v>
                </pt>
                <pt idx="259">
                  <v>-0.07295624053923433</v>
                </pt>
                <pt idx="260">
                  <v>0.01022496897673712</v>
                </pt>
                <pt idx="261">
                  <v>0.04530189393136327</v>
                </pt>
                <pt idx="262">
                  <v>0.1081121896697833</v>
                </pt>
                <pt idx="263">
                  <v>0.1058918380937952</v>
                </pt>
                <pt idx="264">
                  <v>0.1339659021632424</v>
                </pt>
                <pt idx="265">
                  <v>0.1670773291816935</v>
                </pt>
                <pt idx="266">
                  <v>0.4096459980679173</v>
                </pt>
                <pt idx="267">
                  <v>0.6603870874453373</v>
                </pt>
                <pt idx="268">
                  <v>0.7434747173761395</v>
                </pt>
                <pt idx="269">
                  <v>0.5426073061702935</v>
                </pt>
                <pt idx="270">
                  <v>0.7455763515484997</v>
                </pt>
                <pt idx="271">
                  <v>0.452058831011922</v>
                </pt>
                <pt idx="272">
                  <v>0.7627932973715156</v>
                </pt>
                <pt idx="273">
                  <v>0.6437334071179508</v>
                </pt>
                <pt idx="274">
                  <v>0.5750419015094437</v>
                </pt>
                <pt idx="275">
                  <v>0.400848016270019</v>
                </pt>
                <pt idx="276">
                  <v>11.53687891912349</v>
                </pt>
                <pt idx="277">
                  <v>41.86967110180451</v>
                </pt>
                <pt idx="278">
                  <v>8.421096071608874</v>
                </pt>
                <pt idx="279">
                  <v>4.052322421874911</v>
                </pt>
                <pt idx="280">
                  <v>1.281495737980838</v>
                </pt>
                <pt idx="281">
                  <v>0.9543329912004869</v>
                </pt>
                <pt idx="282">
                  <v>0.2569334570363079</v>
                </pt>
                <pt idx="283">
                  <v>0.4495769947717391</v>
                </pt>
                <pt idx="284">
                  <v>0.1755485795397073</v>
                </pt>
                <pt idx="285">
                  <v>0.1012273865937313</v>
                </pt>
                <pt idx="286">
                  <v>-0.09397876077781134</v>
                </pt>
                <pt idx="287">
                  <v>0.04961517446259775</v>
                </pt>
                <pt idx="288">
                  <v>-0.9324625453275139</v>
                </pt>
                <pt idx="289">
                  <v>-0.9770569973466794</v>
                </pt>
                <pt idx="290">
                  <v>-0.9121552910596722</v>
                </pt>
                <pt idx="291">
                  <v>-0.8442023863945781</v>
                </pt>
                <pt idx="292">
                  <v>-0.4164913276954413</v>
                </pt>
                <pt idx="293">
                  <v>-0.2730912960462932</v>
                </pt>
                <pt idx="294">
                  <v>0.3891626101762281</v>
                </pt>
                <pt idx="295">
                  <v>0.2093224813446074</v>
                </pt>
                <pt idx="296">
                  <v>-0.09191962972691102</v>
                </pt>
                <pt idx="297">
                  <v>0.2171679056956539</v>
                </pt>
                <pt idx="298">
                  <v>0.2543129878583228</v>
                </pt>
                <pt idx="299">
                  <v>0.04801364885165973</v>
                </pt>
                <pt idx="300">
                  <v>0.7945545672658549</v>
                </pt>
                <pt idx="301">
                  <v>0.1059644823840742</v>
                </pt>
                <pt idx="302">
                  <v>0.1072306540529673</v>
                </pt>
                <pt idx="303">
                  <v>0.05084139974824139</v>
                </pt>
                <pt idx="304">
                  <v>-0.4662522073669341</v>
                </pt>
                <pt idx="305">
                  <v>-0.3830030304769606</v>
                </pt>
                <pt idx="306">
                  <v>-0.5378572568114929</v>
                </pt>
                <pt idx="307">
                  <v>-0.4673943993739554</v>
                </pt>
                <pt idx="308">
                  <v>-0.234830977497531</v>
                </pt>
                <pt idx="309">
                  <v>-0.403575743789159</v>
                </pt>
                <pt idx="310">
                  <v>-0.2658618969295878</v>
                </pt>
                <pt idx="311">
                  <v>0.05005406247313356</v>
                </pt>
                <pt idx="312">
                  <v>-0.05325003303361278</v>
                </pt>
                <pt idx="313">
                  <v>-0.07971535940622433</v>
                </pt>
                <pt idx="314">
                  <v>-0.09568843774056562</v>
                </pt>
                <pt idx="315">
                  <v>-0.1380819037563112</v>
                </pt>
                <pt idx="316">
                  <v>0.1296159711081764</v>
                </pt>
                <pt idx="317">
                  <v>-0.1846111241186126</v>
                </pt>
                <pt idx="318">
                  <v>-0.1491406725260904</v>
                </pt>
                <pt idx="319">
                  <v>-0.2162111737062689</v>
                </pt>
                <pt idx="320">
                  <v>-0.2903161845274471</v>
                </pt>
                <pt idx="321">
                  <v>-0.2406011355051409</v>
                </pt>
                <pt idx="322">
                  <v>-0.2406011355051409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608873535"/>
        <axId val="1608884959"/>
      </barChart>
      <lineChart>
        <grouping val="standard"/>
        <varyColors val="0"/>
        <ser>
          <idx val="2"/>
          <order val="2"/>
          <tx>
            <strRef>
              <f>'All Charts'!$BJ$2</f>
              <strCache>
                <ptCount val="1"/>
                <pt idx="0">
                  <v>Valuation Index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6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'All Charts'!$B$6:$B$328</f>
              <strCache>
                <ptCount val="322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  <pt idx="303">
                  <v>4Q-1999</v>
                </pt>
                <pt idx="306">
                  <v>3Q-1999</v>
                </pt>
                <pt idx="309">
                  <v>2Q-1999</v>
                </pt>
                <pt idx="312">
                  <v>1Q-1999</v>
                </pt>
                <pt idx="315">
                  <v>4Q-1998</v>
                </pt>
                <pt idx="318">
                  <v>3Q-1998</v>
                </pt>
                <pt idx="321">
                  <v>2Q-1998</v>
                </pt>
              </strCache>
            </strRef>
          </cat>
          <val>
            <numRef>
              <f>'All Charts'!$BJ$6:$BJ$328</f>
              <numCache>
                <formatCode>#,##0.0_);[Red]\(#,##0.0\)</formatCode>
                <ptCount val="323"/>
                <pt idx="0">
                  <v>248.9021471338314</v>
                </pt>
                <pt idx="1">
                  <v>250.2984274078844</v>
                </pt>
                <pt idx="2">
                  <v>240.011495390253</v>
                </pt>
                <pt idx="3">
                  <v>237.0276781569963</v>
                </pt>
                <pt idx="4">
                  <v>230.8081357963178</v>
                </pt>
                <pt idx="5">
                  <v>223.526098380806</v>
                </pt>
                <pt idx="6">
                  <v>217.1774772985922</v>
                </pt>
                <pt idx="7">
                  <v>213.6788407949406</v>
                </pt>
                <pt idx="8">
                  <v>208.8979358819062</v>
                </pt>
                <pt idx="9">
                  <v>197.7516581743684</v>
                </pt>
                <pt idx="10">
                  <v>186.2245776353058</v>
                </pt>
                <pt idx="11">
                  <v>191.578025823301</v>
                </pt>
                <pt idx="12">
                  <v>191.0343339362781</v>
                </pt>
                <pt idx="13">
                  <v>187.7370392158726</v>
                </pt>
                <pt idx="14">
                  <v>193.9278457448366</v>
                </pt>
                <pt idx="15">
                  <v>196.9951703320065</v>
                </pt>
                <pt idx="16">
                  <v>198.6518190228257</v>
                </pt>
                <pt idx="17">
                  <v>212.3025847303412</v>
                </pt>
                <pt idx="18">
                  <v>222.5939159592636</v>
                </pt>
                <pt idx="19">
                  <v>226.1676375355534</v>
                </pt>
                <pt idx="20">
                  <v>224.6362902605025</v>
                </pt>
                <pt idx="21">
                  <v>226.7625587654443</v>
                </pt>
                <pt idx="22">
                  <v>237.612917017402</v>
                </pt>
                <pt idx="23">
                  <v>242.7788171608949</v>
                </pt>
                <pt idx="24">
                  <v>248.1377935955706</v>
                </pt>
                <pt idx="25">
                  <v>245.8943766403939</v>
                </pt>
                <pt idx="26">
                  <v>244.413622802019</v>
                </pt>
                <pt idx="27">
                  <v>247.6265786745078</v>
                </pt>
                <pt idx="28">
                  <v>257.6513762371876</v>
                </pt>
                <pt idx="29">
                  <v>252.4222640041584</v>
                </pt>
                <pt idx="30">
                  <v>253.5841324253609</v>
                </pt>
                <pt idx="31">
                  <v>257.9162941860657</v>
                </pt>
                <pt idx="32">
                  <v>259.8302017035927</v>
                </pt>
                <pt idx="33">
                  <v>258.5579262498459</v>
                </pt>
                <pt idx="34">
                  <v>253.2579895014249</v>
                </pt>
                <pt idx="35">
                  <v>247.7662760572385</v>
                </pt>
                <pt idx="36">
                  <v>243.594780018344</v>
                </pt>
                <pt idx="37">
                  <v>246.7959100022761</v>
                </pt>
                <pt idx="38">
                  <v>247.8125484715823</v>
                </pt>
                <pt idx="39">
                  <v>251.2553354836473</v>
                </pt>
                <pt idx="40">
                  <v>236.8840553834904</v>
                </pt>
                <pt idx="41">
                  <v>240.1818851452663</v>
                </pt>
                <pt idx="42">
                  <v>236.586349556791</v>
                </pt>
                <pt idx="43">
                  <v>223.495281876236</v>
                </pt>
                <pt idx="44">
                  <v>225.7464549047358</v>
                </pt>
                <pt idx="45">
                  <v>225.8457807771916</v>
                </pt>
                <pt idx="46">
                  <v>228.1752730242114</v>
                </pt>
                <pt idx="47">
                  <v>223.19964830871</v>
                </pt>
                <pt idx="48">
                  <v>217.4333929297798</v>
                </pt>
                <pt idx="49">
                  <v>211.9477643383883</v>
                </pt>
                <pt idx="50">
                  <v>208.9663318452371</v>
                </pt>
                <pt idx="51">
                  <v>197.6486006319197</v>
                </pt>
                <pt idx="52">
                  <v>187.1737496228371</v>
                </pt>
                <pt idx="53">
                  <v>182.1012147150928</v>
                </pt>
                <pt idx="54">
                  <v>179.6053259895425</v>
                </pt>
                <pt idx="55">
                  <v>192.8656885475221</v>
                </pt>
                <pt idx="56">
                  <v>191.3476886527295</v>
                </pt>
                <pt idx="57">
                  <v>193.9936812242002</v>
                </pt>
                <pt idx="58">
                  <v>196.7792622901846</v>
                </pt>
                <pt idx="59">
                  <v>205.3384706863209</v>
                </pt>
                <pt idx="60">
                  <v>215.273454124541</v>
                </pt>
                <pt idx="61">
                  <v>209.2273835214957</v>
                </pt>
                <pt idx="62">
                  <v>205.7852206929409</v>
                </pt>
                <pt idx="63">
                  <v>204.2299727511053</v>
                </pt>
                <pt idx="64">
                  <v>206.5457399639507</v>
                </pt>
                <pt idx="65">
                  <v>207.7705538095252</v>
                </pt>
                <pt idx="66">
                  <v>207.0203985841936</v>
                </pt>
                <pt idx="67">
                  <v>208.3423090814765</v>
                </pt>
                <pt idx="68">
                  <v>204.4300776699515</v>
                </pt>
                <pt idx="69">
                  <v>200.2005344591522</v>
                </pt>
                <pt idx="70">
                  <v>206.4150019019178</v>
                </pt>
                <pt idx="71">
                  <v>213.8268466725303</v>
                </pt>
                <pt idx="72">
                  <v>205.0557404282404</v>
                </pt>
                <pt idx="73">
                  <v>204.6217043712842</v>
                </pt>
                <pt idx="74">
                  <v>208.2236619254436</v>
                </pt>
                <pt idx="75">
                  <v>213.7531114236078</v>
                </pt>
                <pt idx="76">
                  <v>220.8183671578923</v>
                </pt>
                <pt idx="77">
                  <v>220.2567372943303</v>
                </pt>
                <pt idx="78">
                  <v>219.3272368711695</v>
                </pt>
                <pt idx="79">
                  <v>210.9661324062352</v>
                </pt>
                <pt idx="80">
                  <v>211.3655830302531</v>
                </pt>
                <pt idx="81">
                  <v>216.1719006129539</v>
                </pt>
                <pt idx="82">
                  <v>205.4074827942823</v>
                </pt>
                <pt idx="83">
                  <v>183.2864235182302</v>
                </pt>
                <pt idx="84">
                  <v>189.7164264302365</v>
                </pt>
                <pt idx="85">
                  <v>190.8483049551751</v>
                </pt>
                <pt idx="86">
                  <v>189.4632721654539</v>
                </pt>
                <pt idx="87">
                  <v>187.2968154825731</v>
                </pt>
                <pt idx="88">
                  <v>175.5838812621079</v>
                </pt>
                <pt idx="89">
                  <v>175.6122645033465</v>
                </pt>
                <pt idx="90">
                  <v>175.1403085809923</v>
                </pt>
                <pt idx="91">
                  <v>171.949523065257</v>
                </pt>
                <pt idx="92">
                  <v>160.1303554900419</v>
                </pt>
                <pt idx="93">
                  <v>160.5304875008897</v>
                </pt>
                <pt idx="94">
                  <v>167.2643768992891</v>
                </pt>
                <pt idx="95">
                  <v>153.7840417333065</v>
                </pt>
                <pt idx="96">
                  <v>144.4763038284985</v>
                </pt>
                <pt idx="97">
                  <v>144.706691872451</v>
                </pt>
                <pt idx="98">
                  <v>135.680386338846</v>
                </pt>
                <pt idx="99">
                  <v>127.1506595479518</v>
                </pt>
                <pt idx="100">
                  <v>130.535942882333</v>
                </pt>
                <pt idx="101">
                  <v>131.4891325038767</v>
                </pt>
                <pt idx="102">
                  <v>141.5748395811115</v>
                </pt>
                <pt idx="103">
                  <v>161.5694072700438</v>
                </pt>
                <pt idx="104">
                  <v>166.8069217222842</v>
                </pt>
                <pt idx="105">
                  <v>167.9650485867121</v>
                </pt>
                <pt idx="106">
                  <v>169.9163538514387</v>
                </pt>
                <pt idx="107">
                  <v>179.12084976762</v>
                </pt>
                <pt idx="108">
                  <v>187.6759337327028</v>
                </pt>
                <pt idx="109">
                  <v>188.5263206306894</v>
                </pt>
                <pt idx="110">
                  <v>179.3504758897116</v>
                </pt>
                <pt idx="111">
                  <v>180.3036249319085</v>
                </pt>
                <pt idx="112">
                  <v>181.083079986685</v>
                </pt>
                <pt idx="113">
                  <v>179.3512391521216</v>
                </pt>
                <pt idx="114">
                  <v>171.0107400212517</v>
                </pt>
                <pt idx="115">
                  <v>159.5780158971988</v>
                </pt>
                <pt idx="116">
                  <v>154.123580420118</v>
                </pt>
                <pt idx="117">
                  <v>151.428315081496</v>
                </pt>
                <pt idx="118">
                  <v>145.4180299946059</v>
                </pt>
                <pt idx="119">
                  <v>145.7567283633205</v>
                </pt>
                <pt idx="120">
                  <v>153.2033716484708</v>
                </pt>
                <pt idx="121">
                  <v>154.0263978733133</v>
                </pt>
                <pt idx="122">
                  <v>176.6215448630583</v>
                </pt>
                <pt idx="123">
                  <v>172.0531256120296</v>
                </pt>
                <pt idx="124">
                  <v>169.5025809525488</v>
                </pt>
                <pt idx="125">
                  <v>165.1615061817736</v>
                </pt>
                <pt idx="126">
                  <v>165.3700279577674</v>
                </pt>
                <pt idx="127">
                  <v>175.1895477778679</v>
                </pt>
                <pt idx="128">
                  <v>183.1877801250301</v>
                </pt>
                <pt idx="129">
                  <v>182.2604288369131</v>
                </pt>
                <pt idx="130">
                  <v>180.6130761481418</v>
                </pt>
                <pt idx="131">
                  <v>183.2505102243796</v>
                </pt>
                <pt idx="132">
                  <v>179.9547677725089</v>
                </pt>
                <pt idx="133">
                  <v>167.5381201698272</v>
                </pt>
                <pt idx="134">
                  <v>166.668624598688</v>
                </pt>
                <pt idx="135">
                  <v>168.7379204682792</v>
                </pt>
                <pt idx="136">
                  <v>168.7856409780685</v>
                </pt>
                <pt idx="137">
                  <v>178.3642113742161</v>
                </pt>
                <pt idx="138">
                  <v>173.8190399645142</v>
                </pt>
                <pt idx="139">
                  <v>169.5416108715711</v>
                </pt>
                <pt idx="140">
                  <v>159.6854710968393</v>
                </pt>
                <pt idx="141">
                  <v>163.3352594741227</v>
                </pt>
                <pt idx="142">
                  <v>155.3224180099649</v>
                </pt>
                <pt idx="143">
                  <v>157.002660099342</v>
                </pt>
                <pt idx="144">
                  <v>166.0135510302328</v>
                </pt>
                <pt idx="145">
                  <v>185.2917455108463</v>
                </pt>
                <pt idx="146">
                  <v>171.0255367369016</v>
                </pt>
                <pt idx="147">
                  <v>161.4440239279186</v>
                </pt>
                <pt idx="148">
                  <v>170.8228255237562</v>
                </pt>
                <pt idx="149">
                  <v>175.2834730127144</v>
                </pt>
                <pt idx="150">
                  <v>199.4821394412924</v>
                </pt>
                <pt idx="151">
                  <v>137.2624461493805</v>
                </pt>
                <pt idx="152">
                  <v>142.2416919012023</v>
                </pt>
                <pt idx="153">
                  <v>148.0107749092282</v>
                </pt>
                <pt idx="154">
                  <v>161.0461919462614</v>
                </pt>
                <pt idx="155">
                  <v>162.3750311716716</v>
                </pt>
                <pt idx="156">
                  <v>195.8356042903424</v>
                </pt>
                <pt idx="157">
                  <v>153.3629155162049</v>
                </pt>
                <pt idx="158">
                  <v>150.8147078460413</v>
                </pt>
                <pt idx="159">
                  <v>151.4902838166202</v>
                </pt>
                <pt idx="160">
                  <v>150.3763937396173</v>
                </pt>
                <pt idx="161">
                  <v>145.6513340266513</v>
                </pt>
                <pt idx="162">
                  <v>152.4754105955805</v>
                </pt>
                <pt idx="163">
                  <v>163.7322532511644</v>
                </pt>
                <pt idx="164">
                  <v>166.5024624163168</v>
                </pt>
                <pt idx="165">
                  <v>163.5798085214119</v>
                </pt>
                <pt idx="166">
                  <v>161.8105887224254</v>
                </pt>
                <pt idx="167">
                  <v>152.1205666330531</v>
                </pt>
                <pt idx="168">
                  <v>147.9207084313891</v>
                </pt>
                <pt idx="169">
                  <v>148.1336117431454</v>
                </pt>
                <pt idx="170">
                  <v>148.1870302246864</v>
                </pt>
                <pt idx="171">
                  <v>147.7040249763781</v>
                </pt>
                <pt idx="172">
                  <v>151.4348716767186</v>
                </pt>
                <pt idx="173">
                  <v>157.2870900874993</v>
                </pt>
                <pt idx="174">
                  <v>156.3389230251192</v>
                </pt>
                <pt idx="175">
                  <v>164.0585761753132</v>
                </pt>
                <pt idx="176">
                  <v>160.7423277114881</v>
                </pt>
                <pt idx="177">
                  <v>182.4839042856269</v>
                </pt>
                <pt idx="178">
                  <v>123.484883955337</v>
                </pt>
                <pt idx="179">
                  <v>129.287672777847</v>
                </pt>
                <pt idx="180">
                  <v>136.0706148876891</v>
                </pt>
                <pt idx="181">
                  <v>136.0355342209077</v>
                </pt>
                <pt idx="182">
                  <v>139.1312583302665</v>
                </pt>
                <pt idx="183">
                  <v>134.6428743978344</v>
                </pt>
                <pt idx="184">
                  <v>135.6414592467386</v>
                </pt>
                <pt idx="185">
                  <v>122.0045164223617</v>
                </pt>
                <pt idx="186">
                  <v>122.3584327533765</v>
                </pt>
                <pt idx="187">
                  <v>113.2685367135599</v>
                </pt>
                <pt idx="188">
                  <v>121.6431442291785</v>
                </pt>
                <pt idx="189">
                  <v>101.2733996864715</v>
                </pt>
                <pt idx="190">
                  <v>100.2596417288716</v>
                </pt>
                <pt idx="191">
                  <v>103.3742674852347</v>
                </pt>
                <pt idx="192">
                  <v>98.09177536846313</v>
                </pt>
                <pt idx="193">
                  <v>113.0027482713572</v>
                </pt>
                <pt idx="194">
                  <v>123.0369439997894</v>
                </pt>
                <pt idx="195">
                  <v>144.1521283392092</v>
                </pt>
                <pt idx="196">
                  <v>148.6056210128438</v>
                </pt>
                <pt idx="197">
                  <v>148.1504940950793</v>
                </pt>
                <pt idx="198">
                  <v>147.1195021040771</v>
                </pt>
                <pt idx="199">
                  <v>157.2909463121722</v>
                </pt>
                <pt idx="200">
                  <v>185.6622729547499</v>
                </pt>
                <pt idx="201">
                  <v>177.9688738886362</v>
                </pt>
                <pt idx="202">
                  <v>186.0231038433729</v>
                </pt>
                <pt idx="203">
                  <v>161.1736199659356</v>
                </pt>
                <pt idx="204">
                  <v>171.4708109414632</v>
                </pt>
                <pt idx="205">
                  <v>162.2853123429801</v>
                </pt>
                <pt idx="206">
                  <v>155.3510022472886</v>
                </pt>
                <pt idx="207">
                  <v>152.4980682759663</v>
                </pt>
                <pt idx="208">
                  <v>151.740626356654</v>
                </pt>
                <pt idx="209">
                  <v>153.8882151117275</v>
                </pt>
                <pt idx="210">
                  <v>156.1149923578556</v>
                </pt>
                <pt idx="211">
                  <v>152.5158496304274</v>
                </pt>
                <pt idx="212">
                  <v>158.5146950286212</v>
                </pt>
                <pt idx="213">
                  <v>162.9364928357787</v>
                </pt>
                <pt idx="214">
                  <v>177.9960162933675</v>
                </pt>
                <pt idx="215">
                  <v>192.9535625040684</v>
                </pt>
                <pt idx="216">
                  <v>191.5301845593095</v>
                </pt>
                <pt idx="217">
                  <v>201.2150022047493</v>
                </pt>
                <pt idx="218">
                  <v>206.7432495539963</v>
                </pt>
                <pt idx="219">
                  <v>205.1461682621228</v>
                </pt>
                <pt idx="220">
                  <v>207.7857291976518</v>
                </pt>
                <pt idx="221">
                  <v>203.1343831050637</v>
                </pt>
                <pt idx="222">
                  <v>191.8788782532095</v>
                </pt>
                <pt idx="223">
                  <v>192.9062104294811</v>
                </pt>
                <pt idx="224">
                  <v>197.6215977033014</v>
                </pt>
                <pt idx="225">
                  <v>196.4660022480622</v>
                </pt>
                <pt idx="226">
                  <v>191.7917653441577</v>
                </pt>
                <pt idx="227">
                  <v>195.7103316955113</v>
                </pt>
                <pt idx="228">
                  <v>190.4215703331831</v>
                </pt>
                <pt idx="229">
                  <v>189.2680770962406</v>
                </pt>
                <pt idx="230">
                  <v>188.017730078383</v>
                </pt>
                <pt idx="231">
                  <v>191.0884068480126</v>
                </pt>
                <pt idx="232">
                  <v>187.1822935892349</v>
                </pt>
                <pt idx="233">
                  <v>182.3383908697441</v>
                </pt>
                <pt idx="234">
                  <v>179.9912643387922</v>
                </pt>
                <pt idx="235">
                  <v>178.150391539043</v>
                </pt>
                <pt idx="236">
                  <v>169.7114082899226</v>
                </pt>
                <pt idx="237">
                  <v>168.3354220270612</v>
                </pt>
                <pt idx="238">
                  <v>118.3054014398619</v>
                </pt>
                <pt idx="239">
                  <v>107.660112666883</v>
                </pt>
                <pt idx="240">
                  <v>111.7221770282865</v>
                </pt>
                <pt idx="241">
                  <v>107.1321931016609</v>
                </pt>
                <pt idx="242">
                  <v>97.50380555775864</v>
                </pt>
                <pt idx="243">
                  <v>87.72397977571913</v>
                </pt>
                <pt idx="244">
                  <v>87.53431385029555</v>
                </pt>
                <pt idx="245">
                  <v>95.14375462005565</v>
                </pt>
                <pt idx="246">
                  <v>111.0016301752224</v>
                </pt>
                <pt idx="247">
                  <v>125.1565986469055</v>
                </pt>
                <pt idx="248">
                  <v>133.8830462557129</v>
                </pt>
                <pt idx="249">
                  <v>134.0516635452179</v>
                </pt>
                <pt idx="250">
                  <v>131.8636307590266</v>
                </pt>
                <pt idx="251">
                  <v>140.7927802591343</v>
                </pt>
                <pt idx="252">
                  <v>128.8796280793722</v>
                </pt>
                <pt idx="253">
                  <v>134.7038422979743</v>
                </pt>
                <pt idx="254">
                  <v>142.7045883229108</v>
                </pt>
                <pt idx="255">
                  <v>140.441097517761</v>
                </pt>
                <pt idx="256">
                  <v>129.1940609600138</v>
                </pt>
                <pt idx="257">
                  <v>142.3190806422887</v>
                </pt>
                <pt idx="258">
                  <v>140.6844405323419</v>
                </pt>
                <pt idx="259">
                  <v>131.7790854469806</v>
                </pt>
                <pt idx="260">
                  <v>138.6859658953298</v>
                </pt>
                <pt idx="261">
                  <v>140.1366505314767</v>
                </pt>
                <pt idx="262">
                  <v>148.5572078028018</v>
                </pt>
                <pt idx="263">
                  <v>145.6762163344414</v>
                </pt>
                <pt idx="264">
                  <v>148.883392792947</v>
                </pt>
                <pt idx="265">
                  <v>151.6676194236436</v>
                </pt>
                <pt idx="266">
                  <v>151.6676194236436</v>
                </pt>
                <pt idx="267">
                  <v>161.259773863495</v>
                </pt>
                <pt idx="268">
                  <v>166.7635720277691</v>
                </pt>
                <pt idx="269">
                  <v>153.0349793392359</v>
                </pt>
                <pt idx="270">
                  <v>156.3114039911922</v>
                </pt>
                <pt idx="271">
                  <v>142.1498004836716</v>
                </pt>
                <pt idx="272">
                  <v>137.2822590554316</v>
                </pt>
                <pt idx="273">
                  <v>134.063327872128</v>
                </pt>
                <pt idx="274">
                  <v>134.063327872128</v>
                </pt>
                <pt idx="275">
                  <v>131.72736366835</v>
                </pt>
                <pt idx="276">
                  <v>131.2944176795135</v>
                </pt>
                <pt idx="277">
                  <v>129.955072925619</v>
                </pt>
                <pt idx="278">
                  <v>107.592700317329</v>
                </pt>
                <pt idx="279">
                  <v>97.12179472053619</v>
                </pt>
                <pt idx="280">
                  <v>95.65012349518994</v>
                </pt>
                <pt idx="281">
                  <v>99.20540290915871</v>
                </pt>
                <pt idx="282">
                  <v>89.54715951125738</v>
                </pt>
                <pt idx="283">
                  <v>97.89534518006347</v>
                </pt>
                <pt idx="284">
                  <v>77.87768382154159</v>
                </pt>
                <pt idx="285">
                  <v>81.56026232209314</v>
                </pt>
                <pt idx="286">
                  <v>85.11730877994306</v>
                </pt>
                <pt idx="287">
                  <v>94.034015209655</v>
                </pt>
                <pt idx="288">
                  <v>10.47265579627157</v>
                </pt>
                <pt idx="289">
                  <v>3.031398879105205</v>
                </pt>
                <pt idx="290">
                  <v>11.42040156469342</v>
                </pt>
                <pt idx="291">
                  <v>19.22319808807736</v>
                </pt>
                <pt idx="292">
                  <v>41.92430514020679</v>
                </pt>
                <pt idx="293">
                  <v>50.76177056614076</v>
                </pt>
                <pt idx="294">
                  <v>71.24256181580081</v>
                </pt>
                <pt idx="295">
                  <v>67.5337326221011</v>
                </pt>
                <pt idx="296">
                  <v>66.24795025658152</v>
                </pt>
                <pt idx="297">
                  <v>74.06305302156696</v>
                </pt>
                <pt idx="298">
                  <v>93.94626206888431</v>
                </pt>
                <pt idx="299">
                  <v>89.58903939036547</v>
                </pt>
                <pt idx="300">
                  <v>155.0644134733434</v>
                </pt>
                <pt idx="301">
                  <v>132.1273821439615</v>
                </pt>
                <pt idx="302">
                  <v>130.006709595352</v>
                </pt>
                <pt idx="303">
                  <v>123.3857030491024</v>
                </pt>
                <pt idx="304">
                  <v>71.84864104011922</v>
                </pt>
                <pt idx="305">
                  <v>69.83238787765778</v>
                </pt>
                <pt idx="306">
                  <v>51.28453738526913</v>
                </pt>
                <pt idx="307">
                  <v>55.84427120466038</v>
                </pt>
                <pt idx="308">
                  <v>72.95384023845668</v>
                </pt>
                <pt idx="309">
                  <v>60.84867393807705</v>
                </pt>
                <pt idx="310">
                  <v>74.89858032108309</v>
                </pt>
                <pt idx="311">
                  <v>85.48461128204856</v>
                </pt>
                <pt idx="312">
                  <v>86.40830226165605</v>
                </pt>
                <pt idx="313">
                  <v>119.4680156989679</v>
                </pt>
                <pt idx="314">
                  <v>117.4161039702688</v>
                </pt>
                <pt idx="315">
                  <v>117.4161039702688</v>
                </pt>
                <pt idx="316">
                  <v>134.6115937748014</v>
                </pt>
                <pt idx="317">
                  <v>113.1810873101058</v>
                </pt>
                <pt idx="318">
                  <v>110.9712056310495</v>
                </pt>
                <pt idx="319">
                  <v>104.8510776811564</v>
                </pt>
                <pt idx="320">
                  <v>95.34343144193514</v>
                </pt>
                <pt idx="321">
                  <v>102.0224669007535</v>
                </pt>
                <pt idx="322">
                  <v>102.0224669007535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17324399"/>
        <axId val="1069572703"/>
      </lineChart>
      <dateAx>
        <axId val="1608873535"/>
        <scaling>
          <orientation val="maxMin"/>
        </scaling>
        <delete val="0"/>
        <axPos val="b"/>
        <numFmt formatCode="General" sourceLinked="1"/>
        <majorTickMark val="out"/>
        <minorTickMark val="none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08884959"/>
        <crosses val="autoZero"/>
        <lblOffset val="100"/>
        <baseTimeUnit val="days"/>
      </dateAx>
      <valAx>
        <axId val="1608884959"/>
        <scaling>
          <orientation val="minMax"/>
          <max val="1.2"/>
          <min val="-0.8"/>
        </scaling>
        <delete val="0"/>
        <axPos val="r"/>
        <numFmt formatCode="0.0%" sourceLinked="1"/>
        <majorTickMark val="out"/>
        <minorTickMark val="none"/>
        <tickLblPos val="high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08873535"/>
        <crosses val="autoZero"/>
        <crossBetween val="between"/>
      </valAx>
      <dateAx>
        <axId val="917324399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69572703"/>
        <crosses val="autoZero"/>
        <lblOffset val="100"/>
        <baseTimeUnit val="days"/>
      </dateAx>
      <valAx>
        <axId val="1069572703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.0_);[Red]\(#,##0.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173243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'All Charts'!$BM$2</f>
              <strCache>
                <ptCount val="1"/>
                <pt idx="0">
                  <v>Cash Return Index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Charts'!$B$6:$B$316</f>
              <strCache>
                <ptCount val="31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  <pt idx="303">
                  <v>4Q-1999</v>
                </pt>
                <pt idx="306">
                  <v>3Q-1999</v>
                </pt>
                <pt idx="309">
                  <v>2Q-1999</v>
                </pt>
              </strCache>
            </strRef>
          </cat>
          <val>
            <numRef>
              <f>'All Charts'!$BM$6:$BM$316</f>
              <numCache>
                <formatCode>0.00%</formatCode>
                <ptCount val="311"/>
                <pt idx="0">
                  <v>0.07885594186433718</v>
                </pt>
                <pt idx="1">
                  <v>0.07804118637038195</v>
                </pt>
                <pt idx="2">
                  <v>0.0774818758209635</v>
                </pt>
                <pt idx="3">
                  <v>0.07728733081705616</v>
                </pt>
                <pt idx="4">
                  <v>0.07770241736612057</v>
                </pt>
                <pt idx="5">
                  <v>0.07713583648833636</v>
                </pt>
                <pt idx="6">
                  <v>0.07662936424369257</v>
                </pt>
                <pt idx="7">
                  <v>0.07530292315113189</v>
                </pt>
                <pt idx="8">
                  <v>0.07537917400784006</v>
                </pt>
                <pt idx="9">
                  <v>0.07558627969456316</v>
                </pt>
                <pt idx="10">
                  <v>0.0768084250248616</v>
                </pt>
                <pt idx="11">
                  <v>0.07615351747285198</v>
                </pt>
                <pt idx="12">
                  <v>0.07626083204676333</v>
                </pt>
                <pt idx="13">
                  <v>0.0765209567303743</v>
                </pt>
                <pt idx="14">
                  <v>0.0769121306696012</v>
                </pt>
                <pt idx="15">
                  <v>0.0762950457382562</v>
                </pt>
                <pt idx="16">
                  <v>0.0760356148050406</v>
                </pt>
                <pt idx="17">
                  <v>0.07680119218355237</v>
                </pt>
                <pt idx="18">
                  <v>0.07728211982341185</v>
                </pt>
                <pt idx="19">
                  <v>0.07772543461418893</v>
                </pt>
                <pt idx="20">
                  <v>0.07704611500336064</v>
                </pt>
                <pt idx="21">
                  <v>0.0761101075222741</v>
                </pt>
                <pt idx="22">
                  <v>0.07448743890232137</v>
                </pt>
                <pt idx="23">
                  <v>0.07356006820755309</v>
                </pt>
                <pt idx="24">
                  <v>0.07338560768805032</v>
                </pt>
                <pt idx="25">
                  <v>0.07324664522389819</v>
                </pt>
                <pt idx="26">
                  <v>0.0730073833297387</v>
                </pt>
                <pt idx="27">
                  <v>0.07281311946879426</v>
                </pt>
                <pt idx="28">
                  <v>0.07199165794100043</v>
                </pt>
                <pt idx="29">
                  <v>0.07157858605898096</v>
                </pt>
                <pt idx="30">
                  <v>0.07136274143185128</v>
                </pt>
                <pt idx="31">
                  <v>0.07088617009061815</v>
                </pt>
                <pt idx="32">
                  <v>0.07110826606331908</v>
                </pt>
                <pt idx="33">
                  <v>0.07151337987759153</v>
                </pt>
                <pt idx="34">
                  <v>0.07188216045447055</v>
                </pt>
                <pt idx="35">
                  <v>0.07269834825633625</v>
                </pt>
                <pt idx="36">
                  <v>0.07278980150548639</v>
                </pt>
                <pt idx="37">
                  <v>0.07265745582253808</v>
                </pt>
                <pt idx="38">
                  <v>0.07266740822175735</v>
                </pt>
                <pt idx="39">
                  <v>0.07304741817976879</v>
                </pt>
                <pt idx="40">
                  <v>0.07317745072745185</v>
                </pt>
                <pt idx="41">
                  <v>0.07352184307455652</v>
                </pt>
                <pt idx="42">
                  <v>0.0739578546923686</v>
                </pt>
                <pt idx="43">
                  <v>0.07403423566211043</v>
                </pt>
                <pt idx="44">
                  <v>0.07383875587502597</v>
                </pt>
                <pt idx="45">
                  <v>0.07410959545882857</v>
                </pt>
                <pt idx="46">
                  <v>0.0745569271446303</v>
                </pt>
                <pt idx="47">
                  <v>0.07496244720865622</v>
                </pt>
                <pt idx="48">
                  <v>0.07504161969986123</v>
                </pt>
                <pt idx="49">
                  <v>0.07512319227479772</v>
                </pt>
                <pt idx="50">
                  <v>0.07551411928596773</v>
                </pt>
                <pt idx="51">
                  <v>0.07566757391554896</v>
                </pt>
                <pt idx="52">
                  <v>0.07703946904446188</v>
                </pt>
                <pt idx="53">
                  <v>0.07698336395273675</v>
                </pt>
                <pt idx="54">
                  <v>0.07691138429296121</v>
                </pt>
                <pt idx="55">
                  <v>0.07694442049138055</v>
                </pt>
                <pt idx="56">
                  <v>0.07722123931507989</v>
                </pt>
                <pt idx="57">
                  <v>0.07694668038036115</v>
                </pt>
                <pt idx="58">
                  <v>0.07642329430846509</v>
                </pt>
                <pt idx="59">
                  <v>0.07686795008631823</v>
                </pt>
                <pt idx="60">
                  <v>0.07726732475925865</v>
                </pt>
                <pt idx="61">
                  <v>0.07800245581393193</v>
                </pt>
                <pt idx="62">
                  <v>0.07794285199931159</v>
                </pt>
                <pt idx="63">
                  <v>0.07991864850603447</v>
                </pt>
                <pt idx="64">
                  <v>0.0806710544922493</v>
                </pt>
                <pt idx="65">
                  <v>0.080734425567593</v>
                </pt>
                <pt idx="66">
                  <v>0.08055963186431592</v>
                </pt>
                <pt idx="67">
                  <v>0.08132352733498832</v>
                </pt>
                <pt idx="68">
                  <v>0.08234017514014819</v>
                </pt>
                <pt idx="69">
                  <v>0.08363378374610889</v>
                </pt>
                <pt idx="70">
                  <v>0.08366988574541638</v>
                </pt>
                <pt idx="71">
                  <v>0.08311515926647908</v>
                </pt>
                <pt idx="72">
                  <v>0.08300472664385575</v>
                </pt>
                <pt idx="73">
                  <v>0.08307670633086367</v>
                </pt>
                <pt idx="74">
                  <v>0.08313809606721484</v>
                </pt>
                <pt idx="75">
                  <v>0.0812844864918662</v>
                </pt>
                <pt idx="76">
                  <v>0.08076941401836776</v>
                </pt>
                <pt idx="77">
                  <v>0.08068032055807978</v>
                </pt>
                <pt idx="78">
                  <v>0.08099702371375052</v>
                </pt>
                <pt idx="79">
                  <v>0.08122808566197</v>
                </pt>
                <pt idx="80">
                  <v>0.08000160071697332</v>
                </pt>
                <pt idx="81">
                  <v>0.07803050805373909</v>
                </pt>
                <pt idx="82">
                  <v>0.07898220655342739</v>
                </pt>
                <pt idx="83">
                  <v>0.08044885610238026</v>
                </pt>
                <pt idx="84">
                  <v>0.08045680299095666</v>
                </pt>
                <pt idx="85">
                  <v>0.07933567448504035</v>
                </pt>
                <pt idx="86">
                  <v>0.07930071913685226</v>
                </pt>
                <pt idx="87">
                  <v>0.07904375780862025</v>
                </pt>
                <pt idx="88">
                  <v>0.07905620596644646</v>
                </pt>
                <pt idx="89">
                  <v>0.07896785829503475</v>
                </pt>
                <pt idx="90">
                  <v>0.07912933444322556</v>
                </pt>
                <pt idx="91">
                  <v>0.07764811615200268</v>
                </pt>
                <pt idx="92">
                  <v>0.07836702058500569</v>
                </pt>
                <pt idx="93">
                  <v>0.07899812545970065</v>
                </pt>
                <pt idx="94">
                  <v>0.08061025483778106</v>
                </pt>
                <pt idx="95">
                  <v>0.07924298621288717</v>
                </pt>
                <pt idx="96">
                  <v>0.07910416638691159</v>
                </pt>
                <pt idx="97">
                  <v>0.07857098609647828</v>
                </pt>
                <pt idx="98">
                  <v>0.0786497936456496</v>
                </pt>
                <pt idx="99">
                  <v>0.07896768358884376</v>
                </pt>
                <pt idx="100">
                  <v>0.07899155579655777</v>
                </pt>
                <pt idx="101">
                  <v>0.08049482463394791</v>
                </pt>
                <pt idx="102">
                  <v>0.08064176790242869</v>
                </pt>
                <pt idx="103">
                  <v>0.08074227373528364</v>
                </pt>
                <pt idx="104">
                  <v>0.08090173525167806</v>
                </pt>
                <pt idx="105">
                  <v>0.08198409457536895</v>
                </pt>
                <pt idx="106">
                  <v>0.08181201808389767</v>
                </pt>
                <pt idx="107">
                  <v>0.08227289874159477</v>
                </pt>
                <pt idx="108">
                  <v>0.082779907593408</v>
                </pt>
                <pt idx="109">
                  <v>0.08195208019583092</v>
                </pt>
                <pt idx="110">
                  <v>0.08260527223721334</v>
                </pt>
                <pt idx="111">
                  <v>0.08236765693684436</v>
                </pt>
                <pt idx="112">
                  <v>0.08199992330364134</v>
                </pt>
                <pt idx="113">
                  <v>0.08218913415623483</v>
                </pt>
                <pt idx="114">
                  <v>0.08180461042351003</v>
                </pt>
                <pt idx="115">
                  <v>0.08309305650434906</v>
                </pt>
                <pt idx="116">
                  <v>0.08306127754956748</v>
                </pt>
                <pt idx="117">
                  <v>0.08210741735605111</v>
                </pt>
                <pt idx="118">
                  <v>0.07986106854807733</v>
                </pt>
                <pt idx="119">
                  <v>0.08003796903734384</v>
                </pt>
                <pt idx="120">
                  <v>0.07922951074433818</v>
                </pt>
                <pt idx="121">
                  <v>0.08074592346391223</v>
                </pt>
                <pt idx="122">
                  <v>0.08039785918540004</v>
                </pt>
                <pt idx="123">
                  <v>0.08041100886952153</v>
                </pt>
                <pt idx="124">
                  <v>0.08165498679775041</v>
                </pt>
                <pt idx="125">
                  <v>0.08302732363005426</v>
                </pt>
                <pt idx="126">
                  <v>0.08390863528065876</v>
                </pt>
                <pt idx="127">
                  <v>0.08305156500621508</v>
                </pt>
                <pt idx="128">
                  <v>0.08278764160369162</v>
                </pt>
                <pt idx="129">
                  <v>0.08306122775886984</v>
                </pt>
                <pt idx="130">
                  <v>0.0830625478859848</v>
                </pt>
                <pt idx="131">
                  <v>0.0829101229393138</v>
                </pt>
                <pt idx="132">
                  <v>0.08396830722017355</v>
                </pt>
                <pt idx="133">
                  <v>0.08426628014582219</v>
                </pt>
                <pt idx="134">
                  <v>0.0850773706095618</v>
                </pt>
                <pt idx="135">
                  <v>0.08474689622053586</v>
                </pt>
                <pt idx="136">
                  <v>0.08364822337885001</v>
                </pt>
                <pt idx="137">
                  <v>0.08194111773364463</v>
                </pt>
                <pt idx="138">
                  <v>0.08101090646990308</v>
                </pt>
                <pt idx="139">
                  <v>0.08074701284340471</v>
                </pt>
                <pt idx="140">
                  <v>0.08291621899743373</v>
                </pt>
                <pt idx="141">
                  <v>0.08107724268159326</v>
                </pt>
                <pt idx="142">
                  <v>0.08266529249084104</v>
                </pt>
                <pt idx="143">
                  <v>0.08213130448742598</v>
                </pt>
                <pt idx="144">
                  <v>0.0825853392374965</v>
                </pt>
                <pt idx="145">
                  <v>0.08244100016185167</v>
                </pt>
                <pt idx="146">
                  <v>0.08143937209334379</v>
                </pt>
                <pt idx="147">
                  <v>0.08217607203545337</v>
                </pt>
                <pt idx="148">
                  <v>0.08261589235585659</v>
                </pt>
                <pt idx="149">
                  <v>0.08104254159336567</v>
                </pt>
                <pt idx="150">
                  <v>0.08176213621102429</v>
                </pt>
                <pt idx="151">
                  <v>0.08199902198685011</v>
                </pt>
                <pt idx="152">
                  <v>0.0811306828275872</v>
                </pt>
                <pt idx="153">
                  <v>0.08263315068544333</v>
                </pt>
                <pt idx="154">
                  <v>0.08258098755762408</v>
                </pt>
                <pt idx="155">
                  <v>0.08270341023940374</v>
                </pt>
                <pt idx="156">
                  <v>0.0828083665087197</v>
                </pt>
                <pt idx="157">
                  <v>0.08268204406564501</v>
                </pt>
                <pt idx="158">
                  <v>0.08384684253189847</v>
                </pt>
                <pt idx="159">
                  <v>0.08368145380273545</v>
                </pt>
                <pt idx="160">
                  <v>0.08485716377879085</v>
                </pt>
                <pt idx="161">
                  <v>0.08581384840629197</v>
                </pt>
                <pt idx="162">
                  <v>0.08538450295963751</v>
                </pt>
                <pt idx="163">
                  <v>0.0857299605795791</v>
                </pt>
                <pt idx="164">
                  <v>0.08528996966043423</v>
                </pt>
                <pt idx="165">
                  <v>0.08535412058180131</v>
                </pt>
                <pt idx="166">
                  <v>0.08372354944539401</v>
                </pt>
                <pt idx="167">
                  <v>0.08417469758414314</v>
                </pt>
                <pt idx="168">
                  <v>0.0843946997314583</v>
                </pt>
                <pt idx="169">
                  <v>0.08464809321673664</v>
                </pt>
                <pt idx="170">
                  <v>0.08375241036314898</v>
                </pt>
                <pt idx="171">
                  <v>0.08455408840341724</v>
                </pt>
                <pt idx="172">
                  <v>0.08381300472825819</v>
                </pt>
                <pt idx="173">
                  <v>0.08418678382803772</v>
                </pt>
                <pt idx="174">
                  <v>0.08502217232681428</v>
                </pt>
                <pt idx="175">
                  <v>0.08383182594374729</v>
                </pt>
                <pt idx="176">
                  <v>0.08582072478684147</v>
                </pt>
                <pt idx="177">
                  <v>0.08583485767185232</v>
                </pt>
                <pt idx="178">
                  <v>0.08761968541125362</v>
                </pt>
                <pt idx="179">
                  <v>0.08682499321425878</v>
                </pt>
                <pt idx="180">
                  <v>0.0835506529766326</v>
                </pt>
                <pt idx="181">
                  <v>0.08340133828579205</v>
                </pt>
                <pt idx="182">
                  <v>0.08354208980965608</v>
                </pt>
                <pt idx="183">
                  <v>0.08240603316551776</v>
                </pt>
                <pt idx="184">
                  <v>0.08085211996955645</v>
                </pt>
                <pt idx="185">
                  <v>0.08040490819440063</v>
                </pt>
                <pt idx="186">
                  <v>0.08173389433827635</v>
                </pt>
                <pt idx="187">
                  <v>0.08125075215920302</v>
                </pt>
                <pt idx="188">
                  <v>0.0805385546003884</v>
                </pt>
                <pt idx="189">
                  <v>0.07944628637084954</v>
                </pt>
                <pt idx="190">
                  <v>0.07986212715527774</v>
                </pt>
                <pt idx="191">
                  <v>0.07954232999426879</v>
                </pt>
                <pt idx="192">
                  <v>0.08020336284252394</v>
                </pt>
                <pt idx="193">
                  <v>0.0792420205563565</v>
                </pt>
                <pt idx="194">
                  <v>0.07954556805225425</v>
                </pt>
                <pt idx="195">
                  <v>0.08079483225581943</v>
                </pt>
                <pt idx="196">
                  <v>0.08260165784432004</v>
                </pt>
                <pt idx="197">
                  <v>0.08015703595199222</v>
                </pt>
                <pt idx="198">
                  <v>0.07912642290089071</v>
                </pt>
                <pt idx="199">
                  <v>0.07779042338578822</v>
                </pt>
                <pt idx="200">
                  <v>0.07911795448315338</v>
                </pt>
                <pt idx="201">
                  <v>0.08122989027963914</v>
                </pt>
                <pt idx="202">
                  <v>0.07884484200625239</v>
                </pt>
                <pt idx="203">
                  <v>0.07757280669438787</v>
                </pt>
                <pt idx="204">
                  <v>0.07641882183468758</v>
                </pt>
                <pt idx="205">
                  <v>0.0772664854882144</v>
                </pt>
                <pt idx="206">
                  <v>0.07587038109971123</v>
                </pt>
                <pt idx="207">
                  <v>0.07483587354567854</v>
                </pt>
                <pt idx="208">
                  <v>0.07426482702924826</v>
                </pt>
                <pt idx="209">
                  <v>0.07428375715716892</v>
                </pt>
                <pt idx="210">
                  <v>0.0740278027747172</v>
                </pt>
                <pt idx="211">
                  <v>0.07411597164627318</v>
                </pt>
                <pt idx="212">
                  <v>0.07356489990998769</v>
                </pt>
                <pt idx="213">
                  <v>0.07364321753564063</v>
                </pt>
                <pt idx="214">
                  <v>0.07295984397910391</v>
                </pt>
                <pt idx="215">
                  <v>0.07288366374139477</v>
                </pt>
                <pt idx="216">
                  <v>0.07370312150972071</v>
                </pt>
                <pt idx="217">
                  <v>0.07105929603127617</v>
                </pt>
                <pt idx="218">
                  <v>0.07250687488216633</v>
                </pt>
                <pt idx="219">
                  <v>0.07102116651748518</v>
                </pt>
                <pt idx="220">
                  <v>0.06914278689895176</v>
                </pt>
                <pt idx="221">
                  <v>0.07003611772020249</v>
                </pt>
                <pt idx="222">
                  <v>0.07147568943434372</v>
                </pt>
                <pt idx="223">
                  <v>0.07253373300975119</v>
                </pt>
                <pt idx="224">
                  <v>0.07070142209800118</v>
                </pt>
                <pt idx="225">
                  <v>0.07106175655921335</v>
                </pt>
                <pt idx="226">
                  <v>0.07225946535450738</v>
                </pt>
                <pt idx="227">
                  <v>0.07194106283808221</v>
                </pt>
                <pt idx="228">
                  <v>0.07169922158952523</v>
                </pt>
                <pt idx="229">
                  <v>0.07250919461203968</v>
                </pt>
                <pt idx="230">
                  <v>0.07250686407732884</v>
                </pt>
                <pt idx="231">
                  <v>0.07343805027146127</v>
                </pt>
                <pt idx="232">
                  <v>0.07628957950934091</v>
                </pt>
                <pt idx="233">
                  <v>0.076806975165296</v>
                </pt>
                <pt idx="234">
                  <v>0.07623142543400185</v>
                </pt>
                <pt idx="235">
                  <v>0.07578088719736563</v>
                </pt>
                <pt idx="236">
                  <v>0.07899839119362881</v>
                </pt>
                <pt idx="237">
                  <v>0.07907891889378611</v>
                </pt>
                <pt idx="238">
                  <v>0.08150494482957482</v>
                </pt>
                <pt idx="239">
                  <v>0.08289537802315497</v>
                </pt>
                <pt idx="240">
                  <v>0.08306507476643539</v>
                </pt>
                <pt idx="241">
                  <v>0.08319412522401655</v>
                </pt>
                <pt idx="242">
                  <v>0.08311275620363634</v>
                </pt>
                <pt idx="243">
                  <v>0.08415826541665097</v>
                </pt>
                <pt idx="244">
                  <v>0.08231426885089843</v>
                </pt>
                <pt idx="245">
                  <v>0.08126582278878441</v>
                </pt>
                <pt idx="246">
                  <v>0.081678814815024</v>
                </pt>
                <pt idx="247">
                  <v>0.08257136876169596</v>
                </pt>
                <pt idx="248">
                  <v>0.08315591945135449</v>
                </pt>
                <pt idx="249">
                  <v>0.08533110269710734</v>
                </pt>
                <pt idx="250">
                  <v>0.08335017072757206</v>
                </pt>
                <pt idx="251">
                  <v>0.08287133213497609</v>
                </pt>
                <pt idx="252">
                  <v>0.08289045562821294</v>
                </pt>
                <pt idx="253">
                  <v>0.08498452383964074</v>
                </pt>
                <pt idx="254">
                  <v>0.08535181971005723</v>
                </pt>
                <pt idx="255">
                  <v>0.08598825240679456</v>
                </pt>
                <pt idx="256">
                  <v>0.08651215089459741</v>
                </pt>
                <pt idx="257">
                  <v>0.08618987122239119</v>
                </pt>
                <pt idx="258">
                  <v>0.08666833268524635</v>
                </pt>
                <pt idx="259">
                  <v>0.08626845911785369</v>
                </pt>
                <pt idx="260">
                  <v>0.0864441067611799</v>
                </pt>
                <pt idx="261">
                  <v>0.08640409425846554</v>
                </pt>
                <pt idx="262">
                  <v>0.08913092556829053</v>
                </pt>
                <pt idx="263">
                  <v>0.09001178384932368</v>
                </pt>
                <pt idx="264">
                  <v>0.09210299455007755</v>
                </pt>
                <pt idx="265">
                  <v>0.09000854610269801</v>
                </pt>
                <pt idx="266">
                  <v>0.09000854610269801</v>
                </pt>
                <pt idx="267">
                  <v>0.08993012154201885</v>
                </pt>
                <pt idx="268">
                  <v>0.08970720767037006</v>
                </pt>
                <pt idx="269">
                  <v>0.09137558713719984</v>
                </pt>
                <pt idx="270">
                  <v>0.09163776085623715</v>
                </pt>
                <pt idx="271">
                  <v>0.09420112107076414</v>
                </pt>
                <pt idx="272">
                  <v>0.09700423904651888</v>
                </pt>
                <pt idx="273">
                  <v>0.09741055157836304</v>
                </pt>
                <pt idx="274">
                  <v>0.09741055157836304</v>
                </pt>
                <pt idx="275">
                  <v>0.09791829428267766</v>
                </pt>
                <pt idx="276">
                  <v>0.09786892034421998</v>
                </pt>
                <pt idx="277">
                  <v>0.09995454476446709</v>
                </pt>
                <pt idx="278">
                  <v>0.09871583383621559</v>
                </pt>
                <pt idx="279">
                  <v>0.09995965890866815</v>
                </pt>
                <pt idx="280">
                  <v>0.10060538708426</v>
                </pt>
                <pt idx="281">
                  <v>0.1017767177644247</v>
                </pt>
                <pt idx="282">
                  <v>0.1017767177644247</v>
                </pt>
                <pt idx="283">
                  <v>0.09986189100022347</v>
                </pt>
                <pt idx="284">
                  <v>0.09554097730112548</v>
                </pt>
                <pt idx="285">
                  <v>0.09619207783322353</v>
                </pt>
                <pt idx="286">
                  <v>0.09576254145126106</v>
                </pt>
                <pt idx="287">
                  <v>0.09268816736919649</v>
                </pt>
                <pt idx="288">
                  <v>0.09254068167596027</v>
                </pt>
                <pt idx="289">
                  <v>0.09184351625900773</v>
                </pt>
                <pt idx="290">
                  <v>0.09346997137411614</v>
                </pt>
                <pt idx="291">
                  <v>0.08938121588343685</v>
                </pt>
                <pt idx="292">
                  <v>0.08905039156671316</v>
                </pt>
                <pt idx="293">
                  <v>0.08723572087083284</v>
                </pt>
                <pt idx="294">
                  <v>0.08713812386692589</v>
                </pt>
                <pt idx="295">
                  <v>0.08752632503749949</v>
                </pt>
                <pt idx="296">
                  <v>0.08906465692963872</v>
                </pt>
                <pt idx="297">
                  <v>0.08906465692963872</v>
                </pt>
                <pt idx="298">
                  <v>0.08810039051612006</v>
                </pt>
                <pt idx="299">
                  <v>0.09284746862854565</v>
                </pt>
                <pt idx="300">
                  <v>0.09387783408269976</v>
                </pt>
                <pt idx="301">
                  <v>0.09450921567130979</v>
                </pt>
                <pt idx="302">
                  <v>0.09450921567130979</v>
                </pt>
                <pt idx="303">
                  <v>0.09627650388401227</v>
                </pt>
                <pt idx="304">
                  <v>0.09777234230507584</v>
                </pt>
                <pt idx="305">
                  <v>0.09618242451968044</v>
                </pt>
                <pt idx="306">
                  <v>0.09742204461064594</v>
                </pt>
                <pt idx="307">
                  <v>0.09716465893923375</v>
                </pt>
                <pt idx="308">
                  <v>0.1031248373772059</v>
                </pt>
                <pt idx="309">
                  <v>0.1069962235867599</v>
                </pt>
                <pt idx="310">
                  <v>0.1090281954884752</v>
                </pt>
              </numCache>
            </numRef>
          </val>
          <smooth val="0"/>
        </ser>
        <ser>
          <idx val="1"/>
          <order val="1"/>
          <tx>
            <strRef>
              <f>'All Charts'!$BN$2</f>
              <strCache>
                <ptCount val="1"/>
                <pt idx="0">
                  <v>Leveraged Return Index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'All Charts'!$B$6:$B$316</f>
              <strCache>
                <ptCount val="310"/>
                <pt idx="0">
                  <v>Q1-2025</v>
                </pt>
                <pt idx="3">
                  <v>Q4-2024</v>
                </pt>
                <pt idx="6">
                  <v>Q3-2024</v>
                </pt>
                <pt idx="9">
                  <v>Q2-2024</v>
                </pt>
                <pt idx="12">
                  <v>Q1-2024</v>
                </pt>
                <pt idx="15">
                  <v>Q4-2023</v>
                </pt>
                <pt idx="18">
                  <v>Q3-2023</v>
                </pt>
                <pt idx="21">
                  <v>Q2-2023</v>
                </pt>
                <pt idx="24">
                  <v>Q1-2023</v>
                </pt>
                <pt idx="27">
                  <v>Q4-2022</v>
                </pt>
                <pt idx="30">
                  <v>Q3-2022</v>
                </pt>
                <pt idx="33">
                  <v>Q2-2022</v>
                </pt>
                <pt idx="36">
                  <v>Q1-2022</v>
                </pt>
                <pt idx="39">
                  <v>Q4-2021</v>
                </pt>
                <pt idx="42">
                  <v>Q3-2021</v>
                </pt>
                <pt idx="45">
                  <v>Q2-2021</v>
                </pt>
                <pt idx="48">
                  <v>Q1-2021</v>
                </pt>
                <pt idx="51">
                  <v>Q4-2020</v>
                </pt>
                <pt idx="54">
                  <v>Q3-2020</v>
                </pt>
                <pt idx="57">
                  <v>Q2-2020</v>
                </pt>
                <pt idx="60">
                  <v>Q1-2020</v>
                </pt>
                <pt idx="63">
                  <v>4Q-2019</v>
                </pt>
                <pt idx="66">
                  <v>3Q-2019</v>
                </pt>
                <pt idx="69">
                  <v>2Q-2019</v>
                </pt>
                <pt idx="72">
                  <v>1Q-2019</v>
                </pt>
                <pt idx="75">
                  <v>4Q-2018</v>
                </pt>
                <pt idx="78">
                  <v>3Q-2018</v>
                </pt>
                <pt idx="81">
                  <v>2Q-2018</v>
                </pt>
                <pt idx="84">
                  <v>1Q-2018</v>
                </pt>
                <pt idx="87">
                  <v>4Q-2017</v>
                </pt>
                <pt idx="90">
                  <v>3Q-2017</v>
                </pt>
                <pt idx="93">
                  <v>2Q-2017</v>
                </pt>
                <pt idx="96">
                  <v>1Q-2017</v>
                </pt>
                <pt idx="99">
                  <v>4Q-2016</v>
                </pt>
                <pt idx="102">
                  <v>3Q-2016</v>
                </pt>
                <pt idx="105">
                  <v>2Q-2016</v>
                </pt>
                <pt idx="108">
                  <v>1Q-2016</v>
                </pt>
                <pt idx="111">
                  <v>4Q-2015</v>
                </pt>
                <pt idx="114">
                  <v>3Q-2015</v>
                </pt>
                <pt idx="117">
                  <v>2Q-2015</v>
                </pt>
                <pt idx="120">
                  <v>1Q-2015</v>
                </pt>
                <pt idx="123">
                  <v>4Q-2014</v>
                </pt>
                <pt idx="126">
                  <v>3Q-2014</v>
                </pt>
                <pt idx="129">
                  <v>2Q-2014</v>
                </pt>
                <pt idx="132">
                  <v>1Q-2014</v>
                </pt>
                <pt idx="135">
                  <v>4Q-2013</v>
                </pt>
                <pt idx="138">
                  <v>3Q-2013</v>
                </pt>
                <pt idx="141">
                  <v>2Q-2013</v>
                </pt>
                <pt idx="144">
                  <v>1Q-2013</v>
                </pt>
                <pt idx="147">
                  <v>4Q-2012</v>
                </pt>
                <pt idx="150">
                  <v>3Q-2012</v>
                </pt>
                <pt idx="153">
                  <v>2Q-2012</v>
                </pt>
                <pt idx="156">
                  <v>1Q-2012</v>
                </pt>
                <pt idx="159">
                  <v>4Q-2011</v>
                </pt>
                <pt idx="162">
                  <v>3Q-2011</v>
                </pt>
                <pt idx="165">
                  <v>2Q-2011</v>
                </pt>
                <pt idx="168">
                  <v>1Q-2011</v>
                </pt>
                <pt idx="171">
                  <v>4Q-2010</v>
                </pt>
                <pt idx="174">
                  <v>3Q-2010</v>
                </pt>
                <pt idx="177">
                  <v>2Q-2010</v>
                </pt>
                <pt idx="180">
                  <v>1Q-2010</v>
                </pt>
                <pt idx="183">
                  <v>4Q-2009</v>
                </pt>
                <pt idx="186">
                  <v>3Q-2009</v>
                </pt>
                <pt idx="189">
                  <v>2Q-2009</v>
                </pt>
                <pt idx="192">
                  <v>1Q-2009</v>
                </pt>
                <pt idx="195">
                  <v>4Q-2008</v>
                </pt>
                <pt idx="198">
                  <v>3Q-2008</v>
                </pt>
                <pt idx="201">
                  <v>2Q-2008</v>
                </pt>
                <pt idx="204">
                  <v>1Q-2008</v>
                </pt>
                <pt idx="207">
                  <v>4Q-2007</v>
                </pt>
                <pt idx="210">
                  <v>3Q-2007</v>
                </pt>
                <pt idx="213">
                  <v>2Q-2007</v>
                </pt>
                <pt idx="216">
                  <v>1Q-2007</v>
                </pt>
                <pt idx="219">
                  <v>4Q-2006</v>
                </pt>
                <pt idx="222">
                  <v>3Q-2006</v>
                </pt>
                <pt idx="225">
                  <v>2Q-2006</v>
                </pt>
                <pt idx="228">
                  <v>1Q-2006</v>
                </pt>
                <pt idx="231">
                  <v>4Q-2005</v>
                </pt>
                <pt idx="234">
                  <v>3Q-2005</v>
                </pt>
                <pt idx="237">
                  <v>2Q-2005</v>
                </pt>
                <pt idx="240">
                  <v>1Q-2005</v>
                </pt>
                <pt idx="243">
                  <v>4Q-2004</v>
                </pt>
                <pt idx="246">
                  <v>3Q-2004</v>
                </pt>
                <pt idx="249">
                  <v>2Q-2004</v>
                </pt>
                <pt idx="252">
                  <v>1Q-2004</v>
                </pt>
                <pt idx="255">
                  <v>4Q-2003</v>
                </pt>
                <pt idx="258">
                  <v>3Q-2003</v>
                </pt>
                <pt idx="261">
                  <v>2Q-2003</v>
                </pt>
                <pt idx="264">
                  <v>1Q-2003</v>
                </pt>
                <pt idx="267">
                  <v>4Q-2002</v>
                </pt>
                <pt idx="270">
                  <v>3Q-2002</v>
                </pt>
                <pt idx="273">
                  <v>2Q-2002</v>
                </pt>
                <pt idx="276">
                  <v>1Q-2002</v>
                </pt>
                <pt idx="279">
                  <v>4Q-2001</v>
                </pt>
                <pt idx="282">
                  <v>3Q-2001</v>
                </pt>
                <pt idx="285">
                  <v>2Q-2001</v>
                </pt>
                <pt idx="288">
                  <v>1Q-2001</v>
                </pt>
                <pt idx="291">
                  <v>4Q-2000</v>
                </pt>
                <pt idx="294">
                  <v>3Q-2000</v>
                </pt>
                <pt idx="297">
                  <v>2Q-2000</v>
                </pt>
                <pt idx="300">
                  <v>1Q-2000</v>
                </pt>
                <pt idx="303">
                  <v>4Q-1999</v>
                </pt>
                <pt idx="306">
                  <v>3Q-1999</v>
                </pt>
                <pt idx="309">
                  <v>2Q-1999</v>
                </pt>
              </strCache>
            </strRef>
          </cat>
          <val>
            <numRef>
              <f>'All Charts'!$BN$6:$BN$316</f>
              <numCache>
                <formatCode>0.00%</formatCode>
                <ptCount val="311"/>
                <pt idx="0">
                  <v>0.08384996089012772</v>
                </pt>
                <pt idx="1">
                  <v>0.08234524341795649</v>
                </pt>
                <pt idx="2">
                  <v>0.07856340572558194</v>
                </pt>
                <pt idx="3">
                  <v>0.07814265414648183</v>
                </pt>
                <pt idx="4">
                  <v>0.08207265714824964</v>
                </pt>
                <pt idx="5">
                  <v>0.08008173675325513</v>
                </pt>
                <pt idx="6">
                  <v>0.08282567545351718</v>
                </pt>
                <pt idx="7">
                  <v>0.0793376553868821</v>
                </pt>
                <pt idx="8">
                  <v>0.07796202223351717</v>
                </pt>
                <pt idx="9">
                  <v>0.07655214297765552</v>
                </pt>
                <pt idx="10">
                  <v>0.07765129554209792</v>
                </pt>
                <pt idx="11">
                  <v>0.07497834036693909</v>
                </pt>
                <pt idx="12">
                  <v>0.07897155493484401</v>
                </pt>
                <pt idx="13">
                  <v>0.07914877808944026</v>
                </pt>
                <pt idx="14">
                  <v>0.08202515351937492</v>
                </pt>
                <pt idx="15">
                  <v>0.08171319761771771</v>
                </pt>
                <pt idx="16">
                  <v>0.07841205018599888</v>
                </pt>
                <pt idx="17">
                  <v>0.07544461490457009</v>
                </pt>
                <pt idx="18">
                  <v>0.07815597884987885</v>
                </pt>
                <pt idx="19">
                  <v>0.08280179739126797</v>
                </pt>
                <pt idx="20">
                  <v>0.08247798590636529</v>
                </pt>
                <pt idx="21">
                  <v>0.08165719942284398</v>
                </pt>
                <pt idx="22">
                  <v>0.07985069259860685</v>
                </pt>
                <pt idx="23">
                  <v>0.07927865630621458</v>
                </pt>
                <pt idx="24">
                  <v>0.07862891057829169</v>
                </pt>
                <pt idx="25">
                  <v>0.07518668573343322</v>
                </pt>
                <pt idx="26">
                  <v>0.07764644296742905</v>
                </pt>
                <pt idx="27">
                  <v>0.07467269546182233</v>
                </pt>
                <pt idx="28">
                  <v>0.07432778541782822</v>
                </pt>
                <pt idx="29">
                  <v>0.07081768404162127</v>
                </pt>
                <pt idx="30">
                  <v>0.07227714566287963</v>
                </pt>
                <pt idx="31">
                  <v>0.07636693659592039</v>
                </pt>
                <pt idx="32">
                  <v>0.08038941547694445</v>
                </pt>
                <pt idx="33">
                  <v>0.07880535859164374</v>
                </pt>
                <pt idx="34">
                  <v>0.08047684932979775</v>
                </pt>
                <pt idx="35">
                  <v>0.08179621822633919</v>
                </pt>
                <pt idx="36">
                  <v>0.0859961956606895</v>
                </pt>
                <pt idx="37">
                  <v>0.08912454734304874</v>
                </pt>
                <pt idx="38">
                  <v>0.08953405735107337</v>
                </pt>
                <pt idx="39">
                  <v>0.09212013664471072</v>
                </pt>
                <pt idx="40">
                  <v>0.09284166690908269</v>
                </pt>
                <pt idx="41">
                  <v>0.09276688620926904</v>
                </pt>
                <pt idx="42">
                  <v>0.09382698893909633</v>
                </pt>
                <pt idx="43">
                  <v>0.09547836998993262</v>
                </pt>
                <pt idx="44">
                  <v>0.09551610073842341</v>
                </pt>
                <pt idx="45">
                  <v>0.09470595637183613</v>
                </pt>
                <pt idx="46">
                  <v>0.09467556578867792</v>
                </pt>
                <pt idx="47">
                  <v>0.09514935028932803</v>
                </pt>
                <pt idx="48">
                  <v>0.09452781342960075</v>
                </pt>
                <pt idx="49">
                  <v>0.09661965333669513</v>
                </pt>
                <pt idx="50">
                  <v>0.09982273615967548</v>
                </pt>
                <pt idx="51">
                  <v>0.1012690095469665</v>
                </pt>
                <pt idx="52">
                  <v>0.1044811889004542</v>
                </pt>
                <pt idx="53">
                  <v>0.1042665290880292</v>
                </pt>
                <pt idx="54">
                  <v>0.1052872379705459</v>
                </pt>
                <pt idx="55">
                  <v>0.1052521037397236</v>
                </pt>
                <pt idx="56">
                  <v>0.1067936486065043</v>
                </pt>
                <pt idx="57">
                  <v>0.105509415748015</v>
                </pt>
                <pt idx="58">
                  <v>0.104494190028949</v>
                </pt>
                <pt idx="59">
                  <v>0.1055473543384746</v>
                </pt>
                <pt idx="60">
                  <v>0.1058662606851982</v>
                </pt>
                <pt idx="61">
                  <v>0.1045776680662318</v>
                </pt>
                <pt idx="62">
                  <v>0.1018573635185535</v>
                </pt>
                <pt idx="63">
                  <v>0.1030977271598454</v>
                </pt>
                <pt idx="64">
                  <v>0.105582278227714</v>
                </pt>
                <pt idx="65">
                  <v>0.1062871397602422</v>
                </pt>
                <pt idx="66">
                  <v>0.1060460190882458</v>
                </pt>
                <pt idx="67">
                  <v>0.1087125667959134</v>
                </pt>
                <pt idx="68">
                  <v>0.1072365153501367</v>
                </pt>
                <pt idx="69">
                  <v>0.1099690960097319</v>
                </pt>
                <pt idx="70">
                  <v>0.1090546716958201</v>
                </pt>
                <pt idx="71">
                  <v>0.1053555813750209</v>
                </pt>
                <pt idx="72">
                  <v>0.1058104915631498</v>
                </pt>
                <pt idx="73">
                  <v>0.1038293343722489</v>
                </pt>
                <pt idx="74">
                  <v>0.1044993827097374</v>
                </pt>
                <pt idx="75">
                  <v>0.1004251786799384</v>
                </pt>
                <pt idx="76">
                  <v>0.09701688868815592</v>
                </pt>
                <pt idx="77">
                  <v>0.09576306987180763</v>
                </pt>
                <pt idx="78">
                  <v>0.09715618991397064</v>
                </pt>
                <pt idx="79">
                  <v>0.09910324847830571</v>
                </pt>
                <pt idx="80">
                  <v>0.09584036356484067</v>
                </pt>
                <pt idx="81">
                  <v>0.09273718675489759</v>
                </pt>
                <pt idx="82">
                  <v>0.09483679559994442</v>
                </pt>
                <pt idx="83">
                  <v>0.09693964406877283</v>
                </pt>
                <pt idx="84">
                  <v>0.09837284969462683</v>
                </pt>
                <pt idx="85">
                  <v>0.0952092679762585</v>
                </pt>
                <pt idx="86">
                  <v>0.0962123951752217</v>
                </pt>
                <pt idx="87">
                  <v>0.09795237923783558</v>
                </pt>
                <pt idx="88">
                  <v>0.09789216755660915</v>
                </pt>
                <pt idx="89">
                  <v>0.09800600870580833</v>
                </pt>
                <pt idx="90">
                  <v>0.09868231837058869</v>
                </pt>
                <pt idx="91">
                  <v>0.09715758739151868</v>
                </pt>
                <pt idx="92">
                  <v>0.09739737203141408</v>
                </pt>
                <pt idx="93">
                  <v>0.09858913791060196</v>
                </pt>
                <pt idx="94">
                  <v>0.1025579469835883</v>
                </pt>
                <pt idx="95">
                  <v>0.09921970489996937</v>
                </pt>
                <pt idx="96">
                  <v>0.09813698780613712</v>
                </pt>
                <pt idx="97">
                  <v>0.09733959409514784</v>
                </pt>
                <pt idx="98">
                  <v>0.09683787647803371</v>
                </pt>
                <pt idx="99">
                  <v>0.09750919642920584</v>
                </pt>
                <pt idx="100">
                  <v>0.0981100115311246</v>
                </pt>
                <pt idx="101">
                  <v>0.104833517697379</v>
                </pt>
                <pt idx="102">
                  <v>0.1066632669310638</v>
                </pt>
                <pt idx="103">
                  <v>0.1071337637184889</v>
                </pt>
                <pt idx="104">
                  <v>0.1081900985546006</v>
                </pt>
                <pt idx="105">
                  <v>0.1101542403924491</v>
                </pt>
                <pt idx="106">
                  <v>0.1074679045972785</v>
                </pt>
                <pt idx="107">
                  <v>0.108492298582235</v>
                </pt>
                <pt idx="108">
                  <v>0.1097317617713632</v>
                </pt>
                <pt idx="109">
                  <v>0.1083895679560932</v>
                </pt>
                <pt idx="110">
                  <v>0.1083883537435119</v>
                </pt>
                <pt idx="111">
                  <v>0.1055605052171206</v>
                </pt>
                <pt idx="112">
                  <v>0.1051831466322866</v>
                </pt>
                <pt idx="113">
                  <v>0.1060303444338966</v>
                </pt>
                <pt idx="114">
                  <v>0.1058949210866916</v>
                </pt>
                <pt idx="115">
                  <v>0.1074955406688032</v>
                </pt>
                <pt idx="116">
                  <v>0.1073969611258652</v>
                </pt>
                <pt idx="117">
                  <v>0.104574957516889</v>
                </pt>
                <pt idx="118">
                  <v>0.1017645557499799</v>
                </pt>
                <pt idx="119">
                  <v>0.1024588035766016</v>
                </pt>
                <pt idx="120">
                  <v>0.1016161657750826</v>
                </pt>
                <pt idx="121">
                  <v>0.104179539505667</v>
                </pt>
                <pt idx="122">
                  <v>0.105722473730414</v>
                </pt>
                <pt idx="123">
                  <v>0.1023413516748346</v>
                </pt>
                <pt idx="124">
                  <v>0.1046614131738667</v>
                </pt>
                <pt idx="125">
                  <v>0.1064147700648953</v>
                </pt>
                <pt idx="126">
                  <v>0.1069496664082955</v>
                </pt>
                <pt idx="127">
                  <v>0.1064067560158414</v>
                </pt>
                <pt idx="128">
                  <v>0.1043648266697729</v>
                </pt>
                <pt idx="129">
                  <v>0.1051977756923768</v>
                </pt>
                <pt idx="130">
                  <v>0.1056207231060407</v>
                </pt>
                <pt idx="131">
                  <v>0.1039499927163196</v>
                </pt>
                <pt idx="132">
                  <v>0.1055259090513443</v>
                </pt>
                <pt idx="133">
                  <v>0.1065903800718217</v>
                </pt>
                <pt idx="134">
                  <v>0.1081405928835258</v>
                </pt>
                <pt idx="135">
                  <v>0.1048764205231797</v>
                </pt>
                <pt idx="136">
                  <v>0.1047556904704135</v>
                </pt>
                <pt idx="137">
                  <v>0.1027718762315227</v>
                </pt>
                <pt idx="138">
                  <v>0.1003886273395541</v>
                </pt>
                <pt idx="139">
                  <v>0.09889542657849634</v>
                </pt>
                <pt idx="140">
                  <v>0.1043570482382586</v>
                </pt>
                <pt idx="141">
                  <v>0.1015006779727178</v>
                </pt>
                <pt idx="142">
                  <v>0.1068918541439139</v>
                </pt>
                <pt idx="143">
                  <v>0.1091893643344659</v>
                </pt>
                <pt idx="144">
                  <v>0.1088912579999086</v>
                </pt>
                <pt idx="145">
                  <v>0.1083555782307029</v>
                </pt>
                <pt idx="146">
                  <v>0.1056839871906175</v>
                </pt>
                <pt idx="147">
                  <v>0.1087286270662159</v>
                </pt>
                <pt idx="148">
                  <v>0.110625006955701</v>
                </pt>
                <pt idx="149">
                  <v>0.1069372797977508</v>
                </pt>
                <pt idx="150">
                  <v>0.1087081831795026</v>
                </pt>
                <pt idx="151">
                  <v>0.1096876216977227</v>
                </pt>
                <pt idx="152">
                  <v>0.1084206429290734</v>
                </pt>
                <pt idx="153">
                  <v>0.1103014104659127</v>
                </pt>
                <pt idx="154">
                  <v>0.1107236866146655</v>
                </pt>
                <pt idx="155">
                  <v>0.1086947770281862</v>
                </pt>
                <pt idx="156">
                  <v>0.1068140540263622</v>
                </pt>
                <pt idx="157">
                  <v>0.1082246057741526</v>
                </pt>
                <pt idx="158">
                  <v>0.1117768766919393</v>
                </pt>
                <pt idx="159">
                  <v>0.110953195522556</v>
                </pt>
                <pt idx="160">
                  <v>0.1119444669559934</v>
                </pt>
                <pt idx="161">
                  <v>0.1131120729988599</v>
                </pt>
                <pt idx="162">
                  <v>0.1139950182961446</v>
                </pt>
                <pt idx="163">
                  <v>0.1126432211841622</v>
                </pt>
                <pt idx="164">
                  <v>0.1075757111637966</v>
                </pt>
                <pt idx="165">
                  <v>0.1051180659039681</v>
                </pt>
                <pt idx="166">
                  <v>0.1026533671080164</v>
                </pt>
                <pt idx="167">
                  <v>0.101734870749568</v>
                </pt>
                <pt idx="168">
                  <v>0.1009929903101785</v>
                </pt>
                <pt idx="169">
                  <v>0.1017998977241953</v>
                </pt>
                <pt idx="170">
                  <v>0.1002781147752991</v>
                </pt>
                <pt idx="171">
                  <v>0.102426589001401</v>
                </pt>
                <pt idx="172">
                  <v>0.1046798063242701</v>
                </pt>
                <pt idx="173">
                  <v>0.1067619114213349</v>
                </pt>
                <pt idx="174">
                  <v>0.1091125285000259</v>
                </pt>
                <pt idx="175">
                  <v>0.1070169646041834</v>
                </pt>
                <pt idx="176">
                  <v>0.1078951328336234</v>
                </pt>
                <pt idx="177">
                  <v>0.1076019881981783</v>
                </pt>
                <pt idx="178">
                  <v>0.108587592850131</v>
                </pt>
                <pt idx="179">
                  <v>0.1042755389618313</v>
                </pt>
                <pt idx="180">
                  <v>0.09643118211590662</v>
                </pt>
                <pt idx="181">
                  <v>0.09794347299920232</v>
                </pt>
                <pt idx="182">
                  <v>0.09811903883549448</v>
                </pt>
                <pt idx="183">
                  <v>0.09406539233429864</v>
                </pt>
                <pt idx="184">
                  <v>0.09579568257087695</v>
                </pt>
                <pt idx="185">
                  <v>0.0934783319857138</v>
                </pt>
                <pt idx="186">
                  <v>0.09677129362533034</v>
                </pt>
                <pt idx="187">
                  <v>0.09510262247724814</v>
                </pt>
                <pt idx="188">
                  <v>0.09292727596169446</v>
                </pt>
                <pt idx="189">
                  <v>0.09057701742618922</v>
                </pt>
                <pt idx="190">
                  <v>0.09184520454875886</v>
                </pt>
                <pt idx="191">
                  <v>0.09374571391131116</v>
                </pt>
                <pt idx="192">
                  <v>0.09827013741881759</v>
                </pt>
                <pt idx="193">
                  <v>0.09375647111443511</v>
                </pt>
                <pt idx="194">
                  <v>0.09580366452536516</v>
                </pt>
                <pt idx="195">
                  <v>0.1025905371637611</v>
                </pt>
                <pt idx="196">
                  <v>0.1010916996943037</v>
                </pt>
                <pt idx="197">
                  <v>0.0885920161161125</v>
                </pt>
                <pt idx="198">
                  <v>0.08762863434834092</v>
                </pt>
                <pt idx="199">
                  <v>0.08506371250325359</v>
                </pt>
                <pt idx="200">
                  <v>0.08644450798653601</v>
                </pt>
                <pt idx="201">
                  <v>0.09066837957950755</v>
                </pt>
                <pt idx="202">
                  <v>0.08538112258249989</v>
                </pt>
                <pt idx="203">
                  <v>0.08504081130594969</v>
                </pt>
                <pt idx="204">
                  <v>0.08520637671213405</v>
                </pt>
                <pt idx="205">
                  <v>0.08613448556320071</v>
                </pt>
                <pt idx="206">
                  <v>0.08254836425404806</v>
                </pt>
                <pt idx="207">
                  <v>0.07744820413588532</v>
                </pt>
                <pt idx="208">
                  <v>0.07679219077490088</v>
                </pt>
                <pt idx="209">
                  <v>0.07290963695581569</v>
                </pt>
                <pt idx="210">
                  <v>0.07157609546384364</v>
                </pt>
                <pt idx="211">
                  <v>0.07208469301416465</v>
                </pt>
                <pt idx="212">
                  <v>0.06912376626059059</v>
                </pt>
                <pt idx="213">
                  <v>0.06717752715084553</v>
                </pt>
                <pt idx="214">
                  <v>0.06696133212751158</v>
                </pt>
                <pt idx="215">
                  <v>0.0688835502530183</v>
                </pt>
                <pt idx="216">
                  <v>0.07037957234254241</v>
                </pt>
                <pt idx="217">
                  <v>0.0658685639412003</v>
                </pt>
                <pt idx="218">
                  <v>0.06656815105708455</v>
                </pt>
                <pt idx="219">
                  <v>0.06452263556879377</v>
                </pt>
                <pt idx="220">
                  <v>0.06276164798831982</v>
                </pt>
                <pt idx="221">
                  <v>0.06337881179221042</v>
                </pt>
                <pt idx="222">
                  <v>0.06604379369131949</v>
                </pt>
                <pt idx="223">
                  <v>0.06737251243678143</v>
                </pt>
                <pt idx="224">
                  <v>0.06165671771397052</v>
                </pt>
                <pt idx="225">
                  <v>0.06116556990305042</v>
                </pt>
                <pt idx="226">
                  <v>0.06376346038247659</v>
                </pt>
                <pt idx="227">
                  <v>0.06348252009366268</v>
                </pt>
                <pt idx="228">
                  <v>0.06473669022956752</v>
                </pt>
                <pt idx="229">
                  <v>0.06879208420343003</v>
                </pt>
                <pt idx="230">
                  <v>0.06894549834333874</v>
                </pt>
                <pt idx="231">
                  <v>0.07184771071734972</v>
                </pt>
                <pt idx="232">
                  <v>0.07672411296850334</v>
                </pt>
                <pt idx="233">
                  <v>0.07729273442909534</v>
                </pt>
                <pt idx="234">
                  <v>0.07795994342424861</v>
                </pt>
                <pt idx="235">
                  <v>0.07945409520703996</v>
                </pt>
                <pt idx="236">
                  <v>0.08382247995569972</v>
                </pt>
                <pt idx="237">
                  <v>0.08662825275655718</v>
                </pt>
                <pt idx="238">
                  <v>0.09101027647887149</v>
                </pt>
                <pt idx="239">
                  <v>0.09227958368750287</v>
                </pt>
                <pt idx="240">
                  <v>0.09030666494287803</v>
                </pt>
                <pt idx="241">
                  <v>0.0916424043265323</v>
                </pt>
                <pt idx="242">
                  <v>0.09324299652540928</v>
                </pt>
                <pt idx="243">
                  <v>0.0946885214400662</v>
                </pt>
                <pt idx="244">
                  <v>0.08989053355969207</v>
                </pt>
                <pt idx="245">
                  <v>0.09035445789860352</v>
                </pt>
                <pt idx="246">
                  <v>0.09048374972715119</v>
                </pt>
                <pt idx="247">
                  <v>0.09216798368200457</v>
                </pt>
                <pt idx="248">
                  <v>0.09065396154418683</v>
                </pt>
                <pt idx="249">
                  <v>0.09388156064339258</v>
                </pt>
                <pt idx="250">
                  <v>0.08961807146836276</v>
                </pt>
                <pt idx="251">
                  <v>0.08987972699426322</v>
                </pt>
                <pt idx="252">
                  <v>0.09508017178177021</v>
                </pt>
                <pt idx="253">
                  <v>0.09813910886348794</v>
                </pt>
                <pt idx="254">
                  <v>0.09768230796781593</v>
                </pt>
                <pt idx="255">
                  <v>0.09802873389986713</v>
                </pt>
                <pt idx="256">
                  <v>0.09858403354583921</v>
                </pt>
                <pt idx="257">
                  <v>0.09808815225581199</v>
                </pt>
                <pt idx="258">
                  <v>0.1018686228415544</v>
                </pt>
                <pt idx="259">
                  <v>0.09704449592379309</v>
                </pt>
                <pt idx="260">
                  <v>0.09723821842924869</v>
                </pt>
                <pt idx="261">
                  <v>0.1044549434049732</v>
                </pt>
                <pt idx="262">
                  <v>0.1112444752709299</v>
                </pt>
                <pt idx="263">
                  <v>0.1091696615496826</v>
                </pt>
                <pt idx="264">
                  <v>0.1136123785178721</v>
                </pt>
                <pt idx="265">
                  <v>0.1103919738042017</v>
                </pt>
                <pt idx="266">
                  <v>0.1082565149490008</v>
                </pt>
                <pt idx="267">
                  <v>0.1093048752786743</v>
                </pt>
                <pt idx="268">
                  <v>0.1058097797451714</v>
                </pt>
                <pt idx="269">
                  <v>0.111482983359018</v>
                </pt>
                <pt idx="270">
                  <v>0.1143255193452301</v>
                </pt>
                <pt idx="271">
                  <v>0.1153886745189331</v>
                </pt>
                <pt idx="272">
                  <v>0.1184294078533387</v>
                </pt>
                <pt idx="273">
                  <v>0.116391506261239</v>
                </pt>
                <pt idx="274">
                  <v>0.1146314879259261</v>
                </pt>
                <pt idx="275">
                  <v>0.1152591284785133</v>
                </pt>
                <pt idx="276">
                  <v>0.1125969455284337</v>
                </pt>
                <pt idx="277">
                  <v>0.1211992695283742</v>
                </pt>
                <pt idx="278">
                  <v>0.1173873022764097</v>
                </pt>
                <pt idx="279">
                  <v>0.1198184788467389</v>
                </pt>
                <pt idx="280">
                  <v>0.1234201578971641</v>
                </pt>
                <pt idx="281">
                  <v>0.1295588203716457</v>
                </pt>
                <pt idx="282">
                  <v>0.1271055952070677</v>
                </pt>
                <pt idx="283">
                  <v>0.1213581790731816</v>
                </pt>
                <pt idx="284">
                  <v>0.1109407676431611</v>
                </pt>
                <pt idx="285">
                  <v>0.109374217830588</v>
                </pt>
                <pt idx="286">
                  <v>0.1083268689633407</v>
                </pt>
                <pt idx="287">
                  <v>0.1027914585645325</v>
                </pt>
                <pt idx="288">
                  <v>0.1059223447722272</v>
                </pt>
                <pt idx="289">
                  <v>0.1045842202255331</v>
                </pt>
                <pt idx="290">
                  <v>0.1056495113307068</v>
                </pt>
                <pt idx="291">
                  <v>0.09803124471951813</v>
                </pt>
                <pt idx="292">
                  <v>0.09468953817434338</v>
                </pt>
                <pt idx="293">
                  <v>0.08843798714740521</v>
                </pt>
                <pt idx="294">
                  <v>0.08806855944308604</v>
                </pt>
                <pt idx="295">
                  <v>0.08925130357260545</v>
                </pt>
                <pt idx="296">
                  <v>0.08982911983217531</v>
                </pt>
                <pt idx="297">
                  <v>0.08992120558236981</v>
                </pt>
                <pt idx="298">
                  <v>0.08574781789651781</v>
                </pt>
                <pt idx="299">
                  <v>0.09584087586926145</v>
                </pt>
                <pt idx="300">
                  <v>0.09950570702789155</v>
                </pt>
                <pt idx="301">
                  <v>0.0975161599238141</v>
                </pt>
                <pt idx="302">
                  <v>0.09531958642558674</v>
                </pt>
                <pt idx="303">
                  <v>0.1008301868522917</v>
                </pt>
                <pt idx="304">
                  <v>0.1061199515976501</v>
                </pt>
                <pt idx="305">
                  <v>0.1042822563098663</v>
                </pt>
                <pt idx="306">
                  <v>0.1077466206838987</v>
                </pt>
                <pt idx="307">
                  <v>0.1064474155008451</v>
                </pt>
                <pt idx="308">
                  <v>0.1189688452382241</v>
                </pt>
                <pt idx="309">
                  <v>0.1275190092172296</v>
                </pt>
                <pt idx="310">
                  <v>0.1332306408603879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5275872"/>
        <axId val="95276400"/>
      </lineChart>
      <catAx>
        <axId val="95275872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276400"/>
        <crosses val="autoZero"/>
        <auto val="1"/>
        <lblAlgn val="ctr"/>
        <lblOffset val="100"/>
        <noMultiLvlLbl val="1"/>
      </catAx>
      <valAx>
        <axId val="95276400"/>
        <scaling>
          <orientation val="minMax"/>
          <min val="0.06000000000000001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527587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19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'SSA Charts'!$D$2</f>
              <strCache>
                <ptCount val="1"/>
                <pt idx="0">
                  <v>Transactions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Charts'!$D$3:$D$194</f>
              <numCache>
                <formatCode>#,##0_);[Red]\(#,##0\)</formatCode>
                <ptCount val="192"/>
                <pt idx="0">
                  <v>45</v>
                </pt>
                <pt idx="1">
                  <v>52</v>
                </pt>
                <pt idx="2">
                  <v>53</v>
                </pt>
                <pt idx="3">
                  <v>56</v>
                </pt>
                <pt idx="4">
                  <v>56</v>
                </pt>
                <pt idx="5">
                  <v>56</v>
                </pt>
                <pt idx="6">
                  <v>49</v>
                </pt>
                <pt idx="7">
                  <v>51</v>
                </pt>
                <pt idx="8">
                  <v>51</v>
                </pt>
                <pt idx="9">
                  <v>48</v>
                </pt>
                <pt idx="10">
                  <v>48</v>
                </pt>
                <pt idx="11">
                  <v>46</v>
                </pt>
                <pt idx="12">
                  <v>47</v>
                </pt>
                <pt idx="13">
                  <v>43</v>
                </pt>
                <pt idx="14">
                  <v>42</v>
                </pt>
                <pt idx="15">
                  <v>39</v>
                </pt>
                <pt idx="16">
                  <v>34</v>
                </pt>
                <pt idx="17">
                  <v>34</v>
                </pt>
                <pt idx="18">
                  <v>34</v>
                </pt>
                <pt idx="19">
                  <v>30</v>
                </pt>
                <pt idx="20">
                  <v>30</v>
                </pt>
                <pt idx="21">
                  <v>32</v>
                </pt>
                <pt idx="22">
                  <v>30</v>
                </pt>
                <pt idx="23">
                  <v>31</v>
                </pt>
                <pt idx="24">
                  <v>32</v>
                </pt>
                <pt idx="25">
                  <v>30</v>
                </pt>
                <pt idx="26">
                  <v>29</v>
                </pt>
                <pt idx="27">
                  <v>29</v>
                </pt>
                <pt idx="28">
                  <v>28</v>
                </pt>
                <pt idx="29">
                  <v>27</v>
                </pt>
                <pt idx="30">
                  <v>27</v>
                </pt>
                <pt idx="31">
                  <v>27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34</v>
                </pt>
                <pt idx="36">
                  <v>32</v>
                </pt>
                <pt idx="37">
                  <v>33</v>
                </pt>
                <pt idx="38">
                  <v>31</v>
                </pt>
                <pt idx="39">
                  <v>30</v>
                </pt>
                <pt idx="40">
                  <v>29</v>
                </pt>
                <pt idx="41">
                  <v>30</v>
                </pt>
                <pt idx="42">
                  <v>42</v>
                </pt>
                <pt idx="43">
                  <v>45</v>
                </pt>
                <pt idx="44">
                  <v>36</v>
                </pt>
                <pt idx="45">
                  <v>36</v>
                </pt>
                <pt idx="46">
                  <v>43</v>
                </pt>
                <pt idx="47">
                  <v>44</v>
                </pt>
                <pt idx="48">
                  <v>46</v>
                </pt>
                <pt idx="49">
                  <v>42</v>
                </pt>
                <pt idx="50">
                  <v>45</v>
                </pt>
                <pt idx="51">
                  <v>47</v>
                </pt>
                <pt idx="52">
                  <v>49</v>
                </pt>
                <pt idx="53">
                  <v>46</v>
                </pt>
                <pt idx="54">
                  <v>33</v>
                </pt>
                <pt idx="55">
                  <v>34</v>
                </pt>
                <pt idx="56">
                  <v>39</v>
                </pt>
                <pt idx="57">
                  <v>41</v>
                </pt>
                <pt idx="58">
                  <v>36</v>
                </pt>
                <pt idx="59">
                  <v>37</v>
                </pt>
                <pt idx="60">
                  <v>35</v>
                </pt>
                <pt idx="61">
                  <v>37</v>
                </pt>
                <pt idx="62">
                  <v>35</v>
                </pt>
                <pt idx="63">
                  <v>34</v>
                </pt>
                <pt idx="64">
                  <v>35</v>
                </pt>
                <pt idx="65">
                  <v>36</v>
                </pt>
                <pt idx="66">
                  <v>38</v>
                </pt>
                <pt idx="67">
                  <v>45</v>
                </pt>
                <pt idx="68">
                  <v>43</v>
                </pt>
                <pt idx="69">
                  <v>46</v>
                </pt>
                <pt idx="70">
                  <v>48</v>
                </pt>
                <pt idx="71">
                  <v>46</v>
                </pt>
                <pt idx="72">
                  <v>44</v>
                </pt>
                <pt idx="73">
                  <v>45</v>
                </pt>
                <pt idx="74">
                  <v>48</v>
                </pt>
                <pt idx="75">
                  <v>51</v>
                </pt>
                <pt idx="76">
                  <v>55</v>
                </pt>
                <pt idx="77">
                  <v>59</v>
                </pt>
                <pt idx="78">
                  <v>65</v>
                </pt>
                <pt idx="79">
                  <v>62</v>
                </pt>
                <pt idx="80">
                  <v>62</v>
                </pt>
                <pt idx="81">
                  <v>57</v>
                </pt>
                <pt idx="82">
                  <v>54</v>
                </pt>
                <pt idx="83">
                  <v>56</v>
                </pt>
                <pt idx="84">
                  <v>59</v>
                </pt>
                <pt idx="85">
                  <v>61</v>
                </pt>
                <pt idx="86">
                  <v>59</v>
                </pt>
                <pt idx="87">
                  <v>55</v>
                </pt>
                <pt idx="88">
                  <v>56</v>
                </pt>
                <pt idx="89">
                  <v>54</v>
                </pt>
                <pt idx="90">
                  <v>47</v>
                </pt>
                <pt idx="91">
                  <v>39</v>
                </pt>
                <pt idx="92">
                  <v>36</v>
                </pt>
                <pt idx="93">
                  <v>40</v>
                </pt>
                <pt idx="94">
                  <v>39</v>
                </pt>
                <pt idx="95">
                  <v>36</v>
                </pt>
                <pt idx="96">
                  <v>36</v>
                </pt>
                <pt idx="97">
                  <v>42</v>
                </pt>
                <pt idx="98">
                  <v>50</v>
                </pt>
                <pt idx="99">
                  <v>50</v>
                </pt>
                <pt idx="100">
                  <v>46</v>
                </pt>
                <pt idx="101">
                  <v>46</v>
                </pt>
                <pt idx="102">
                  <v>46</v>
                </pt>
                <pt idx="103">
                  <v>44</v>
                </pt>
                <pt idx="104">
                  <v>45</v>
                </pt>
                <pt idx="105">
                  <v>44</v>
                </pt>
                <pt idx="106">
                  <v>48</v>
                </pt>
                <pt idx="107">
                  <v>48</v>
                </pt>
                <pt idx="108">
                  <v>49</v>
                </pt>
                <pt idx="109">
                  <v>39</v>
                </pt>
                <pt idx="110">
                  <v>31</v>
                </pt>
                <pt idx="111">
                  <v>32</v>
                </pt>
                <pt idx="112">
                  <v>29</v>
                </pt>
                <pt idx="113">
                  <v>27</v>
                </pt>
                <pt idx="114">
                  <v>26</v>
                </pt>
                <pt idx="115">
                  <v>28</v>
                </pt>
                <pt idx="116">
                  <v>28</v>
                </pt>
                <pt idx="117">
                  <v>24</v>
                </pt>
                <pt idx="118">
                  <v>23</v>
                </pt>
                <pt idx="119">
                  <v>24</v>
                </pt>
                <pt idx="120">
                  <v>23</v>
                </pt>
                <pt idx="121">
                  <v>24</v>
                </pt>
                <pt idx="122">
                  <v>26</v>
                </pt>
                <pt idx="123">
                  <v>27</v>
                </pt>
                <pt idx="124">
                  <v>32</v>
                </pt>
                <pt idx="125">
                  <v>31</v>
                </pt>
                <pt idx="126">
                  <v>33</v>
                </pt>
                <pt idx="127">
                  <v>39</v>
                </pt>
                <pt idx="128">
                  <v>43</v>
                </pt>
                <pt idx="129">
                  <v>41</v>
                </pt>
                <pt idx="130">
                  <v>37</v>
                </pt>
                <pt idx="131">
                  <v>38</v>
                </pt>
                <pt idx="132">
                  <v>38</v>
                </pt>
                <pt idx="133">
                  <v>40</v>
                </pt>
                <pt idx="134">
                  <v>39</v>
                </pt>
                <pt idx="135">
                  <v>40</v>
                </pt>
                <pt idx="136">
                  <v>35</v>
                </pt>
                <pt idx="137">
                  <v>37</v>
                </pt>
                <pt idx="138">
                  <v>37</v>
                </pt>
                <pt idx="139">
                  <v>31</v>
                </pt>
                <pt idx="140">
                  <v>26</v>
                </pt>
                <pt idx="141">
                  <v>26</v>
                </pt>
                <pt idx="142">
                  <v>26</v>
                </pt>
                <pt idx="143">
                  <v>25</v>
                </pt>
                <pt idx="144">
                  <v>23</v>
                </pt>
                <pt idx="145">
                  <v>19</v>
                </pt>
                <pt idx="146">
                  <v>16</v>
                </pt>
                <pt idx="147">
                  <v>14</v>
                </pt>
                <pt idx="148">
                  <v>14</v>
                </pt>
                <pt idx="149">
                  <v>11</v>
                </pt>
                <pt idx="150">
                  <v>11</v>
                </pt>
                <pt idx="151">
                  <v>10</v>
                </pt>
                <pt idx="152">
                  <v>11</v>
                </pt>
                <pt idx="153">
                  <v>14</v>
                </pt>
                <pt idx="154">
                  <v>13</v>
                </pt>
                <pt idx="155">
                  <v>12</v>
                </pt>
                <pt idx="156">
                  <v>12</v>
                </pt>
                <pt idx="157">
                  <v>13</v>
                </pt>
                <pt idx="158">
                  <v>14</v>
                </pt>
                <pt idx="159">
                  <v>13</v>
                </pt>
                <pt idx="160">
                  <v>12</v>
                </pt>
                <pt idx="161">
                  <v>13</v>
                </pt>
                <pt idx="162">
                  <v>13</v>
                </pt>
                <pt idx="163">
                  <v>13</v>
                </pt>
                <pt idx="164">
                  <v>13</v>
                </pt>
                <pt idx="165">
                  <v>12</v>
                </pt>
                <pt idx="166">
                  <v>13</v>
                </pt>
                <pt idx="167">
                  <v>14</v>
                </pt>
                <pt idx="168">
                  <v>16</v>
                </pt>
                <pt idx="169">
                  <v>14</v>
                </pt>
                <pt idx="170">
                  <v>15</v>
                </pt>
                <pt idx="171">
                  <v>16</v>
                </pt>
                <pt idx="172">
                  <v>18</v>
                </pt>
                <pt idx="173">
                  <v>20</v>
                </pt>
                <pt idx="174">
                  <v>22</v>
                </pt>
                <pt idx="175">
                  <v>24</v>
                </pt>
                <pt idx="176">
                  <v>25</v>
                </pt>
                <pt idx="177">
                  <v>28</v>
                </pt>
                <pt idx="178">
                  <v>41</v>
                </pt>
                <pt idx="179">
                  <v>40</v>
                </pt>
                <pt idx="180">
                  <v>38</v>
                </pt>
                <pt idx="181">
                  <v>42</v>
                </pt>
                <pt idx="182">
                  <v>40</v>
                </pt>
                <pt idx="183">
                  <v>41</v>
                </pt>
                <pt idx="184">
                  <v>40</v>
                </pt>
                <pt idx="185">
                  <v>39</v>
                </pt>
                <pt idx="186">
                  <v>37</v>
                </pt>
                <pt idx="187">
                  <v>36</v>
                </pt>
                <pt idx="188">
                  <v>35</v>
                </pt>
                <pt idx="189">
                  <v>31</v>
                </pt>
                <pt idx="190">
                  <v>17</v>
                </pt>
                <pt idx="191">
                  <v>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9"/>
        <overlap val="-27"/>
        <axId val="515089840"/>
        <axId val="515091152"/>
      </barChart>
      <scatterChart>
        <scatterStyle val="lineMarker"/>
        <varyColors val="0"/>
        <ser>
          <idx val="1"/>
          <order val="1"/>
          <tx>
            <strRef>
              <f>'SSA Charts'!$E$2</f>
              <strCache>
                <ptCount val="1"/>
                <pt idx="0">
                  <v>Average Deal Size (ttm)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2B5E5"/>
              </a:solidFill>
              <a:ln xmlns:a="http://schemas.openxmlformats.org/drawingml/2006/main" w="9525">
                <a:noFill/>
                <a:prstDash val="solid"/>
              </a:ln>
            </spPr>
          </marker>
          <xVal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xVal>
          <yVal>
            <numRef>
              <f>'SSA Charts'!$E$3:$E$194</f>
              <numCache>
                <formatCode>"$"#,##0_);[Red]\("$"#,##0\)</formatCode>
                <ptCount val="192"/>
                <pt idx="0">
                  <v>3472233.95</v>
                </pt>
                <pt idx="1">
                  <v>3231526.325581396</v>
                </pt>
                <pt idx="2">
                  <v>3316758.88372093</v>
                </pt>
                <pt idx="3">
                  <v>3430741.636363636</v>
                </pt>
                <pt idx="4">
                  <v>3152456.357142857</v>
                </pt>
                <pt idx="5">
                  <v>3083239.69047619</v>
                </pt>
                <pt idx="6">
                  <v>3285475.972972973</v>
                </pt>
                <pt idx="7">
                  <v>3421201.684210526</v>
                </pt>
                <pt idx="8">
                  <v>3571403.081081081</v>
                </pt>
                <pt idx="9">
                  <v>3604791.264705882</v>
                </pt>
                <pt idx="10">
                  <v>3582244.205882353</v>
                </pt>
                <pt idx="11">
                  <v>3651100.090909091</v>
                </pt>
                <pt idx="12">
                  <v>3546214.794117647</v>
                </pt>
                <pt idx="13">
                  <v>3347030.264705882</v>
                </pt>
                <pt idx="14">
                  <v>3292330.236176471</v>
                </pt>
                <pt idx="15">
                  <v>3202400.84939394</v>
                </pt>
                <pt idx="16">
                  <v>3399590.097741935</v>
                </pt>
                <pt idx="17">
                  <v>3126872.656666667</v>
                </pt>
                <pt idx="18">
                  <v>3314604.523333333</v>
                </pt>
                <pt idx="19">
                  <v>3097201.275</v>
                </pt>
                <pt idx="20">
                  <v>2997599.506896552</v>
                </pt>
                <pt idx="21">
                  <v>2969528.570967742</v>
                </pt>
                <pt idx="22">
                  <v>2900785.203571429</v>
                </pt>
                <pt idx="23">
                  <v>3522654.679310345</v>
                </pt>
                <pt idx="24">
                  <v>3770413.3</v>
                </pt>
                <pt idx="25">
                  <v>4175295.766666667</v>
                </pt>
                <pt idx="26">
                  <v>4936711.466800001</v>
                </pt>
                <pt idx="27">
                  <v>5113816.811739131</v>
                </pt>
                <pt idx="28">
                  <v>5166149.39409091</v>
                </pt>
                <pt idx="29">
                  <v>5929204.545454546</v>
                </pt>
                <pt idx="30">
                  <v>6033750</v>
                </pt>
                <pt idx="31">
                  <v>5716145.454545454</v>
                </pt>
                <pt idx="32">
                  <v>5379050.214285715</v>
                </pt>
                <pt idx="33">
                  <v>5471871.892857143</v>
                </pt>
                <pt idx="34">
                  <v>5290413.766666667</v>
                </pt>
                <pt idx="35">
                  <v>4808050.103448275</v>
                </pt>
                <pt idx="36">
                  <v>4514680.464285715</v>
                </pt>
                <pt idx="37">
                  <v>4850829.413793104</v>
                </pt>
                <pt idx="38">
                  <v>4416930.464285715</v>
                </pt>
                <pt idx="39">
                  <v>4376691.482758621</v>
                </pt>
                <pt idx="40">
                  <v>4492376.892857143</v>
                </pt>
                <pt idx="41">
                  <v>3974687.148148148</v>
                </pt>
                <pt idx="42">
                  <v>3248228.878787879</v>
                </pt>
                <pt idx="43">
                  <v>3404395.8</v>
                </pt>
                <pt idx="44">
                  <v>3366563.346153846</v>
                </pt>
                <pt idx="45">
                  <v>3347468.148148148</v>
                </pt>
                <pt idx="46">
                  <v>3608254.823529412</v>
                </pt>
                <pt idx="47">
                  <v>3727488.94117647</v>
                </pt>
                <pt idx="48">
                  <v>3562486.4</v>
                </pt>
                <pt idx="49">
                  <v>3083516.903225807</v>
                </pt>
                <pt idx="50">
                  <v>3393546.181818182</v>
                </pt>
                <pt idx="51">
                  <v>3393546.181818182</v>
                </pt>
                <pt idx="52">
                  <v>3453257.828571429</v>
                </pt>
                <pt idx="53">
                  <v>3404824.235294118</v>
                </pt>
                <pt idx="54">
                  <v>3960704.592592593</v>
                </pt>
                <pt idx="55">
                  <v>3968499.428571429</v>
                </pt>
                <pt idx="56">
                  <v>3833687</v>
                </pt>
                <pt idx="57">
                  <v>3533543.647058824</v>
                </pt>
                <pt idx="58">
                  <v>3704877.931034483</v>
                </pt>
                <pt idx="59">
                  <v>3835047.096774193</v>
                </pt>
                <pt idx="60">
                  <v>4088026.206896552</v>
                </pt>
                <pt idx="61">
                  <v>3878310.322580645</v>
                </pt>
                <pt idx="62">
                  <v>3610987.333333333</v>
                </pt>
                <pt idx="63">
                  <v>3673858.709677419</v>
                </pt>
                <pt idx="64">
                  <v>3536697.419354839</v>
                </pt>
                <pt idx="65">
                  <v>3681144.375</v>
                </pt>
                <pt idx="66">
                  <v>3576371.176470588</v>
                </pt>
                <pt idx="67">
                  <v>3360084.547256098</v>
                </pt>
                <pt idx="68">
                  <v>3293874.1609375</v>
                </pt>
                <pt idx="69">
                  <v>3618628.503633721</v>
                </pt>
                <pt idx="70">
                  <v>3378952.991815476</v>
                </pt>
                <pt idx="71">
                  <v>3278650.64140625</v>
                </pt>
                <pt idx="72">
                  <v>3318326.298878205</v>
                </pt>
                <pt idx="73">
                  <v>3610105.26640625</v>
                </pt>
                <pt idx="74">
                  <v>3455534.702034884</v>
                </pt>
                <pt idx="75">
                  <v>3483733.159722222</v>
                </pt>
                <pt idx="76">
                  <v>3518612.085459184</v>
                </pt>
                <pt idx="77">
                  <v>3495369.341294319</v>
                </pt>
                <pt idx="78">
                  <v>3498375.001554367</v>
                </pt>
                <pt idx="79">
                  <v>3589007.08944421</v>
                </pt>
                <pt idx="80">
                  <v>3683555.166367287</v>
                </pt>
                <pt idx="81">
                  <v>3488123.604943594</v>
                </pt>
                <pt idx="82">
                  <v>3547655.519837211</v>
                </pt>
                <pt idx="83">
                  <v>3431832.845558141</v>
                </pt>
                <pt idx="84">
                  <v>3343457.873699017</v>
                </pt>
                <pt idx="85">
                  <v>3209322.02652498</v>
                </pt>
                <pt idx="86">
                  <v>3199112.65194421</v>
                </pt>
                <pt idx="87">
                  <v>3077833.834716304</v>
                </pt>
                <pt idx="88">
                  <v>3051369.429433312</v>
                </pt>
                <pt idx="89">
                  <v>2857660.367346939</v>
                </pt>
                <pt idx="90">
                  <v>2838896.697674419</v>
                </pt>
                <pt idx="91">
                  <v>2685151.52631579</v>
                </pt>
                <pt idx="92">
                  <v>2616221.657142857</v>
                </pt>
                <pt idx="93">
                  <v>3010951.487179487</v>
                </pt>
                <pt idx="94">
                  <v>3008923.894736842</v>
                </pt>
                <pt idx="95">
                  <v>3016260.228571428</v>
                </pt>
                <pt idx="96">
                  <v>2988000.308928572</v>
                </pt>
                <pt idx="97">
                  <v>3039487.28125</v>
                </pt>
                <pt idx="98">
                  <v>3479541.481944445</v>
                </pt>
                <pt idx="99">
                  <v>3485652.593055556</v>
                </pt>
                <pt idx="100">
                  <v>3719984.197115385</v>
                </pt>
                <pt idx="101">
                  <v>4014673.940705128</v>
                </pt>
                <pt idx="102">
                  <v>3946307.0921875</v>
                </pt>
                <pt idx="103">
                  <v>4026902.202302631</v>
                </pt>
                <pt idx="104">
                  <v>3965571.376602564</v>
                </pt>
                <pt idx="105">
                  <v>3987529.860197369</v>
                </pt>
                <pt idx="106">
                  <v>3994947.706845238</v>
                </pt>
                <pt idx="107">
                  <v>3994947.706845238</v>
                </pt>
                <pt idx="108">
                  <v>4255290.265243903</v>
                </pt>
                <pt idx="109">
                  <v>4487087.352941177</v>
                </pt>
                <pt idx="110">
                  <v>4287240.322916667</v>
                </pt>
                <pt idx="111">
                  <v>4236803.168526785</v>
                </pt>
                <pt idx="112">
                  <v>3982981.063657407</v>
                </pt>
                <pt idx="113">
                  <v>3760974.62875</v>
                </pt>
                <pt idx="114">
                  <v>3864348.571614583</v>
                </pt>
                <pt idx="115">
                  <v>4011706.373798077</v>
                </pt>
                <pt idx="116">
                  <v>3994975.604567308</v>
                </pt>
                <pt idx="117">
                  <v>3857470.796130952</v>
                </pt>
                <pt idx="118">
                  <v>3407769.353618421</v>
                </pt>
                <pt idx="119">
                  <v>3417380.8859375</v>
                </pt>
                <pt idx="120">
                  <v>3168817.7859375</v>
                </pt>
                <pt idx="121">
                  <v>2924391.938988095</v>
                </pt>
                <pt idx="122">
                  <v>3406187.217391304</v>
                </pt>
                <pt idx="123">
                  <v>3779300.25</v>
                </pt>
                <pt idx="124">
                  <v>3837963.185185185</v>
                </pt>
                <pt idx="125">
                  <v>4005851.115384615</v>
                </pt>
                <pt idx="126">
                  <v>3899283.178571429</v>
                </pt>
                <pt idx="127">
                  <v>3821871.9</v>
                </pt>
                <pt idx="128">
                  <v>4013953.242424242</v>
                </pt>
                <pt idx="129">
                  <v>4009819.84375</v>
                </pt>
                <pt idx="130">
                  <v>4154718.448275862</v>
                </pt>
                <pt idx="131">
                  <v>4064994.310344827</v>
                </pt>
                <pt idx="132">
                  <v>4075203.233333333</v>
                </pt>
                <pt idx="133">
                  <v>4512829.741935484</v>
                </pt>
                <pt idx="134">
                  <v>4388252.8</v>
                </pt>
                <pt idx="135">
                  <v>4187332.8</v>
                </pt>
                <pt idx="136">
                  <v>4249545.538461538</v>
                </pt>
                <pt idx="137">
                  <v>4329154.962962963</v>
                </pt>
                <pt idx="138">
                  <v>4237754.962962963</v>
                </pt>
                <pt idx="139">
                  <v>4154664.833333333</v>
                </pt>
                <pt idx="140">
                  <v>4035382.8</v>
                </pt>
                <pt idx="141">
                  <v>4035382.8</v>
                </pt>
                <pt idx="142">
                  <v>3909838.696875</v>
                </pt>
                <pt idx="143">
                  <v>4317793.696875</v>
                </pt>
                <pt idx="144">
                  <v>4340270.774305556</v>
                </pt>
                <pt idx="145">
                  <v>3907324.929166667</v>
                </pt>
                <pt idx="146">
                  <v>3660193.161458333</v>
                </pt>
                <pt idx="147">
                  <v>3448901.79375</v>
                </pt>
                <pt idx="148">
                  <v>3189910.721590909</v>
                </pt>
                <pt idx="149">
                  <v>2682668.659722222</v>
                </pt>
                <pt idx="150">
                  <v>2604335.326388889</v>
                </pt>
                <pt idx="151">
                  <v>2423357.548611111</v>
                </pt>
                <pt idx="152">
                  <v>2692021.79375</v>
                </pt>
                <pt idx="153">
                  <v>3267485.995192308</v>
                </pt>
                <pt idx="154">
                  <v>3474016.666666667</v>
                </pt>
                <pt idx="155">
                  <v>2957372.727272727</v>
                </pt>
                <pt idx="156">
                  <v>2840009.090909091</v>
                </pt>
                <pt idx="157">
                  <v>2517281.818181818</v>
                </pt>
                <pt idx="158">
                  <v>2620008.333333333</v>
                </pt>
                <pt idx="159">
                  <v>2596570.833333333</v>
                </pt>
                <pt idx="160">
                  <v>2778077.272727273</v>
                </pt>
                <pt idx="161">
                  <v>2956987.5</v>
                </pt>
                <pt idx="162">
                  <v>3719895.454545455</v>
                </pt>
                <pt idx="163">
                  <v>4162873.818181818</v>
                </pt>
                <pt idx="164">
                  <v>3828782.909090909</v>
                </pt>
                <pt idx="165">
                  <v>4178168.1</v>
                </pt>
                <pt idx="166">
                  <v>3889243.727272727</v>
                </pt>
                <pt idx="167">
                  <v>3889243.727272727</v>
                </pt>
                <pt idx="168">
                  <v>3920098.538461538</v>
                </pt>
                <pt idx="169">
                  <v>4155106.75</v>
                </pt>
                <pt idx="170">
                  <v>3950098.538461538</v>
                </pt>
                <pt idx="171">
                  <v>3724653.857142857</v>
                </pt>
                <pt idx="172">
                  <v>3562010.266666667</v>
                </pt>
                <pt idx="173">
                  <v>3308915.875</v>
                </pt>
                <pt idx="174">
                  <v>3385450.235294118</v>
                </pt>
                <pt idx="175">
                  <v>3116676.944444444</v>
                </pt>
                <pt idx="176">
                  <v>3019878.157894737</v>
                </pt>
                <pt idx="177">
                  <v>2836023.454545455</v>
                </pt>
                <pt idx="178">
                  <v>2759574.666666667</v>
                </pt>
                <pt idx="179">
                  <v>2759574.666666667</v>
                </pt>
                <pt idx="180">
                  <v>2820436.64</v>
                </pt>
                <pt idx="181">
                  <v>2814922.814814815</v>
                </pt>
                <pt idx="182">
                  <v>2830516.64</v>
                </pt>
                <pt idx="183">
                  <v>2927595.541666667</v>
                </pt>
                <pt idx="184">
                  <v>2935803.875</v>
                </pt>
                <pt idx="185">
                  <v>3018452.163461538</v>
                </pt>
                <pt idx="186">
                  <v>2940993.56187291</v>
                </pt>
                <pt idx="187">
                  <v>3325749.257525084</v>
                </pt>
                <pt idx="188">
                  <v>3513320.615384615</v>
                </pt>
                <pt idx="189">
                  <v>3564278.407239819</v>
                </pt>
                <pt idx="190">
                  <v>4316066.62937063</v>
                </pt>
                <pt idx="191">
                  <v>4204311.076923077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5819968"/>
        <axId val="655800944"/>
      </scatterChart>
      <dateAx>
        <axId val="515089840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5091152"/>
        <crosses val="autoZero"/>
        <lblOffset val="100"/>
        <baseTimeUnit val="months"/>
      </dateAx>
      <valAx>
        <axId val="515091152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ysClr val="window" lastClr="FFFFFF">
                  <a:lumMod val="95000"/>
                </a:sys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5089840"/>
        <crosses val="max"/>
        <crossBetween val="between"/>
      </valAx>
      <valAx>
        <axId val="655819968"/>
        <scaling>
          <orientation val="maxMin"/>
        </scaling>
        <delete val="1"/>
        <axPos val="t"/>
        <majorTickMark val="out"/>
        <minorTickMark val="none"/>
        <tickLblPos val="nextTo"/>
        <crossAx val="655800944"/>
        <crosses val="max"/>
        <crossBetween val="midCat"/>
      </valAx>
      <valAx>
        <axId val="655800944"/>
        <scaling>
          <orientation val="minMax"/>
        </scaling>
        <delete val="0"/>
        <axPos val="r"/>
        <numFmt formatCode="&quot;$&quot;#,##0_);[Red]\(&quot;$&quot;#,##0\)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55819968"/>
        <crosses val="autoZero"/>
        <crossBetween val="midCat"/>
        <dispUnits>
          <builtInUnit val="millions"/>
          <dispUnits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66666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</dispUnitsLbl>
        </dispUnits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40825779874681"/>
          <y val="0.03496058988049835"/>
          <w val="0.8868132374141492"/>
          <h val="0.6681931337781249"/>
        </manualLayout>
      </layout>
      <areaChart>
        <grouping val="standard"/>
        <varyColors val="0"/>
        <ser>
          <idx val="0"/>
          <order val="0"/>
          <tx>
            <strRef>
              <f>'SSA Charts'!$H$2</f>
              <strCache>
                <ptCount val="1"/>
                <pt idx="0">
                  <v>Trans. Vol. (ttm)</v>
                </pt>
              </strCache>
            </strRef>
          </tx>
          <spPr>
            <a:solidFill xmlns:a="http://schemas.openxmlformats.org/drawingml/2006/main">
              <a:srgbClr val="E0E8F4"/>
            </a:solidFill>
            <a:ln xmlns:a="http://schemas.openxmlformats.org/drawingml/2006/main" w="25400">
              <a:noFill/>
              <a:prstDash val="solid"/>
            </a:ln>
          </spPr>
          <cat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Charts'!$H$3:$H$194</f>
              <numCache>
                <formatCode>"$"#.##,,"M"</formatCode>
                <ptCount val="192"/>
                <pt idx="0">
                  <v>156250527.75</v>
                </pt>
                <pt idx="1">
                  <v>168039368.9302326</v>
                </pt>
                <pt idx="2">
                  <v>175788220.8372093</v>
                </pt>
                <pt idx="3">
                  <v>192121531.6363636</v>
                </pt>
                <pt idx="4">
                  <v>176537556</v>
                </pt>
                <pt idx="5">
                  <v>172661422.6666667</v>
                </pt>
                <pt idx="6">
                  <v>160988322.6756757</v>
                </pt>
                <pt idx="7">
                  <v>174481285.8947368</v>
                </pt>
                <pt idx="8">
                  <v>182141557.1351351</v>
                </pt>
                <pt idx="9">
                  <v>173029980.7058824</v>
                </pt>
                <pt idx="10">
                  <v>171947721.8823529</v>
                </pt>
                <pt idx="11">
                  <v>167950604.1818182</v>
                </pt>
                <pt idx="12">
                  <v>166672095.3235294</v>
                </pt>
                <pt idx="13">
                  <v>143922301.3823529</v>
                </pt>
                <pt idx="14">
                  <v>138277869.9194118</v>
                </pt>
                <pt idx="15">
                  <v>124893633.1263636</v>
                </pt>
                <pt idx="16">
                  <v>115586063.3232258</v>
                </pt>
                <pt idx="17">
                  <v>106313670.3266667</v>
                </pt>
                <pt idx="18">
                  <v>112696553.7933333</v>
                </pt>
                <pt idx="19">
                  <v>92916038.25</v>
                </pt>
                <pt idx="20">
                  <v>89927985.20689654</v>
                </pt>
                <pt idx="21">
                  <v>95024914.27096775</v>
                </pt>
                <pt idx="22">
                  <v>87023556.10714285</v>
                </pt>
                <pt idx="23">
                  <v>109202295.0586207</v>
                </pt>
                <pt idx="24">
                  <v>120653225.6</v>
                </pt>
                <pt idx="25">
                  <v>125258873</v>
                </pt>
                <pt idx="26">
                  <v>143164632.5372</v>
                </pt>
                <pt idx="27">
                  <v>148300687.5404348</v>
                </pt>
                <pt idx="28">
                  <v>144652183.0345455</v>
                </pt>
                <pt idx="29">
                  <v>160088522.7272727</v>
                </pt>
                <pt idx="30">
                  <v>162911250</v>
                </pt>
                <pt idx="31">
                  <v>154335927.2727273</v>
                </pt>
                <pt idx="32">
                  <v>177508657.0714286</v>
                </pt>
                <pt idx="33">
                  <v>186043644.3571429</v>
                </pt>
                <pt idx="34">
                  <v>185164481.8333333</v>
                </pt>
                <pt idx="35">
                  <v>163473703.5172414</v>
                </pt>
                <pt idx="36">
                  <v>144469774.8571429</v>
                </pt>
                <pt idx="37">
                  <v>160077370.6551724</v>
                </pt>
                <pt idx="38">
                  <v>136924844.3928572</v>
                </pt>
                <pt idx="39">
                  <v>131300744.4827586</v>
                </pt>
                <pt idx="40">
                  <v>130278929.8928571</v>
                </pt>
                <pt idx="41">
                  <v>119240614.4444444</v>
                </pt>
                <pt idx="42">
                  <v>136425612.9090909</v>
                </pt>
                <pt idx="43">
                  <v>153197811</v>
                </pt>
                <pt idx="44">
                  <v>121196280.4615385</v>
                </pt>
                <pt idx="45">
                  <v>120508853.3333333</v>
                </pt>
                <pt idx="46">
                  <v>155154957.4117647</v>
                </pt>
                <pt idx="47">
                  <v>164009513.4117647</v>
                </pt>
                <pt idx="48">
                  <v>163874374.4</v>
                </pt>
                <pt idx="49">
                  <v>129507709.9354839</v>
                </pt>
                <pt idx="50">
                  <v>152709578.1818182</v>
                </pt>
                <pt idx="51">
                  <v>159496670.5454545</v>
                </pt>
                <pt idx="52">
                  <v>169209633.6</v>
                </pt>
                <pt idx="53">
                  <v>156621914.8235294</v>
                </pt>
                <pt idx="54">
                  <v>130703251.5555556</v>
                </pt>
                <pt idx="55">
                  <v>134928980.5714286</v>
                </pt>
                <pt idx="56">
                  <v>149513793</v>
                </pt>
                <pt idx="57">
                  <v>144875289.5294118</v>
                </pt>
                <pt idx="58">
                  <v>133375605.5172414</v>
                </pt>
                <pt idx="59">
                  <v>141896742.5806451</v>
                </pt>
                <pt idx="60">
                  <v>143080917.2413793</v>
                </pt>
                <pt idx="61">
                  <v>143497481.9354839</v>
                </pt>
                <pt idx="62">
                  <v>126384556.6666667</v>
                </pt>
                <pt idx="63">
                  <v>124911196.1290323</v>
                </pt>
                <pt idx="64">
                  <v>123784409.6774194</v>
                </pt>
                <pt idx="65">
                  <v>132521197.5</v>
                </pt>
                <pt idx="66">
                  <v>135902104.7058824</v>
                </pt>
                <pt idx="67">
                  <v>151203804.6265244</v>
                </pt>
                <pt idx="68">
                  <v>141636588.9203125</v>
                </pt>
                <pt idx="69">
                  <v>166456911.1671512</v>
                </pt>
                <pt idx="70">
                  <v>162189743.6071429</v>
                </pt>
                <pt idx="71">
                  <v>150817929.5046875</v>
                </pt>
                <pt idx="72">
                  <v>146006357.150641</v>
                </pt>
                <pt idx="73">
                  <v>162454736.9882812</v>
                </pt>
                <pt idx="74">
                  <v>165865665.6976744</v>
                </pt>
                <pt idx="75">
                  <v>177670391.1458333</v>
                </pt>
                <pt idx="76">
                  <v>193523664.7002551</v>
                </pt>
                <pt idx="77">
                  <v>206226791.1363648</v>
                </pt>
                <pt idx="78">
                  <v>227394375.1010338</v>
                </pt>
                <pt idx="79">
                  <v>222518439.545541</v>
                </pt>
                <pt idx="80">
                  <v>228380420.3147718</v>
                </pt>
                <pt idx="81">
                  <v>198823045.4817849</v>
                </pt>
                <pt idx="82">
                  <v>191573398.0712094</v>
                </pt>
                <pt idx="83">
                  <v>192182639.3512559</v>
                </pt>
                <pt idx="84">
                  <v>197264014.548242</v>
                </pt>
                <pt idx="85">
                  <v>195768643.6180238</v>
                </pt>
                <pt idx="86">
                  <v>188747646.4647084</v>
                </pt>
                <pt idx="87">
                  <v>169280860.9093967</v>
                </pt>
                <pt idx="88">
                  <v>170876688.0482655</v>
                </pt>
                <pt idx="89">
                  <v>154313659.8367347</v>
                </pt>
                <pt idx="90">
                  <v>133428144.7906977</v>
                </pt>
                <pt idx="91">
                  <v>104720909.5263158</v>
                </pt>
                <pt idx="92">
                  <v>94183979.65714285</v>
                </pt>
                <pt idx="93">
                  <v>120438059.4871795</v>
                </pt>
                <pt idx="94">
                  <v>117348031.8947368</v>
                </pt>
                <pt idx="95">
                  <v>108585368.2285714</v>
                </pt>
                <pt idx="96">
                  <v>107568011.1214286</v>
                </pt>
                <pt idx="97">
                  <v>127658465.8125</v>
                </pt>
                <pt idx="98">
                  <v>173977074.0972222</v>
                </pt>
                <pt idx="99">
                  <v>174282629.6527778</v>
                </pt>
                <pt idx="100">
                  <v>171119273.0673077</v>
                </pt>
                <pt idx="101">
                  <v>184675001.2724359</v>
                </pt>
                <pt idx="102">
                  <v>181530126.240625</v>
                </pt>
                <pt idx="103">
                  <v>177183696.9013158</v>
                </pt>
                <pt idx="104">
                  <v>178450711.9471154</v>
                </pt>
                <pt idx="105">
                  <v>175451313.8486842</v>
                </pt>
                <pt idx="106">
                  <v>191757489.9285714</v>
                </pt>
                <pt idx="107">
                  <v>191757489.9285714</v>
                </pt>
                <pt idx="108">
                  <v>208509222.9969512</v>
                </pt>
                <pt idx="109">
                  <v>174996406.7647059</v>
                </pt>
                <pt idx="110">
                  <v>132904450.0104167</v>
                </pt>
                <pt idx="111">
                  <v>135577701.3928571</v>
                </pt>
                <pt idx="112">
                  <v>115506450.8460648</v>
                </pt>
                <pt idx="113">
                  <v>101546314.97625</v>
                </pt>
                <pt idx="114">
                  <v>100473062.8619792</v>
                </pt>
                <pt idx="115">
                  <v>112327778.4663462</v>
                </pt>
                <pt idx="116">
                  <v>111859316.9278846</v>
                </pt>
                <pt idx="117">
                  <v>92579299.10714287</v>
                </pt>
                <pt idx="118">
                  <v>78378695.13322368</v>
                </pt>
                <pt idx="119">
                  <v>82017141.26249999</v>
                </pt>
                <pt idx="120">
                  <v>72882809.07656251</v>
                </pt>
                <pt idx="121">
                  <v>70185406.53571428</v>
                </pt>
                <pt idx="122">
                  <v>88560867.65217391</v>
                </pt>
                <pt idx="123">
                  <v>102041106.75</v>
                </pt>
                <pt idx="124">
                  <v>122814821.9259259</v>
                </pt>
                <pt idx="125">
                  <v>124181384.5769231</v>
                </pt>
                <pt idx="126">
                  <v>128676344.8928571</v>
                </pt>
                <pt idx="127">
                  <v>149053004.1</v>
                </pt>
                <pt idx="128">
                  <v>172599989.4242424</v>
                </pt>
                <pt idx="129">
                  <v>164402613.59375</v>
                </pt>
                <pt idx="130">
                  <v>153724582.5862069</v>
                </pt>
                <pt idx="131">
                  <v>154469783.7931034</v>
                </pt>
                <pt idx="132">
                  <v>154857722.8666667</v>
                </pt>
                <pt idx="133">
                  <v>180513189.6774194</v>
                </pt>
                <pt idx="134">
                  <v>171141859.2</v>
                </pt>
                <pt idx="135">
                  <v>167493312</v>
                </pt>
                <pt idx="136">
                  <v>148734093.8461538</v>
                </pt>
                <pt idx="137">
                  <v>160178733.6296296</v>
                </pt>
                <pt idx="138">
                  <v>156796933.6296296</v>
                </pt>
                <pt idx="139">
                  <v>128794609.8333333</v>
                </pt>
                <pt idx="140">
                  <v>104919952.8</v>
                </pt>
                <pt idx="141">
                  <v>104919952.8</v>
                </pt>
                <pt idx="142">
                  <v>101655806.11875</v>
                </pt>
                <pt idx="143">
                  <v>107944842.421875</v>
                </pt>
                <pt idx="144">
                  <v>99826227.80902779</v>
                </pt>
                <pt idx="145">
                  <v>74239173.65416667</v>
                </pt>
                <pt idx="146">
                  <v>58563090.58333334</v>
                </pt>
                <pt idx="147">
                  <v>48284625.1125</v>
                </pt>
                <pt idx="148">
                  <v>44658750.10227273</v>
                </pt>
                <pt idx="149">
                  <v>29509355.25694444</v>
                </pt>
                <pt idx="150">
                  <v>28647688.59027778</v>
                </pt>
                <pt idx="151">
                  <v>24233575.48611111</v>
                </pt>
                <pt idx="152">
                  <v>29612239.73125</v>
                </pt>
                <pt idx="153">
                  <v>45744803.9326923</v>
                </pt>
                <pt idx="154">
                  <v>45162216.66666666</v>
                </pt>
                <pt idx="155">
                  <v>35488472.72727273</v>
                </pt>
                <pt idx="156">
                  <v>34080109.09090909</v>
                </pt>
                <pt idx="157">
                  <v>32724663.63636364</v>
                </pt>
                <pt idx="158">
                  <v>36680116.66666667</v>
                </pt>
                <pt idx="159">
                  <v>33755420.83333334</v>
                </pt>
                <pt idx="160">
                  <v>33336927.27272727</v>
                </pt>
                <pt idx="161">
                  <v>38440837.5</v>
                </pt>
                <pt idx="162">
                  <v>48358640.90909091</v>
                </pt>
                <pt idx="163">
                  <v>54117359.63636364</v>
                </pt>
                <pt idx="164">
                  <v>49774177.81818182</v>
                </pt>
                <pt idx="165">
                  <v>50138017.2</v>
                </pt>
                <pt idx="166">
                  <v>50560168.45454545</v>
                </pt>
                <pt idx="167">
                  <v>54449412.18181818</v>
                </pt>
                <pt idx="168">
                  <v>62721576.61538462</v>
                </pt>
                <pt idx="169">
                  <v>58171494.5</v>
                </pt>
                <pt idx="170">
                  <v>59251478.07692308</v>
                </pt>
                <pt idx="171">
                  <v>59594461.71428572</v>
                </pt>
                <pt idx="172">
                  <v>64116184.8</v>
                </pt>
                <pt idx="173">
                  <v>66178317.5</v>
                </pt>
                <pt idx="174">
                  <v>74479905.17647059</v>
                </pt>
                <pt idx="175">
                  <v>74800246.66666667</v>
                </pt>
                <pt idx="176">
                  <v>75496953.94736841</v>
                </pt>
                <pt idx="177">
                  <v>79408656.72727273</v>
                </pt>
                <pt idx="178">
                  <v>113142561.3333333</v>
                </pt>
                <pt idx="179">
                  <v>110382986.6666667</v>
                </pt>
                <pt idx="180">
                  <v>107176592.32</v>
                </pt>
                <pt idx="181">
                  <v>118226758.2222222</v>
                </pt>
                <pt idx="182">
                  <v>113220665.6</v>
                </pt>
                <pt idx="183">
                  <v>120031417.2083333</v>
                </pt>
                <pt idx="184">
                  <v>117432155</v>
                </pt>
                <pt idx="185">
                  <v>117719634.375</v>
                </pt>
                <pt idx="186">
                  <v>108816761.7892977</v>
                </pt>
                <pt idx="187">
                  <v>119726973.270903</v>
                </pt>
                <pt idx="188">
                  <v>122966221.5384615</v>
                </pt>
                <pt idx="189">
                  <v>110492630.6244344</v>
                </pt>
                <pt idx="190">
                  <v>73373132.69930071</v>
                </pt>
                <pt idx="191">
                  <v>75677599.38461539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stockChart>
        <ser>
          <idx val="1"/>
          <order val="1"/>
          <tx>
            <strRef>
              <f>'SSA Charts'!$J$2</f>
              <strCache>
                <ptCount val="1"/>
                <pt idx="0">
                  <v>Upper Quartile Cap Rate (ttm)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Charts'!$J$3:$J$194</f>
              <numCache>
                <formatCode>0.00%</formatCode>
                <ptCount val="192"/>
                <pt idx="0">
                  <v>0.08757359917355372</v>
                </pt>
                <pt idx="1">
                  <v>0.08497279752066116</v>
                </pt>
                <pt idx="2">
                  <v>0.08359097728228709</v>
                </pt>
                <pt idx="3">
                  <v>0.08367239669421488</v>
                </pt>
                <pt idx="4">
                  <v>0.09092869833311365</v>
                </pt>
                <pt idx="5">
                  <v>0.08702366548042705</v>
                </pt>
                <pt idx="6">
                  <v>0.08888549822064057</v>
                </pt>
                <pt idx="7">
                  <v>0.08888549822064057</v>
                </pt>
                <pt idx="8">
                  <v>0.0833</v>
                </pt>
                <pt idx="9">
                  <v>0.08516183274021352</v>
                </pt>
                <pt idx="10">
                  <v>0.08397876569037657</v>
                </pt>
                <pt idx="11">
                  <v>0.0833</v>
                </pt>
                <pt idx="12">
                  <v>0.0842050209205021</v>
                </pt>
                <pt idx="13">
                  <v>0.0842050209205021</v>
                </pt>
                <pt idx="14">
                  <v>0.08473419080532343</v>
                </pt>
                <pt idx="15">
                  <v>0.08526336069014476</v>
                </pt>
                <pt idx="16">
                  <v>0.0842050209205021</v>
                </pt>
                <pt idx="17">
                  <v>0.08356137438602874</v>
                </pt>
                <pt idx="18">
                  <v>0.08356137438602874</v>
                </pt>
                <pt idx="19">
                  <v>0.0842050209205021</v>
                </pt>
                <pt idx="20">
                  <v>0.08732403204807554</v>
                </pt>
                <pt idx="21">
                  <v>0.08632170045978743</v>
                </pt>
                <pt idx="22">
                  <v>0.08732403204807554</v>
                </pt>
                <pt idx="23">
                  <v>0.08732403204807554</v>
                </pt>
                <pt idx="24">
                  <v>0.08526611338778844</v>
                </pt>
                <pt idx="25">
                  <v>0.08526611338778844</v>
                </pt>
                <pt idx="26">
                  <v>0.08421052631578947</v>
                </pt>
                <pt idx="27">
                  <v>0.0822754576659039</v>
                </pt>
                <pt idx="28">
                  <v>0.0822754576659039</v>
                </pt>
                <pt idx="29">
                  <v>0.08256124401913875</v>
                </pt>
                <pt idx="30">
                  <v>0.083111004784689</v>
                </pt>
                <pt idx="31">
                  <v>0.08791291666666667</v>
                </pt>
                <pt idx="32">
                  <v>0.09092422527862169</v>
                </pt>
                <pt idx="33">
                  <v>0.09176704985891707</v>
                </pt>
                <pt idx="34">
                  <v>0.09113226685138437</v>
                </pt>
                <pt idx="35">
                  <v>0.09113226685138437</v>
                </pt>
                <pt idx="36">
                  <v>0.09113226685138437</v>
                </pt>
                <pt idx="37">
                  <v>0.09472615384615385</v>
                </pt>
                <pt idx="38">
                  <v>0.09472615384615385</v>
                </pt>
                <pt idx="39">
                  <v>0.09438444951520818</v>
                </pt>
                <pt idx="40">
                  <v>0.09335933652237118</v>
                </pt>
                <pt idx="41">
                  <v>0.09335933652237118</v>
                </pt>
                <pt idx="42">
                  <v>0.1011003116571771</v>
                </pt>
                <pt idx="43">
                  <v>0.1009744111477375</v>
                </pt>
                <pt idx="44">
                  <v>0.1013521126760563</v>
                </pt>
                <pt idx="45">
                  <v>0.1009744111477375</v>
                </pt>
                <pt idx="46">
                  <v>0.1013521126760563</v>
                </pt>
                <pt idx="47">
                  <v>0.1013521126760563</v>
                </pt>
                <pt idx="48">
                  <v>0.1013521126760563</v>
                </pt>
                <pt idx="49">
                  <v>0.09721212765957447</v>
                </pt>
                <pt idx="50">
                  <v>0.09721212765957447</v>
                </pt>
                <pt idx="51">
                  <v>0.09842425531914895</v>
                </pt>
                <pt idx="52">
                  <v>0.1016909790657914</v>
                </pt>
                <pt idx="53">
                  <v>0.1033759159207785</v>
                </pt>
                <pt idx="54">
                  <v>0.098054596087068</v>
                </pt>
                <pt idx="55">
                  <v>0.09720000000000001</v>
                </pt>
                <pt idx="56">
                  <v>0.09720000000000001</v>
                </pt>
                <pt idx="57">
                  <v>0.0984</v>
                </pt>
                <pt idx="58">
                  <v>0.09233197716894978</v>
                </pt>
                <pt idx="59">
                  <v>0.09233197716894978</v>
                </pt>
                <pt idx="60">
                  <v>0.09318219178082192</v>
                </pt>
                <pt idx="61">
                  <v>0.09234109589041095</v>
                </pt>
                <pt idx="62">
                  <v>0.09234109589041095</v>
                </pt>
                <pt idx="63">
                  <v>0.09318219178082192</v>
                </pt>
                <pt idx="64">
                  <v>0.09276164383561644</v>
                </pt>
                <pt idx="65">
                  <v>0.09448664383561645</v>
                </pt>
                <pt idx="66">
                  <v>0.09448664383561645</v>
                </pt>
                <pt idx="67">
                  <v>0.096625</v>
                </pt>
                <pt idx="68">
                  <v>0.1025</v>
                </pt>
                <pt idx="69">
                  <v>0.1</v>
                </pt>
                <pt idx="70">
                  <v>0.1025</v>
                </pt>
                <pt idx="71">
                  <v>0.1026270833333333</v>
                </pt>
                <pt idx="72">
                  <v>0.1027541666666667</v>
                </pt>
                <pt idx="73">
                  <v>0.10288125</v>
                </pt>
                <pt idx="74">
                  <v>0.1027541666666667</v>
                </pt>
                <pt idx="75">
                  <v>0.1025</v>
                </pt>
                <pt idx="76">
                  <v>0.1018794444444444</v>
                </pt>
                <pt idx="77">
                  <v>0.1000177777777778</v>
                </pt>
                <pt idx="78">
                  <v>0.1006383333333333</v>
                </pt>
                <pt idx="79">
                  <v>0.1033526268115942</v>
                </pt>
                <pt idx="80">
                  <v>0.1008801811594203</v>
                </pt>
                <pt idx="81">
                  <v>0.1000177777777778</v>
                </pt>
                <pt idx="82">
                  <v>0.1008801811594203</v>
                </pt>
                <pt idx="83">
                  <v>0.1034673913043478</v>
                </pt>
                <pt idx="84">
                  <v>0.1026049879227053</v>
                </pt>
                <pt idx="85">
                  <v>0.09923369565217391</v>
                </pt>
                <pt idx="86">
                  <v>0.10224185891748</v>
                </pt>
                <pt idx="87">
                  <v>0.1016290927240461</v>
                </pt>
                <pt idx="88">
                  <v>0.1016290927240461</v>
                </pt>
                <pt idx="89">
                  <v>0.1034065033523758</v>
                </pt>
                <pt idx="90">
                  <v>0.1033456154004037</v>
                </pt>
                <pt idx="91">
                  <v>0.1010163265306122</v>
                </pt>
                <pt idx="92">
                  <v>0.1015682047720741</v>
                </pt>
                <pt idx="93">
                  <v>0.1011305655086462</v>
                </pt>
                <pt idx="94">
                  <v>0.1011305655086462</v>
                </pt>
                <pt idx="95">
                  <v>0.09800816326530612</v>
                </pt>
                <pt idx="96">
                  <v>0.09951224489795918</v>
                </pt>
                <pt idx="97">
                  <v>0.1019109217061759</v>
                </pt>
                <pt idx="98">
                  <v>0.1032238394964595</v>
                </pt>
                <pt idx="99">
                  <v>0.1032238394964595</v>
                </pt>
                <pt idx="100">
                  <v>0.1019109217061759</v>
                </pt>
                <pt idx="101">
                  <v>0.09766085990338164</v>
                </pt>
                <pt idx="102">
                  <v>0.09739573429951691</v>
                </pt>
                <pt idx="103">
                  <v>0.09739573429951691</v>
                </pt>
                <pt idx="104">
                  <v>0.09819111111111112</v>
                </pt>
                <pt idx="105">
                  <v>0.09849273190621816</v>
                </pt>
                <pt idx="106">
                  <v>0.09839219164118247</v>
                </pt>
                <pt idx="107">
                  <v>0.09839219164118247</v>
                </pt>
                <pt idx="108">
                  <v>0.09839219164118247</v>
                </pt>
                <pt idx="109">
                  <v>0.09686530434782609</v>
                </pt>
                <pt idx="110">
                  <v>0.09699795652173912</v>
                </pt>
                <pt idx="111">
                  <v>0.09699795652173912</v>
                </pt>
                <pt idx="112">
                  <v>0.09660000000000001</v>
                </pt>
                <pt idx="113">
                  <v>0.09859327217125383</v>
                </pt>
                <pt idx="114">
                  <v>0.09890147586757081</v>
                </pt>
                <pt idx="115">
                  <v>0.09844495412844037</v>
                </pt>
                <pt idx="116">
                  <v>0.09814036249999999</v>
                </pt>
                <pt idx="117">
                  <v>0.0980467875</v>
                </pt>
                <pt idx="118">
                  <v>0.0980467875</v>
                </pt>
                <pt idx="119">
                  <v>0.098</v>
                </pt>
                <pt idx="120">
                  <v>0.09440000742574257</v>
                </pt>
                <pt idx="121">
                  <v>0.097625</v>
                </pt>
                <pt idx="122">
                  <v>0.09746786786786787</v>
                </pt>
                <pt idx="123">
                  <v>0.09749196696696696</v>
                </pt>
                <pt idx="124">
                  <v>0.0975</v>
                </pt>
                <pt idx="125">
                  <v>0.09058660982410982</v>
                </pt>
                <pt idx="126">
                  <v>0.08829285714285715</v>
                </pt>
                <pt idx="127">
                  <v>0.09042402823920265</v>
                </pt>
                <pt idx="128">
                  <v>0.08900324750830566</v>
                </pt>
                <pt idx="129">
                  <v>0.08971363787375415</v>
                </pt>
                <pt idx="130">
                  <v>0.09113441860465116</v>
                </pt>
                <pt idx="131">
                  <v>0.0958845055520637</v>
                </pt>
                <pt idx="132">
                  <v>0.09374196696696696</v>
                </pt>
                <pt idx="133">
                  <v>0.1062430096593798</v>
                </pt>
                <pt idx="134">
                  <v>0.1028072572445348</v>
                </pt>
                <pt idx="135">
                  <v>0.09181720930232558</v>
                </pt>
                <pt idx="136">
                  <v>0.09181720930232558</v>
                </pt>
                <pt idx="137">
                  <v>0.09147581395348836</v>
                </pt>
                <pt idx="138">
                  <v>0.09593575241484495</v>
                </pt>
                <pt idx="139">
                  <v>0.1062430096593798</v>
                </pt>
                <pt idx="140">
                  <v>0.1028924744897959</v>
                </pt>
                <pt idx="141">
                  <v>0.1028924744897959</v>
                </pt>
                <pt idx="142">
                  <v>0.1031106497934783</v>
                </pt>
                <pt idx="143">
                  <v>0.09802350020042155</v>
                </pt>
                <pt idx="144">
                  <v>0.1014876583636869</v>
                </pt>
                <pt idx="145">
                  <v>0.08744545454545455</v>
                </pt>
                <pt idx="146">
                  <v>0.08719203582434515</v>
                </pt>
                <pt idx="147">
                  <v>0.08744545454545455</v>
                </pt>
                <pt idx="148">
                  <v>0.08744545454545455</v>
                </pt>
                <pt idx="149">
                  <v>0.09057320880887815</v>
                </pt>
                <pt idx="150">
                  <v>0.08096131301289566</v>
                </pt>
                <pt idx="151">
                  <v>0.08189087534193044</v>
                </pt>
                <pt idx="152">
                  <v>0.08437500000000001</v>
                </pt>
                <pt idx="153">
                  <v>0.08219543767096522</v>
                </pt>
                <pt idx="154">
                  <v>0.08128175068386088</v>
                </pt>
                <pt idx="155">
                  <v>0.08158631301289566</v>
                </pt>
                <pt idx="156">
                  <v>0.08299093059936909</v>
                </pt>
                <pt idx="157">
                  <v>0.08348186119873818</v>
                </pt>
                <pt idx="158">
                  <v>0.08348186119873818</v>
                </pt>
                <pt idx="159">
                  <v>0.08397279179810727</v>
                </pt>
                <pt idx="160">
                  <v>0.08397279179810727</v>
                </pt>
                <pt idx="161">
                  <v>0.08397279179810727</v>
                </pt>
                <pt idx="162">
                  <v>0.08348186119873818</v>
                </pt>
                <pt idx="163">
                  <v>0.0834862533365688</v>
                </pt>
                <pt idx="164">
                  <v>0.08055384615384616</v>
                </pt>
                <pt idx="165">
                  <v>0.083</v>
                </pt>
                <pt idx="166">
                  <v>0.083</v>
                </pt>
                <pt idx="167">
                  <v>0.083</v>
                </pt>
                <pt idx="168">
                  <v>0.08055384615384616</v>
                </pt>
                <pt idx="169">
                  <v>0.08055384615384616</v>
                </pt>
                <pt idx="170">
                  <v>0.07934315650823279</v>
                </pt>
                <pt idx="171">
                  <v>0.08238121369955873</v>
                </pt>
                <pt idx="172">
                  <v>0.08238121369955873</v>
                </pt>
                <pt idx="173">
                  <v>0.08207182054933809</v>
                </pt>
                <pt idx="174">
                  <v>0.08238121369955873</v>
                </pt>
                <pt idx="175">
                  <v>0.08207182054933809</v>
                </pt>
                <pt idx="176">
                  <v>0.08176242739911745</v>
                </pt>
                <pt idx="177">
                  <v>0.08083274550239233</v>
                </pt>
                <pt idx="178">
                  <v>0.0814075294890324</v>
                </pt>
                <pt idx="179">
                  <v>0.0814075294890324</v>
                </pt>
                <pt idx="180">
                  <v>0.0814075294890324</v>
                </pt>
                <pt idx="181">
                  <v>0.08176242739911745</v>
                </pt>
                <pt idx="182">
                  <v>0.08211275804933808</v>
                </pt>
                <pt idx="183">
                  <v>0.08101315789473684</v>
                </pt>
                <pt idx="184">
                  <v>0.081</v>
                </pt>
                <pt idx="185">
                  <v>0.081</v>
                </pt>
                <pt idx="186">
                  <v>0.08103947368421052</v>
                </pt>
                <pt idx="187">
                  <v>0.08103947368421052</v>
                </pt>
                <pt idx="188">
                  <v>0.081</v>
                </pt>
                <pt idx="189">
                  <v>0.0855064935064935</v>
                </pt>
                <pt idx="190">
                  <v>0.0815</v>
                </pt>
                <pt idx="191">
                  <v>0.0815</v>
                </pt>
              </numCache>
            </numRef>
          </val>
          <smooth val="0"/>
        </ser>
        <ser>
          <idx val="2"/>
          <order val="2"/>
          <tx>
            <strRef>
              <f>'SSA Charts'!$K$2</f>
              <strCache>
                <ptCount val="1"/>
                <pt idx="0">
                  <v>Lower Quartile Cap Rate (ttm)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Charts'!$K$3:$K$194</f>
              <numCache>
                <formatCode>0.00%</formatCode>
                <ptCount val="192"/>
                <pt idx="0">
                  <v>0.06868963414634147</v>
                </pt>
                <pt idx="1">
                  <v>0.06535000122219208</v>
                </pt>
                <pt idx="2">
                  <v>0.06327410503009101</v>
                </pt>
                <pt idx="3">
                  <v>0.0634</v>
                </pt>
                <pt idx="4">
                  <v>0.06327410503009101</v>
                </pt>
                <pt idx="5">
                  <v>0.06274821006018204</v>
                </pt>
                <pt idx="6">
                  <v>0.06267410503009102</v>
                </pt>
                <pt idx="7">
                  <v>0.05991172866240852</v>
                </pt>
                <pt idx="8">
                  <v>0.05901563821654469</v>
                </pt>
                <pt idx="9">
                  <v>0.06137234049079755</v>
                </pt>
                <pt idx="10">
                  <v>0.06267410503009102</v>
                </pt>
                <pt idx="11">
                  <v>0.06289642012036407</v>
                </pt>
                <pt idx="12">
                  <v>0.0634</v>
                </pt>
                <pt idx="13">
                  <v>0.07243249620253164</v>
                </pt>
                <pt idx="14">
                  <v>0.07238271656679235</v>
                </pt>
                <pt idx="15">
                  <v>0.07233293693105305</v>
                </pt>
                <pt idx="16">
                  <v>0.07223337765957447</v>
                </pt>
                <pt idx="17">
                  <v>0.07254937215189873</v>
                </pt>
                <pt idx="18">
                  <v>0.07228315729531376</v>
                </pt>
                <pt idx="19">
                  <v>0.07243249620253164</v>
                </pt>
                <pt idx="20">
                  <v>0.07266624810126582</v>
                </pt>
                <pt idx="21">
                  <v>0.07223337765957447</v>
                </pt>
                <pt idx="22">
                  <v>0.07160108882978725</v>
                </pt>
                <pt idx="23">
                  <v>0.07160108882978725</v>
                </pt>
                <pt idx="24">
                  <v>0.06781519719047203</v>
                </pt>
                <pt idx="25">
                  <v>0.06499722728671892</v>
                </pt>
                <pt idx="26">
                  <v>0.06375241635687733</v>
                </pt>
                <pt idx="27">
                  <v>0.06366797080424336</v>
                </pt>
                <pt idx="28">
                  <v>0.06366797080424336</v>
                </pt>
                <pt idx="29">
                  <v>0.06158165230148542</v>
                </pt>
                <pt idx="30">
                  <v>0.0635835252516094</v>
                </pt>
                <pt idx="31">
                  <v>0.06366797080424336</v>
                </pt>
                <pt idx="32">
                  <v>0.06916470408921935</v>
                </pt>
                <pt idx="33">
                  <v>0.07485</v>
                </pt>
                <pt idx="34">
                  <v>0.07630513245033112</v>
                </pt>
                <pt idx="35">
                  <v>0.0733683774834437</v>
                </pt>
                <pt idx="36">
                  <v>0.07397991594498217</v>
                </pt>
                <pt idx="37">
                  <v>0.07597350993377483</v>
                </pt>
                <pt idx="38">
                  <v>0.07597350993377483</v>
                </pt>
                <pt idx="39">
                  <v>0.07397991594498217</v>
                </pt>
                <pt idx="40">
                  <v>0.07331538461538462</v>
                </pt>
                <pt idx="41">
                  <v>0.07331538461538462</v>
                </pt>
                <pt idx="42">
                  <v>0.07623675496688742</v>
                </pt>
                <pt idx="43">
                  <v>0.07572436321956189</v>
                </pt>
                <pt idx="44">
                  <v>0.07331538461538462</v>
                </pt>
                <pt idx="45">
                  <v>0.07311153846153846</v>
                </pt>
                <pt idx="46">
                  <v>0.07331538461538462</v>
                </pt>
                <pt idx="47">
                  <v>0.07331538461538462</v>
                </pt>
                <pt idx="48">
                  <v>0.0765</v>
                </pt>
                <pt idx="49">
                  <v>0.07466842782032232</v>
                </pt>
                <pt idx="50">
                  <v>0.07466842782032232</v>
                </pt>
                <pt idx="51">
                  <v>0.07573846153846153</v>
                </pt>
                <pt idx="52">
                  <v>0.07611923076923077</v>
                </pt>
                <pt idx="53">
                  <v>0.07891617857142857</v>
                </pt>
                <pt idx="54">
                  <v>0.07466842782032232</v>
                </pt>
                <pt idx="55">
                  <v>0.07597147102526003</v>
                </pt>
                <pt idx="56">
                  <v>0.08079355263157895</v>
                </pt>
                <pt idx="57">
                  <v>0.0864</v>
                </pt>
                <pt idx="58">
                  <v>0.07933333333333334</v>
                </pt>
                <pt idx="59">
                  <v>0.082875</v>
                </pt>
                <pt idx="60">
                  <v>0.0833</v>
                </pt>
                <pt idx="61">
                  <v>0.08489355263157895</v>
                </pt>
                <pt idx="62">
                  <v>0.08489355263157895</v>
                </pt>
                <pt idx="63">
                  <v>0.0833871052631579</v>
                </pt>
                <pt idx="64">
                  <v>0.08332177631578948</v>
                </pt>
                <pt idx="65">
                  <v>0.08315833333333333</v>
                </pt>
                <pt idx="66">
                  <v>0.08315833333333333</v>
                </pt>
                <pt idx="67">
                  <v>0.082875</v>
                </pt>
                <pt idx="68">
                  <v>0.08007868300178755</v>
                </pt>
                <pt idx="69">
                  <v>0.07940102876738427</v>
                </pt>
                <pt idx="70">
                  <v>0.08</v>
                </pt>
                <pt idx="71">
                  <v>0.07970051438369213</v>
                </pt>
                <pt idx="72">
                  <v>0.07940102876738427</v>
                </pt>
                <pt idx="73">
                  <v>0.0791015431510764</v>
                </pt>
                <pt idx="74">
                  <v>0.07940102876738427</v>
                </pt>
                <pt idx="75">
                  <v>0.08</v>
                </pt>
                <pt idx="76">
                  <v>0.08001967075044689</v>
                </pt>
                <pt idx="77">
                  <v>0.08218461538461538</v>
                </pt>
                <pt idx="78">
                  <v>0.08234092128801429</v>
                </pt>
                <pt idx="79">
                  <v>0.08316605380549683</v>
                </pt>
                <pt idx="80">
                  <v>0.08234092128801429</v>
                </pt>
                <pt idx="81">
                  <v>0.08239302325581394</v>
                </pt>
                <pt idx="82">
                  <v>0.08471211490486258</v>
                </pt>
                <pt idx="83">
                  <v>0.08548514545454547</v>
                </pt>
                <pt idx="84">
                  <v>0.0856138590909091</v>
                </pt>
                <pt idx="85">
                  <v>0.08185216097855633</v>
                </pt>
                <pt idx="86">
                  <v>0.08185216097855633</v>
                </pt>
                <pt idx="87">
                  <v>0.08332782467532468</v>
                </pt>
                <pt idx="88">
                  <v>0.08332782467532468</v>
                </pt>
                <pt idx="89">
                  <v>0.07822782467532469</v>
                </pt>
                <pt idx="90">
                  <v>0.07656455297361166</v>
                </pt>
                <pt idx="91">
                  <v>0.07479942528735632</v>
                </pt>
                <pt idx="92">
                  <v>0.07249825707046885</v>
                </pt>
                <pt idx="93">
                  <v>0.0711486881049516</v>
                </pt>
                <pt idx="94">
                  <v>0.0711486881049516</v>
                </pt>
                <pt idx="95">
                  <v>0.0692973762099032</v>
                </pt>
                <pt idx="96">
                  <v>0.06744606431485481</v>
                </pt>
                <pt idx="97">
                  <v>0.0745</v>
                </pt>
                <pt idx="98">
                  <v>0.077</v>
                </pt>
                <pt idx="99">
                  <v>0.077</v>
                </pt>
                <pt idx="100">
                  <v>0.0765</v>
                </pt>
                <pt idx="101">
                  <v>0.074</v>
                </pt>
                <pt idx="102">
                  <v>0.0745</v>
                </pt>
                <pt idx="103">
                  <v>0.0745</v>
                </pt>
                <pt idx="104">
                  <v>0.075</v>
                </pt>
                <pt idx="105">
                  <v>0.08413509001072469</v>
                </pt>
                <pt idx="106">
                  <v>0.08285771028037384</v>
                </pt>
                <pt idx="107">
                  <v>0.08285771028037384</v>
                </pt>
                <pt idx="108">
                  <v>0.08285771028037384</v>
                </pt>
                <pt idx="109">
                  <v>0.08280834386617307</v>
                </pt>
                <pt idx="110">
                  <v>0.0776191205794745</v>
                </pt>
                <pt idx="111">
                  <v>0.07529793459552496</v>
                </pt>
                <pt idx="112">
                  <v>0.07619173838209983</v>
                </pt>
                <pt idx="113">
                  <v>0.08190126717159847</v>
                </pt>
                <pt idx="114">
                  <v>0.08167685535607441</v>
                </pt>
                <pt idx="115">
                  <v>0.08122803172502632</v>
                </pt>
                <pt idx="116">
                  <v>0.08122803172502632</v>
                </pt>
                <pt idx="117">
                  <v>0.08069733415142749</v>
                </pt>
                <pt idx="118">
                  <v>0.07905</v>
                </pt>
                <pt idx="119">
                  <v>0.07652777777777778</v>
                </pt>
                <pt idx="120">
                  <v>0.07749583333333333</v>
                </pt>
                <pt idx="121">
                  <v>0.0803043073414835</v>
                </pt>
                <pt idx="122">
                  <v>0.080017229365934</v>
                </pt>
                <pt idx="123">
                  <v>0.08049911138380916</v>
                </pt>
                <pt idx="124">
                  <v>0.08079644553523666</v>
                </pt>
                <pt idx="125">
                  <v>0.08069733415142749</v>
                </pt>
                <pt idx="126">
                  <v>0.08079644553523666</v>
                </pt>
                <pt idx="127">
                  <v>0.08107205613063115</v>
                </pt>
                <pt idx="128">
                  <v>0.08060164149291099</v>
                </pt>
                <pt idx="129">
                  <v>0.08095805864137431</v>
                </pt>
                <pt idx="130">
                  <v>0.08189888791681464</v>
                </pt>
                <pt idx="131">
                  <v>0.0822</v>
                </pt>
                <pt idx="132">
                  <v>0.08150430734148351</v>
                </pt>
                <pt idx="133">
                  <v>0.0828</v>
                </pt>
                <pt idx="134">
                  <v>0.08311967263555875</v>
                </pt>
                <pt idx="135">
                  <v>0.0824703125</v>
                </pt>
                <pt idx="136">
                  <v>0.08110971949073595</v>
                </pt>
                <pt idx="137">
                  <v>0.08016457923610393</v>
                </pt>
                <pt idx="138">
                  <v>0.08016457923610393</v>
                </pt>
                <pt idx="139">
                  <v>0.08021943898147189</v>
                </pt>
                <pt idx="140">
                  <v>0.08107878312166267</v>
                </pt>
                <pt idx="141">
                  <v>0.08107878312166267</v>
                </pt>
                <pt idx="142">
                  <v>0.08193812726185346</v>
                </pt>
                <pt idx="143">
                  <v>0.08005485974536797</v>
                </pt>
                <pt idx="144">
                  <v>0.08101617275826364</v>
                </pt>
                <pt idx="145">
                  <v>0.08</v>
                </pt>
                <pt idx="146">
                  <v>0.07844482902418681</v>
                </pt>
                <pt idx="147">
                  <v>0.07698466666666667</v>
                </pt>
                <pt idx="148">
                  <v>0.07698466666666667</v>
                </pt>
                <pt idx="149">
                  <v>0.07634787711902968</v>
                </pt>
                <pt idx="150">
                  <v>0.07602948234521119</v>
                </pt>
                <pt idx="151">
                  <v>0.07634787711902968</v>
                </pt>
                <pt idx="152">
                  <v>0.07666627189284818</v>
                </pt>
                <pt idx="153">
                  <v>0.07571108757139269</v>
                </pt>
                <pt idx="154">
                  <v>0.07571108757139269</v>
                </pt>
                <pt idx="155">
                  <v>0.07393331567854453</v>
                </pt>
                <pt idx="156">
                  <v>0.07393331567854453</v>
                </pt>
                <pt idx="157">
                  <v>0.07215554378569634</v>
                </pt>
                <pt idx="158">
                  <v>0.07215554378569634</v>
                </pt>
                <pt idx="159">
                  <v>0.07692177721700606</v>
                </pt>
                <pt idx="160">
                  <v>0.07692177721700606</v>
                </pt>
                <pt idx="161">
                  <v>0.07692177721700606</v>
                </pt>
                <pt idx="162">
                  <v>0.07215554378569634</v>
                </pt>
                <pt idx="163">
                  <v>0.07037777189284816</v>
                </pt>
                <pt idx="164">
                  <v>0.06859999999999999</v>
                </pt>
                <pt idx="165">
                  <v>0.07571108757139269</v>
                </pt>
                <pt idx="166">
                  <v>0.07571108757139269</v>
                </pt>
                <pt idx="167">
                  <v>0.07571108757139269</v>
                </pt>
                <pt idx="168">
                  <v>0.06822359670781893</v>
                </pt>
                <pt idx="169">
                  <v>0.06822359670781893</v>
                </pt>
                <pt idx="170">
                  <v>0.06725902417695473</v>
                </pt>
                <pt idx="171">
                  <v>0.06758054835390946</v>
                </pt>
                <pt idx="172">
                  <v>0.06758054835390946</v>
                </pt>
                <pt idx="173">
                  <v>0.06790207253086419</v>
                </pt>
                <pt idx="174">
                  <v>0.07132429378569635</v>
                </pt>
                <pt idx="175">
                  <v>0.07298437499999999</v>
                </pt>
                <pt idx="176">
                  <v>0.075</v>
                </pt>
                <pt idx="177">
                  <v>0.066374375</v>
                </pt>
                <pt idx="178">
                  <v>0.06846874999999999</v>
                </pt>
                <pt idx="179">
                  <v>0.06846874999999999</v>
                </pt>
                <pt idx="180">
                  <v>0.06846874999999999</v>
                </pt>
                <pt idx="181">
                  <v>0.0669375</v>
                </pt>
                <pt idx="182">
                  <v>0.06904666666666667</v>
                </pt>
                <pt idx="183">
                  <v>0.066176875</v>
                </pt>
                <pt idx="184">
                  <v>0.06618666666666667</v>
                </pt>
                <pt idx="185">
                  <v>0.0661475</v>
                </pt>
                <pt idx="186">
                  <v>0.06615729166666667</v>
                </pt>
                <pt idx="187">
                  <v>0.06608542934782609</v>
                </pt>
                <pt idx="188">
                  <v>0.06606473913043479</v>
                </pt>
                <pt idx="189">
                  <v>0.06587022349780167</v>
                </pt>
                <pt idx="190">
                  <v>0.06508234769799945</v>
                </pt>
                <pt idx="191">
                  <v>0.06508234769799945</v>
                </pt>
              </numCache>
            </numRef>
          </val>
          <smooth val="0"/>
        </ser>
        <ser>
          <idx val="3"/>
          <order val="3"/>
          <tx>
            <strRef>
              <f>'SSA Charts'!$L$2</f>
              <strCache>
                <ptCount val="1"/>
                <pt idx="0">
                  <v>Average Cap Rate (ttm)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ot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'SSA Charts'!$B$3:$B$194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Charts'!$L$3:$L$194</f>
              <numCache>
                <formatCode>0.00%</formatCode>
                <ptCount val="192"/>
                <pt idx="0">
                  <v>0.08234060206883116</v>
                </pt>
                <pt idx="1">
                  <v>0.08127902812085601</v>
                </pt>
                <pt idx="2">
                  <v>0.08127919029313978</v>
                </pt>
                <pt idx="3">
                  <v>0.08170465769485875</v>
                </pt>
                <pt idx="4">
                  <v>0.08006346833390408</v>
                </pt>
                <pt idx="5">
                  <v>0.07639103028369418</v>
                </pt>
                <pt idx="6">
                  <v>0.0768632243405704</v>
                </pt>
                <pt idx="7">
                  <v>0.07624108743370804</v>
                </pt>
                <pt idx="8">
                  <v>0.07445193248664055</v>
                </pt>
                <pt idx="9">
                  <v>0.07512307571577513</v>
                </pt>
                <pt idx="10">
                  <v>0.07591067830042721</v>
                </pt>
                <pt idx="11">
                  <v>0.07394546462282077</v>
                </pt>
                <pt idx="12">
                  <v>0.07547220958974864</v>
                </pt>
                <pt idx="13">
                  <v>0.07749076125615383</v>
                </pt>
                <pt idx="14">
                  <v>0.07641115111652962</v>
                </pt>
                <pt idx="15">
                  <v>0.07643157728522193</v>
                </pt>
                <pt idx="16">
                  <v>0.07564183010288289</v>
                </pt>
                <pt idx="17">
                  <v>0.07723156253178308</v>
                </pt>
                <pt idx="18">
                  <v>0.07633073904449345</v>
                </pt>
                <pt idx="19">
                  <v>0.07815056885025862</v>
                </pt>
                <pt idx="20">
                  <v>0.0827833124583672</v>
                </pt>
                <pt idx="21">
                  <v>0.08088435220678897</v>
                </pt>
                <pt idx="22">
                  <v>0.08093229317898672</v>
                </pt>
                <pt idx="23">
                  <v>0.08147088967021479</v>
                </pt>
                <pt idx="24">
                  <v>0.07897759335103396</v>
                </pt>
                <pt idx="25">
                  <v>0.07956277850446503</v>
                </pt>
                <pt idx="26">
                  <v>0.07959447177610771</v>
                </pt>
                <pt idx="27">
                  <v>0.07850676096555194</v>
                </pt>
                <pt idx="28">
                  <v>0.07856590478901083</v>
                </pt>
                <pt idx="29">
                  <v>0.07674326618206784</v>
                </pt>
                <pt idx="30">
                  <v>0.07803455114551475</v>
                </pt>
                <pt idx="31">
                  <v>0.08027049275629826</v>
                </pt>
                <pt idx="32">
                  <v>0.07984296291621558</v>
                </pt>
                <pt idx="33">
                  <v>0.08266478333007282</v>
                </pt>
                <pt idx="34">
                  <v>0.08216287033845471</v>
                </pt>
                <pt idx="35">
                  <v>0.08167493174196347</v>
                </pt>
                <pt idx="36">
                  <v>0.08281708008815379</v>
                </pt>
                <pt idx="37">
                  <v>0.08564066220546841</v>
                </pt>
                <pt idx="38">
                  <v>0.08564066220546841</v>
                </pt>
                <pt idx="39">
                  <v>0.08473346794690723</v>
                </pt>
                <pt idx="40">
                  <v>0.08429900334259215</v>
                </pt>
                <pt idx="41">
                  <v>0.08489523721714455</v>
                </pt>
                <pt idx="42">
                  <v>0.08966532316509677</v>
                </pt>
                <pt idx="43">
                  <v>0.08939532623413261</v>
                </pt>
                <pt idx="44">
                  <v>0.08941312453683871</v>
                </pt>
                <pt idx="45">
                  <v>0.08802025135191595</v>
                </pt>
                <pt idx="46">
                  <v>0.0904698260057455</v>
                </pt>
                <pt idx="47">
                  <v>0.09008646592013822</v>
                </pt>
                <pt idx="48">
                  <v>0.09117810875466352</v>
                </pt>
                <pt idx="49">
                  <v>0.08916655566111988</v>
                </pt>
                <pt idx="50">
                  <v>0.08916655566111988</v>
                </pt>
                <pt idx="51">
                  <v>0.09049805859065249</v>
                </pt>
                <pt idx="52">
                  <v>0.09288814878354078</v>
                </pt>
                <pt idx="53">
                  <v>0.09581851947331482</v>
                </pt>
                <pt idx="54">
                  <v>0.09014996005617811</v>
                </pt>
                <pt idx="55">
                  <v>0.08956821249818053</v>
                </pt>
                <pt idx="56">
                  <v>0.0912173159579891</v>
                </pt>
                <pt idx="57">
                  <v>0.0932931470646978</v>
                </pt>
                <pt idx="58">
                  <v>0.08914321079817669</v>
                </pt>
                <pt idx="59">
                  <v>0.08845578890300523</v>
                </pt>
                <pt idx="60">
                  <v>0.08882953767351794</v>
                </pt>
                <pt idx="61">
                  <v>0.08960722540262042</v>
                </pt>
                <pt idx="62">
                  <v>0.08960722540262042</v>
                </pt>
                <pt idx="63">
                  <v>0.08944110118728511</v>
                </pt>
                <pt idx="64">
                  <v>0.08744826264185698</v>
                </pt>
                <pt idx="65">
                  <v>0.08702616310032454</v>
                </pt>
                <pt idx="66">
                  <v>0.08702616310032454</v>
                </pt>
                <pt idx="67">
                  <v>0.0907459772876688</v>
                </pt>
                <pt idx="68">
                  <v>0.09106315046531237</v>
                </pt>
                <pt idx="69">
                  <v>0.08953303698579135</v>
                </pt>
                <pt idx="70">
                  <v>0.0906366653026288</v>
                </pt>
                <pt idx="71">
                  <v>0.0924537484654574</v>
                </pt>
                <pt idx="72">
                  <v>0.09269084536219112</v>
                </pt>
                <pt idx="73">
                  <v>0.09360755875861479</v>
                </pt>
                <pt idx="74">
                  <v>0.09326912487094524</v>
                </pt>
                <pt idx="75">
                  <v>0.09238932857470876</v>
                </pt>
                <pt idx="76">
                  <v>0.09166297433760622</v>
                </pt>
                <pt idx="77">
                  <v>0.09243296507941555</v>
                </pt>
                <pt idx="78">
                  <v>0.09298688409755876</v>
                </pt>
                <pt idx="79">
                  <v>0.09197627958411224</v>
                </pt>
                <pt idx="80">
                  <v>0.09060233321634714</v>
                </pt>
                <pt idx="81">
                  <v>0.09110380178939478</v>
                </pt>
                <pt idx="82">
                  <v>0.09136128580711346</v>
                </pt>
                <pt idx="83">
                  <v>0.09174390348433681</v>
                </pt>
                <pt idx="84">
                  <v>0.09173316019693266</v>
                </pt>
                <pt idx="85">
                  <v>0.08894071676256438</v>
                </pt>
                <pt idx="86">
                  <v>0.08939751620597811</v>
                </pt>
                <pt idx="87">
                  <v>0.08982659791375225</v>
                </pt>
                <pt idx="88">
                  <v>0.09002326915052111</v>
                </pt>
                <pt idx="89">
                  <v>0.08964179855609525</v>
                </pt>
                <pt idx="90">
                  <v>0.0877457000056525</v>
                </pt>
                <pt idx="91">
                  <v>0.08362363629376998</v>
                </pt>
                <pt idx="92">
                  <v>0.08396172241449473</v>
                </pt>
                <pt idx="93">
                  <v>0.08230855356338876</v>
                </pt>
                <pt idx="94">
                  <v>0.08276919152309743</v>
                </pt>
                <pt idx="95">
                  <v>0.08182210697968093</v>
                </pt>
                <pt idx="96">
                  <v>0.08136652278823715</v>
                </pt>
                <pt idx="97">
                  <v>0.08556904273783469</v>
                </pt>
                <pt idx="98">
                  <v>0.08836578192225987</v>
                </pt>
                <pt idx="99">
                  <v>0.08858006763654558</v>
                </pt>
                <pt idx="100">
                  <v>0.08856504094865818</v>
                </pt>
                <pt idx="101">
                  <v>0.08654794045120921</v>
                </pt>
                <pt idx="102">
                  <v>0.08735563275890154</v>
                </pt>
                <pt idx="103">
                  <v>0.08746700294558268</v>
                </pt>
                <pt idx="104">
                  <v>0.08789493637733926</v>
                </pt>
                <pt idx="105">
                  <v>0.08996041778510959</v>
                </pt>
                <pt idx="106">
                  <v>0.09002697839402606</v>
                </pt>
                <pt idx="107">
                  <v>0.09002697839402606</v>
                </pt>
                <pt idx="108">
                  <v>0.08936481780067039</v>
                </pt>
                <pt idx="109">
                  <v>0.08831004047593413</v>
                </pt>
                <pt idx="110">
                  <v>0.08530751903262943</v>
                </pt>
                <pt idx="111">
                  <v>0.0845932333183437</v>
                </pt>
                <pt idx="112">
                  <v>0.08440065150521829</v>
                </pt>
                <pt idx="113">
                  <v>0.08788003793685494</v>
                </pt>
                <pt idx="114">
                  <v>0.08771582940721571</v>
                </pt>
                <pt idx="115">
                  <v>0.08717146611619375</v>
                </pt>
                <pt idx="116">
                  <v>0.08715212696518167</v>
                </pt>
                <pt idx="117">
                  <v>0.08722209878533642</v>
                </pt>
                <pt idx="118">
                  <v>0.08624473556122651</v>
                </pt>
                <pt idx="119">
                  <v>0.08559693837566326</v>
                </pt>
                <pt idx="120">
                  <v>0.08642353090345091</v>
                </pt>
                <pt idx="121">
                  <v>0.08748240301322985</v>
                </pt>
                <pt idx="122">
                  <v>0.08632164545522825</v>
                </pt>
                <pt idx="123">
                  <v>0.08772918134114323</v>
                </pt>
                <pt idx="124">
                  <v>0.08872048555540261</v>
                </pt>
                <pt idx="125">
                  <v>0.08725323489883002</v>
                </pt>
                <pt idx="126">
                  <v>0.08709763000851926</v>
                </pt>
                <pt idx="127">
                  <v>0.08727416162906765</v>
                </pt>
                <pt idx="128">
                  <v>0.08701561710151372</v>
                </pt>
                <pt idx="129">
                  <v>0.0872643839641648</v>
                </pt>
                <pt idx="130">
                  <v>0.08726208977472588</v>
                </pt>
                <pt idx="131">
                  <v>0.08927174875279513</v>
                </pt>
                <pt idx="132">
                  <v>0.08869196219417526</v>
                </pt>
                <pt idx="133">
                  <v>0.09297810077590232</v>
                </pt>
                <pt idx="134">
                  <v>0.09294217805849397</v>
                </pt>
                <pt idx="135">
                  <v>0.09169645880137492</v>
                </pt>
                <pt idx="136">
                  <v>0.09168753159896627</v>
                </pt>
                <pt idx="137">
                  <v>0.09134104666752478</v>
                </pt>
                <pt idx="138">
                  <v>0.0929990100426662</v>
                </pt>
                <pt idx="139">
                  <v>0.0941258010675875</v>
                </pt>
                <pt idx="140">
                  <v>0.09503491704875583</v>
                </pt>
                <pt idx="141">
                  <v>0.09503491704875583</v>
                </pt>
                <pt idx="142">
                  <v>0.0952891144111316</v>
                </pt>
                <pt idx="143">
                  <v>0.09312179096304428</v>
                </pt>
                <pt idx="144">
                  <v>0.09447039166010934</v>
                </pt>
                <pt idx="145">
                  <v>0.08663672860590282</v>
                </pt>
                <pt idx="146">
                  <v>0.08678544305451373</v>
                </pt>
                <pt idx="147">
                  <v>0.08544490421522524</v>
                </pt>
                <pt idx="148">
                  <v>0.08544490421522524</v>
                </pt>
                <pt idx="149">
                  <v>0.08623317781323668</v>
                </pt>
                <pt idx="150">
                  <v>0.08002780021126341</v>
                </pt>
                <pt idx="151">
                  <v>0.08038097160965434</v>
                </pt>
                <pt idx="152">
                  <v>0.08158335015844755</v>
                </pt>
                <pt idx="153">
                  <v>0.07969778888389731</v>
                </pt>
                <pt idx="154">
                  <v>0.07745702465611974</v>
                </pt>
                <pt idx="155">
                  <v>0.07767526679171062</v>
                </pt>
                <pt idx="156">
                  <v>0.07807301325591255</v>
                </pt>
                <pt idx="157">
                  <v>0.07779772943532862</v>
                </pt>
                <pt idx="158">
                  <v>0.07779772943532862</v>
                </pt>
                <pt idx="159">
                  <v>0.08030477602045252</v>
                </pt>
                <pt idx="160">
                  <v>0.08030477602045252</v>
                </pt>
                <pt idx="161">
                  <v>0.08047814739389041</v>
                </pt>
                <pt idx="162">
                  <v>0.07894632855813148</v>
                </pt>
                <pt idx="163">
                  <v>0.07843866120929312</v>
                </pt>
                <pt idx="164">
                  <v>0.07651177141084198</v>
                </pt>
                <pt idx="165">
                  <v>0.07891177141084198</v>
                </pt>
                <pt idx="166">
                  <v>0.07891177141084198</v>
                </pt>
                <pt idx="167">
                  <v>0.07891177141084198</v>
                </pt>
                <pt idx="168">
                  <v>0.07536691917871916</v>
                </pt>
                <pt idx="169">
                  <v>0.07536691917871916</v>
                </pt>
                <pt idx="170">
                  <v>0.07416271643890214</v>
                </pt>
                <pt idx="171">
                  <v>0.07543891828969827</v>
                </pt>
                <pt idx="172">
                  <v>0.07543891828969827</v>
                </pt>
                <pt idx="173">
                  <v>0.07527075724447446</v>
                </pt>
                <pt idx="174">
                  <v>0.07627749446399668</v>
                </pt>
                <pt idx="175">
                  <v>0.07611780765599709</v>
                </pt>
                <pt idx="176">
                  <v>0.07666612142521378</v>
                </pt>
                <pt idx="177">
                  <v>0.07336181719221979</v>
                </pt>
                <pt idx="178">
                  <v>0.07787028687079141</v>
                </pt>
                <pt idx="179">
                  <v>0.07787028687079141</v>
                </pt>
                <pt idx="180">
                  <v>0.07796873801359473</v>
                </pt>
                <pt idx="181">
                  <v>0.07780051743219663</v>
                </pt>
                <pt idx="182">
                  <v>0.07847945602170892</v>
                </pt>
                <pt idx="183">
                  <v>0.07660185499523969</v>
                </pt>
                <pt idx="184">
                  <v>0.07644880470140207</v>
                </pt>
                <pt idx="185">
                  <v>0.07559601767742803</v>
                </pt>
                <pt idx="186">
                  <v>0.07606290558423759</v>
                </pt>
                <pt idx="187">
                  <v>0.07508323345309004</v>
                </pt>
                <pt idx="188">
                  <v>0.07473209238686315</v>
                </pt>
                <pt idx="189">
                  <v>0.07750193283749926</v>
                </pt>
                <pt idx="190">
                  <v>0.07280928614228156</v>
                </pt>
                <pt idx="191">
                  <v>0.07280928614228156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</a:ln>
          </spPr>
        </hiLowLines>
        <axId val="77086592"/>
        <axId val="77080768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77086592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77080768"/>
        <crosses val="autoZero"/>
        <lblOffset val="100"/>
        <baseTimeUnit val="days"/>
      </dateAx>
      <valAx>
        <axId val="77080768"/>
        <scaling>
          <orientation val="minMax"/>
          <min val="0.04000000000000001"/>
        </scaling>
        <delete val="0"/>
        <axPos val="l"/>
        <numFmt formatCode="0.0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70865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786687154055492"/>
          <y val="0.9245824233802836"/>
          <w val="0.5224706404603765"/>
          <h val="0.04048073231633287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284212058930969"/>
          <y val="0.02441997990991867"/>
          <w val="0.9068201381352258"/>
          <h val="0.6664494081645626"/>
        </manualLayout>
      </layout>
      <lineChart>
        <grouping val="standard"/>
        <varyColors val="0"/>
        <ser>
          <idx val="0"/>
          <order val="0"/>
          <tx>
            <strRef>
              <f>'SSA Charts'!$M$2</f>
              <strCache>
                <ptCount val="1"/>
                <pt idx="0">
                  <v>SJC Average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'SSA Charts'!$C$3:$C$42</f>
              <numCache>
                <formatCode>[$-409]mmm\-yy;@</formatCode>
                <ptCount val="40"/>
                <pt idx="0">
                  <v>44926</v>
                </pt>
                <pt idx="1">
                  <v>44895</v>
                </pt>
                <pt idx="2">
                  <v>44865</v>
                </pt>
                <pt idx="3">
                  <v>44834</v>
                </pt>
                <pt idx="4">
                  <v>44804</v>
                </pt>
                <pt idx="5">
                  <v>44773</v>
                </pt>
                <pt idx="6">
                  <v>44742</v>
                </pt>
                <pt idx="7">
                  <v>44712</v>
                </pt>
                <pt idx="8">
                  <v>44681</v>
                </pt>
                <pt idx="9">
                  <v>44651</v>
                </pt>
                <pt idx="10">
                  <v>44620</v>
                </pt>
                <pt idx="11">
                  <v>44592</v>
                </pt>
                <pt idx="12">
                  <v>44561</v>
                </pt>
                <pt idx="13">
                  <v>44530</v>
                </pt>
                <pt idx="14">
                  <v>44500</v>
                </pt>
                <pt idx="15">
                  <v>44469</v>
                </pt>
                <pt idx="16">
                  <v>44439</v>
                </pt>
                <pt idx="17">
                  <v>44408</v>
                </pt>
                <pt idx="18">
                  <v>44377</v>
                </pt>
                <pt idx="19">
                  <v>44347</v>
                </pt>
                <pt idx="20">
                  <v>44316</v>
                </pt>
                <pt idx="21">
                  <v>44286</v>
                </pt>
                <pt idx="22">
                  <v>44255</v>
                </pt>
                <pt idx="23">
                  <v>44227</v>
                </pt>
                <pt idx="24">
                  <v>44196</v>
                </pt>
                <pt idx="25">
                  <v>44165</v>
                </pt>
                <pt idx="26">
                  <v>44135</v>
                </pt>
                <pt idx="27">
                  <v>44104</v>
                </pt>
                <pt idx="28">
                  <v>44074</v>
                </pt>
                <pt idx="29">
                  <v>44043</v>
                </pt>
                <pt idx="30">
                  <v>44012</v>
                </pt>
                <pt idx="31">
                  <v>43982</v>
                </pt>
                <pt idx="32">
                  <v>43951</v>
                </pt>
                <pt idx="33">
                  <v>43921</v>
                </pt>
                <pt idx="34">
                  <v>43890</v>
                </pt>
                <pt idx="35">
                  <v>43861</v>
                </pt>
                <pt idx="36">
                  <v>43830</v>
                </pt>
                <pt idx="37">
                  <v>43799</v>
                </pt>
                <pt idx="38">
                  <v>43769</v>
                </pt>
                <pt idx="39">
                  <v>43738</v>
                </pt>
              </numCache>
            </numRef>
          </cat>
          <val>
            <numRef>
              <f>'SSA Charts'!$M$3:$M$42</f>
              <numCache>
                <formatCode>0.00%</formatCode>
                <ptCount val="40"/>
                <pt idx="0">
                  <v>0.08163333360493158</v>
                </pt>
                <pt idx="1">
                  <v>0.07818333360493157</v>
                </pt>
                <pt idx="2">
                  <v>0.07388333360493157</v>
                </pt>
                <pt idx="3">
                  <v>0.07388333360493157</v>
                </pt>
                <pt idx="4">
                  <v>0.06590000040739735</v>
                </pt>
                <pt idx="5">
                  <v>0.0657576759008824</v>
                </pt>
                <pt idx="6">
                  <v>0.06654100923421574</v>
                </pt>
                <pt idx="7">
                  <v>0.06789100896261749</v>
                </pt>
                <pt idx="8">
                  <v>0.06789100896261749</v>
                </pt>
                <pt idx="9">
                  <v>0.06789100896261749</v>
                </pt>
                <pt idx="10">
                  <v>0.07042721767035923</v>
                </pt>
                <pt idx="11">
                  <v>0.07042721767035923</v>
                </pt>
                <pt idx="12">
                  <v>0.06943835708987386</v>
                </pt>
                <pt idx="13">
                  <v>0.07309508361093092</v>
                </pt>
                <pt idx="14">
                  <v>0.07451410033311712</v>
                </pt>
                <pt idx="15">
                  <v>0.07451410033311712</v>
                </pt>
                <pt idx="16">
                  <v>0.07534177111093093</v>
                </pt>
                <pt idx="17">
                  <v>0.07653793329628886</v>
                </pt>
                <pt idx="18">
                  <v>0.07730689994443328</v>
                </pt>
                <pt idx="19">
                  <v>0.07818304993517217</v>
                </pt>
                <pt idx="20">
                  <v>0.0786211249305416</v>
                </pt>
                <pt idx="21">
                  <v>0.07884016242822632</v>
                </pt>
                <pt idx="22">
                  <v>0.07843509907760957</v>
                </pt>
                <pt idx="23">
                  <v>0.0782325674023012</v>
                </pt>
                <pt idx="24">
                  <v>0.07883099400520466</v>
                </pt>
                <pt idx="25">
                  <v>0.07924220533593565</v>
                </pt>
                <pt idx="26">
                  <v>0.07944781100130116</v>
                </pt>
                <pt idx="27">
                  <v>0.0795506138339839</v>
                </pt>
                <pt idx="28">
                  <v>0.07852530691699194</v>
                </pt>
                <pt idx="29">
                  <v>0.07926265345849598</v>
                </pt>
                <pt idx="30">
                  <v>0.079631326729248</v>
                </pt>
                <pt idx="31">
                  <v>0.079631326729248</v>
                </pt>
                <pt idx="32">
                  <v>0.07846566336462399</v>
                </pt>
                <pt idx="33">
                  <v>0.077882831682312</v>
                </pt>
                <pt idx="34">
                  <v>0.077591415841156</v>
                </pt>
                <pt idx="35">
                  <v>0.07744570792057801</v>
                </pt>
                <pt idx="36">
                  <v>0.07737285396028901</v>
                </pt>
                <pt idx="37">
                  <v>0.07733642698014451</v>
                </pt>
                <pt idx="38">
                  <v>0.07731821349007226</v>
                </pt>
                <pt idx="39">
                  <v>0.07730910674503613</v>
                </pt>
              </numCache>
            </numRef>
          </val>
          <smooth val="0"/>
        </ser>
        <ser>
          <idx val="1"/>
          <order val="1"/>
          <tx>
            <strRef>
              <f>'SSA Charts'!$N$2</f>
              <strCache>
                <ptCount val="1"/>
                <pt idx="0">
                  <v>Non-SJC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66666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'SSA Charts'!$C$3:$C$42</f>
              <numCache>
                <formatCode>[$-409]mmm\-yy;@</formatCode>
                <ptCount val="40"/>
                <pt idx="0">
                  <v>44926</v>
                </pt>
                <pt idx="1">
                  <v>44895</v>
                </pt>
                <pt idx="2">
                  <v>44865</v>
                </pt>
                <pt idx="3">
                  <v>44834</v>
                </pt>
                <pt idx="4">
                  <v>44804</v>
                </pt>
                <pt idx="5">
                  <v>44773</v>
                </pt>
                <pt idx="6">
                  <v>44742</v>
                </pt>
                <pt idx="7">
                  <v>44712</v>
                </pt>
                <pt idx="8">
                  <v>44681</v>
                </pt>
                <pt idx="9">
                  <v>44651</v>
                </pt>
                <pt idx="10">
                  <v>44620</v>
                </pt>
                <pt idx="11">
                  <v>44592</v>
                </pt>
                <pt idx="12">
                  <v>44561</v>
                </pt>
                <pt idx="13">
                  <v>44530</v>
                </pt>
                <pt idx="14">
                  <v>44500</v>
                </pt>
                <pt idx="15">
                  <v>44469</v>
                </pt>
                <pt idx="16">
                  <v>44439</v>
                </pt>
                <pt idx="17">
                  <v>44408</v>
                </pt>
                <pt idx="18">
                  <v>44377</v>
                </pt>
                <pt idx="19">
                  <v>44347</v>
                </pt>
                <pt idx="20">
                  <v>44316</v>
                </pt>
                <pt idx="21">
                  <v>44286</v>
                </pt>
                <pt idx="22">
                  <v>44255</v>
                </pt>
                <pt idx="23">
                  <v>44227</v>
                </pt>
                <pt idx="24">
                  <v>44196</v>
                </pt>
                <pt idx="25">
                  <v>44165</v>
                </pt>
                <pt idx="26">
                  <v>44135</v>
                </pt>
                <pt idx="27">
                  <v>44104</v>
                </pt>
                <pt idx="28">
                  <v>44074</v>
                </pt>
                <pt idx="29">
                  <v>44043</v>
                </pt>
                <pt idx="30">
                  <v>44012</v>
                </pt>
                <pt idx="31">
                  <v>43982</v>
                </pt>
                <pt idx="32">
                  <v>43951</v>
                </pt>
                <pt idx="33">
                  <v>43921</v>
                </pt>
                <pt idx="34">
                  <v>43890</v>
                </pt>
                <pt idx="35">
                  <v>43861</v>
                </pt>
                <pt idx="36">
                  <v>43830</v>
                </pt>
                <pt idx="37">
                  <v>43799</v>
                </pt>
                <pt idx="38">
                  <v>43769</v>
                </pt>
                <pt idx="39">
                  <v>43738</v>
                </pt>
              </numCache>
            </numRef>
          </cat>
          <val>
            <numRef>
              <f>'SSA Charts'!$N$3:$N$42</f>
              <numCache>
                <formatCode>0.00%</formatCode>
                <ptCount val="40"/>
                <pt idx="0">
                  <v>0.08264784750701393</v>
                </pt>
                <pt idx="1">
                  <v>0.08300722864175034</v>
                </pt>
                <pt idx="2">
                  <v>0.08418016968703347</v>
                </pt>
                <pt idx="3">
                  <v>0.08460899762867154</v>
                </pt>
                <pt idx="4">
                  <v>0.08391110581649988</v>
                </pt>
                <pt idx="5">
                  <v>0.08051515516915929</v>
                </pt>
                <pt idx="6">
                  <v>0.0817765746677787</v>
                </pt>
                <pt idx="7">
                  <v>0.0804873359968607</v>
                </pt>
                <pt idx="8">
                  <v>0.07806899411145647</v>
                </pt>
                <pt idx="9">
                  <v>0.07933921783778392</v>
                </pt>
                <pt idx="10">
                  <v>0.07999391895957879</v>
                </pt>
                <pt idx="11">
                  <v>0.07705701367916473</v>
                </pt>
                <pt idx="12">
                  <v>0.07990577353893688</v>
                </pt>
                <pt idx="13">
                  <v>0.08063357917603255</v>
                </pt>
                <pt idx="14">
                  <v>0.07780096702181313</v>
                </pt>
                <pt idx="15">
                  <v>0.07792357979624744</v>
                </pt>
                <pt idx="16">
                  <v>0.07629824452533615</v>
                </pt>
                <pt idx="17">
                  <v>0.07776212412399836</v>
                </pt>
                <pt idx="18">
                  <v>0.07621359431277829</v>
                </pt>
                <pt idx="19">
                  <v>0.07773120066149594</v>
                </pt>
                <pt idx="20">
                  <v>0.08427295747134968</v>
                </pt>
                <pt idx="21">
                  <v>0.08152852360004</v>
                </pt>
                <pt idx="22">
                  <v>0.0818392486327348</v>
                </pt>
                <pt idx="23">
                  <v>0.08254615652747163</v>
                </pt>
                <pt idx="24">
                  <v>0.08043243254977646</v>
                </pt>
                <pt idx="25">
                  <v>0.0811501539341527</v>
                </pt>
                <pt idx="26">
                  <v>0.08141767034479153</v>
                </pt>
                <pt idx="27">
                  <v>0.08013552532857891</v>
                </pt>
                <pt idx="28">
                  <v>0.08062781688317816</v>
                </pt>
                <pt idx="29">
                  <v>0.07875304771087829</v>
                </pt>
                <pt idx="30">
                  <v>0.08049692009118298</v>
                </pt>
                <pt idx="31">
                  <v>0.08283370131428087</v>
                </pt>
                <pt idx="32">
                  <v>0.08195538563230977</v>
                </pt>
                <pt idx="33">
                  <v>0.08522275663782868</v>
                </pt>
                <pt idx="34">
                  <v>0.08440552528476457</v>
                </pt>
                <pt idx="35">
                  <v>0.08384788117448887</v>
                </pt>
                <pt idx="36">
                  <v>0.08373226918707688</v>
                </pt>
                <pt idx="37">
                  <v>0.08686834432027493</v>
                </pt>
                <pt idx="38">
                  <v>0.08686834432027493</v>
                </pt>
                <pt idx="39">
                  <v>0.08582287412389879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9525" cap="flat" cmpd="sng" algn="ctr">
              <a:solidFill>
                <a:srgbClr val="666666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58704"/>
        <crosses val="autoZero"/>
        <lblOffset val="100"/>
        <baseTimeUnit val="months"/>
        <majorUnit val="1"/>
        <majorTimeUnit val="months"/>
      </dateAx>
      <valAx>
        <axId val="696758704"/>
        <scaling>
          <orientation val="minMax"/>
          <max val="0.08500000000000002"/>
          <min val="0.06000000000000001"/>
        </scaling>
        <delete val="0"/>
        <axPos val="l"/>
        <majorGridlines>
          <spPr>
            <a:ln xmlns:a="http://schemas.openxmlformats.org/drawingml/2006/main" w="317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967662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3175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05610617704234079"/>
          <y val="0"/>
          <w val="0.9923528849582952"/>
          <h val="0.9371964132723265"/>
        </manualLayout>
      </layout>
      <lineChart>
        <grouping val="standard"/>
        <varyColors val="0"/>
        <ser>
          <idx val="0"/>
          <order val="0"/>
          <tx>
            <strRef>
              <f>'All Charts'!$M$2</f>
              <strCache>
                <ptCount val="1"/>
                <pt idx="0">
                  <v>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Charts'!$C$39:$C$74</f>
              <numCache>
                <formatCode>[$-409]mmm\-yy;@</formatCode>
                <ptCount val="36"/>
                <pt idx="0">
                  <v>44742</v>
                </pt>
                <pt idx="1">
                  <v>44712</v>
                </pt>
                <pt idx="2">
                  <v>44681</v>
                </pt>
                <pt idx="3">
                  <v>44651</v>
                </pt>
                <pt idx="4">
                  <v>44620</v>
                </pt>
                <pt idx="5">
                  <v>44592</v>
                </pt>
                <pt idx="6">
                  <v>44561</v>
                </pt>
                <pt idx="7">
                  <v>44530</v>
                </pt>
                <pt idx="8">
                  <v>44500</v>
                </pt>
                <pt idx="9">
                  <v>44469</v>
                </pt>
                <pt idx="10">
                  <v>44439</v>
                </pt>
                <pt idx="11">
                  <v>44408</v>
                </pt>
                <pt idx="12">
                  <v>44377</v>
                </pt>
                <pt idx="13">
                  <v>44347</v>
                </pt>
                <pt idx="14">
                  <v>44316</v>
                </pt>
                <pt idx="15">
                  <v>44286</v>
                </pt>
                <pt idx="16">
                  <v>44255</v>
                </pt>
                <pt idx="17">
                  <v>44227</v>
                </pt>
                <pt idx="18">
                  <v>44196</v>
                </pt>
                <pt idx="19">
                  <v>44165</v>
                </pt>
                <pt idx="20">
                  <v>44135</v>
                </pt>
                <pt idx="21">
                  <v>44104</v>
                </pt>
                <pt idx="22">
                  <v>44074</v>
                </pt>
                <pt idx="23">
                  <v>44043</v>
                </pt>
                <pt idx="24">
                  <v>44012</v>
                </pt>
                <pt idx="25">
                  <v>43982</v>
                </pt>
                <pt idx="26">
                  <v>43951</v>
                </pt>
                <pt idx="27">
                  <v>43921</v>
                </pt>
                <pt idx="28">
                  <v>43890</v>
                </pt>
                <pt idx="29">
                  <v>43861</v>
                </pt>
                <pt idx="30">
                  <v>43830</v>
                </pt>
                <pt idx="31">
                  <v>43799</v>
                </pt>
                <pt idx="32">
                  <v>43769</v>
                </pt>
                <pt idx="33">
                  <v>43738</v>
                </pt>
                <pt idx="34">
                  <v>43708</v>
                </pt>
                <pt idx="35">
                  <v>43677</v>
                </pt>
              </numCache>
            </numRef>
          </cat>
          <val>
            <numRef>
              <f>'All Charts'!$M$39:$M$74</f>
              <numCache>
                <formatCode>0.00%</formatCode>
                <ptCount val="36"/>
                <pt idx="0">
                  <v>0.06644363882774987</v>
                </pt>
                <pt idx="1">
                  <v>0.06734421146029587</v>
                </pt>
                <pt idx="2">
                  <v>0.06712439334697898</v>
                </pt>
                <pt idx="3">
                  <v>0.06807494034450184</v>
                </pt>
                <pt idx="4">
                  <v>0.06933633039564085</v>
                </pt>
                <pt idx="5">
                  <v>0.06894434983067854</v>
                </pt>
                <pt idx="6">
                  <v>0.06711942968199459</v>
                </pt>
                <pt idx="7">
                  <v>0.06757124479630085</v>
                </pt>
                <pt idx="8">
                  <v>0.07051824505093172</v>
                </pt>
                <pt idx="9">
                  <v>0.07010884562303352</v>
                </pt>
                <pt idx="10">
                  <v>0.07071108059594511</v>
                </pt>
                <pt idx="11">
                  <v>0.06995924061751439</v>
                </pt>
                <pt idx="12">
                  <v>0.07080127858663868</v>
                </pt>
                <pt idx="13">
                  <v>0.07276635194589948</v>
                </pt>
                <pt idx="14">
                  <v>0.07409817120951519</v>
                </pt>
                <pt idx="15">
                  <v>0.07365307902623969</v>
                </pt>
                <pt idx="16">
                  <v>0.07303237656187131</v>
                </pt>
                <pt idx="17">
                  <v>0.07348057786398957</v>
                </pt>
                <pt idx="18">
                  <v>0.07461189908433002</v>
                </pt>
                <pt idx="19">
                  <v>0.07618429184747474</v>
                </pt>
                <pt idx="20">
                  <v>0.07554143581974287</v>
                </pt>
                <pt idx="21">
                  <v>0.07739260913290689</v>
                </pt>
                <pt idx="22">
                  <v>0.07619658413290689</v>
                </pt>
                <pt idx="23">
                  <v>0.07723371712156063</v>
                </pt>
                <pt idx="24">
                  <v>0.07211999979255863</v>
                </pt>
                <pt idx="25">
                  <v>0.07124444421395404</v>
                </pt>
                <pt idx="26">
                  <v>0.07023941750504267</v>
                </pt>
                <pt idx="27">
                  <v>0.07023941750504267</v>
                </pt>
                <pt idx="28">
                  <v>0.07023941750504267</v>
                </pt>
                <pt idx="29">
                  <v>0.06955746832036311</v>
                </pt>
                <pt idx="30">
                  <v>0.06955746832036311</v>
                </pt>
                <pt idx="31">
                  <v>0.07206857943147421</v>
                </pt>
                <pt idx="32">
                  <v>0.07278286434546966</v>
                </pt>
                <pt idx="33">
                  <v>0.07201260991820098</v>
                </pt>
                <pt idx="34">
                  <v>0.07201387091002108</v>
                </pt>
                <pt idx="35">
                  <v>0.07272638166338033</v>
                </pt>
              </numCache>
            </numRef>
          </val>
          <smooth val="0"/>
        </ser>
        <ser>
          <idx val="1"/>
          <order val="1"/>
          <tx>
            <strRef>
              <f>'All Charts'!$N$2</f>
              <strCache>
                <ptCount val="1"/>
                <pt idx="0">
                  <v>Non-NM Average Cap (ttm)</v>
                </pt>
              </strCache>
            </strRef>
          </tx>
          <spPr>
            <a:ln xmlns:a="http://schemas.openxmlformats.org/drawingml/2006/main" w="28575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'All Charts'!$C$39:$C$74</f>
              <numCache>
                <formatCode>[$-409]mmm\-yy;@</formatCode>
                <ptCount val="36"/>
                <pt idx="0">
                  <v>44742</v>
                </pt>
                <pt idx="1">
                  <v>44712</v>
                </pt>
                <pt idx="2">
                  <v>44681</v>
                </pt>
                <pt idx="3">
                  <v>44651</v>
                </pt>
                <pt idx="4">
                  <v>44620</v>
                </pt>
                <pt idx="5">
                  <v>44592</v>
                </pt>
                <pt idx="6">
                  <v>44561</v>
                </pt>
                <pt idx="7">
                  <v>44530</v>
                </pt>
                <pt idx="8">
                  <v>44500</v>
                </pt>
                <pt idx="9">
                  <v>44469</v>
                </pt>
                <pt idx="10">
                  <v>44439</v>
                </pt>
                <pt idx="11">
                  <v>44408</v>
                </pt>
                <pt idx="12">
                  <v>44377</v>
                </pt>
                <pt idx="13">
                  <v>44347</v>
                </pt>
                <pt idx="14">
                  <v>44316</v>
                </pt>
                <pt idx="15">
                  <v>44286</v>
                </pt>
                <pt idx="16">
                  <v>44255</v>
                </pt>
                <pt idx="17">
                  <v>44227</v>
                </pt>
                <pt idx="18">
                  <v>44196</v>
                </pt>
                <pt idx="19">
                  <v>44165</v>
                </pt>
                <pt idx="20">
                  <v>44135</v>
                </pt>
                <pt idx="21">
                  <v>44104</v>
                </pt>
                <pt idx="22">
                  <v>44074</v>
                </pt>
                <pt idx="23">
                  <v>44043</v>
                </pt>
                <pt idx="24">
                  <v>44012</v>
                </pt>
                <pt idx="25">
                  <v>43982</v>
                </pt>
                <pt idx="26">
                  <v>43951</v>
                </pt>
                <pt idx="27">
                  <v>43921</v>
                </pt>
                <pt idx="28">
                  <v>43890</v>
                </pt>
                <pt idx="29">
                  <v>43861</v>
                </pt>
                <pt idx="30">
                  <v>43830</v>
                </pt>
                <pt idx="31">
                  <v>43799</v>
                </pt>
                <pt idx="32">
                  <v>43769</v>
                </pt>
                <pt idx="33">
                  <v>43738</v>
                </pt>
                <pt idx="34">
                  <v>43708</v>
                </pt>
                <pt idx="35">
                  <v>43677</v>
                </pt>
              </numCache>
            </numRef>
          </cat>
          <val>
            <numRef>
              <f>'All Charts'!$N$39:$N$74</f>
              <numCache>
                <formatCode>0.00%</formatCode>
                <ptCount val="36"/>
                <pt idx="0">
                  <v>0.07667758885466873</v>
                </pt>
                <pt idx="1">
                  <v>0.07667758885466873</v>
                </pt>
                <pt idx="2">
                  <v>0.07627435245440024</v>
                </pt>
                <pt idx="3">
                  <v>0.07736467016961389</v>
                </pt>
                <pt idx="4">
                  <v>0.07685984221752457</v>
                </pt>
                <pt idx="5">
                  <v>0.07496847858116093</v>
                </pt>
                <pt idx="6">
                  <v>0.07532306246061192</v>
                </pt>
                <pt idx="7">
                  <v>0.07590552617827589</v>
                </pt>
                <pt idx="8">
                  <v>0.07675754669845029</v>
                </pt>
                <pt idx="9">
                  <v>0.07496165332625061</v>
                </pt>
                <pt idx="10">
                  <v>0.07480936379444533</v>
                </pt>
                <pt idx="11">
                  <v>0.07448299180266044</v>
                </pt>
                <pt idx="12">
                  <v>0.0751348158417964</v>
                </pt>
                <pt idx="13">
                  <v>0.07529095281206129</v>
                </pt>
                <pt idx="14">
                  <v>0.0805950797346013</v>
                </pt>
                <pt idx="15">
                  <v>0.07951594818412261</v>
                </pt>
                <pt idx="16">
                  <v>0.07917016689990732</v>
                </pt>
                <pt idx="17">
                  <v>0.07906382828625724</v>
                </pt>
                <pt idx="18">
                  <v>0.07901217689387169</v>
                </pt>
                <pt idx="19">
                  <v>0.0806839910468654</v>
                </pt>
                <pt idx="20">
                  <v>0.08253499791649878</v>
                </pt>
                <pt idx="21">
                  <v>0.08210295246195334</v>
                </pt>
                <pt idx="22">
                  <v>0.08013080712499498</v>
                </pt>
                <pt idx="23">
                  <v>0.08068516864492158</v>
                </pt>
                <pt idx="24">
                  <v>0.08238161507419767</v>
                </pt>
                <pt idx="25">
                  <v>0.08089417832110753</v>
                </pt>
                <pt idx="26">
                  <v>0.07795692663576061</v>
                </pt>
                <pt idx="27">
                  <v>0.08074231145028427</v>
                </pt>
                <pt idx="28">
                  <v>0.08200593774156667</v>
                </pt>
                <pt idx="29">
                  <v>0.08256118411892277</v>
                </pt>
                <pt idx="30">
                  <v>0.08256118411892277</v>
                </pt>
                <pt idx="31">
                  <v>0.08248950052468666</v>
                </pt>
                <pt idx="32">
                  <v>0.08271377770227185</v>
                </pt>
                <pt idx="33">
                  <v>0.08392187151376856</v>
                </pt>
                <pt idx="34">
                  <v>0.08615644646848333</v>
                </pt>
                <pt idx="35">
                  <v>0.08700132909759131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6350" cap="flat" cmpd="sng" algn="ctr">
              <a:solidFill>
                <a:srgbClr val="666666"/>
              </a:solidFill>
              <a:prstDash val="solid"/>
              <a:round/>
            </a:ln>
          </spPr>
        </hiLowLines>
        <smooth val="0"/>
        <axId val="696766248"/>
        <axId val="696758704"/>
      </lineChart>
      <dateAx>
        <axId val="696766248"/>
        <scaling>
          <orientation val="minMax"/>
        </scaling>
        <delete val="1"/>
        <axPos val="b"/>
        <numFmt formatCode="[$-409]mmm\-yy;@" sourceLinked="1"/>
        <majorTickMark val="none"/>
        <minorTickMark val="none"/>
        <tickLblPos val="nextTo"/>
        <crossAx val="696758704"/>
        <crosses val="autoZero"/>
        <lblOffset val="100"/>
        <baseTimeUnit val="months"/>
      </dateAx>
      <valAx>
        <axId val="696758704"/>
        <scaling>
          <orientation val="minMax"/>
          <max val="0.09000000000000002"/>
          <min val="0.06500000000000002"/>
        </scaling>
        <delete val="1"/>
        <axPos val="l"/>
        <numFmt formatCode="0.00%" sourceLinked="1"/>
        <majorTickMark val="out"/>
        <minorTickMark val="none"/>
        <tickLblPos val="nextTo"/>
        <crossAx val="696766248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526251526251526"/>
          <y val="0.01676245210727969"/>
          <w val="0.9336218243698559"/>
          <h val="0.7483121272915598"/>
        </manualLayout>
      </layout>
      <lineChart>
        <grouping val="standard"/>
        <varyColors val="0"/>
        <ser>
          <idx val="0"/>
          <order val="0"/>
          <tx>
            <strRef>
              <f>'SSA Charts'!$O$2</f>
              <strCache>
                <ptCount val="1"/>
                <pt idx="0">
                  <v>3+ Year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Charts'!$O$3:$O$192</f>
              <numCache>
                <formatCode>0.00%</formatCode>
                <ptCount val="190"/>
                <pt idx="0">
                  <v>0.0748502835297855</v>
                </pt>
                <pt idx="1">
                  <v>0.07305833537961361</v>
                </pt>
                <pt idx="2">
                  <v>0.07058155310341029</v>
                </pt>
                <pt idx="3">
                  <v>0.07202196580751341</v>
                </pt>
                <pt idx="4">
                  <v>0.06975511417513608</v>
                </pt>
                <pt idx="5">
                  <v>0.06717499772804104</v>
                </pt>
                <pt idx="6">
                  <v>0.06779281615622532</v>
                </pt>
                <pt idx="7">
                  <v>0.06665690974779269</v>
                </pt>
                <pt idx="8">
                  <v>0.06665690974779269</v>
                </pt>
                <pt idx="9">
                  <v>0.06724469986558099</v>
                </pt>
                <pt idx="10">
                  <v>0.06845615136950392</v>
                </pt>
                <pt idx="11">
                  <v>0.06954565447509399</v>
                </pt>
                <pt idx="12">
                  <v>0.07109624392358983</v>
                </pt>
                <pt idx="13">
                  <v>0.07439074056248803</v>
                </pt>
                <pt idx="14">
                  <v>0.07608851165979266</v>
                </pt>
                <pt idx="15">
                  <v>0.07511125703972189</v>
                </pt>
                <pt idx="16">
                  <v>0.07490149458548664</v>
                </pt>
                <pt idx="17">
                  <v>0.07630045331928023</v>
                </pt>
                <pt idx="18">
                  <v>0.07503930043707471</v>
                </pt>
                <pt idx="19">
                  <v>0.07750036882897476</v>
                </pt>
                <pt idx="20">
                  <v>0.07669620235665946</v>
                </pt>
                <pt idx="21">
                  <v>0.07631437553288216</v>
                </pt>
                <pt idx="22">
                  <v>0.07575075800519503</v>
                </pt>
                <pt idx="23">
                  <v>0.07655865274203713</v>
                </pt>
                <pt idx="24">
                  <v>0.0728187082632659</v>
                </pt>
                <pt idx="25">
                  <v>0.07289104213779768</v>
                </pt>
                <pt idx="26">
                  <v>0.07172986087927344</v>
                </pt>
                <pt idx="27">
                  <v>0.07172986087927344</v>
                </pt>
                <pt idx="28">
                  <v>0.07007021060356441</v>
                </pt>
                <pt idx="29">
                  <v>0.06738833375027596</v>
                </pt>
                <pt idx="30">
                  <v>0.06851889644861182</v>
                </pt>
                <pt idx="31">
                  <v>0.07283950209226842</v>
                </pt>
                <pt idx="32">
                  <v>0.07995926892448058</v>
                </pt>
                <pt idx="33">
                  <v>0.07974246892448056</v>
                </pt>
                <pt idx="34">
                  <v>0.07939795320294445</v>
                </pt>
                <pt idx="35">
                  <v>0.07874736840762281</v>
                </pt>
                <pt idx="36">
                  <v>0.0806793415900232</v>
                </pt>
                <pt idx="37">
                  <v>0.08184176537175736</v>
                </pt>
                <pt idx="38">
                  <v>0.08184176537175736</v>
                </pt>
                <pt idx="39">
                  <v>0.08071840503602253</v>
                </pt>
                <pt idx="40">
                  <v>0.08071840503602253</v>
                </pt>
                <pt idx="41">
                  <v>0.08305296537175735</v>
                </pt>
                <pt idx="42">
                  <v>0.08770663711195283</v>
                </pt>
                <pt idx="43">
                  <v>0.08585319275973291</v>
                </pt>
                <pt idx="44">
                  <v>0.08341680430682459</v>
                </pt>
                <pt idx="45">
                  <v>0.08335013764015792</v>
                </pt>
                <pt idx="46">
                  <v>0.08469179968205839</v>
                </pt>
                <pt idx="47">
                  <v>0.086046444091176</v>
                </pt>
                <pt idx="48">
                  <v>0.08706578809609998</v>
                </pt>
                <pt idx="49">
                  <v>0.08706578809609998</v>
                </pt>
                <pt idx="50">
                  <v>0.08706578809609998</v>
                </pt>
                <pt idx="51">
                  <v>0.08964332010677777</v>
                </pt>
                <pt idx="52">
                  <v>0.08964332010677777</v>
                </pt>
                <pt idx="53">
                  <v>0.09128623512012499</v>
                </pt>
                <pt idx="54">
                  <v>0.0774145641025641</v>
                </pt>
                <pt idx="55">
                  <v>0.08327033333333334</v>
                </pt>
                <pt idx="56">
                  <v>0.08329368771929825</v>
                </pt>
                <pt idx="57">
                  <v>0.08761133840553766</v>
                </pt>
                <pt idx="58">
                  <v>0.08334711433825967</v>
                </pt>
                <pt idx="59">
                  <v>0.08137491173130336</v>
                </pt>
                <pt idx="60">
                  <v>0.08141432155515858</v>
                </pt>
                <pt idx="61">
                  <v>0.08280361449820063</v>
                </pt>
                <pt idx="62">
                  <v>0.08280361449820063</v>
                </pt>
                <pt idx="63">
                  <v>0.08143133867349123</v>
                </pt>
                <pt idx="64">
                  <v>0.0824351601836924</v>
                </pt>
                <pt idx="65">
                  <v>0.08083921267221163</v>
                </pt>
                <pt idx="66">
                  <v>0.08083921267221163</v>
                </pt>
                <pt idx="67">
                  <v>0.08661922885392882</v>
                </pt>
                <pt idx="68">
                  <v>0.08823660933385104</v>
                </pt>
                <pt idx="69">
                  <v>0.08669977697257975</v>
                </pt>
                <pt idx="70">
                  <v>0.0886452876424962</v>
                </pt>
                <pt idx="71">
                  <v>0.09095175730570995</v>
                </pt>
                <pt idx="72">
                  <v>0.09125569864918133</v>
                </pt>
                <pt idx="73">
                  <v>0.09244936167617793</v>
                </pt>
                <pt idx="74">
                  <v>0.09195191766034705</v>
                </pt>
                <pt idx="75">
                  <v>0.09106915609133746</v>
                </pt>
                <pt idx="76">
                  <v>0.09015563973619727</v>
                </pt>
                <pt idx="77">
                  <v>0.09136912136514047</v>
                </pt>
                <pt idx="78">
                  <v>0.09136912136514047</v>
                </pt>
                <pt idx="79">
                  <v>0.08574179787794553</v>
                </pt>
                <pt idx="80">
                  <v>0.08351857638631829</v>
                </pt>
                <pt idx="81">
                  <v>0.08532564824553289</v>
                </pt>
                <pt idx="82">
                  <v>0.0848912252986353</v>
                </pt>
                <pt idx="83">
                  <v>0.0848912252986353</v>
                </pt>
                <pt idx="84">
                  <v>0.0848912252986353</v>
                </pt>
                <pt idx="85">
                  <v>0.08129592689512088</v>
                </pt>
                <pt idx="86">
                  <v>0.08220952578194834</v>
                </pt>
                <pt idx="87">
                  <v>0.08312121728664021</v>
                </pt>
                <pt idx="88">
                  <v>0.08334727084475738</v>
                </pt>
                <pt idx="89">
                  <v>0.07986862032431398</v>
                </pt>
                <pt idx="90">
                  <v>0.07986862032431398</v>
                </pt>
                <pt idx="91">
                  <v>0.07840355384530699</v>
                </pt>
                <pt idx="92">
                  <v>0.07857549010892229</v>
                </pt>
                <pt idx="93">
                  <v>0.07475529639540666</v>
                </pt>
                <pt idx="94">
                  <v>0.0747508835062117</v>
                </pt>
                <pt idx="95">
                  <v>0.0747508835062117</v>
                </pt>
                <pt idx="96">
                  <v>0.0747508835062117</v>
                </pt>
                <pt idx="97">
                  <v>0.07635932196963231</v>
                </pt>
                <pt idx="98">
                  <v>0.07610291596795116</v>
                </pt>
                <pt idx="99">
                  <v>0.07531320756474627</v>
                </pt>
                <pt idx="100">
                  <v>0.07504090513110589</v>
                </pt>
                <pt idx="101">
                  <v>0.07544640517642238</v>
                </pt>
                <pt idx="102">
                  <v>0.07674253807838718</v>
                </pt>
                <pt idx="103">
                  <v>0.07674253807838718</v>
                </pt>
                <pt idx="104">
                  <v>0.07842336377783846</v>
                </pt>
                <pt idx="105">
                  <v>0.08039325919763056</v>
                </pt>
                <pt idx="106">
                  <v>0.08078747439501767</v>
                </pt>
                <pt idx="107">
                  <v>0.08078747439501767</v>
                </pt>
                <pt idx="108">
                  <v>0.08008200724532907</v>
                </pt>
                <pt idx="109">
                  <v>0.08037329120438774</v>
                </pt>
                <pt idx="110">
                  <v>0.08077644803861329</v>
                </pt>
                <pt idx="111">
                  <v>0.08039135150270574</v>
                </pt>
                <pt idx="112">
                  <v>0.08097040077702576</v>
                </pt>
                <pt idx="113">
                  <v>0.08421879742106866</v>
                </pt>
                <pt idx="114">
                  <v>0.08376671724913991</v>
                </pt>
                <pt idx="115">
                  <v>0.08355886990823935</v>
                </pt>
                <pt idx="116">
                  <v>0.08353498036875383</v>
                </pt>
                <pt idx="117">
                  <v>0.08519111995362279</v>
                </pt>
                <pt idx="118">
                  <v>0.08624473556122651</v>
                </pt>
                <pt idx="119">
                  <v>0.08559693837566326</v>
                </pt>
                <pt idx="120">
                  <v>0.08642353090345091</v>
                </pt>
                <pt idx="121">
                  <v>0.08748240301322985</v>
                </pt>
                <pt idx="122">
                  <v>0.08632164545522825</v>
                </pt>
                <pt idx="123">
                  <v>0.08668860829410777</v>
                </pt>
                <pt idx="124">
                  <v>0.08685882555972904</v>
                </pt>
                <pt idx="125">
                  <v>0.0851517668377155</v>
                </pt>
                <pt idx="126">
                  <v>0.08508141234171393</v>
                </pt>
                <pt idx="127">
                  <v>0.08536563854898516</v>
                </pt>
                <pt idx="128">
                  <v>0.08433161756347941</v>
                </pt>
                <pt idx="129">
                  <v>0.08449230720112681</v>
                </pt>
                <pt idx="130">
                  <v>0.08405195444024416</v>
                </pt>
                <pt idx="131">
                  <v>0.08446996425482561</v>
                </pt>
                <pt idx="132">
                  <v>0.08422540950634774</v>
                </pt>
                <pt idx="133">
                  <v>0.08357727559783451</v>
                </pt>
                <pt idx="134">
                  <v>0.08402100779825777</v>
                </pt>
                <pt idx="135">
                  <v>0.08335963251570964</v>
                </pt>
                <pt idx="136">
                  <v>0.08286735117016993</v>
                </pt>
                <pt idx="137">
                  <v>0.08289703011571113</v>
                </pt>
                <pt idx="138">
                  <v>0.08523768429238136</v>
                </pt>
                <pt idx="139">
                  <v>0.08526472959755942</v>
                </pt>
                <pt idx="140">
                  <v>0.08616132570695657</v>
                </pt>
                <pt idx="141">
                  <v>0.08616132570695657</v>
                </pt>
                <pt idx="142">
                  <v>0.08616132570695657</v>
                </pt>
                <pt idx="143">
                  <v>0.08535746123499012</v>
                </pt>
                <pt idx="144">
                  <v>0.08590736593471132</v>
                </pt>
                <pt idx="145">
                  <v>0.08545282048016584</v>
                </pt>
                <pt idx="146">
                  <v>0.08519474799377813</v>
                </pt>
                <pt idx="147">
                  <v>0.08364243387539147</v>
                </pt>
                <pt idx="148">
                  <v>0.08364243387539147</v>
                </pt>
                <pt idx="149">
                  <v>0.08396126295979356</v>
                </pt>
                <pt idx="150">
                  <v>0.07606042686673699</v>
                </pt>
                <pt idx="151">
                  <v>0.07713368905561416</v>
                </pt>
                <pt idx="152">
                  <v>0.07713368905561416</v>
                </pt>
                <pt idx="153">
                  <v>0.07588915273813471</v>
                </pt>
                <pt idx="154">
                  <v>0.07588915273813471</v>
                </pt>
                <pt idx="155">
                  <v>0.07591459061909786</v>
                </pt>
                <pt idx="156">
                  <v>0.07636915800675721</v>
                </pt>
                <pt idx="157">
                  <v>0.07576401767455006</v>
                </pt>
                <pt idx="158">
                  <v>0.07576401767455006</v>
                </pt>
                <pt idx="159">
                  <v>0.07781870249221726</v>
                </pt>
                <pt idx="160">
                  <v>0.07781870249221726</v>
                </pt>
                <pt idx="161">
                  <v>0.07855863712067736</v>
                </pt>
                <pt idx="162">
                  <v>0.07683613038520094</v>
                </pt>
                <pt idx="163">
                  <v>0.07570335646224115</v>
                </pt>
                <pt idx="164">
                  <v>0.07570335646224115</v>
                </pt>
                <pt idx="165">
                  <v>0.07747919557780142</v>
                </pt>
                <pt idx="166">
                  <v>0.07747919557780142</v>
                </pt>
                <pt idx="167">
                  <v>0.07747919557780142</v>
                </pt>
                <pt idx="168">
                  <v>0.07216191722961718</v>
                </pt>
                <pt idx="169">
                  <v>0.07216191722961718</v>
                </pt>
                <pt idx="170">
                  <v>0.07111703378369374</v>
                </pt>
                <pt idx="171">
                  <v>0.07435876375965515</v>
                </pt>
                <pt idx="172">
                  <v>0.07435876375965515</v>
                </pt>
                <pt idx="173">
                  <v>0.0741665797079708</v>
                </pt>
                <pt idx="174">
                  <v>0.07515707687466279</v>
                </pt>
                <pt idx="175">
                  <v>0.07515707687466279</v>
                </pt>
                <pt idx="176">
                  <v>0.07599929897527487</v>
                </pt>
                <pt idx="177">
                  <v>0.07357727149027476</v>
                </pt>
                <pt idx="178">
                  <v>0.07912460858848928</v>
                </pt>
                <pt idx="179">
                  <v>0.07912460858848928</v>
                </pt>
                <pt idx="180">
                  <v>0.07924767251699343</v>
                </pt>
                <pt idx="181">
                  <v>0.07823360071802737</v>
                </pt>
                <pt idx="182">
                  <v>0.07917494244452966</v>
                </pt>
                <pt idx="183">
                  <v>0.07774301199411258</v>
                </pt>
                <pt idx="184">
                  <v>0.07743109432793653</v>
                </pt>
                <pt idx="185">
                  <v>0.07622297937730664</v>
                </pt>
                <pt idx="186">
                  <v>0.07682121173289844</v>
                </pt>
                <pt idx="187">
                  <v>0.07543154672621599</v>
                </pt>
                <pt idx="188">
                  <v>0.07499915558369818</v>
                </pt>
                <pt idx="189">
                  <v>0.07808937038115767</v>
                </pt>
              </numCache>
            </numRef>
          </val>
          <smooth val="0"/>
        </ser>
        <ser>
          <idx val="1"/>
          <order val="1"/>
          <tx>
            <strRef>
              <f>'SSA Charts'!$P$2</f>
              <strCache>
                <ptCount val="1"/>
                <pt idx="0">
                  <v>0 to 3 Year Cap (ttm)</v>
                </pt>
              </strCache>
            </strRef>
          </tx>
          <spPr>
            <a:ln xmlns:a="http://schemas.openxmlformats.org/drawingml/2006/main" w="31750" cap="rnd">
              <a:solidFill>
                <a:srgbClr val="003DA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Charts'!$P$3:$P$192</f>
              <numCache>
                <formatCode>0.00%</formatCode>
                <ptCount val="190"/>
                <pt idx="0">
                  <v>0.06889505976947388</v>
                </pt>
                <pt idx="1">
                  <v>0.06889505976947388</v>
                </pt>
                <pt idx="2">
                  <v>0.06889505976947388</v>
                </pt>
                <pt idx="3">
                  <v>0.06889505976947388</v>
                </pt>
                <pt idx="4">
                  <v>0.06889505976947388</v>
                </pt>
                <pt idx="5">
                  <v>0.06679670651298258</v>
                </pt>
                <pt idx="6">
                  <v>0.06679670651298258</v>
                </pt>
                <pt idx="7">
                  <v>0.06679670651298258</v>
                </pt>
                <pt idx="8">
                  <v>0.06318088223631764</v>
                </pt>
                <pt idx="9">
                  <v>0.06318088223631764</v>
                </pt>
                <pt idx="10">
                  <v>0.066524892446469</v>
                </pt>
                <pt idx="11">
                  <v>0.066524892446469</v>
                </pt>
                <pt idx="12">
                  <v>0.06947006927422859</v>
                </pt>
                <pt idx="13">
                  <v>0.07072755195567144</v>
                </pt>
                <pt idx="14">
                  <v>0.07072755195567144</v>
                </pt>
                <pt idx="15">
                  <v>0.07619915267564827</v>
                </pt>
                <pt idx="16">
                  <v>0.07619915267564827</v>
                </pt>
                <pt idx="17">
                  <v>0.07867915267564826</v>
                </pt>
                <pt idx="18">
                  <v>0.07867915267564826</v>
                </pt>
                <pt idx="19">
                  <v>0.07867915267564826</v>
                </pt>
                <pt idx="20">
                  <v>0.08103561965811966</v>
                </pt>
                <pt idx="21">
                  <v>0.07501284355258268</v>
                </pt>
                <pt idx="22">
                  <v>0.07462682367149759</v>
                </pt>
                <pt idx="23">
                  <v>0.07462682367149759</v>
                </pt>
                <pt idx="24">
                  <v>0.07462682367149759</v>
                </pt>
                <pt idx="25">
                  <v>0.07577794307448266</v>
                </pt>
                <pt idx="26">
                  <v>0.07577794307448266</v>
                </pt>
                <pt idx="27">
                  <v>0.06834207224745836</v>
                </pt>
                <pt idx="28">
                  <v>0.06834207224745836</v>
                </pt>
                <pt idx="29">
                  <v>0.06501310837118754</v>
                </pt>
                <pt idx="30">
                  <v>0.06501310837118754</v>
                </pt>
                <pt idx="31">
                  <v>0.06501310837118754</v>
                </pt>
                <pt idx="32">
                  <v>0.07034207224745836</v>
                </pt>
                <pt idx="33">
                  <v>0.08005223880597015</v>
                </pt>
                <pt idx="34">
                  <v>0.08005223880597015</v>
                </pt>
                <pt idx="35">
                  <v>0.08005223880597015</v>
                </pt>
                <pt idx="36">
                  <v>0.08005223880597015</v>
                </pt>
                <pt idx="37">
                  <v>0.09538403755868545</v>
                </pt>
                <pt idx="38">
                  <v>0.09538403755868545</v>
                </pt>
                <pt idx="39">
                  <v>0.09538403755868545</v>
                </pt>
                <pt idx="40">
                  <v>0.09538403755868545</v>
                </pt>
                <pt idx="41">
                  <v>0.08567043445680127</v>
                </pt>
                <pt idx="42">
                  <v>0.08870604969310059</v>
                </pt>
                <pt idx="43">
                  <v>0.08760016045853621</v>
                </pt>
                <pt idx="44">
                  <v>0.08892019255024344</v>
                </pt>
                <pt idx="45">
                  <v>0.08892019255024344</v>
                </pt>
                <pt idx="46">
                  <v>0.08892019255024344</v>
                </pt>
                <pt idx="47">
                  <v>0.08484173349224407</v>
                </pt>
                <pt idx="48">
                  <v>0.08484173349224407</v>
                </pt>
                <pt idx="49">
                  <v>0.07552824606558563</v>
                </pt>
                <pt idx="50">
                  <v>0.07552824606558563</v>
                </pt>
                <pt idx="51">
                  <v>0.07552824606558563</v>
                </pt>
                <pt idx="52">
                  <v>0.07552824606558563</v>
                </pt>
                <pt idx="53">
                  <v>0.08027790129419485</v>
                </pt>
                <pt idx="54">
                  <v>0.07342103151282718</v>
                </pt>
                <pt idx="55">
                  <v>0.06909619012638363</v>
                </pt>
                <pt idx="56">
                  <v>0.06909619012638363</v>
                </pt>
                <pt idx="57">
                  <v>0.06909619012638363</v>
                </pt>
                <pt idx="58">
                  <v>0.06909619012638363</v>
                </pt>
                <pt idx="59">
                  <v>0.07374294205052007</v>
                </pt>
                <pt idx="60">
                  <v>0.07374294205052007</v>
                </pt>
                <pt idx="61">
                  <v>0.08901098901098901</v>
                </pt>
                <pt idx="62">
                  <v>0.08901098901098901</v>
                </pt>
                <pt idx="63">
                  <v>0.09963721493560204</v>
                </pt>
                <pt idx="64">
                  <v>0.09963721493560204</v>
                </pt>
                <pt idx="65">
                  <v>0.09963721493560204</v>
                </pt>
                <pt idx="66">
                  <v>0.09963721493560204</v>
                </pt>
                <pt idx="67">
                  <v>0.09295343045875161</v>
                </pt>
                <pt idx="68">
                  <v>0.09438984515512043</v>
                </pt>
                <pt idx="69">
                  <v>0.09438984515512043</v>
                </pt>
                <pt idx="70">
                  <v>0.09205819040358752</v>
                </pt>
                <pt idx="71">
                  <v>0.09205819040358752</v>
                </pt>
                <pt idx="72">
                  <v>0.09205819040358752</v>
                </pt>
                <pt idx="73">
                  <v>0.09275403899943611</v>
                </pt>
                <pt idx="74">
                  <v>0.09275403899943611</v>
                </pt>
                <pt idx="75">
                  <v>0.0902526958764677</v>
                </pt>
                <pt idx="76">
                  <v>0.09009176348089594</v>
                </pt>
                <pt idx="77">
                  <v>0.09009176348089594</v>
                </pt>
                <pt idx="78">
                  <v>0.09030183342283499</v>
                </pt>
                <pt idx="79">
                  <v>0.09133781162100633</v>
                </pt>
                <pt idx="80">
                  <v>0.08939272466895183</v>
                </pt>
                <pt idx="81">
                  <v>0.08746935056584777</v>
                </pt>
                <pt idx="82">
                  <v>0.08942480780301286</v>
                </pt>
                <pt idx="83">
                  <v>0.08942480780301286</v>
                </pt>
                <pt idx="84">
                  <v>0.08942480780301286</v>
                </pt>
                <pt idx="85">
                  <v>0.08324316718437223</v>
                </pt>
                <pt idx="86">
                  <v>0.08324316718437223</v>
                </pt>
                <pt idx="87">
                  <v>0.08324316718437223</v>
                </pt>
                <pt idx="88">
                  <v>0.0774814090877245</v>
                </pt>
                <pt idx="89">
                  <v>0.08149882683709718</v>
                </pt>
                <pt idx="90">
                  <v>0.07971655415989899</v>
                </pt>
                <pt idx="91">
                  <v>0.07670136499187878</v>
                </pt>
                <pt idx="92">
                  <v>0.07670136499187878</v>
                </pt>
                <pt idx="93">
                  <v>0.07689442975304266</v>
                </pt>
                <pt idx="94">
                  <v>0.07859436347456528</v>
                </pt>
                <pt idx="95">
                  <v>0.07859436347456528</v>
                </pt>
                <pt idx="96">
                  <v>0.07859436347456528</v>
                </pt>
                <pt idx="97">
                  <v>0.08673499888360069</v>
                </pt>
                <pt idx="98">
                  <v>0.08727916573633392</v>
                </pt>
                <pt idx="99">
                  <v>0.08766785634542906</v>
                </pt>
                <pt idx="100">
                  <v>0.09438652525012538</v>
                </pt>
                <pt idx="101">
                  <v>0.08734547276939976</v>
                </pt>
                <pt idx="102">
                  <v>0.08734547276939976</v>
                </pt>
                <pt idx="103">
                  <v>0.08734547276939976</v>
                </pt>
                <pt idx="104">
                  <v>0.08734547276939976</v>
                </pt>
                <pt idx="105">
                  <v>0.09201040523091408</v>
                </pt>
                <pt idx="106">
                  <v>0.09495410546510612</v>
                </pt>
                <pt idx="107">
                  <v>0.09495410546510612</v>
                </pt>
                <pt idx="108">
                  <v>0.09495410546510612</v>
                </pt>
                <pt idx="109">
                  <v>0.09441460452410529</v>
                </pt>
                <pt idx="110">
                  <v>0.09529752542892636</v>
                </pt>
                <pt idx="111">
                  <v>0.09662190678615794</v>
                </pt>
                <pt idx="112">
                  <v>0.0964523394829932</v>
                </pt>
                <pt idx="113">
                  <v>0.113</v>
                </pt>
                <pt idx="114">
                  <v>0.113</v>
                </pt>
                <pt idx="115">
                  <v>0.113</v>
                </pt>
                <pt idx="116">
                  <v>0.113</v>
                </pt>
                <pt idx="117">
                  <v>0.106</v>
                </pt>
                <pt idx="118">
                  <v>0.106</v>
                </pt>
                <pt idx="119">
                  <v>0.106</v>
                </pt>
                <pt idx="120">
                  <v>0.106</v>
                </pt>
                <pt idx="121">
                  <v>0.106</v>
                </pt>
                <pt idx="122">
                  <v>0.106</v>
                </pt>
                <pt idx="123">
                  <v>0.106</v>
                </pt>
                <pt idx="124">
                  <v>0.106</v>
                </pt>
                <pt idx="125">
                  <v>0.106</v>
                </pt>
                <pt idx="126">
                  <v>0.106</v>
                </pt>
                <pt idx="127">
                  <v>0.106</v>
                </pt>
                <pt idx="128">
                  <v>0.106</v>
                </pt>
                <pt idx="129">
                  <v>0.106</v>
                </pt>
                <pt idx="130">
                  <v>0.106</v>
                </pt>
                <pt idx="131">
                  <v>0.106</v>
                </pt>
                <pt idx="132">
                  <v>0.106</v>
                </pt>
                <pt idx="133">
                  <v>0.1267495982283376</v>
                </pt>
                <pt idx="134">
                  <v>0.1267495982283376</v>
                </pt>
                <pt idx="135">
                  <v>0.1267495982283376</v>
                </pt>
                <pt idx="136">
                  <v>0.1267495982283376</v>
                </pt>
                <pt idx="137">
                  <v>0.1267495982283376</v>
                </pt>
                <pt idx="138">
                  <v>0.1267495982283376</v>
                </pt>
                <pt idx="139">
                  <v>0.1267495982283376</v>
                </pt>
                <pt idx="140">
                  <v>0.1267495982283376</v>
                </pt>
                <pt idx="141">
                  <v>0.1267495982283376</v>
                </pt>
                <pt idx="142">
                  <v>0.1267495982283376</v>
                </pt>
                <pt idx="143">
                  <v>0.1267495982283376</v>
                </pt>
                <pt idx="144">
                  <v>0.1267495982283376</v>
                </pt>
                <pt idx="145">
                  <v>0.1267495982283376</v>
                </pt>
                <pt idx="146">
                  <v>0.1267495982283376</v>
                </pt>
                <pt idx="147">
                  <v>0.1267495982283376</v>
                </pt>
                <pt idx="148">
                  <v>0.1267495982283376</v>
                </pt>
                <pt idx="149">
                  <v>0.1267495982283376</v>
                </pt>
                <pt idx="150">
                  <v>0.1267495982283376</v>
                </pt>
                <pt idx="151">
                  <v>0.1267495982283376</v>
                </pt>
                <pt idx="152">
                  <v>0.09</v>
                </pt>
                <pt idx="153">
                  <v>0.09</v>
                </pt>
                <pt idx="154">
                  <v>0.09</v>
                </pt>
                <pt idx="155">
                  <v>0.09</v>
                </pt>
                <pt idx="156">
                  <v>0.09</v>
                </pt>
                <pt idx="157">
                  <v>0.09</v>
                </pt>
                <pt idx="158">
                  <v>0.09</v>
                </pt>
                <pt idx="159">
                  <v>0.09</v>
                </pt>
                <pt idx="160">
                  <v>0.09</v>
                </pt>
                <pt idx="161">
                  <v>0.09</v>
                </pt>
                <pt idx="162">
                  <v>0.09</v>
                </pt>
                <pt idx="163">
                  <v>0.09</v>
                </pt>
                <pt idx="164">
                  <v>0.09</v>
                </pt>
                <pt idx="165">
                  <v>0.09</v>
                </pt>
                <pt idx="166">
                  <v>0.09</v>
                </pt>
                <pt idx="167">
                  <v>0.09</v>
                </pt>
                <pt idx="168">
                  <v>0.09</v>
                </pt>
                <pt idx="169">
                  <v>0.09</v>
                </pt>
                <pt idx="170">
                  <v>0.09</v>
                </pt>
                <pt idx="171">
                  <v>0.09</v>
                </pt>
                <pt idx="172">
                  <v>0.09</v>
                </pt>
                <pt idx="173">
                  <v>0.09</v>
                </pt>
                <pt idx="174">
                  <v>0.09</v>
                </pt>
                <pt idx="175">
                  <v>0.075</v>
                </pt>
                <pt idx="176">
                  <v>0.075</v>
                </pt>
                <pt idx="177">
                  <v>0.075</v>
                </pt>
                <pt idx="178">
                  <v>0.0742795</v>
                </pt>
                <pt idx="179">
                  <v>0.0742795</v>
                </pt>
                <pt idx="180">
                  <v>0.0742795</v>
                </pt>
                <pt idx="181">
                  <v>0.0742795</v>
                </pt>
                <pt idx="182">
                  <v>0.0742795</v>
                </pt>
                <pt idx="183">
                  <v>0.07114785365853658</v>
                </pt>
                <pt idx="184">
                  <v>0.07114785365853658</v>
                </pt>
                <pt idx="185">
                  <v>0.07114785365853658</v>
                </pt>
                <pt idx="186">
                  <v>0.07114785365853658</v>
                </pt>
                <pt idx="187">
                  <v>0.06922178048780488</v>
                </pt>
                <pt idx="188">
                  <v>0.06922178048780488</v>
                </pt>
                <pt idx="189">
                  <v>0.06922178048780488</v>
                </pt>
              </numCache>
            </numRef>
          </val>
          <smooth val="0"/>
        </ser>
        <ser>
          <idx val="2"/>
          <order val="2"/>
          <tx>
            <strRef>
              <f>'SSA Charts'!$S$2</f>
              <strCache>
                <ptCount val="1"/>
                <pt idx="0">
                  <v>Outside Firm Term (ttm)</v>
                </pt>
              </strCache>
            </strRef>
          </tx>
          <spPr>
            <a:ln xmlns:a="http://schemas.openxmlformats.org/drawingml/2006/main" w="31750" cap="rnd">
              <a:solidFill>
                <a:srgbClr val="66666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Charts'!$S$4:$S$192</f>
              <numCache>
                <formatCode>0.00%</formatCode>
                <ptCount val="189"/>
                <pt idx="0">
                  <v>0.09233130556881042</v>
                </pt>
                <pt idx="1">
                  <v>0.09663689184368877</v>
                </pt>
                <pt idx="2">
                  <v>0.09691154862567669</v>
                </pt>
                <pt idx="3">
                  <v>0.0959151820945538</v>
                </pt>
                <pt idx="4">
                  <v>0.09306368762301132</v>
                </pt>
                <pt idx="5">
                  <v>0.09569664857588775</v>
                </pt>
                <pt idx="6">
                  <v>0.09993902671107321</v>
                </pt>
                <pt idx="7">
                  <v>0.09853997560736318</v>
                </pt>
                <pt idx="8">
                  <v>0.09853997560736318</v>
                </pt>
                <pt idx="9">
                  <v>0.1049006894788358</v>
                </pt>
                <pt idx="10">
                  <v>0.09703495275763568</v>
                </pt>
                <pt idx="11">
                  <v>0.09703495275763568</v>
                </pt>
                <pt idx="12">
                  <v>0.09703495275763568</v>
                </pt>
                <pt idx="13">
                  <v>0.08571002710027099</v>
                </pt>
                <pt idx="14">
                  <v>0.08691504065040651</v>
                </pt>
                <pt idx="15">
                  <v>0.07619915267564827</v>
                </pt>
                <pt idx="16">
                  <v>0.07619915267564827</v>
                </pt>
                <pt idx="17">
                  <v>0.07959894084456033</v>
                </pt>
                <pt idx="18">
                  <v>0.07959894084456033</v>
                </pt>
                <pt idx="19">
                  <v>0.1283</v>
                </pt>
                <pt idx="20">
                  <v>0.1283</v>
                </pt>
                <pt idx="21">
                  <v>0.1283</v>
                </pt>
                <pt idx="22">
                  <v>0.1283</v>
                </pt>
                <pt idx="23">
                  <v>0.1283</v>
                </pt>
                <pt idx="24">
                  <v>0.1283</v>
                </pt>
                <pt idx="25">
                  <v>0.1283</v>
                </pt>
                <pt idx="26">
                  <v>0.1283</v>
                </pt>
                <pt idx="27">
                  <v>0.117108717948718</v>
                </pt>
                <pt idx="28">
                  <v>0.1083344092749356</v>
                </pt>
                <pt idx="29">
                  <v>0.1083344092749356</v>
                </pt>
                <pt idx="30">
                  <v>0.1083344092749356</v>
                </pt>
                <pt idx="31">
                  <v>0.08872355487422605</v>
                </pt>
                <pt idx="32">
                  <v>0.09566031321449306</v>
                </pt>
                <pt idx="33">
                  <v>0.09566031321449306</v>
                </pt>
                <pt idx="34">
                  <v>0.09566031321449306</v>
                </pt>
                <pt idx="35">
                  <v>0.09119132749467138</v>
                </pt>
                <pt idx="36">
                  <v>0.09119132749467138</v>
                </pt>
                <pt idx="37">
                  <v>0.09119132749467138</v>
                </pt>
                <pt idx="38">
                  <v>0.09119132749467138</v>
                </pt>
                <pt idx="39">
                  <v>0.09030762090680075</v>
                </pt>
                <pt idx="40">
                  <v>0.09307300012453817</v>
                </pt>
                <pt idx="41">
                  <v>0.1001681737575258</v>
                </pt>
                <pt idx="42">
                  <v>0.1043012056726873</v>
                </pt>
                <pt idx="43">
                  <v>0.1080182502101251</v>
                </pt>
                <pt idx="44">
                  <v>0.1052008042017355</v>
                </pt>
                <pt idx="45">
                  <v>0.1013912310914757</v>
                </pt>
                <pt idx="46">
                  <v>0.1013912310914757</v>
                </pt>
                <pt idx="47">
                  <v>0.1070064003866939</v>
                </pt>
                <pt idx="48">
                  <v>0.1070064003866939</v>
                </pt>
                <pt idx="49">
                  <v>0.1070064003866939</v>
                </pt>
                <pt idx="50">
                  <v>0.1070064003866939</v>
                </pt>
                <pt idx="51">
                  <v>0.1122219773969813</v>
                </pt>
                <pt idx="52">
                  <v>0.1122219773969813</v>
                </pt>
                <pt idx="53">
                  <v>0.1103756339450798</v>
                </pt>
                <pt idx="54">
                  <v>0.1037089672784132</v>
                </pt>
                <pt idx="55">
                  <v>0.1024770295598209</v>
                </pt>
                <pt idx="56">
                  <v>0.1033795818309519</v>
                </pt>
                <pt idx="57">
                  <v>0.1029149422668933</v>
                </pt>
                <pt idx="58">
                  <v>0.1004630744835316</v>
                </pt>
                <pt idx="59">
                  <v>0.1004630744835316</v>
                </pt>
                <pt idx="60">
                  <v>0.1004630744835316</v>
                </pt>
                <pt idx="61">
                  <v>0.1004630744835316</v>
                </pt>
                <pt idx="62">
                  <v>0.1004630744835316</v>
                </pt>
                <pt idx="63">
                  <v>0.09505781905997637</v>
                </pt>
                <pt idx="64">
                  <v>0.09650057138527154</v>
                </pt>
                <pt idx="65">
                  <v>0.09650057138527154</v>
                </pt>
                <pt idx="66">
                  <v>0.09837557138527153</v>
                </pt>
                <pt idx="67">
                  <v>0.09714663419913419</v>
                </pt>
                <pt idx="68">
                  <v>0.09378329274891774</v>
                </pt>
                <pt idx="69">
                  <v>0.09746661255411254</v>
                </pt>
                <pt idx="70">
                  <v>0.1045499188311688</v>
                </pt>
                <pt idx="71">
                  <v>0.1045499188311688</v>
                </pt>
                <pt idx="72">
                  <v>0.1045499188311688</v>
                </pt>
                <pt idx="73">
                  <v>0.1045499188311688</v>
                </pt>
                <pt idx="74">
                  <v>0.1044157247819182</v>
                </pt>
                <pt idx="75">
                  <v>0.1044157247819182</v>
                </pt>
                <pt idx="76">
                  <v>0.1027539263188913</v>
                </pt>
                <pt idx="77">
                  <v>0.1025848838747564</v>
                </pt>
                <pt idx="78">
                  <v>0.106562522890705</v>
                </pt>
                <pt idx="79">
                  <v>0.106562522890705</v>
                </pt>
                <pt idx="80">
                  <v>0.106562522890705</v>
                </pt>
                <pt idx="81">
                  <v>0.106562522890705</v>
                </pt>
                <pt idx="82">
                  <v>0.1062339149559889</v>
                </pt>
                <pt idx="83">
                  <v>0.1047494609603901</v>
                </pt>
                <pt idx="84">
                  <v>0.1038631463276273</v>
                </pt>
                <pt idx="85">
                  <v>0.1038631463276273</v>
                </pt>
                <pt idx="86">
                  <v>0.1038347272920483</v>
                </pt>
                <pt idx="87">
                  <v>0.1047540999097673</v>
                </pt>
                <pt idx="88">
                  <v>0.1051150569911751</v>
                </pt>
                <pt idx="89">
                  <v>0.1058321214923473</v>
                </pt>
                <pt idx="90">
                  <v>0.09862291169225829</v>
                </pt>
                <pt idx="91">
                  <v>0.09862291169225829</v>
                </pt>
                <pt idx="92">
                  <v>0.09903010751375683</v>
                </pt>
                <pt idx="93">
                  <v>0.09903010751375683</v>
                </pt>
                <pt idx="94">
                  <v>0.09826761685300615</v>
                </pt>
                <pt idx="95">
                  <v>0.09964326522360738</v>
                </pt>
                <pt idx="96">
                  <v>0.1025417876863395</v>
                </pt>
                <pt idx="97">
                  <v>0.1043434823757811</v>
                </pt>
                <pt idx="98">
                  <v>0.1043434823757811</v>
                </pt>
                <pt idx="99">
                  <v>0.1032763330745394</v>
                </pt>
                <pt idx="100">
                  <v>0.1032828947717993</v>
                </pt>
                <pt idx="101">
                  <v>0.1032828947717993</v>
                </pt>
                <pt idx="102">
                  <v>0.1059559685832174</v>
                </pt>
                <pt idx="103">
                  <v>0.1059559685832174</v>
                </pt>
                <pt idx="104">
                  <v>0.1067030829399623</v>
                </pt>
                <pt idx="105">
                  <v>0.1039597853771106</v>
                </pt>
                <pt idx="106">
                  <v>0.1039597853771106</v>
                </pt>
                <pt idx="107">
                  <v>0.1039597853771106</v>
                </pt>
                <pt idx="108">
                  <v>0.1031368195279548</v>
                </pt>
                <pt idx="109">
                  <v>0.08749999999999999</v>
                </pt>
                <pt idx="110">
                  <v>0.08749999999999999</v>
                </pt>
                <pt idx="111">
                  <v>0.08749999999999999</v>
                </pt>
                <pt idx="112">
                  <v>0.08749999999999999</v>
                </pt>
                <pt idx="113">
                  <v>0.08749999999999999</v>
                </pt>
                <pt idx="114">
                  <v>0.08749999999999999</v>
                </pt>
                <pt idx="115">
                  <v>0.08749999999999999</v>
                </pt>
                <pt idx="116">
                  <v>0.08749999999999999</v>
                </pt>
                <pt idx="117">
                  <v>0.106</v>
                </pt>
                <pt idx="118">
                  <v>0.106</v>
                </pt>
                <pt idx="119">
                  <v>0.106</v>
                </pt>
                <pt idx="120">
                  <v>0.106</v>
                </pt>
                <pt idx="121">
                  <v>0.106</v>
                </pt>
                <pt idx="122">
                  <v>0.1075000692348168</v>
                </pt>
                <pt idx="123">
                  <v>0.1082679155099753</v>
                </pt>
                <pt idx="124">
                  <v>0.1082679155099753</v>
                </pt>
                <pt idx="125">
                  <v>0.1082679155099753</v>
                </pt>
                <pt idx="126">
                  <v>0.1082679155099753</v>
                </pt>
                <pt idx="127">
                  <v>0.1082679155099753</v>
                </pt>
                <pt idx="128">
                  <v>0.1082679155099753</v>
                </pt>
                <pt idx="129">
                  <v>0.1082679155099753</v>
                </pt>
                <pt idx="130">
                  <v>0.1125159516893489</v>
                </pt>
                <pt idx="131">
                  <v>0.1125159516893489</v>
                </pt>
                <pt idx="132">
                  <v>0.1125159516893489</v>
                </pt>
                <pt idx="133">
                  <v>0.1125159516893489</v>
                </pt>
                <pt idx="134">
                  <v>0.1054931884980823</v>
                </pt>
                <pt idx="135">
                  <v>0.1037219018545566</v>
                </pt>
                <pt idx="136">
                  <v>0.1037219018545566</v>
                </pt>
                <pt idx="137">
                  <v>0.1037219018545566</v>
                </pt>
                <pt idx="138">
                  <v>0.1037219018545566</v>
                </pt>
                <pt idx="139">
                  <v>0.1037219018545566</v>
                </pt>
                <pt idx="140">
                  <v>0.1037219018545566</v>
                </pt>
                <pt idx="141">
                  <v>0.1024361568810028</v>
                </pt>
                <pt idx="142">
                  <v>0.09314822329745617</v>
                </pt>
                <pt idx="143">
                  <v>0.09314822329745617</v>
                </pt>
                <pt idx="144">
                  <v>0.09314822329745617</v>
                </pt>
                <pt idx="145">
                  <v>0.09314822329745617</v>
                </pt>
                <pt idx="146">
                  <v>0.09986466693389541</v>
                </pt>
                <pt idx="147">
                  <v>0.09986466693389541</v>
                </pt>
                <pt idx="148">
                  <v>0.09986466693389541</v>
                </pt>
                <pt idx="149">
                  <v>0.09986466693389541</v>
                </pt>
                <pt idx="150">
                  <v>0.09986466693389541</v>
                </pt>
                <pt idx="151">
                  <v>0.09986466693389541</v>
                </pt>
                <pt idx="152">
                  <v>0.09986466693389541</v>
                </pt>
                <pt idx="153">
                  <v>0.09</v>
                </pt>
                <pt idx="154">
                  <v>0.09</v>
                </pt>
                <pt idx="155">
                  <v>0.09</v>
                </pt>
                <pt idx="156">
                  <v>0.09</v>
                </pt>
                <pt idx="157">
                  <v>0.09</v>
                </pt>
                <pt idx="158">
                  <v>0.08055384615384616</v>
                </pt>
                <pt idx="159">
                  <v>0.08055384615384616</v>
                </pt>
                <pt idx="160">
                  <v>0.08055384615384616</v>
                </pt>
                <pt idx="161">
                  <v>0.08055384615384616</v>
                </pt>
                <pt idx="162">
                  <v>0.08055384615384616</v>
                </pt>
                <pt idx="163">
                  <v>0.08055384615384616</v>
                </pt>
                <pt idx="164">
                  <v>0.08055384615384616</v>
                </pt>
                <pt idx="165">
                  <v>0.08055384615384616</v>
                </pt>
                <pt idx="166">
                  <v>0.08055384615384616</v>
                </pt>
                <pt idx="167">
                  <v>0.08055384615384616</v>
                </pt>
                <pt idx="168">
                  <v>0.08055384615384616</v>
                </pt>
                <pt idx="169">
                  <v>0.08055384615384616</v>
                </pt>
                <pt idx="170">
                  <v>0.09</v>
                </pt>
                <pt idx="171">
                  <v>0.09</v>
                </pt>
                <pt idx="172">
                  <v>0.09</v>
                </pt>
                <pt idx="173">
                  <v>0.09</v>
                </pt>
                <pt idx="174">
                  <v>0.09</v>
                </pt>
                <pt idx="175">
                  <v>0.09</v>
                </pt>
                <pt idx="176">
                  <v>0.09</v>
                </pt>
                <pt idx="177">
                  <v>0.09</v>
                </pt>
                <pt idx="178">
                  <v>0.073559</v>
                </pt>
                <pt idx="179">
                  <v>0.073559</v>
                </pt>
                <pt idx="180">
                  <v>0.073559</v>
                </pt>
                <pt idx="181">
                  <v>0.073559</v>
                </pt>
                <pt idx="182">
                  <v>0.073559</v>
                </pt>
                <pt idx="183">
                  <v>0.06922178048780488</v>
                </pt>
                <pt idx="184">
                  <v>0.06922178048780488</v>
                </pt>
                <pt idx="185">
                  <v>0.06922178048780488</v>
                </pt>
                <pt idx="186">
                  <v>0.06922178048780488</v>
                </pt>
                <pt idx="187">
                  <v>0.06922178048780488</v>
                </pt>
                <pt idx="188">
                  <v>0.06922178048780488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3175" cap="flat" cmpd="sng" algn="ctr">
              <a:solidFill>
                <a:schemeClr val="bg1">
                  <a:alpha val="50000"/>
                  <a:lumMod val="75000"/>
                </a:schemeClr>
              </a:solidFill>
              <a:prstDash val="sysDot"/>
              <a:round/>
            </a:ln>
          </spPr>
        </hiLowLines>
        <smooth val="0"/>
        <axId val="724604184"/>
        <axId val="724597624"/>
      </lineChart>
      <dateAx>
        <axId val="724604184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597624"/>
        <crosses val="autoZero"/>
        <lblOffset val="100"/>
        <baseTimeUnit val="days"/>
      </dateAx>
      <valAx>
        <axId val="724597624"/>
        <scaling>
          <orientation val="minMax"/>
          <min val="0.05000000000000001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460418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4735365357811286"/>
          <y val="0.9257266871813438"/>
          <w val="0.4028214525708342"/>
          <h val="0.04199881257725372"/>
        </manualLayout>
      </layout>
      <overlay val="0"/>
      <spPr>
        <a:noFill xmlns:a="http://schemas.openxmlformats.org/drawingml/2006/main"/>
        <a:ln xmlns:a="http://schemas.openxmlformats.org/drawingml/2006/main" w="635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'SSA Charts'!$I$2</f>
              <strCache>
                <ptCount val="1"/>
                <pt idx="0">
                  <v>y-o-y Change (%)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9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7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8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4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74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'SSA Charts'!$B$3:$B$279</f>
              <strCache>
                <ptCount val="27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  <pt idx="216">
                  <v>4Q-2004</v>
                </pt>
                <pt idx="219">
                  <v>3Q-2004</v>
                </pt>
                <pt idx="222">
                  <v>2Q-2004</v>
                </pt>
                <pt idx="225">
                  <v>1Q-2004</v>
                </pt>
                <pt idx="228">
                  <v>4Q-2003</v>
                </pt>
                <pt idx="231">
                  <v>3Q-2003</v>
                </pt>
                <pt idx="234">
                  <v>2Q-2003</v>
                </pt>
                <pt idx="237">
                  <v>1Q-2003</v>
                </pt>
                <pt idx="240">
                  <v>4Q-2002</v>
                </pt>
                <pt idx="243">
                  <v>3Q-2002</v>
                </pt>
                <pt idx="246">
                  <v>2Q-2002</v>
                </pt>
                <pt idx="249">
                  <v>1Q-2002</v>
                </pt>
                <pt idx="252">
                  <v>4Q-2001</v>
                </pt>
                <pt idx="255">
                  <v>3Q-2001</v>
                </pt>
                <pt idx="258">
                  <v>2Q-2001</v>
                </pt>
                <pt idx="261">
                  <v>1Q-2001</v>
                </pt>
                <pt idx="264">
                  <v>4Q-2000</v>
                </pt>
                <pt idx="267">
                  <v>3Q-2000</v>
                </pt>
                <pt idx="270">
                  <v>2Q-2000</v>
                </pt>
                <pt idx="273">
                  <v>1Q-2000</v>
                </pt>
              </strCache>
            </strRef>
          </cat>
          <val>
            <numRef>
              <f>'SSA Charts'!$I$3:$I$279</f>
              <numCache>
                <formatCode>0%</formatCode>
                <ptCount val="277"/>
                <pt idx="0">
                  <v>-0.06966379483310488</v>
                </pt>
                <pt idx="1">
                  <v>0.008203374440389074</v>
                </pt>
                <pt idx="2">
                  <v>0.2214105746558303</v>
                </pt>
                <pt idx="3">
                  <v>0.3893874106415718</v>
                </pt>
                <pt idx="4">
                  <v>0.4135032473703809</v>
                </pt>
                <pt idx="5">
                  <v>0.4937910134012858</v>
                </pt>
                <pt idx="6">
                  <v>0.5142767828540949</v>
                </pt>
                <pt idx="7">
                  <v>0.548239764409357</v>
                </pt>
                <pt idx="8">
                  <v>0.9602811373109221</v>
                </pt>
                <pt idx="9">
                  <v>0.9240949333824591</v>
                </pt>
                <pt idx="10">
                  <v>0.8095014681311514</v>
                </pt>
                <pt idx="11">
                  <v>0.9299441633370908</v>
                </pt>
                <pt idx="12">
                  <v>0.5262691615964524</v>
                </pt>
                <pt idx="13">
                  <v>0.1928591271939682</v>
                </pt>
                <pt idx="14">
                  <v>0.1039367240627479</v>
                </pt>
                <pt idx="15">
                  <v>-0.1276222980985811</v>
                </pt>
                <pt idx="16">
                  <v>-0.2205965782072941</v>
                </pt>
                <pt idx="17">
                  <v>-0.2650392956649877</v>
                </pt>
                <pt idx="18">
                  <v>-0.2960360188636165</v>
                </pt>
                <pt idx="19">
                  <v>-0.4296524135073544</v>
                </pt>
                <pt idx="20">
                  <v>-0.4173230640718887</v>
                </pt>
                <pt idx="21">
                  <v>-0.4646744793256465</v>
                </pt>
                <pt idx="22">
                  <v>-0.5322411770214192</v>
                </pt>
                <pt idx="23">
                  <v>-0.4102416728230107</v>
                </pt>
                <pt idx="24">
                  <v>-0.261941076735471</v>
                </pt>
                <pt idx="25">
                  <v>-0.1329752321974567</v>
                </pt>
                <pt idx="26">
                  <v>-0.1056535227231129</v>
                </pt>
                <pt idx="27">
                  <v>0.08308092806692338</v>
                </pt>
                <pt idx="28">
                  <v>0.1016859318230298</v>
                </pt>
                <pt idx="29">
                  <v>0.228813614441962</v>
                </pt>
                <pt idx="30">
                  <v>0.3662396051800135</v>
                </pt>
                <pt idx="31">
                  <v>0.1312826380745024</v>
                </pt>
                <pt idx="32">
                  <v>0.1586892522336926</v>
                </pt>
                <pt idx="33">
                  <v>0.5350606771812907</v>
                </pt>
                <pt idx="34">
                  <v>0.5365218132244557</v>
                </pt>
                <pt idx="35">
                  <v>0.05361572871564511</v>
                </pt>
                <pt idx="36">
                  <v>-0.1191378362641993</v>
                </pt>
                <pt idx="37">
                  <v>-0.02317021046597246</v>
                </pt>
                <pt idx="38">
                  <v>0.05727175981312806</v>
                </pt>
                <pt idx="39">
                  <v>-0.1401931296907251</v>
                </pt>
                <pt idx="40">
                  <v>-0.1831871508833202</v>
                </pt>
                <pt idx="41">
                  <v>-0.2953083585871883</v>
                </pt>
                <pt idx="42">
                  <v>-0.1289493998154364</v>
                </pt>
                <pt idx="43">
                  <v>0.1721040538527314</v>
                </pt>
                <pt idx="44">
                  <v>-0.1017772464575933</v>
                </pt>
                <pt idx="45">
                  <v>-0.1939950762045523</v>
                </pt>
                <pt idx="46">
                  <v>0.07095528792897444</v>
                </pt>
                <pt idx="47">
                  <v>0.22968149067232</v>
                </pt>
                <pt idx="48">
                  <v>0.1548846817738904</v>
                </pt>
                <pt idx="49">
                  <v>-0.0948638544369776</v>
                </pt>
                <pt idx="50">
                  <v>0.06419691915204513</v>
                </pt>
                <pt idx="51">
                  <v>0.2619949363443154</v>
                </pt>
                <pt idx="52">
                  <v>0.3546394466129987</v>
                </pt>
                <pt idx="53">
                  <v>0.2652798137639804</v>
                </pt>
                <pt idx="54">
                  <v>-0.01371815210502028</v>
                </pt>
                <pt idx="55">
                  <v>-0.007160478761972277</v>
                </pt>
                <pt idx="56">
                  <v>-0.01117704432569499</v>
                </pt>
                <pt idx="57">
                  <v>0.02286627088231718</v>
                </pt>
                <pt idx="58">
                  <v>-0.1987379521700394</v>
                </pt>
                <pt idx="59">
                  <v>-0.1251188920777356</v>
                </pt>
                <pt idx="60">
                  <v>-0.05130034796736635</v>
                </pt>
                <pt idx="61">
                  <v>-0.01718332861745627</v>
                </pt>
                <pt idx="62">
                  <v>-0.2220321856432941</v>
                </pt>
                <pt idx="63">
                  <v>-0.2469134850565785</v>
                </pt>
                <pt idx="64">
                  <v>-0.3032918491420661</v>
                </pt>
                <pt idx="65">
                  <v>-0.3152196776282664</v>
                </pt>
                <pt idx="66">
                  <v>-0.341006549357504</v>
                </pt>
                <pt idx="67">
                  <v>-0.3350591695184066</v>
                </pt>
                <pt idx="68">
                  <v>-0.363483811905283</v>
                </pt>
                <pt idx="69">
                  <v>-0.2711419352949469</v>
                </pt>
                <pt idx="70">
                  <v>-0.1842507833328513</v>
                </pt>
                <pt idx="71">
                  <v>-0.2127407509437858</v>
                </pt>
                <pt idx="72">
                  <v>-0.2402729110001325</v>
                </pt>
                <pt idx="73">
                  <v>-0.176460352587258</v>
                </pt>
                <pt idx="74">
                  <v>-0.1527465142921196</v>
                </pt>
                <pt idx="75">
                  <v>-0.0586881771844836</v>
                </pt>
                <pt idx="76">
                  <v>0.1432105417034341</v>
                </pt>
                <pt idx="77">
                  <v>0.2068749312259285</v>
                </pt>
                <pt idx="78">
                  <v>0.4735855227697875</v>
                </pt>
                <pt idx="79">
                  <v>0.6677024168671085</v>
                </pt>
                <pt idx="80">
                  <v>1.180848326736324</v>
                </pt>
                <pt idx="81">
                  <v>1.111007054549603</v>
                </pt>
                <pt idx="82">
                  <v>0.590638365371556</v>
                </pt>
                <pt idx="83">
                  <v>0.6377150621805652</v>
                </pt>
                <pt idx="84">
                  <v>0.8166721517488681</v>
                </pt>
                <pt idx="85">
                  <v>0.8199522476717501</v>
                </pt>
                <pt idx="86">
                  <v>0.4785360709405195</v>
                </pt>
                <pt idx="87">
                  <v>-0.02699328754776709</v>
                </pt>
                <pt idx="88">
                  <v>-0.01954263377422047</v>
                </pt>
                <pt idx="89">
                  <v>-0.0982099381871656</v>
                </pt>
                <pt idx="90">
                  <v>-0.2774975287864649</v>
                </pt>
                <pt idx="91">
                  <v>-0.4231210450021706</v>
                </pt>
                <pt idx="92">
                  <v>-0.4684387937249128</v>
                </pt>
                <pt idx="93">
                  <v>-0.325090619291719</v>
                </pt>
                <pt idx="94">
                  <v>-0.331164701360161</v>
                </pt>
                <pt idx="95">
                  <v>-0.4337359741774943</v>
                </pt>
                <pt idx="96">
                  <v>-0.4390414102651372</v>
                </pt>
                <pt idx="97">
                  <v>-0.3877562633554747</v>
                </pt>
                <pt idx="98">
                  <v>-0.005824877700798834</v>
                </pt>
                <pt idx="99">
                  <v>0.3113378042580065</v>
                </pt>
                <pt idx="100">
                  <v>0.2621490946469391</v>
                </pt>
                <pt idx="101">
                  <v>0.5988284629968579</v>
                </pt>
                <pt idx="102">
                  <v>0.787658432342738</v>
                </pt>
                <pt idx="103">
                  <v>0.7634945313124848</v>
                </pt>
                <pt idx="104">
                  <v>0.588660564497676</v>
                </pt>
                <pt idx="105">
                  <v>0.5684997787157703</v>
                </pt>
                <pt idx="106">
                  <v>1.071278263909178</v>
                </pt>
                <pt idx="107">
                  <v>1.446551191017315</v>
                </pt>
                <pt idx="108">
                  <v>1.542263968084512</v>
                </pt>
                <pt idx="109">
                  <v>1.401065614538461</v>
                </pt>
                <pt idx="110">
                  <v>0.8936194370091368</v>
                </pt>
                <pt idx="111">
                  <v>0.5308985219673275</v>
                </pt>
                <pt idx="112">
                  <v>0.1319599965634909</v>
                </pt>
                <pt idx="113">
                  <v>-0.1731754084413665</v>
                </pt>
                <pt idx="114">
                  <v>-0.1909168736982313</v>
                </pt>
                <pt idx="115">
                  <v>-0.1270518403372717</v>
                </pt>
                <pt idx="116">
                  <v>-0.2495332945263019</v>
                </pt>
                <pt idx="117">
                  <v>-0.463619323408025</v>
                </pt>
                <pt idx="118">
                  <v>-0.5232515261168369</v>
                </pt>
                <pt idx="119">
                  <v>-0.4664669769618288</v>
                </pt>
                <pt idx="120">
                  <v>-0.5281743310123252</v>
                </pt>
                <pt idx="121">
                  <v>-0.5467749025591426</v>
                </pt>
                <pt idx="122">
                  <v>-0.5093939240094647</v>
                </pt>
                <pt idx="123">
                  <v>-0.4037630114164378</v>
                </pt>
                <pt idx="124">
                  <v>-0.2667479049794781</v>
                </pt>
                <pt idx="125">
                  <v>-0.1650778825104306</v>
                </pt>
                <pt idx="126">
                  <v>-0.1966702322020681</v>
                </pt>
                <pt idx="127">
                  <v>-0.0493882715074108</v>
                </pt>
                <pt idx="128">
                  <v>0.3401181124551362</v>
                </pt>
                <pt idx="129">
                  <v>0.5669337357321991</v>
                </pt>
                <pt idx="130">
                  <v>0.4651606151523823</v>
                </pt>
                <pt idx="131">
                  <v>0.5195372472149637</v>
                </pt>
                <pt idx="132">
                  <v>0.4346004810627688</v>
                </pt>
                <pt idx="133">
                  <v>0.8082741744258781</v>
                </pt>
                <pt idx="134">
                  <v>1.305276995636315</v>
                </pt>
                <pt idx="135">
                  <v>1.860049057036404</v>
                </pt>
                <pt idx="136">
                  <v>2.080361367611598</v>
                </pt>
                <pt idx="137">
                  <v>2.586726750363709</v>
                </pt>
                <pt idx="138">
                  <v>4.313465247355093</v>
                </pt>
                <pt idx="139">
                  <v>3.495811570537758</v>
                </pt>
                <pt idx="140">
                  <v>3.329528379340156</v>
                </pt>
                <pt idx="141">
                  <v>2.543127900902316</v>
                </pt>
                <pt idx="142">
                  <v>1.222237224326585</v>
                </pt>
                <pt idx="143">
                  <v>1.390158198358473</v>
                </pt>
                <pt idx="144">
                  <v>1.812919805712343</v>
                </pt>
                <pt idx="145">
                  <v>1.178372535608169</v>
                </pt>
                <pt idx="146">
                  <v>0.7895704363560834</v>
                </pt>
                <pt idx="147">
                  <v>0.3163705435097216</v>
                </pt>
                <pt idx="148">
                  <v>0.3230097270235304</v>
                </pt>
                <pt idx="149">
                  <v>-0.1148147813525137</v>
                </pt>
                <pt idx="150">
                  <v>-0.254758989309799</v>
                </pt>
                <pt idx="151">
                  <v>-0.4988780695539469</v>
                </pt>
                <pt idx="152">
                  <v>-0.4528144031743865</v>
                </pt>
                <pt idx="153">
                  <v>-0.08095309781325291</v>
                </pt>
                <pt idx="154">
                  <v>-0.09924206841856001</v>
                </pt>
                <pt idx="155">
                  <v>-0.2980942545874321</v>
                </pt>
                <pt idx="156">
                  <v>-0.3740959227051276</v>
                </pt>
                <pt idx="157">
                  <v>-0.478255085374611</v>
                </pt>
                <pt idx="158">
                  <v>-0.3694486108369337</v>
                </pt>
                <pt idx="159">
                  <v>-0.4303024679061939</v>
                </pt>
                <pt idx="160">
                  <v>-0.4406036011776595</v>
                </pt>
                <pt idx="161">
                  <v>-0.4004503290407884</v>
                </pt>
                <pt idx="162">
                  <v>-0.2692675979698199</v>
                </pt>
                <pt idx="163">
                  <v>-0.2733965019404967</v>
                </pt>
                <pt idx="164">
                  <v>-0.3345720096353272</v>
                </pt>
                <pt idx="165">
                  <v>-0.33589350856522</v>
                </pt>
                <pt idx="166">
                  <v>-0.3632914780539201</v>
                </pt>
                <pt idx="167">
                  <v>-0.5187539371554191</v>
                </pt>
                <pt idx="168">
                  <v>-0.4317822111047733</v>
                </pt>
                <pt idx="169">
                  <v>-0.4572369466056934</v>
                </pt>
                <pt idx="170">
                  <v>-0.4988319144676843</v>
                </pt>
                <pt idx="171">
                  <v>-0.4736432487967487</v>
                </pt>
                <pt idx="172">
                  <v>-0.465838308909439</v>
                </pt>
                <pt idx="173">
                  <v>-0.4364548832472673</v>
                </pt>
                <pt idx="174">
                  <v>-0.3673111068353113</v>
                </pt>
                <pt idx="175">
                  <v>-0.3126036335146354</v>
                </pt>
                <pt idx="176">
                  <v>-0.3694240162862592</v>
                </pt>
                <pt idx="177">
                  <v>-0.3542238207064434</v>
                </pt>
                <pt idx="178">
                  <v>0.02398287282982766</v>
                </pt>
                <pt idx="179">
                  <v>0.5044060762546489</v>
                </pt>
                <pt idx="180">
                  <v>0.4162261117097233</v>
                </pt>
                <pt idx="181">
                  <v>0.4012917130721378</v>
                </pt>
                <pt idx="182">
                  <v>0.5895264216041448</v>
                </pt>
                <pt idx="183">
                  <v>0.680336195712009</v>
                </pt>
                <pt idx="184">
                  <v>0.5718767193395699</v>
                </pt>
                <pt idx="185">
                  <v>0.3018916157864394</v>
                </pt>
                <pt idx="186">
                  <v>0.1758559939117942</v>
                </pt>
                <pt idx="187">
                  <v>0.3062841771759645</v>
                </pt>
                <pt idx="188">
                  <v>0.5727388477994544</v>
                </pt>
                <pt idx="189">
                  <v>0.49171272750286</v>
                </pt>
                <pt idx="190">
                  <v>0.0977830876982516</v>
                </pt>
                <pt idx="191">
                  <v>0.008554374252157862</v>
                </pt>
                <pt idx="192">
                  <v>0.09815276965819662</v>
                </pt>
                <pt idx="193">
                  <v>-0.04716220381513309</v>
                </pt>
                <pt idx="194">
                  <v>-0.1340888237123798</v>
                </pt>
                <pt idx="195">
                  <v>-0.08169291047408936</v>
                </pt>
                <pt idx="196">
                  <v>0.2006122622535715</v>
                </pt>
                <pt idx="197">
                  <v>0.4699432971834497</v>
                </pt>
                <pt idx="198">
                  <v>0.5022584363154275</v>
                </pt>
                <pt idx="199">
                  <v>0.1447000059789165</v>
                </pt>
                <pt idx="200">
                  <v>0.00387722972298263</v>
                </pt>
                <pt idx="201">
                  <v>-0.1165673701479263</v>
                </pt>
                <pt idx="202">
                  <v>-0.1465410067244569</v>
                </pt>
                <pt idx="203">
                  <v>-0.07861554740617362</v>
                </pt>
                <pt idx="204">
                  <v>-0.0799189612455946</v>
                </pt>
                <pt idx="205">
                  <v>0.123840308668403</v>
                </pt>
                <pt idx="206">
                  <v>0.1548939076004535</v>
                </pt>
                <pt idx="207">
                  <v>0.06913556911385656</v>
                </pt>
                <pt idx="208">
                  <v>-0.1344406161111444</v>
                </pt>
                <pt idx="209">
                  <v>-0.2298139726872268</v>
                </pt>
                <pt idx="210">
                  <v>-0.06734753852430844</v>
                </pt>
                <pt idx="211">
                  <v>0.3862307576469763</v>
                </pt>
                <pt idx="212">
                  <v>0.08289659012440594</v>
                </pt>
                <pt idx="213">
                  <v>0.2084839772471416</v>
                </pt>
                <pt idx="214">
                  <v>0.3123242363790651</v>
                </pt>
                <pt idx="215">
                  <v>0.152991372560595</v>
                </pt>
                <pt idx="216">
                  <v>0.0570367976224095</v>
                </pt>
                <pt idx="217">
                  <v>-0.0962185835266792</v>
                </pt>
                <pt idx="218">
                  <v>-0.0575320348091848</v>
                </pt>
                <pt idx="219">
                  <v>-0.02686680980936325</v>
                </pt>
                <pt idx="220">
                  <v>0.2106200376474703</v>
                </pt>
                <pt idx="221">
                  <v>-0.1395905310365702</v>
                </pt>
                <pt idx="222">
                  <v>-0.3573422651143008</v>
                </pt>
                <pt idx="223">
                  <v>-0.1564557704964691</v>
                </pt>
                <pt idx="224">
                  <v>0.2377410842178807</v>
                </pt>
                <pt idx="225">
                  <v>0.1256740412596427</v>
                </pt>
                <pt idx="226">
                  <v>0.1904987736289155</v>
                </pt>
                <pt idx="227">
                  <v>0.4052203818364912</v>
                </pt>
                <pt idx="228">
                  <v>0.6275440802198877</v>
                </pt>
                <pt idx="229">
                  <v>0.9803415961611742</v>
                </pt>
                <pt idx="230">
                  <v>0.8452114156032038</v>
                </pt>
                <pt idx="231">
                  <v>0.6154011993655902</v>
                </pt>
                <pt idx="232">
                  <v>1.101293492912266</v>
                </pt>
                <pt idx="233">
                  <v>3.357604492942218</v>
                </pt>
                <pt idx="234">
                  <v>3.498427380323033</v>
                </pt>
                <pt idx="235">
                  <v>2.192442885385922</v>
                </pt>
                <pt idx="236">
                  <v>2.065760716070304</v>
                </pt>
                <pt idx="237">
                  <v>1.861298521122903</v>
                </pt>
                <pt idx="238">
                  <v>2.404038160840365</v>
                </pt>
                <pt idx="239">
                  <v>2.775204402722304</v>
                </pt>
                <pt idx="240">
                  <v>0.5881660075432268</v>
                </pt>
                <pt idx="241">
                  <v>0.8726959191127179</v>
                </pt>
                <pt idx="242">
                  <v>0.6715148747462188</v>
                </pt>
                <pt idx="243">
                  <v>0.2948595737825029</v>
                </pt>
                <pt idx="244">
                  <v>-0.3924230131619411</v>
                </pt>
                <pt idx="245">
                  <v>-0.4245855688475885</v>
                </pt>
                <pt idx="246">
                  <v>-0.5571104959161625</v>
                </pt>
                <pt idx="247">
                  <v>-0.5571104959161625</v>
                </pt>
                <pt idx="248">
                  <v>-0.5476174052796523</v>
                </pt>
                <pt idx="249">
                  <v>-0.6456044083467211</v>
                </pt>
                <pt idx="250">
                  <v>-0.6903305519555207</v>
                </pt>
                <pt idx="251">
                  <v>-0.4198605559842506</v>
                </pt>
                <pt idx="252">
                  <v>-0.2605852391207739</v>
                </pt>
                <pt idx="253">
                  <v>-0.1715903781948291</v>
                </pt>
                <pt idx="254">
                  <v>0.2030543021228591</v>
                </pt>
                <pt idx="255">
                  <v>0.4059243422319814</v>
                </pt>
                <pt idx="256">
                  <v>0.4380355175469011</v>
                </pt>
                <pt idx="257">
                  <v>1.037021896175169</v>
                </pt>
                <pt idx="258">
                  <v>1.327946804561803</v>
                </pt>
                <pt idx="259">
                  <v>1.560741485017983</v>
                </pt>
                <pt idx="260">
                  <v>1.621635926120291</v>
                </pt>
                <pt idx="261">
                  <v>2.293464383341373</v>
                </pt>
                <pt idx="262">
                  <v>2.293464383341373</v>
                </pt>
                <pt idx="263">
                  <v>-0.3520347976214283</v>
                </pt>
                <pt idx="264">
                  <v>-0.3520347976214283</v>
                </pt>
                <pt idx="265">
                  <v>-0.4240309312190474</v>
                </pt>
                <pt idx="266">
                  <v>-0.5071412840134978</v>
                </pt>
                <pt idx="267">
                  <v>-0.4939953359490997</v>
                </pt>
                <pt idx="268">
                  <v>-0.5358976187599971</v>
                </pt>
                <pt idx="269">
                  <v>-0.5938967716958312</v>
                </pt>
                <pt idx="270">
                  <v>-0.4371827621147249</v>
                </pt>
                <pt idx="271">
                  <v>-0.5075349168503843</v>
                </pt>
                <pt idx="272">
                  <v>-0.6079920703332445</v>
                </pt>
                <pt idx="273">
                  <v>-0.5099900879165556</v>
                </pt>
                <pt idx="274">
                  <v>0.7785785086310314</v>
                </pt>
                <pt idx="275">
                  <v>11.37553258145363</v>
                </pt>
                <pt idx="276">
                  <v>3.125177527151211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3265215"/>
        <axId val="393249823"/>
      </lineChart>
      <dateAx>
        <axId val="393265215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3249823"/>
        <crosses val="autoZero"/>
        <lblOffset val="100"/>
        <baseTimeUnit val="months"/>
      </dateAx>
      <valAx>
        <axId val="393249823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326521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1528908574878817"/>
          <y val="0.02853881278538813"/>
          <w val="0.9315242671280169"/>
          <h val="0.6831510145135968"/>
        </manualLayout>
      </layout>
      <lineChart>
        <grouping val="standard"/>
        <varyColors val="0"/>
        <ser>
          <idx val="2"/>
          <order val="0"/>
          <tx>
            <strRef>
              <f>'SSA Charts'!$AF$2</f>
              <strCache>
                <ptCount val="1"/>
                <pt idx="0">
                  <v>10-Year Treasury Yield</v>
                </pt>
              </strCache>
            </strRef>
          </tx>
          <spPr>
            <a:ln xmlns:a="http://schemas.openxmlformats.org/drawingml/2006/main"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Charts'!$B$3:$B$217</f>
              <strCache>
                <ptCount val="21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</strCache>
            </strRef>
          </cat>
          <val>
            <numRef>
              <f>'SSA Charts'!$AF$3:$AF$217</f>
              <numCache>
                <formatCode>0.00%</formatCode>
                <ptCount val="215"/>
                <pt idx="0">
                  <v>0.0353</v>
                </pt>
                <pt idx="1">
                  <v>0.0387</v>
                </pt>
                <pt idx="2">
                  <v>0.037</v>
                </pt>
                <pt idx="3">
                  <v>0.0405</v>
                </pt>
                <pt idx="4">
                  <v>0.03804</v>
                </pt>
                <pt idx="5">
                  <v>0.03133</v>
                </pt>
                <pt idx="6">
                  <v>0.02642</v>
                </pt>
                <pt idx="7">
                  <v>0.02972</v>
                </pt>
                <pt idx="8">
                  <v>0.02844</v>
                </pt>
                <pt idx="9">
                  <v>0.02887</v>
                </pt>
                <pt idx="10">
                  <v>0.02327</v>
                </pt>
                <pt idx="11">
                  <v>0.01839</v>
                </pt>
                <pt idx="12">
                  <v>0.01782</v>
                </pt>
                <pt idx="13">
                  <v>0.01512</v>
                </pt>
                <pt idx="14">
                  <v>0.01443</v>
                </pt>
                <pt idx="15">
                  <v>0.01557</v>
                </pt>
                <pt idx="16">
                  <v>0.01529</v>
                </pt>
                <pt idx="17">
                  <v>0.01304</v>
                </pt>
                <pt idx="18">
                  <v>0.01239</v>
                </pt>
                <pt idx="19">
                  <v>0.01443</v>
                </pt>
                <pt idx="20">
                  <v>0.01581</v>
                </pt>
                <pt idx="21">
                  <v>0.01631</v>
                </pt>
                <pt idx="22">
                  <v>0.01746</v>
                </pt>
                <pt idx="23">
                  <v>0.0146</v>
                </pt>
                <pt idx="24">
                  <v>0.01093</v>
                </pt>
                <pt idx="25">
                  <v>0.009170000000000001</v>
                </pt>
                <pt idx="26">
                  <v>0.00844</v>
                </pt>
                <pt idx="27">
                  <v>0.0086</v>
                </pt>
                <pt idx="28">
                  <v>0.006770000000000001</v>
                </pt>
                <pt idx="29">
                  <v>0.00693</v>
                </pt>
                <pt idx="30">
                  <v>0.00536</v>
                </pt>
                <pt idx="31">
                  <v>0.00653</v>
                </pt>
                <pt idx="32">
                  <v>0.006480000000000001</v>
                </pt>
                <pt idx="33">
                  <v>0.00622</v>
                </pt>
                <pt idx="34">
                  <v>0.00698</v>
                </pt>
                <pt idx="35">
                  <v>0.01127</v>
                </pt>
                <pt idx="36">
                  <v>0.0152</v>
                </pt>
                <pt idx="37">
                  <v>0.01919</v>
                </pt>
                <pt idx="38">
                  <v>0.01776</v>
                </pt>
                <pt idx="39">
                  <v>0.01691</v>
                </pt>
                <pt idx="40">
                  <v>0.01675</v>
                </pt>
                <pt idx="41">
                  <v>0.01506</v>
                </pt>
                <pt idx="42">
                  <v>0.02021</v>
                </pt>
                <pt idx="43">
                  <v>0.02</v>
                </pt>
                <pt idx="44">
                  <v>0.02142</v>
                </pt>
                <pt idx="45">
                  <v>0.02509</v>
                </pt>
                <pt idx="46">
                  <v>0.02414</v>
                </pt>
                <pt idx="47">
                  <v>0.02711</v>
                </pt>
                <pt idx="48">
                  <v>0.02635</v>
                </pt>
                <pt idx="49">
                  <v>0.02686</v>
                </pt>
                <pt idx="50">
                  <v>0.03013</v>
                </pt>
                <pt idx="51">
                  <v>0.03159</v>
                </pt>
                <pt idx="52">
                  <v>0.03056</v>
                </pt>
                <pt idx="53">
                  <v>0.02853</v>
                </pt>
                <pt idx="54">
                  <v>0.02964</v>
                </pt>
                <pt idx="55">
                  <v>0.02849</v>
                </pt>
                <pt idx="56">
                  <v>0.02822</v>
                </pt>
                <pt idx="57">
                  <v>0.02936</v>
                </pt>
                <pt idx="58">
                  <v>0.02741</v>
                </pt>
                <pt idx="59">
                  <v>0.02868</v>
                </pt>
                <pt idx="60">
                  <v>0.0272</v>
                </pt>
                <pt idx="61">
                  <v>0.02405</v>
                </pt>
                <pt idx="62">
                  <v>0.02417</v>
                </pt>
                <pt idx="63">
                  <v>0.02376</v>
                </pt>
                <pt idx="64">
                  <v>0.02326</v>
                </pt>
                <pt idx="65">
                  <v>0.02121</v>
                </pt>
                <pt idx="66">
                  <v>0.02292</v>
                </pt>
                <pt idx="67">
                  <v>0.02302</v>
                </pt>
                <pt idx="68">
                  <v>0.02196</v>
                </pt>
                <pt idx="69">
                  <v>0.02282</v>
                </pt>
                <pt idx="70">
                  <v>0.02396</v>
                </pt>
                <pt idx="71">
                  <v>0.02358</v>
                </pt>
                <pt idx="72">
                  <v>0.02451</v>
                </pt>
                <pt idx="73">
                  <v>0.02446</v>
                </pt>
                <pt idx="74">
                  <v>0.02368</v>
                </pt>
                <pt idx="75">
                  <v>0.01834</v>
                </pt>
                <pt idx="76">
                  <v>0.01608</v>
                </pt>
                <pt idx="77">
                  <v>0.01568</v>
                </pt>
                <pt idx="78">
                  <v>0.01458</v>
                </pt>
                <pt idx="79">
                  <v>0.01488</v>
                </pt>
                <pt idx="80">
                  <v>0.01834</v>
                </pt>
                <pt idx="81">
                  <v>0.01819</v>
                </pt>
                <pt idx="82">
                  <v>0.01786</v>
                </pt>
                <pt idx="83">
                  <v>0.0174</v>
                </pt>
                <pt idx="84">
                  <v>0.01931</v>
                </pt>
                <pt idx="85">
                  <v>0.02269</v>
                </pt>
                <pt idx="86">
                  <v>0.02218</v>
                </pt>
                <pt idx="87">
                  <v>0.02151</v>
                </pt>
                <pt idx="88">
                  <v>0.0206</v>
                </pt>
                <pt idx="89">
                  <v>0.022</v>
                </pt>
                <pt idx="90">
                  <v>0.02205</v>
                </pt>
                <pt idx="91">
                  <v>0.02335</v>
                </pt>
                <pt idx="92">
                  <v>0.02095</v>
                </pt>
                <pt idx="93">
                  <v>0.02046</v>
                </pt>
                <pt idx="94">
                  <v>0.01934</v>
                </pt>
                <pt idx="95">
                  <v>0.02002</v>
                </pt>
                <pt idx="96">
                  <v>0.01675</v>
                </pt>
                <pt idx="97">
                  <v>0.0217</v>
                </pt>
                <pt idx="98">
                  <v>0.02194</v>
                </pt>
                <pt idx="99">
                  <v>0.02335</v>
                </pt>
                <pt idx="100">
                  <v>0.02508</v>
                </pt>
                <pt idx="101">
                  <v>0.02343</v>
                </pt>
                <pt idx="102">
                  <v>0.02556</v>
                </pt>
                <pt idx="103">
                  <v>0.02516</v>
                </pt>
                <pt idx="104">
                  <v>0.02457</v>
                </pt>
                <pt idx="105">
                  <v>0.02648</v>
                </pt>
                <pt idx="106">
                  <v>0.02723</v>
                </pt>
                <pt idx="107">
                  <v>0.02658</v>
                </pt>
                <pt idx="108">
                  <v>0.02668</v>
                </pt>
                <pt idx="109">
                  <v>0.03026</v>
                </pt>
                <pt idx="110">
                  <v>0.02741</v>
                </pt>
                <pt idx="111">
                  <v>0.02542</v>
                </pt>
                <pt idx="112">
                  <v>0.02615</v>
                </pt>
                <pt idx="113">
                  <v>0.02749</v>
                </pt>
                <pt idx="114">
                  <v>0.02593</v>
                </pt>
                <pt idx="115">
                  <v>0.02478</v>
                </pt>
                <pt idx="116">
                  <v>0.02164</v>
                </pt>
                <pt idx="117">
                  <v>0.01675</v>
                </pt>
                <pt idx="118">
                  <v>0.01852</v>
                </pt>
                <pt idx="119">
                  <v>0.01888</v>
                </pt>
                <pt idx="120">
                  <v>0.01985</v>
                </pt>
                <pt idx="121">
                  <v>0.01756</v>
                </pt>
                <pt idx="122">
                  <v>0.01606</v>
                </pt>
                <pt idx="123">
                  <v>0.01686</v>
                </pt>
                <pt idx="124">
                  <v>0.01637</v>
                </pt>
                <pt idx="125">
                  <v>0.01562</v>
                </pt>
                <pt idx="126">
                  <v>0.01492</v>
                </pt>
                <pt idx="127">
                  <v>0.01659</v>
                </pt>
                <pt idx="128">
                  <v>0.01581</v>
                </pt>
                <pt idx="129">
                  <v>0.01915</v>
                </pt>
                <pt idx="130">
                  <v>0.02216</v>
                </pt>
                <pt idx="131">
                  <v>0.01977</v>
                </pt>
                <pt idx="132">
                  <v>0.01799</v>
                </pt>
                <pt idx="133">
                  <v>0.01871</v>
                </pt>
                <pt idx="134">
                  <v>0.02068</v>
                </pt>
                <pt idx="135">
                  <v>0.02175</v>
                </pt>
                <pt idx="136">
                  <v>0.01924</v>
                </pt>
                <pt idx="137">
                  <v>0.02218</v>
                </pt>
                <pt idx="138">
                  <v>0.02805</v>
                </pt>
                <pt idx="139">
                  <v>0.03158</v>
                </pt>
                <pt idx="140">
                  <v>0.0305</v>
                </pt>
                <pt idx="141">
                  <v>0.03296</v>
                </pt>
                <pt idx="142">
                  <v>0.03454</v>
                </pt>
                <pt idx="143">
                  <v>0.03414</v>
                </pt>
                <pt idx="144">
                  <v>0.03378</v>
                </pt>
                <pt idx="145">
                  <v>0.03305</v>
                </pt>
                <pt idx="146">
                  <v>0.02797</v>
                </pt>
                <pt idx="147">
                  <v>0.02612</v>
                </pt>
                <pt idx="148">
                  <v>0.02517</v>
                </pt>
                <pt idx="149">
                  <v>0.02477</v>
                </pt>
                <pt idx="150">
                  <v>0.02907</v>
                </pt>
                <pt idx="151">
                  <v>0.02951</v>
                </pt>
                <pt idx="152">
                  <v>0.03301</v>
                </pt>
                <pt idx="153">
                  <v>0.03663</v>
                </pt>
                <pt idx="154">
                  <v>0.03833</v>
                </pt>
                <pt idx="155">
                  <v>0.03595</v>
                </pt>
                <pt idx="156">
                  <v>0.03609</v>
                </pt>
                <pt idx="157">
                  <v>0.03843</v>
                </pt>
                <pt idx="158">
                  <v>0.03201</v>
                </pt>
                <pt idx="159">
                  <v>0.03392</v>
                </pt>
                <pt idx="160">
                  <v>0.03307</v>
                </pt>
                <pt idx="161">
                  <v>0.03401</v>
                </pt>
                <pt idx="162">
                  <v>0.03501</v>
                </pt>
                <pt idx="163">
                  <v>0.03523</v>
                </pt>
                <pt idx="164">
                  <v>0.03465</v>
                </pt>
                <pt idx="165">
                  <v>0.03124</v>
                </pt>
                <pt idx="166">
                  <v>0.02685</v>
                </pt>
                <pt idx="167">
                  <v>0.03041</v>
                </pt>
                <pt idx="168">
                  <v>0.02844</v>
                </pt>
                <pt idx="169">
                  <v>0.02244</v>
                </pt>
                <pt idx="170">
                  <v>0.02957</v>
                </pt>
                <pt idx="171">
                  <v>0.03970000000000001</v>
                </pt>
                <pt idx="172">
                  <v>0.03827</v>
                </pt>
                <pt idx="173">
                  <v>0.03813</v>
                </pt>
                <pt idx="174">
                  <v>0.03979</v>
                </pt>
                <pt idx="175">
                  <v>0.03979</v>
                </pt>
                <pt idx="176">
                  <v>0.04046</v>
                </pt>
                <pt idx="177">
                  <v>0.03759</v>
                </pt>
                <pt idx="178">
                  <v>0.03432</v>
                </pt>
                <pt idx="179">
                  <v>0.03534</v>
                </pt>
                <pt idx="180">
                  <v>0.03639</v>
                </pt>
                <pt idx="181">
                  <v>0.04035</v>
                </pt>
                <pt idx="182">
                  <v>0.03972</v>
                </pt>
                <pt idx="183">
                  <v>0.04475</v>
                </pt>
                <pt idx="184">
                  <v>0.04579</v>
                </pt>
                <pt idx="185">
                  <v>0.04537</v>
                </pt>
                <pt idx="186">
                  <v>0.04771</v>
                </pt>
                <pt idx="187">
                  <v>0.05033000000000001</v>
                </pt>
                <pt idx="188">
                  <v>0.0489</v>
                </pt>
                <pt idx="189">
                  <v>0.0463</v>
                </pt>
                <pt idx="190">
                  <v>0.04648</v>
                </pt>
                <pt idx="191">
                  <v>0.0455</v>
                </pt>
                <pt idx="192">
                  <v>0.04826</v>
                </pt>
                <pt idx="193">
                  <v>0.0471</v>
                </pt>
                <pt idx="194">
                  <v>0.04458</v>
                </pt>
                <pt idx="195">
                  <v>0.04606</v>
                </pt>
                <pt idx="196">
                  <v>0.04633</v>
                </pt>
                <pt idx="197">
                  <v>0.04732</v>
                </pt>
                <pt idx="198">
                  <v>0.04988000000000001</v>
                </pt>
                <pt idx="199">
                  <v>0.05138</v>
                </pt>
                <pt idx="200">
                  <v>0.05113000000000001</v>
                </pt>
                <pt idx="201">
                  <v>0.05069</v>
                </pt>
                <pt idx="202">
                  <v>0.04853</v>
                </pt>
                <pt idx="203">
                  <v>0.04547</v>
                </pt>
                <pt idx="204">
                  <v>0.04527</v>
                </pt>
                <pt idx="205">
                  <v>0.04395</v>
                </pt>
                <pt idx="206">
                  <v>0.045</v>
                </pt>
                <pt idx="207">
                  <v>0.04559000000000001</v>
                </pt>
                <pt idx="208">
                  <v>0.04328000000000001</v>
                </pt>
                <pt idx="209">
                  <v>0.0402</v>
                </pt>
                <pt idx="210">
                  <v>0.04286</v>
                </pt>
                <pt idx="211">
                  <v>0.03945</v>
                </pt>
                <pt idx="212">
                  <v>0.04006000000000001</v>
                </pt>
                <pt idx="213">
                  <v>0.04201</v>
                </pt>
                <pt idx="214">
                  <v>0.04496000000000001</v>
                </pt>
              </numCache>
            </numRef>
          </val>
          <smooth val="0"/>
        </ser>
        <ser>
          <idx val="3"/>
          <order val="1"/>
          <tx>
            <strRef>
              <f>'SSA Charts'!$L$2</f>
              <strCache>
                <ptCount val="1"/>
                <pt idx="0">
                  <v>Average Cap Rate (ttm)</v>
                </pt>
              </strCache>
            </strRef>
          </tx>
          <spPr>
            <a:ln xmlns:a="http://schemas.openxmlformats.org/drawingml/2006/main" w="28575" cap="rnd">
              <a:solidFill>
                <a:srgbClr val="B1DAF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Charts'!$B$3:$B$217</f>
              <strCache>
                <ptCount val="21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</strCache>
            </strRef>
          </cat>
          <val>
            <numRef>
              <f>'SSA Charts'!$L$3:$L$217</f>
              <numCache>
                <formatCode>0.00%</formatCode>
                <ptCount val="215"/>
                <pt idx="0">
                  <v>0.08234060206883116</v>
                </pt>
                <pt idx="1">
                  <v>0.08127902812085601</v>
                </pt>
                <pt idx="2">
                  <v>0.08127919029313978</v>
                </pt>
                <pt idx="3">
                  <v>0.08170465769485875</v>
                </pt>
                <pt idx="4">
                  <v>0.08006346833390408</v>
                </pt>
                <pt idx="5">
                  <v>0.07639103028369418</v>
                </pt>
                <pt idx="6">
                  <v>0.0768632243405704</v>
                </pt>
                <pt idx="7">
                  <v>0.07624108743370804</v>
                </pt>
                <pt idx="8">
                  <v>0.07445193248664055</v>
                </pt>
                <pt idx="9">
                  <v>0.07512307571577513</v>
                </pt>
                <pt idx="10">
                  <v>0.07591067830042721</v>
                </pt>
                <pt idx="11">
                  <v>0.07394546462282077</v>
                </pt>
                <pt idx="12">
                  <v>0.07547220958974864</v>
                </pt>
                <pt idx="13">
                  <v>0.07749076125615383</v>
                </pt>
                <pt idx="14">
                  <v>0.07641115111652962</v>
                </pt>
                <pt idx="15">
                  <v>0.07643157728522193</v>
                </pt>
                <pt idx="16">
                  <v>0.07564183010288289</v>
                </pt>
                <pt idx="17">
                  <v>0.07723156253178308</v>
                </pt>
                <pt idx="18">
                  <v>0.07633073904449345</v>
                </pt>
                <pt idx="19">
                  <v>0.07815056885025862</v>
                </pt>
                <pt idx="20">
                  <v>0.0827833124583672</v>
                </pt>
                <pt idx="21">
                  <v>0.08088435220678897</v>
                </pt>
                <pt idx="22">
                  <v>0.08093229317898672</v>
                </pt>
                <pt idx="23">
                  <v>0.08147088967021479</v>
                </pt>
                <pt idx="24">
                  <v>0.07897759335103396</v>
                </pt>
                <pt idx="25">
                  <v>0.07956277850446503</v>
                </pt>
                <pt idx="26">
                  <v>0.07959447177610771</v>
                </pt>
                <pt idx="27">
                  <v>0.07850676096555194</v>
                </pt>
                <pt idx="28">
                  <v>0.07856590478901083</v>
                </pt>
                <pt idx="29">
                  <v>0.07674326618206784</v>
                </pt>
                <pt idx="30">
                  <v>0.07803455114551475</v>
                </pt>
                <pt idx="31">
                  <v>0.08027049275629826</v>
                </pt>
                <pt idx="32">
                  <v>0.07984296291621558</v>
                </pt>
                <pt idx="33">
                  <v>0.08266478333007282</v>
                </pt>
                <pt idx="34">
                  <v>0.08216287033845471</v>
                </pt>
                <pt idx="35">
                  <v>0.08167493174196347</v>
                </pt>
                <pt idx="36">
                  <v>0.08281708008815379</v>
                </pt>
                <pt idx="37">
                  <v>0.08564066220546841</v>
                </pt>
                <pt idx="38">
                  <v>0.08564066220546841</v>
                </pt>
                <pt idx="39">
                  <v>0.08473346794690723</v>
                </pt>
                <pt idx="40">
                  <v>0.08429900334259215</v>
                </pt>
                <pt idx="41">
                  <v>0.08489523721714455</v>
                </pt>
                <pt idx="42">
                  <v>0.08966532316509677</v>
                </pt>
                <pt idx="43">
                  <v>0.08939532623413261</v>
                </pt>
                <pt idx="44">
                  <v>0.08941312453683871</v>
                </pt>
                <pt idx="45">
                  <v>0.08802025135191595</v>
                </pt>
                <pt idx="46">
                  <v>0.0904698260057455</v>
                </pt>
                <pt idx="47">
                  <v>0.09008646592013822</v>
                </pt>
                <pt idx="48">
                  <v>0.09117810875466352</v>
                </pt>
                <pt idx="49">
                  <v>0.08916655566111988</v>
                </pt>
                <pt idx="50">
                  <v>0.08916655566111988</v>
                </pt>
                <pt idx="51">
                  <v>0.09049805859065249</v>
                </pt>
                <pt idx="52">
                  <v>0.09288814878354078</v>
                </pt>
                <pt idx="53">
                  <v>0.09581851947331482</v>
                </pt>
                <pt idx="54">
                  <v>0.09014996005617811</v>
                </pt>
                <pt idx="55">
                  <v>0.08956821249818053</v>
                </pt>
                <pt idx="56">
                  <v>0.0912173159579891</v>
                </pt>
                <pt idx="57">
                  <v>0.0932931470646978</v>
                </pt>
                <pt idx="58">
                  <v>0.08914321079817669</v>
                </pt>
                <pt idx="59">
                  <v>0.08845578890300523</v>
                </pt>
                <pt idx="60">
                  <v>0.08882953767351794</v>
                </pt>
                <pt idx="61">
                  <v>0.08960722540262042</v>
                </pt>
                <pt idx="62">
                  <v>0.08960722540262042</v>
                </pt>
                <pt idx="63">
                  <v>0.08944110118728511</v>
                </pt>
                <pt idx="64">
                  <v>0.08744826264185698</v>
                </pt>
                <pt idx="65">
                  <v>0.08702616310032454</v>
                </pt>
                <pt idx="66">
                  <v>0.08702616310032454</v>
                </pt>
                <pt idx="67">
                  <v>0.0907459772876688</v>
                </pt>
                <pt idx="68">
                  <v>0.09106315046531237</v>
                </pt>
                <pt idx="69">
                  <v>0.08953303698579135</v>
                </pt>
                <pt idx="70">
                  <v>0.0906366653026288</v>
                </pt>
                <pt idx="71">
                  <v>0.0924537484654574</v>
                </pt>
                <pt idx="72">
                  <v>0.09269084536219112</v>
                </pt>
                <pt idx="73">
                  <v>0.09360755875861479</v>
                </pt>
                <pt idx="74">
                  <v>0.09326912487094524</v>
                </pt>
                <pt idx="75">
                  <v>0.09238932857470876</v>
                </pt>
                <pt idx="76">
                  <v>0.09166297433760622</v>
                </pt>
                <pt idx="77">
                  <v>0.09243296507941555</v>
                </pt>
                <pt idx="78">
                  <v>0.09298688409755876</v>
                </pt>
                <pt idx="79">
                  <v>0.09197627958411224</v>
                </pt>
                <pt idx="80">
                  <v>0.09060233321634714</v>
                </pt>
                <pt idx="81">
                  <v>0.09110380178939478</v>
                </pt>
                <pt idx="82">
                  <v>0.09136128580711346</v>
                </pt>
                <pt idx="83">
                  <v>0.09174390348433681</v>
                </pt>
                <pt idx="84">
                  <v>0.09173316019693266</v>
                </pt>
                <pt idx="85">
                  <v>0.08894071676256438</v>
                </pt>
                <pt idx="86">
                  <v>0.08939751620597811</v>
                </pt>
                <pt idx="87">
                  <v>0.08982659791375225</v>
                </pt>
                <pt idx="88">
                  <v>0.09002326915052111</v>
                </pt>
                <pt idx="89">
                  <v>0.08964179855609525</v>
                </pt>
                <pt idx="90">
                  <v>0.0877457000056525</v>
                </pt>
                <pt idx="91">
                  <v>0.08362363629376998</v>
                </pt>
                <pt idx="92">
                  <v>0.08396172241449473</v>
                </pt>
                <pt idx="93">
                  <v>0.08230855356338876</v>
                </pt>
                <pt idx="94">
                  <v>0.08276919152309743</v>
                </pt>
                <pt idx="95">
                  <v>0.08182210697968093</v>
                </pt>
                <pt idx="96">
                  <v>0.08136652278823715</v>
                </pt>
                <pt idx="97">
                  <v>0.08556904273783469</v>
                </pt>
                <pt idx="98">
                  <v>0.08836578192225987</v>
                </pt>
                <pt idx="99">
                  <v>0.08858006763654558</v>
                </pt>
                <pt idx="100">
                  <v>0.08856504094865818</v>
                </pt>
                <pt idx="101">
                  <v>0.08654794045120921</v>
                </pt>
                <pt idx="102">
                  <v>0.08735563275890154</v>
                </pt>
                <pt idx="103">
                  <v>0.08746700294558268</v>
                </pt>
                <pt idx="104">
                  <v>0.08789493637733926</v>
                </pt>
                <pt idx="105">
                  <v>0.08996041778510959</v>
                </pt>
                <pt idx="106">
                  <v>0.09002697839402606</v>
                </pt>
                <pt idx="107">
                  <v>0.09002697839402606</v>
                </pt>
                <pt idx="108">
                  <v>0.08936481780067039</v>
                </pt>
                <pt idx="109">
                  <v>0.08831004047593413</v>
                </pt>
                <pt idx="110">
                  <v>0.08530751903262943</v>
                </pt>
                <pt idx="111">
                  <v>0.0845932333183437</v>
                </pt>
                <pt idx="112">
                  <v>0.08440065150521829</v>
                </pt>
                <pt idx="113">
                  <v>0.08788003793685494</v>
                </pt>
                <pt idx="114">
                  <v>0.08771582940721571</v>
                </pt>
                <pt idx="115">
                  <v>0.08717146611619375</v>
                </pt>
                <pt idx="116">
                  <v>0.08715212696518167</v>
                </pt>
                <pt idx="117">
                  <v>0.08722209878533642</v>
                </pt>
                <pt idx="118">
                  <v>0.08624473556122651</v>
                </pt>
                <pt idx="119">
                  <v>0.08559693837566326</v>
                </pt>
                <pt idx="120">
                  <v>0.08642353090345091</v>
                </pt>
                <pt idx="121">
                  <v>0.08748240301322985</v>
                </pt>
                <pt idx="122">
                  <v>0.08632164545522825</v>
                </pt>
                <pt idx="123">
                  <v>0.08772918134114323</v>
                </pt>
                <pt idx="124">
                  <v>0.08872048555540261</v>
                </pt>
                <pt idx="125">
                  <v>0.08725323489883002</v>
                </pt>
                <pt idx="126">
                  <v>0.08709763000851926</v>
                </pt>
                <pt idx="127">
                  <v>0.08727416162906765</v>
                </pt>
                <pt idx="128">
                  <v>0.08701561710151372</v>
                </pt>
                <pt idx="129">
                  <v>0.0872643839641648</v>
                </pt>
                <pt idx="130">
                  <v>0.08726208977472588</v>
                </pt>
                <pt idx="131">
                  <v>0.08927174875279513</v>
                </pt>
                <pt idx="132">
                  <v>0.08869196219417526</v>
                </pt>
                <pt idx="133">
                  <v>0.09297810077590232</v>
                </pt>
                <pt idx="134">
                  <v>0.09294217805849397</v>
                </pt>
                <pt idx="135">
                  <v>0.09169645880137492</v>
                </pt>
                <pt idx="136">
                  <v>0.09168753159896627</v>
                </pt>
                <pt idx="137">
                  <v>0.09134104666752478</v>
                </pt>
                <pt idx="138">
                  <v>0.0929990100426662</v>
                </pt>
                <pt idx="139">
                  <v>0.0941258010675875</v>
                </pt>
                <pt idx="140">
                  <v>0.09503491704875583</v>
                </pt>
                <pt idx="141">
                  <v>0.09503491704875583</v>
                </pt>
                <pt idx="142">
                  <v>0.0952891144111316</v>
                </pt>
                <pt idx="143">
                  <v>0.09312179096304428</v>
                </pt>
                <pt idx="144">
                  <v>0.09447039166010934</v>
                </pt>
                <pt idx="145">
                  <v>0.08663672860590282</v>
                </pt>
                <pt idx="146">
                  <v>0.08678544305451373</v>
                </pt>
                <pt idx="147">
                  <v>0.08544490421522524</v>
                </pt>
                <pt idx="148">
                  <v>0.08544490421522524</v>
                </pt>
                <pt idx="149">
                  <v>0.08623317781323668</v>
                </pt>
                <pt idx="150">
                  <v>0.08002780021126341</v>
                </pt>
                <pt idx="151">
                  <v>0.08038097160965434</v>
                </pt>
                <pt idx="152">
                  <v>0.08158335015844755</v>
                </pt>
                <pt idx="153">
                  <v>0.07969778888389731</v>
                </pt>
                <pt idx="154">
                  <v>0.07745702465611974</v>
                </pt>
                <pt idx="155">
                  <v>0.07767526679171062</v>
                </pt>
                <pt idx="156">
                  <v>0.07807301325591255</v>
                </pt>
                <pt idx="157">
                  <v>0.07779772943532862</v>
                </pt>
                <pt idx="158">
                  <v>0.07779772943532862</v>
                </pt>
                <pt idx="159">
                  <v>0.08030477602045252</v>
                </pt>
                <pt idx="160">
                  <v>0.08030477602045252</v>
                </pt>
                <pt idx="161">
                  <v>0.08047814739389041</v>
                </pt>
                <pt idx="162">
                  <v>0.07894632855813148</v>
                </pt>
                <pt idx="163">
                  <v>0.07843866120929312</v>
                </pt>
                <pt idx="164">
                  <v>0.07651177141084198</v>
                </pt>
                <pt idx="165">
                  <v>0.07891177141084198</v>
                </pt>
                <pt idx="166">
                  <v>0.07891177141084198</v>
                </pt>
                <pt idx="167">
                  <v>0.07891177141084198</v>
                </pt>
                <pt idx="168">
                  <v>0.07536691917871916</v>
                </pt>
                <pt idx="169">
                  <v>0.07536691917871916</v>
                </pt>
                <pt idx="170">
                  <v>0.07416271643890214</v>
                </pt>
                <pt idx="171">
                  <v>0.07543891828969827</v>
                </pt>
                <pt idx="172">
                  <v>0.07543891828969827</v>
                </pt>
                <pt idx="173">
                  <v>0.07527075724447446</v>
                </pt>
                <pt idx="174">
                  <v>0.07627749446399668</v>
                </pt>
                <pt idx="175">
                  <v>0.07611780765599709</v>
                </pt>
                <pt idx="176">
                  <v>0.07666612142521378</v>
                </pt>
                <pt idx="177">
                  <v>0.07336181719221979</v>
                </pt>
                <pt idx="178">
                  <v>0.07787028687079141</v>
                </pt>
                <pt idx="179">
                  <v>0.07787028687079141</v>
                </pt>
                <pt idx="180">
                  <v>0.07796873801359473</v>
                </pt>
                <pt idx="181">
                  <v>0.07780051743219663</v>
                </pt>
                <pt idx="182">
                  <v>0.07847945602170892</v>
                </pt>
                <pt idx="183">
                  <v>0.07660185499523969</v>
                </pt>
                <pt idx="184">
                  <v>0.07644880470140207</v>
                </pt>
                <pt idx="185">
                  <v>0.07559601767742803</v>
                </pt>
                <pt idx="186">
                  <v>0.07606290558423759</v>
                </pt>
                <pt idx="187">
                  <v>0.07508323345309004</v>
                </pt>
                <pt idx="188">
                  <v>0.07473209238686315</v>
                </pt>
                <pt idx="189">
                  <v>0.07750193283749926</v>
                </pt>
                <pt idx="190">
                  <v>0.07280928614228156</v>
                </pt>
                <pt idx="191">
                  <v>0.07280928614228156</v>
                </pt>
                <pt idx="192">
                  <v>0.07243366164767649</v>
                </pt>
                <pt idx="193">
                  <v>0.07152139466455772</v>
                </pt>
                <pt idx="194">
                  <v>0.07129850892944524</v>
                </pt>
                <pt idx="195">
                  <v>0.07363733797257656</v>
                </pt>
                <pt idx="196">
                  <v>0.0736010717698342</v>
                </pt>
                <pt idx="197">
                  <v>0.07333350098331734</v>
                </pt>
                <pt idx="198">
                  <v>0.07163954212290863</v>
                </pt>
                <pt idx="199">
                  <v>0.07306690617126507</v>
                </pt>
                <pt idx="200">
                  <v>0.07306690617126507</v>
                </pt>
                <pt idx="201">
                  <v>0.07069460811779651</v>
                </pt>
                <pt idx="202">
                  <v>0.07181201269063224</v>
                </pt>
                <pt idx="203">
                  <v>0.07181201269063224</v>
                </pt>
                <pt idx="204">
                  <v>0.07432353818750416</v>
                </pt>
                <pt idx="205">
                  <v>0.07829497794663888</v>
                </pt>
                <pt idx="206">
                  <v>0.07919522200995947</v>
                </pt>
                <pt idx="207">
                  <v>0.08000600438858503</v>
                </pt>
                <pt idx="208">
                  <v>0.08000600438858503</v>
                </pt>
                <pt idx="209">
                  <v>0.08023069414838276</v>
                </pt>
                <pt idx="210">
                  <v>0.08329093637757459</v>
                </pt>
                <pt idx="211">
                  <v>0.08329093637757459</v>
                </pt>
                <pt idx="212">
                  <v>0.08522724920580119</v>
                </pt>
                <pt idx="213">
                  <v>0.0842119177866546</v>
                </pt>
                <pt idx="214">
                  <v>0.0845048257792172</v>
                </pt>
              </numCache>
            </numRef>
          </val>
          <smooth val="0"/>
        </ser>
        <ser>
          <idx val="4"/>
          <order val="2"/>
          <tx>
            <strRef>
              <f>'SSA Charts'!$O$2</f>
              <strCache>
                <ptCount val="1"/>
                <pt idx="0">
                  <v>3+ Year Cap (ttm)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'SSA Charts'!$B$3:$B$217</f>
              <strCache>
                <ptCount val="21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</strCache>
            </strRef>
          </cat>
          <val>
            <numRef>
              <f>'SSA Charts'!$O$3:$O$217</f>
              <numCache>
                <formatCode>0.00%</formatCode>
                <ptCount val="215"/>
                <pt idx="0">
                  <v>0.0748502835297855</v>
                </pt>
                <pt idx="1">
                  <v>0.07305833537961361</v>
                </pt>
                <pt idx="2">
                  <v>0.07058155310341029</v>
                </pt>
                <pt idx="3">
                  <v>0.07202196580751341</v>
                </pt>
                <pt idx="4">
                  <v>0.06975511417513608</v>
                </pt>
                <pt idx="5">
                  <v>0.06717499772804104</v>
                </pt>
                <pt idx="6">
                  <v>0.06779281615622532</v>
                </pt>
                <pt idx="7">
                  <v>0.06665690974779269</v>
                </pt>
                <pt idx="8">
                  <v>0.06665690974779269</v>
                </pt>
                <pt idx="9">
                  <v>0.06724469986558099</v>
                </pt>
                <pt idx="10">
                  <v>0.06845615136950392</v>
                </pt>
                <pt idx="11">
                  <v>0.06954565447509399</v>
                </pt>
                <pt idx="12">
                  <v>0.07109624392358983</v>
                </pt>
                <pt idx="13">
                  <v>0.07439074056248803</v>
                </pt>
                <pt idx="14">
                  <v>0.07608851165979266</v>
                </pt>
                <pt idx="15">
                  <v>0.07511125703972189</v>
                </pt>
                <pt idx="16">
                  <v>0.07490149458548664</v>
                </pt>
                <pt idx="17">
                  <v>0.07630045331928023</v>
                </pt>
                <pt idx="18">
                  <v>0.07503930043707471</v>
                </pt>
                <pt idx="19">
                  <v>0.07750036882897476</v>
                </pt>
                <pt idx="20">
                  <v>0.07669620235665946</v>
                </pt>
                <pt idx="21">
                  <v>0.07631437553288216</v>
                </pt>
                <pt idx="22">
                  <v>0.07575075800519503</v>
                </pt>
                <pt idx="23">
                  <v>0.07655865274203713</v>
                </pt>
                <pt idx="24">
                  <v>0.0728187082632659</v>
                </pt>
                <pt idx="25">
                  <v>0.07289104213779768</v>
                </pt>
                <pt idx="26">
                  <v>0.07172986087927344</v>
                </pt>
                <pt idx="27">
                  <v>0.07172986087927344</v>
                </pt>
                <pt idx="28">
                  <v>0.07007021060356441</v>
                </pt>
                <pt idx="29">
                  <v>0.06738833375027596</v>
                </pt>
                <pt idx="30">
                  <v>0.06851889644861182</v>
                </pt>
                <pt idx="31">
                  <v>0.07283950209226842</v>
                </pt>
                <pt idx="32">
                  <v>0.07995926892448058</v>
                </pt>
                <pt idx="33">
                  <v>0.07974246892448056</v>
                </pt>
                <pt idx="34">
                  <v>0.07939795320294445</v>
                </pt>
                <pt idx="35">
                  <v>0.07874736840762281</v>
                </pt>
                <pt idx="36">
                  <v>0.0806793415900232</v>
                </pt>
                <pt idx="37">
                  <v>0.08184176537175736</v>
                </pt>
                <pt idx="38">
                  <v>0.08184176537175736</v>
                </pt>
                <pt idx="39">
                  <v>0.08071840503602253</v>
                </pt>
                <pt idx="40">
                  <v>0.08071840503602253</v>
                </pt>
                <pt idx="41">
                  <v>0.08305296537175735</v>
                </pt>
                <pt idx="42">
                  <v>0.08770663711195283</v>
                </pt>
                <pt idx="43">
                  <v>0.08585319275973291</v>
                </pt>
                <pt idx="44">
                  <v>0.08341680430682459</v>
                </pt>
                <pt idx="45">
                  <v>0.08335013764015792</v>
                </pt>
                <pt idx="46">
                  <v>0.08469179968205839</v>
                </pt>
                <pt idx="47">
                  <v>0.086046444091176</v>
                </pt>
                <pt idx="48">
                  <v>0.08706578809609998</v>
                </pt>
                <pt idx="49">
                  <v>0.08706578809609998</v>
                </pt>
                <pt idx="50">
                  <v>0.08706578809609998</v>
                </pt>
                <pt idx="51">
                  <v>0.08964332010677777</v>
                </pt>
                <pt idx="52">
                  <v>0.08964332010677777</v>
                </pt>
                <pt idx="53">
                  <v>0.09128623512012499</v>
                </pt>
                <pt idx="54">
                  <v>0.0774145641025641</v>
                </pt>
                <pt idx="55">
                  <v>0.08327033333333334</v>
                </pt>
                <pt idx="56">
                  <v>0.08329368771929825</v>
                </pt>
                <pt idx="57">
                  <v>0.08761133840553766</v>
                </pt>
                <pt idx="58">
                  <v>0.08334711433825967</v>
                </pt>
                <pt idx="59">
                  <v>0.08137491173130336</v>
                </pt>
                <pt idx="60">
                  <v>0.08141432155515858</v>
                </pt>
                <pt idx="61">
                  <v>0.08280361449820063</v>
                </pt>
                <pt idx="62">
                  <v>0.08280361449820063</v>
                </pt>
                <pt idx="63">
                  <v>0.08143133867349123</v>
                </pt>
                <pt idx="64">
                  <v>0.0824351601836924</v>
                </pt>
                <pt idx="65">
                  <v>0.08083921267221163</v>
                </pt>
                <pt idx="66">
                  <v>0.08083921267221163</v>
                </pt>
                <pt idx="67">
                  <v>0.08661922885392882</v>
                </pt>
                <pt idx="68">
                  <v>0.08823660933385104</v>
                </pt>
                <pt idx="69">
                  <v>0.08669977697257975</v>
                </pt>
                <pt idx="70">
                  <v>0.0886452876424962</v>
                </pt>
                <pt idx="71">
                  <v>0.09095175730570995</v>
                </pt>
                <pt idx="72">
                  <v>0.09125569864918133</v>
                </pt>
                <pt idx="73">
                  <v>0.09244936167617793</v>
                </pt>
                <pt idx="74">
                  <v>0.09195191766034705</v>
                </pt>
                <pt idx="75">
                  <v>0.09106915609133746</v>
                </pt>
                <pt idx="76">
                  <v>0.09015563973619727</v>
                </pt>
                <pt idx="77">
                  <v>0.09136912136514047</v>
                </pt>
                <pt idx="78">
                  <v>0.09136912136514047</v>
                </pt>
                <pt idx="79">
                  <v>0.08574179787794553</v>
                </pt>
                <pt idx="80">
                  <v>0.08351857638631829</v>
                </pt>
                <pt idx="81">
                  <v>0.08532564824553289</v>
                </pt>
                <pt idx="82">
                  <v>0.0848912252986353</v>
                </pt>
                <pt idx="83">
                  <v>0.0848912252986353</v>
                </pt>
                <pt idx="84">
                  <v>0.0848912252986353</v>
                </pt>
                <pt idx="85">
                  <v>0.08129592689512088</v>
                </pt>
                <pt idx="86">
                  <v>0.08220952578194834</v>
                </pt>
                <pt idx="87">
                  <v>0.08312121728664021</v>
                </pt>
                <pt idx="88">
                  <v>0.08334727084475738</v>
                </pt>
                <pt idx="89">
                  <v>0.07986862032431398</v>
                </pt>
                <pt idx="90">
                  <v>0.07986862032431398</v>
                </pt>
                <pt idx="91">
                  <v>0.07840355384530699</v>
                </pt>
                <pt idx="92">
                  <v>0.07857549010892229</v>
                </pt>
                <pt idx="93">
                  <v>0.07475529639540666</v>
                </pt>
                <pt idx="94">
                  <v>0.0747508835062117</v>
                </pt>
                <pt idx="95">
                  <v>0.0747508835062117</v>
                </pt>
                <pt idx="96">
                  <v>0.0747508835062117</v>
                </pt>
                <pt idx="97">
                  <v>0.07635932196963231</v>
                </pt>
                <pt idx="98">
                  <v>0.07610291596795116</v>
                </pt>
                <pt idx="99">
                  <v>0.07531320756474627</v>
                </pt>
                <pt idx="100">
                  <v>0.07504090513110589</v>
                </pt>
                <pt idx="101">
                  <v>0.07544640517642238</v>
                </pt>
                <pt idx="102">
                  <v>0.07674253807838718</v>
                </pt>
                <pt idx="103">
                  <v>0.07674253807838718</v>
                </pt>
                <pt idx="104">
                  <v>0.07842336377783846</v>
                </pt>
                <pt idx="105">
                  <v>0.08039325919763056</v>
                </pt>
                <pt idx="106">
                  <v>0.08078747439501767</v>
                </pt>
                <pt idx="107">
                  <v>0.08078747439501767</v>
                </pt>
                <pt idx="108">
                  <v>0.08008200724532907</v>
                </pt>
                <pt idx="109">
                  <v>0.08037329120438774</v>
                </pt>
                <pt idx="110">
                  <v>0.08077644803861329</v>
                </pt>
                <pt idx="111">
                  <v>0.08039135150270574</v>
                </pt>
                <pt idx="112">
                  <v>0.08097040077702576</v>
                </pt>
                <pt idx="113">
                  <v>0.08421879742106866</v>
                </pt>
                <pt idx="114">
                  <v>0.08376671724913991</v>
                </pt>
                <pt idx="115">
                  <v>0.08355886990823935</v>
                </pt>
                <pt idx="116">
                  <v>0.08353498036875383</v>
                </pt>
                <pt idx="117">
                  <v>0.08519111995362279</v>
                </pt>
                <pt idx="118">
                  <v>0.08624473556122651</v>
                </pt>
                <pt idx="119">
                  <v>0.08559693837566326</v>
                </pt>
                <pt idx="120">
                  <v>0.08642353090345091</v>
                </pt>
                <pt idx="121">
                  <v>0.08748240301322985</v>
                </pt>
                <pt idx="122">
                  <v>0.08632164545522825</v>
                </pt>
                <pt idx="123">
                  <v>0.08668860829410777</v>
                </pt>
                <pt idx="124">
                  <v>0.08685882555972904</v>
                </pt>
                <pt idx="125">
                  <v>0.0851517668377155</v>
                </pt>
                <pt idx="126">
                  <v>0.08508141234171393</v>
                </pt>
                <pt idx="127">
                  <v>0.08536563854898516</v>
                </pt>
                <pt idx="128">
                  <v>0.08433161756347941</v>
                </pt>
                <pt idx="129">
                  <v>0.08449230720112681</v>
                </pt>
                <pt idx="130">
                  <v>0.08405195444024416</v>
                </pt>
                <pt idx="131">
                  <v>0.08446996425482561</v>
                </pt>
                <pt idx="132">
                  <v>0.08422540950634774</v>
                </pt>
                <pt idx="133">
                  <v>0.08357727559783451</v>
                </pt>
                <pt idx="134">
                  <v>0.08402100779825777</v>
                </pt>
                <pt idx="135">
                  <v>0.08335963251570964</v>
                </pt>
                <pt idx="136">
                  <v>0.08286735117016993</v>
                </pt>
                <pt idx="137">
                  <v>0.08289703011571113</v>
                </pt>
                <pt idx="138">
                  <v>0.08523768429238136</v>
                </pt>
                <pt idx="139">
                  <v>0.08526472959755942</v>
                </pt>
                <pt idx="140">
                  <v>0.08616132570695657</v>
                </pt>
                <pt idx="141">
                  <v>0.08616132570695657</v>
                </pt>
                <pt idx="142">
                  <v>0.08616132570695657</v>
                </pt>
                <pt idx="143">
                  <v>0.08535746123499012</v>
                </pt>
                <pt idx="144">
                  <v>0.08590736593471132</v>
                </pt>
                <pt idx="145">
                  <v>0.08545282048016584</v>
                </pt>
                <pt idx="146">
                  <v>0.08519474799377813</v>
                </pt>
                <pt idx="147">
                  <v>0.08364243387539147</v>
                </pt>
                <pt idx="148">
                  <v>0.08364243387539147</v>
                </pt>
                <pt idx="149">
                  <v>0.08396126295979356</v>
                </pt>
                <pt idx="150">
                  <v>0.07606042686673699</v>
                </pt>
                <pt idx="151">
                  <v>0.07713368905561416</v>
                </pt>
                <pt idx="152">
                  <v>0.07713368905561416</v>
                </pt>
                <pt idx="153">
                  <v>0.07588915273813471</v>
                </pt>
                <pt idx="154">
                  <v>0.07588915273813471</v>
                </pt>
                <pt idx="155">
                  <v>0.07591459061909786</v>
                </pt>
                <pt idx="156">
                  <v>0.07636915800675721</v>
                </pt>
                <pt idx="157">
                  <v>0.07576401767455006</v>
                </pt>
                <pt idx="158">
                  <v>0.07576401767455006</v>
                </pt>
                <pt idx="159">
                  <v>0.07781870249221726</v>
                </pt>
                <pt idx="160">
                  <v>0.07781870249221726</v>
                </pt>
                <pt idx="161">
                  <v>0.07855863712067736</v>
                </pt>
                <pt idx="162">
                  <v>0.07683613038520094</v>
                </pt>
                <pt idx="163">
                  <v>0.07570335646224115</v>
                </pt>
                <pt idx="164">
                  <v>0.07570335646224115</v>
                </pt>
                <pt idx="165">
                  <v>0.07747919557780142</v>
                </pt>
                <pt idx="166">
                  <v>0.07747919557780142</v>
                </pt>
                <pt idx="167">
                  <v>0.07747919557780142</v>
                </pt>
                <pt idx="168">
                  <v>0.07216191722961718</v>
                </pt>
                <pt idx="169">
                  <v>0.07216191722961718</v>
                </pt>
                <pt idx="170">
                  <v>0.07111703378369374</v>
                </pt>
                <pt idx="171">
                  <v>0.07435876375965515</v>
                </pt>
                <pt idx="172">
                  <v>0.07435876375965515</v>
                </pt>
                <pt idx="173">
                  <v>0.0741665797079708</v>
                </pt>
                <pt idx="174">
                  <v>0.07515707687466279</v>
                </pt>
                <pt idx="175">
                  <v>0.07515707687466279</v>
                </pt>
                <pt idx="176">
                  <v>0.07599929897527487</v>
                </pt>
                <pt idx="177">
                  <v>0.07357727149027476</v>
                </pt>
                <pt idx="178">
                  <v>0.07912460858848928</v>
                </pt>
                <pt idx="179">
                  <v>0.07912460858848928</v>
                </pt>
                <pt idx="180">
                  <v>0.07924767251699343</v>
                </pt>
                <pt idx="181">
                  <v>0.07823360071802737</v>
                </pt>
                <pt idx="182">
                  <v>0.07917494244452966</v>
                </pt>
                <pt idx="183">
                  <v>0.07774301199411258</v>
                </pt>
                <pt idx="184">
                  <v>0.07743109432793653</v>
                </pt>
                <pt idx="185">
                  <v>0.07622297937730664</v>
                </pt>
                <pt idx="186">
                  <v>0.07682121173289844</v>
                </pt>
                <pt idx="187">
                  <v>0.07543154672621599</v>
                </pt>
                <pt idx="188">
                  <v>0.07499915558369818</v>
                </pt>
                <pt idx="189">
                  <v>0.07808937038115767</v>
                </pt>
                <pt idx="190">
                  <v>0.07202441417927735</v>
                </pt>
                <pt idx="191">
                  <v>0.07202441417927735</v>
                </pt>
                <pt idx="192">
                  <v>0.0716525255706494</v>
                </pt>
                <pt idx="193">
                  <v>0.07235099887567623</v>
                </pt>
                <pt idx="194">
                  <v>0.07201116981320474</v>
                </pt>
                <pt idx="195">
                  <v>0.07363733797257656</v>
                </pt>
                <pt idx="196">
                  <v>0.0736010717698342</v>
                </pt>
                <pt idx="197">
                  <v>0.07333350098331734</v>
                </pt>
                <pt idx="198">
                  <v>0.07163954212290863</v>
                </pt>
                <pt idx="199">
                  <v>0.07306690617126507</v>
                </pt>
                <pt idx="200">
                  <v>0.07306690617126507</v>
                </pt>
                <pt idx="201">
                  <v>0.07069460811779651</v>
                </pt>
                <pt idx="202">
                  <v>0.07069460811779651</v>
                </pt>
                <pt idx="203">
                  <v>0.07069460811779651</v>
                </pt>
                <pt idx="204">
                  <v>0.07338039873017295</v>
                </pt>
                <pt idx="205">
                  <v>0.07793761035668738</v>
                </pt>
                <pt idx="206">
                  <v>0.0788981740281601</v>
                </pt>
                <pt idx="207">
                  <v>0.07969556281232355</v>
                </pt>
                <pt idx="208">
                  <v>0.07969556281232355</v>
                </pt>
                <pt idx="209">
                  <v>0.07995770086542091</v>
                </pt>
                <pt idx="210">
                  <v>0.08357539288385875</v>
                </pt>
                <pt idx="211">
                  <v>0.08357539288385875</v>
                </pt>
                <pt idx="212">
                  <v>0.08578701509907576</v>
                </pt>
                <pt idx="213">
                  <v>0.0840769437476768</v>
                </pt>
                <pt idx="214">
                  <v>0.0840769437476768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94720559"/>
        <axId val="994720887"/>
      </lineChart>
      <scatterChart>
        <scatterStyle val="lineMarker"/>
        <varyColors val="0"/>
        <ser>
          <idx val="5"/>
          <order val="0"/>
          <tx>
            <strRef>
              <f>'SSA Charts'!$AG$2</f>
              <strCache>
                <ptCount val="1"/>
                <pt idx="0">
                  <v>Low Assumed Loan Constant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ash"/>
            <size val="5"/>
            <spPr>
              <a:solidFill xmlns:a="http://schemas.openxmlformats.org/drawingml/2006/main">
                <a:srgbClr val="666666"/>
              </a:solidFill>
              <a:ln xmlns:a="http://schemas.openxmlformats.org/drawingml/2006/main" w="9525">
                <a:noFill/>
                <a:prstDash val="solid"/>
              </a:ln>
            </spPr>
          </marker>
          <xVal>
            <strRef>
              <f>'SSA Charts'!$B$3:$B$217</f>
              <strCache>
                <ptCount val="21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</strCache>
            </strRef>
          </xVal>
          <yVal>
            <numRef>
              <f>'SSA Charts'!$AG$3:$AG$217</f>
              <numCache>
                <formatCode>0.00%</formatCode>
                <ptCount val="215"/>
                <pt idx="0">
                  <v>0.06686029309341134</v>
                </pt>
                <pt idx="1">
                  <v>0.06942008489324292</v>
                </pt>
                <pt idx="2">
                  <v>0.06813468016164034</v>
                </pt>
                <pt idx="3">
                  <v>0.07079291210151427</v>
                </pt>
                <pt idx="4">
                  <v>0.06891974836292519</v>
                </pt>
                <pt idx="5">
                  <v>0.06392812140698607</v>
                </pt>
                <pt idx="6">
                  <v>0.06038939028549816</v>
                </pt>
                <pt idx="7">
                  <v>0.06275690644519018</v>
                </pt>
                <pt idx="8">
                  <v>0.06183327153837095</v>
                </pt>
                <pt idx="9">
                  <v>0.06214280730463216</v>
                </pt>
                <pt idx="10">
                  <v>0.05817191253020799</v>
                </pt>
                <pt idx="11">
                  <v>0.05482075715847043</v>
                </pt>
                <pt idx="12">
                  <v>0.05443613946596525</v>
                </pt>
                <pt idx="13">
                  <v>0.05263396254854708</v>
                </pt>
                <pt idx="14">
                  <v>0.05217866716477895</v>
                </pt>
                <pt idx="15">
                  <v>0.05293205336680749</v>
                </pt>
                <pt idx="16">
                  <v>0.05274646727378198</v>
                </pt>
                <pt idx="17">
                  <v>0.05126804249209592</v>
                </pt>
                <pt idx="18">
                  <v>0.05084523725578294</v>
                </pt>
                <pt idx="19">
                  <v>0.05217866716477895</v>
                </pt>
                <pt idx="20">
                  <v>0.05309140825816985</v>
                </pt>
                <pt idx="21">
                  <v>0.05342422928203389</v>
                </pt>
                <pt idx="22">
                  <v>0.05419396625486732</v>
                </pt>
                <pt idx="23">
                  <v>0.05229064128067185</v>
                </pt>
                <pt idx="24">
                  <v>0.04990262837859236</v>
                </pt>
                <pt idx="25">
                  <v>0.04877944104680677</v>
                </pt>
                <pt idx="26">
                  <v>0.04831780636798874</v>
                </pt>
                <pt idx="27">
                  <v>0.04841877337965067</v>
                </pt>
                <pt idx="28">
                  <v>0.04727113459184226</v>
                </pt>
                <pt idx="29">
                  <v>0.04737084610748254</v>
                </pt>
                <pt idx="30">
                  <v>0.04639765939677066</v>
                </pt>
                <pt idx="31">
                  <v>0.04712179383966121</v>
                </pt>
                <pt idx="32">
                  <v>0.04709071542024831</v>
                </pt>
                <pt idx="33">
                  <v>0.04692929810767825</v>
                </pt>
                <pt idx="34">
                  <v>0.04740203071505751</v>
                </pt>
                <pt idx="35">
                  <v>0.05012126247005148</v>
                </pt>
                <pt idx="36">
                  <v>0.05268688969709374</v>
                </pt>
                <pt idx="37">
                  <v>0.05536299542428647</v>
                </pt>
                <pt idx="38">
                  <v>0.05439573725189052</v>
                </pt>
                <pt idx="39">
                  <v>0.05382509397116854</v>
                </pt>
                <pt idx="40">
                  <v>0.05371803921681138</v>
                </pt>
                <pt idx="41">
                  <v>0.0525942861559618</v>
                </pt>
                <pt idx="42">
                  <v>0.05605843342335887</v>
                </pt>
                <pt idx="43">
                  <v>0.05591488211934857</v>
                </pt>
                <pt idx="44">
                  <v>0.05688930999962678</v>
                </pt>
                <pt idx="45">
                  <v>0.05944800678225959</v>
                </pt>
                <pt idx="46">
                  <v>0.05878015707069126</v>
                </pt>
                <pt idx="47">
                  <v>0.06088069376046025</v>
                </pt>
                <pt idx="48">
                  <v>0.06033965886152987</v>
                </pt>
                <pt idx="49">
                  <v>0.06070245613802637</v>
                </pt>
                <pt idx="50">
                  <v>0.06305417104875422</v>
                </pt>
                <pt idx="51">
                  <v>0.06411824102959181</v>
                </pt>
                <pt idx="52">
                  <v>0.06336666850483519</v>
                </pt>
                <pt idx="53">
                  <v>0.06189799528041257</v>
                </pt>
                <pt idx="54">
                  <v>0.06269898325752206</v>
                </pt>
                <pt idx="55">
                  <v>0.06186922506312106</v>
                </pt>
                <pt idx="56">
                  <v>0.06167519819080518</v>
                </pt>
                <pt idx="57">
                  <v>0.06249645738456806</v>
                </pt>
                <pt idx="58">
                  <v>0.06109492168750122</v>
                </pt>
                <pt idx="59">
                  <v>0.06200594212052093</v>
                </pt>
                <pt idx="60">
                  <v>0.06094492290997709</v>
                </pt>
                <pt idx="61">
                  <v>0.05871708564045044</v>
                </pt>
                <pt idx="62">
                  <v>0.05880118853455801</v>
                </pt>
                <pt idx="63">
                  <v>0.05851409000537644</v>
                </pt>
                <pt idx="64">
                  <v>0.05816494000102596</v>
                </pt>
                <pt idx="65">
                  <v>0.05674465151130571</v>
                </pt>
                <pt idx="66">
                  <v>0.05792812882344139</v>
                </pt>
                <pt idx="67">
                  <v>0.05799772774741194</v>
                </pt>
                <pt idx="68">
                  <v>0.05726216630601539</v>
                </pt>
                <pt idx="69">
                  <v>0.05785857279712987</v>
                </pt>
                <pt idx="70">
                  <v>0.05865404867019166</v>
                </pt>
                <pt idx="71">
                  <v>0.05838827301058661</v>
                </pt>
                <pt idx="72">
                  <v>0.05903981227655131</v>
                </pt>
                <pt idx="73">
                  <v>0.05900468978184206</v>
                </pt>
                <pt idx="74">
                  <v>0.05845815427622268</v>
                </pt>
                <pt idx="75">
                  <v>0.05478696115560388</v>
                </pt>
                <pt idx="76">
                  <v>0.05327099217039999</v>
                </pt>
                <pt idx="77">
                  <v>0.05300505884153003</v>
                </pt>
                <pt idx="78">
                  <v>0.05227746105705219</v>
                </pt>
                <pt idx="79">
                  <v>0.05247535459403291</v>
                </pt>
                <pt idx="80">
                  <v>0.05478696115560388</v>
                </pt>
                <pt idx="81">
                  <v>0.05468563956565992</v>
                </pt>
                <pt idx="82">
                  <v>0.05446308315937964</v>
                </pt>
                <pt idx="83">
                  <v>0.05415366011298142</v>
                </pt>
                <pt idx="84">
                  <v>0.0554445745363551</v>
                </pt>
                <pt idx="85">
                  <v>0.05776821414602946</v>
                </pt>
                <pt idx="86">
                  <v>0.05741443210169667</v>
                </pt>
                <pt idx="87">
                  <v>0.05695136504532025</v>
                </pt>
                <pt idx="88">
                  <v>0.05632554004606681</v>
                </pt>
                <pt idx="89">
                  <v>0.05728983545585513</v>
                </pt>
                <pt idx="90">
                  <v>0.05732443160882379</v>
                </pt>
                <pt idx="91">
                  <v>0.05822770816490056</v>
                </pt>
                <pt idx="92">
                  <v>0.05656581586741539</v>
                </pt>
                <pt idx="93">
                  <v>0.05622957921433008</v>
                </pt>
                <pt idx="94">
                  <v>0.0554649792136739</v>
                </pt>
                <pt idx="95">
                  <v>0.05592854535730959</v>
                </pt>
                <pt idx="96">
                  <v>0.05371803921681138</v>
                </pt>
                <pt idx="97">
                  <v>0.05708248537631485</v>
                </pt>
                <pt idx="98">
                  <v>0.0572483343226149</v>
                </pt>
                <pt idx="99">
                  <v>0.05822770816490056</v>
                </pt>
                <pt idx="100">
                  <v>0.0594409568976424</v>
                </pt>
                <pt idx="101">
                  <v>0.05828353116821874</v>
                </pt>
                <pt idx="102">
                  <v>0.05977982695203705</v>
                </pt>
                <pt idx="103">
                  <v>0.05949736779207938</v>
                </pt>
                <pt idx="104">
                  <v>0.05908197326092895</v>
                </pt>
                <pt idx="105">
                  <v>0.06043203351535478</v>
                </pt>
                <pt idx="106">
                  <v>0.06096634010216077</v>
                </pt>
                <pt idx="107">
                  <v>0.0605031389707644</v>
                </pt>
                <pt idx="108">
                  <v>0.0605742861548775</v>
                </pt>
                <pt idx="109">
                  <v>0.06314856809192412</v>
                </pt>
                <pt idx="110">
                  <v>0.06109492168750122</v>
                </pt>
                <pt idx="111">
                  <v>0.05968088959039856</v>
                </pt>
                <pt idx="112">
                  <v>0.06019768198742866</v>
                </pt>
                <pt idx="113">
                  <v>0.06115211218402347</v>
                </pt>
                <pt idx="114">
                  <v>0.06004170087105796</v>
                </pt>
                <pt idx="115">
                  <v>0.05922965680293039</v>
                </pt>
                <pt idx="116">
                  <v>0.05704106206941916</v>
                </pt>
                <pt idx="117">
                  <v>0.05371803921681138</v>
                </pt>
                <pt idx="118">
                  <v>0.05490867853546424</v>
                </pt>
                <pt idx="119">
                  <v>0.05515254292254466</v>
                </pt>
                <pt idx="120">
                  <v>0.05581246367670335</v>
                </pt>
                <pt idx="121">
                  <v>0.05426117877126714</v>
                </pt>
                <pt idx="122">
                  <v>0.0532576784255583</v>
                </pt>
                <pt idx="123">
                  <v>0.05379162706946598</v>
                </pt>
                <pt idx="124">
                  <v>0.05346424320639799</v>
                </pt>
                <pt idx="125">
                  <v>0.05296523091906397</v>
                </pt>
                <pt idx="126">
                  <v>0.05250177117110877</v>
                </pt>
                <pt idx="127">
                  <v>0.05361109894437314</v>
                </pt>
                <pt idx="128">
                  <v>0.05309140825816985</v>
                </pt>
                <pt idx="129">
                  <v>0.05533581647186309</v>
                </pt>
                <pt idx="130">
                  <v>0.05740058112641762</v>
                </pt>
                <pt idx="131">
                  <v>0.0557578808238607</v>
                </pt>
                <pt idx="132">
                  <v>0.05455069922312328</v>
                </pt>
                <pt idx="133">
                  <v>0.05503731341375447</v>
                </pt>
                <pt idx="134">
                  <v>0.05638041318567578</v>
                </pt>
                <pt idx="135">
                  <v>0.05711701669922635</v>
                </pt>
                <pt idx="136">
                  <v>0.05539697901981852</v>
                </pt>
                <pt idx="137">
                  <v>0.05741443210169667</v>
                </pt>
                <pt idx="138">
                  <v>0.06155318711835938</v>
                </pt>
                <pt idx="139">
                  <v>0.06411092372752095</v>
                </pt>
                <pt idx="140">
                  <v>0.06332301930851547</v>
                </pt>
                <pt idx="141">
                  <v>0.06512448151951654</v>
                </pt>
                <pt idx="142">
                  <v>0.06629417754017755</v>
                </pt>
                <pt idx="143">
                  <v>0.06599712592307198</v>
                </pt>
                <pt idx="144">
                  <v>0.06573031493797421</v>
                </pt>
                <pt idx="145">
                  <v>0.06519084581695182</v>
                </pt>
                <pt idx="146">
                  <v>0.06149581137616635</v>
                </pt>
                <pt idx="147">
                  <v>0.06017639989477977</v>
                </pt>
                <pt idx="148">
                  <v>0.05950442105273963</v>
                </pt>
                <pt idx="149">
                  <v>0.05922262001986209</v>
                </pt>
                <pt idx="150">
                  <v>0.06228703569216577</v>
                </pt>
                <pt idx="151">
                  <v>0.06260491365214449</v>
                </pt>
                <pt idx="152">
                  <v>0.06516134661899219</v>
                </pt>
                <pt idx="153">
                  <v>0.06785636940552781</v>
                </pt>
                <pt idx="154">
                  <v>0.0691393913093669</v>
                </pt>
                <pt idx="155">
                  <v>0.06734624648963292</v>
                </pt>
                <pt idx="156">
                  <v>0.06745112662889349</v>
                </pt>
                <pt idx="157">
                  <v>0.06921520370169834</v>
                </pt>
                <pt idx="158">
                  <v>0.06442592885050383</v>
                </pt>
                <pt idx="159">
                  <v>0.06583401437335934</v>
                </pt>
                <pt idx="160">
                  <v>0.06520559778795335</v>
                </pt>
                <pt idx="161">
                  <v>0.06590071890019022</v>
                </pt>
                <pt idx="162">
                  <v>0.06664401048782854</v>
                </pt>
                <pt idx="163">
                  <v>0.06680805708840271</v>
                </pt>
                <pt idx="164">
                  <v>0.06637597624155654</v>
                </pt>
                <pt idx="165">
                  <v>0.06386237394213071</v>
                </pt>
                <pt idx="166">
                  <v>0.06069533204250444</v>
                </pt>
                <pt idx="167">
                  <v>0.06325757279661853</v>
                </pt>
                <pt idx="168">
                  <v>0.06183327153837095</v>
                </pt>
                <pt idx="169">
                  <v>0.05759465167119793</v>
                </pt>
                <pt idx="170">
                  <v>0.06264832183959081</v>
                </pt>
                <pt idx="171">
                  <v>0.07018128010873817</v>
                </pt>
                <pt idx="172">
                  <v>0.06909392193939791</v>
                </pt>
                <pt idx="173">
                  <v>0.06898787948465979</v>
                </pt>
                <pt idx="174">
                  <v>0.07024997039475482</v>
                </pt>
                <pt idx="175">
                  <v>0.07024997039475482</v>
                </pt>
                <pt idx="176">
                  <v>0.07076227434014026</v>
                </pt>
                <pt idx="177">
                  <v>0.06857955190788007</v>
                </pt>
                <pt idx="178">
                  <v>0.06613072177468542</v>
                </pt>
                <pt idx="179">
                  <v>0.066890150761588</v>
                </pt>
                <pt idx="180">
                  <v>0.06767612344045984</v>
                </pt>
                <pt idx="181">
                  <v>0.07067805091303164</v>
                </pt>
                <pt idx="182">
                  <v>0.07019654201789739</v>
                </pt>
                <pt idx="183">
                  <v>0.07408128919575133</v>
                </pt>
                <pt idx="184">
                  <v>0.07489578462231719</v>
                </pt>
                <pt idx="185">
                  <v>0.07456639735515988</v>
                </pt>
                <pt idx="186">
                  <v>0.07640934641230229</v>
                </pt>
                <pt idx="187">
                  <v>0.07849498431432585</v>
                </pt>
                <pt idx="188">
                  <v>0.07735377534913586</v>
                </pt>
                <pt idx="189">
                  <v>0.07529658160723479</v>
                </pt>
                <pt idx="190">
                  <v>0.07543825498922022</v>
                </pt>
                <pt idx="191">
                  <v>0.07466828465451823</v>
                </pt>
                <pt idx="192">
                  <v>0.07684525003232091</v>
                </pt>
                <pt idx="193">
                  <v>0.07592709810266107</v>
                </pt>
                <pt idx="194">
                  <v>0.07394851208272217</v>
                </pt>
                <pt idx="195">
                  <v>0.07510785859178701</v>
                </pt>
                <pt idx="196">
                  <v>0.07532018604041005</v>
                </pt>
                <pt idx="197">
                  <v>0.07610087668617821</v>
                </pt>
                <pt idx="198">
                  <v>0.07813512628203846</v>
                </pt>
                <pt idx="199">
                  <v>0.07933725811802411</v>
                </pt>
                <pt idx="200">
                  <v>0.07913638751562664</v>
                </pt>
                <pt idx="201">
                  <v>0.07878335432096606</v>
                </pt>
                <pt idx="202">
                  <v>0.07705961519195786</v>
                </pt>
                <pt idx="203">
                  <v>0.07464476695058214</v>
                </pt>
                <pt idx="204">
                  <v>0.07448806279014414</v>
                </pt>
                <pt idx="205">
                  <v>0.07345734741133089</v>
                </pt>
                <pt idx="206">
                  <v>0.07427673473554525</v>
                </pt>
                <pt idx="207">
                  <v>0.07473885665229403</v>
                </pt>
                <pt idx="208">
                  <v>0.07293654666562956</v>
                </pt>
                <pt idx="209">
                  <v>0.07056327275098619</v>
                </pt>
                <pt idx="210">
                  <v>0.07261089361281695</v>
                </pt>
                <pt idx="211">
                  <v>0.06999063168615875</v>
                </pt>
                <pt idx="212">
                  <v>0.07045622148440514</v>
                </pt>
                <pt idx="213">
                  <v>0.07195377822916943</v>
                </pt>
                <pt idx="214">
                  <v>0.074245448662786</v>
                </pt>
              </numCache>
            </numRef>
          </yVal>
          <smooth val="0"/>
        </ser>
        <ser>
          <idx val="6"/>
          <order val="1"/>
          <tx>
            <strRef>
              <f>'SSA Charts'!$AH$2</f>
              <strCache>
                <ptCount val="1"/>
                <pt idx="0">
                  <v>High Assumed Loan Constant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ash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strRef>
              <f>'SSA Charts'!$B$3:$B$217</f>
              <strCache>
                <ptCount val="214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  <pt idx="192">
                  <v>4Q-2006</v>
                </pt>
                <pt idx="195">
                  <v>3Q-2006</v>
                </pt>
                <pt idx="198">
                  <v>2Q-2006</v>
                </pt>
                <pt idx="201">
                  <v>1Q-2006</v>
                </pt>
                <pt idx="204">
                  <v>4Q-2005</v>
                </pt>
                <pt idx="207">
                  <v>3Q-2005</v>
                </pt>
                <pt idx="210">
                  <v>2Q-2005</v>
                </pt>
                <pt idx="213">
                  <v>1Q-2005</v>
                </pt>
              </strCache>
            </strRef>
          </xVal>
          <yVal>
            <numRef>
              <f>'SSA Charts'!$AH$3:$AH$217</f>
              <numCache>
                <formatCode>0.00%</formatCode>
                <ptCount val="215"/>
                <pt idx="0">
                  <v>0.06987635429068538</v>
                </pt>
                <pt idx="1">
                  <v>0.07248700205828951</v>
                </pt>
                <pt idx="2">
                  <v>0.07117638076670493</v>
                </pt>
                <pt idx="3">
                  <v>0.07388606405116699</v>
                </pt>
                <pt idx="4">
                  <v>0.07197692603872069</v>
                </pt>
                <pt idx="5">
                  <v>0.06688268576364576</v>
                </pt>
                <pt idx="6">
                  <v>0.06326484301388924</v>
                </pt>
                <pt idx="7">
                  <v>0.06568589588188847</v>
                </pt>
                <pt idx="8">
                  <v>0.06474167161991573</v>
                </pt>
                <pt idx="9">
                  <v>0.06505814926803445</v>
                </pt>
                <pt idx="10">
                  <v>0.06099490217035856</v>
                </pt>
                <pt idx="11">
                  <v>0.05755997144558437</v>
                </pt>
                <pt idx="12">
                  <v>0.05716537871891743</v>
                </pt>
                <pt idx="13">
                  <v>0.05531543688110661</v>
                </pt>
                <pt idx="14">
                  <v>0.05484780192686307</v>
                </pt>
                <pt idx="15">
                  <v>0.05562154651288051</v>
                </pt>
                <pt idx="16">
                  <v>0.05543097361749974</v>
                </pt>
                <pt idx="17">
                  <v>0.05391216017648055</v>
                </pt>
                <pt idx="18">
                  <v>0.0534775847674741</v>
                </pt>
                <pt idx="19">
                  <v>0.05484780192686307</v>
                </pt>
                <pt idx="20">
                  <v>0.05578516874299552</v>
                </pt>
                <pt idx="21">
                  <v>0.05612685897393492</v>
                </pt>
                <pt idx="22">
                  <v>0.05691688568537612</v>
                </pt>
                <pt idx="23">
                  <v>0.05496282114512875</v>
                </pt>
                <pt idx="24">
                  <v>0.05250837644592757</v>
                </pt>
                <pt idx="25">
                  <v>0.05135283552145593</v>
                </pt>
                <pt idx="26">
                  <v>0.05087769200895036</v>
                </pt>
                <pt idx="27">
                  <v>0.05098162425523787</v>
                </pt>
                <pt idx="28">
                  <v>0.04979992663891071</v>
                </pt>
                <pt idx="29">
                  <v>0.04990262837859236</v>
                </pt>
                <pt idx="30">
                  <v>0.04890000065054038</v>
                </pt>
                <pt idx="31">
                  <v>0.04964609618575335</v>
                </pt>
                <pt idx="32">
                  <v>0.04961408175571397</v>
                </pt>
                <pt idx="33">
                  <v>0.04944779356064537</v>
                </pt>
                <pt idx="34">
                  <v>0.04993474695158076</v>
                </pt>
                <pt idx="35">
                  <v>0.05273322465321255</v>
                </pt>
                <pt idx="36">
                  <v>0.05536979126304556</v>
                </pt>
                <pt idx="37">
                  <v>0.05811614428016053</v>
                </pt>
                <pt idx="38">
                  <v>0.05712392426167867</v>
                </pt>
                <pt idx="39">
                  <v>0.05653832877871903</v>
                </pt>
                <pt idx="40">
                  <v>0.05642845006396072</v>
                </pt>
                <pt idx="41">
                  <v>0.05527468959216462</v>
                </pt>
                <pt idx="42">
                  <v>0.05882923643696041</v>
                </pt>
                <pt idx="43">
                  <v>0.05868206084562314</v>
                </pt>
                <pt idx="44">
                  <v>0.05968088959039856</v>
                </pt>
                <pt idx="45">
                  <v>0.06230146753361503</v>
                </pt>
                <pt idx="46">
                  <v>0.06161776637843203</v>
                </pt>
                <pt idx="47">
                  <v>0.06376746281849657</v>
                </pt>
                <pt idx="48">
                  <v>0.0632139599878547</v>
                </pt>
                <pt idx="49">
                  <v>0.06358513246956171</v>
                </pt>
                <pt idx="50">
                  <v>0.06598970764840502</v>
                </pt>
                <pt idx="51">
                  <v>0.06707690145911206</v>
                </pt>
                <pt idx="52">
                  <v>0.06630904652222561</v>
                </pt>
                <pt idx="53">
                  <v>0.06480785041085604</v>
                </pt>
                <pt idx="54">
                  <v>0.06562669248068989</v>
                </pt>
                <pt idx="55">
                  <v>0.06477843364204015</v>
                </pt>
                <pt idx="56">
                  <v>0.06458003682301558</v>
                </pt>
                <pt idx="57">
                  <v>0.06541967888740731</v>
                </pt>
                <pt idx="58">
                  <v>0.06398659088707179</v>
                </pt>
                <pt idx="59">
                  <v>0.06491821986712344</v>
                </pt>
                <pt idx="60">
                  <v>0.06383316328698851</v>
                </pt>
                <pt idx="61">
                  <v>0.06155318711835937</v>
                </pt>
                <pt idx="62">
                  <v>0.06163930021800949</v>
                </pt>
                <pt idx="63">
                  <v>0.06134532576314591</v>
                </pt>
                <pt idx="64">
                  <v>0.0609877610306989</v>
                </pt>
                <pt idx="65">
                  <v>0.05953263831366765</v>
                </pt>
                <pt idx="66">
                  <v>0.06074520945375322</v>
                </pt>
                <pt idx="67">
                  <v>0.06081649827018674</v>
                </pt>
                <pt idx="68">
                  <v>0.06006295907793231</v>
                </pt>
                <pt idx="69">
                  <v>0.06067396225448006</v>
                </pt>
                <pt idx="70">
                  <v>0.06148864126518044</v>
                </pt>
                <pt idx="71">
                  <v>0.06121648318503083</v>
                </pt>
                <pt idx="72">
                  <v>0.06188360934997966</v>
                </pt>
                <pt idx="73">
                  <v>0.06184765171512129</v>
                </pt>
                <pt idx="74">
                  <v>0.06128804584775922</v>
                </pt>
                <pt idx="75">
                  <v>0.05752530198542975</v>
                </pt>
                <pt idx="76">
                  <v>0.05596954557718704</v>
                </pt>
                <pt idx="77">
                  <v>0.05569650866262676</v>
                </pt>
                <pt idx="78">
                  <v>0.05494928284045888</v>
                </pt>
                <pt idx="79">
                  <v>0.05515254292254466</v>
                </pt>
                <pt idx="80">
                  <v>0.05752530198542975</v>
                </pt>
                <pt idx="81">
                  <v>0.05742135823624923</v>
                </pt>
                <pt idx="82">
                  <v>0.0571930236715261</v>
                </pt>
                <pt idx="83">
                  <v>0.05687552475815585</v>
                </pt>
                <pt idx="84">
                  <v>0.05819980692547438</v>
                </pt>
                <pt idx="85">
                  <v>0.06058140316710672</v>
                </pt>
                <pt idx="86">
                  <v>0.06021896784829543</v>
                </pt>
                <pt idx="87">
                  <v>0.05974448271182588</v>
                </pt>
                <pt idx="88">
                  <v>0.0591030594745902</v>
                </pt>
                <pt idx="89">
                  <v>0.06009130922393476</v>
                </pt>
                <pt idx="90">
                  <v>0.06012675633771573</v>
                </pt>
                <pt idx="91">
                  <v>0.06105204622552586</v>
                </pt>
                <pt idx="92">
                  <v>0.0593493468249341</v>
                </pt>
                <pt idx="93">
                  <v>0.05900468978184206</v>
                </pt>
                <pt idx="94">
                  <v>0.05822073221351357</v>
                </pt>
                <pt idx="95">
                  <v>0.05869606948700534</v>
                </pt>
                <pt idx="96">
                  <v>0.05642845006396072</v>
                </pt>
                <pt idx="97">
                  <v>0.05987884675210213</v>
                </pt>
                <pt idx="98">
                  <v>0.06004878652065328</v>
                </pt>
                <pt idx="99">
                  <v>0.06105204622552586</v>
                </pt>
                <pt idx="100">
                  <v>0.06229425140840164</v>
                </pt>
                <pt idx="101">
                  <v>0.06110921682495871</v>
                </pt>
                <pt idx="102">
                  <v>0.06264108612318359</v>
                </pt>
                <pt idx="103">
                  <v>0.06235199185864641</v>
                </pt>
                <pt idx="104">
                  <v>0.06192677207092893</v>
                </pt>
                <pt idx="105">
                  <v>0.06330847280926119</v>
                </pt>
                <pt idx="106">
                  <v>0.06385507067584485</v>
                </pt>
                <pt idx="107">
                  <v>0.06338122146888088</v>
                </pt>
                <pt idx="108">
                  <v>0.06345401051631808</v>
                </pt>
                <pt idx="109">
                  <v>0.06608617574385989</v>
                </pt>
                <pt idx="110">
                  <v>0.06398659088707179</v>
                </pt>
                <pt idx="111">
                  <v>0.06253982888113449</v>
                </pt>
                <pt idx="112">
                  <v>0.06306868921307551</v>
                </pt>
                <pt idx="113">
                  <v>0.06404508603260273</v>
                </pt>
                <pt idx="114">
                  <v>0.0629090786421598</v>
                </pt>
                <pt idx="115">
                  <v>0.06207795797800712</v>
                </pt>
                <pt idx="116">
                  <v>0.05983639960611718</v>
                </pt>
                <pt idx="117">
                  <v>0.05642845006396072</v>
                </pt>
                <pt idx="118">
                  <v>0.05765016241470459</v>
                </pt>
                <pt idx="119">
                  <v>0.05790030126345619</v>
                </pt>
                <pt idx="120">
                  <v>0.05857705031543682</v>
                </pt>
                <pt idx="121">
                  <v>0.05698585523811449</v>
                </pt>
                <pt idx="122">
                  <v>0.05595587708646609</v>
                </pt>
                <pt idx="123">
                  <v>0.05650397970849502</v>
                </pt>
                <pt idx="124">
                  <v>0.05616793527869411</v>
                </pt>
                <pt idx="125">
                  <v>0.05565561363289111</v>
                </pt>
                <pt idx="126">
                  <v>0.05517967428109329</v>
                </pt>
                <pt idx="127">
                  <v>0.05631868286557469</v>
                </pt>
                <pt idx="128">
                  <v>0.05578516874299552</v>
                </pt>
                <pt idx="129">
                  <v>0.05808827042937952</v>
                </pt>
                <pt idx="130">
                  <v>0.0602047768557368</v>
                </pt>
                <pt idx="131">
                  <v>0.05852108389041411</v>
                </pt>
                <pt idx="132">
                  <v>0.05728291752059197</v>
                </pt>
                <pt idx="133">
                  <v>0.05778211075207531</v>
                </pt>
                <pt idx="134">
                  <v>0.0591593080175009</v>
                </pt>
                <pt idx="135">
                  <v>0.0599142309282218</v>
                </pt>
                <pt idx="136">
                  <v>0.05815099622644228</v>
                </pt>
                <pt idx="137">
                  <v>0.06021896784829543</v>
                </pt>
                <pt idx="138">
                  <v>0.06445526919578441</v>
                </pt>
                <pt idx="139">
                  <v>0.06706942679174804</v>
                </pt>
                <pt idx="140">
                  <v>0.06626444425702779</v>
                </pt>
                <pt idx="141">
                  <v>0.06810456731792</v>
                </pt>
                <pt idx="142">
                  <v>0.06929864076529862</v>
                </pt>
                <pt idx="143">
                  <v>0.0689954514954839</v>
                </pt>
                <pt idx="144">
                  <v>0.06872309696402362</v>
                </pt>
                <pt idx="145">
                  <v>0.06817232979391513</v>
                </pt>
                <pt idx="146">
                  <v>0.06439659488832625</v>
                </pt>
                <pt idx="147">
                  <v>0.06304691257470123</v>
                </pt>
                <pt idx="148">
                  <v>0.06235921125446568</v>
                </pt>
                <pt idx="149">
                  <v>0.06207075454676031</v>
                </pt>
                <pt idx="150">
                  <v>0.06520559778795335</v>
                </pt>
                <pt idx="151">
                  <v>0.0655305406389083</v>
                </pt>
                <pt idx="152">
                  <v>0.0681422093257603</v>
                </pt>
                <pt idx="153">
                  <v>0.07089252552784475</v>
                </pt>
                <pt idx="154">
                  <v>0.07220085636535026</v>
                </pt>
                <pt idx="155">
                  <v>0.07037216065513061</v>
                </pt>
                <pt idx="156">
                  <v>0.07047915493874188</v>
                </pt>
                <pt idx="157">
                  <v>0.07227814429177537</v>
                </pt>
                <pt idx="158">
                  <v>0.06739118588596807</v>
                </pt>
                <pt idx="159">
                  <v>0.06882895443281559</v>
                </pt>
                <pt idx="160">
                  <v>0.06818739231449142</v>
                </pt>
                <pt idx="161">
                  <v>0.06889704478212558</v>
                </pt>
                <pt idx="162">
                  <v>0.06965565599033614</v>
                </pt>
                <pt idx="163">
                  <v>0.069823053542617</v>
                </pt>
                <pt idx="164">
                  <v>0.06938212328203672</v>
                </pt>
                <pt idx="165">
                  <v>0.06681551821232212</v>
                </pt>
                <pt idx="166">
                  <v>0.06357784448995618</v>
                </pt>
                <pt idx="167">
                  <v>0.06619756719993725</v>
                </pt>
                <pt idx="168">
                  <v>0.06474167161991573</v>
                </pt>
                <pt idx="169">
                  <v>0.06040360302455762</v>
                </pt>
                <pt idx="170">
                  <v>0.06557491014908193</v>
                </pt>
                <pt idx="171">
                  <v>0.07326283146700573</v>
                </pt>
                <pt idx="172">
                  <v>0.07215450096748308</v>
                </pt>
                <pt idx="173">
                  <v>0.07204638905198593</v>
                </pt>
                <pt idx="174">
                  <v>0.07333283156478665</v>
                </pt>
                <pt idx="175">
                  <v>0.07333283156478665</v>
                </pt>
                <pt idx="176">
                  <v>0.07385484851986954</v>
                </pt>
                <pt idx="177">
                  <v>0.07163005225777203</v>
                </pt>
                <pt idx="178">
                  <v>0.06913181213979679</v>
                </pt>
                <pt idx="179">
                  <v>0.0699068200648682</v>
                </pt>
                <pt idx="180">
                  <v>0.07070867245028895</v>
                </pt>
                <pt idx="181">
                  <v>0.07376903499791188</v>
                </pt>
                <pt idx="182">
                  <v>0.07327838454929389</v>
                </pt>
                <pt idx="183">
                  <v>0.077234465521293</v>
                </pt>
                <pt idx="184">
                  <v>0.07806323554886435</v>
                </pt>
                <pt idx="185">
                  <v>0.07772810320160353</v>
                </pt>
                <pt idx="186">
                  <v>0.07960272070646728</v>
                </pt>
                <pt idx="187">
                  <v>0.08172283152654558</v>
                </pt>
                <pt idx="188">
                  <v>0.08056293631225661</v>
                </pt>
                <pt idx="189">
                  <v>0.07847097285230771</v>
                </pt>
                <pt idx="190">
                  <v>0.07861508636457779</v>
                </pt>
                <pt idx="191">
                  <v>0.07783177158818583</v>
                </pt>
                <pt idx="192">
                  <v>0.0800459473821753</v>
                </pt>
                <pt idx="193">
                  <v>0.07911229682969209</v>
                </pt>
                <pt idx="194">
                  <v>0.07709933953644522</v>
                </pt>
                <pt idx="195">
                  <v>0.07827898870460212</v>
                </pt>
                <pt idx="196">
                  <v>0.07849498431432585</v>
                </pt>
                <pt idx="197">
                  <v>0.07928903047926365</v>
                </pt>
                <pt idx="198">
                  <v>0.08135712668202519</v>
                </pt>
                <pt idx="199">
                  <v>0.08257862831272844</v>
                </pt>
                <pt idx="200">
                  <v>0.08237455313744972</v>
                </pt>
                <pt idx="201">
                  <v>0.08201585684403744</v>
                </pt>
                <pt idx="202">
                  <v>0.08026389070700798</v>
                </pt>
                <pt idx="203">
                  <v>0.07780784309071653</v>
                </pt>
                <pt idx="204">
                  <v>0.07764839683249376</v>
                </pt>
                <pt idx="205">
                  <v>0.07659943223981475</v>
                </pt>
                <pt idx="206">
                  <v>0.07743335736481172</v>
                </pt>
                <pt idx="207">
                  <v>0.07790357515069929</v>
                </pt>
                <pt idx="208">
                  <v>0.07606926822188062</v>
                </pt>
                <pt idx="209">
                  <v>0.07365208562439642</v>
                </pt>
                <pt idx="210">
                  <v>0.07573771125029882</v>
                </pt>
                <pt idx="211">
                  <v>0.07306853837587134</v>
                </pt>
                <pt idx="212">
                  <v>0.0735430048761512</v>
                </pt>
                <pt idx="213">
                  <v>0.07506856648844466</v>
                </pt>
                <pt idx="214">
                  <v>0.07740152051719949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994720559"/>
        <axId val="994720887"/>
      </scatterChart>
      <catAx>
        <axId val="994720559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720887"/>
        <crosses val="autoZero"/>
        <auto val="1"/>
        <lblAlgn val="ctr"/>
        <lblOffset val="100"/>
        <noMultiLvlLbl val="0"/>
      </catAx>
      <valAx>
        <axId val="994720887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66666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720559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8871073389034344"/>
          <y val="0.923171418641163"/>
          <w val="0.6177290806379847"/>
          <h val="0.0709831076579003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66666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32050503785157"/>
          <y val="0.07497188015334887"/>
          <w val="0.9436646028478638"/>
          <h val="0.6599986974942739"/>
        </manualLayout>
      </layout>
      <barChart>
        <barDir val="col"/>
        <grouping val="clustered"/>
        <varyColors val="0"/>
        <ser>
          <idx val="0"/>
          <order val="0"/>
          <tx>
            <strRef>
              <f>'SSA Charts'!$AI$2</f>
              <strCache>
                <ptCount val="1"/>
                <pt idx="0">
                  <v>Price Change (ttm)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'SSA Charts'!$C$3:$C$73</f>
              <numCache>
                <formatCode>[$-409]mmm\-yy;@</formatCode>
                <ptCount val="71"/>
                <pt idx="0">
                  <v>44926</v>
                </pt>
                <pt idx="1">
                  <v>44895</v>
                </pt>
                <pt idx="2">
                  <v>44865</v>
                </pt>
                <pt idx="3">
                  <v>44834</v>
                </pt>
                <pt idx="4">
                  <v>44804</v>
                </pt>
                <pt idx="5">
                  <v>44773</v>
                </pt>
                <pt idx="6">
                  <v>44742</v>
                </pt>
                <pt idx="7">
                  <v>44712</v>
                </pt>
                <pt idx="8">
                  <v>44681</v>
                </pt>
                <pt idx="9">
                  <v>44651</v>
                </pt>
                <pt idx="10">
                  <v>44620</v>
                </pt>
                <pt idx="11">
                  <v>44592</v>
                </pt>
                <pt idx="12">
                  <v>44561</v>
                </pt>
                <pt idx="13">
                  <v>44530</v>
                </pt>
                <pt idx="14">
                  <v>44500</v>
                </pt>
                <pt idx="15">
                  <v>44469</v>
                </pt>
                <pt idx="16">
                  <v>44439</v>
                </pt>
                <pt idx="17">
                  <v>44408</v>
                </pt>
                <pt idx="18">
                  <v>44377</v>
                </pt>
                <pt idx="19">
                  <v>44347</v>
                </pt>
                <pt idx="20">
                  <v>44316</v>
                </pt>
                <pt idx="21">
                  <v>44286</v>
                </pt>
                <pt idx="22">
                  <v>44255</v>
                </pt>
                <pt idx="23">
                  <v>44227</v>
                </pt>
                <pt idx="24">
                  <v>44196</v>
                </pt>
                <pt idx="25">
                  <v>44165</v>
                </pt>
                <pt idx="26">
                  <v>44135</v>
                </pt>
                <pt idx="27">
                  <v>44104</v>
                </pt>
                <pt idx="28">
                  <v>44074</v>
                </pt>
                <pt idx="29">
                  <v>44043</v>
                </pt>
                <pt idx="30">
                  <v>44012</v>
                </pt>
                <pt idx="31">
                  <v>43982</v>
                </pt>
                <pt idx="32">
                  <v>43951</v>
                </pt>
                <pt idx="33">
                  <v>43921</v>
                </pt>
                <pt idx="34">
                  <v>43890</v>
                </pt>
                <pt idx="35">
                  <v>43861</v>
                </pt>
                <pt idx="36">
                  <v>43830</v>
                </pt>
                <pt idx="37">
                  <v>43799</v>
                </pt>
                <pt idx="38">
                  <v>43769</v>
                </pt>
                <pt idx="39">
                  <v>43738</v>
                </pt>
                <pt idx="40">
                  <v>43708</v>
                </pt>
                <pt idx="41">
                  <v>43677</v>
                </pt>
                <pt idx="42">
                  <v>43646</v>
                </pt>
                <pt idx="43">
                  <v>43616</v>
                </pt>
                <pt idx="44">
                  <v>43585</v>
                </pt>
                <pt idx="45">
                  <v>43555</v>
                </pt>
                <pt idx="46">
                  <v>43524</v>
                </pt>
                <pt idx="47">
                  <v>43496</v>
                </pt>
                <pt idx="48">
                  <v>43465</v>
                </pt>
                <pt idx="49">
                  <v>43434</v>
                </pt>
                <pt idx="50">
                  <v>43404</v>
                </pt>
                <pt idx="51">
                  <v>43373</v>
                </pt>
                <pt idx="52">
                  <v>43343</v>
                </pt>
                <pt idx="53">
                  <v>43312</v>
                </pt>
                <pt idx="54">
                  <v>43281</v>
                </pt>
                <pt idx="55">
                  <v>43251</v>
                </pt>
                <pt idx="56">
                  <v>43220</v>
                </pt>
                <pt idx="57">
                  <v>43190</v>
                </pt>
                <pt idx="58">
                  <v>43159</v>
                </pt>
                <pt idx="59">
                  <v>43131</v>
                </pt>
                <pt idx="60">
                  <v>43100</v>
                </pt>
                <pt idx="61">
                  <v>43069</v>
                </pt>
                <pt idx="62">
                  <v>43039</v>
                </pt>
                <pt idx="63">
                  <v>43008</v>
                </pt>
                <pt idx="64">
                  <v>42978</v>
                </pt>
                <pt idx="65">
                  <v>42947</v>
                </pt>
                <pt idx="66">
                  <v>42916</v>
                </pt>
                <pt idx="67">
                  <v>42886</v>
                </pt>
                <pt idx="68">
                  <v>42855</v>
                </pt>
                <pt idx="69">
                  <v>42825</v>
                </pt>
                <pt idx="70">
                  <v>42794</v>
                </pt>
              </numCache>
            </numRef>
          </cat>
          <val>
            <numRef>
              <f>'SSA Charts'!$AI$3:$AI$73</f>
              <numCache>
                <formatCode>0.0%</formatCode>
                <ptCount val="71"/>
                <pt idx="0">
                  <v>0.04444444444444445</v>
                </pt>
                <pt idx="1">
                  <v>0.03846153846153846</v>
                </pt>
                <pt idx="2">
                  <v>0.05660377358490566</v>
                </pt>
                <pt idx="3">
                  <v>0.05357142857142857</v>
                </pt>
                <pt idx="4">
                  <v>0.03571428571428571</v>
                </pt>
                <pt idx="5">
                  <v>0.03571428571428571</v>
                </pt>
                <pt idx="6">
                  <v>0.04081632653061224</v>
                </pt>
                <pt idx="7">
                  <v>0.0392156862745098</v>
                </pt>
                <pt idx="8">
                  <v>0.0392156862745098</v>
                </pt>
                <pt idx="9">
                  <v>0.04166666666666666</v>
                </pt>
                <pt idx="10">
                  <v>0.04166666666666666</v>
                </pt>
                <pt idx="11">
                  <v>0.04347826086956522</v>
                </pt>
                <pt idx="12">
                  <v>0.0425531914893617</v>
                </pt>
                <pt idx="13">
                  <v>0.04651162790697674</v>
                </pt>
                <pt idx="14">
                  <v>0.02380952380952381</v>
                </pt>
                <pt idx="15">
                  <v>0.02564102564102564</v>
                </pt>
                <pt idx="16">
                  <v>0.02941176470588235</v>
                </pt>
                <pt idx="17">
                  <v>0.02941176470588235</v>
                </pt>
                <pt idx="18">
                  <v>0.02941176470588235</v>
                </pt>
                <pt idx="19">
                  <v>0.06666666666666667</v>
                </pt>
                <pt idx="20">
                  <v>0.06666666666666667</v>
                </pt>
                <pt idx="21">
                  <v>0.0625</v>
                </pt>
                <pt idx="22">
                  <v>0.03333333333333333</v>
                </pt>
                <pt idx="23">
                  <v>0.03225806451612903</v>
                </pt>
                <pt idx="24">
                  <v>0.03125</v>
                </pt>
                <pt idx="25">
                  <v>0.06666666666666667</v>
                </pt>
                <pt idx="26">
                  <v>0.06896551724137931</v>
                </pt>
                <pt idx="27">
                  <v>0.06896551724137931</v>
                </pt>
                <pt idx="28">
                  <v>0.07142857142857142</v>
                </pt>
                <pt idx="29">
                  <v>0.07407407407407407</v>
                </pt>
                <pt idx="30">
                  <v>0.07407407407407407</v>
                </pt>
                <pt idx="31">
                  <v>0.03703703703703703</v>
                </pt>
                <pt idx="32">
                  <v>0.06060606060606061</v>
                </pt>
                <pt idx="33">
                  <v>0.05882352941176471</v>
                </pt>
                <pt idx="34">
                  <v>0.05714285714285714</v>
                </pt>
                <pt idx="35">
                  <v>0.05882352941176471</v>
                </pt>
                <pt idx="36">
                  <v>0.09375</v>
                </pt>
                <pt idx="37">
                  <v>0.09090909090909091</v>
                </pt>
                <pt idx="38">
                  <v>0.09677419354838709</v>
                </pt>
                <pt idx="39">
                  <v>0.1</v>
                </pt>
                <pt idx="40">
                  <v>0.103448275862069</v>
                </pt>
                <pt idx="41">
                  <v>0.1</v>
                </pt>
                <pt idx="42">
                  <v>0.07142857142857142</v>
                </pt>
                <pt idx="43">
                  <v>0.06666666666666667</v>
                </pt>
                <pt idx="44">
                  <v>0.05555555555555555</v>
                </pt>
                <pt idx="45">
                  <v>0.05555555555555555</v>
                </pt>
                <pt idx="46">
                  <v>0.04651162790697674</v>
                </pt>
                <pt idx="47">
                  <v>0.06818181818181818</v>
                </pt>
                <pt idx="48">
                  <v>0.04347826086956522</v>
                </pt>
                <pt idx="49">
                  <v>0.02380952380952381</v>
                </pt>
                <pt idx="50">
                  <v>0.02222222222222222</v>
                </pt>
                <pt idx="51">
                  <v>0.02127659574468085</v>
                </pt>
                <pt idx="52">
                  <v>0.02040816326530612</v>
                </pt>
                <pt idx="53">
                  <v>0.02173913043478261</v>
                </pt>
                <pt idx="54">
                  <v>0.0303030303030303</v>
                </pt>
                <pt idx="55">
                  <v>0.02941176470588235</v>
                </pt>
                <pt idx="56">
                  <v>0.02564102564102564</v>
                </pt>
                <pt idx="57">
                  <v>0.02439024390243903</v>
                </pt>
                <pt idx="58">
                  <v>0.02777777777777778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0.02857142857142857</v>
                </pt>
                <pt idx="65">
                  <v>0.02777777777777778</v>
                </pt>
                <pt idx="66">
                  <v>0.02631578947368421</v>
                </pt>
                <pt idx="67">
                  <v>0.02222222222222222</v>
                </pt>
                <pt idx="68">
                  <v>0.02325581395348837</v>
                </pt>
                <pt idx="69">
                  <v>0.02173913043478261</v>
                </pt>
                <pt idx="70">
                  <v>0.02083333333333333</v>
                </pt>
              </numCache>
            </numRef>
          </val>
        </ser>
        <ser>
          <idx val="1"/>
          <order val="1"/>
          <tx>
            <strRef>
              <f>'SSA Charts'!$AK$2</f>
              <strCache>
                <ptCount val="1"/>
                <pt idx="0">
                  <v>3+ Year Firm Price Change (ttm)</v>
                </pt>
              </strCache>
            </strRef>
          </tx>
          <spPr>
            <a:solidFill xmlns:a="http://schemas.openxmlformats.org/drawingml/2006/main">
              <a:srgbClr val="5B7F9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'SSA Charts'!$C$3:$C$73</f>
              <numCache>
                <formatCode>[$-409]mmm\-yy;@</formatCode>
                <ptCount val="71"/>
                <pt idx="0">
                  <v>44926</v>
                </pt>
                <pt idx="1">
                  <v>44895</v>
                </pt>
                <pt idx="2">
                  <v>44865</v>
                </pt>
                <pt idx="3">
                  <v>44834</v>
                </pt>
                <pt idx="4">
                  <v>44804</v>
                </pt>
                <pt idx="5">
                  <v>44773</v>
                </pt>
                <pt idx="6">
                  <v>44742</v>
                </pt>
                <pt idx="7">
                  <v>44712</v>
                </pt>
                <pt idx="8">
                  <v>44681</v>
                </pt>
                <pt idx="9">
                  <v>44651</v>
                </pt>
                <pt idx="10">
                  <v>44620</v>
                </pt>
                <pt idx="11">
                  <v>44592</v>
                </pt>
                <pt idx="12">
                  <v>44561</v>
                </pt>
                <pt idx="13">
                  <v>44530</v>
                </pt>
                <pt idx="14">
                  <v>44500</v>
                </pt>
                <pt idx="15">
                  <v>44469</v>
                </pt>
                <pt idx="16">
                  <v>44439</v>
                </pt>
                <pt idx="17">
                  <v>44408</v>
                </pt>
                <pt idx="18">
                  <v>44377</v>
                </pt>
                <pt idx="19">
                  <v>44347</v>
                </pt>
                <pt idx="20">
                  <v>44316</v>
                </pt>
                <pt idx="21">
                  <v>44286</v>
                </pt>
                <pt idx="22">
                  <v>44255</v>
                </pt>
                <pt idx="23">
                  <v>44227</v>
                </pt>
                <pt idx="24">
                  <v>44196</v>
                </pt>
                <pt idx="25">
                  <v>44165</v>
                </pt>
                <pt idx="26">
                  <v>44135</v>
                </pt>
                <pt idx="27">
                  <v>44104</v>
                </pt>
                <pt idx="28">
                  <v>44074</v>
                </pt>
                <pt idx="29">
                  <v>44043</v>
                </pt>
                <pt idx="30">
                  <v>44012</v>
                </pt>
                <pt idx="31">
                  <v>43982</v>
                </pt>
                <pt idx="32">
                  <v>43951</v>
                </pt>
                <pt idx="33">
                  <v>43921</v>
                </pt>
                <pt idx="34">
                  <v>43890</v>
                </pt>
                <pt idx="35">
                  <v>43861</v>
                </pt>
                <pt idx="36">
                  <v>43830</v>
                </pt>
                <pt idx="37">
                  <v>43799</v>
                </pt>
                <pt idx="38">
                  <v>43769</v>
                </pt>
                <pt idx="39">
                  <v>43738</v>
                </pt>
                <pt idx="40">
                  <v>43708</v>
                </pt>
                <pt idx="41">
                  <v>43677</v>
                </pt>
                <pt idx="42">
                  <v>43646</v>
                </pt>
                <pt idx="43">
                  <v>43616</v>
                </pt>
                <pt idx="44">
                  <v>43585</v>
                </pt>
                <pt idx="45">
                  <v>43555</v>
                </pt>
                <pt idx="46">
                  <v>43524</v>
                </pt>
                <pt idx="47">
                  <v>43496</v>
                </pt>
                <pt idx="48">
                  <v>43465</v>
                </pt>
                <pt idx="49">
                  <v>43434</v>
                </pt>
                <pt idx="50">
                  <v>43404</v>
                </pt>
                <pt idx="51">
                  <v>43373</v>
                </pt>
                <pt idx="52">
                  <v>43343</v>
                </pt>
                <pt idx="53">
                  <v>43312</v>
                </pt>
                <pt idx="54">
                  <v>43281</v>
                </pt>
                <pt idx="55">
                  <v>43251</v>
                </pt>
                <pt idx="56">
                  <v>43220</v>
                </pt>
                <pt idx="57">
                  <v>43190</v>
                </pt>
                <pt idx="58">
                  <v>43159</v>
                </pt>
                <pt idx="59">
                  <v>43131</v>
                </pt>
                <pt idx="60">
                  <v>43100</v>
                </pt>
                <pt idx="61">
                  <v>43069</v>
                </pt>
                <pt idx="62">
                  <v>43039</v>
                </pt>
                <pt idx="63">
                  <v>43008</v>
                </pt>
                <pt idx="64">
                  <v>42978</v>
                </pt>
                <pt idx="65">
                  <v>42947</v>
                </pt>
                <pt idx="66">
                  <v>42916</v>
                </pt>
                <pt idx="67">
                  <v>42886</v>
                </pt>
                <pt idx="68">
                  <v>42855</v>
                </pt>
                <pt idx="69">
                  <v>42825</v>
                </pt>
                <pt idx="70">
                  <v>42794</v>
                </pt>
              </numCache>
            </numRef>
          </cat>
          <val>
            <numRef>
              <f>'SSA Charts'!$AK$3:$AK$73</f>
              <numCache>
                <formatCode>0.0%</formatCode>
                <ptCount val="71"/>
                <pt idx="0">
                  <v>0.1</v>
                </pt>
                <pt idx="1">
                  <v>0.08695652173913043</v>
                </pt>
                <pt idx="2">
                  <v>0.1304347826086956</v>
                </pt>
                <pt idx="3">
                  <v>0.125</v>
                </pt>
                <pt idx="4">
                  <v>0.08695652173913043</v>
                </pt>
                <pt idx="5">
                  <v>0.09090909090909091</v>
                </pt>
                <pt idx="6">
                  <v>0.09523809523809523</v>
                </pt>
                <pt idx="7">
                  <v>0.08333333333333333</v>
                </pt>
                <pt idx="8">
                  <v>0.08333333333333333</v>
                </pt>
                <pt idx="9">
                  <v>0.09523809523809523</v>
                </pt>
                <pt idx="10">
                  <v>0.09523809523809523</v>
                </pt>
                <pt idx="11">
                  <v>0.09523809523809523</v>
                </pt>
                <pt idx="12">
                  <v>0.09090909090909091</v>
                </pt>
                <pt idx="13">
                  <v>0.1052631578947368</v>
                </pt>
                <pt idx="14">
                  <v>0.04761904761904762</v>
                </pt>
                <pt idx="15">
                  <v>0.05263157894736842</v>
                </pt>
                <pt idx="16">
                  <v>0.05555555555555555</v>
                </pt>
                <pt idx="17">
                  <v>0.05555555555555555</v>
                </pt>
                <pt idx="18">
                  <v>0.05555555555555555</v>
                </pt>
                <pt idx="19">
                  <v>0.125</v>
                </pt>
                <pt idx="20">
                  <v>0.125</v>
                </pt>
                <pt idx="21">
                  <v>0.1176470588235294</v>
                </pt>
                <pt idx="22">
                  <v>0.05882352941176471</v>
                </pt>
                <pt idx="23">
                  <v>0.05882352941176471</v>
                </pt>
                <pt idx="24">
                  <v>0.05555555555555555</v>
                </pt>
                <pt idx="25">
                  <v>0.1176470588235294</v>
                </pt>
                <pt idx="26">
                  <v>0.1333333333333333</v>
                </pt>
                <pt idx="27">
                  <v>0.1176470588235294</v>
                </pt>
                <pt idx="28">
                  <v>0.125</v>
                </pt>
                <pt idx="29">
                  <v>0.1176470588235294</v>
                </pt>
                <pt idx="30">
                  <v>0.125</v>
                </pt>
                <pt idx="31">
                  <v>0.0625</v>
                </pt>
                <pt idx="32">
                  <v>0.09090909090909091</v>
                </pt>
                <pt idx="33">
                  <v>0.09090909090909091</v>
                </pt>
                <pt idx="34">
                  <v>0.08695652173913043</v>
                </pt>
                <pt idx="35">
                  <v>0.08695652173913043</v>
                </pt>
                <pt idx="36">
                  <v>0.09523809523809523</v>
                </pt>
                <pt idx="37">
                  <v>0.04761904761904762</v>
                </pt>
                <pt idx="38">
                  <v>0.05</v>
                </pt>
                <pt idx="39">
                  <v>0.05263157894736842</v>
                </pt>
                <pt idx="40">
                  <v>0.05263157894736842</v>
                </pt>
                <pt idx="41">
                  <v>0.05263157894736842</v>
                </pt>
                <pt idx="42">
                  <v>0.04166666666666666</v>
                </pt>
                <pt idx="43">
                  <v>0.04166666666666666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0.05555555555555555</v>
                </pt>
                <pt idx="65">
                  <v>0.05263157894736842</v>
                </pt>
                <pt idx="66">
                  <v>0.05</v>
                </pt>
                <pt idx="67">
                  <v>0.04</v>
                </pt>
                <pt idx="68">
                  <v>0.04</v>
                </pt>
                <pt idx="69">
                  <v>0.04166666666666666</v>
                </pt>
                <pt idx="70">
                  <v>0.04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723474744"/>
        <axId val="723474416"/>
      </barChart>
      <lineChart>
        <grouping val="standard"/>
        <varyColors val="0"/>
        <ser>
          <idx val="2"/>
          <order val="0"/>
          <tx>
            <strRef>
              <f>'SSA Charts'!$AD$2</f>
              <strCache>
                <ptCount val="1"/>
                <pt idx="0">
                  <v>Last Ask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'SSA Charts'!$C$3:$C$73</f>
              <numCache>
                <formatCode>[$-409]mmm\-yy;@</formatCode>
                <ptCount val="71"/>
                <pt idx="0">
                  <v>44926</v>
                </pt>
                <pt idx="1">
                  <v>44895</v>
                </pt>
                <pt idx="2">
                  <v>44865</v>
                </pt>
                <pt idx="3">
                  <v>44834</v>
                </pt>
                <pt idx="4">
                  <v>44804</v>
                </pt>
                <pt idx="5">
                  <v>44773</v>
                </pt>
                <pt idx="6">
                  <v>44742</v>
                </pt>
                <pt idx="7">
                  <v>44712</v>
                </pt>
                <pt idx="8">
                  <v>44681</v>
                </pt>
                <pt idx="9">
                  <v>44651</v>
                </pt>
                <pt idx="10">
                  <v>44620</v>
                </pt>
                <pt idx="11">
                  <v>44592</v>
                </pt>
                <pt idx="12">
                  <v>44561</v>
                </pt>
                <pt idx="13">
                  <v>44530</v>
                </pt>
                <pt idx="14">
                  <v>44500</v>
                </pt>
                <pt idx="15">
                  <v>44469</v>
                </pt>
                <pt idx="16">
                  <v>44439</v>
                </pt>
                <pt idx="17">
                  <v>44408</v>
                </pt>
                <pt idx="18">
                  <v>44377</v>
                </pt>
                <pt idx="19">
                  <v>44347</v>
                </pt>
                <pt idx="20">
                  <v>44316</v>
                </pt>
                <pt idx="21">
                  <v>44286</v>
                </pt>
                <pt idx="22">
                  <v>44255</v>
                </pt>
                <pt idx="23">
                  <v>44227</v>
                </pt>
                <pt idx="24">
                  <v>44196</v>
                </pt>
                <pt idx="25">
                  <v>44165</v>
                </pt>
                <pt idx="26">
                  <v>44135</v>
                </pt>
                <pt idx="27">
                  <v>44104</v>
                </pt>
                <pt idx="28">
                  <v>44074</v>
                </pt>
                <pt idx="29">
                  <v>44043</v>
                </pt>
                <pt idx="30">
                  <v>44012</v>
                </pt>
                <pt idx="31">
                  <v>43982</v>
                </pt>
                <pt idx="32">
                  <v>43951</v>
                </pt>
                <pt idx="33">
                  <v>43921</v>
                </pt>
                <pt idx="34">
                  <v>43890</v>
                </pt>
                <pt idx="35">
                  <v>43861</v>
                </pt>
                <pt idx="36">
                  <v>43830</v>
                </pt>
                <pt idx="37">
                  <v>43799</v>
                </pt>
                <pt idx="38">
                  <v>43769</v>
                </pt>
                <pt idx="39">
                  <v>43738</v>
                </pt>
                <pt idx="40">
                  <v>43708</v>
                </pt>
                <pt idx="41">
                  <v>43677</v>
                </pt>
                <pt idx="42">
                  <v>43646</v>
                </pt>
                <pt idx="43">
                  <v>43616</v>
                </pt>
                <pt idx="44">
                  <v>43585</v>
                </pt>
                <pt idx="45">
                  <v>43555</v>
                </pt>
                <pt idx="46">
                  <v>43524</v>
                </pt>
                <pt idx="47">
                  <v>43496</v>
                </pt>
                <pt idx="48">
                  <v>43465</v>
                </pt>
                <pt idx="49">
                  <v>43434</v>
                </pt>
                <pt idx="50">
                  <v>43404</v>
                </pt>
                <pt idx="51">
                  <v>43373</v>
                </pt>
                <pt idx="52">
                  <v>43343</v>
                </pt>
                <pt idx="53">
                  <v>43312</v>
                </pt>
                <pt idx="54">
                  <v>43281</v>
                </pt>
                <pt idx="55">
                  <v>43251</v>
                </pt>
                <pt idx="56">
                  <v>43220</v>
                </pt>
                <pt idx="57">
                  <v>43190</v>
                </pt>
                <pt idx="58">
                  <v>43159</v>
                </pt>
                <pt idx="59">
                  <v>43131</v>
                </pt>
                <pt idx="60">
                  <v>43100</v>
                </pt>
                <pt idx="61">
                  <v>43069</v>
                </pt>
                <pt idx="62">
                  <v>43039</v>
                </pt>
                <pt idx="63">
                  <v>43008</v>
                </pt>
                <pt idx="64">
                  <v>42978</v>
                </pt>
                <pt idx="65">
                  <v>42947</v>
                </pt>
                <pt idx="66">
                  <v>42916</v>
                </pt>
                <pt idx="67">
                  <v>42886</v>
                </pt>
                <pt idx="68">
                  <v>42855</v>
                </pt>
                <pt idx="69">
                  <v>42825</v>
                </pt>
                <pt idx="70">
                  <v>42794</v>
                </pt>
              </numCache>
            </numRef>
          </cat>
          <val>
            <numRef>
              <f>'SSA Charts'!$AD$3:$AD$73</f>
              <numCache>
                <formatCode>0.00%</formatCode>
                <ptCount val="71"/>
                <pt idx="0">
                  <v>0.0738683147439128</v>
                </pt>
                <pt idx="1">
                  <v>0.07427246445164579</v>
                </pt>
                <pt idx="2">
                  <v>0.07526575224990088</v>
                </pt>
                <pt idx="3">
                  <v>0.07526575224990088</v>
                </pt>
                <pt idx="4">
                  <v>0.07572374229515391</v>
                </pt>
                <pt idx="5">
                  <v>0.07289412062519138</v>
                </pt>
                <pt idx="6">
                  <v>0.07203211345109356</v>
                </pt>
                <pt idx="7">
                  <v>0.07307147304214687</v>
                </pt>
                <pt idx="8">
                  <v>0.07238634006272332</v>
                </pt>
                <pt idx="9">
                  <v>0.07321335232899907</v>
                </pt>
                <pt idx="10">
                  <v>0.07333286165993125</v>
                </pt>
                <pt idx="11">
                  <v>0.0735936926960976</v>
                </pt>
                <pt idx="12">
                  <v>0.07425725001041454</v>
                </pt>
                <pt idx="13">
                  <v>0.07346708195488851</v>
                </pt>
                <pt idx="14">
                  <v>0.07171824632842717</v>
                </pt>
                <pt idx="15">
                  <v>0.07171824632842717</v>
                </pt>
                <pt idx="16">
                  <v>0.0695152081218917</v>
                </pt>
                <pt idx="17">
                  <v>0.07195769533795897</v>
                </pt>
                <pt idx="18">
                  <v>0.07039846275737306</v>
                </pt>
                <pt idx="19">
                  <v>0.06890927969636364</v>
                </pt>
                <pt idx="20">
                  <v>0.06863812649219078</v>
                </pt>
                <pt idx="21">
                  <v>0.06682228261784155</v>
                </pt>
                <pt idx="22">
                  <v>0.06614528752850664</v>
                </pt>
                <pt idx="23">
                  <v>0.06614528752850664</v>
                </pt>
                <pt idx="24">
                  <v>0.06413642244592256</v>
                </pt>
                <pt idx="25">
                  <v>0.06451522163257495</v>
                </pt>
                <pt idx="26">
                  <v>0.06451522163257495</v>
                </pt>
                <pt idx="27">
                  <v>0.06451522163257495</v>
                </pt>
                <pt idx="28">
                  <v>0.06446720058827485</v>
                </pt>
                <pt idx="29">
                  <v>0.06346377810134586</v>
                </pt>
                <pt idx="30">
                  <v>0.06440608168483775</v>
                </pt>
                <pt idx="31">
                  <v>0.06363275470987161</v>
                </pt>
                <pt idx="32">
                  <v>0.06455198547910238</v>
                </pt>
                <pt idx="33">
                  <v>0.0670811262618313</v>
                </pt>
                <pt idx="34">
                  <v>0.06832695044639062</v>
                </pt>
                <pt idx="35">
                  <v>0.06832695044639062</v>
                </pt>
                <pt idx="36">
                  <v>0.07057112793556811</v>
                </pt>
                <pt idx="37">
                  <v>0.07532566272987801</v>
                </pt>
                <pt idx="38">
                  <v>0.07532566272987801</v>
                </pt>
                <pt idx="39">
                  <v>0.0741798964568902</v>
                </pt>
                <pt idx="40">
                  <v>0.0731770621292774</v>
                </pt>
                <pt idx="41">
                  <v>0.07185706411756435</v>
                </pt>
                <pt idx="42">
                  <v>0.07471403691456237</v>
                </pt>
                <pt idx="43">
                  <v>0.07716743437615267</v>
                </pt>
                <pt idx="44">
                  <v>0.07758269067774601</v>
                </pt>
                <pt idx="45">
                  <v>0.0767605112992296</v>
                </pt>
                <pt idx="46">
                  <v>0.07859362717971756</v>
                </pt>
                <pt idx="47">
                  <v>0.07765016016733207</v>
                </pt>
                <pt idx="48">
                  <v>0.07973483680210081</v>
                </pt>
                <pt idx="49">
                  <v>0.07765117397861056</v>
                </pt>
                <pt idx="50">
                  <v>0.07765117397861056</v>
                </pt>
                <pt idx="51">
                  <v>0.07743606155083513</v>
                </pt>
                <pt idx="52">
                  <v>0.07743606155083513</v>
                </pt>
                <pt idx="53">
                  <v>0.07973831277843613</v>
                </pt>
                <pt idx="54">
                  <v>0.07838862274060024</v>
                </pt>
                <pt idx="55">
                  <v>0.07589711767889196</v>
                </pt>
                <pt idx="56">
                  <v>0.07515918816700436</v>
                </pt>
                <pt idx="57">
                  <v>0.07718187916315904</v>
                </pt>
                <pt idx="58">
                  <v>0.07504362565547402</v>
                </pt>
                <pt idx="59">
                  <v>0.07653358709931923</v>
                </pt>
                <pt idx="60">
                  <v>0.07642009321451287</v>
                </pt>
                <pt idx="61">
                  <v>0.07732027374248068</v>
                </pt>
                <pt idx="62">
                  <v>0.07732027374248068</v>
                </pt>
                <pt idx="63">
                  <v>0.07767106341671991</v>
                </pt>
                <pt idx="64">
                  <v>0.07869847479865992</v>
                </pt>
                <pt idx="65">
                  <v>0.07869847479865992</v>
                </pt>
                <pt idx="66">
                  <v>0.07869847479865992</v>
                </pt>
                <pt idx="67">
                  <v>0.07859429896139482</v>
                </pt>
                <pt idx="68">
                  <v>0.07921712898866992</v>
                </pt>
                <pt idx="69">
                  <v>0.07692549557552812</v>
                </pt>
                <pt idx="70">
                  <v>0.07712117014433825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45604903"/>
        <axId val="845601951"/>
      </lineChart>
      <dateAx>
        <axId val="723474744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723474416"/>
        <crosses val="autoZero"/>
        <lblOffset val="100"/>
        <baseTimeUnit val="months"/>
      </dateAx>
      <valAx>
        <axId val="723474416"/>
        <scaling>
          <orientation val="minMax"/>
        </scaling>
        <delete val="0"/>
        <axPos val="l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23474744"/>
        <crosses val="autoZero"/>
        <crossBetween val="between"/>
      </valAx>
      <dateAx>
        <axId val="845604903"/>
        <scaling>
          <orientation val="minMax"/>
        </scaling>
        <delete val="0"/>
        <axPos val="b"/>
        <numFmt formatCode="[$-409]mmm\-yy;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5601951"/>
        <crosses val="autoZero"/>
        <lblOffset val="100"/>
        <baseTimeUnit val="months"/>
      </dateAx>
      <valAx>
        <axId val="845601951"/>
        <scaling>
          <orientation val="minMax"/>
          <min val="0.06000000000000001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4560490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Light" pitchFamily="50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7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'SSA Charts'!$AB$2</f>
              <strCache>
                <ptCount val="1"/>
                <pt idx="0">
                  <v>DOM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'All Charts'!$B$32:$B$221</f>
              <strCache>
                <ptCount val="188"/>
                <pt idx="1">
                  <v>Q4-2022</v>
                </pt>
                <pt idx="4">
                  <v>Q3-2022</v>
                </pt>
                <pt idx="7">
                  <v>Q2-2022</v>
                </pt>
                <pt idx="10">
                  <v>Q1-2022</v>
                </pt>
                <pt idx="13">
                  <v>Q4-2021</v>
                </pt>
                <pt idx="16">
                  <v>Q3-2021</v>
                </pt>
                <pt idx="19">
                  <v>Q2-2021</v>
                </pt>
                <pt idx="22">
                  <v>Q1-2021</v>
                </pt>
                <pt idx="25">
                  <v>Q4-2020</v>
                </pt>
                <pt idx="28">
                  <v>Q3-2020</v>
                </pt>
                <pt idx="31">
                  <v>Q2-2020</v>
                </pt>
                <pt idx="34">
                  <v>Q1-2020</v>
                </pt>
                <pt idx="37">
                  <v>4Q-2019</v>
                </pt>
                <pt idx="40">
                  <v>3Q-2019</v>
                </pt>
                <pt idx="43">
                  <v>2Q-2019</v>
                </pt>
                <pt idx="46">
                  <v>1Q-2019</v>
                </pt>
                <pt idx="49">
                  <v>4Q-2018</v>
                </pt>
                <pt idx="52">
                  <v>3Q-2018</v>
                </pt>
                <pt idx="55">
                  <v>2Q-2018</v>
                </pt>
                <pt idx="58">
                  <v>1Q-2018</v>
                </pt>
                <pt idx="61">
                  <v>4Q-2017</v>
                </pt>
                <pt idx="64">
                  <v>3Q-2017</v>
                </pt>
                <pt idx="67">
                  <v>2Q-2017</v>
                </pt>
                <pt idx="70">
                  <v>1Q-2017</v>
                </pt>
                <pt idx="73">
                  <v>4Q-2016</v>
                </pt>
                <pt idx="76">
                  <v>3Q-2016</v>
                </pt>
                <pt idx="79">
                  <v>2Q-2016</v>
                </pt>
                <pt idx="82">
                  <v>1Q-2016</v>
                </pt>
                <pt idx="85">
                  <v>4Q-2015</v>
                </pt>
                <pt idx="88">
                  <v>3Q-2015</v>
                </pt>
                <pt idx="91">
                  <v>2Q-2015</v>
                </pt>
                <pt idx="94">
                  <v>1Q-2015</v>
                </pt>
                <pt idx="97">
                  <v>4Q-2014</v>
                </pt>
                <pt idx="100">
                  <v>3Q-2014</v>
                </pt>
                <pt idx="103">
                  <v>2Q-2014</v>
                </pt>
                <pt idx="106">
                  <v>1Q-2014</v>
                </pt>
                <pt idx="109">
                  <v>4Q-2013</v>
                </pt>
                <pt idx="112">
                  <v>3Q-2013</v>
                </pt>
                <pt idx="115">
                  <v>2Q-2013</v>
                </pt>
                <pt idx="118">
                  <v>1Q-2013</v>
                </pt>
                <pt idx="121">
                  <v>4Q-2012</v>
                </pt>
                <pt idx="124">
                  <v>3Q-2012</v>
                </pt>
                <pt idx="127">
                  <v>2Q-2012</v>
                </pt>
                <pt idx="130">
                  <v>1Q-2012</v>
                </pt>
                <pt idx="133">
                  <v>4Q-2011</v>
                </pt>
                <pt idx="136">
                  <v>3Q-2011</v>
                </pt>
                <pt idx="139">
                  <v>2Q-2011</v>
                </pt>
                <pt idx="142">
                  <v>1Q-2011</v>
                </pt>
                <pt idx="145">
                  <v>4Q-2010</v>
                </pt>
                <pt idx="148">
                  <v>3Q-2010</v>
                </pt>
                <pt idx="151">
                  <v>2Q-2010</v>
                </pt>
                <pt idx="154">
                  <v>1Q-2010</v>
                </pt>
                <pt idx="157">
                  <v>4Q-2009</v>
                </pt>
                <pt idx="160">
                  <v>3Q-2009</v>
                </pt>
                <pt idx="163">
                  <v>2Q-2009</v>
                </pt>
                <pt idx="166">
                  <v>1Q-2009</v>
                </pt>
                <pt idx="169">
                  <v>4Q-2008</v>
                </pt>
                <pt idx="172">
                  <v>3Q-2008</v>
                </pt>
                <pt idx="175">
                  <v>2Q-2008</v>
                </pt>
                <pt idx="178">
                  <v>1Q-2008</v>
                </pt>
                <pt idx="181">
                  <v>4Q-2007</v>
                </pt>
                <pt idx="184">
                  <v>3Q-2007</v>
                </pt>
                <pt idx="187">
                  <v>2Q-2007</v>
                </pt>
              </strCache>
            </strRef>
          </cat>
          <val>
            <numRef>
              <f>'SSA Charts'!$AB$3:$AB$192</f>
              <numCache>
                <formatCode>#,##0_);[Red]\(#,##0\)</formatCode>
                <ptCount val="190"/>
                <pt idx="0">
                  <v>264.2857142857143</v>
                </pt>
                <pt idx="1">
                  <v>247.2380952380952</v>
                </pt>
                <pt idx="2">
                  <v>239.2173913043478</v>
                </pt>
                <pt idx="3">
                  <v>228.8260869565217</v>
                </pt>
                <pt idx="4">
                  <v>208.1904761904762</v>
                </pt>
                <pt idx="5">
                  <v>206</v>
                </pt>
                <pt idx="6">
                  <v>212.1</v>
                </pt>
                <pt idx="7">
                  <v>216</v>
                </pt>
                <pt idx="8">
                  <v>215.047619047619</v>
                </pt>
                <pt idx="9">
                  <v>220.1</v>
                </pt>
                <pt idx="10">
                  <v>185.5263157894737</v>
                </pt>
                <pt idx="11">
                  <v>195.5882352941177</v>
                </pt>
                <pt idx="12">
                  <v>193.1176470588235</v>
                </pt>
                <pt idx="13">
                  <v>207.9444444444445</v>
                </pt>
                <pt idx="14">
                  <v>201.7333333333333</v>
                </pt>
                <pt idx="15">
                  <v>204.7142857142857</v>
                </pt>
                <pt idx="16">
                  <v>217.2307692307692</v>
                </pt>
                <pt idx="17">
                  <v>230.7272727272727</v>
                </pt>
                <pt idx="18">
                  <v>221.25</v>
                </pt>
                <pt idx="19">
                  <v>223.7</v>
                </pt>
                <pt idx="20">
                  <v>224.5</v>
                </pt>
                <pt idx="21">
                  <v>214.2727272727273</v>
                </pt>
                <pt idx="22">
                  <v>226.8</v>
                </pt>
                <pt idx="23">
                  <v>226.8</v>
                </pt>
                <pt idx="24">
                  <v>215.7272727272727</v>
                </pt>
                <pt idx="25">
                  <v>258.6363636363636</v>
                </pt>
                <pt idx="26">
                  <v>318</v>
                </pt>
                <pt idx="27">
                  <v>318</v>
                </pt>
                <pt idx="28">
                  <v>325.8181818181818</v>
                </pt>
                <pt idx="29">
                  <v>284.5454545454546</v>
                </pt>
                <pt idx="30">
                  <v>301.3</v>
                </pt>
                <pt idx="31">
                  <v>313.1111111111111</v>
                </pt>
                <pt idx="32">
                  <v>330.8888888888889</v>
                </pt>
                <pt idx="33">
                  <v>380.1111111111111</v>
                </pt>
                <pt idx="34">
                  <v>357.5454545454546</v>
                </pt>
                <pt idx="35">
                  <v>357.5454545454546</v>
                </pt>
                <pt idx="36">
                  <v>366.0909090909091</v>
                </pt>
                <pt idx="37">
                  <v>315.3</v>
                </pt>
                <pt idx="38">
                  <v>242.4444444444445</v>
                </pt>
                <pt idx="39">
                  <v>230.2</v>
                </pt>
                <pt idx="40">
                  <v>230.2</v>
                </pt>
                <pt idx="41">
                  <v>242.2</v>
                </pt>
                <pt idx="42">
                  <v>250.9230769230769</v>
                </pt>
                <pt idx="43">
                  <v>238.6666666666667</v>
                </pt>
                <pt idx="44">
                  <v>236.7857142857143</v>
                </pt>
                <pt idx="45">
                  <v>200.2142857142857</v>
                </pt>
                <pt idx="46">
                  <v>185.7857142857143</v>
                </pt>
                <pt idx="47">
                  <v>192.4</v>
                </pt>
                <pt idx="48">
                  <v>194.7142857142857</v>
                </pt>
                <pt idx="49">
                  <v>207.0769230769231</v>
                </pt>
                <pt idx="50">
                  <v>207.0769230769231</v>
                </pt>
                <pt idx="51">
                  <v>259.8571428571428</v>
                </pt>
                <pt idx="52">
                  <v>251.6</v>
                </pt>
                <pt idx="53">
                  <v>254.5714285714286</v>
                </pt>
                <pt idx="54">
                  <v>247.6363636363636</v>
                </pt>
                <pt idx="55">
                  <v>250.1666666666667</v>
                </pt>
                <pt idx="56">
                  <v>254.9230769230769</v>
                </pt>
                <pt idx="57">
                  <v>263</v>
                </pt>
                <pt idx="58">
                  <v>309.9285714285714</v>
                </pt>
                <pt idx="59">
                  <v>283.6</v>
                </pt>
                <pt idx="60">
                  <v>277.9333333333333</v>
                </pt>
                <pt idx="61">
                  <v>265.8666666666667</v>
                </pt>
                <pt idx="62">
                  <v>261.375</v>
                </pt>
                <pt idx="63">
                  <v>230</v>
                </pt>
                <pt idx="64">
                  <v>269.4666666666666</v>
                </pt>
                <pt idx="65">
                  <v>269.4666666666666</v>
                </pt>
                <pt idx="66">
                  <v>269.4666666666666</v>
                </pt>
                <pt idx="67">
                  <v>303.7647058823529</v>
                </pt>
                <pt idx="68">
                  <v>294.3529411764706</v>
                </pt>
                <pt idx="69">
                  <v>272.5263157894737</v>
                </pt>
                <pt idx="70">
                  <v>239.9444444444445</v>
                </pt>
                <pt idx="71">
                  <v>257.4375</v>
                </pt>
                <pt idx="72">
                  <v>264.8</v>
                </pt>
                <pt idx="73">
                  <v>303.4117647058824</v>
                </pt>
                <pt idx="74">
                  <v>310.25</v>
                </pt>
                <pt idx="75">
                  <v>299.875</v>
                </pt>
                <pt idx="76">
                  <v>275.0625</v>
                </pt>
                <pt idx="77">
                  <v>272.6666666666667</v>
                </pt>
                <pt idx="78">
                  <v>257.8</v>
                </pt>
                <pt idx="79">
                  <v>262.8888888888889</v>
                </pt>
                <pt idx="80">
                  <v>269.4117647058824</v>
                </pt>
                <pt idx="81">
                  <v>304.1428571428572</v>
                </pt>
                <pt idx="82">
                  <v>323.9166666666667</v>
                </pt>
                <pt idx="83">
                  <v>315.9230769230769</v>
                </pt>
                <pt idx="84">
                  <v>316.8571428571428</v>
                </pt>
                <pt idx="85">
                  <v>289.4615384615385</v>
                </pt>
                <pt idx="86">
                  <v>279.6666666666667</v>
                </pt>
                <pt idx="87">
                  <v>317</v>
                </pt>
                <pt idx="88">
                  <v>308.8</v>
                </pt>
                <pt idx="89">
                  <v>323.8</v>
                </pt>
                <pt idx="90">
                  <v>354.5384615384615</v>
                </pt>
                <pt idx="91">
                  <v>321.9166666666667</v>
                </pt>
                <pt idx="92">
                  <v>321.9166666666667</v>
                </pt>
                <pt idx="93">
                  <v>321.9166666666667</v>
                </pt>
                <pt idx="94">
                  <v>321.9166666666667</v>
                </pt>
                <pt idx="95">
                  <v>331.1818181818182</v>
                </pt>
                <pt idx="96">
                  <v>331.4</v>
                </pt>
                <pt idx="97">
                  <v>288.9</v>
                </pt>
                <pt idx="98">
                  <v>284.4</v>
                </pt>
                <pt idx="99">
                  <v>298.4</v>
                </pt>
                <pt idx="100">
                  <v>344.8181818181818</v>
                </pt>
                <pt idx="101">
                  <v>317.5</v>
                </pt>
                <pt idx="102">
                  <v>327.6363636363636</v>
                </pt>
                <pt idx="103">
                  <v>339.5555555555555</v>
                </pt>
                <pt idx="104">
                  <v>339.5555555555555</v>
                </pt>
                <pt idx="105">
                  <v>340.7</v>
                </pt>
                <pt idx="106">
                  <v>340.7</v>
                </pt>
                <pt idx="107">
                  <v>340.7</v>
                </pt>
                <pt idx="108">
                  <v>340.7</v>
                </pt>
                <pt idx="109">
                  <v>395.75</v>
                </pt>
                <pt idx="110">
                  <v>449</v>
                </pt>
                <pt idx="111">
                  <v>379.1666666666667</v>
                </pt>
                <pt idx="112">
                  <v>314.5</v>
                </pt>
                <pt idx="113">
                  <v>381.3333333333333</v>
                </pt>
                <pt idx="114">
                  <v>357.5</v>
                </pt>
                <pt idx="115">
                  <v>357.5</v>
                </pt>
                <pt idx="116">
                  <v>357.5</v>
                </pt>
                <pt idx="117">
                  <v>364</v>
                </pt>
                <pt idx="118">
                  <v>364</v>
                </pt>
                <pt idx="119">
                  <v>311</v>
                </pt>
                <pt idx="120">
                  <v>328.5</v>
                </pt>
                <pt idx="121">
                  <v>391.8</v>
                </pt>
                <pt idx="122">
                  <v>491.6</v>
                </pt>
                <pt idx="123">
                  <v>491.6</v>
                </pt>
                <pt idx="124">
                  <v>459.8333333333333</v>
                </pt>
                <pt idx="125">
                  <v>459.8333333333333</v>
                </pt>
                <pt idx="126">
                  <v>406</v>
                </pt>
                <pt idx="127">
                  <v>406</v>
                </pt>
                <pt idx="128">
                  <v>422.1111111111111</v>
                </pt>
                <pt idx="129">
                  <v>422.1111111111111</v>
                </pt>
                <pt idx="130">
                  <v>422.1111111111111</v>
                </pt>
                <pt idx="131">
                  <v>408.2222222222222</v>
                </pt>
                <pt idx="132">
                  <v>426</v>
                </pt>
                <pt idx="133">
                  <v>323.5</v>
                </pt>
                <pt idx="134">
                  <v>316.1111111111111</v>
                </pt>
                <pt idx="135">
                  <v>316.1111111111111</v>
                </pt>
                <pt idx="136">
                  <v>318</v>
                </pt>
                <pt idx="137">
                  <v>320.6</v>
                </pt>
                <pt idx="138">
                  <v>347</v>
                </pt>
                <pt idx="139">
                  <v>347</v>
                </pt>
                <pt idx="140">
                  <v>309.4285714285714</v>
                </pt>
                <pt idx="141">
                  <v>309.4285714285714</v>
                </pt>
                <pt idx="142">
                  <v>309.4285714285714</v>
                </pt>
                <pt idx="143">
                  <v>338.8333333333333</v>
                </pt>
                <pt idx="144">
                  <v>338.8333333333333</v>
                </pt>
                <pt idx="145">
                  <v>445.5</v>
                </pt>
                <pt idx="146">
                  <v>331</v>
                </pt>
                <pt idx="147">
                  <v>252.3333333333333</v>
                </pt>
                <pt idx="148">
                  <v>252.3333333333333</v>
                </pt>
                <pt idx="149">
                  <v>95</v>
                </pt>
                <pt idx="150">
                  <v>95</v>
                </pt>
                <pt idx="151">
                  <v>95</v>
                </pt>
                <pt idx="152">
                  <v>95</v>
                </pt>
                <pt idx="153">
                  <v>107</v>
                </pt>
                <pt idx="154">
                  <v>107</v>
                </pt>
                <pt idx="155">
                  <v>107</v>
                </pt>
                <pt idx="156">
                  <v>115.6666666666667</v>
                </pt>
                <pt idx="157">
                  <v>115.6666666666667</v>
                </pt>
                <pt idx="158">
                  <v>115.6666666666667</v>
                </pt>
                <pt idx="159">
                  <v>126</v>
                </pt>
                <pt idx="160">
                  <v>126</v>
                </pt>
                <pt idx="161">
                  <v>252</v>
                </pt>
                <pt idx="162">
                  <v>252</v>
                </pt>
                <pt idx="163">
                  <v>252</v>
                </pt>
                <pt idx="164">
                  <v>252</v>
                </pt>
                <pt idx="165">
                  <v>334.3333333333333</v>
                </pt>
                <pt idx="166">
                  <v>334.3333333333333</v>
                </pt>
                <pt idx="167">
                  <v>334.3333333333333</v>
                </pt>
                <pt idx="168">
                  <v>435</v>
                </pt>
                <pt idx="169">
                  <v>435</v>
                </pt>
                <pt idx="170">
                  <v>435</v>
                </pt>
                <pt idx="171">
                  <v>253</v>
                </pt>
                <pt idx="172">
                  <v>253</v>
                </pt>
                <pt idx="173">
                  <v>169.3333333333333</v>
                </pt>
                <pt idx="174">
                  <v>136.4</v>
                </pt>
                <pt idx="175">
                  <v>136.4</v>
                </pt>
                <pt idx="176">
                  <v>136.4</v>
                </pt>
                <pt idx="177">
                  <v>79</v>
                </pt>
                <pt idx="178">
                  <v>79</v>
                </pt>
                <pt idx="179">
                  <v>79</v>
                </pt>
                <pt idx="180">
                  <v>79</v>
                </pt>
                <pt idx="181">
                  <v>79</v>
                </pt>
                <pt idx="182">
                  <v>79</v>
                </pt>
                <pt idx="183">
                  <v>108.75</v>
                </pt>
                <pt idx="184">
                  <v>108.75</v>
                </pt>
                <pt idx="185">
                  <v>108.75</v>
                </pt>
                <pt idx="186">
                  <v>130.5</v>
                </pt>
                <pt idx="187">
                  <v>130.5</v>
                </pt>
                <pt idx="188">
                  <v>130.5</v>
                </pt>
                <pt idx="189">
                  <v>130.5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20"/>
        <overlap val="-27"/>
        <axId val="497854144"/>
        <axId val="497856768"/>
      </barChart>
      <lineChart>
        <grouping val="standard"/>
        <varyColors val="0"/>
        <ser>
          <idx val="1"/>
          <order val="1"/>
          <tx>
            <strRef>
              <f>'SSA Charts'!$AC$2</f>
              <strCache>
                <ptCount val="1"/>
                <pt idx="0">
                  <v>% of Ask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A8AD00"/>
              </a:solidFill>
              <a:ln xmlns:a="http://schemas.openxmlformats.org/drawingml/2006/main" w="9525">
                <a:noFill/>
                <a:prstDash val="solid"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Charts'!$AC$3:$AC$192</f>
              <numCache>
                <formatCode>0.0%</formatCode>
                <ptCount val="190"/>
                <pt idx="0">
                  <v>0.9288099684197021</v>
                </pt>
                <pt idx="1">
                  <v>0.9272366985881811</v>
                </pt>
                <pt idx="2">
                  <v>0.9297590759718332</v>
                </pt>
                <pt idx="3">
                  <v>0.9297590759718332</v>
                </pt>
                <pt idx="4">
                  <v>0.9481582837921523</v>
                </pt>
                <pt idx="5">
                  <v>0.9473565294710872</v>
                </pt>
                <pt idx="6">
                  <v>0.9484958447812275</v>
                </pt>
                <pt idx="7">
                  <v>0.945294483691814</v>
                </pt>
                <pt idx="8">
                  <v>0.943542725654411</v>
                </pt>
                <pt idx="9">
                  <v>0.9417322951177153</v>
                </pt>
                <pt idx="10">
                  <v>0.9508408757795138</v>
                </pt>
                <pt idx="11">
                  <v>0.9455078935821797</v>
                </pt>
                <pt idx="12">
                  <v>0.9424344596522528</v>
                </pt>
                <pt idx="13">
                  <v>0.9392415552799274</v>
                </pt>
                <pt idx="14">
                  <v>0.9425417761841876</v>
                </pt>
                <pt idx="15">
                  <v>0.9425417761841876</v>
                </pt>
                <pt idx="16">
                  <v>0.9379540121297172</v>
                </pt>
                <pt idx="17">
                  <v>0.9360320457696553</v>
                </pt>
                <pt idx="18">
                  <v>0.9358327426760261</v>
                </pt>
                <pt idx="19">
                  <v>0.9337769474063857</v>
                </pt>
                <pt idx="20">
                  <v>0.9336806502609082</v>
                </pt>
                <pt idx="21">
                  <v>0.9325405960724992</v>
                </pt>
                <pt idx="22">
                  <v>0.9316939058012542</v>
                </pt>
                <pt idx="23">
                  <v>0.9316939058012542</v>
                </pt>
                <pt idx="24">
                  <v>0.9344621210650811</v>
                </pt>
                <pt idx="25">
                  <v>0.9341769713978474</v>
                </pt>
                <pt idx="26">
                  <v>0.9285058714339406</v>
                </pt>
                <pt idx="27">
                  <v>0.9285058714339406</v>
                </pt>
                <pt idx="28">
                  <v>0.9222258070143412</v>
                </pt>
                <pt idx="29">
                  <v>0.9252987507640302</v>
                </pt>
                <pt idx="30">
                  <v>0.9197894101541587</v>
                </pt>
                <pt idx="31">
                  <v>0.9239410606499808</v>
                </pt>
                <pt idx="32">
                  <v>0.9138196075338754</v>
                </pt>
                <pt idx="33">
                  <v>0.9130470584756096</v>
                </pt>
                <pt idx="34">
                  <v>0.9201852897740516</v>
                </pt>
                <pt idx="35">
                  <v>0.9201852897740516</v>
                </pt>
                <pt idx="36">
                  <v>0.9088679737567356</v>
                </pt>
                <pt idx="37">
                  <v>0.875048965916327</v>
                </pt>
                <pt idx="38">
                  <v>0.875410531929822</v>
                </pt>
                <pt idx="39">
                  <v>0.88786947873684</v>
                </pt>
                <pt idx="40">
                  <v>0.8889240454433356</v>
                </pt>
                <pt idx="41">
                  <v>0.8934965951788693</v>
                </pt>
                <pt idx="42">
                  <v>0.8949441008535424</v>
                </pt>
                <pt idx="43">
                  <v>0.8978284049217519</v>
                </pt>
                <pt idx="44">
                  <v>0.8994546646940986</v>
                </pt>
                <pt idx="45">
                  <v>0.9047084116855065</v>
                </pt>
                <pt idx="46">
                  <v>0.8934459888509196</v>
                </pt>
                <pt idx="47">
                  <v>0.8957907609912519</v>
                </pt>
                <pt idx="48">
                  <v>0.9071834757326508</v>
                </pt>
                <pt idx="49">
                  <v>0.9315910665318192</v>
                </pt>
                <pt idx="50">
                  <v>0.9319603748735805</v>
                </pt>
                <pt idx="51">
                  <v>0.9319603748735805</v>
                </pt>
                <pt idx="52">
                  <v>0.9319603748735805</v>
                </pt>
                <pt idx="53">
                  <v>0.9302956505157847</v>
                </pt>
                <pt idx="54">
                  <v>0.9386210679921478</v>
                </pt>
                <pt idx="55">
                  <v>0.9297572734264704</v>
                </pt>
                <pt idx="56">
                  <v>0.9207631927474289</v>
                </pt>
                <pt idx="57">
                  <v>0.9207164821104826</v>
                </pt>
                <pt idx="58">
                  <v>0.9338857052535964</v>
                </pt>
                <pt idx="59">
                  <v>0.9371686148126568</v>
                </pt>
                <pt idx="60">
                  <v>0.9354503758887227</v>
                </pt>
                <pt idx="61">
                  <v>0.9314297842457709</v>
                </pt>
                <pt idx="62">
                  <v>0.9309239329329188</v>
                </pt>
                <pt idx="63">
                  <v>0.9303286948376807</v>
                </pt>
                <pt idx="64">
                  <v>0.9170400073559943</v>
                </pt>
                <pt idx="65">
                  <v>0.9170400073559943</v>
                </pt>
                <pt idx="66">
                  <v>0.9170400073559943</v>
                </pt>
                <pt idx="67">
                  <v>0.9183386144285949</v>
                </pt>
                <pt idx="68">
                  <v>0.9289918596447563</v>
                </pt>
                <pt idx="69">
                  <v>0.934166191348652</v>
                </pt>
                <pt idx="70">
                  <v>0.9334971618845982</v>
                </pt>
                <pt idx="71">
                  <v>0.9295493514265547</v>
                </pt>
                <pt idx="72">
                  <v>0.9221390691779059</v>
                </pt>
                <pt idx="73">
                  <v>0.9041199332280235</v>
                </pt>
                <pt idx="74">
                  <v>0.9041199332280235</v>
                </pt>
                <pt idx="75">
                  <v>0.9043982263634593</v>
                </pt>
                <pt idx="76">
                  <v>0.9264367938565724</v>
                </pt>
                <pt idx="77">
                  <v>0.9203683440199767</v>
                </pt>
                <pt idx="78">
                  <v>0.9175976811359917</v>
                </pt>
                <pt idx="79">
                  <v>0.915181022179422</v>
                </pt>
                <pt idx="80">
                  <v>0.9134815458451924</v>
                </pt>
                <pt idx="81">
                  <v>0.8995120994374095</v>
                </pt>
                <pt idx="82">
                  <v>0.894261839634905</v>
                </pt>
                <pt idx="83">
                  <v>0.889636868934172</v>
                </pt>
                <pt idx="84">
                  <v>0.8859840010792633</v>
                </pt>
                <pt idx="85">
                  <v>0.9083699571391871</v>
                </pt>
                <pt idx="86">
                  <v>0.9130616457433443</v>
                </pt>
                <pt idx="87">
                  <v>0.9128639541422421</v>
                </pt>
                <pt idx="88">
                  <v>0.9122698585385496</v>
                </pt>
                <pt idx="89">
                  <v>0.9023000108615545</v>
                </pt>
                <pt idx="90">
                  <v>0.9027519506067986</v>
                </pt>
                <pt idx="91">
                  <v>0.9103043921807699</v>
                </pt>
                <pt idx="92">
                  <v>0.9103043921807699</v>
                </pt>
                <pt idx="93">
                  <v>0.9103043921807699</v>
                </pt>
                <pt idx="94">
                  <v>0.9103043921807699</v>
                </pt>
                <pt idx="95">
                  <v>0.9182535256201765</v>
                </pt>
                <pt idx="96">
                  <v>0.9277665179701535</v>
                </pt>
                <pt idx="97">
                  <v>0.8930378073148187</v>
                </pt>
                <pt idx="98">
                  <v>0.8893845558910073</v>
                </pt>
                <pt idx="99">
                  <v>0.8660000660689614</v>
                </pt>
                <pt idx="100">
                  <v>0.8624972822417762</v>
                </pt>
                <pt idx="101">
                  <v>0.8864398237535408</v>
                </pt>
                <pt idx="102">
                  <v>0.8952840362085982</v>
                </pt>
                <pt idx="103">
                  <v>0.8930816375088664</v>
                </pt>
                <pt idx="104">
                  <v>0.8930816375088664</v>
                </pt>
                <pt idx="105">
                  <v>0.8827392333412145</v>
                </pt>
                <pt idx="106">
                  <v>0.8890914340468701</v>
                </pt>
                <pt idx="107">
                  <v>0.8890914340468701</v>
                </pt>
                <pt idx="108">
                  <v>0.8890914340468701</v>
                </pt>
                <pt idx="109">
                  <v>0.9066009905241589</v>
                </pt>
                <pt idx="110">
                  <v>0.8911761136768682</v>
                </pt>
                <pt idx="111">
                  <v>0.9033334490085437</v>
                </pt>
                <pt idx="112">
                  <v>0.9163874743276085</v>
                </pt>
                <pt idx="113">
                  <v>0.9069751847507683</v>
                </pt>
                <pt idx="114">
                  <v>0.8922095469761964</v>
                </pt>
                <pt idx="115">
                  <v>0.8922095469761964</v>
                </pt>
                <pt idx="116">
                  <v>0.8922095469761964</v>
                </pt>
                <pt idx="117">
                  <v>0.9229460626349284</v>
                </pt>
                <pt idx="118">
                  <v>0.8714145380578936</v>
                </pt>
                <pt idx="119">
                  <v>0.8904030088065781</v>
                </pt>
                <pt idx="120">
                  <v>0.9097708976191674</v>
                </pt>
                <pt idx="121">
                  <v>0.9159923773933788</v>
                </pt>
                <pt idx="122">
                  <v>0.9049075646262418</v>
                </pt>
                <pt idx="123">
                  <v>0.9155192571500531</v>
                </pt>
                <pt idx="124">
                  <v>0.9149765498038529</v>
                </pt>
                <pt idx="125">
                  <v>0.9149765498038529</v>
                </pt>
                <pt idx="126">
                  <v>0.9232506244108249</v>
                </pt>
                <pt idx="127">
                  <v>0.9232506244108249</v>
                </pt>
                <pt idx="128">
                  <v>0.9304315041781315</v>
                </pt>
                <pt idx="129">
                  <v>0.9304315041781315</v>
                </pt>
                <pt idx="130">
                  <v>0.9443079879292779</v>
                </pt>
                <pt idx="131">
                  <v>0.9327378124906816</v>
                </pt>
                <pt idx="132">
                  <v>0.9287955968022655</v>
                </pt>
                <pt idx="133">
                  <v>0.9285473803420684</v>
                </pt>
                <pt idx="134">
                  <v>0.949610527611223</v>
                </pt>
                <pt idx="135">
                  <v>0.9475241543297737</v>
                </pt>
                <pt idx="136">
                  <v>0.9414316723756654</v>
                </pt>
                <pt idx="137">
                  <v>0.9179604639509525</v>
                </pt>
                <pt idx="138">
                  <v>0.9090985937373279</v>
                </pt>
                <pt idx="139">
                  <v>0.9090985937373279</v>
                </pt>
                <pt idx="140">
                  <v>0.8974558802230943</v>
                </pt>
                <pt idx="141">
                  <v>0.8974558802230943</v>
                </pt>
                <pt idx="142">
                  <v>0.8974558802230943</v>
                </pt>
                <pt idx="143">
                  <v>0.906854339302584</v>
                </pt>
                <pt idx="144">
                  <v>0.906854339302584</v>
                </pt>
                <pt idx="145">
                  <v>0.8936194940837898</v>
                </pt>
                <pt idx="146">
                  <v>0.8616945784422404</v>
                </pt>
                <pt idx="147">
                  <v>0.8658394497039321</v>
                </pt>
                <pt idx="148">
                  <v>0.8658394497039321</v>
                </pt>
                <pt idx="149">
                  <v>0.9493670886075949</v>
                </pt>
                <pt idx="150">
                  <v>0.9493670886075949</v>
                </pt>
                <pt idx="151">
                  <v>0.9493670886075949</v>
                </pt>
                <pt idx="152">
                  <v>0.9493670886075949</v>
                </pt>
                <pt idx="153">
                  <v>0.9519773348506</v>
                </pt>
                <pt idx="154">
                  <v>0.9519773348506</v>
                </pt>
                <pt idx="155">
                  <v>0.9519773348506</v>
                </pt>
                <pt idx="156">
                  <v>0.9701012920168021</v>
                </pt>
                <pt idx="157">
                  <v>0.9701012920168021</v>
                </pt>
                <pt idx="158">
                  <v>0.9701012920168021</v>
                </pt>
                <pt idx="159">
                  <v>0.9804683937214058</v>
                </pt>
                <pt idx="160">
                  <v>0.9804683937214058</v>
                </pt>
                <pt idx="161">
                  <v>0.9633940234872265</v>
                </pt>
                <pt idx="162">
                  <v>0.9633940234872265</v>
                </pt>
                <pt idx="163">
                  <v>0.9633940234872265</v>
                </pt>
                <pt idx="164">
                  <v>0.9633940234872265</v>
                </pt>
                <pt idx="165">
                  <v>0.9677972446840371</v>
                </pt>
                <pt idx="166">
                  <v>0.9677972446840371</v>
                </pt>
                <pt idx="167">
                  <v>0.9677972446840371</v>
                </pt>
                <pt idx="168">
                  <v>0.9292452830188679</v>
                </pt>
                <pt idx="169">
                  <v>0.9292452830188679</v>
                </pt>
                <pt idx="170">
                  <v>0.9292452830188679</v>
                </pt>
                <pt idx="171">
                  <v>0.9580923460287653</v>
                </pt>
                <pt idx="172">
                  <v>0.9580923460287653</v>
                </pt>
                <pt idx="173">
                  <v>0.9725158775337138</v>
                </pt>
                <pt idx="174">
                  <v>0.9725158775337138</v>
                </pt>
                <pt idx="175">
                  <v>0.9725158775337138</v>
                </pt>
                <pt idx="176">
                  <v>0.9725158775337138</v>
                </pt>
                <pt idx="177">
                  <v>0.9725158775337138</v>
                </pt>
                <pt idx="178">
                  <v>0.9725158775337138</v>
                </pt>
                <pt idx="179">
                  <v>0.9725158775337138</v>
                </pt>
                <pt idx="180">
                  <v>0.9725158775337138</v>
                </pt>
                <pt idx="181">
                  <v>0.9725158775337138</v>
                </pt>
                <pt idx="182">
                  <v>0.9725158775337138</v>
                </pt>
                <pt idx="183">
                  <v>1</v>
                </pt>
                <pt idx="184">
                  <v>1</v>
                </pt>
                <pt idx="185">
                  <v>0.9808928170414808</v>
                </pt>
                <pt idx="186">
                  <v>0.9808928170414808</v>
                </pt>
                <pt idx="187">
                  <v>0.9808928170414808</v>
                </pt>
                <pt idx="188">
                  <v>0.9808928170414808</v>
                </pt>
                <pt idx="189">
                  <v>0.9808928170414808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1033583"/>
        <axId val="121039407"/>
      </lineChart>
      <dateAx>
        <axId val="497854144"/>
        <scaling>
          <orientation val="maxMin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6768"/>
        <crosses val="autoZero"/>
        <lblOffset val="100"/>
        <baseTimeUnit val="days"/>
        <majorUnit val="1"/>
      </dateAx>
      <valAx>
        <axId val="497856768"/>
        <scaling>
          <orientation val="minMax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7854144"/>
        <crosses val="autoZero"/>
        <crossBetween val="between"/>
      </valAx>
      <catAx>
        <axId val="121033583"/>
        <scaling>
          <orientation val="maxMin"/>
        </scaling>
        <delete val="1"/>
        <axPos val="t"/>
        <numFmt formatCode="General" sourceLinked="1"/>
        <majorTickMark val="out"/>
        <minorTickMark val="none"/>
        <tickLblPos val="nextTo"/>
        <crossAx val="121039407"/>
        <crosses val="max"/>
        <auto val="1"/>
        <lblAlgn val="ctr"/>
        <lblOffset val="100"/>
        <tickLblSkip val="4"/>
        <noMultiLvlLbl val="0"/>
      </catAx>
      <valAx>
        <axId val="121039407"/>
        <scaling>
          <orientation val="minMax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1033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solidFill>
            <a:schemeClr val="bg1">
              <a:lumMod val="95000"/>
            </a:schemeClr>
          </a:solidFill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Light" pitchFamily="50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8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'SSA Charts'!$AD$2</f>
              <strCache>
                <ptCount val="1"/>
                <pt idx="0">
                  <v>Last Ask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ash"/>
            <size val="3"/>
            <spPr>
              <a:solidFill xmlns:a="http://schemas.openxmlformats.org/drawingml/2006/main">
                <a:srgbClr val="A8AD00"/>
              </a:solidFill>
              <a:ln xmlns:a="http://schemas.openxmlformats.org/drawingml/2006/main" w="19050">
                <a:solidFill>
                  <a:srgbClr val="A8AD00"/>
                </a:solidFill>
                <a:prstDash val="solid"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Charts'!$AD$3:$AD$192</f>
              <numCache>
                <formatCode>0.00%</formatCode>
                <ptCount val="190"/>
                <pt idx="0">
                  <v>0.0738683147439128</v>
                </pt>
                <pt idx="1">
                  <v>0.07427246445164579</v>
                </pt>
                <pt idx="2">
                  <v>0.07526575224990088</v>
                </pt>
                <pt idx="3">
                  <v>0.07526575224990088</v>
                </pt>
                <pt idx="4">
                  <v>0.07572374229515391</v>
                </pt>
                <pt idx="5">
                  <v>0.07289412062519138</v>
                </pt>
                <pt idx="6">
                  <v>0.07203211345109356</v>
                </pt>
                <pt idx="7">
                  <v>0.07307147304214687</v>
                </pt>
                <pt idx="8">
                  <v>0.07238634006272332</v>
                </pt>
                <pt idx="9">
                  <v>0.07321335232899907</v>
                </pt>
                <pt idx="10">
                  <v>0.07333286165993125</v>
                </pt>
                <pt idx="11">
                  <v>0.0735936926960976</v>
                </pt>
                <pt idx="12">
                  <v>0.07425725001041454</v>
                </pt>
                <pt idx="13">
                  <v>0.07346708195488851</v>
                </pt>
                <pt idx="14">
                  <v>0.07171824632842717</v>
                </pt>
                <pt idx="15">
                  <v>0.07171824632842717</v>
                </pt>
                <pt idx="16">
                  <v>0.0695152081218917</v>
                </pt>
                <pt idx="17">
                  <v>0.07195769533795897</v>
                </pt>
                <pt idx="18">
                  <v>0.07039846275737306</v>
                </pt>
                <pt idx="19">
                  <v>0.06890927969636364</v>
                </pt>
                <pt idx="20">
                  <v>0.06863812649219078</v>
                </pt>
                <pt idx="21">
                  <v>0.06682228261784155</v>
                </pt>
                <pt idx="22">
                  <v>0.06614528752850664</v>
                </pt>
                <pt idx="23">
                  <v>0.06614528752850664</v>
                </pt>
                <pt idx="24">
                  <v>0.06413642244592256</v>
                </pt>
                <pt idx="25">
                  <v>0.06451522163257495</v>
                </pt>
                <pt idx="26">
                  <v>0.06451522163257495</v>
                </pt>
                <pt idx="27">
                  <v>0.06451522163257495</v>
                </pt>
                <pt idx="28">
                  <v>0.06446720058827485</v>
                </pt>
                <pt idx="29">
                  <v>0.06346377810134586</v>
                </pt>
                <pt idx="30">
                  <v>0.06440608168483775</v>
                </pt>
                <pt idx="31">
                  <v>0.06363275470987161</v>
                </pt>
                <pt idx="32">
                  <v>0.06455198547910238</v>
                </pt>
                <pt idx="33">
                  <v>0.0670811262618313</v>
                </pt>
                <pt idx="34">
                  <v>0.06832695044639062</v>
                </pt>
                <pt idx="35">
                  <v>0.06832695044639062</v>
                </pt>
                <pt idx="36">
                  <v>0.07057112793556811</v>
                </pt>
                <pt idx="37">
                  <v>0.07532566272987801</v>
                </pt>
                <pt idx="38">
                  <v>0.07532566272987801</v>
                </pt>
                <pt idx="39">
                  <v>0.0741798964568902</v>
                </pt>
                <pt idx="40">
                  <v>0.0731770621292774</v>
                </pt>
                <pt idx="41">
                  <v>0.07185706411756435</v>
                </pt>
                <pt idx="42">
                  <v>0.07471403691456237</v>
                </pt>
                <pt idx="43">
                  <v>0.07716743437615267</v>
                </pt>
                <pt idx="44">
                  <v>0.07758269067774601</v>
                </pt>
                <pt idx="45">
                  <v>0.0767605112992296</v>
                </pt>
                <pt idx="46">
                  <v>0.07859362717971756</v>
                </pt>
                <pt idx="47">
                  <v>0.07765016016733207</v>
                </pt>
                <pt idx="48">
                  <v>0.07973483680210081</v>
                </pt>
                <pt idx="49">
                  <v>0.07765117397861056</v>
                </pt>
                <pt idx="50">
                  <v>0.07765117397861056</v>
                </pt>
                <pt idx="51">
                  <v>0.07743606155083513</v>
                </pt>
                <pt idx="52">
                  <v>0.07743606155083513</v>
                </pt>
                <pt idx="53">
                  <v>0.07973831277843613</v>
                </pt>
                <pt idx="54">
                  <v>0.07838862274060024</v>
                </pt>
                <pt idx="55">
                  <v>0.07589711767889196</v>
                </pt>
                <pt idx="56">
                  <v>0.07515918816700436</v>
                </pt>
                <pt idx="57">
                  <v>0.07718187916315904</v>
                </pt>
                <pt idx="58">
                  <v>0.07504362565547402</v>
                </pt>
                <pt idx="59">
                  <v>0.07653358709931923</v>
                </pt>
                <pt idx="60">
                  <v>0.07642009321451287</v>
                </pt>
                <pt idx="61">
                  <v>0.07732027374248068</v>
                </pt>
                <pt idx="62">
                  <v>0.07732027374248068</v>
                </pt>
                <pt idx="63">
                  <v>0.07767106341671991</v>
                </pt>
                <pt idx="64">
                  <v>0.07869847479865992</v>
                </pt>
                <pt idx="65">
                  <v>0.07869847479865992</v>
                </pt>
                <pt idx="66">
                  <v>0.07869847479865992</v>
                </pt>
                <pt idx="67">
                  <v>0.07859429896139482</v>
                </pt>
                <pt idx="68">
                  <v>0.07921712898866992</v>
                </pt>
                <pt idx="69">
                  <v>0.07692549557552812</v>
                </pt>
                <pt idx="70">
                  <v>0.07712117014433825</v>
                </pt>
                <pt idx="71">
                  <v>0.07664822323729892</v>
                </pt>
                <pt idx="72">
                  <v>0.07531446853326562</v>
                </pt>
                <pt idx="73">
                  <v>0.07630831903569862</v>
                </pt>
                <pt idx="74">
                  <v>0.07630831903569862</v>
                </pt>
                <pt idx="75">
                  <v>0.07604122606517709</v>
                </pt>
                <pt idx="76">
                  <v>0.07559678162073263</v>
                </pt>
                <pt idx="77">
                  <v>0.07545097387594311</v>
                </pt>
                <pt idx="78">
                  <v>0.07628058798286556</v>
                </pt>
                <pt idx="79">
                  <v>0.07619903935222584</v>
                </pt>
                <pt idx="80">
                  <v>0.07627174596582556</v>
                </pt>
                <pt idx="81">
                  <v>0.07762772479631103</v>
                </pt>
                <pt idx="82">
                  <v>0.07809388159597566</v>
                </pt>
                <pt idx="83">
                  <v>0.07882772479631102</v>
                </pt>
                <pt idx="84">
                  <v>0.07868432476551948</v>
                </pt>
                <pt idx="85">
                  <v>0.07505525503898153</v>
                </pt>
                <pt idx="86">
                  <v>0.07672240226999823</v>
                </pt>
                <pt idx="87">
                  <v>0.07824586614635111</v>
                </pt>
                <pt idx="88">
                  <v>0.07860918411870135</v>
                </pt>
                <pt idx="89">
                  <v>0.080701473182918</v>
                </pt>
                <pt idx="90">
                  <v>0.08067565638509597</v>
                </pt>
                <pt idx="91">
                  <v>0.08163993755482567</v>
                </pt>
                <pt idx="92">
                  <v>0.08163993755482567</v>
                </pt>
                <pt idx="93">
                  <v>0.08163993755482567</v>
                </pt>
                <pt idx="94">
                  <v>0.08163993755482567</v>
                </pt>
                <pt idx="95">
                  <v>0.08098242974917887</v>
                </pt>
                <pt idx="96">
                  <v>0.0815565590853443</v>
                </pt>
                <pt idx="97">
                  <v>0.08629479831021948</v>
                </pt>
                <pt idx="98">
                  <v>0.08327838845515979</v>
                </pt>
                <pt idx="99">
                  <v>0.08146540036144581</v>
                </pt>
                <pt idx="100">
                  <v>0.07872347268067525</v>
                </pt>
                <pt idx="101">
                  <v>0.07433981641703306</v>
                </pt>
                <pt idx="102">
                  <v>0.07603601861018695</v>
                </pt>
                <pt idx="103">
                  <v>0.0751083069830708</v>
                </pt>
                <pt idx="104">
                  <v>0.0751083069830708</v>
                </pt>
                <pt idx="105">
                  <v>0.07771976861018695</v>
                </pt>
                <pt idx="106">
                  <v>0.07769534928282684</v>
                </pt>
                <pt idx="107">
                  <v>0.07769534928282684</v>
                </pt>
                <pt idx="108">
                  <v>0.07769534928282684</v>
                </pt>
                <pt idx="109">
                  <v>0.07938825385867315</v>
                </pt>
                <pt idx="110">
                  <v>0.07960114671581602</v>
                </pt>
                <pt idx="111">
                  <v>0.08060892067922364</v>
                </pt>
                <pt idx="112">
                  <v>0.082000121512414</v>
                </pt>
                <pt idx="113">
                  <v>0.08490121423101675</v>
                </pt>
                <pt idx="114">
                  <v>0.08414915929820491</v>
                </pt>
                <pt idx="115">
                  <v>0.08414915929820491</v>
                </pt>
                <pt idx="116">
                  <v>0.08414915929820491</v>
                </pt>
                <pt idx="117">
                  <v>0.0801988790642732</v>
                </pt>
                <pt idx="118">
                  <v>0.08193919830327534</v>
                </pt>
                <pt idx="119">
                  <v>0.07957939872745651</v>
                </pt>
                <pt idx="120">
                  <v>0.07866351898196521</v>
                </pt>
                <pt idx="121">
                  <v>0.07826662008561512</v>
                </pt>
                <pt idx="122">
                  <v>0.0766832867522818</v>
                </pt>
                <pt idx="123">
                  <v>0.08013047892763939</v>
                </pt>
                <pt idx="124">
                  <v>0.08032224356794364</v>
                </pt>
                <pt idx="125">
                  <v>0.08032224356794364</v>
                </pt>
                <pt idx="126">
                  <v>0.0806734741382404</v>
                </pt>
                <pt idx="127">
                  <v>0.0806734741382404</v>
                </pt>
                <pt idx="128">
                  <v>0.08092308590858445</v>
                </pt>
                <pt idx="129">
                  <v>0.08092308590858445</v>
                </pt>
                <pt idx="130">
                  <v>0.08074329926134766</v>
                </pt>
                <pt idx="131">
                  <v>0.08355746592801432</v>
                </pt>
                <pt idx="132">
                  <v>0.08450829547557147</v>
                </pt>
                <pt idx="133">
                  <v>0.09208937526935364</v>
                </pt>
                <pt idx="134">
                  <v>0.09167201960998789</v>
                </pt>
                <pt idx="135">
                  <v>0.08981943488176314</v>
                </pt>
                <pt idx="136">
                  <v>0.09102235891663238</v>
                </pt>
                <pt idx="137">
                  <v>0.08730276828486871</v>
                </pt>
                <pt idx="138">
                  <v>0.08764999097434636</v>
                </pt>
                <pt idx="139">
                  <v>0.08764999097434636</v>
                </pt>
                <pt idx="140">
                  <v>0.08889524699639387</v>
                </pt>
                <pt idx="141">
                  <v>0.08889524699639387</v>
                </pt>
                <pt idx="142">
                  <v>0.08889524699639387</v>
                </pt>
                <pt idx="143">
                  <v>0.08742694453760977</v>
                </pt>
                <pt idx="144">
                  <v>0.08742694453760977</v>
                </pt>
                <pt idx="145">
                  <v>0.07713572288060339</v>
                </pt>
                <pt idx="146">
                  <v>0.07570396856682247</v>
                </pt>
                <pt idx="147">
                  <v>0.07628908477821508</v>
                </pt>
                <pt idx="148">
                  <v>0.07016544637095344</v>
                </pt>
                <pt idx="149">
                  <v>0.07308670886075949</v>
                </pt>
                <pt idx="150">
                  <v>0.07308670886075949</v>
                </pt>
                <pt idx="151">
                  <v>0.07308670886075949</v>
                </pt>
                <pt idx="152">
                  <v>0.07308670886075949</v>
                </pt>
                <pt idx="153">
                  <v>0.0692857084618904</v>
                </pt>
                <pt idx="154">
                  <v>0.0692857084618904</v>
                </pt>
                <pt idx="155">
                  <v>0.0692857084618904</v>
                </pt>
                <pt idx="156">
                  <v>0.07452380564126027</v>
                </pt>
                <pt idx="157">
                  <v>0.07452380564126027</v>
                </pt>
                <pt idx="158">
                  <v>0.07452380564126027</v>
                </pt>
                <pt idx="159">
                  <v>0.07524235403151067</v>
                </pt>
                <pt idx="160">
                  <v>0.07524235403151067</v>
                </pt>
                <pt idx="161">
                  <v>0.07541175803358573</v>
                </pt>
                <pt idx="162">
                  <v>0.07541175803358573</v>
                </pt>
                <pt idx="163">
                  <v>0.07541175803358573</v>
                </pt>
                <pt idx="164">
                  <v>0.07541175803358573</v>
                </pt>
                <pt idx="165">
                  <v>0.08037528301886793</v>
                </pt>
                <pt idx="166">
                  <v>0.08037528301886793</v>
                </pt>
                <pt idx="167">
                  <v>0.08037528301886793</v>
                </pt>
                <pt idx="168">
                  <v>0.07575056603773585</v>
                </pt>
                <pt idx="169">
                  <v>0.07575056603773585</v>
                </pt>
                <pt idx="170">
                  <v>0.07575056603773585</v>
                </pt>
                <pt idx="171">
                  <v>0.07872113315320269</v>
                </pt>
                <pt idx="172">
                  <v>0.07872113315320269</v>
                </pt>
                <pt idx="173">
                  <v>0.08020641671093609</v>
                </pt>
                <pt idx="174">
                  <v>0.08020641671093609</v>
                </pt>
                <pt idx="175">
                  <v>0.08020641671093609</v>
                </pt>
                <pt idx="176">
                  <v>0.08020641671093609</v>
                </pt>
                <pt idx="177">
                  <v>0.08020641671093609</v>
                </pt>
                <pt idx="178">
                  <v>0.08020641671093609</v>
                </pt>
                <pt idx="179">
                  <v>0.08020641671093609</v>
                </pt>
                <pt idx="180">
                  <v>0.08020641671093609</v>
                </pt>
                <pt idx="181">
                  <v>0.08020641671093609</v>
                </pt>
                <pt idx="182">
                  <v>0.08020641671093609</v>
                </pt>
                <pt idx="183">
                  <v>0.07000000000000001</v>
                </pt>
                <pt idx="184">
                  <v>0.07000000000000001</v>
                </pt>
                <pt idx="185">
                  <v>0.07000000000000001</v>
                </pt>
                <pt idx="186">
                  <v>0.07000000000000001</v>
                </pt>
                <pt idx="187">
                  <v>0.07000000000000001</v>
                </pt>
                <pt idx="188">
                  <v>0.07000000000000001</v>
                </pt>
                <pt idx="189">
                  <v>0.07000000000000001</v>
                </pt>
              </numCache>
            </numRef>
          </val>
          <smooth val="0"/>
        </ser>
        <ser>
          <idx val="1"/>
          <order val="1"/>
          <tx>
            <strRef>
              <f>'SSA Charts'!$AE$2</f>
              <strCache>
                <ptCount val="1"/>
                <pt idx="0">
                  <v>Bid-Ask Spread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ash"/>
            <size val="3"/>
            <spPr>
              <a:solidFill xmlns:a="http://schemas.openxmlformats.org/drawingml/2006/main">
                <a:srgbClr val="5B7F95"/>
              </a:solidFill>
              <a:ln xmlns:a="http://schemas.openxmlformats.org/drawingml/2006/main" w="22225" cap="sq" cmpd="sng">
                <a:solidFill>
                  <a:srgbClr val="5B7F95"/>
                </a:solidFill>
                <a:prstDash val="solid"/>
                <a:round/>
              </a:ln>
            </spPr>
          </marker>
          <cat>
            <strRef>
              <f>'SSA Charts'!$B$3:$B$192</f>
              <strCache>
                <ptCount val="190"/>
                <pt idx="0">
                  <v>Q4-2022</v>
                </pt>
                <pt idx="3">
                  <v>Q3-2022</v>
                </pt>
                <pt idx="6">
                  <v>Q2-2022</v>
                </pt>
                <pt idx="9">
                  <v>Q1-2022</v>
                </pt>
                <pt idx="12">
                  <v>Q4-2021</v>
                </pt>
                <pt idx="15">
                  <v>Q3-2021</v>
                </pt>
                <pt idx="18">
                  <v>Q2-2021</v>
                </pt>
                <pt idx="21">
                  <v>Q1-2021</v>
                </pt>
                <pt idx="24">
                  <v>Q4-2020</v>
                </pt>
                <pt idx="27">
                  <v>Q3-2020</v>
                </pt>
                <pt idx="30">
                  <v>Q2-2020</v>
                </pt>
                <pt idx="33">
                  <v>Q1-2020</v>
                </pt>
                <pt idx="36">
                  <v>4Q-2019</v>
                </pt>
                <pt idx="39">
                  <v>3Q-2019</v>
                </pt>
                <pt idx="42">
                  <v>2Q-2019</v>
                </pt>
                <pt idx="45">
                  <v>1Q-2019</v>
                </pt>
                <pt idx="48">
                  <v>4Q-2018</v>
                </pt>
                <pt idx="51">
                  <v>3Q-2018</v>
                </pt>
                <pt idx="54">
                  <v>2Q-2018</v>
                </pt>
                <pt idx="57">
                  <v>1Q-2018</v>
                </pt>
                <pt idx="60">
                  <v>4Q-2017</v>
                </pt>
                <pt idx="63">
                  <v>3Q-2017</v>
                </pt>
                <pt idx="66">
                  <v>2Q-2017</v>
                </pt>
                <pt idx="69">
                  <v>1Q-2017</v>
                </pt>
                <pt idx="72">
                  <v>4Q-2016</v>
                </pt>
                <pt idx="75">
                  <v>3Q-2016</v>
                </pt>
                <pt idx="78">
                  <v>2Q-2016</v>
                </pt>
                <pt idx="81">
                  <v>1Q-2016</v>
                </pt>
                <pt idx="84">
                  <v>4Q-2015</v>
                </pt>
                <pt idx="87">
                  <v>3Q-2015</v>
                </pt>
                <pt idx="90">
                  <v>2Q-2015</v>
                </pt>
                <pt idx="93">
                  <v>1Q-2015</v>
                </pt>
                <pt idx="96">
                  <v>4Q-2014</v>
                </pt>
                <pt idx="99">
                  <v>3Q-2014</v>
                </pt>
                <pt idx="102">
                  <v>2Q-2014</v>
                </pt>
                <pt idx="105">
                  <v>1Q-2014</v>
                </pt>
                <pt idx="108">
                  <v>4Q-2013</v>
                </pt>
                <pt idx="111">
                  <v>3Q-2013</v>
                </pt>
                <pt idx="114">
                  <v>2Q-2013</v>
                </pt>
                <pt idx="117">
                  <v>1Q-2013</v>
                </pt>
                <pt idx="120">
                  <v>4Q-2012</v>
                </pt>
                <pt idx="123">
                  <v>3Q-2012</v>
                </pt>
                <pt idx="126">
                  <v>2Q-2012</v>
                </pt>
                <pt idx="129">
                  <v>1Q-2012</v>
                </pt>
                <pt idx="132">
                  <v>4Q-2011</v>
                </pt>
                <pt idx="135">
                  <v>3Q-2011</v>
                </pt>
                <pt idx="138">
                  <v>2Q-2011</v>
                </pt>
                <pt idx="141">
                  <v>1Q-2011</v>
                </pt>
                <pt idx="144">
                  <v>4Q-2010</v>
                </pt>
                <pt idx="147">
                  <v>3Q-2010</v>
                </pt>
                <pt idx="150">
                  <v>2Q-2010</v>
                </pt>
                <pt idx="153">
                  <v>1Q-2010</v>
                </pt>
                <pt idx="156">
                  <v>4Q-2009</v>
                </pt>
                <pt idx="159">
                  <v>3Q-2009</v>
                </pt>
                <pt idx="162">
                  <v>2Q-2009</v>
                </pt>
                <pt idx="165">
                  <v>1Q-2009</v>
                </pt>
                <pt idx="168">
                  <v>4Q-2008</v>
                </pt>
                <pt idx="171">
                  <v>3Q-2008</v>
                </pt>
                <pt idx="174">
                  <v>2Q-2008</v>
                </pt>
                <pt idx="177">
                  <v>1Q-2008</v>
                </pt>
                <pt idx="180">
                  <v>4Q-2007</v>
                </pt>
                <pt idx="183">
                  <v>3Q-2007</v>
                </pt>
                <pt idx="186">
                  <v>2Q-2007</v>
                </pt>
                <pt idx="189">
                  <v>1Q-2007</v>
                </pt>
              </strCache>
            </strRef>
          </cat>
          <val>
            <numRef>
              <f>'SSA Charts'!$AE$3:$AE$192</f>
              <numCache>
                <formatCode>0.00%</formatCode>
                <ptCount val="190"/>
                <pt idx="0">
                  <v>0.004901644533514614</v>
                </pt>
                <pt idx="1">
                  <v>0.005042668505489768</v>
                </pt>
                <pt idx="2">
                  <v>0.004608745912078724</v>
                </pt>
                <pt idx="3">
                  <v>0.004608745912078724</v>
                </pt>
                <pt idx="4">
                  <v>0.00288828001563586</v>
                </pt>
                <pt idx="5">
                  <v>0.00276423831560373</v>
                </pt>
                <pt idx="6">
                  <v>0.002685772319795581</v>
                </pt>
                <pt idx="7">
                  <v>0.002592046686994091</v>
                </pt>
                <pt idx="8">
                  <v>0.002736716938930922</v>
                </pt>
                <pt idx="9">
                  <v>0.002823945366941365</v>
                </pt>
                <pt idx="10">
                  <v>0.003871782884526266</v>
                </pt>
                <pt idx="11">
                  <v>0.004297268032648832</v>
                </pt>
                <pt idx="12">
                  <v>0.004667820181803957</v>
                </pt>
                <pt idx="13">
                  <v>0.004852432883277477</v>
                </pt>
                <pt idx="14">
                  <v>0.004876602600550179</v>
                </pt>
                <pt idx="15">
                  <v>0.004876602600550179</v>
                </pt>
                <pt idx="16">
                  <v>0.005317755003147821</v>
                </pt>
                <pt idx="17">
                  <v>0.005708504757061433</v>
                </pt>
                <pt idx="18">
                  <v>0.005687854530456263</v>
                </pt>
                <pt idx="19">
                  <v>0.006025986165454164</v>
                </pt>
                <pt idx="20">
                  <v>0.006023389685154113</v>
                </pt>
                <pt idx="21">
                  <v>0.005860918805594168</v>
                </pt>
                <pt idx="22">
                  <v>0.004998359779873711</v>
                </pt>
                <pt idx="23">
                  <v>0.004998359779873711</v>
                </pt>
                <pt idx="24">
                  <v>0.004649873043259833</v>
                </pt>
                <pt idx="25">
                  <v>0.003961866616090375</v>
                </pt>
                <pt idx="26">
                  <v>0.003961866616090375</v>
                </pt>
                <pt idx="27">
                  <v>0.003961866616090375</v>
                </pt>
                <pt idx="28">
                  <v>0.00464986668136951</v>
                </pt>
                <pt idx="29">
                  <v>0.004310245690037602</v>
                </pt>
                <pt idx="30">
                  <v>0.004666977331486404</v>
                </pt>
                <pt idx="31">
                  <v>0.004074436683493058</v>
                </pt>
                <pt idx="32">
                  <v>0.004537451137192224</v>
                </pt>
                <pt idx="33">
                  <v>0.004603695709586145</v>
                </pt>
                <pt idx="34">
                  <v>0.00445942829374639</v>
                </pt>
                <pt idx="35">
                  <v>0.00445942829374639</v>
                </pt>
                <pt idx="36">
                  <v>0.005260979727743093</v>
                </pt>
                <pt idx="37">
                  <v>0.007309754513657941</v>
                </pt>
                <pt idx="38">
                  <v>0.007309754513657941</v>
                </pt>
                <pt idx="39">
                  <v>0.006578779062292146</v>
                </pt>
                <pt idx="40">
                  <v>0.006029671353574779</v>
                </pt>
                <pt idx="41">
                  <v>0.005911958532117499</v>
                </pt>
                <pt idx="42">
                  <v>0.006616940577756514</v>
                </pt>
                <pt idx="43">
                  <v>0.006846349291793526</v>
                </pt>
                <pt idx="44">
                  <v>0.006910648966482074</v>
                </pt>
                <pt idx="45">
                  <v>0.006546605702049935</v>
                </pt>
                <pt idx="46">
                  <v>0.007842471787359371</v>
                </pt>
                <pt idx="47">
                  <v>0.007411772501942996</v>
                </pt>
                <pt idx="48">
                  <v>0.006759877087488703</v>
                </pt>
                <pt idx="49">
                  <v>0.005849242795249175</v>
                </pt>
                <pt idx="50">
                  <v>0.005849242795249175</v>
                </pt>
                <pt idx="51">
                  <v>0.006267045852052687</v>
                </pt>
                <pt idx="52">
                  <v>0.006267045852052687</v>
                </pt>
                <pt idx="53">
                  <v>0.00663765616003717</v>
                </pt>
                <pt idx="54">
                  <v>0.005861247970087372</v>
                </pt>
                <pt idx="55">
                  <v>0.0067402483032024</v>
                </pt>
                <pt idx="56">
                  <v>0.007626944694385115</v>
                </pt>
                <pt idx="57">
                  <v>0.007681943782288435</v>
                </pt>
                <pt idx="58">
                  <v>0.005811262097303645</v>
                </pt>
                <pt idx="59">
                  <v>0.00589953704926822</v>
                </pt>
                <pt idx="60">
                  <v>0.006169611388138848</v>
                </pt>
                <pt idx="61">
                  <v>0.00670621750342115</v>
                </pt>
                <pt idx="62">
                  <v>0.00670621750342115</v>
                </pt>
                <pt idx="63">
                  <v>0.006138745801017265</v>
                </pt>
                <pt idx="64">
                  <v>0.007120516984265826</v>
                </pt>
                <pt idx="65">
                  <v>0.007120516984265826</v>
                </pt>
                <pt idx="66">
                  <v>0.007120516984265826</v>
                </pt>
                <pt idx="67">
                  <v>0.006805315311490762</v>
                </pt>
                <pt idx="68">
                  <v>0.005900226512285846</v>
                </pt>
                <pt idx="69">
                  <v>0.005733560605699747</v>
                </pt>
                <pt idx="70">
                  <v>0.005758791320754233</v>
                </pt>
                <pt idx="71">
                  <v>0.006185067279470515</v>
                </pt>
                <pt idx="72">
                  <v>0.006997918318027204</v>
                </pt>
                <pt idx="73">
                  <v>0.008589865559291279</v>
                </pt>
                <pt idx="74">
                  <v>0.008589865559291279</v>
                </pt>
                <pt idx="75">
                  <v>0.008566583747671322</v>
                </pt>
                <pt idx="76">
                  <v>0.00657547263656021</v>
                </pt>
                <pt idx="77">
                  <v>0.007084426874008274</v>
                </pt>
                <pt idx="78">
                  <v>0.007377296336346099</v>
                </pt>
                <pt idx="79">
                  <v>0.007582053415696832</v>
                </pt>
                <pt idx="80">
                  <v>0.007800200091937314</v>
                </pt>
                <pt idx="81">
                  <v>0.008450216766265424</v>
                </pt>
                <pt idx="82">
                  <v>0.008924181277484358</v>
                </pt>
                <pt idx="83">
                  <v>0.009572587127549067</v>
                </pt>
                <pt idx="84">
                  <v>0.009945915087274458</v>
                </pt>
                <pt idx="85">
                  <v>0.008020375846767125</v>
                </pt>
                <pt idx="86">
                  <v>0.007634706876097827</v>
                </pt>
                <pt idx="87">
                  <v>0.007657624732766015</v>
                </pt>
                <pt idx="88">
                  <v>0.007657624732766015</v>
                </pt>
                <pt idx="89">
                  <v>0.007375414303239455</v>
                </pt>
                <pt idx="90">
                  <v>0.00708220265306406</v>
                </pt>
                <pt idx="91">
                  <v>0.005433124115279821</v>
                </pt>
                <pt idx="92">
                  <v>0.005433124115279821</v>
                </pt>
                <pt idx="93">
                  <v>0.005433124115279821</v>
                </pt>
                <pt idx="94">
                  <v>0.005433124115279821</v>
                </pt>
                <pt idx="95">
                  <v>0.004024133194907189</v>
                </pt>
                <pt idx="96">
                  <v>0.002538173565039766</v>
                </pt>
                <pt idx="97">
                  <v>0.002748464876607246</v>
                </pt>
                <pt idx="98">
                  <v>0.002604684056856867</v>
                </pt>
                <pt idx="99">
                  <v>0.005417672150570862</v>
                </pt>
                <pt idx="100">
                  <v>0.006942309169260585</v>
                </pt>
                <pt idx="101">
                  <v>0.00624766823075343</v>
                </pt>
                <pt idx="102">
                  <v>0.005853030456626232</v>
                </pt>
                <pt idx="103">
                  <v>0.006397552223019582</v>
                </pt>
                <pt idx="104">
                  <v>0.006397552223019582</v>
                </pt>
                <pt idx="105">
                  <v>0.008597858195142133</v>
                </pt>
                <pt idx="106">
                  <v>0.008131570896532173</v>
                </pt>
                <pt idx="107">
                  <v>0.008131570896532173</v>
                </pt>
                <pt idx="108">
                  <v>0.008131570896532173</v>
                </pt>
                <pt idx="109">
                  <v>0.008669270149075885</v>
                </pt>
                <pt idx="110">
                  <v>0.01067774035127927</v>
                </pt>
                <pt idx="111">
                  <v>0.00970980739745668</v>
                </pt>
                <pt idx="112">
                  <v>0.008630916313571079</v>
                </pt>
                <pt idx="113">
                  <v>0.009844980576507742</v>
                </pt>
                <pt idx="114">
                  <v>0.01153358421120072</v>
                </pt>
                <pt idx="115">
                  <v>0.01153358421120072</v>
                </pt>
                <pt idx="116">
                  <v>0.01153358421120072</v>
                </pt>
                <pt idx="117">
                  <v>0.007378112281600957</v>
                </pt>
                <pt idx="118">
                  <v>0.01316724533878279</v>
                </pt>
                <pt idx="119">
                  <v>0.01088237844853154</v>
                </pt>
                <pt idx="120">
                  <v>0.01008568034218816</v>
                </pt>
                <pt idx="121">
                  <v>0.009027250912168347</v>
                </pt>
                <pt idx="122">
                  <v>0.01021754773072604</v>
                </pt>
                <pt idx="123">
                  <v>0.008832655588968579</v>
                </pt>
                <pt idx="124">
                  <v>0.008883016584976549</v>
                </pt>
                <pt idx="125">
                  <v>0.008883016584976549</v>
                </pt>
                <pt idx="126">
                  <v>0.007917237377875591</v>
                </pt>
                <pt idx="127">
                  <v>0.007917237377875591</v>
                </pt>
                <pt idx="128">
                  <v>0.007106716453296795</v>
                </pt>
                <pt idx="129">
                  <v>0.007106716453296795</v>
                </pt>
                <pt idx="130">
                  <v>0.00547761031708555</v>
                </pt>
                <pt idx="131">
                  <v>0.007293452495269077</v>
                </pt>
                <pt idx="132">
                  <v>0.007342773067575881</v>
                </pt>
                <pt idx="133">
                  <v>0.007712053423211009</v>
                </pt>
                <pt idx="134">
                  <v>0.005442272975292252</v>
                </pt>
                <pt idx="135">
                  <v>0.005536544161599325</v>
                </pt>
                <pt idx="136">
                  <v>0.00618987901321269</v>
                </pt>
                <pt idx="137">
                  <v>0.0077481295097971</v>
                </pt>
                <pt idx="138">
                  <v>0.00858781015298923</v>
                </pt>
                <pt idx="139">
                  <v>0.00858781015298923</v>
                </pt>
                <pt idx="140">
                  <v>0.00968478290560193</v>
                </pt>
                <pt idx="141">
                  <v>0.00968478290560193</v>
                </pt>
                <pt idx="142">
                  <v>0.00968478290560193</v>
                </pt>
                <pt idx="143">
                  <v>0.008158272266197987</v>
                </pt>
                <pt idx="144">
                  <v>0.008158272266197987</v>
                </pt>
                <pt idx="145">
                  <v>0.008541301166604922</v>
                </pt>
                <pt idx="146">
                  <v>0.0109081296737111</v>
                </pt>
                <pt idx="147">
                  <v>0.01062007359939222</v>
                </pt>
                <pt idx="148">
                  <v>0.01062007359939222</v>
                </pt>
                <pt idx="149">
                  <v>0.003897957805907182</v>
                </pt>
                <pt idx="150">
                  <v>0.003897957805907182</v>
                </pt>
                <pt idx="151">
                  <v>0.003897957805907182</v>
                </pt>
                <pt idx="152">
                  <v>0.003897957805907182</v>
                </pt>
                <pt idx="153">
                  <v>0.003506624871442932</v>
                </pt>
                <pt idx="154">
                  <v>0.003506624871442932</v>
                </pt>
                <pt idx="155">
                  <v>0.003506624871442932</v>
                </pt>
                <pt idx="156">
                  <v>0.002158990713454068</v>
                </pt>
                <pt idx="157">
                  <v>0.002158990713454068</v>
                </pt>
                <pt idx="158">
                  <v>0.002158990713454068</v>
                </pt>
                <pt idx="159">
                  <v>0.001289507167227512</v>
                </pt>
                <pt idx="160">
                  <v>0.001289507167227512</v>
                </pt>
                <pt idx="161">
                  <v>0.002782274643745646</v>
                </pt>
                <pt idx="162">
                  <v>0.002782274643745646</v>
                </pt>
                <pt idx="163">
                  <v>0.002782274643745646</v>
                </pt>
                <pt idx="164">
                  <v>0.002782274643745646</v>
                </pt>
                <pt idx="165">
                  <v>0.002615765997129128</v>
                </pt>
                <pt idx="166">
                  <v>0.002615765997129128</v>
                </pt>
                <pt idx="167">
                  <v>0.002615765997129128</v>
                </pt>
                <pt idx="168">
                  <v>0.005767809596781914</v>
                </pt>
                <pt idx="169">
                  <v>0.005767809596781914</v>
                </pt>
                <pt idx="170">
                  <v>0.005767809596781914</v>
                </pt>
                <pt idx="171">
                  <v>0.003427051191342392</v>
                </pt>
                <pt idx="172">
                  <v>0.003427051191342392</v>
                </pt>
                <pt idx="173">
                  <v>0.00225667198862263</v>
                </pt>
                <pt idx="174">
                  <v>0.00225667198862263</v>
                </pt>
                <pt idx="175">
                  <v>0.00225667198862263</v>
                </pt>
                <pt idx="176">
                  <v>0.00225667198862263</v>
                </pt>
                <pt idx="177">
                  <v>0.00225667198862263</v>
                </pt>
                <pt idx="178">
                  <v>0.00225667198862263</v>
                </pt>
                <pt idx="179">
                  <v>0.00225667198862263</v>
                </pt>
                <pt idx="180">
                  <v>0.00225667198862263</v>
                </pt>
                <pt idx="181">
                  <v>0.00225667198862263</v>
                </pt>
                <pt idx="182">
                  <v>0.00225667198862263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209"/>
          <upBars>
            <spPr>
              <a:solidFill xmlns:a="http://schemas.openxmlformats.org/drawingml/2006/main">
                <a:srgbClr val="C9CBCD"/>
              </a:solidFill>
              <a:ln xmlns:a="http://schemas.openxmlformats.org/drawingml/2006/main" w="3175">
                <a:solidFill>
                  <a:srgbClr val="C9CBCD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489190456"/>
        <axId val="489191440"/>
      </lineChart>
      <catAx>
        <axId val="489190456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1440"/>
        <crosses val="autoZero"/>
        <auto val="1"/>
        <lblAlgn val="ctr"/>
        <lblOffset val="100"/>
        <tickLblSkip val="1"/>
        <noMultiLvlLbl val="0"/>
      </catAx>
      <valAx>
        <axId val="489191440"/>
        <scaling>
          <orientation val="minMax"/>
          <min val="0.06000000000000001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ysClr val="window" lastClr="FFFFFF">
                  <a:lumMod val="95000"/>
                </a:sys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tham Light" pitchFamily="50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9190456"/>
        <crosses val="autoZero"/>
        <crossBetween val="between"/>
        <majorUnit val="0.0025"/>
      </valAx>
    </plotArea>
    <legend>
      <legendPos val="b"/>
      <overlay val="0"/>
      <spPr>
        <a:noFill xmlns:a="http://schemas.openxmlformats.org/drawingml/2006/main"/>
        <a:ln xmlns:a="http://schemas.openxmlformats.org/drawingml/2006/main" w="6350">
          <a:solidFill>
            <a:sysClr val="window" lastClr="FFFFFF">
              <a:lumMod val="95000"/>
            </a:sysClr>
          </a:solidFill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otham Light" pitchFamily="50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9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'Rent Survey'!$H$3</f>
              <strCache>
                <ptCount val="1"/>
                <pt idx="0">
                  <v>Average RPSF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003DA5"/>
              </a:solidFill>
              <a:ln xmlns:a="http://schemas.openxmlformats.org/drawingml/2006/main" w="25400">
                <a:noFill/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rgbClr val="666666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'Rent Survey'!$B$4:$B$36</f>
              <numCache>
                <formatCode>General</formatCode>
                <ptCount val="33"/>
                <pt idx="0">
                  <v>2024</v>
                </pt>
                <pt idx="1">
                  <v>2023</v>
                </pt>
                <pt idx="2">
                  <v>2022</v>
                </pt>
                <pt idx="3">
                  <v>2021</v>
                </pt>
                <pt idx="4">
                  <v>2020</v>
                </pt>
                <pt idx="5">
                  <v>2019</v>
                </pt>
                <pt idx="6">
                  <v>2018</v>
                </pt>
                <pt idx="7">
                  <v>2017</v>
                </pt>
                <pt idx="8">
                  <v>2016</v>
                </pt>
                <pt idx="9">
                  <v>2015</v>
                </pt>
                <pt idx="10">
                  <v>2014</v>
                </pt>
                <pt idx="11">
                  <v>2013</v>
                </pt>
                <pt idx="12">
                  <v>2012</v>
                </pt>
                <pt idx="13">
                  <v>2011</v>
                </pt>
                <pt idx="14">
                  <v>2010</v>
                </pt>
                <pt idx="15">
                  <v>2009</v>
                </pt>
                <pt idx="16">
                  <v>2008</v>
                </pt>
                <pt idx="17">
                  <v>2007</v>
                </pt>
                <pt idx="18">
                  <v>2006</v>
                </pt>
                <pt idx="19">
                  <v>2005</v>
                </pt>
                <pt idx="20">
                  <v>2004</v>
                </pt>
                <pt idx="21">
                  <v>2003</v>
                </pt>
                <pt idx="22">
                  <v>2002</v>
                </pt>
                <pt idx="23">
                  <v>2001</v>
                </pt>
                <pt idx="24">
                  <v>2000</v>
                </pt>
                <pt idx="25">
                  <v>1999</v>
                </pt>
                <pt idx="26">
                  <v>1998</v>
                </pt>
                <pt idx="27">
                  <v>1997</v>
                </pt>
                <pt idx="28">
                  <v>1996</v>
                </pt>
                <pt idx="29">
                  <v>1995</v>
                </pt>
                <pt idx="30">
                  <v>1994</v>
                </pt>
                <pt idx="31">
                  <v>1993</v>
                </pt>
                <pt idx="32">
                  <v>1992</v>
                </pt>
              </numCache>
            </numRef>
          </cat>
          <val>
            <numRef>
              <f>'Rent Survey'!$H$4:$H$36</f>
              <numCache>
                <formatCode>"$"#,##0.00_);[Red]\("$"#,##0.00\)</formatCode>
                <ptCount val="33"/>
                <pt idx="0">
                  <v>42.16151567832078</v>
                </pt>
                <pt idx="1">
                  <v>43.40774123887989</v>
                </pt>
                <pt idx="2">
                  <v>41.48139392340725</v>
                </pt>
                <pt idx="3">
                  <v>42.72156809762384</v>
                </pt>
                <pt idx="4">
                  <v>39.65590887173391</v>
                </pt>
                <pt idx="5">
                  <v>38.67820835520708</v>
                </pt>
                <pt idx="6">
                  <v>33.0033376462114</v>
                </pt>
                <pt idx="7">
                  <v>32.46630690153178</v>
                </pt>
                <pt idx="8">
                  <v>40.20803497263807</v>
                </pt>
                <pt idx="9">
                  <v>22.07600131911764</v>
                </pt>
                <pt idx="10">
                  <v>32.46277111805905</v>
                </pt>
                <pt idx="11">
                  <v>35.01163053401434</v>
                </pt>
                <pt idx="12">
                  <v>33.36226849944117</v>
                </pt>
                <pt idx="13">
                  <v>37.73838953543778</v>
                </pt>
                <pt idx="14">
                  <v>36.88556567922515</v>
                </pt>
                <pt idx="15">
                  <v>34.45106924896644</v>
                </pt>
                <pt idx="16">
                  <v>30.76674982953234</v>
                </pt>
                <pt idx="17">
                  <v>28.08786603409301</v>
                </pt>
                <pt idx="18">
                  <v>33.05126600345534</v>
                </pt>
                <pt idx="19">
                  <v>26.88753561554691</v>
                </pt>
                <pt idx="20">
                  <v>26.82844830817201</v>
                </pt>
                <pt idx="21">
                  <v>28.90895797207301</v>
                </pt>
                <pt idx="22">
                  <v>22.32680337161258</v>
                </pt>
                <pt idx="23">
                  <v>23.04331928581857</v>
                </pt>
                <pt idx="24">
                  <v>30.63039252711061</v>
                </pt>
                <pt idx="25">
                  <v>21.2783371406168</v>
                </pt>
                <pt idx="26">
                  <v>25.94728320102028</v>
                </pt>
                <pt idx="27">
                  <v>21.14239171227482</v>
                </pt>
                <pt idx="28">
                  <v>22.55960327711417</v>
                </pt>
                <pt idx="29">
                  <v>26.55896404026957</v>
                </pt>
                <pt idx="30">
                  <v>21.94967498013122</v>
                </pt>
                <pt idx="31">
                  <v>19.96318537005336</v>
                </pt>
                <pt idx="32">
                  <v>21.40971298656863</v>
                </pt>
              </numCache>
            </numRef>
          </val>
          <smooth val="0"/>
        </ser>
        <ser>
          <idx val="1"/>
          <order val="1"/>
          <tx>
            <strRef>
              <f>'Rent Survey'!$I$3</f>
              <strCache>
                <ptCount val="1"/>
                <pt idx="0">
                  <v>Upper Quartile Rent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 Survey'!$B$4:$B$36</f>
              <numCache>
                <formatCode>General</formatCode>
                <ptCount val="33"/>
                <pt idx="0">
                  <v>2024</v>
                </pt>
                <pt idx="1">
                  <v>2023</v>
                </pt>
                <pt idx="2">
                  <v>2022</v>
                </pt>
                <pt idx="3">
                  <v>2021</v>
                </pt>
                <pt idx="4">
                  <v>2020</v>
                </pt>
                <pt idx="5">
                  <v>2019</v>
                </pt>
                <pt idx="6">
                  <v>2018</v>
                </pt>
                <pt idx="7">
                  <v>2017</v>
                </pt>
                <pt idx="8">
                  <v>2016</v>
                </pt>
                <pt idx="9">
                  <v>2015</v>
                </pt>
                <pt idx="10">
                  <v>2014</v>
                </pt>
                <pt idx="11">
                  <v>2013</v>
                </pt>
                <pt idx="12">
                  <v>2012</v>
                </pt>
                <pt idx="13">
                  <v>2011</v>
                </pt>
                <pt idx="14">
                  <v>2010</v>
                </pt>
                <pt idx="15">
                  <v>2009</v>
                </pt>
                <pt idx="16">
                  <v>2008</v>
                </pt>
                <pt idx="17">
                  <v>2007</v>
                </pt>
                <pt idx="18">
                  <v>2006</v>
                </pt>
                <pt idx="19">
                  <v>2005</v>
                </pt>
                <pt idx="20">
                  <v>2004</v>
                </pt>
                <pt idx="21">
                  <v>2003</v>
                </pt>
                <pt idx="22">
                  <v>2002</v>
                </pt>
                <pt idx="23">
                  <v>2001</v>
                </pt>
                <pt idx="24">
                  <v>2000</v>
                </pt>
                <pt idx="25">
                  <v>1999</v>
                </pt>
                <pt idx="26">
                  <v>1998</v>
                </pt>
                <pt idx="27">
                  <v>1997</v>
                </pt>
                <pt idx="28">
                  <v>1996</v>
                </pt>
                <pt idx="29">
                  <v>1995</v>
                </pt>
                <pt idx="30">
                  <v>1994</v>
                </pt>
                <pt idx="31">
                  <v>1993</v>
                </pt>
                <pt idx="32">
                  <v>1992</v>
                </pt>
              </numCache>
            </numRef>
          </cat>
          <val>
            <numRef>
              <f>'Rent Survey'!$I$4:$I$36</f>
              <numCache>
                <formatCode>"$"#,##0.00_);[Red]\("$"#,##0.00\)</formatCode>
                <ptCount val="33"/>
                <pt idx="0">
                  <v>42.16151567832078</v>
                </pt>
                <pt idx="1">
                  <v>46.95136591112011</v>
                </pt>
                <pt idx="2">
                  <v>44.34813428176366</v>
                </pt>
                <pt idx="3">
                  <v>43.4378087120031</v>
                </pt>
                <pt idx="4">
                  <v>40.09119898606016</v>
                </pt>
                <pt idx="5">
                  <v>38.82020746851968</v>
                </pt>
                <pt idx="6">
                  <v>41.00286970387243</v>
                </pt>
                <pt idx="7">
                  <v>22.59977943493331</v>
                </pt>
                <pt idx="8">
                  <v>32.4336231884058</v>
                </pt>
                <pt idx="9">
                  <v>34.02369374486387</v>
                </pt>
                <pt idx="10">
                  <v>38.70887939678042</v>
                </pt>
                <pt idx="11">
                  <v>46.22092523632197</v>
                </pt>
                <pt idx="12">
                  <v>39.03579084887144</v>
                </pt>
                <pt idx="13">
                  <v>41.76763219237408</v>
                </pt>
                <pt idx="14">
                  <v>42.32052646508849</v>
                </pt>
                <pt idx="15">
                  <v>37.149016025161</v>
                </pt>
                <pt idx="16">
                  <v>35.40210562851839</v>
                </pt>
                <pt idx="17">
                  <v>33.14664443452381</v>
                </pt>
                <pt idx="18">
                  <v>33.57527719601701</v>
                </pt>
                <pt idx="19">
                  <v>30.13408261939298</v>
                </pt>
                <pt idx="20">
                  <v>30.2964258698941</v>
                </pt>
                <pt idx="21">
                  <v>31.03527891258075</v>
                </pt>
                <pt idx="22">
                  <v>28.66439870213225</v>
                </pt>
                <pt idx="23">
                  <v>26.68399093274673</v>
                </pt>
                <pt idx="24">
                  <v>32.89054906323469</v>
                </pt>
                <pt idx="25">
                  <v>30.82938011182528</v>
                </pt>
                <pt idx="26">
                  <v>27.11118383432501</v>
                </pt>
                <pt idx="27">
                  <v>31.84850904644808</v>
                </pt>
                <pt idx="28">
                  <v>26.0122628529975</v>
                </pt>
                <pt idx="29">
                  <v>24.79111349175432</v>
                </pt>
                <pt idx="30">
                  <v>31.0385703491008</v>
                </pt>
                <pt idx="31">
                  <v>22.14140127388535</v>
                </pt>
                <pt idx="32">
                  <v>25.86226289646476</v>
                </pt>
              </numCache>
            </numRef>
          </val>
          <smooth val="0"/>
        </ser>
        <ser>
          <idx val="2"/>
          <order val="2"/>
          <tx>
            <strRef>
              <f>'Rent Survey'!$J$3</f>
              <strCache>
                <ptCount val="1"/>
                <pt idx="0">
                  <v>Lower Quartile Rent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'Rent Survey'!$B$4:$B$36</f>
              <numCache>
                <formatCode>General</formatCode>
                <ptCount val="33"/>
                <pt idx="0">
                  <v>2024</v>
                </pt>
                <pt idx="1">
                  <v>2023</v>
                </pt>
                <pt idx="2">
                  <v>2022</v>
                </pt>
                <pt idx="3">
                  <v>2021</v>
                </pt>
                <pt idx="4">
                  <v>2020</v>
                </pt>
                <pt idx="5">
                  <v>2019</v>
                </pt>
                <pt idx="6">
                  <v>2018</v>
                </pt>
                <pt idx="7">
                  <v>2017</v>
                </pt>
                <pt idx="8">
                  <v>2016</v>
                </pt>
                <pt idx="9">
                  <v>2015</v>
                </pt>
                <pt idx="10">
                  <v>2014</v>
                </pt>
                <pt idx="11">
                  <v>2013</v>
                </pt>
                <pt idx="12">
                  <v>2012</v>
                </pt>
                <pt idx="13">
                  <v>2011</v>
                </pt>
                <pt idx="14">
                  <v>2010</v>
                </pt>
                <pt idx="15">
                  <v>2009</v>
                </pt>
                <pt idx="16">
                  <v>2008</v>
                </pt>
                <pt idx="17">
                  <v>2007</v>
                </pt>
                <pt idx="18">
                  <v>2006</v>
                </pt>
                <pt idx="19">
                  <v>2005</v>
                </pt>
                <pt idx="20">
                  <v>2004</v>
                </pt>
                <pt idx="21">
                  <v>2003</v>
                </pt>
                <pt idx="22">
                  <v>2002</v>
                </pt>
                <pt idx="23">
                  <v>2001</v>
                </pt>
                <pt idx="24">
                  <v>2000</v>
                </pt>
                <pt idx="25">
                  <v>1999</v>
                </pt>
                <pt idx="26">
                  <v>1998</v>
                </pt>
                <pt idx="27">
                  <v>1997</v>
                </pt>
                <pt idx="28">
                  <v>1996</v>
                </pt>
                <pt idx="29">
                  <v>1995</v>
                </pt>
                <pt idx="30">
                  <v>1994</v>
                </pt>
                <pt idx="31">
                  <v>1993</v>
                </pt>
                <pt idx="32">
                  <v>1992</v>
                </pt>
              </numCache>
            </numRef>
          </cat>
          <val>
            <numRef>
              <f>'Rent Survey'!$J$4:$J$36</f>
              <numCache>
                <formatCode>"$"#,##0.00_);[Red]\("$"#,##0.00\)</formatCode>
                <ptCount val="33"/>
                <pt idx="0">
                  <v>42.16151567832078</v>
                </pt>
                <pt idx="1">
                  <v>43.80450576851414</v>
                </pt>
                <pt idx="2">
                  <v>39.5387856010881</v>
                </pt>
                <pt idx="3">
                  <v>32.60171441339978</v>
                </pt>
                <pt idx="4">
                  <v>30.267670087156</v>
                </pt>
                <pt idx="5">
                  <v>28.42311795561795</v>
                </pt>
                <pt idx="6">
                  <v>29.08139941690962</v>
                </pt>
                <pt idx="7">
                  <v>16.44444444444444</v>
                </pt>
                <pt idx="8">
                  <v>27.3926410511954</v>
                </pt>
                <pt idx="9">
                  <v>19.8371374299613</v>
                </pt>
                <pt idx="10">
                  <v>25.10733870967742</v>
                </pt>
                <pt idx="11">
                  <v>34.9622189818587</v>
                </pt>
                <pt idx="12">
                  <v>26.61207897793264</v>
                </pt>
                <pt idx="13">
                  <v>28.9671156567108</v>
                </pt>
                <pt idx="14">
                  <v>26.55998386214267</v>
                </pt>
                <pt idx="15">
                  <v>25.22794522554189</v>
                </pt>
                <pt idx="16">
                  <v>26.40967391304348</v>
                </pt>
                <pt idx="17">
                  <v>24.26388078680996</v>
                </pt>
                <pt idx="18">
                  <v>20.7753683410414</v>
                </pt>
                <pt idx="19">
                  <v>21.02838638542665</v>
                </pt>
                <pt idx="20">
                  <v>21.47939635463915</v>
                </pt>
                <pt idx="21">
                  <v>23.42764334214268</v>
                </pt>
                <pt idx="22">
                  <v>18.22149106395616</v>
                </pt>
                <pt idx="23">
                  <v>17.14803329525053</v>
                </pt>
                <pt idx="24">
                  <v>20.66470302695873</v>
                </pt>
                <pt idx="25">
                  <v>17.459195996227</v>
                </pt>
                <pt idx="26">
                  <v>19.62321266968326</v>
                </pt>
                <pt idx="27">
                  <v>17.6683885006023</v>
                </pt>
                <pt idx="28">
                  <v>12.03123415475104</v>
                </pt>
                <pt idx="29">
                  <v>16.32994224041978</v>
                </pt>
                <pt idx="30">
                  <v>17.00421830720103</v>
                </pt>
                <pt idx="31">
                  <v>17.77</v>
                </pt>
                <pt idx="32">
                  <v>9.180247389945237</v>
                </pt>
              </numCache>
            </numRef>
          </val>
          <smooth val="0"/>
        </ser>
        <ser>
          <idx val="3"/>
          <order val="3"/>
          <tx>
            <strRef>
              <f>'Rent Survey'!$K$3</f>
              <strCache>
                <ptCount val="1"/>
                <pt idx="0">
                  <v>Median Rent PSF</v>
                </pt>
              </strCache>
            </strRef>
          </tx>
          <spPr>
            <a:ln xmlns:a="http://schemas.openxmlformats.org/drawingml/2006/main" w="28575" cap="rnd">
              <a:noFill/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62B5E5"/>
              </a:solidFill>
              <a:ln xmlns:a="http://schemas.openxmlformats.org/drawingml/2006/main" w="25400">
                <a:noFill/>
                <a:prstDash val="solid"/>
              </a:ln>
            </spPr>
          </marker>
          <cat>
            <numRef>
              <f>'Rent Survey'!$B$4:$B$36</f>
              <numCache>
                <formatCode>General</formatCode>
                <ptCount val="33"/>
                <pt idx="0">
                  <v>2024</v>
                </pt>
                <pt idx="1">
                  <v>2023</v>
                </pt>
                <pt idx="2">
                  <v>2022</v>
                </pt>
                <pt idx="3">
                  <v>2021</v>
                </pt>
                <pt idx="4">
                  <v>2020</v>
                </pt>
                <pt idx="5">
                  <v>2019</v>
                </pt>
                <pt idx="6">
                  <v>2018</v>
                </pt>
                <pt idx="7">
                  <v>2017</v>
                </pt>
                <pt idx="8">
                  <v>2016</v>
                </pt>
                <pt idx="9">
                  <v>2015</v>
                </pt>
                <pt idx="10">
                  <v>2014</v>
                </pt>
                <pt idx="11">
                  <v>2013</v>
                </pt>
                <pt idx="12">
                  <v>2012</v>
                </pt>
                <pt idx="13">
                  <v>2011</v>
                </pt>
                <pt idx="14">
                  <v>2010</v>
                </pt>
                <pt idx="15">
                  <v>2009</v>
                </pt>
                <pt idx="16">
                  <v>2008</v>
                </pt>
                <pt idx="17">
                  <v>2007</v>
                </pt>
                <pt idx="18">
                  <v>2006</v>
                </pt>
                <pt idx="19">
                  <v>2005</v>
                </pt>
                <pt idx="20">
                  <v>2004</v>
                </pt>
                <pt idx="21">
                  <v>2003</v>
                </pt>
                <pt idx="22">
                  <v>2002</v>
                </pt>
                <pt idx="23">
                  <v>2001</v>
                </pt>
                <pt idx="24">
                  <v>2000</v>
                </pt>
                <pt idx="25">
                  <v>1999</v>
                </pt>
                <pt idx="26">
                  <v>1998</v>
                </pt>
                <pt idx="27">
                  <v>1997</v>
                </pt>
                <pt idx="28">
                  <v>1996</v>
                </pt>
                <pt idx="29">
                  <v>1995</v>
                </pt>
                <pt idx="30">
                  <v>1994</v>
                </pt>
                <pt idx="31">
                  <v>1993</v>
                </pt>
                <pt idx="32">
                  <v>1992</v>
                </pt>
              </numCache>
            </numRef>
          </cat>
          <val>
            <numRef>
              <f>'Rent Survey'!$K$4:$K$36</f>
              <numCache>
                <formatCode>"$"#,##0.00_);[Red]\("$"#,##0.00\)</formatCode>
                <ptCount val="33"/>
                <pt idx="0">
                  <v>42.16151567832078</v>
                </pt>
                <pt idx="1">
                  <v>45.37793583981713</v>
                </pt>
                <pt idx="2">
                  <v>41.988558947195</v>
                </pt>
                <pt idx="3">
                  <v>41.02182269368534</v>
                </pt>
                <pt idx="4">
                  <v>33.6</v>
                </pt>
                <pt idx="5">
                  <v>35.10719675598909</v>
                </pt>
                <pt idx="6">
                  <v>32.662882853133</v>
                </pt>
                <pt idx="7">
                  <v>16.97760959949476</v>
                </pt>
                <pt idx="8">
                  <v>29.01071223180712</v>
                </pt>
                <pt idx="9">
                  <v>25.56684444444445</v>
                </pt>
                <pt idx="10">
                  <v>28.77398410976519</v>
                </pt>
                <pt idx="11">
                  <v>42.64541157581158</v>
                </pt>
                <pt idx="12">
                  <v>36.85361266781477</v>
                </pt>
                <pt idx="13">
                  <v>33.77312714776632</v>
                </pt>
                <pt idx="14">
                  <v>33.706211482437</v>
                </pt>
                <pt idx="15">
                  <v>31.85902909454585</v>
                </pt>
                <pt idx="16">
                  <v>30.32026599139625</v>
                </pt>
                <pt idx="17">
                  <v>27.31168925493227</v>
                </pt>
                <pt idx="18">
                  <v>25.64391258371519</v>
                </pt>
                <pt idx="19">
                  <v>24.61946047008547</v>
                </pt>
                <pt idx="20">
                  <v>25.20580657920667</v>
                </pt>
                <pt idx="21">
                  <v>25.83836052902782</v>
                </pt>
                <pt idx="22">
                  <v>24.63622974963181</v>
                </pt>
                <pt idx="23">
                  <v>21.52233138969874</v>
                </pt>
                <pt idx="24">
                  <v>26.03638685666537</v>
                </pt>
                <pt idx="25">
                  <v>21.57441546537789</v>
                </pt>
                <pt idx="26">
                  <v>25</v>
                </pt>
                <pt idx="27">
                  <v>27.26724068560393</v>
                </pt>
                <pt idx="28">
                  <v>22.20362096047455</v>
                </pt>
                <pt idx="29">
                  <v>20.9058262575513</v>
                </pt>
                <pt idx="30">
                  <v>21.06250175425249</v>
                </pt>
                <pt idx="31">
                  <v>18.87286452385855</v>
                </pt>
                <pt idx="32">
                  <v>14.41131583845152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22225" cap="flat" cmpd="sng" algn="ctr">
              <a:solidFill>
                <a:srgbClr val="9EA9B7"/>
              </a:solidFill>
              <a:prstDash val="solid"/>
              <a:round/>
            </a:ln>
          </spPr>
        </hiLowLines>
        <marker val="1"/>
        <smooth val="0"/>
        <axId val="994572943"/>
        <axId val="994574191"/>
      </lineChart>
      <catAx>
        <axId val="994572943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574191"/>
        <crosses val="autoZero"/>
        <auto val="1"/>
        <lblAlgn val="ctr"/>
        <lblOffset val="100"/>
        <noMultiLvlLbl val="0"/>
      </catAx>
      <valAx>
        <axId val="994574191"/>
        <scaling>
          <orientation val="minMax"/>
          <max val="50"/>
          <min val="15"/>
        </scaling>
        <delete val="0"/>
        <axPos val="r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&quot;$&quot;#,##0.00_);[Red]\(&quot;$&quot;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94572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rgbClr val="6A748C"/>
              </a:solidFill>
              <a:latin typeface="Futura PT Light" panose="020B0402020204020303" pitchFamily="34" charset="0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0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'Rent Survey'!$D$91</f>
              <strCache>
                <ptCount val="1"/>
                <pt idx="0">
                  <v>Count of Rent</v>
                </pt>
              </strCache>
            </strRef>
          </tx>
          <spPr>
            <a:solidFill xmlns:a="http://schemas.openxmlformats.org/drawingml/2006/main">
              <a:srgbClr val="003DA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'Rent Survey'!$A$92:$A$124</f>
              <numCache>
                <formatCode>[$-409]mmm\-yy;@</formatCode>
                <ptCount val="33"/>
                <pt idx="0">
                  <v>45291</v>
                </pt>
                <pt idx="1">
                  <v>44926</v>
                </pt>
                <pt idx="2">
                  <v>44561</v>
                </pt>
                <pt idx="3">
                  <v>44196</v>
                </pt>
                <pt idx="4">
                  <v>43830</v>
                </pt>
                <pt idx="5">
                  <v>43465</v>
                </pt>
                <pt idx="6">
                  <v>43100</v>
                </pt>
                <pt idx="7">
                  <v>42735</v>
                </pt>
                <pt idx="8">
                  <v>42369</v>
                </pt>
                <pt idx="9">
                  <v>42004</v>
                </pt>
                <pt idx="10">
                  <v>41639</v>
                </pt>
                <pt idx="11">
                  <v>41274</v>
                </pt>
                <pt idx="12">
                  <v>40908</v>
                </pt>
                <pt idx="13">
                  <v>40543</v>
                </pt>
                <pt idx="14">
                  <v>40178</v>
                </pt>
                <pt idx="15">
                  <v>39813</v>
                </pt>
                <pt idx="16">
                  <v>39447</v>
                </pt>
                <pt idx="17">
                  <v>39082</v>
                </pt>
                <pt idx="18">
                  <v>38717</v>
                </pt>
                <pt idx="19">
                  <v>38352</v>
                </pt>
                <pt idx="20">
                  <v>37986</v>
                </pt>
                <pt idx="21">
                  <v>37621</v>
                </pt>
                <pt idx="22">
                  <v>37256</v>
                </pt>
                <pt idx="23">
                  <v>36891</v>
                </pt>
                <pt idx="24">
                  <v>36525</v>
                </pt>
                <pt idx="25">
                  <v>36160</v>
                </pt>
                <pt idx="26">
                  <v>35795</v>
                </pt>
                <pt idx="27">
                  <v>35430</v>
                </pt>
                <pt idx="28">
                  <v>35064</v>
                </pt>
                <pt idx="29">
                  <v>34699</v>
                </pt>
                <pt idx="30">
                  <v>34334</v>
                </pt>
                <pt idx="31">
                  <v>33969</v>
                </pt>
                <pt idx="32">
                  <v>33603</v>
                </pt>
              </numCache>
            </numRef>
          </cat>
          <val>
            <numRef>
              <f>'Rent Survey'!$D$92:$D$124</f>
              <numCache>
                <formatCode>#,##0_);[Red]\(#,##0\)</formatCode>
                <ptCount val="33"/>
                <pt idx="0">
                  <v>153</v>
                </pt>
                <pt idx="1">
                  <v>200</v>
                </pt>
                <pt idx="2">
                  <v>176</v>
                </pt>
                <pt idx="3">
                  <v>172</v>
                </pt>
                <pt idx="4">
                  <v>214</v>
                </pt>
                <pt idx="5">
                  <v>142</v>
                </pt>
                <pt idx="6">
                  <v>139</v>
                </pt>
                <pt idx="7">
                  <v>160</v>
                </pt>
                <pt idx="8">
                  <v>157</v>
                </pt>
                <pt idx="9">
                  <v>157</v>
                </pt>
                <pt idx="10">
                  <v>165</v>
                </pt>
                <pt idx="11">
                  <v>281</v>
                </pt>
                <pt idx="12">
                  <v>294</v>
                </pt>
                <pt idx="13">
                  <v>170</v>
                </pt>
                <pt idx="14">
                  <v>211</v>
                </pt>
                <pt idx="15">
                  <v>185</v>
                </pt>
                <pt idx="16">
                  <v>144</v>
                </pt>
                <pt idx="17">
                  <v>156</v>
                </pt>
                <pt idx="18">
                  <v>166</v>
                </pt>
                <pt idx="19">
                  <v>161</v>
                </pt>
                <pt idx="20">
                  <v>175</v>
                </pt>
                <pt idx="21">
                  <v>161</v>
                </pt>
                <pt idx="22">
                  <v>78</v>
                </pt>
                <pt idx="23">
                  <v>87</v>
                </pt>
                <pt idx="24">
                  <v>75</v>
                </pt>
                <pt idx="25">
                  <v>64</v>
                </pt>
                <pt idx="26">
                  <v>46</v>
                </pt>
                <pt idx="27">
                  <v>21</v>
                </pt>
                <pt idx="28">
                  <v>39</v>
                </pt>
                <pt idx="29">
                  <v>38</v>
                </pt>
                <pt idx="30">
                  <v>26</v>
                </pt>
                <pt idx="31">
                  <v>17</v>
                </pt>
                <pt idx="32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028681439"/>
        <axId val="1028682271"/>
      </barChart>
      <lineChart>
        <grouping val="standard"/>
        <varyColors val="0"/>
        <ser>
          <idx val="2"/>
          <order val="2"/>
          <tx>
            <strRef>
              <f>'Rent Survey'!$H$91</f>
              <strCache>
                <ptCount val="1"/>
                <pt idx="0">
                  <v>Average RPSF</v>
                </pt>
              </strCache>
            </strRef>
          </tx>
          <spPr>
            <a:ln xmlns:a="http://schemas.openxmlformats.org/drawingml/2006/main" w="28575" cap="rnd">
              <a:solidFill>
                <a:srgbClr val="62B5E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7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800" b="0" i="0" strike="noStrike" kern="1200" baseline="0">
                    <a:solidFill>
                      <a:srgbClr val="6A748C"/>
                    </a:solidFill>
                    <a:latin typeface="Futura PT Light" panose="020B0402020204020303" pitchFamily="34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trendline>
            <spPr>
              <a:ln xmlns:a="http://schemas.openxmlformats.org/drawingml/2006/main" w="19050" cap="rnd">
                <a:solidFill>
                  <a:srgbClr val="666666"/>
                </a:solidFill>
                <a:prstDash val="sysDot"/>
              </a:ln>
            </spPr>
            <trendlineType val="linear"/>
            <dispRSqr val="0"/>
            <dispEq val="0"/>
          </trendline>
          <cat>
            <numRef>
              <f>'Rent Survey'!$A$92:$A$124</f>
              <numCache>
                <formatCode>[$-409]mmm\-yy;@</formatCode>
                <ptCount val="33"/>
                <pt idx="0">
                  <v>45291</v>
                </pt>
                <pt idx="1">
                  <v>44926</v>
                </pt>
                <pt idx="2">
                  <v>44561</v>
                </pt>
                <pt idx="3">
                  <v>44196</v>
                </pt>
                <pt idx="4">
                  <v>43830</v>
                </pt>
                <pt idx="5">
                  <v>43465</v>
                </pt>
                <pt idx="6">
                  <v>43100</v>
                </pt>
                <pt idx="7">
                  <v>42735</v>
                </pt>
                <pt idx="8">
                  <v>42369</v>
                </pt>
                <pt idx="9">
                  <v>42004</v>
                </pt>
                <pt idx="10">
                  <v>41639</v>
                </pt>
                <pt idx="11">
                  <v>41274</v>
                </pt>
                <pt idx="12">
                  <v>40908</v>
                </pt>
                <pt idx="13">
                  <v>40543</v>
                </pt>
                <pt idx="14">
                  <v>40178</v>
                </pt>
                <pt idx="15">
                  <v>39813</v>
                </pt>
                <pt idx="16">
                  <v>39447</v>
                </pt>
                <pt idx="17">
                  <v>39082</v>
                </pt>
                <pt idx="18">
                  <v>38717</v>
                </pt>
                <pt idx="19">
                  <v>38352</v>
                </pt>
                <pt idx="20">
                  <v>37986</v>
                </pt>
                <pt idx="21">
                  <v>37621</v>
                </pt>
                <pt idx="22">
                  <v>37256</v>
                </pt>
                <pt idx="23">
                  <v>36891</v>
                </pt>
                <pt idx="24">
                  <v>36525</v>
                </pt>
                <pt idx="25">
                  <v>36160</v>
                </pt>
                <pt idx="26">
                  <v>35795</v>
                </pt>
                <pt idx="27">
                  <v>35430</v>
                </pt>
                <pt idx="28">
                  <v>35064</v>
                </pt>
                <pt idx="29">
                  <v>34699</v>
                </pt>
                <pt idx="30">
                  <v>34334</v>
                </pt>
                <pt idx="31">
                  <v>33969</v>
                </pt>
                <pt idx="32">
                  <v>33603</v>
                </pt>
              </numCache>
            </numRef>
          </cat>
          <val>
            <numRef>
              <f>'Rent Survey'!$H$92:$H$124</f>
              <numCache>
                <formatCode>"$"#,##0.00_);[Red]\("$"#,##0.00\)</formatCode>
                <ptCount val="33"/>
                <pt idx="0">
                  <v>29.20923321207528</v>
                </pt>
                <pt idx="1">
                  <v>32.54630959044838</v>
                </pt>
                <pt idx="2">
                  <v>34.82469786308036</v>
                </pt>
                <pt idx="3">
                  <v>31.86629439323685</v>
                </pt>
                <pt idx="4">
                  <v>35.32319844106726</v>
                </pt>
                <pt idx="5">
                  <v>29.04029508593559</v>
                </pt>
                <pt idx="6">
                  <v>30.84474850754848</v>
                </pt>
                <pt idx="7">
                  <v>29.85749798137378</v>
                </pt>
                <pt idx="8">
                  <v>26.80489354112221</v>
                </pt>
                <pt idx="9">
                  <v>28.76921197825822</v>
                </pt>
                <pt idx="10">
                  <v>28.98490570195149</v>
                </pt>
                <pt idx="11">
                  <v>30.62831365445831</v>
                </pt>
                <pt idx="12">
                  <v>29.88126243138687</v>
                </pt>
                <pt idx="13">
                  <v>25.60248865425195</v>
                </pt>
                <pt idx="14">
                  <v>29.3893383077227</v>
                </pt>
                <pt idx="15">
                  <v>30.19726070042666</v>
                </pt>
                <pt idx="16">
                  <v>27.2863766852344</v>
                </pt>
                <pt idx="17">
                  <v>31.19022411574293</v>
                </pt>
                <pt idx="18">
                  <v>28.96453836038037</v>
                </pt>
                <pt idx="19">
                  <v>29.00026345476983</v>
                </pt>
                <pt idx="20">
                  <v>27.86063303330044</v>
                </pt>
                <pt idx="21">
                  <v>31.52896965111917</v>
                </pt>
                <pt idx="22">
                  <v>20.77250804854577</v>
                </pt>
                <pt idx="23">
                  <v>29.22524881376384</v>
                </pt>
                <pt idx="24">
                  <v>24.02197715598961</v>
                </pt>
                <pt idx="25">
                  <v>26.53618978543626</v>
                </pt>
                <pt idx="26">
                  <v>32.47667875002765</v>
                </pt>
                <pt idx="27">
                  <v>13.94708536260111</v>
                </pt>
                <pt idx="28">
                  <v>29.37386672950547</v>
                </pt>
                <pt idx="29">
                  <v>18.21082637258899</v>
                </pt>
                <pt idx="30">
                  <v>21.5247764062567</v>
                </pt>
                <pt idx="31">
                  <v>29.33222316475259</v>
                </pt>
                <pt idx="32">
                  <v>34.95370038910506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47939167"/>
        <axId val="183684464"/>
      </lineChart>
      <dateAx>
        <axId val="1028681439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noFill/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8682271"/>
        <crosses val="autoZero"/>
        <lblOffset val="100"/>
        <baseTimeUnit val="years"/>
      </dateAx>
      <valAx>
        <axId val="1028682271"/>
        <scaling>
          <orientation val="minMax"/>
        </scaling>
        <delete val="0"/>
        <axPos val="l"/>
        <majorGridlines>
          <spPr>
            <a:ln xmlns:a="http://schemas.openxmlformats.org/drawingml/2006/main"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#,##0_);[Red]\(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28681439"/>
        <crosses val="autoZero"/>
        <crossBetween val="between"/>
      </valAx>
      <dateAx>
        <axId val="1547939167"/>
        <scaling>
          <orientation val="minMax"/>
        </scaling>
        <delete val="1"/>
        <axPos val="b"/>
        <numFmt formatCode="[$-409]mmm\-yy;@" sourceLinked="1"/>
        <majorTickMark val="out"/>
        <minorTickMark val="none"/>
        <tickLblPos val="nextTo"/>
        <crossAx val="183684464"/>
        <crosses val="autoZero"/>
        <lblOffset val="100"/>
        <baseTimeUnit val="years"/>
      </dateAx>
      <valAx>
        <axId val="183684464"/>
        <scaling>
          <orientation val="minMax"/>
        </scaling>
        <delete val="0"/>
        <axPos val="l"/>
        <numFmt formatCode="&quot;$&quot;#,##0.00_);[Red]\(&quot;$&quot;#,##0.0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rgbClr val="6A748C"/>
                </a:solidFill>
                <a:latin typeface="Futura PT Light" panose="020B0402020204020303" pitchFamily="34" charset="0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47939167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-</a:t>
            </a:r>
            <a:r>
              <a:rPr lang="en-US" baseline="0"/>
              <a:t xml:space="preserve"> Firm All Time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Competition!$N$2</f>
              <strCache>
                <ptCount val="1"/>
                <pt idx="0">
                  <v>Market Share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9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4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5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6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Competition!$I$3:$I$19</f>
              <strCache>
                <ptCount val="17"/>
                <pt idx="0">
                  <v>M&amp;M</v>
                </pt>
                <pt idx="1">
                  <v>C&amp;W</v>
                </pt>
                <pt idx="2">
                  <v>CBRE</v>
                </pt>
                <pt idx="3">
                  <v>SJC</v>
                </pt>
                <pt idx="4">
                  <v>Colliers</v>
                </pt>
                <pt idx="5">
                  <v>JLL</v>
                </pt>
                <pt idx="6">
                  <v>Newmark</v>
                </pt>
                <pt idx="7">
                  <v>Capital Pacific</v>
                </pt>
                <pt idx="8">
                  <v>Touchstone</v>
                </pt>
                <pt idx="9">
                  <v>Bear Wells</v>
                </pt>
                <pt idx="10">
                  <v>SVN</v>
                </pt>
                <pt idx="11">
                  <v>Avison Young</v>
                </pt>
                <pt idx="12">
                  <v>Avery Postal</v>
                </pt>
                <pt idx="13">
                  <v>Bull Realty</v>
                </pt>
                <pt idx="14">
                  <v>Sands</v>
                </pt>
                <pt idx="15">
                  <v>Matthews</v>
                </pt>
                <pt idx="16">
                  <v>SRS</v>
                </pt>
              </strCache>
            </strRef>
          </cat>
          <val>
            <numRef>
              <f>Competition!$N$3:$N$19</f>
              <numCache>
                <formatCode>0.0%</formatCode>
                <ptCount val="17"/>
                <pt idx="0">
                  <v>4.655737704918033</v>
                </pt>
                <pt idx="1">
                  <v>3.836065573770492</v>
                </pt>
                <pt idx="2">
                  <v>3</v>
                </pt>
                <pt idx="3">
                  <v>2.213114754098361</v>
                </pt>
                <pt idx="4">
                  <v>2.918032786885246</v>
                </pt>
                <pt idx="5">
                  <v>1.704918032786885</v>
                </pt>
                <pt idx="6">
                  <v>1.836065573770492</v>
                </pt>
                <pt idx="7">
                  <v>1.262295081967213</v>
                </pt>
                <pt idx="8">
                  <v>1.081967213114754</v>
                </pt>
                <pt idx="9">
                  <v>1.377049180327869</v>
                </pt>
                <pt idx="10">
                  <v>0.5409836065573771</v>
                </pt>
                <pt idx="11">
                  <v>0.2459016393442623</v>
                </pt>
                <pt idx="12">
                  <v>0.1311475409836066</v>
                </pt>
                <pt idx="13">
                  <v>0.08196721311475409</v>
                </pt>
                <pt idx="14">
                  <v>0.1147540983606557</v>
                </pt>
                <pt idx="15">
                  <v>0.2131147540983606</v>
                </pt>
                <pt idx="16">
                  <v>0.09836065573770492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- Firm TTM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Competition!$N$22</f>
              <strCache>
                <ptCount val="1"/>
                <pt idx="0">
                  <v>Market Share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chemeClr val="accent5">
                  <a:lumMod val="80000"/>
                  <a:lumOff val="2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4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5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6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Competition!$I$23:$I$39</f>
              <strCache>
                <ptCount val="17"/>
                <pt idx="0">
                  <v>SJC</v>
                </pt>
                <pt idx="1">
                  <v>C&amp;W</v>
                </pt>
                <pt idx="2">
                  <v>Colliers</v>
                </pt>
                <pt idx="3">
                  <v>M&amp;M</v>
                </pt>
                <pt idx="4">
                  <v>Capital Pacific</v>
                </pt>
                <pt idx="5">
                  <v>CBRE</v>
                </pt>
                <pt idx="6">
                  <v>Newmark</v>
                </pt>
                <pt idx="7">
                  <v>Touchstone</v>
                </pt>
                <pt idx="8">
                  <v>Bear Wells</v>
                </pt>
                <pt idx="9">
                  <v>Bull Realty</v>
                </pt>
                <pt idx="10">
                  <v>JLL</v>
                </pt>
                <pt idx="11">
                  <v>SVN</v>
                </pt>
                <pt idx="12">
                  <v>Avison Young</v>
                </pt>
                <pt idx="13">
                  <v>Avery Postal</v>
                </pt>
                <pt idx="14">
                  <v>Sands</v>
                </pt>
                <pt idx="15">
                  <v>Matthews</v>
                </pt>
                <pt idx="16">
                  <v>SRS</v>
                </pt>
              </strCache>
            </strRef>
          </cat>
          <val>
            <numRef>
              <f>Competition!$N$23:$N$39</f>
              <numCache>
                <formatCode>0.0%</formatCode>
                <ptCount val="17"/>
                <pt idx="0">
                  <v>0.0303030303030303</v>
                </pt>
                <pt idx="1">
                  <v>0.0303030303030303</v>
                </pt>
                <pt idx="2">
                  <v>0.1666666666666667</v>
                </pt>
                <pt idx="3">
                  <v>0.1666666666666667</v>
                </pt>
                <pt idx="4">
                  <v>0.01515151515151515</v>
                </pt>
                <pt idx="5">
                  <v>0.06060606060606061</v>
                </pt>
                <pt idx="6">
                  <v>0.04545454545454546</v>
                </pt>
                <pt idx="7">
                  <v>0.01515151515151515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0.01515151515151515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0.06060606060606061</v>
                </pt>
                <pt idx="1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drawing1.xml><?xml version="1.0" encoding="utf-8"?>
<wsDr xmlns="http://schemas.openxmlformats.org/drawingml/2006/spreadsheetDrawing">
  <twoCellAnchor>
    <from>
      <col>68</col>
      <colOff>57149</colOff>
      <row>93</row>
      <rowOff>119060</rowOff>
    </from>
    <to>
      <col>77</col>
      <colOff>283082</colOff>
      <row>109</row>
      <rowOff>70292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67</col>
      <colOff>539349</colOff>
      <row>119</row>
      <rowOff>66673</rowOff>
    </from>
    <to>
      <col>77</col>
      <colOff>64242</colOff>
      <row>130</row>
      <rowOff>165733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67</col>
      <colOff>448862</colOff>
      <row>146</row>
      <rowOff>138110</rowOff>
    </from>
    <to>
      <col>72</col>
      <colOff>562019</colOff>
      <row>170</row>
      <rowOff>72959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68</col>
      <colOff>553639</colOff>
      <row>190</row>
      <rowOff>183357</rowOff>
    </from>
    <to>
      <col>77</col>
      <colOff>660700</colOff>
      <row>200</row>
      <rowOff>79344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68</col>
      <colOff>547686</colOff>
      <row>350</row>
      <rowOff>190499</rowOff>
    </from>
    <to>
      <col>77</col>
      <colOff>654747</colOff>
      <row>366</row>
      <rowOff>178307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69</col>
      <colOff>7141</colOff>
      <row>386</row>
      <rowOff>166686</rowOff>
    </from>
    <to>
      <col>72</col>
      <colOff>992026</colOff>
      <row>403</row>
      <rowOff>46290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67</col>
      <colOff>547469</colOff>
      <row>73</row>
      <rowOff>52387</rowOff>
    </from>
    <to>
      <col>76</col>
      <colOff>1208885</colOff>
      <row>86</row>
      <rowOff>154495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78</col>
      <colOff>912515</colOff>
      <row>346</row>
      <rowOff>71435</rowOff>
    </from>
    <to>
      <col>83</col>
      <colOff>1887875</colOff>
      <row>360</row>
      <rowOff>83627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79</col>
      <colOff>35718</colOff>
      <row>360</row>
      <rowOff>92868</rowOff>
    </from>
    <to>
      <col>83</col>
      <colOff>332993</colOff>
      <row>368</row>
      <rowOff>128587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69</col>
      <colOff>3568</colOff>
      <row>409</row>
      <rowOff>79772</rowOff>
    </from>
    <to>
      <col>77</col>
      <colOff>839101</colOff>
      <row>431</row>
      <rowOff>49292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78</col>
      <colOff>1004886</colOff>
      <row>409</row>
      <rowOff>35725</rowOff>
    </from>
    <to>
      <col>86</col>
      <colOff>432032</colOff>
      <row>432</row>
      <rowOff>6769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77</col>
      <colOff>983456</colOff>
      <row>66</row>
      <rowOff>41671</rowOff>
    </from>
    <to>
      <col>85</col>
      <colOff>385667</colOff>
      <row>79</row>
      <rowOff>180355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78</col>
      <colOff>114300</colOff>
      <row>88</row>
      <rowOff>152399</rowOff>
    </from>
    <to>
      <col>85</col>
      <colOff>417576</colOff>
      <row>106</row>
      <rowOff>33527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77</col>
      <colOff>1006475</colOff>
      <row>112</row>
      <rowOff>73818</rowOff>
    </from>
    <to>
      <col>85</col>
      <colOff>381254</colOff>
      <row>134</row>
      <rowOff>43338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67</col>
      <colOff>604835</colOff>
      <row>44</row>
      <rowOff>114299</rowOff>
    </from>
    <to>
      <col>72</col>
      <colOff>516824</colOff>
      <row>61</row>
      <rowOff>185927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74</col>
      <colOff>835818</colOff>
      <row>44</row>
      <rowOff>109537</rowOff>
    </from>
    <to>
      <col>79</col>
      <colOff>223932</colOff>
      <row>61</row>
      <rowOff>117157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69</col>
      <colOff>133349</colOff>
      <row>324</row>
      <rowOff>66676</rowOff>
    </from>
    <to>
      <col>77</col>
      <colOff>895730</colOff>
      <row>343</row>
      <rowOff>177928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68</col>
      <colOff>523875</colOff>
      <row>296</row>
      <rowOff>161925</rowOff>
    </from>
    <to>
      <col>77</col>
      <colOff>621792</colOff>
      <row>316</row>
      <rowOff>146685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54</col>
      <colOff>238125</colOff>
      <row>7</row>
      <rowOff>119060</rowOff>
    </from>
    <to>
      <col>71</col>
      <colOff>35718</colOff>
      <row>34</row>
      <rowOff>151064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55</col>
      <colOff>82149</colOff>
      <row>44</row>
      <rowOff>15471</rowOff>
    </from>
    <to>
      <col>74</col>
      <colOff>238125</colOff>
      <row>69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55</col>
      <colOff>496</colOff>
      <row>72</row>
      <rowOff>154781</rowOff>
    </from>
    <to>
      <col>68</col>
      <colOff>333374</colOff>
      <row>86</row>
      <rowOff>65340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54</col>
      <colOff>607217</colOff>
      <row>88</row>
      <rowOff>35718</rowOff>
    </from>
    <to>
      <col>67</col>
      <colOff>428624</colOff>
      <row>96</row>
      <rowOff>71437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56</col>
      <colOff>7141</colOff>
      <row>120</row>
      <rowOff>166685</rowOff>
    </from>
    <to>
      <col>74</col>
      <colOff>250031</colOff>
      <row>145</row>
      <rowOff>71436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56</col>
      <colOff>0</colOff>
      <row>149</row>
      <rowOff>0</rowOff>
    </from>
    <to>
      <col>74</col>
      <colOff>511968</colOff>
      <row>179</row>
      <rowOff>185738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55</col>
      <colOff>621507</colOff>
      <row>185</row>
      <rowOff>32146</rowOff>
    </from>
    <to>
      <col>79</col>
      <colOff>33719</colOff>
      <row>199</row>
      <rowOff>126634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56</col>
      <colOff>47626</colOff>
      <row>204</row>
      <rowOff>122632</rowOff>
    </from>
    <to>
      <col>79</col>
      <colOff>46959</colOff>
      <row>222</row>
      <rowOff>58624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56</col>
      <colOff>232168</colOff>
      <row>226</row>
      <rowOff>3572</rowOff>
    </from>
    <to>
      <col>72</col>
      <colOff>285748</colOff>
      <row>246</row>
      <rowOff>52340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56</col>
      <colOff>7144</colOff>
      <row>253</row>
      <rowOff>178600</rowOff>
    </from>
    <to>
      <col>71</col>
      <colOff>571500</colOff>
      <row>277</row>
      <rowOff>107156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11</col>
      <colOff>504823</colOff>
      <row>5</row>
      <rowOff>52387</rowOff>
    </from>
    <to>
      <col>27</col>
      <colOff>132967</colOff>
      <row>26</row>
      <rowOff>130111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9525</colOff>
      <row>91</row>
      <rowOff>142875</rowOff>
    </from>
    <to>
      <col>27</col>
      <colOff>100965</colOff>
      <row>113</row>
      <rowOff>167259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16</col>
      <colOff>517920</colOff>
      <row>0</row>
      <rowOff>119062</rowOff>
    </from>
    <to>
      <col>31</col>
      <colOff>166687</colOff>
      <row>30</row>
      <rowOff>154781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17</col>
      <colOff>11905</colOff>
      <row>32</row>
      <rowOff>15476</rowOff>
    </from>
    <to>
      <col>31</col>
      <colOff>166687</colOff>
      <row>58</row>
      <rowOff>107155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489.50669120371" createdVersion="6" refreshedVersion="8" minRefreshableVersion="3" recordCount="3551" r:id="rId1">
  <cacheSource type="worksheet">
    <worksheetSource name="Sold"/>
  </cacheSource>
  <cacheFields count="45">
    <cacheField name="LEASE NO." uniqueList="1" numFmtId="0" sqlType="0" hierarchy="0" level="0" databaseField="1">
      <sharedItems count="0" containsBlank="1"/>
    </cacheField>
    <cacheField name="AGENCY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0" containsBlank="1"/>
    </cacheField>
    <cacheField name="INTEREST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CITY" uniqueList="1" numFmtId="0" sqlType="0" hierarchy="0" level="0" databaseField="1">
      <sharedItems count="0" containsBlank="1"/>
    </cacheField>
    <cacheField name="STATE" uniqueList="1" numFmtId="0" sqlType="0" hierarchy="0" level="0" databaseField="1">
      <sharedItems count="0" containsBlank="1"/>
    </cacheField>
    <cacheField name="LAND" uniqueList="1" numFmtId="164" sqlType="0" hierarchy="0" level="0" databaseField="1">
      <sharedItems count="0" containsBlank="1" containsMixedTypes="1" containsNumber="1" minValue="0" maxValue="233.19"/>
    </cacheField>
    <cacheField name="BUILT" uniqueList="1" numFmtId="0" sqlType="0" hierarchy="0" level="0" databaseField="1">
      <sharedItems count="0" containsBlank="1" containsMixedTypes="1" containsNumber="1" minValue="0.26" maxValue="18208"/>
    </cacheField>
    <cacheField name="SF LEASED" uniqueList="1" numFmtId="38" sqlType="0" hierarchy="0" level="0" databaseField="1">
      <sharedItems count="0" containsBlank="1" containsNumber="1" containsString="0" minValue="500" maxValue="2187375"/>
    </cacheField>
    <cacheField name="RBA" uniqueList="1" numFmtId="38" sqlType="0" hierarchy="0" level="0" databaseField="1">
      <sharedItems count="0" containsBlank="1" containsInteger="1" containsNumber="1" containsString="0" minValue="500" maxValue="3224614"/>
    </cacheField>
    <cacheField name="GOV OCCP" uniqueList="1" numFmtId="9" sqlType="0" hierarchy="0" level="0" databaseField="1">
      <sharedItems count="0" containsMixedTypes="1" containsNumber="1" minValue="0.04625635581865364" maxValue="10"/>
    </cacheField>
    <cacheField name="GROSS" uniqueList="1" numFmtId="6" sqlType="0" hierarchy="0" level="0" databaseField="1">
      <sharedItems count="0" containsBlank="1" containsNumber="1" containsString="0" minValue="2397" maxValue="64338736"/>
    </cacheField>
    <cacheField name="GROSS/SF" uniqueList="1" numFmtId="8" sqlType="0" hierarchy="0" level="0" databaseField="1">
      <sharedItems count="0" containsBlank="1" containsMixedTypes="1" containsNumber="1" minValue="1.9975" maxValue="171.0438"/>
    </cacheField>
    <cacheField name="NOI" uniqueList="1" numFmtId="6" sqlType="0" hierarchy="0" level="0" databaseField="1">
      <sharedItems count="0" containsBlank="1" containsNumber="1" containsString="0" minValue="0" maxValue="38625000"/>
    </cacheField>
    <cacheField name="NET/SF" uniqueList="1" numFmtId="8" sqlType="0" hierarchy="0" level="0" databaseField="1">
      <sharedItems count="0" containsBlank="1" containsMixedTypes="1" containsNumber="1" minValue="1.024306460540072" maxValue="129.97925"/>
    </cacheField>
    <cacheField name="COM" uniqueList="1" numFmtId="165" sqlType="0" hierarchy="0" level="0" databaseField="1">
      <sharedItems count="0" containsBlank="1" containsDate="1" containsNonDate="0" containsString="0" minDate="1966-03-01T00:00:00" maxDate="2024-02-02T00:00:00"/>
    </cacheField>
    <cacheField name="EXP" uniqueList="1" numFmtId="0" sqlType="0" hierarchy="0" level="0" databaseField="1">
      <sharedItems count="0" containsBlank="1" containsDate="1" containsMixedTypes="1" containsString="0" minDate="1997-05-31T00:00:00" maxDate="2044-01-01T00:00:00"/>
    </cacheField>
    <cacheField name="TERMN" uniqueList="1" numFmtId="165" sqlType="0" hierarchy="0" level="0" databaseField="1">
      <sharedItems count="0" containsBlank="1" containsDate="1" containsNonDate="0" containsString="0" minDate="1991-03-01T00:00:00" maxDate="2044-01-01T00:00:00"/>
    </cacheField>
    <cacheField name="TERM" uniqueList="1" numFmtId="164" sqlType="0" hierarchy="0" level="0" databaseField="1">
      <sharedItems count="0" containsBlank="1" containsMixedTypes="1" containsNumber="1" minValue="-8.260273972602739" maxValue="28.70684931506849"/>
    </cacheField>
    <cacheField name="FIRM" uniqueList="1" numFmtId="164" sqlType="0" hierarchy="0" level="0" databaseField="1">
      <sharedItems count="0" containsBlank="1" containsMixedTypes="1" containsNumber="1" minValue="-11.44657534246575" maxValue="24.45205479452055"/>
    </cacheField>
    <cacheField name="EXPENSES" uniqueList="1" numFmtId="0" sqlType="0" hierarchy="0" level="0" databaseField="1">
      <sharedItems count="0" containsBlank="1"/>
    </cacheField>
    <cacheField name="BUMPS" uniqueList="1" numFmtId="0" sqlType="0" hierarchy="0" level="0" databaseField="1">
      <sharedItems count="0" containsBlank="1"/>
    </cacheField>
    <cacheField name="RENEWAL OPTIONS" uniqueList="1" numFmtId="0" sqlType="0" hierarchy="0" level="0" databaseField="1">
      <sharedItems count="0" containsBlank="1"/>
    </cacheField>
    <cacheField name="SOLD PRICE" uniqueList="1" numFmtId="0" sqlType="0" hierarchy="0" level="0" databaseField="1">
      <sharedItems count="0" containsBlank="1" containsMixedTypes="1" containsNumber="1" minValue="45000" maxValue="760000000"/>
    </cacheField>
    <cacheField name="SOLD/SF" uniqueList="1" numFmtId="6" sqlType="0" hierarchy="0" level="0" databaseField="1">
      <sharedItems count="0" containsBlank="1" containsMixedTypes="1" containsNumber="1" minValue="9.919028340080972" maxValue="2187.5"/>
    </cacheField>
    <cacheField name="SOLD CAP" uniqueList="1" numFmtId="10" sqlType="0" hierarchy="0" level="0" databaseField="1">
      <sharedItems count="0" containsMixedTypes="1" containsNumber="1" minValue="0.02290589390962672" maxValue="0.2957371294964029"/>
    </cacheField>
    <cacheField name="ZCF" uniqueList="1" numFmtId="0" sqlType="0" hierarchy="0" level="0" databaseField="1">
      <sharedItems count="0" containsBlank="1" containsMixedTypes="1" containsNumber="1" minValue="0.1007080544747082" maxValue="0.25"/>
    </cacheField>
    <cacheField name="DATE" uniqueList="1" numFmtId="165" sqlType="0" hierarchy="0" level="0" databaseField="1">
      <sharedItems count="0" containsBlank="1" containsDate="1" containsNonDate="0" containsString="0" minDate="1979-01-01T00:00:00" maxDate="2024-06-19T00:00:00"/>
    </cacheField>
    <cacheField name="SELLER" uniqueList="1" numFmtId="165" sqlType="0" hierarchy="0" level="0" databaseField="1">
      <sharedItems count="2272" containsBlank="1">
        <s v="Suzanne Buck"/>
        <s v="Precor Ruffin"/>
        <s v="WSSA"/>
        <s v="Procacci Development Corp."/>
        <s v="Hillwood Development Corp."/>
        <s v="Construction Managers, Inc. "/>
        <s v="Rainier Companies"/>
        <s v="Walton Monroe Investment LLC"/>
        <m/>
        <s v="Providence Capital Group"/>
        <s v="SSA Realty, LLC"/>
        <s v="Sud Family"/>
        <s v="James Codding"/>
        <s v="Shia Grunzweig"/>
        <s v="APG Advisors"/>
        <s v="Ray Fuller Farms, Inc."/>
        <s v="Kimberly Sommers"/>
        <s v="Mike Ostrow Real Estate"/>
        <s v="Market Street Development"/>
        <s v="Jefferson Development Group"/>
        <s v="GIP"/>
        <s v="Wayne Long"/>
        <s v="Northbrook West Professional"/>
        <s v="BRC Advisors"/>
        <s v="Pradeep Patel"/>
        <s v="Marv Kaercher"/>
        <s v="Marco Barbieri"/>
        <s v="Moritz Interests"/>
        <s v="B&amp;D Holdings"/>
        <s v="Ivancovich Family Trust"/>
        <s v="Clearview Investments"/>
        <s v="VerMaas Construction"/>
        <s v="Nordav Growth Partners LLC"/>
        <s v="Larry Dangler"/>
        <s v="Shelene Nordstrom-Vaka"/>
        <s v="Scannell Properties"/>
        <s v="Nicholas Cagnoni"/>
        <s v="Harrod Properties"/>
        <s v="Elevation Companies"/>
        <s v="Marina Spiropoulos"/>
        <s v="Southeastern Real Estate Group"/>
        <s v="Hight Investment Group"/>
        <s v="Ocmulgee Fields, Inc."/>
        <s v="Hines"/>
        <s v="US Federal Properties"/>
        <s v="Long Beach Plaza"/>
        <s v="Robert Maffee"/>
        <s v="Beverlee McGrath"/>
        <s v="James Karo"/>
        <s v="Kessinger Hunter &amp; Co"/>
        <s v="Mark Reugh"/>
        <s v="Continental Capital Partners, LLC"/>
        <s v="Dave Folks"/>
        <s v="Earle Kazis"/>
        <s v="Palomar Pomerado Health"/>
        <s v="William Sherwood"/>
        <s v="Syndicated Equities"/>
        <s v="Southern SSA LLC"/>
        <s v="The Innovation Institute, LLC"/>
        <s v="Douglas Larson"/>
        <s v="Chris Peto"/>
        <s v="Terry Hughes"/>
        <s v="Joan Kraft"/>
        <s v="The Higson Family Trust"/>
        <s v="Kent Hull"/>
        <s v="Starling Realty"/>
        <s v="Public Realty Capital"/>
        <s v="Menlo Equities"/>
        <s v="Jim Lyons"/>
        <s v="HPI/ACORE"/>
        <s v="Michael Callahan"/>
        <s v="Donald Lyon Trust"/>
        <s v="Deepthi Dubbaka"/>
        <s v="Trivium Development, LLC"/>
        <s v="Unico Properties"/>
        <s v="Greenview Properties"/>
        <s v="James Sprinkle"/>
        <s v="Catalyst Capital"/>
        <s v="Salus Government Properties, LLC"/>
        <s v="Dick Hippo"/>
        <s v="Colburn Patterson"/>
        <s v="Preston Thomas"/>
        <s v="Marvin Pauley"/>
        <s v="T R Properties, Inc."/>
        <s v="Park De Ville Trio LLC"/>
        <s v="Childress Klein/Cambridge"/>
        <s v="Gardner Tannenbaum"/>
        <s v="Maloof Commercial Real Estate"/>
        <s v="Filice Estate Vineyards"/>
        <s v="Salus Government Properties"/>
        <s v="B&amp;L Investments"/>
        <s v="Swanson Family"/>
        <s v="Adler Realty"/>
        <s v="HTA"/>
        <s v="Flywheel Capital"/>
        <s v="Select Capital Commercial Properties"/>
        <s v="G &amp; Y Realty Inc."/>
        <s v="Geneva C Hargroves SM LLC"/>
        <s v="Bear Cub Properties LLC"/>
        <s v="McDonald Family"/>
        <s v="Karl Corporation"/>
        <s v="Griffin Realty"/>
        <s v="Principal Global Investors"/>
        <s v="Rooker Properties"/>
        <s v="Westport Capital Partners"/>
        <s v="Elman Investors"/>
        <s v="Brandon Strahan"/>
        <s v="T. Miller Corp."/>
        <s v="Russell Co."/>
        <s v="Elmwood Capital Group"/>
        <s v="Lohn Owens"/>
        <s v="WD Schorsch"/>
        <s v="Trinet West"/>
        <s v="Davidson Kempner"/>
        <s v="Ronald Caricchio"/>
        <s v="GBR Real Esate"/>
        <s v="Sierra RE LLC"/>
        <s v="Landmark Properties"/>
        <s v="Michael Kalish"/>
        <s v="Ritter Holdings"/>
        <s v="Jeffrey Mantini"/>
        <s v="Charles Weese"/>
        <s v="PACT I LLC"/>
        <s v="Jay Kalola"/>
        <s v="Palenik Holdings LLC"/>
        <s v="James Kilpatrick"/>
        <s v="Easterly"/>
        <s v="CFC, LLC"/>
        <s v="UIRC, Urban Investment Research Corp."/>
        <s v="Central Dauphin Realty Co"/>
        <s v="Richard Gillett"/>
        <s v="Fred Smith"/>
        <s v="C2 LP"/>
        <s v="Patrick McCoy"/>
        <s v="Chad Wellhausen"/>
        <s v="Crescent Real Estate"/>
        <s v="Joel McElhannon"/>
        <s v="Calson Construction Corp."/>
        <s v="JC Investments LLC"/>
        <s v="Sturncor Investment Group"/>
        <s v="Paul Hanson"/>
        <s v="Gilah Properties LLC"/>
        <s v="Fong Family LLC"/>
        <s v="Woodard, LP"/>
        <s v="Atef Henin"/>
        <s v="Ridgecrest Realty"/>
        <s v="Melkane LLC"/>
        <s v="RMR Group"/>
        <s v="Berkeley Partners"/>
        <s v="Boyd Watterson"/>
        <s v="Soma Capital &amp; Hazelview"/>
        <s v="Behavioral Health Properties"/>
        <s v="Dunkirk Realty"/>
        <s v="Northpoint Development"/>
        <s v="Nationwide Realty Investors"/>
        <s v="Tritower Financial Group"/>
        <s v="Latter &amp; Blum"/>
        <s v="Matt Dodson"/>
        <s v="West Valley Properties"/>
        <s v="McCullough Development"/>
        <s v="Hernandez Family Trust"/>
        <s v="Leadership Circle"/>
        <s v="Angelo Gordon"/>
        <s v="Rising Realty Partners"/>
        <s v="Malcoml Sher"/>
        <s v="Brookwood Capital Partners"/>
        <s v="Allen Shackelford"/>
        <s v="Kaiserman Company"/>
        <s v="James Patrick McGill"/>
        <s v="BAF Associates"/>
        <s v="Putman Properties"/>
        <s v="Silverang Development Company"/>
        <s v="TriCity Developers"/>
        <s v="Zeiger Ten LLC"/>
        <s v="Mermelstein Development"/>
        <s v="York Family Trust"/>
        <s v="ARES LLC"/>
        <s v="Intrepid Management"/>
        <s v="Keiser Trust"/>
        <s v="Kilmainham Commercial"/>
        <s v="Scottsdale Investment Management"/>
        <s v="Albany Road"/>
        <s v="Williams Roberts"/>
        <s v="Gibson Company"/>
        <s v="Joseph Nathan Real Estate"/>
        <s v="Sanns Holdings"/>
        <s v="Steven Wells"/>
        <s v="Traeger Trust"/>
        <s v="Nevio Tontini"/>
        <s v="Prudential"/>
        <s v="MIMCO, Inc."/>
        <s v="Jersey Brunswick Partners"/>
        <s v="Seazen Capital Partners"/>
        <s v="John Traeger"/>
        <s v="William Scranage"/>
        <s v="Bryon McKimmey"/>
        <s v="Ray Fogg Corporate Properties"/>
        <s v="Kaplan Family"/>
        <s v="Burlington Real Estate"/>
        <s v="Ben Slade"/>
        <s v="Yonezawa Miller Co."/>
        <s v="Canton Corporation"/>
        <s v="Lyon Oil Co"/>
        <s v="Spirit Realty Capital"/>
        <s v="Johnson Realty"/>
        <s v="Viking Partners"/>
        <s v="Badget Housings"/>
        <s v="Lanikai Management"/>
        <s v="Jack Cole"/>
        <s v="Frenchman Land Company"/>
        <s v="WKL Investments"/>
        <s v="Daniel Weiss"/>
        <s v="Sandy Hyun"/>
        <s v="Jud Helfin"/>
        <s v="JV; Bridge &amp; DPC"/>
        <s v="Bridge Investment Group"/>
        <s v="Warren Henan"/>
        <s v="First Corporate"/>
        <s v="John Davenport"/>
        <s v="Development Company of America, LLC"/>
        <s v="Highwoods Propert"/>
        <s v="Eakin Properties"/>
        <s v="William Mackey"/>
        <s v="Elman Investors, Inc."/>
        <s v="Larry Grace"/>
        <s v="Bosk Properties"/>
        <s v="Blue Mountain Development Co."/>
        <s v="Serpico Realty, Inc."/>
        <s v="Pacific Coast Properties, LP"/>
        <s v="K&amp;K Development LLC"/>
        <s v="ICO Real Estate"/>
        <s v="Darren Oglesby"/>
        <s v="Robertson State Street"/>
        <s v="Trinet West LLC"/>
        <s v="Key Alliance LLC"/>
        <s v="JC Capital"/>
        <s v="Cobb Austell VA, LLC"/>
        <s v="Yaakov Abdelhak"/>
        <s v="IPW LLC"/>
        <s v="Bob Mabry"/>
        <s v="RM Bud Allen"/>
        <s v="Goodman Realty"/>
        <s v="Matan Companies"/>
        <s v="State"/>
        <s v="Bridge Commercial"/>
        <s v="Norm Van Wormer"/>
        <s v="Brookfield Asset Management"/>
        <s v="RMR"/>
        <s v="Jeff Harvey"/>
        <s v="Chaihaine Ventures LLC"/>
        <s v="Simon Jonson Investmetns"/>
        <s v="Donald Statz"/>
        <s v="Lewis-Pipgras, Inc."/>
        <s v="Henderson Mill Capital Partners"/>
        <s v="Margaret Bowen"/>
        <s v="Pendulum Property Partners"/>
        <s v="Uptown Rental Properties"/>
        <s v="Norm VanWormer"/>
        <s v="Daehling Familty Trust"/>
        <s v="ERS Partners"/>
        <s v="SGP"/>
        <s v="Goodier Properties"/>
        <s v="4219 Chestnut St CRCP LLC"/>
        <s v="Lets Bowl LLC"/>
        <s v="Tishman Speyer"/>
        <s v="Pioneer Partners"/>
        <s v="Marty Helgerson"/>
        <s v="MW Development"/>
        <s v="Mark Steil"/>
        <s v="SALUS"/>
        <s v="John Ho"/>
        <s v="Philip Marsh"/>
        <s v="R&amp;R Enterprises"/>
        <s v="Harbor Group Int'l"/>
        <s v="Frank Cuiffo"/>
        <s v="Scot Chism"/>
        <s v="The Brown Company"/>
        <s v="Carolyn Bergman"/>
        <s v="Roebling"/>
        <s v="Constantine Tsaconas"/>
        <s v="Parallel Capital Partners"/>
        <s v="Gary Walker"/>
        <s v="S &amp; J Development Company LLC"/>
        <s v="Transwestern Investment Group"/>
        <s v="Manack Signature Properties"/>
        <s v="Sterling Development Group, LLC"/>
        <s v="ICP LLC"/>
        <s v="Confidential - Seller"/>
        <s v="Midtown Center"/>
        <s v="Leanne Miller"/>
        <s v="Jackson Bray Trust"/>
        <s v="Farmingdale Associates"/>
        <s v="Graceada Partners"/>
        <s v="PRP Real Estate"/>
        <s v="Vine Street Group"/>
        <s v="Iconic Capital, LLC"/>
        <s v="Yusuf Partnership"/>
        <s v="Kimberly Harrison"/>
        <s v="SKS Real Estate LLC"/>
        <s v="Eddie Phelps"/>
        <s v="Underwood Company"/>
        <s v="Mark Pirtle Real Estate"/>
        <s v="Robert Finvarb"/>
        <s v="Robert D'Anjolell, Jr."/>
        <s v="Ingold Family"/>
        <s v="Evans Best, LLC"/>
        <s v="Prologis"/>
        <s v="South Hills Properties LLC"/>
        <s v="Robert Clarke"/>
        <s v="James Kohler"/>
        <s v="HCI Partners"/>
        <s v="Blount Property Investments"/>
        <s v="Brewer Capital"/>
        <s v="John F Small"/>
        <s v="Investors Brokerage, Inc."/>
        <s v="Real Capital Solutions"/>
        <s v="Realty Income Corp."/>
        <s v="The Haub Family Revocable Trust"/>
        <s v="Cecile Cao"/>
        <s v="Canton Rental Tower LLC"/>
        <s v="Richter Development"/>
        <s v="Gary Voigt"/>
        <s v="Dai Investments LLC"/>
        <s v="CHC Partners"/>
        <s v="Cowperwood Co."/>
        <s v="EAT Enterprises"/>
        <s v="MetLife Investment Management"/>
        <s v="Marbur Development Inc"/>
        <s v="Brookfield Center LLC"/>
        <s v="FTK Properties, Inc."/>
        <s v="Chamblee Business Center Associates"/>
        <s v="Robert Zibell"/>
        <s v="Dick Randall"/>
        <s v="Alan Cohn"/>
        <s v="Able Investment Services"/>
        <s v="Sppott Investments LLC"/>
        <s v="Mainscape"/>
        <s v="Bryan Wright"/>
        <s v="Area Management Corp"/>
        <s v="Bradley Bakke"/>
        <s v="Seber Associates"/>
        <s v="Edwin Tillman"/>
        <s v="John Bales"/>
        <s v="Douglas W Kim"/>
        <s v="Taurus Investment Holdings"/>
        <s v="Presidio Bay Ventures"/>
        <s v="Gardner Investment Properties LLC"/>
        <s v="AJC Enterprises LLC"/>
        <s v="Underground Computers, Inc."/>
        <s v="BC Development-Muncie, LLC"/>
        <s v="Jonathan P Meohle"/>
        <s v="SMPO"/>
        <s v="Secure World Foundation"/>
        <s v="Boyd Waterson"/>
        <s v="Kayser Real Estate Dev Lp"/>
        <s v="Quattro Development"/>
        <s v="R2 Companies"/>
        <s v="DPC Development Companies"/>
        <s v="Northbridge Realty Holdings LLC"/>
        <s v="Herman Fenstermacher"/>
        <s v="Kayser Real Estate Development LP"/>
        <s v="Eck Enterprises"/>
        <s v="JEMA"/>
        <s v="Bird of Prety Two LLC"/>
        <s v="Asset Accumulation Corporation"/>
        <s v="Gerald Kayser"/>
        <s v="Pelham Williams"/>
        <s v="Jumbo Capital Management"/>
        <s v="Newsome Glenn &amp; Nancy"/>
        <s v="Early Properties LLC"/>
        <s v="Mazur &amp; Son Construction Co"/>
        <s v="Strada Equity Group"/>
        <s v="Botticelli"/>
        <s v="Mission Critical Solutions"/>
        <s v="Fred Ingram"/>
        <s v="Illinois Properties LLC"/>
        <s v="Berry Properties"/>
        <s v="JWCW LLC"/>
        <s v="Longpoint Realty"/>
        <s v="Beverly Saidmehr"/>
        <s v="Ailani North Dixie LLC"/>
        <s v="Stephen Goldberg Company"/>
        <s v="McCuen Properties"/>
        <s v="William Ennen"/>
        <s v="The Penstar Group"/>
        <s v="Patricia Mayfield"/>
        <s v="Ocean West Capital"/>
        <s v="Rooker"/>
        <s v="Shooshan Company"/>
        <s v="RML Investments"/>
        <s v="Jack Finch"/>
        <s v="Bernard Monderer"/>
        <s v="Capital Commercial Investments, Inc."/>
        <s v="Taurus Investment Holdings, LLC"/>
        <s v="LPIW LLC"/>
        <s v="Gardner-Tanenbaum"/>
        <s v="Rockford Development"/>
        <s v="Chandler Real Estate"/>
        <s v="Anthony Richardson"/>
        <s v="Travis Kiefer"/>
        <s v="Finmarc Management "/>
        <s v="McAllen Affiliates LTD | Alamo Systems Industries | RGV Properties"/>
        <s v="PRP LLC"/>
        <s v="Huber Commercial, Inc"/>
        <s v="Joseph and Deborah Wood"/>
        <s v="Premier Office Complex, LLC"/>
        <s v="Nathan Head"/>
        <s v="Kapourales Properties"/>
        <s v="Bill Neff"/>
        <s v="B&amp;L Leasing"/>
        <s v="James J. Keefe"/>
        <s v="Timoth Peach"/>
        <s v="Timothy Peach"/>
        <s v="Harry Hollins Trust"/>
        <s v="The Baltic Group"/>
        <s v="Wilson"/>
        <s v="Niles Investment Corp."/>
        <s v="Vuncannon Properties"/>
        <s v="Allen Schnaser"/>
        <s v="Family Properties LLC"/>
        <s v="Bayview-Compasspoint Ventures"/>
        <s v="Saipan Investment Group"/>
        <s v="LG2 Development"/>
        <s v="T R Properties, Inc "/>
        <s v="IDS Real Estate"/>
        <s v="Luke Perrotti"/>
        <s v="John Coscarat"/>
        <s v="Primera Partners"/>
        <s v="Blayne Curtis"/>
        <s v="KPI Commercial"/>
        <s v="Brown &amp; Weiner Partnership"/>
        <s v="Brody Leo"/>
        <s v="Roland Zahrenbach"/>
        <s v="Laterre Partners"/>
        <s v="Reid Post Office II LLC"/>
        <s v="Marcus Investments"/>
        <s v="Howard H Reid"/>
        <s v="Lee Mudrick"/>
        <s v="Lexington"/>
        <s v="PS Business Parks"/>
        <s v="Baladanis"/>
        <s v="Four Waterfront Investments, LLC"/>
        <s v="Jencer Holdings"/>
        <s v="Victor Rauch"/>
        <s v="Tedeschi-Mabry Trust"/>
        <s v="Calidus Holdings"/>
        <s v="Endries International"/>
        <s v="John Stephens"/>
        <s v="Isaac Organization"/>
        <s v="JS Capital Management"/>
        <s v="CoreCivic"/>
        <s v="William Phelps"/>
        <s v="True North Management"/>
        <s v="Orton Development"/>
        <s v="Kansas City AWC Joint Venture LLC"/>
        <s v="Jack Berg"/>
        <s v="Timothy Nally"/>
        <s v="Levitt Properties"/>
        <s v="Gregory Market"/>
        <s v="Wendy Williams"/>
        <s v="JGB Smith Properties"/>
        <s v="VEREIT"/>
        <s v="Dusty Morris"/>
        <s v="Stutes Property Group"/>
        <s v="Daniel Schmaltz"/>
        <s v="Williams Trust"/>
        <s v="St. Andrews Building Corp."/>
        <s v="Yuriko Suzuki"/>
        <s v="Xenia Management"/>
        <s v="ASB Capital Management"/>
        <s v="MPT Holdings"/>
        <s v="Huber Commercial"/>
        <s v="Elysee Management Group"/>
        <s v="James Mulloy"/>
        <s v="Oregon Management Group"/>
        <s v="Phyllis Tabaka"/>
        <s v="Scot Patterson"/>
        <s v="Carla A Feigenbaum"/>
        <s v="Carla Feigenbaum"/>
        <s v="Carol Flaherty"/>
        <s v="John Donaldson"/>
        <s v="Whitehead"/>
        <s v="Michael Cabak"/>
        <s v="Redwood Commercial RE Services"/>
        <s v="Terry Borger"/>
        <s v="Baker, Alfred E."/>
        <s v="Garett Backman"/>
        <s v="Jon Snyder"/>
        <s v="Monahan properties"/>
        <s v="Sell-Well Holdings, Inc."/>
        <s v="Terry Patrick"/>
        <s v="Cornerstone Properties"/>
        <s v="Consilium"/>
        <s v="Brass Leftout LLC"/>
        <s v="Tom Conway"/>
        <s v="JB Harrison"/>
        <s v="Amador Trust"/>
        <s v="Hackman Capital Partners"/>
        <s v="Partners Capital, Inc."/>
        <s v="Sheamus Michols LLC"/>
        <s v="Envestrek"/>
        <s v="Charles Company"/>
        <s v="William Sheely"/>
        <s v="The Bluestone Group"/>
        <s v="Lake Orlando Properties"/>
        <s v="Downing Construction Co."/>
        <s v="City Office REIT"/>
        <s v="Tomorrow IX Broadmoor"/>
        <s v="Twenty Lake Management LLC"/>
        <s v="Peter Vicari"/>
        <s v="Al Chesson"/>
        <s v="Welsh Properties"/>
        <s v="Steven Barrett/Herb Crumsick"/>
        <s v="56 Black Rock LLC"/>
        <s v="UIRC"/>
        <s v="Strange Fam"/>
        <s v="Cottle Holdings LLC"/>
        <s v="Ritchie Curbow Construction Co."/>
        <s v="Knowlton"/>
        <s v="Roxann Slater"/>
        <s v="Daniel Bradley"/>
        <s v="Bruce Ginsberg"/>
        <s v="HHH Investment Company"/>
        <s v="Jack Burbridge"/>
        <s v="Susanne Iann"/>
        <s v="Buchanan Parterns"/>
        <s v="Ayzar Woodland"/>
        <s v="Nimocks Oil CO"/>
        <s v="Ulrich Rotermund"/>
        <s v="Shrader Investments"/>
        <s v="Preferred Equities"/>
        <s v="FD Stonewater"/>
        <s v="Valli Kodali"/>
        <s v="ReArch Co."/>
        <s v="Fadi Matar"/>
        <s v="CWGJW LLC"/>
        <s v="Iain Johnstone"/>
        <s v="Carr Gottstein"/>
        <s v="Salon Pierre, Inc."/>
        <s v="Nafshy Realty"/>
        <s v="Archway Development"/>
        <s v="Executive Branson"/>
        <s v="Operating Engineer Fund"/>
        <s v="Fulcrum Capital Partners"/>
        <s v="Decio Oliveira"/>
        <s v="Timber Ridge Real Estate"/>
        <s v="Edward Sullivan"/>
        <s v="MGP Real Estate"/>
        <s v="Dar Ents LLC"/>
        <s v="Partners in Faith"/>
        <s v="Nicholas Toronto"/>
        <s v="JV; Rockwod Capital &amp; Lincoln Property"/>
        <s v="Janet Tripp"/>
        <s v="Marfair JV"/>
        <s v="Michael Development"/>
        <s v="SBC Archway"/>
        <s v="Morgan Investment LLC"/>
        <s v="John Jays"/>
        <s v="Hishbach Partners"/>
        <s v="Theodore Kurz"/>
        <s v="Marcus Adams Capital LLC"/>
        <s v="Robinson Development Group"/>
        <s v="Hurd Real Estate"/>
        <s v="Carrol Howard"/>
        <s v="Panattoni"/>
        <s v="Kevin Shields"/>
        <s v="JV; Susquehanna &amp; Greenwich Land"/>
        <s v="125 Glenridge Ave, LLC "/>
        <s v="LBA Properties"/>
        <s v="Princeton Partners"/>
        <s v="Dedden Development LTD"/>
        <s v="Friedphil Realty"/>
        <s v="George Woodruff"/>
        <s v="Bob Management Co"/>
        <s v="Wake Robin Realty"/>
        <s v="Marilyn Beam"/>
        <s v="Contennential"/>
        <s v="Northwestern Mutual"/>
        <s v="Otis Tugwell"/>
        <s v="ROM Properties"/>
        <s v="Day &amp; Elizabeth LLC"/>
        <s v="Doug Bradley"/>
        <s v="Ken Jolley"/>
        <s v="P&amp;G Development Company LLC"/>
        <s v="CCP Industrial "/>
        <s v="Hokanson Companies"/>
        <s v="Scott Beard"/>
        <s v="Green Realty Management"/>
        <s v="M &amp; M Plaza Enterprises LLC"/>
        <s v="RJ Block Properties, LLC"/>
        <s v="Christopher Schmidt"/>
        <s v="MJR Development"/>
        <s v="Washington Alliance Capital"/>
        <s v="Andina Holdings"/>
        <s v="CDJD"/>
        <s v="Sunshine Growers Nursery"/>
        <s v="The Kornblatt Co."/>
        <s v="Capital Partners Dev Co"/>
        <s v="Stafford Management"/>
        <s v="Karen Stone"/>
        <s v="John Hammons"/>
        <s v="John Helgerson"/>
        <s v="Hyundai Securities"/>
        <s v="Castle USA, LLC"/>
        <s v="MACO Companies"/>
        <s v="Mark Lansing"/>
        <s v="James K. Maddox"/>
        <s v="Petrie Richardson Ventures"/>
        <s v="RJ Properties"/>
        <s v="DJM Capital"/>
        <s v="Margetih"/>
        <s v="CW Capital Management"/>
        <s v="Smalley"/>
        <s v="Layman Ingram"/>
        <s v="Tracy Pulliam"/>
        <s v="Mountain RE Group"/>
        <s v="Bexar Capital, LLC"/>
        <s v="Hughes Roller Properties LLC"/>
        <s v="Marc McIntyre"/>
        <s v="Jim Young"/>
        <s v="DSC Capital"/>
        <s v="Bettis C Rainsford Jr"/>
        <s v="Whitehall Investors"/>
        <s v="Glen Berwick"/>
        <s v="DIG TPW, LLC"/>
        <s v="Philip Brown"/>
        <s v="Elvinger, Victor"/>
        <s v="Robert Monfore"/>
        <s v="Gary Green"/>
        <s v="Douglas C Swinger Revocable Trust"/>
        <s v="Olcam Corp"/>
        <s v="Wilfred &amp; Sandra Daggett"/>
        <s v="Byron Webb"/>
        <s v="Ashland 59th, LLC"/>
        <s v="MNOP, Inc."/>
        <s v="Urban Commons"/>
        <s v="Jim Patrick"/>
        <s v="Woodbranch"/>
        <s v="Vincent Hoover"/>
        <s v="1 Palm Investmetns"/>
        <s v="The Stanton Group"/>
        <s v="Jesse Roberts"/>
        <s v="Michael Collier"/>
        <s v="RREEF Funds"/>
        <s v="Shuford Development"/>
        <s v="Merit Properties"/>
        <s v="DHB Properties"/>
        <s v="KeyBank"/>
        <s v="Woodworth Capital"/>
        <s v="Sterling Properties"/>
        <s v="Mildred O Kuwana Living Trust"/>
        <s v="L&amp;M Auto"/>
        <s v="Greenville Properties"/>
        <s v="Positive Invesments"/>
        <s v="The Arden Companies"/>
        <s v="Keenan Development"/>
        <s v="CWCapital"/>
        <s v="Don Padgett"/>
        <s v="LH Development"/>
        <s v="Wolfe Partners"/>
        <s v="Holladay Properties"/>
        <s v="TCT Construction"/>
        <s v="Ormesher Enterprises LLC"/>
        <s v="Hamstra Group"/>
        <s v="The Trasher Group"/>
        <s v="Tower Holdings, LLC"/>
        <s v="Woodside Capital"/>
        <s v="Rohit Kumar"/>
        <s v="Devco of America"/>
        <s v="GNL Properies"/>
        <s v="Benjamin LaParne"/>
        <s v="Courthouse Square LLP"/>
        <s v="Golden Eagle Development"/>
        <s v="Jeff Harrison"/>
        <s v="LS Capital"/>
        <s v="Mid-State Investments, Inc."/>
        <s v="Ellington Management Group"/>
        <s v="Jackie Traynor"/>
        <s v="Michael Stutes"/>
        <s v="Barket Realty"/>
        <s v="Viking Properties"/>
        <s v="Imperial Development"/>
        <s v="Parkaway"/>
        <s v="Armand Smith"/>
        <s v="Cowperwood "/>
        <s v="Sunil Konaki"/>
        <s v="Colony Capital"/>
        <s v="C.S. Taylor Burke"/>
        <s v="Stanley Leavitt"/>
        <s v="Roe &amp; Roe, Inc."/>
        <s v="Presidio Property Trust"/>
        <s v="William Francis"/>
        <s v="Bruce MacDonald"/>
        <s v="JBG Companies"/>
        <s v="Ashbaugh Construction"/>
        <s v="M/E Properties, LLC"/>
        <s v="Laura Cook"/>
        <s v="Boston Properties"/>
        <s v="Birch Properties"/>
        <s v="MacFarlan Capital"/>
        <s v="Cypress West Investments"/>
        <s v="Elevate Commercial"/>
        <s v="Solari"/>
        <s v="Oregon Pacific Investment &amp; Dev Co"/>
        <s v="GUR Nordhoff"/>
        <s v="Fairway Investments"/>
        <s v="Rick Wessels"/>
        <s v="Michael Troy"/>
        <s v="RTSP Properties LLC"/>
        <s v="Robert Wilson"/>
        <s v="Carlos Villareal"/>
        <s v="Roers"/>
        <s v="Skybird Properties"/>
        <s v="Kauri Investments"/>
        <s v="Utah State Retirement Services"/>
        <s v="Burnst Family"/>
        <s v="Hudson Advisors"/>
        <s v="JV"/>
        <s v="600 Turner Street LLC"/>
        <s v="TA Realty"/>
        <s v="Penn Real Estate Group"/>
        <s v="William Riley"/>
        <s v="Accredo Therapeutics"/>
        <s v="Insight Financial"/>
        <s v="Eaton Vance"/>
        <s v="REO"/>
        <s v="Caspian Group LLC"/>
        <s v="Michael Rice"/>
        <s v="James Sears"/>
        <s v="Burchanan Street Partners"/>
        <s v="Joe Kopszynski"/>
        <s v="Andrew Eliopulos"/>
        <s v="Steel Family Trust"/>
        <s v="Mowad Family Rentals"/>
        <s v="Clarion Partners"/>
        <s v="Brady Sullivan"/>
        <s v="Sophia Juang"/>
        <s v="Nasser Arbab"/>
        <s v="Vanbarton Group"/>
        <s v="Burgreen"/>
        <s v="Janet Foster"/>
        <s v="Hudson Companies"/>
        <s v="Gilberto Gamboa"/>
        <s v="James Nicolais"/>
        <s v="The JBG Companies"/>
        <s v="R&amp;K Investments"/>
        <s v="Ken Kelter"/>
        <s v="Stockbridge"/>
        <s v="Lazer Realty"/>
        <s v="Farallon Capital"/>
        <s v="Founders Properties"/>
        <s v="Rainforest Trust"/>
        <s v="Secured Partners"/>
        <s v="Fortress"/>
        <s v="BH Properties"/>
        <s v="Capital Crossing"/>
        <s v="Steven Olson"/>
        <s v="Robert Chambers"/>
        <s v="Cambridge Property Group"/>
        <s v="Zion Zone"/>
        <s v="Mann Development, LLC"/>
        <s v="Hilton Realty"/>
        <s v="Dennis Ferztler"/>
        <s v="AC Taylor"/>
        <s v="DG PB"/>
        <s v="Normandy"/>
        <s v="Walton Street"/>
        <s v="Patricia Mehosky"/>
        <s v="Riverchase Co."/>
        <s v="Richard Hafner"/>
        <s v="Carin McKay"/>
        <s v="SKM Development"/>
        <s v="The Boyer Group"/>
        <s v="DES"/>
        <s v="Hoty Enterprises"/>
        <s v="The Dilweg Companies"/>
        <s v="Duke Realty"/>
        <s v="Carol Parker"/>
        <s v="Roys Pointe"/>
        <s v="Postal Building &amp; Leasing"/>
        <s v="Jack Biondo"/>
        <s v="CMC Venture"/>
        <s v="Ronald Romano"/>
        <s v="Robert Burke Trust"/>
        <s v="CORFAC"/>
        <s v="JSM Living"/>
        <s v="Varick Realty"/>
        <s v="Johnathan Rose Companies"/>
        <s v="Paul Kelly"/>
        <s v="Menashe Properties"/>
        <s v="Developer"/>
        <s v="Frank Pascoe"/>
        <s v="CIM Group"/>
        <s v="City of Nashville"/>
        <s v="ARTIS"/>
        <s v="Alterra"/>
        <s v="Wayne Culiver"/>
        <s v="Vijay Narula"/>
        <s v="CapRoc"/>
        <s v="SAR Enterprises"/>
        <s v="Darcom Construction, Inc."/>
        <s v="Robert Moreno"/>
        <s v="Moshe Florans"/>
        <s v="ZAS LLC"/>
        <s v="IRA"/>
        <s v="William Scheel"/>
        <s v="Lyons Mane LP"/>
        <s v="Carr Properties"/>
        <s v="Algin Management"/>
        <s v="M&amp;H Investments"/>
        <s v="Westbrook/Embarcadero"/>
        <s v="Horton Koessler"/>
        <s v="Sally Lee"/>
        <s v="Christopher Bennitt"/>
        <s v="Blackstone Group"/>
        <s v="Dan Caputo Company"/>
        <s v="CV Buffalo LLC"/>
        <s v="Burns Brothers, Inc"/>
        <s v="Regents of UCA"/>
        <s v="DRA Advisors"/>
        <s v="Titan Towers"/>
        <s v="Core Equity Partners"/>
        <s v="Pensco Trust"/>
        <s v="Rubicon US REIT"/>
        <s v="Ray Miller"/>
        <s v="LaClair GC"/>
        <s v="Marr Development"/>
        <s v="Flexi USA"/>
        <s v="Leeland Enterprises"/>
        <s v="Herb Diede"/>
        <s v="Joyce Street"/>
        <s v="Wayne Tipps"/>
        <s v="Clifton Jones"/>
        <s v="Steve Hutton"/>
        <s v="Adrian Stern"/>
        <s v="Hillsborough SC"/>
        <s v="Colby Lebsack"/>
        <s v="Karlin"/>
        <s v="Star City"/>
        <s v="CWCapital/William Howell"/>
        <s v="Phil Phillips"/>
        <s v="Bridgeton Holdings"/>
        <s v="JDL Castle Corp"/>
        <s v="Frall Developers"/>
        <s v="Nationwide Postal Management"/>
        <s v="Joe Holyfield"/>
        <s v="Jim Kelley"/>
        <s v="1405 Vegas Valley"/>
        <s v="Louise Reeves Trust"/>
        <s v="Samuel Goldstein"/>
        <s v="George Snelling"/>
        <s v="Epoch Group"/>
        <s v="Fran Shelton"/>
        <s v="Lodging Opporutnity Fund"/>
        <s v="Affaitati Construction"/>
        <s v="Phil Oberti"/>
        <s v="NDPO, LLC"/>
        <s v="Erich Haas"/>
        <s v="Ackerberg Group"/>
        <s v="Armstrong Properties"/>
        <s v="Fred Fleming"/>
        <s v="Ibrahim Salama"/>
        <s v="Randal Leimer"/>
        <s v="90 North Group"/>
        <s v="Marvin Holdings"/>
        <s v="Piedmont Office Realty Trust"/>
        <s v="John Nissley"/>
        <s v="Tower Realty"/>
        <s v="Polar Holdings"/>
        <s v="Adam Miles"/>
        <s v="Summerlon Properties"/>
        <s v="McLellan Properties"/>
        <s v="Mark Brezenski"/>
        <s v="Ellis Partners"/>
        <s v="Haith Cos."/>
        <s v="Jaco Management"/>
        <s v="Wheelhouse Commercial"/>
        <s v="Michael Earl"/>
        <s v="Transpacific Development Co. "/>
        <s v="Greene Properties"/>
        <s v="AHC Funds"/>
        <s v="Cohen Equities"/>
        <s v="Fiscella"/>
        <s v="Thomas &amp; Mack"/>
        <s v="Gerald Lyles"/>
        <s v="Cronus"/>
        <s v="JFK Caccokeek"/>
        <s v="Phillip Thieda"/>
        <s v="Colchester Land Co."/>
        <s v="Gary Mandlebaum"/>
        <s v="Donald Cox"/>
        <s v="Harry Sperber"/>
        <s v="First Potomac Realty Trust"/>
        <s v="Susan Goering"/>
        <s v="RMG Midland"/>
        <s v="Rubald Associates"/>
        <s v="Albert Nigri"/>
        <s v="Summer Trejo"/>
        <s v="Wise Developments"/>
        <s v="West Coast Capital Partners"/>
        <s v="Bacone College Development Corp."/>
        <s v="Ron Melton"/>
        <s v="Virtu Investments"/>
        <s v="Kennedy Commercial"/>
        <s v="Cano &amp; Co."/>
        <s v="Mark Rubin"/>
        <s v="Preston Zucker"/>
        <s v="Muskie Properties"/>
        <s v="JBG Smith"/>
        <s v="Terry Tsafantinos"/>
        <s v="Corporate Realty"/>
        <s v="Eliason Holding"/>
        <s v="AREP"/>
        <s v="Acquest Development"/>
        <s v="Parr Financial"/>
        <s v="Pennmark Management Company"/>
        <s v="Martin Wasserstein"/>
        <s v="Tibeir REIT"/>
        <s v="Juliee Smith"/>
        <s v="Leverick &amp; Musselman"/>
        <s v="South Park Ventures"/>
        <s v="Genesis Financial Group, Inc."/>
        <s v="Hemingway Development"/>
        <s v="HL Investments"/>
        <s v="Paragon Financial"/>
        <s v="The 601W Companies"/>
        <s v="Joseph Sarafa"/>
        <s v="Paul Oddo"/>
        <s v="Nieman Trust"/>
        <s v="Gulfstream Lomas LLC"/>
        <s v="Condyne Capital"/>
        <s v="Echo Street"/>
        <s v="David Small"/>
        <s v="Neal Eberlin"/>
        <s v="Saunder Property"/>
        <s v="Clover Management"/>
        <s v="Ladder Capital"/>
        <s v="JV; Ladder &amp; Sagic"/>
        <s v="Starwood Capital"/>
        <s v="Clarence Gagner"/>
        <s v="Starwberry Enterprises"/>
        <s v="William Zimmerman"/>
        <s v="Herrero Properties"/>
        <s v="Capital Realty and Investments"/>
        <s v="Rancho Pacific Development"/>
        <s v="NorthStar"/>
        <s v="HPC"/>
        <s v="Austin Williams"/>
        <s v="Shapland Realty"/>
        <s v="Skarsgard Firm"/>
        <s v="UrbanAmerica, LP"/>
        <s v="Vanir Development"/>
        <s v="Centurion Pacific"/>
        <s v="NavPoint Real Estate"/>
        <s v="Principal"/>
        <s v="Jack York"/>
        <s v="Buzzone"/>
        <s v="C-III Asset Management"/>
        <s v="Nico Development"/>
        <s v="Stoneforge Advisors"/>
        <s v="David Blumhardt"/>
        <s v="Gemini Rosemont"/>
        <s v="Balogh Family"/>
        <s v="Summit Smith Development"/>
        <s v="Vecchaiarello, Inc."/>
        <s v="Aegeon Grain &amp; Cattle"/>
        <s v="BRASS"/>
        <s v="Sweeney Street, LLC"/>
        <s v="Hoover Property Group"/>
        <s v="11753 West Florissant Avenue"/>
        <s v="CW Financial"/>
        <s v="Sturm Group"/>
        <s v="Klabzuba"/>
        <s v="Starwood Capital Group"/>
        <s v="Foulger-Pratt Companies"/>
        <s v="West Riverside, LLP"/>
        <s v="RAS, LLC"/>
        <s v="Jeffrey Derksen"/>
        <s v="John McNeil"/>
        <s v="Three Pines One, LLC"/>
        <s v="M&amp;J Enos Family LP"/>
        <s v="Artemis Realty"/>
        <s v="Curtis Investments"/>
        <s v="General Capital "/>
        <s v="MIMCO"/>
        <s v="Martha Spencer"/>
        <s v="Jana Collins"/>
        <s v="John Hancock Real Estate"/>
        <s v="Neff Enterprises"/>
        <s v="Hielen Real Estate"/>
        <s v="Heitman"/>
        <s v="Saban Capital"/>
        <s v="Keil Companies"/>
        <s v="Charles Hester"/>
        <s v="Thomas Wartman"/>
        <s v="Michael Martel"/>
        <s v="Commercial &amp; industrial Services"/>
        <s v="JP Morgan"/>
        <s v="Clifford Combs"/>
        <s v="Fairbridge Properties, LLC"/>
        <s v="Starpoint Properties LLC"/>
        <s v="CBRE Global Investors"/>
        <s v="Marc Barmazel"/>
        <s v="Goff Capital Partners"/>
        <s v="Ray Poliquin"/>
        <s v="Fred Himovitz"/>
        <s v="Watson &amp; Downs"/>
        <s v="Philip Oates"/>
        <s v="HokMeanHeng, Inc."/>
        <s v="GSA Associates"/>
        <s v="Fir Tree Partners"/>
        <s v="Brent Dezember"/>
        <s v="Angelo Property"/>
        <s v="Suchen Chang"/>
        <s v="Goldenberg &amp; Associates"/>
        <s v="Frances Norell"/>
        <s v="James Maddox"/>
        <s v="Arcis Investments"/>
        <s v="CSA, LLC"/>
        <s v="Xebec Realty Partners"/>
        <s v="Opportunity Sky Capital"/>
        <s v="Rhodes Properties &amp; Development, LLC"/>
        <s v="Lisciotti Development"/>
        <s v="Anne Schmidt"/>
        <s v="Briggs Development Corp."/>
        <s v="Honeck Properties"/>
        <s v="Marcel Wiznia"/>
        <s v="Univest Development Company"/>
        <s v="LBA Realty"/>
        <s v="Franklin Meadows Properties/Donald Saylor"/>
        <s v="McNellis Partners"/>
        <s v="Petro Point Office"/>
        <s v="Aiello Development"/>
        <s v="Don Wharton"/>
        <s v="WP Carey"/>
        <s v="Gustafson Trust"/>
        <s v="O/Brien Interests"/>
        <s v="JRA Development"/>
        <s v="Commonwealth Dubois"/>
        <s v="GFI Capital Resources"/>
        <s v="Rhett Taylor"/>
        <s v="Golden Sands GC "/>
        <s v="FRM Associates, LLC"/>
        <s v="Curci Coppell"/>
        <s v="Robert Erlich"/>
        <s v="Siegrist Family "/>
        <s v="Spaulding &amp; Slye"/>
        <s v="Slosburg Companies"/>
        <s v="Battle Group"/>
        <s v="Mark Morgan"/>
        <s v="Walnut Street Executive Partnership"/>
        <s v="Greenway Properties"/>
        <s v="The Oaks, LLC"/>
        <s v="Charles Dunn"/>
        <s v="Huckleberry Bay Co."/>
        <s v="TerraCap Management"/>
        <s v="Washington REIT"/>
        <s v="AMLM LLC"/>
        <s v="Cognition LLC"/>
        <s v="Broyco Properties"/>
        <s v="Kendrick Corp."/>
        <s v="Kay McCarty"/>
        <s v="Scott Family Trust"/>
        <s v="OHA Investments LLC"/>
        <s v="State Street Global"/>
        <s v="Trammel Crow"/>
        <s v="ROK Acquisitions"/>
        <s v="Allied Realty"/>
        <s v="United Land Corporation of America"/>
        <s v="Arthur Weiss"/>
        <s v="Five Cranes LLC"/>
        <s v="Brookfield Office Property Trust"/>
        <s v="Five Mile Capital Partners"/>
        <s v="John Neal"/>
        <s v="WM Holdings, LLC"/>
        <s v="Danosos Francia"/>
        <s v="Charles Beckerman"/>
        <s v="LaSalle Investment Management"/>
        <s v="General Realty &amp; Building Co."/>
        <s v="Melvin Mark Companies"/>
        <s v="Campus Real Estate Solutions"/>
        <s v="Platnium Properties"/>
        <s v="AION Partners"/>
        <s v="CRI, Inc."/>
        <s v="Adleta Construction"/>
        <s v="SDA, Inc."/>
        <s v="Contrarian Capital"/>
        <s v="Brickman"/>
        <s v="Global Logisitic Properties"/>
        <s v="SMARTCAP Group"/>
        <s v="Roy Nierman"/>
        <s v="P D Property Management LLC"/>
        <s v="CPS Energey of San Antonio"/>
        <s v="Property Revival Realty"/>
        <s v="John Walton"/>
        <s v="Kevin Louie"/>
        <s v="Broadreach Capital Partners"/>
        <s v="Gate Properties"/>
        <s v="Wade Doughtery"/>
        <s v="Wilfred Sandra"/>
        <s v="Terms Properties, LLC"/>
        <s v="Ambrose Property Group"/>
        <s v="Scott Amerman"/>
        <s v="Larson Family"/>
        <s v="Taft Family"/>
        <s v="Falling Creek Investments"/>
        <s v="MMI Capital"/>
        <s v="Edwards Realty Co"/>
        <s v="Robert Vanzant"/>
        <s v="Susan Mendell"/>
        <s v="Jeff Frankel"/>
        <s v="Joseph Harris"/>
        <s v="Greg Cory"/>
        <s v="Janee Gerhard"/>
        <s v="Pike Peak"/>
        <s v="Epsom Associates"/>
        <s v="Polinger"/>
        <s v="Michael Fishman"/>
        <s v="Athene Annuity"/>
        <s v="Creedmor"/>
        <s v="Pamela Johnson"/>
        <s v="Joshua Podell"/>
        <s v="iStar Financial"/>
        <s v="PEA Enterprises"/>
        <s v="Armada Hoffler Properties"/>
        <s v="Exeter"/>
        <s v="AFL-CIO Building Investment Trust"/>
        <s v="The Walsh Group"/>
        <s v="AVS Partners"/>
        <s v="Medical Office Buildings of Arkansas LLC"/>
        <s v="Daniel Smith"/>
        <s v="J&amp;J Enterprises Property LLC"/>
        <s v="George Greer"/>
        <s v="Johnson Development"/>
        <s v="Brock Consulting"/>
        <s v="3172 CVRC Inc"/>
        <s v="Cousins Properties"/>
        <s v="Sun 1031"/>
        <s v="Merced Capital"/>
        <s v="Rob Fallow"/>
        <s v="Farrar Family"/>
        <s v="JOSS Realty"/>
        <s v="AWD II, Ltd."/>
        <s v="Ronald Stone"/>
        <s v="Penguin Industries, Inc."/>
        <s v="Lawrence Office Center, Inc."/>
        <s v="Regan Development"/>
        <s v="COF Realty"/>
        <s v="Richard Turner"/>
        <s v="Jeremiah Ciancia"/>
        <s v="JO Walker Plaza"/>
        <s v="Jonathan Novak"/>
        <s v="Blackhawk Dev"/>
        <s v="ViaWest Properties"/>
        <s v="Gary Williams"/>
        <s v="The SMARTCAP Group"/>
        <s v="Rio Claro, LLC"/>
        <s v="Colony Northstar"/>
        <s v="Alpha Development"/>
        <s v="SS Biddle"/>
        <s v="Pizzagalli"/>
        <s v="South Central Oil Co. Inc."/>
        <s v="Elenora Zocco"/>
        <s v="Bank Owned"/>
        <s v="EY Ventures"/>
        <s v="USAA Real Estate"/>
        <s v="Degalopa Texas"/>
        <s v="Equity Development"/>
        <s v="Eagle Canon"/>
        <s v="AREP JV Investcorp"/>
        <s v="Miller-Valentine"/>
        <s v="Vantage Point"/>
        <s v="Beacon Capital"/>
        <s v="Gramercy"/>
        <s v="DHD Ventures Management"/>
        <s v="Sve d Hansen"/>
        <s v="Kenrick Ventures"/>
        <s v="Clark Enterprises"/>
        <s v="Equity Resource Investment"/>
        <s v="McKinley Building Corp."/>
        <s v="Cano Famco"/>
        <s v="Western Devcon, Inc."/>
        <s v="BMD Management"/>
        <s v="Mast Partners"/>
        <s v="Cannery Distric Partners"/>
        <s v="Atapco Properties"/>
        <s v="Realty Income"/>
        <s v="Daniel Curtin"/>
        <s v="Ryan Family"/>
        <s v="Kennedy Wilson Properties"/>
        <s v="Dominion Group"/>
        <s v="Tully Postal Associates"/>
        <s v="Berkley Land"/>
        <s v="Lormax Stern Dev"/>
        <s v="David Cutler"/>
        <s v="Dickey-Sylvester Enterprises"/>
        <s v="ACW American"/>
        <s v="Pennsylvania Venture Capital"/>
        <s v="Meridian Group"/>
        <s v="Allen H. Giddens"/>
        <s v="Prospect Park Investment Partners"/>
        <s v="Latitude, Inc."/>
        <s v="Wesleyan Corp."/>
        <s v="Geoffrey Edmunds"/>
        <s v="Blue Ocean"/>
        <s v="Associates Park Properties LLC"/>
        <s v="Fannie Mae"/>
        <s v="Oaktree"/>
        <s v="Alcion Ventures"/>
        <s v="Cullinan Properties"/>
        <s v="LACERA"/>
        <s v="Pacolet Milliken"/>
        <s v="John Lott"/>
        <s v="The JGB Companies"/>
        <s v="William Hershberger"/>
        <s v="Dave Holliday Rental"/>
        <s v="Mtn Family LP"/>
        <s v="Ernest Schofield"/>
        <s v="VMR Investment LLC"/>
        <s v="Fishman Commerical"/>
        <s v="Salisburgy Properties"/>
        <s v="Buchanan Street"/>
        <s v="K1 LLC"/>
        <s v="Barry Henderson"/>
        <s v="Broad Street Realty"/>
        <s v="Raymond Zimmerman"/>
        <s v="Lionstone Investments"/>
        <s v="Rockefeller"/>
        <s v="Mark IV Capital"/>
        <s v="Gary Van Acker"/>
        <s v="Impact Label Corp"/>
        <s v="Ten High LLC"/>
        <s v="SKS Investments"/>
        <s v="Convergetn"/>
        <s v="Mainstreet Development"/>
        <s v="JDO"/>
        <s v="Mar Ventures"/>
        <s v="Foster Saad &amp; Co"/>
        <s v="Blackmon Companies"/>
        <s v="Onward Investors"/>
        <s v="Eland Energy, Inc."/>
        <s v="Al Adelson"/>
        <s v="Batzer Construction"/>
        <s v="LNR Partners"/>
        <s v="Columbus Healthcare Resources, Inc."/>
        <s v="Jerry Hall"/>
        <s v="Keppel One"/>
        <s v="Kaufman Jacobs"/>
        <s v="Bontrager"/>
        <s v="Namdar Realty"/>
        <s v="Milford Road"/>
        <s v="Champlain Real Esate Holdings Associates"/>
        <s v="Kessinger Hunter"/>
        <s v="BK Equities"/>
        <s v="HP Medical"/>
        <s v="Anderson Investments"/>
        <s v="Standridge &amp; Jackson"/>
        <s v="Brian Famer"/>
        <s v="The Hutton Company"/>
        <s v="Anne Wilson"/>
        <s v="Bellman Properties"/>
        <s v="Giammarco Properties"/>
        <s v="S&amp;N Realty"/>
        <s v="Lokre Companies"/>
        <s v="Roger Stevenson"/>
        <s v="Noodle Cos"/>
        <s v="Mack-Cali Realty"/>
        <s v="Jordan Territories Enterprise"/>
        <s v="Wells Fargo"/>
        <s v="Vaughn D Swanson"/>
        <s v="Celia McCormack"/>
        <s v="Noland Road Properties"/>
        <s v="Federal Partners"/>
        <s v="University Place Associates"/>
        <s v="Don Garcia"/>
        <s v="Beech Properties"/>
        <s v="GW Green Properties"/>
        <s v="William Muller"/>
        <s v="TYL Energy Ltd"/>
        <s v="Burk Collins &amp; Co., Ltd."/>
        <s v="Clifford Weiss"/>
        <s v="TEM Development"/>
        <s v="Mark Attarha"/>
        <s v="Applegate &amp; Co"/>
        <s v="Asset Management Consultants"/>
        <s v="Pelican Properties"/>
        <s v="Highwoods Properties"/>
        <s v="AEW Capita"/>
        <s v="Clay Corman"/>
        <s v="Gerald Martens"/>
        <s v="United Bank, Inc."/>
        <s v="Graham &amp; Co"/>
        <s v="B&amp;B Realty Investments"/>
        <s v="GE Commercial Finance"/>
        <s v="Brent White"/>
        <s v="Artesia Development"/>
        <s v="Divco West Services"/>
        <s v="Doug Basset"/>
        <s v="Brandywine Realty Trust"/>
        <s v="The Hampshire Cos."/>
        <s v="Horowitz"/>
        <s v="JV; USAA &amp; Ivanhoe Cambridge"/>
        <s v="USPS North Bonneville LLC"/>
        <s v="Nexus Properties"/>
        <s v="Buzz Oates"/>
        <s v="Peter Lowes"/>
        <s v="Ninety Eight Street Property, Inc."/>
        <s v="Horne Development"/>
        <s v="Affinity Bioreagents, Inc."/>
        <s v="Amstar"/>
        <s v="Diamond Ventures"/>
        <s v="Keith Barket"/>
        <s v="TR Eriksen"/>
        <s v="JV; Kaufman Jacobs &amp; Starwood"/>
        <s v="Gregg Pounders"/>
        <s v="Glenn Woolsey"/>
        <s v="Torchlight Investors"/>
        <s v="WW Cole Group"/>
        <s v="Friedphil Realty Corp."/>
        <s v="NextGen"/>
        <s v="Rubicon REIT"/>
        <s v="JV; AIG &amp; Dinerstein"/>
        <s v="Andrew Hantges"/>
        <s v="ASHLEY PHOSPHATE PROPERTIES, LLC"/>
        <s v="The Dominion Group"/>
        <s v="Arcon, Inc."/>
        <s v="Windward Capital"/>
        <s v="LTJ Group Holdings LLC"/>
        <s v="MEPT"/>
        <s v="Subotnick"/>
        <s v="Somerstone"/>
        <s v="Dale Jones"/>
        <s v="GF Capital"/>
        <s v="Jane Edmunds"/>
        <s v="Capstone Property Investments"/>
        <s v="John Chiapelone"/>
        <s v="Carolina Group LLC"/>
        <s v="Blue Vista"/>
        <s v="The Anchor Companies"/>
        <s v="Kalik Investors"/>
        <s v="Reynolds Development"/>
        <s v="Briar Meads Capital"/>
        <s v="Avalon Correctional"/>
        <s v="Robert Lieb"/>
        <s v="Lawrence Buhl"/>
        <s v="Insite Realty Partners, LP"/>
        <s v="Palos Verdes Properties"/>
        <s v="Alan Highstreet"/>
        <s v="Washington Properties, Inc."/>
        <s v="Thurner Industries"/>
        <s v="Frank Neeley"/>
        <s v="Fairway Equities"/>
        <s v="Laker Development"/>
        <s v="Dweck Properties"/>
        <s v="Ironwood Investments, LLC "/>
        <s v="IRE Development"/>
        <s v="Allen Agency Real Estate"/>
        <s v="PARC 114 OREO (PARC) LLC"/>
        <s v="Vornado Realty Trust"/>
        <s v="Westmont"/>
        <s v="Wesport Capital"/>
        <s v="Wesport Capital Partners"/>
        <s v="Greg Markel"/>
        <s v="Joel Irving"/>
        <s v="Dura Bilt Products, Inc."/>
        <s v="Dura Bilt Products"/>
        <s v="Community Education Centers"/>
        <s v="James Robertson"/>
        <s v="Klaff Realty"/>
        <s v="Mark Leverett"/>
        <s v="ISFAN, CORNEL &amp; MARIA"/>
        <s v="Grand Properties Sacramento LLC"/>
        <s v="Kenneth Lowe"/>
        <s v="Norman Properties"/>
        <s v="ASB Real Estate"/>
        <s v="Flagg Victoria"/>
        <s v="Regions Bank"/>
        <s v="Lone Star Funds"/>
        <s v="Jerry Alrdge"/>
        <s v="FV-CBA, LLC"/>
        <s v="DeSanto Realty Group"/>
        <s v="Somerset Properties"/>
        <s v="Mitsubishi Estate"/>
        <s v="Joseph Nadel"/>
        <s v="Art Adajski"/>
        <s v="The Bluestone Group &amp; Princeton Holdings LLC"/>
        <s v="Mark Judd"/>
        <s v="C-Tan Investments, LLC"/>
        <s v="Galveston District I LLC"/>
        <s v="Daniel Baptist"/>
        <s v="Hutton"/>
        <s v="Gerlicher Company"/>
        <s v="Sanantoniova LLC"/>
        <s v="Frank Tyrolt"/>
        <s v="National Asset Services"/>
        <s v="Paul Davis Enterprises"/>
        <s v="Pardeep Patel"/>
        <s v="Gillespie"/>
        <s v="Tim Strange"/>
        <s v="William Strange"/>
        <s v="Bill Francis"/>
        <s v="Ramtech"/>
        <s v="Mark Casey"/>
        <s v="Harbour View Development Company"/>
        <s v="Arch Street Capital"/>
        <s v="DBSI STATE OFFICES, LLC"/>
        <s v="UBS"/>
        <s v="Fretty Family Properties LLC"/>
        <s v="Horak Development"/>
        <s v="John Cordell"/>
        <s v="Allegiance Realty Corp."/>
        <s v="Jackson Corporate Real Estate"/>
        <s v="Richard Q. Nye, Ltd."/>
        <s v="C.R. England &amp; Sons, Inc."/>
        <s v="RVI Arizona"/>
        <s v="Stephen A. Goldberg Co."/>
        <s v="Brookfield Corp."/>
        <s v="Thomas Norman"/>
        <s v="Keystone Realty Group"/>
        <s v="Integral Group"/>
        <s v="BPG Real Estate Services"/>
        <s v="Mike Kinsey"/>
        <s v="Alliance Land"/>
        <s v="Christie Development Associates"/>
        <s v="TIER REIT"/>
        <s v="Westby Corporation"/>
        <s v="Weeks Turner"/>
        <s v="Peter Marion Trust"/>
        <s v="Weingarten Realty Investors"/>
        <s v="Big Game Capital"/>
        <s v="Paul Ash Management Co."/>
        <s v="H&amp;I Investments"/>
        <s v="Seagis Property Group"/>
        <s v="Paul Weise Real Estate"/>
        <s v="JV; East End Capital &amp; BentallGreen Oak"/>
        <s v="Roderick Seigle"/>
        <s v="FB Hanover AB LLC"/>
        <s v="Imperium North Ninth LLC"/>
        <s v="Leland Evans"/>
        <s v="Foote-Odwyer LLC"/>
        <s v="John Hensler"/>
        <s v="FirstCity Servicing Corp."/>
        <s v="Stanley Martin Companies"/>
        <s v="Garrison Investment Group"/>
        <s v="WDC Properties"/>
        <s v="Wack GC"/>
        <s v="Advanced Property Management"/>
        <s v="Diversified Development &amp; Construction"/>
        <s v="Falconite"/>
        <s v="ROBERT &amp; DAWN BAIRD FAMILY TRUST"/>
        <s v="JDL Builder"/>
        <s v="Ramzi Haddad"/>
        <s v="Sheppard Salusky"/>
        <s v="Brookwood Financial Partners"/>
        <s v="BULU IV LLV"/>
        <s v="Fisher Brothers Management Co.."/>
        <s v="Amelang Partners"/>
        <s v="MSSA LLC"/>
        <s v="DCR Loan"/>
        <s v="Cadence Bank"/>
        <s v="Alex Palmer &amp; Co."/>
        <s v="Jeffrey Doss"/>
        <s v="Charles Kronewetter"/>
        <s v="Merriweather Investments"/>
        <s v="MOR Dimensions LLC"/>
        <s v="Elizabeth Ratcliff"/>
        <s v="Prium Companies LLC"/>
        <s v="KanAm Group"/>
        <s v="Granum Partners"/>
        <s v="Donald Saylor"/>
        <s v="Stan Michnowicz"/>
        <s v="Reginald Joyner"/>
        <s v="Meritex Enterprises"/>
        <s v="NGP Capital"/>
        <s v="John Schmid"/>
        <s v="Terri Huebner"/>
        <s v="REALTY LEASING &amp; MANAGEMENT CO"/>
        <s v="Wilco Strategic Partners"/>
        <s v="Crown West Realty"/>
        <s v="Rockpoint Group"/>
        <s v="John Callahan"/>
        <s v="Venture Tek"/>
        <s v="Matthew Maderos"/>
        <s v="Kennth Davis"/>
        <s v="Michael Larson"/>
        <s v="BRE Reno"/>
        <s v="Gazit Group USA, Inc."/>
        <s v="Gazit Group USA"/>
        <s v="DCR Loan Servicing"/>
        <s v="Bukowski Family Trust"/>
        <s v="Walton Street Capital"/>
        <s v="CRA"/>
        <s v="Peter &amp; Linda Chan"/>
        <s v="Cambra Realty"/>
        <s v="Christopher Tanner"/>
        <s v="Capital Express Group"/>
        <s v="Mary Shao"/>
        <s v="Eddie Martin Properties"/>
        <s v="Boozer Properties"/>
        <s v="Paul MacDonald"/>
        <s v="Sandy Acosta"/>
        <s v="Mark Packer"/>
        <s v="ABC Oversees, Inc."/>
        <s v="General Capital Group"/>
        <s v="R&amp;S Realty Trust"/>
        <s v="Wessels Construction/Development"/>
        <s v="JV; Arcland Property &amp; Fitzgerald Development"/>
        <s v="GE Asset Management"/>
        <s v="Prium Companies, LLC"/>
        <s v="Wells Fargo Bank"/>
        <s v="Russell J. Kreikemeier"/>
        <s v="Kent International Holdings, Inc."/>
        <s v="Rialto Capital"/>
        <s v="The Sanders Trust"/>
        <s v="Peter Sanders"/>
        <s v="Direct Invest USA Holdings"/>
        <s v="McShane Development"/>
        <s v="Direct Invest USA Holdings LLC"/>
        <s v="JTS Interests"/>
        <s v="HSR Management"/>
        <s v="Bantry &amp; Guggenheim"/>
        <s v="JV; Bantry Holdings &amp; Guggenheim"/>
        <s v="Bitzer Real Estate Partners"/>
        <s v="Stephen A. Goldberg Company"/>
        <s v="Lithopolis-PO LLC"/>
        <s v="GREEN WORLD COUNCIL BLUFFS, LLC"/>
        <s v="Joseph Tamsberg"/>
        <s v="Cheri Neely"/>
        <s v="Carotex"/>
        <s v="South Main Developers"/>
        <s v="HPI Group"/>
        <s v="Partners Development"/>
        <s v="LCOR"/>
        <s v="Finmarc Management, Inc."/>
        <s v="Sam Rolin"/>
        <s v="Invesco"/>
        <s v="Amsdell Companies"/>
        <s v="Goldberg Properties"/>
        <s v="Dividend Capital DPF"/>
        <s v="Evanessa Venture"/>
        <s v="The ROC Fund"/>
        <s v="First Industrial, L.P."/>
        <s v="Gibson Real Estate"/>
        <s v="Penrose Commercial"/>
        <s v="TIAA"/>
        <s v="Glenmark Holding LLC"/>
        <s v="Campanelli"/>
        <s v="David Gallaway"/>
        <s v="Peter &amp; Lydia Fleming"/>
        <s v="Willco Construction"/>
        <s v="American Realty and Investments"/>
        <s v="GSA Hammond LLC"/>
        <s v="Larry Richman"/>
        <s v="Steven Considine"/>
        <s v="Simborg Industrial Real Estate"/>
        <s v="Ratner Companies"/>
        <s v="Gilbane Co."/>
        <s v="Cantor"/>
        <s v="Coastal Care Centers, Inc."/>
        <s v="Kinder Investments"/>
        <s v="The Kelly Companies, Inc."/>
        <s v="Merrill Corley"/>
        <s v="JV; Liberty &amp; NYSCRF"/>
        <s v="William Brown"/>
        <s v="Cottonwood Partners"/>
        <s v="Moench"/>
        <s v="Molasky"/>
        <s v="Elliott Homes"/>
        <s v="Roger Dreyer"/>
        <s v="Spigel Properties"/>
        <s v="Paul Baker"/>
        <s v="JV; Chetrit Group &amp; Read Properties"/>
        <s v="Arch Street Capital Advisors"/>
        <s v="Wiseman Development, Inc."/>
        <s v="BB&amp;T"/>
        <s v="Branch Bank &amp; Trust"/>
        <s v="Warren Davis"/>
        <s v="Coast Equity Partners"/>
        <s v="Michael Vujovich"/>
        <s v="Christopher Cammack"/>
        <s v="Robert Mann"/>
        <s v="Boston Properties, Inc."/>
        <s v="Stanley Rosenberg"/>
        <s v="RUBICON GSA II NEW ORLEANS LLC"/>
        <s v="Molepske Trust"/>
        <s v="Commonweal Development"/>
        <s v="Pacific Furlough Propers"/>
        <s v="Bruce Anderson"/>
        <s v="William Bellman"/>
        <s v="MIRAMAR, LLC"/>
        <s v="1671 Belle Isle LLC"/>
        <s v="New Boston Fund, Inc."/>
        <s v="Dennis Hou"/>
        <s v="CBRE/CalSTRS"/>
        <s v="Panzica Development Group"/>
        <s v="Nelson Tsao-Wu"/>
        <s v="REO (Starbury)"/>
        <s v="ARKA MONTEREY PARK LLC"/>
        <s v="Directed Capital Resources"/>
        <s v="Preferred Development"/>
        <s v="USFP"/>
        <s v="Joseph Fazio"/>
        <s v="Michael Bender"/>
        <s v="Mathais and Co., Inc."/>
        <s v="Phillips Properties LLC"/>
        <s v="ABEC Group"/>
        <s v="RL James Group"/>
        <s v="Lamm &amp; Co."/>
        <s v="Lehman Brothers"/>
        <s v="Nakano International"/>
        <s v="Davessa Ventures LLC &amp; Russell Construction"/>
        <s v="PGI Development"/>
        <s v="Real Estate Capital"/>
        <s v="Annette Baker"/>
        <s v="Regent Properties"/>
        <s v="Rutherford Chamber of Commerce"/>
        <s v="Gvest Capital"/>
        <s v="Amcraft Construction Co."/>
        <s v="Kennedy-Wilson"/>
        <s v="James Koehler"/>
        <s v="Carotex Development"/>
        <s v="North Ninth Street Realty LLC"/>
        <s v="Neyer Properties"/>
        <s v="McShane Companies"/>
        <s v="Spire Realty Group"/>
        <s v="KDC"/>
        <s v="JB CO"/>
        <s v="Ross Family"/>
        <s v="Douglas Legum Development"/>
        <s v="McMahon Development Group"/>
        <s v="Drew Development"/>
        <s v="NextWork"/>
        <s v="The Goldstar Group"/>
        <s v="AOR Real Estate LLC"/>
        <s v="JV; CSG Parters &amp; Blue Vista"/>
        <s v="15109 Heathrow Forest LLC"/>
        <s v="Rudnick Development"/>
        <s v="Alafia River Front"/>
        <s v="JRA Development Group, Inc."/>
        <s v="Birchwood Properties"/>
        <s v="Flat Creek Stakeholders"/>
        <s v="JV; Starwood Capital, Kaufman Jacobs, JPMorgan"/>
        <s v="MountainWest Real Estate"/>
        <s v="DCI Technology Holdings"/>
        <s v="Marbur Development"/>
        <s v="Barry Baker"/>
        <s v="Starbury Management"/>
        <s v="Ray Fowler"/>
        <s v="Carnegie Management"/>
        <s v="Boyle Investment Company"/>
        <s v="Anchor Associates"/>
        <s v="Rainier"/>
        <s v="Highwoods Properties, Inc."/>
        <s v="Jay Bruton"/>
        <s v="Ashford Partners"/>
        <s v="Lindquist Development"/>
        <s v="Michael Wattis"/>
        <s v="Columbia Development Companies"/>
        <s v="Ronald &amp; Susan Volmer"/>
        <s v="Oxford Development Co."/>
        <s v="EXEC PLAZA, LLC"/>
        <s v="USF&amp;W, LLC"/>
        <s v="ST. MICHAEL, LLC"/>
        <s v="Inge Real Estate"/>
        <s v="DHC of Plattsburg"/>
        <s v="Ashford/Warren Associates"/>
        <s v="Lester Larson"/>
        <s v="EJ Plesko"/>
        <s v="Broude Smith &amp; Jennings PC"/>
        <s v="Karchmer, Inc."/>
        <s v="Ilse Perlman"/>
        <s v="Crescent City SSA"/>
        <s v="COPT"/>
        <s v="Creekside Development"/>
        <s v="Par Inves"/>
        <s v="Starwood Capital &amp; Kaufman Jacobs"/>
        <s v="Westmar I LP"/>
        <s v="Robert Clark"/>
        <s v="American Realty Advisors"/>
        <s v="Ryan Companies US, Inc."/>
        <s v="Richard Coulter"/>
        <s v="Pressman Properties"/>
        <s v="Lund Capital Group"/>
        <s v="CDE CRE LLC"/>
        <s v="Bellerive Development Company"/>
        <s v="Grangeville Investments"/>
        <s v="Farnsworth Investment Company"/>
        <s v="Millett Properties, Inc."/>
        <s v="General Capital Group/Boulder Venture"/>
        <s v="David Howell"/>
        <s v="Daniel O'Brien"/>
        <s v="Gordon Consulting"/>
        <s v="Legacy Developments"/>
        <s v="Zydeco Development"/>
        <s v="Link Logisitics"/>
        <s v="Bruce Timberg"/>
        <s v="Alfred Weissman"/>
        <s v="Tandem Properties"/>
        <s v="Aurora Center LLC"/>
        <s v="Larry Blumberg"/>
        <s v="State of Ohio"/>
        <s v="Godfried Family Trust"/>
        <s v="James Herbert"/>
        <s v="JV; Meriwether Advisors &amp; Angelo Gordon"/>
        <s v="C&amp;T LLC"/>
        <s v="830 FIRST STREET L.L.C."/>
        <s v="Kodiak Capital Partners"/>
        <s v="Direct Invest"/>
        <s v="Inland American Real Estate Trust"/>
        <s v="Damon Harwood"/>
        <s v="Victor Blackmon"/>
        <s v="Mariano LLC"/>
        <s v="Bob Clarke"/>
        <s v="Titan Development"/>
        <s v="Washington Capital Management"/>
        <s v="Romanek Development"/>
        <s v="Alan Bunt"/>
        <s v="Johnny Guilliams"/>
        <s v="K B Express Realty LLC"/>
        <s v="Olive Branch Properties"/>
        <s v="Katco Resources, Inc."/>
        <s v="Von Colschwing"/>
        <s v="KBS Real Estate"/>
        <s v="MGP Real Estate LLC"/>
        <s v="Starbury"/>
        <s v="Charter Holdings"/>
        <s v="VJ Properties"/>
        <s v="Heritage Developments"/>
        <s v="Baker Group Northwest LLC"/>
        <s v="Horizon Mortgage Corporation"/>
        <s v="Sioucessa Venture LLC"/>
        <s v="California Gold Development Corporation"/>
        <s v="Neil Sullivan"/>
        <s v="C &amp; C Properties Construction"/>
        <s v="Barings"/>
        <s v="Caudell White Properties LLP"/>
        <s v="Caudell White Properties LLC"/>
        <s v="Caudell-White Properties LLP"/>
        <s v="DELMARVA CONTRACTING"/>
        <s v="VP Commerical"/>
        <s v="SITQ Immoblieier"/>
        <s v="Redus"/>
        <s v="The Evergreen Company"/>
        <s v="GE Commercial Asset Finance"/>
        <s v="Fenway Properties"/>
        <s v="Liberty Property Trust"/>
        <s v="Pioneer, Inc."/>
        <s v="Jane N Mooty Family Lp"/>
        <s v="Extell Development Co."/>
        <s v="Hutton Real Estate, Development, Construction"/>
        <s v="Larsoni Management"/>
        <s v="DICKSTEIN SHAPIRO LLP"/>
        <s v="Ironton SSA LLC"/>
        <s v="JV - CalSTRS &amp; Spaulding &amp; Slye Investments"/>
        <s v="Seaton Benkowski &amp; Partners"/>
        <s v="City National Bank"/>
        <s v="Patel Group"/>
        <s v="Endeavor Real Estate Group"/>
        <s v="Nelson Carrison"/>
        <s v="Harris Developments"/>
        <s v="TerraLux, Inc."/>
        <s v="1329 NORTH LAKE STREET TIC"/>
        <s v="Tera Properties"/>
        <s v="Shorenstein Properties"/>
        <s v="DH Realty"/>
        <s v="Tauras Invesments"/>
        <s v="Bresler &amp; Reiner, Inc."/>
        <s v="FL Coastal School of Law"/>
        <s v="The JMS Realty"/>
        <s v="Gary W &amp; Karen L Green"/>
        <s v="Danesh Development"/>
        <s v="Al Neyer"/>
        <s v="Equus Capital Partners, Ltd."/>
        <s v="Earnest Miller"/>
        <s v="Floyd Sack"/>
        <s v="C&amp;H Properties LLC"/>
        <s v="Record Realty"/>
        <s v="The Cowperwood Company"/>
        <s v="RST Construction"/>
        <s v="McWhinney"/>
        <s v="Larry Blumberg &amp; Assoc."/>
        <s v="McAleer Properties III Lp"/>
        <s v="CBC Real Estate"/>
        <s v="Schmerein Associates"/>
        <s v="Dexus Property Group"/>
        <s v="Leming Trust"/>
        <s v="Record Realty Trust"/>
        <s v="NTEU"/>
        <s v="Capital Realty Investors, LLC"/>
        <s v="Stanridge &amp; Jackson"/>
        <s v="HUB"/>
        <s v="Equity Commonwealth"/>
        <s v="The Hewson Company"/>
        <s v="Causeway Holdings"/>
        <s v="HUB Group"/>
        <s v="Frank Sargent"/>
        <s v="Commonwealth REIT"/>
        <s v="Karina Church"/>
        <s v="HUB Acquisition"/>
        <s v="Jackson Nelson Moniger"/>
        <s v="JV - Van Ness Property Group &amp; AREA Property Partners &amp; Polinger Development"/>
        <s v="JV - StonebridgeCarras &amp; Walton Street Captial"/>
        <s v="South Florida Federal"/>
        <s v="Monument Realty LLC"/>
        <s v="Jones Watson LLC"/>
        <s v="Rockefeller Group"/>
        <s v="BentallGreenOak"/>
        <s v="Live Oak Gottesman Co"/>
        <s v="Birchwood Properties Corp."/>
        <s v="Phillip Goldman"/>
        <s v="Centric Capital Partners"/>
        <s v="Northmark Associates LLC"/>
        <s v="Robert Bindi"/>
        <s v="Burbeck One LP"/>
        <s v="General Grant Colonial Village"/>
        <s v="Gregory Markel"/>
        <s v="Rego Group"/>
        <s v="Anthony Thompson"/>
        <s v="TIAA Realty"/>
        <s v="Don Bourn"/>
        <s v="Bruce Pomeroy"/>
        <s v="John Alden"/>
        <s v="Live Oak Gottesman"/>
        <s v="Magdovitz"/>
        <s v="Opus/BK Sale"/>
        <s v="Andrew Johnson Bank"/>
        <s v="CapLease"/>
        <s v="White &amp; Caudell"/>
        <s v="Arnold Tollefson"/>
        <s v="GE Capital"/>
        <s v="RP Carbone"/>
        <s v="Wentworth Development"/>
        <s v="Darrel Bengard"/>
        <s v="Ravenna SSA LLC"/>
        <s v="Harbor Companies"/>
        <s v="CalSTERs"/>
        <s v="Hub Realty"/>
        <s v="Morgan Stanley"/>
        <s v="Burbeck Exchange Company LLC"/>
        <s v="Burton &amp; Burton"/>
        <s v="REC Development"/>
        <s v="Bill Marriot"/>
        <s v="Gillett Properties"/>
        <s v="JV: Higgins Development Partneers &amp; Pritzker Realty Group"/>
        <s v="Joel Manhke"/>
        <s v="RINESSA VENTURE LLC"/>
        <s v="Emerald Realty"/>
        <s v="BLM Roseberg"/>
        <s v="Rubicon/NGP"/>
        <s v="Rubicon LLC"/>
        <s v="Sawmill Partners"/>
        <s v="Randall Johnson"/>
        <s v="Cawley"/>
        <s v="Yarmon Investments"/>
        <s v="Richard Ullmann"/>
        <s v="Hi-Life Investments"/>
        <s v="Atsinger Family"/>
        <s v="Francios Ledan"/>
        <s v="Estate of Lloyd E"/>
        <s v="Overton Moore"/>
        <s v="Gould Property Company"/>
        <s v="BNPS LLC"/>
        <s v="Rise Marko Associates, Inc."/>
        <s v="Phillip Beard"/>
        <s v="Starr Realty Capital"/>
        <s v="JEM Restaurant Group"/>
        <s v="JAX Landmark"/>
        <s v="AVG Partners"/>
        <s v="Wallace &amp; Marie Dillard Family Partnership"/>
        <s v="Fletcher Development LLC"/>
        <s v="Sumitomo Corp."/>
        <s v="Terry Parkway Associates LLC"/>
        <s v="Warz Investments"/>
        <s v="Viking Ventures"/>
        <s v="W.D. Schorsch"/>
        <s v="QE Ward"/>
        <s v="Youngstown SSA LLC"/>
        <s v="W.D. Schorsch Real Estate"/>
        <s v="Global Securitization Services"/>
        <s v="Myron Abrams"/>
        <s v="Harwood &amp; Associates"/>
        <s v="Brian Waxman"/>
        <s v="Medessa Venture LLC"/>
        <s v="Vallejo SSA Associates LLC"/>
        <s v="Dominion Realty Partners, LLC"/>
        <s v="Jon Gibson Co."/>
        <s v="Ben Isreal"/>
        <s v="Southern Traditions"/>
        <s v="Newmark"/>
        <s v="Five Points"/>
        <s v="Nevco"/>
        <s v="Braswell Properties LLC"/>
        <s v="Roper Mountain Business Center LLC"/>
        <s v="Delma Properties"/>
        <s v="Courtland Street"/>
        <s v="Shell Point LLC"/>
        <s v="GE Commercial"/>
        <s v="Crescent Communities"/>
        <s v="Acron Asset Management"/>
        <s v="Mara Gateway Associates"/>
        <s v="August Carniglia"/>
        <s v="Shannon Braswell"/>
        <s v="State Bar Assoc."/>
        <s v="Vista Imperial, LLC"/>
        <s v="Flatiron Postcard Co."/>
        <s v="Boyd Creek Properties, LLC"/>
        <s v="Douglas Waples"/>
        <s v="The Glenora Company"/>
        <s v="REX American"/>
        <s v="Noble Development Company"/>
        <s v="Greenleaf Square"/>
        <s v="Rosemead Properties"/>
        <s v="Jared Chao"/>
        <s v="McHessa Venture"/>
        <s v="Simborg Industrial"/>
        <s v="Sierra Family"/>
        <s v="Rocky Bluff LLC"/>
        <s v="James G Van Winkle"/>
        <s v="Lenette Realty and Development"/>
        <s v="David Konikoff"/>
        <s v="The Claremont Group"/>
        <s v="LPC"/>
        <s v="Jabez Properties"/>
        <s v="EQ Office"/>
        <s v="St. John Properties"/>
        <s v="Four Star Elmwood, LLC"/>
        <s v="G &amp; R Investments of Bay County"/>
        <s v="Tijeras, LLC"/>
        <s v="The Opus Group"/>
        <s v="Indevco Partners"/>
        <s v="DWS &amp; RREEF"/>
        <s v="CDC Mortgage Capital, Inc."/>
        <s v="Hague Corp."/>
        <s v="Emmes Group"/>
        <s v="Debrick"/>
        <s v="SJM Partners"/>
        <s v="Yorkshire Properties"/>
        <s v="Alice SSA LLC"/>
        <s v="HN Gorin"/>
        <s v="Loeb Partners"/>
        <s v="Battle Mountain Properties"/>
        <s v="Leo Rensberger"/>
        <s v="Sequoia Properties"/>
        <s v="Lamm &amp; Co"/>
        <s v="Harry Chaplin"/>
        <s v="BT Lincoln, LP"/>
        <s v="Guardian Realty"/>
        <s v="Lincoln Lake Park"/>
        <s v="The Landmark Co, Inc."/>
        <s v="Apple Pie Properties"/>
        <s v="D &amp; D Real Estate"/>
        <s v="Burton Farbman"/>
        <s v="Paul M. Baker"/>
        <s v="Zamora Development Group"/>
        <s v="ARS Postal Services Ltd."/>
        <s v="BMV-Stillwater, Ltd"/>
        <s v="Monday Properties"/>
        <s v="Bakersfield SSA LLC"/>
        <s v="TTO-6 LLC"/>
        <s v="Paul O'Farrell"/>
        <s v="Hewson Properties"/>
        <s v="Lake Fairfax Fix"/>
        <s v="Kossman Development"/>
        <s v="Pacific NW Properties LP"/>
        <s v="Selco Services Corp."/>
        <s v="Wispark"/>
        <s v="Raskn Family"/>
        <s v="Southwest Land"/>
        <s v="Arsenault"/>
        <s v="PNL Mobile"/>
        <s v="Douglas Development Corp."/>
        <s v="Carrolwood Crossing"/>
        <s v="LVTC One, LLC"/>
        <s v="ODE LP"/>
        <s v="Springport, LLC"/>
        <s v="Hannelore Crane"/>
        <s v="Chuck Snell"/>
        <s v="BC Development"/>
        <s v="Louis Rogers"/>
        <s v="Centre 3 LLC"/>
        <s v="Kelly Square LLC"/>
        <s v="Craddock Development Company, Inc."/>
        <s v="M&amp;J Vegas Associates"/>
        <s v="Alpine Realty"/>
        <s v="Lockhill Selmas"/>
        <s v="Lord Baltimore Properties"/>
        <s v="Crown Properties, Inc."/>
        <s v="Williams Street Associates, LLC"/>
        <s v="State Farm"/>
        <s v="South Family LLC"/>
        <s v="Wise Investments, Inc."/>
        <s v="Uniland/Acquest"/>
        <s v="David Nassif"/>
        <s v="Trizec Realty"/>
        <s v="Wells Operating"/>
        <s v="Appelra Corp"/>
        <s v="Effingham State"/>
        <s v="George Eyde"/>
        <s v="Interra Development"/>
        <s v="Greenleaf Whittier LLC"/>
        <s v="CMD Realty Investment Fund"/>
        <s v="Russell Charles Spears"/>
        <s v="Braddock Place"/>
        <s v="Skyline Developers, Inc."/>
        <s v="Douglas Kim"/>
        <s v="OTR"/>
        <s v="JR Asheville"/>
        <s v="JV; Walton Street &amp; Atlantic Realty"/>
        <s v="Yusuf Midway"/>
        <s v="The Price Group"/>
        <s v="Riverdale FDA"/>
        <s v="Robert Levine"/>
        <s v="Sanders Trust"/>
        <s v="Michael Haas"/>
        <s v="Barret Hilzer"/>
        <s v="Schweizer &amp; Schweizer LP"/>
        <s v="Cullinan Companies LLC"/>
        <s v="Yuma Imperial LLC"/>
        <s v="Reb Dev LLC"/>
        <s v="American Select Portfolio"/>
        <s v="Tower Development"/>
        <s v="Fairfax Fort Myers LLC"/>
        <s v="CEF Equities LLC"/>
        <s v="Ryan Companies"/>
        <s v="Marzer Venture"/>
        <s v="HIR III GP"/>
        <s v="Philip Hoffmann"/>
        <s v="IH Gainesville"/>
        <s v="CMD Realty"/>
        <s v="Swerdlow Real Estate Group"/>
        <s v="Gulftex Properties"/>
        <s v="Hub Properties"/>
        <s v="DH Ventures"/>
        <s v="Penrose"/>
        <s v="Idaho Assets LLC"/>
        <s v="Smiths Silverdale"/>
        <s v="Valley View Office LLC"/>
        <s v="Rosen Alderwood Associates"/>
        <s v="Norman Kotoch"/>
        <s v="Junction Partners"/>
        <s v="NL Properties"/>
        <s v="Laszio Tauber"/>
        <s v="Aeroject General"/>
        <s v="24th St Partners"/>
        <s v="Michael Ryan"/>
        <s v="One Frederick, Inc."/>
        <s v="CL Properties"/>
        <s v="Metcalfe &amp; Company, Inc."/>
        <s v="JRC SC Office Properties Investment LP"/>
        <s v="Christie Pawlak"/>
        <s v="Gary Mathias"/>
        <s v="Codina Holdings"/>
        <s v="Sterling Development"/>
        <s v="Thomas Gittens"/>
        <s v="Donal Associates"/>
        <s v="AGL Investments"/>
        <s v="Ukiah SSA Partners"/>
        <s v="Renco"/>
        <s v="JER South"/>
        <s v="Ed Kashian"/>
        <s v="Thomas Arnold"/>
        <s v="Townsend Capital LLC"/>
        <s v="WXIII NWK Real Estate"/>
        <s v="Centex Office"/>
        <s v="Grisby &amp; Harrison Investments"/>
        <s v="Southwest Market"/>
        <s v="Fairfax Center LLC"/>
        <s v="Sierra Vista DE, LLC"/>
        <s v="Archon Group"/>
        <s v="Vine Capital"/>
        <s v="HIRS Associates"/>
        <s v="Ray Morris"/>
        <s v="Russell &amp; Associates"/>
        <s v="EPT Real Estate"/>
        <s v="Airbag II LLC"/>
        <s v="Perkos"/>
        <s v="Richard Watson"/>
        <s v="Capital Development Company"/>
        <s v="Po Boy Investments LP"/>
        <s v="The Carlyle Group"/>
        <s v="Sparks Regional Medical Center"/>
        <s v="Tri-City Developers LLC"/>
        <s v="BIT Holdings Sixteen Inc."/>
        <s v="Richard Squires"/>
        <s v="Structured Development"/>
        <s v="SunGroup"/>
        <s v="BLI Stemmons"/>
        <s v="Paradise/Sudley"/>
        <s v="Donald Peterson"/>
        <s v="FSK Land"/>
        <s v="Deihl Family"/>
        <s v="Columbus Life"/>
        <s v="Richard Deihl"/>
        <s v="25 Newport Corp."/>
        <s v="Potomac Capital Investments"/>
        <s v="Seabie Hickson"/>
        <s v="Deer Valley Buildings"/>
        <s v="Gate Management"/>
        <s v="Ron Azad"/>
        <s v="Carlyle Investment Management"/>
        <s v="Greenleaf Equities"/>
        <s v="NB Properties"/>
        <s v="The Shaw Company"/>
        <s v="Pera Natpark"/>
        <s v="Citizens Associates"/>
        <s v="Hall Theodore"/>
        <s v="Advantis"/>
        <s v="Richard Carney"/>
        <s v="Barrows Group Inc."/>
        <s v="Deponte Investments, Inc."/>
        <s v="Kevin Bates"/>
        <s v="US Airways, Inc."/>
        <s v="Neilson &amp; Sons"/>
        <s v="CL Properties III"/>
        <s v="AmerUs Group"/>
        <s v="Joseph Benvenuti"/>
        <s v="East Telegraph Associates, Ltd."/>
        <s v="Principal Financial Group"/>
        <s v="Ten Hage"/>
        <s v="Fulton Partnership"/>
        <s v="Jacob Family"/>
        <s v="Alexander Walker"/>
        <s v="NY Life"/>
        <s v="Edward Reidy"/>
        <s v="Meridian Fairfax"/>
        <s v="800 North Capital"/>
        <s v="Liberty Property, Ltd."/>
        <s v="Papago Place"/>
        <s v="Berkeley Western Associates, LP"/>
        <s v="Lenhdorf Associates"/>
        <s v="Healthcare Property Investors"/>
        <s v="State of New York"/>
        <s v="Michael Horton"/>
        <s v="Steve Bonacci"/>
        <s v="Berkshire Land Development"/>
        <s v="Woodbury Corp."/>
        <s v="Physicians I Ohio"/>
        <s v="Carr Realty"/>
        <s v="Glendale Financial Square"/>
        <s v="New York Life"/>
        <s v="Group Hospitalization &amp; Medical Services"/>
        <s v="Kandi LP"/>
        <s v="Arlington Park"/>
        <s v="Estacada Investments"/>
        <s v="Wenworth Tech"/>
        <s v="Biltmore Holdings"/>
        <s v="Arka Properties"/>
        <s v="Sixth &amp; Arrowhead LLC"/>
        <s v="Salomon Brothers"/>
        <s v="Everest Investments IV"/>
        <s v="Metlife"/>
        <s v="Landmark Center"/>
        <s v="David Kassis"/>
        <s v="Preadium"/>
        <s v="Beneficial Standard "/>
        <s v="Daniel Burack"/>
        <s v="Richard Butler"/>
        <s v="Rocky Mount Invest"/>
        <s v="Vallco Park, Ltd."/>
        <s v="Crow"/>
        <s v="Missouri Assets LLC"/>
        <s v="Norstrand Avenue Associates"/>
        <s v="Vine Street Associates"/>
        <s v="C. Richard McCullough"/>
        <s v="Charles Beebe"/>
        <s v="Realty Portfolio Corp."/>
        <s v="Mark Burrough Properties"/>
        <s v="John Moss"/>
        <s v="Thomas Kirsch"/>
        <s v="Evans Company"/>
        <s v="Evergreen &amp; Bradville"/>
        <s v="John Moss/Safford Associates"/>
        <s v="Keany Square Associates"/>
        <s v="Pizitz Realty Co"/>
        <s v="Arrex Chemical Lab"/>
        <s v="Fresno Partners"/>
        <s v="Herbert Wuerfel"/>
        <s v="Safford Associates, Ltd. "/>
        <s v="William Robbins"/>
        <s v="Dreico Corp."/>
        <s v="Portola Partners"/>
        <s v="Pennsylvania Ave Dev CP"/>
        <s v="Tishman"/>
        <s v="CC &amp; F Bellevue"/>
        <s v="EL DIA INC"/>
        <s v="GSA GUAM L.P"/>
        <s v="Nancy Marr"/>
        <s v="Vanir Development Company"/>
        <s v="AMPERSAND CAPITAL, LLC"/>
        <s v="SABEY CORPORATION"/>
        <s v="Archway" u="1"/>
        <s v="Starwood Property Trust" u="1"/>
        <s v="Alex S. Palmer" u="1"/>
        <s v="Mildrew LLC" u="1"/>
        <s v="JDL Castle Corp." u="1"/>
        <s v="Trust No 52" u="1"/>
        <s v="Drewhill LLC" u="1"/>
        <s v="Standridge &amp; Jackson, L.L.C." u="1"/>
        <s v="Elman" u="1"/>
        <s v="James G Vanwinkle" u="1"/>
        <s v="Westport Capital" u="1"/>
        <s v="Archon" u="1"/>
        <s v="B.U.L.U. IV, LLC" u="1"/>
        <s v="Starwood" u="1"/>
        <s v="Geneis Invesment" u="1"/>
        <s v="CW Capital" u="1"/>
        <s v="Brickman Associates" u="1"/>
        <s v="Imperial Group" u="1"/>
        <s v="Brad Luger" u="1"/>
        <s v="Gustavus Bass" u="1"/>
        <s v="Salus Property Investments LLC" u="1"/>
        <s v="Pardo Properties" u="1"/>
        <s v="TA Associates Realty" u="1"/>
        <s v="CW Capital " u="1"/>
        <s v="Rehab Associates XI, Inc." u="1"/>
        <s v="Donald Henneuse" u="1"/>
        <s v="Kan AM Group" u="1"/>
        <s v="Genesis Financial Group | Gen Net Lease Income Trust, Inc." u="1"/>
        <s v="Mack-Cali" u="1"/>
        <s v="JDL" u="1"/>
        <s v="Catalyst Real Estate" u="1"/>
        <s v="Imperial" u="1"/>
        <s v="10th Man, LLC" u="1"/>
        <s v="Noddle Development Co." u="1"/>
        <s v="JDL Castle Corporation" u="1"/>
        <s v="McShane" u="1"/>
        <s v="Scott Standridge" u="1"/>
        <s v="DIRECT INVEST YORK, LLC" u="1"/>
        <s v="Invesco Realty" u="1"/>
        <s v="Eland Energy" u="1"/>
        <s v="Drew No. 7" u="1"/>
        <s v="Genesis Financial Group" u="1"/>
        <s v="Imlay Properties" u="1"/>
        <s v="Vaughn Swanson" u="1"/>
        <s v="Bontrager Reuben" u="1"/>
        <s v="West Second Street Assoc." u="1"/>
        <s v="SPI Fedlaw Greensboro" u="1"/>
        <s v="Brookfield" u="1"/>
        <s v="John Serpa" u="1"/>
        <s v="Brookfield Properties" u="1"/>
        <s v="Carlyle Invesment Management" u="1"/>
        <s v="Pac Bell" u="1"/>
        <s v="Jacobs Family" u="1"/>
        <s v="Birmingham USPS LLC" u="1"/>
        <s v="Genesis" u="1"/>
        <s v="Riverside BLM" u="1"/>
        <s v="Midwest Props" u="1"/>
        <s v="J E &amp; M L Bray Trust" u="1"/>
        <s v="Duke" u="1"/>
        <s v="Wytheville Business Park, LLC" u="1"/>
        <s v="Cowperwood Company" u="1"/>
        <s v="Procacci" u="1"/>
        <s v="Drew #5 LLC" u="1"/>
        <s v="Westport Capital Partners, LLC" u="1"/>
        <s v="Justin Barton" u="1"/>
        <s v="Watson Properties" u="1"/>
        <s v="George Miller" u="1"/>
        <s v="PNC Bank" u="1"/>
        <s v="Cambridge Hanover" u="1"/>
        <s v="JDL Orlando" u="1"/>
        <s v="Genesis Financial" u="1"/>
        <s v="Tri-City Manassas" u="1"/>
        <s v="-" u="1"/>
        <s v="Beverly Mitrisin" u="1"/>
        <s v="Spencer Merritt" u="1"/>
        <s v="Frank Pipgras" u="1"/>
        <s v="SDA" u="1"/>
        <s v="Kelton Realty, Inc." u="1"/>
        <s v="Boulders One, LLC" u="1"/>
        <s v="UrbanAmerica" u="1"/>
        <s v="SALUS Government Properties; JV Thompson Golden" u="1"/>
        <s v="Sturncor" u="1"/>
      </sharedItems>
    </cacheField>
    <cacheField name="L. BROKER" uniqueList="1" numFmtId="165" sqlType="0" hierarchy="0" level="0" databaseField="1">
      <sharedItems count="0" containsBlank="1"/>
    </cacheField>
    <cacheField name="BUYER" uniqueList="1" numFmtId="165" sqlType="0" hierarchy="0" level="0" databaseField="1">
      <sharedItems count="1842" containsBlank="1">
        <m/>
        <s v="Boyd Watterson"/>
        <s v="NGP Capital"/>
        <s v="Easterly Partners"/>
        <s v="William Ulm"/>
        <s v="Arrimus Capital"/>
        <s v="USPS"/>
        <s v="Postal Realty Trust"/>
        <s v="Anne Redelsperger"/>
        <s v="MA &amp; Lord Management LLC"/>
        <s v="Scott Auman"/>
        <s v="Pacific Mayfield"/>
        <s v="John Creasy"/>
        <s v="Wish Development"/>
        <s v="Beaudin Construction"/>
        <s v="Island Life Homes LLC"/>
        <s v="Gregory Raugi"/>
        <s v="6th &amp; Grass, Inc."/>
        <s v="Richard Rolland"/>
        <s v="Sukhpreet Sidhu"/>
        <s v="Davis Real Estate"/>
        <s v="IPE 1031 Exchange"/>
        <s v="Craig Marshall"/>
        <s v="John Faftopoulous"/>
        <s v="Steve Sanett"/>
        <s v="Sudhakar Reddy Aramalla"/>
        <s v="True North Companies"/>
        <s v="Hansa Odedra"/>
        <s v="Mayo Place Properties LLC"/>
        <s v="Strategic Governmernt Properties"/>
        <s v="Amanda Lin"/>
        <s v="Randy Hines"/>
        <s v="John Uhart"/>
        <s v="Bam Legacy Investments LLC"/>
        <s v="Mary Pittala"/>
        <s v="James Wynne"/>
        <s v="Aspect Health"/>
        <s v="KCP Real Estate"/>
        <s v="Gray Harbor Capital"/>
        <s v="Grey Harbor Capital"/>
        <s v="Henry Cornelius"/>
        <s v="The Levin Group"/>
        <s v="Alan Cohn"/>
        <s v="State DOT"/>
        <s v="Kfir Binnfeld"/>
        <s v="Mark Oehlerking"/>
        <s v="Gardner-Tannenbaum"/>
        <s v="Brandon Smith"/>
        <s v="Lunar Investment Group"/>
        <s v="Faheem Ibrahim"/>
        <s v="Anchor Health Properties"/>
        <s v="Alturas Capital"/>
        <s v="Barnyard Properties"/>
        <s v="Andrew Ambriole"/>
        <s v="HC Government Realty Trust"/>
        <s v="The Carrington Co"/>
        <s v="A &amp; G Legacy Investments LLC"/>
        <s v="Goodrich &amp; Co"/>
        <s v="Tidewater Capital Group"/>
        <s v="Wiseman Development, Inc."/>
        <s v="Sam951 Holdings LLC"/>
        <s v="VA Charlotte Holdings LLC"/>
        <s v="GIP"/>
        <s v="WV Investment Leasing, LLC"/>
        <s v="Samuel Szteinbaum"/>
        <s v="Torose Equities"/>
        <s v="APIF"/>
        <s v="Double K Properties LLC"/>
        <s v="Bernard Smokowski"/>
        <s v="Community Health Care Trust"/>
        <s v="JV; CS Ventures &amp; Rosemark"/>
        <s v="LBA Realty"/>
        <s v="Grey Harbor"/>
        <s v="Board of Education"/>
        <s v="Susan Suehi Chen"/>
        <s v="Connie Gooden"/>
        <s v="Presidio Bay Ventures"/>
        <s v="David Webb"/>
        <s v="Patrick Loftis"/>
        <s v="Beaver Lake Recreation"/>
        <s v="Glen Dickemore"/>
        <s v="Timothy Piper"/>
        <s v="Mission Glass"/>
        <s v="Kings Road Properties LLC"/>
        <s v="UIRC, Urban Investment Research Corp."/>
        <s v="Wise Developments"/>
        <s v="K3 Holdings"/>
        <s v="Gary Roesger"/>
        <s v="Ad Lunam, LLC"/>
        <s v="Atlantel"/>
        <s v="Darius Bailey"/>
        <s v="Jarrett Jamieson"/>
        <s v="Patricia Larsen"/>
        <s v="880 Sudley Holdings"/>
        <s v="Elevate Group"/>
        <s v="Kavitha Investments, LLC"/>
        <s v="Gary Joyner"/>
        <s v="Paolino Management"/>
        <s v="Sturncor Investment Group"/>
        <s v="Pradeep Katikaneni"/>
        <s v="Sant Properties"/>
        <s v="Jesse Wellhoefer"/>
        <s v="REC Properties LLC"/>
        <s v="Baruch Frankel"/>
        <s v="Bob Berry"/>
        <s v="Kevin Price"/>
        <s v="Gen Property Group"/>
        <s v="Pickwick Realty"/>
        <s v="Seagate &amp; CW Capital"/>
        <s v="Spencer Raymond"/>
        <s v="Hawkstone LLC"/>
        <s v="Frain Cooper Holdings"/>
        <s v="JV; Angelo Gordon &amp; LPC"/>
        <s v="Monica Dwyer"/>
        <s v="Harmandeep Saghera"/>
        <s v="Majestic Asset Management"/>
        <s v="Bradley Goodrich"/>
        <s v="Alinea Capital Group"/>
        <s v="Alex Fawaz"/>
        <s v="NLCA"/>
        <s v="Robert Gruess"/>
        <s v="ANR LLC"/>
        <s v="Stephan Gevorkian"/>
        <s v="4820 Square Holdings LLC"/>
        <s v="Merrie Hathaway"/>
        <s v="Hepworth Family"/>
        <s v="Native Health"/>
        <s v="Lincoln Property Co."/>
        <s v="Bharati Dandiya"/>
        <s v="John Ryan McDaniel"/>
        <s v="American Investment Properties, Inc."/>
        <s v="Dr. Robert Bunn"/>
        <s v="LaSalle Investment Management"/>
        <s v="Lakeshore Real Estate"/>
        <s v="Fangbo Zhang"/>
        <s v="John Barbour"/>
        <s v="The Electronic Caregiver"/>
        <s v="Amar US Holdings Inc"/>
        <s v="Yuxing Xiao"/>
        <s v="Ansem Holdings"/>
        <s v="Richard Latham"/>
        <s v="Empire Leasing"/>
        <s v="A. Benjamin 2018 Trust"/>
        <s v="CSI Tax"/>
        <s v="Ivy Realty LLC"/>
        <s v="Second Street Properties"/>
        <s v="Laramie Land &amp; Holdings Co"/>
        <s v="Kokot Realty"/>
        <s v="Mecca &amp; Sons Trucking Co"/>
        <s v="River Range"/>
        <s v="Scott Wafle"/>
        <s v="Alex Kombogiannis"/>
        <s v="Joseph Norberg"/>
        <s v="Buggsi Hospitality Group"/>
        <s v="Michael Farahnick"/>
        <s v="George Daneshgar"/>
        <s v="Mohammed Ryad Bakalem"/>
        <s v="Comerica, Inc."/>
        <s v="Corkey LLC"/>
        <s v="Grunloh Construction"/>
        <s v="Highway 431, LLC"/>
        <s v="Pikeville Post Office, LLC"/>
        <s v="James Bitner"/>
        <s v="DoubleBay Partners"/>
        <s v="Kaufman Jacobs"/>
        <s v="LeaAnne Williams"/>
        <s v="LNK Family Ventures"/>
        <s v="Excelsior Capital"/>
        <s v="Sean Karimian"/>
        <s v="Bookfield AM"/>
        <s v="DPW Holdings, Inc"/>
        <s v="Emerad PNW, LLC"/>
        <s v="Michael Colomba"/>
        <s v="Frall Developers"/>
        <s v="Ekklasia Foundation"/>
        <s v="Sushil Kashyap"/>
        <s v="ALG Property Management"/>
        <s v="Craig Nadel"/>
        <s v="Kaizad Shroff"/>
        <s v="The Prime Group"/>
        <s v="RG Real Estate"/>
        <s v="Seshu Reddy"/>
        <s v="John Salvino"/>
        <s v="Gary Flynn"/>
        <s v="Bill Ranguette"/>
        <s v="Paul Parreira"/>
        <s v="Greenleaf Management"/>
        <s v="Douglas Legum"/>
        <s v="Kingsbarn"/>
        <s v="Brian De Rousseau"/>
        <s v="Delrick Thurmond"/>
        <s v="Bruce Berman"/>
        <s v="9911 Jefferson Davis Hwy LLC"/>
        <s v="Evren Bekdimir"/>
        <s v="HLC Equity"/>
        <s v="Guy Evans"/>
        <s v="JV; GIP &amp; Midloch"/>
        <s v="Nuveen/Hana Asset"/>
        <s v="Patricia Lin"/>
        <s v="Ralph Salazar"/>
        <s v="George Thompson"/>
        <s v="Peters Real Estate Group"/>
        <s v="Justin Hodson"/>
        <s v="James Wu"/>
        <s v="Market Street Properties"/>
        <s v="Jerry Kelley"/>
        <s v="SVEA Real Estate Group | Sotheby's International"/>
        <s v="Jason Kahler"/>
        <s v="Clifford Orloff"/>
        <s v="Jack Sitt Real Estate"/>
        <s v="Sarofim Realty"/>
        <s v="Missing Middle Jefferson LLC"/>
        <s v="Otamot Development LLC"/>
        <s v="Confidential - Buyer"/>
        <s v="REVA Companies"/>
        <s v="Wayne Henry"/>
        <s v="Thomas Holm"/>
        <s v="JV; LPC &amp; KAIM"/>
        <s v="Safehold, Inc."/>
        <s v="Robert Beaver"/>
        <s v="Apex Equity Group"/>
        <s v="Merritt Holdings LLC"/>
        <s v="Bradley Call"/>
        <s v="Double H Ranch"/>
        <s v="SMICO Jackson"/>
        <s v="Healthcare Trust"/>
        <s v="Frazier Creek Properties"/>
        <s v="Gil Herskovitz"/>
        <s v="Hardknocks LLLP"/>
        <s v="IRA Capital"/>
        <s v="STAG Industrial"/>
        <s v="Tobco Commercial LLC"/>
        <s v="Embree"/>
        <s v="Keith Kantrowitz"/>
        <s v="Sentinel Net Lease"/>
        <s v="WGC Properties LLC"/>
        <s v="Michael Reinhold"/>
        <s v="Deborah Ivy"/>
        <s v="Fred Lees Properties"/>
        <s v="David Uvaydov"/>
        <s v="LanCarte Commercial"/>
        <s v="Robert Carter"/>
        <s v="USAA Real Estate"/>
        <s v="Elmwood Capital Group LLC"/>
        <s v="LREH Michigan LLC"/>
        <s v="Inventure Real Estate"/>
        <s v="Richland Communities"/>
        <s v="BGK Real Estate Holdings LLC"/>
        <s v="Douglas GSA LLC"/>
        <s v="Marco Barbieri"/>
        <s v="Rachel Gerstein"/>
        <s v="Delos Yancey"/>
        <s v="Merchants Pointe Associates"/>
        <s v="CSB Partners, LP"/>
        <s v="430 Barfield LLC"/>
        <s v="D&amp;R Downtown"/>
        <s v="ABS Management"/>
        <s v="Kristen Tafoya"/>
        <s v="Elk Grove Trust"/>
        <s v="The Entrust Group"/>
        <s v="Steven Ross"/>
        <s v="Greenlight Investment Group"/>
        <s v="Michael Tobash"/>
        <s v="Praveen Gupta"/>
        <s v="NJU Holdings USPS LLC"/>
        <s v="B&amp;D Holdings"/>
        <s v="John Wilmer"/>
        <s v="Bradley Weekes"/>
        <s v="Erkos Investments LLC"/>
        <s v="Deloach Darcy"/>
        <s v="Tampa Waters LLC"/>
        <s v="Viking Partners"/>
        <s v="Thad Denhartog"/>
        <s v="Howard County 911 Communication"/>
        <s v="William Thibeault"/>
        <s v="Hammes Partners"/>
        <s v="David Becker"/>
        <s v="David Brobst"/>
        <s v="Chris Clark"/>
        <s v="Emmert Development"/>
        <s v="VIA Development"/>
        <s v="PolarOnyx, Inc."/>
        <s v="Erdmann Properties LLC"/>
        <s v="JV; Stockbridge &amp; Rosenthal"/>
        <s v="Calidus Holdings"/>
        <s v="SSRT Realty, LLC - Naperville, IL"/>
        <s v="USFS Springville LLC"/>
        <s v="Bluff Ventures LP"/>
        <s v="Engeman Holdings"/>
        <s v="Global capital Funding LLC"/>
        <s v="AST Farms LLC"/>
        <s v="Santokh Toor"/>
        <s v="BHBL Properties LLC"/>
        <s v="J2 Properties"/>
        <s v="Connie Baugh"/>
        <s v="Chris Fletcher"/>
        <s v="Eward Kennedy Community Health"/>
        <s v="Pamela Griggs"/>
        <s v="Garcia Cars"/>
        <s v="OAG Resources, Inc."/>
        <s v="Rexford Industrial Realty"/>
        <s v="John Chappell"/>
        <s v="Daniel Buckley"/>
        <s v="Vincent Carran"/>
        <s v="Chase Partners, Ltd."/>
        <s v="Mark Cali"/>
        <s v="Shane Forde"/>
        <s v="Avery Capital"/>
        <s v="Finmarc Management"/>
        <s v="Shulman Family Trust"/>
        <s v="Value Investment Group"/>
        <s v="Ali Mozayeni"/>
        <s v="Tim McGourty"/>
        <s v="RX Real Estate"/>
        <s v="Adam Thiel"/>
        <s v="Daniel Mellinkoff"/>
        <s v="R E Crawford Construction"/>
        <s v="Julie Freeman"/>
        <s v="Xenia Management"/>
        <s v="Net Lease Capital"/>
        <s v="Haven Property Management"/>
        <s v="Janie Lee Kissel"/>
        <s v="Sunset Investors"/>
        <s v="WP Carey, Inc."/>
        <s v="Mark Haroldson"/>
        <s v="Andrew Miller"/>
        <s v="Pasco County"/>
        <s v="JC Capital Holding"/>
        <s v="MTV Realty"/>
        <s v="CIDC"/>
        <s v="Matthew Dodson"/>
        <s v="VA"/>
        <s v="Paul Van Konynenburg"/>
        <s v="R&amp;M Properties"/>
        <s v="Wen-Koang Lin"/>
        <s v="Parth Munshi"/>
        <s v="Dennis Judd"/>
        <s v="Hoty"/>
        <s v="Thomas Farley"/>
        <s v="Graham Infinite Properties"/>
        <s v="Shia Grunzweig"/>
        <s v="SSS Holdings"/>
        <s v="Curletto Family"/>
        <s v="Century Park Partners"/>
        <s v="Payam Tizabger"/>
        <s v="SECP Brunswick and Paris LLC"/>
        <s v="Ten13 Properties LLC"/>
        <s v="JV; Crowdstar &amp; Rising Realty"/>
        <s v="Charon Industries"/>
        <s v="Leon County"/>
        <s v="Indyva, LLC"/>
        <s v="Brandon Strahan"/>
        <s v="Strategic Government Properties"/>
        <s v="James Engelage"/>
        <s v="Generation Income Properties"/>
        <s v="Nelson Trust"/>
        <s v="Foundation Investment Series 6 LLC"/>
        <s v="Cement Masons Union"/>
        <s v="SSBL LLC"/>
        <s v="Linda Brown"/>
        <s v="JW Housing Solutions"/>
        <s v="John Rymes"/>
        <s v="Toda America, Inc."/>
        <s v="Cacus LLC"/>
        <s v="Stutes Property Group"/>
        <s v="Mark Latsios"/>
        <s v="Jiayan Tan"/>
        <s v="Sivakumar"/>
        <s v="Cook Land"/>
        <s v="Harrod Properties"/>
        <s v="TB Ventures LLC"/>
        <s v="Hexum Companies"/>
        <s v="Steven Shulman"/>
        <s v="Stanton Road Capital"/>
        <s v="Edmond Lim"/>
        <s v="Ameya Investments LLC"/>
        <s v="Aspen Invesment Properties"/>
        <s v="Ares Industrial"/>
        <s v="Peter Polydor"/>
        <s v="WAC"/>
        <s v="Deka Immobilien"/>
        <s v="Jeanne Carmichael Family"/>
        <s v="Charles Whitehurst"/>
        <s v="Nicholas Gierosky"/>
        <s v="John Safi"/>
        <s v="Morton Commercial Real Estate"/>
        <s v="Chapman Farms"/>
        <s v="TA Realty"/>
        <s v="Birchman"/>
        <s v="Jessica Lawson"/>
        <s v="BB Capital, LLC "/>
        <s v="Kimpton"/>
        <s v="Mario Gatto"/>
        <s v="Ronald Rossiter"/>
        <s v="Mort Certilman"/>
        <s v="Bobby Stark"/>
        <s v="Bluff Ventures"/>
        <s v="Acquest Development"/>
        <s v="Postal Realty "/>
        <s v="Wayne Jones LLC"/>
        <s v="Asheville MOB LLC"/>
        <s v="Postal Building"/>
        <s v="Crisp Investments"/>
        <s v="Jason Farino"/>
        <s v="Park De Ville Trio LLC"/>
        <s v="Kelli Bullock"/>
        <s v="Steven Hunt"/>
        <s v="Green Valley Realty"/>
        <s v="SGP"/>
        <s v="Jon Jernigan"/>
        <s v="Sea N Blue LLC"/>
        <s v="Elman Associates"/>
        <s v="Edwin Feo"/>
        <s v="Alyo Realty"/>
        <s v="Municipal Acquisitions"/>
        <s v="Keylyn Investments"/>
        <s v="Mermelstein Development"/>
        <s v="Price-Williams Realty"/>
        <s v="Carolyn Keenan"/>
        <s v="Community Counseling Center"/>
        <s v="334 Properties LLC"/>
        <s v="Sud Family"/>
        <s v="Robert Potts"/>
        <s v="Duchene Family Trust"/>
        <s v="Candlefire One Trust"/>
        <s v="All Phase Electrical Construction"/>
        <s v="Radhika Roa"/>
        <s v="Ashland 59th"/>
        <s v="Jamison Services"/>
        <s v="Elman Investors"/>
        <s v="Jud Heflin"/>
        <s v="Krausz Co."/>
        <s v="Ottumwa Medical Clinic"/>
        <s v="BAF Associates"/>
        <s v="Acharya"/>
        <s v="Mental Health Cooperative"/>
        <s v="Courter Enterprises"/>
        <s v="The Wonderful Co."/>
        <s v="Flagship Healthcare Properties"/>
        <s v="Bnos Zion of Bobc"/>
        <s v="Catalyst Capital"/>
        <s v="Todd Fisher"/>
        <s v="Wayne Nishio"/>
        <s v="VICA Capital"/>
        <s v="Chelo Dublin"/>
        <s v="Rohit Kumar"/>
        <s v="Onward Investors"/>
        <s v="Penache"/>
        <s v="Park West Realty"/>
        <s v="Gary Green"/>
        <s v="Sathyamoorthy"/>
        <s v="Eric Steinmann"/>
        <s v="Eugene Chang"/>
        <s v="Abbott Land"/>
        <s v="Mullan Road Commercial LLC"/>
        <s v="Summit Financial Group"/>
        <s v="Graceada Partners"/>
        <s v="Woodfield Investments"/>
        <s v="Raczuk"/>
        <s v="CheerLand"/>
        <s v="The Casey Brown Co"/>
        <s v="Galen Craun"/>
        <s v="Pinnacle Healthcare"/>
        <s v="Chopp Holdings"/>
        <s v="Legend Development"/>
        <s v="Robert Maslow"/>
        <s v="Chesnut Funds"/>
        <s v="Hemisphere Ltd."/>
        <s v="John Schmid"/>
        <s v="Cal West Real Estate"/>
        <s v="S&amp;S Broadway, Inc"/>
        <s v="Craig Chapman"/>
        <s v="Innovatus Capital"/>
        <s v="Vincent CampoBasso"/>
        <s v="Washington Alliance Capital"/>
        <s v="The Meridian Group"/>
        <s v="Starlite Builders"/>
        <s v="David Gress"/>
        <s v="Bancroft Capital"/>
        <s v="JV; Signature Acquisitions &amp; AM Property Holding Corp."/>
        <s v="Robert Wilson"/>
        <s v="GSA"/>
        <s v="Jay Vinsel"/>
        <s v="Mowbray Waterman"/>
        <s v="Kevin Wolfe"/>
        <s v="JV"/>
        <s v="International Asset Management"/>
        <s v="RECA Capital"/>
        <s v="Larry Blackmon"/>
        <s v="Yolo Investments"/>
        <s v="Cherly Haley"/>
        <s v="GEM Realty Capital"/>
        <s v="Brogdon Consulting"/>
        <s v="Josh Harkavy"/>
        <s v="Peter Bollinger"/>
        <s v="Stephen Kern"/>
        <s v="Bruce Tutvedt"/>
        <s v="CoreCivic"/>
        <s v="The Daniel Group"/>
        <s v="Rick Kuper"/>
        <s v="Cramer Villas"/>
        <s v="Daniel Bunn"/>
        <s v="BlueSun"/>
        <s v="Samuel Frankel"/>
        <s v="Market Street Development"/>
        <s v="Hubris Capital"/>
        <s v="William Mclemore"/>
        <s v="West River Road LLC"/>
        <s v="Goodstone LLC"/>
        <s v="Richard Freeman"/>
        <s v="Peixin Wu"/>
        <s v="CDR Maguire, Inc."/>
        <s v="Cherry Hill Properties"/>
        <s v="IDS Real Estate"/>
        <s v="Srinivas Potluri"/>
        <s v="Ravindra Gangavaram"/>
        <s v="MGR Real Estate"/>
        <s v="Ryan Semanko"/>
        <s v="GPR Ventures"/>
        <s v="Flywheel Capital"/>
        <s v="PRP Real Estate"/>
        <s v="Albany Road"/>
        <s v="Victor Ortiz"/>
        <s v="Eagle Properties"/>
        <s v="Shimizu"/>
        <s v="Kenneth Fakler"/>
        <s v="Lyve LLC"/>
        <s v="Usher Steinmetz"/>
        <s v="JV; Dominion &amp; Blue Vista"/>
        <s v="MJR Development"/>
        <s v="Tyson Reynolds"/>
        <s v="Abdul F. Ohab"/>
        <s v="Sevenx Holdings"/>
        <s v="Peter Politis"/>
        <s v="James Brown"/>
        <s v="Michael and Jenny McClean"/>
        <s v="Nova Capital"/>
        <s v="Protea Properties"/>
        <s v="Black Heron Inv"/>
        <s v="Alfred Properties"/>
        <s v="Molly Huang"/>
        <s v="Seazen Capital Partners"/>
        <s v="Corner Rock Properties"/>
        <s v="Collision Works of Norman"/>
        <s v="Roebling"/>
        <s v="501 Industrial Ave"/>
        <s v="TerraCap"/>
        <s v="Gurman, LLC"/>
        <s v="Grubb Prop."/>
        <s v="Kristen Sitton"/>
        <s v="South Bay"/>
        <s v="Joshua Lasky"/>
        <s v="Kaiser Permanente"/>
        <s v="Paul Carosi"/>
        <s v="Kai Wang"/>
        <s v="Jeffrey Jones"/>
        <s v="Lake Washington Partners"/>
        <s v="Michael Kalish"/>
        <s v="Price Development Group"/>
        <s v="Nancy Gillick"/>
        <s v="Emad Azaki"/>
        <s v="Edmond Lau"/>
        <s v="Susquehanna Investments | Susquehanna Holdings"/>
        <s v="CHY Company"/>
        <s v="Autmatic Products"/>
        <s v="Travis Kiefer"/>
        <s v="Global Gate Capital"/>
        <s v="Adam Woods"/>
        <s v="Patricia Yuen/Jacob Fuchs"/>
        <s v="Tishman"/>
        <s v="OceanWest/Lionstone"/>
        <s v="Karla Peterson"/>
        <s v="Robert Nurisso"/>
        <s v="HHH Investment Company"/>
        <s v="Ocean West Capital Partners"/>
        <s v="John Zeiter"/>
        <s v="Circle P Ranch LLC"/>
        <s v="Bill Naito Company"/>
        <s v="Hines"/>
        <s v="Four Springs"/>
        <s v="Bill Bivens"/>
        <s v="The Nichols Company"/>
        <s v="Melody Lane Center LLC"/>
        <s v="CPB Realty"/>
        <s v="Douglas Webb"/>
        <s v="Cory Creekmore"/>
        <s v="Gerald Rowe"/>
        <s v="Sam Tune"/>
        <s v="Audrey Wiseman"/>
        <s v="SK Holdings"/>
        <s v="David Hanson"/>
        <s v="David and Lark Hanson"/>
        <s v="Stockton School District"/>
        <s v="JLB Capital"/>
        <s v="Krone Ranch"/>
        <s v="Nickdan LLC"/>
        <s v="Jerry Lens"/>
        <s v="AA Property"/>
        <s v="Capital Square Holdings LLC"/>
        <s v="Crockett Ranch, LP"/>
        <s v="Jon Allen"/>
        <s v="Georgetown University"/>
        <s v="Leeland Enterprises"/>
        <s v="Jeff Helm"/>
        <s v="Scott Crockett"/>
        <s v="Saban"/>
        <s v="John Ho"/>
        <s v="Donald Kells"/>
        <s v="Eighty LLC"/>
        <s v="Michele Maslow"/>
        <s v="Oaktree Capital"/>
        <s v="Craig Clark"/>
        <s v="Cardinal Group"/>
        <s v="Optimus Properties"/>
        <s v="Lisa Blackett"/>
        <s v="Pennybacker Capital"/>
        <s v="Colony Capital"/>
        <s v="Reli Holdings"/>
        <s v="Tutvedt Family"/>
        <s v="ICO Development"/>
        <s v="Clyde Batavia"/>
        <s v="Cynthia Management"/>
        <s v="Roxann Slater"/>
        <s v="Donald Cox"/>
        <s v="Forester Properties"/>
        <s v="Stiles"/>
        <s v="Highway 69 Outlet, Inc."/>
        <s v="V6 Properties"/>
        <s v="Noe Rangel"/>
        <s v="Constellar "/>
        <s v="Quintel Management"/>
        <s v="GI Partners"/>
        <s v="CBW Managements"/>
        <s v="Robert Easter"/>
        <s v="NC Postal Holdings LLC"/>
        <s v="Blayne Curtis"/>
        <s v="Panache NM"/>
        <s v="JEMA"/>
        <s v="Glickman"/>
        <s v="The Signatry"/>
        <s v="Karen Talle"/>
        <s v="Juarez"/>
        <s v="Square Deal Capital"/>
        <s v="Kelley Sarafa"/>
        <s v="Samko GP"/>
        <s v="Loren &amp; Tammy Duncan"/>
        <s v="Saipan Investment Group"/>
        <s v="MBRE Healthcare"/>
        <s v="Bypass Bocci Trust"/>
        <s v="Steve Claro"/>
        <s v="Spears Family Trust"/>
        <s v="Arch Street Capital"/>
        <s v="JV; Arch Street &amp; 20 Gates Management"/>
        <s v="James Tolan"/>
        <s v="Stone Commercial "/>
        <s v="Roger Maupin"/>
        <s v="Gardner Investment Properties"/>
        <s v="Alamshaw Investments, LLC"/>
        <s v="Dean Ngo"/>
        <s v="Peak Property"/>
        <s v="Davidson Kempner"/>
        <s v="T. Miller Corp."/>
        <s v="Charlie Tadema"/>
        <s v="Richard Schillawski"/>
        <s v="KB Exchange Trust"/>
        <s v="Yi Fend Investment"/>
        <s v="Marcia Smith"/>
        <s v="WestMAC"/>
        <s v="Conor Massey"/>
        <s v="Normandy"/>
        <s v="Zia Mirjavadi"/>
        <s v="Jennings Properties"/>
        <s v="Mount Pleasant SSA, LLC"/>
        <s v="Jeff Gillespie"/>
        <s v="Estrada Partners"/>
        <s v="James Warner"/>
        <s v="PRP LLC"/>
        <s v="Scheppke Real Estate"/>
        <s v="Mark Morgan"/>
        <s v="George Jackson"/>
        <s v="Mt Wood Champion"/>
        <s v="Arnaudo Bros. LP"/>
        <s v="Alliance Partners HSP"/>
        <s v="Rod Hoffman"/>
        <s v="Manulife REIT"/>
        <s v="Vinson Investments"/>
        <s v="Parkaway"/>
        <s v="Rahul Chaturvedi"/>
        <s v="Kingfisher Creek Austin"/>
        <s v="Gregory Currie"/>
        <s v="Steven Ganz"/>
        <s v="Richard Dailey"/>
        <s v="Rainier Companies"/>
        <s v="PS Business Parks"/>
        <s v="William Woodall"/>
        <s v="Howard Miller"/>
        <s v="ASI Management"/>
        <s v="Robert &amp; Cindy Chiu"/>
        <s v="Yong Shin"/>
        <s v="Loh-Deschaumes"/>
        <s v="Dakota Property Management"/>
        <s v="David Nickum"/>
        <s v="Schulman Family Trust"/>
        <s v="Granite Telecom"/>
        <s v="Marty Indvikk"/>
        <s v="Giusto Family Trust"/>
        <s v="Daniel Birk"/>
        <s v="Vanbarton Group"/>
        <s v="Jeff Dang"/>
        <s v="Jody Grass"/>
        <s v="Yuriko Suzuki"/>
        <s v="The Worsham Group"/>
        <s v="Sukut Construction, Inc."/>
        <s v="Magenta Sky Capital"/>
        <s v="Greenlaw Partners"/>
        <s v="State"/>
        <s v="Crystal Fox"/>
        <s v="Barry Lundgren"/>
        <s v="Richard Smith"/>
        <s v="Steve Barrese"/>
        <s v="John Neal"/>
        <s v="Jack Giusto"/>
        <s v="University of Kansas Health System"/>
        <s v="Azad Legacy Partners"/>
        <s v="Joseph Odom"/>
        <s v="Yonezawa Miller Co."/>
        <s v="Francisco Oliva"/>
        <s v="Spaulding &amp; Slye"/>
        <s v="Wharton Properties"/>
        <s v="Key Alliance LLC"/>
        <s v="Ralph Dinov"/>
        <s v="Spencer Waxman"/>
        <s v="KBS Strategic"/>
        <s v="Robert Grahm"/>
        <s v="SAC Holdings"/>
        <s v="Naomi Sobocinski"/>
        <s v="Realco, LLC"/>
        <s v="Capstone Equities"/>
        <s v="Shooting The Moon II, LLC"/>
        <s v="Kawa Capital Management"/>
        <s v="JS Federal Way"/>
        <s v="Dennis Berg"/>
        <s v="Sanns Holdings"/>
        <s v="Sanford Jacobs"/>
        <s v="Clyde Hladky"/>
        <s v="John Coscarat"/>
        <s v="Lockwood 1338 Broadway LLC"/>
        <s v="Heitman"/>
        <s v="Hana Asset Management"/>
        <s v="Global"/>
        <s v="Core Equity Partners"/>
        <s v="Halle Properties LLC"/>
        <s v="ASB Capital Management"/>
        <s v="Corporate Plaza, LC"/>
        <s v="Mehdi Motewelli"/>
        <s v="River Real Estate, LLC"/>
        <s v="166 Washington Ave"/>
        <s v="Soma Capital &amp; Hazelview"/>
        <s v="Diamond Bay Valencia"/>
        <s v="EBP, LLC"/>
        <s v="TH Real Estate"/>
        <s v="Karen Garrett"/>
        <s v="Shalmil"/>
        <s v="SALUS Government Properties"/>
        <s v="Bridgeton Holdings"/>
        <s v="Marv Kaercher"/>
        <s v="Imperial Group Management"/>
        <s v="Downing Construction"/>
        <s v="Primera Partners"/>
        <s v="John Losh"/>
        <s v="Verus Holdings"/>
        <s v="Pacific Oak Capital Advisors"/>
        <s v="Gray Oak Properies, LLC"/>
        <s v="Envision New York"/>
        <s v="Whal Properties"/>
        <s v="Scottsdale IM"/>
        <s v="MB Real Estate"/>
        <s v="Transwestern Investment Group"/>
        <s v="Mike Smith"/>
        <s v="Harold Present"/>
        <s v="Scannell Properties"/>
        <s v="Menlo Equities"/>
        <s v="Nationwide Postal Management"/>
        <s v="Hillel Bachrach"/>
        <s v="4849 Mesa JV"/>
        <s v="Atglen Management"/>
        <s v="Norwood Dev"/>
        <s v="KPI Commercial"/>
        <s v="Pacific Allied"/>
        <s v="Blackstone"/>
        <s v="RMR"/>
        <s v="Broyco Propertis"/>
        <s v="Goldman"/>
        <s v="Gladstone"/>
        <s v="Dick Hippo"/>
        <s v="Daniel Kamin Realty"/>
        <s v="Precision Investment"/>
        <s v="Rock Church"/>
        <s v="Paul Sherick"/>
        <s v="Steve Cole Trust"/>
        <s v="Woodbranch Management"/>
        <s v="Fresno Supreme Inc"/>
        <s v="Carter Validus"/>
        <s v="PBMB"/>
        <s v="Frances Cline"/>
        <s v="Conway Urgent Care"/>
        <s v="Keiser Trust"/>
        <s v="Yaakov Abdelnak"/>
        <s v="Rink Realty"/>
        <s v="Westlake Farms, Inc."/>
        <s v="Sentinel Rock Realty Trust"/>
        <s v="Olymbec USA"/>
        <s v="Jeff Harvey"/>
        <s v="MPFL Capital"/>
        <s v="Peter Dunn"/>
        <s v="Cherokee Equity Corp."/>
        <s v="MNOP, Inc."/>
        <s v="TDB Properties"/>
        <s v="Contrarian Capital"/>
        <s v="Harbor Group Int'l"/>
        <s v="S &amp; G Summerlinn, LLc "/>
        <s v="McCandless Ranch"/>
        <s v="Kramer-Wilson"/>
        <s v="Deschutes Properties, LLC"/>
        <s v="AMS Ranch"/>
        <s v="Yaakov Abdelhak"/>
        <s v="Mariano Pastor"/>
        <s v="BMS Management"/>
        <s v="George Snelling"/>
        <s v="Orange Stone Capital"/>
        <s v="Blount Property Investments"/>
        <s v="Dai Investments"/>
        <s v="Julianne Brawner"/>
        <s v="GST"/>
        <s v="Prime Group Holdings"/>
        <s v="Korea Investment Corp"/>
        <s v="Unizo"/>
        <s v="Jacob Andersen"/>
        <s v="Avignon Townhomes LLC"/>
        <s v="Hemsworth Family"/>
        <s v="Rosenthanl Properties"/>
        <s v="Rooker"/>
        <s v="Bains Holdings"/>
        <s v="Bauer Family Trust"/>
        <s v="Charles Company"/>
        <s v="NY Postal Properties"/>
        <s v="GC Properties"/>
        <s v="Covento Family"/>
        <s v="Charter School Capital"/>
        <s v="Clearview Investments"/>
        <s v="Shri Rena Estate"/>
        <s v="Jay Kalola"/>
        <s v="CentralColo"/>
        <s v="Seber Associates"/>
        <s v="Fresh &amp; Healthy"/>
        <s v="Edwin Houston"/>
        <s v="Erin Price"/>
        <s v="Kados Managments"/>
        <s v="Elliott Bay Capital"/>
        <s v="Yuan Partnership"/>
        <s v="Bernstein Management"/>
        <s v="Jumbo Capital Management"/>
        <s v="The Innovation Institute, LLC"/>
        <s v="VanTrust"/>
        <s v="Pepper Lane"/>
        <s v="Stephen Pettler"/>
        <s v="Robert Augenstein"/>
        <s v="Sam King Trust"/>
        <s v="RKKR Holdings"/>
        <s v="Taurus Investment Holdings"/>
        <s v="New York Life"/>
        <s v="Landmark Properties"/>
        <s v="Ten High"/>
        <s v="Hoty Enterprises"/>
        <s v="Esty Marom"/>
        <s v="Big Horn GSA LLC"/>
        <s v="iStar Financial"/>
        <s v="Nicholas Toronto"/>
        <s v="Hunter Bost"/>
        <s v="Farbman Associates"/>
        <s v="City Office REIT"/>
        <s v="Joseph Heger"/>
        <s v="Erez Haba"/>
        <s v="Pezold Management"/>
        <s v="Keith Lafond"/>
        <s v="Dimension Lumber"/>
        <s v="Brentwood Properties"/>
        <s v="The Riegler Group"/>
        <s v="McGwyne Management"/>
        <s v="Timber Ridge Real Estate"/>
        <s v="Bain Holdings"/>
        <s v="Experimental Holdings, Inc."/>
        <s v="State of Wisconsin (ROFR)"/>
        <s v="Majestic Realty Co."/>
        <s v="Joan Simpson"/>
        <s v="Bailey Scheurer"/>
        <s v="Meridian Group"/>
        <s v="Zion Drug"/>
        <s v="Michael Anderson"/>
        <s v="Chiapelone"/>
        <s v="Woodside Capital"/>
        <s v="Morton Certilman"/>
        <s v="Filice Estate Vineyards"/>
        <s v="KC Residence"/>
        <s v="Zurich North America"/>
        <s v="Cunningham Development Company"/>
        <s v="David Jones"/>
        <s v="Rooker Properties"/>
        <s v="McGee Commercial Real Estate"/>
        <s v="Benjamin Moll"/>
        <s v="CAP Holdings, LLC"/>
        <s v="Michael Martel"/>
        <s v="Rich Uncles"/>
        <s v="The Hearn Co."/>
        <s v="Elisabeth Stewart Trust"/>
        <s v="Coastal Community College District"/>
        <s v="Normandy/State of Wisconsin"/>
        <s v="Ronald Catanese"/>
        <s v="JV; Rockwod Capital &amp; Lincoln Property"/>
        <s v="Richard Young"/>
        <s v="CW Capital Management"/>
        <s v="Joseph Caldwell"/>
        <s v="JV; NLCA &amp; Scott Million"/>
        <s v="Michigan State Foundation"/>
        <s v="Eagle Canyon Capital"/>
        <s v="The Dilweg Companies"/>
        <s v="James Keefe"/>
        <s v="Perennial Investments"/>
        <s v="Capital Commercial Investments"/>
        <s v="Tim Powers"/>
        <s v="Shelbourne Global"/>
        <s v="Elo Group"/>
        <s v="Peter Brennan"/>
        <s v="Positive Investments"/>
        <s v="BBD Properties"/>
        <s v="Menashe Properties"/>
        <s v="ROK Acquisitions"/>
        <s v="Frank Hessel"/>
        <s v="SKS Real Estate LLC"/>
        <s v="CDJD, LLC"/>
        <s v="Neyer Properties"/>
        <s v="JV; Fortess &amp; Ocean West Capital"/>
        <s v="Colburn Patterson"/>
        <s v="Michael Earl"/>
        <s v="Redeemer Church"/>
        <s v="The Lighthouse Group"/>
        <s v="Spartan Boulevard Properties, LLC"/>
        <s v="Legend Properties"/>
        <s v="Jan Mehrazi"/>
        <s v="Christopher Kasten"/>
        <s v=" Ärzteversorgung Westfalen-Lippe"/>
        <s v="Grant General Contractors"/>
        <s v="Centurion Land Development"/>
        <s v="Hight Partnership"/>
        <s v="Lowder Investments"/>
        <s v="FCP"/>
        <s v="Parkstone Capital Partners"/>
        <s v="Duwaliya US Real Estate"/>
        <s v="Wells Fargo"/>
        <s v="Ronald Fink"/>
        <s v="AVS Partners"/>
        <s v="Legend Properties LLC"/>
        <s v="Axis Health"/>
        <s v="HMRC"/>
        <s v="ADM Camarillo"/>
        <s v="Clay &amp; Co"/>
        <s v="Takashi Watanabe"/>
        <s v="David Oddo"/>
        <s v="Clarion Partners"/>
        <s v="R2 Companies"/>
        <s v="Burro Creek LLC"/>
        <s v="Dennis Ferry"/>
        <s v="Global Logistics Properties, Ltd."/>
        <s v="John Lancaster"/>
        <s v="Westport Capital Partners"/>
        <s v="BRC Advisors"/>
        <s v="Jamestown Properties"/>
        <s v="Coarra LLC"/>
        <s v="2KLR Investments"/>
        <s v="Horseshoe Commerical"/>
        <s v="John Hancock Real Estate"/>
        <s v="Nacey Family"/>
        <s v="Cohen Equities"/>
        <s v="Global Net Lease"/>
        <s v="Glenbrook Properties"/>
        <s v="North Tahoe Self Storage"/>
        <s v="Meridian West"/>
        <s v="TAU NY-NJ, LLC"/>
        <s v="Howard Fife"/>
        <s v="PGIM"/>
        <s v="Gulshan Minocha"/>
        <s v="My Viet LLC"/>
        <s v="Matthew Wilson"/>
        <s v="Benjamin LaParne"/>
        <s v="Guy Travers"/>
        <s v="Select Capital Commercial Properties"/>
        <s v="Bissell"/>
        <s v="JV; Parallel Capital Partners &amp; Angelo Gordon"/>
        <s v="Arizcuren"/>
        <s v="Douglas Development Corp. &amp; Nakash Brothers Realty"/>
        <s v="Charles Beck"/>
        <s v="Galveston Driftwood"/>
        <s v="James J. Keefe"/>
        <s v="UBS"/>
        <s v="Southern SSA LLC"/>
        <s v="Wesport Capital Partners"/>
        <s v="Floreat Lee LLC"/>
        <s v="Griffin Partners"/>
        <s v="Urban Investment Management Corp."/>
        <s v="Ron Sharp"/>
        <s v="Founders Properties"/>
        <s v="Peter Hansen"/>
        <s v="Bradford Walsh"/>
        <s v="Ross Kaufmann"/>
        <s v="Westmont"/>
        <s v="Wiltshire Real Estate"/>
        <s v="The JBG Companies"/>
        <s v="Courthouse Square LLP"/>
        <s v="Welsh Properties LP"/>
        <s v="JV; Fairway Investments &amp; Triad Properties"/>
        <s v="Vectra Management"/>
        <s v="North Stonestreet LLC"/>
        <s v="Karlin Real Estate"/>
        <s v="Kurt Ballier"/>
        <s v="CDJC"/>
        <s v="CBRE Global Investors"/>
        <s v="Senthil Kumar Ranganathan"/>
        <s v="Buchanan Street Partners"/>
        <s v="Martin Enterprises"/>
        <s v="Phillip Thieda"/>
        <s v="Tritower Financial Group"/>
        <s v="Barwick Poelstra"/>
        <s v="M &amp; J Wilkow"/>
        <s v="New York City REIT, Inc."/>
        <s v="Ivancovich Family Trust"/>
        <s v="Baker-Properties, Ltd. "/>
        <s v="Thor Equities"/>
        <s v="Michael Fishman"/>
        <s v="LAT Farming Trust"/>
        <s v="JUDGE JAMESON FEDERAL BUILDING"/>
        <s v="Roe Family Trust"/>
        <s v="Property Revival Realty"/>
        <s v="Syndicated Equities"/>
        <s v="Terreno Realty Corporation"/>
        <s v="Steve Hutton"/>
        <s v="Empire Square Group"/>
        <s v="Susan Mitrano"/>
        <s v="York Family Trust"/>
        <s v="John Cordell"/>
        <s v="Wynnewood Development"/>
        <s v="Real Capital Solutions"/>
        <s v="The Bluestone Group"/>
        <s v="JV; Princeton &amp; The Bluestone Group"/>
        <s v="Douglas W Kim"/>
        <s v="Echo Street"/>
        <s v="Erik Barton"/>
        <s v="AMS Ranch, Inc."/>
        <s v="Colliers International"/>
        <s v="90 North Group"/>
        <s v="Jordan Family Holdings"/>
        <s v="Brentwood Financial Services LLC"/>
        <s v="Rust Communications"/>
        <s v="Shoultz Asset Managmenet"/>
        <s v="IGIS Asset Management"/>
        <s v="Hyundai Securities"/>
        <s v="SMARTCAP Group"/>
        <s v="Anthony Cavagnuolo"/>
        <s v="Robinson Investments Ltd"/>
        <s v="JV; Sagic &amp; Ladder"/>
        <s v="John Stephens"/>
        <s v="Tim Strange"/>
        <s v="JV; AEW Capital &amp; MRP Realty"/>
        <s v="Brady Sullivan"/>
        <s v="Sanantoniova LLC"/>
        <s v="Lancaster Ranch Inc."/>
        <s v="Arden Way, Sacramento, LLC"/>
        <s v="CWC Capital"/>
        <s v="Maritus LLC"/>
        <s v="Jack Finch"/>
        <s v="Jill Knowlton"/>
        <s v="Healthpeak Properties, Inc."/>
        <s v="TL Investments, Inc."/>
        <s v="Jerry Whitehead"/>
        <s v="Federal Partners"/>
        <s v="Moss Atkinson Trust"/>
        <s v="William Strange"/>
        <s v="Victor Quan"/>
        <s v="Sandy Hyun"/>
        <s v="Robert Erlich"/>
        <s v="Mid Atlantic Partners"/>
        <s v="Ray Piontek"/>
        <s v="Randolph Family"/>
        <s v="Larry Sharp"/>
        <s v="James Barbe"/>
        <s v="Gerald Roberts"/>
        <s v="Advanced Property Management"/>
        <s v="ARCG"/>
        <s v="Bruce Ginsberg"/>
        <s v="VEREIT"/>
        <s v="Unico Properties"/>
        <s v="Berman Enterprises"/>
        <s v="EY Ventures LLC"/>
        <s v="B&amp;L Investments"/>
        <s v="ARCP"/>
        <s v="William Frehse"/>
        <s v="Fairway Equities"/>
        <s v="Gary Van Acker"/>
        <s v="Price LeBlanc"/>
        <s v="Adrian Stern"/>
        <s v="Parallel Capital Partners"/>
        <s v="Grouper"/>
        <s v="NexGen Properties"/>
        <s v="David Hungerford"/>
        <s v="Pacific Realty Commercial, LLC"/>
        <s v="Howard Ecker &amp; Co."/>
        <s v="Timoth Peach"/>
        <s v="G4 Wolfpack Properties"/>
        <s v="Beverly Wilshire"/>
        <s v="11753 West Florissant Avenue"/>
        <s v="Eleonora Carina Zocco"/>
        <s v="Cole Capital"/>
        <s v="Coffey Ranch"/>
        <s v="Coffee Ranch"/>
        <s v="SALUS Government Properties; JV Thompson Golden"/>
        <s v="City of Warren"/>
        <s v="The Malkin Family"/>
        <s v="Terreno Realty Corp"/>
        <s v="SMT Interests"/>
        <s v="Somers Family Living Trust"/>
        <s v="Cabot Properties"/>
        <s v="LPIW LLC"/>
        <s v="Able Investment Services"/>
        <s v="Patrick McCoy"/>
        <s v="Albert Nigri"/>
        <s v="Goodier Properties"/>
        <s v="Argonaut Investments"/>
        <s v="Freestone Capital"/>
        <s v="James Sears"/>
        <s v="Terry Mathis"/>
        <s v="Collins Family Trust"/>
        <s v="Adam Trautner"/>
        <s v="Crist Motel, Inc."/>
        <s v="MCAW Properties"/>
        <s v="FD Stonewater"/>
        <s v="JV; East End Capital &amp; BentallGreen Oak"/>
        <s v="First Potomac Realty Trust"/>
        <s v="William Marshall"/>
        <s v="Robert A Barnich Trust"/>
        <s v="Premia Capital"/>
        <s v="Silverang Development Company"/>
        <s v="Gerber Properties, Ltd."/>
        <s v="Gerber Management, Inc."/>
        <s v="Jack Raymond"/>
        <s v="Capital Square"/>
        <s v="United North America Investment LLC"/>
        <s v="Nalini Bhalla"/>
        <s v="David Thompson"/>
        <s v="James Kornoff"/>
        <s v="Joseph Nakash"/>
        <s v="Titanium Real Estate Advisors"/>
        <s v="LNR Partners"/>
        <s v="Northland Associates LLC"/>
        <s v="Joe Kopszynski"/>
        <s v="Rob Fallow"/>
        <s v="Friedphil Realty Corp."/>
        <s v="ZJBV PROPERTIES LLC"/>
        <s v="Sppott Investments LLC"/>
        <s v="Atapco Properties, Inc."/>
        <s v="JJ Assets"/>
        <s v="Peter &amp; Linda Chan"/>
        <s v="SK Realty Management"/>
        <s v="Paul Ash Management"/>
        <s v="Pearl of Art LLC"/>
        <s v="Joshua Podell"/>
        <s v="Procacci Development"/>
        <s v="Trust Land Office"/>
        <s v="Vaughn Swanson"/>
        <s v="Cantor"/>
        <s v="French Hill Realty"/>
        <s v="Lloyd Companies"/>
        <s v="BULU IV"/>
        <s v="Quinn Investors"/>
        <s v="Martha Hubbard"/>
        <s v="Andsmith Commercial"/>
        <s v="Nakash Enterprises"/>
        <s v="Frank Mandel"/>
        <s v="Aegeon Grain &amp; Cattle"/>
        <s v="HAI Advisors"/>
        <s v="Saban Capital"/>
        <s v="Alan Highstreet"/>
        <s v="R Realty LLC"/>
        <s v="Saban Capital Group"/>
        <s v="Western Edge Properties"/>
        <s v="BB&amp;T"/>
        <s v="Griffin American"/>
        <s v="Imperium North Ninth LLC"/>
        <s v="Carr Development"/>
        <s v="Schauer Enterprises"/>
        <s v="Gatehouse"/>
        <s v="DRA Advisors"/>
        <s v="Luis Caballero"/>
        <s v="ViaWest Properties"/>
        <s v="5130 WEST NORTH AVENUE LLC"/>
        <s v="JV; GI Partners &amp; Goldstar Group"/>
        <s v="Elegant View Office Properties LLC"/>
        <s v="Heathrow Forest"/>
        <s v="Sky Management Services"/>
        <s v="Cadence Trust"/>
        <s v="Caroline Corporation"/>
        <s v="MDR Inversiones"/>
        <s v="Jack Litke"/>
        <s v="Jose Olvera"/>
        <s v="Neal Sande"/>
        <s v="Digital Realty Trust"/>
        <s v="Cedar Lane Ranch"/>
        <s v="Nord Enterprises"/>
        <s v="Hovde Family"/>
        <s v="WOC LLC"/>
        <s v="Consilium Management"/>
        <s v="Gvest Capital"/>
        <s v="4310 BUILDING, LLC"/>
        <s v="Larry Grace"/>
        <s v="AG-LOWE EXECUTIVE PLAZA OWNER, L.L.C"/>
        <s v="Meritex Enterprises"/>
        <s v="Fred Efraim"/>
        <s v="Trinet West"/>
        <s v="Matan Companies"/>
        <s v="Lanikai Management"/>
        <s v="Secured Partners"/>
        <s v="Morgan Stanley"/>
        <s v="Consilium Investment Management"/>
        <s v="Artis REIT"/>
        <s v="Steven Cummings"/>
        <s v="Pius &amp; Grace Lee"/>
        <s v="Maloof Commercial Real Estate"/>
        <s v="Orton Development"/>
        <s v="Gibson Company"/>
        <s v="Weindog Ventures"/>
        <s v="PTP Management, Inc."/>
        <s v="Walton Street"/>
        <s v="Don Cianci Properties LLC"/>
        <s v="Aurora Center LLC"/>
        <s v="Florida State Board of Administration"/>
        <s v="CDE CRE LLC"/>
        <s v="Mark Leverett"/>
        <s v="HCI Partners"/>
        <s v="JV; Global &amp; Elman"/>
        <s v="CIM Properties"/>
        <s v="Preferred Development"/>
        <s v="Salus Government Properties, LLC"/>
        <s v="Bernard Monderer"/>
        <s v="El-Jaouhari LLC"/>
        <s v="Bruce Ash"/>
        <s v="Laker Development"/>
        <s v="Fortress"/>
        <s v="Spencer Siegel"/>
        <s v="T R Properties"/>
        <s v="228 Staten Island Main St LLC"/>
        <s v="Pars Inves"/>
        <s v="Adel Tousi"/>
        <s v="Washington REIT"/>
        <s v="James E Holmes Revocable Trust"/>
        <s v="L&amp;M Auto"/>
        <s v="Huges Properties"/>
        <s v="Friedphil Realty Corp"/>
        <s v="Douglas Stevenson"/>
        <s v="DCR Loan"/>
        <s v="DCR Loan Servicing"/>
        <s v="BLUE ONYX PROPERTIES, INC."/>
        <s v="Hunt Trust"/>
        <s v="Michael Vujovich"/>
        <s v="The ROC Fund"/>
        <s v="Victor Rauch"/>
        <s v="Woodard, LP"/>
        <s v="George Warren"/>
        <s v="Merced Capital"/>
        <s v="KQM, LLC"/>
        <s v="Villeneuve Investments Inc"/>
        <s v="Kent International"/>
        <s v="AWC American"/>
        <s v="Pardeep Patel"/>
        <s v="Steven Considine"/>
        <s v="Ray Fuller Farms, Inc."/>
        <s v="Chandrakant R. Ghantiwala"/>
        <s v="Jay Bruton"/>
        <s v="MacHealth Industries"/>
        <s v="American Assets Trust"/>
        <s v="Cambridge Property Group"/>
        <s v="Bypass Holdings"/>
        <s v="Angelo Gordon"/>
        <s v="Shrader Investments"/>
        <s v="Campanelli"/>
        <s v="DEAMO"/>
        <s v="GE Commercial Asset Finance"/>
        <s v="Simco Ventures"/>
        <s v="J &amp; J Alderwood"/>
        <s v="Cottonwood Management Co."/>
        <s v="blp Enterprises"/>
        <s v="ST. MICHAEL, LLC"/>
        <s v="Powder Horn Investments"/>
        <s v="Michael Larson"/>
        <s v="RML Investments"/>
        <s v="Reid Post Office II LLC"/>
        <s v="First Potomac"/>
        <s v="JV; PRP Real Estate &amp; Easterly"/>
        <s v="Audax Holdings"/>
        <s v="JV; BCRA &amp; Isreali Family"/>
        <s v="Velocity US"/>
        <s v="Bryon McKimmey"/>
        <s v="JV; Susquehanna &amp; Greenwich Land"/>
        <s v="JWCW LLC"/>
        <s v="McClellan Greensboro"/>
        <s v="Nelson Tsao-Wu &amp; Nancy Tsao-Wu Living Trust 2000"/>
        <s v="Mohr Family Trust"/>
        <s v="Redus"/>
        <s v="Darcom"/>
        <s v="Geyser Holdings"/>
        <s v="Traeger Trust"/>
        <s v="Northwestern Mutual"/>
        <s v="Invesco Realty"/>
        <s v="Jurovich, Inc."/>
        <s v="In-Rel Properties"/>
        <s v="Douglas Legum Development"/>
        <s v="Patricia A. Mayfield"/>
        <s v="Royal Palm Builders"/>
        <s v="Home S&amp;L Co of Youngtown OH"/>
        <s v="Westmar I LP"/>
        <s v="Burbeck Jersey Village LLC"/>
        <s v="Breihan Properties"/>
        <s v="Woodworth Capital"/>
        <s v="Homer Scoville"/>
        <s v="Bradley Bakke"/>
        <s v="Matthew Baker"/>
        <s v="Mass Postal Holdings"/>
        <s v="Arnold Fisher"/>
        <s v="Subotnick"/>
        <s v="Christopher Tanner"/>
        <s v="Anne Wilson"/>
        <s v="JV; Rainier, Net Lease Capital &amp; Ray Gee"/>
        <s v="RTCH Developments"/>
        <s v="Richard Srna"/>
        <s v="BMD Management"/>
        <s v="Andrew Johnson Bank"/>
        <s v="Don Buehner"/>
        <s v="James Maddox"/>
        <s v="Big B, Inc."/>
        <s v="Arboldea Corp"/>
        <s v="Ravenco Properties LLC"/>
        <s v="ABC Oersees"/>
        <s v="Burbeck One LP"/>
        <s v="T R Properties, Inc."/>
        <s v="Neman Family"/>
        <s v="Robert Feldgreber"/>
        <s v="Fred Fleming"/>
        <s v="WW Cole Group"/>
        <s v="Sosusa Family"/>
        <s v="RJ Properties"/>
        <s v="Rubald Associates"/>
        <s v="Heathcare Trust of America"/>
        <s v="Joseph Michael Pearson"/>
        <s v="William Walde"/>
        <s v="Alafia River Front"/>
        <s v="UrbanAmerica"/>
        <s v="Garett Blackman"/>
        <s v="Ernest Schofield"/>
        <s v="Urban America"/>
        <s v="Danny Ervin"/>
        <s v="Ritter Holdings"/>
        <s v="Justin Barton"/>
        <s v="Goldenberg &amp; Assoc."/>
        <s v="LS Capital"/>
        <s v="Arthur Weiss"/>
        <s v="Fong Family LLC"/>
        <s v="Marcus Adams Capital LLC"/>
        <s v="Viking Properties"/>
        <s v="Carolina Group LLC"/>
        <s v="GUR Nordhoff"/>
        <s v="Mohammad Admani"/>
        <s v="Jim Lyons"/>
        <s v="JV - Van Ness Property Group &amp; AREA Property Partners &amp; Polinger Development"/>
        <s v="MGP Real Estate, LLC"/>
        <s v="Howard CA Props BNPS"/>
        <s v="Selma Mini Storage LLC"/>
        <s v="Pelham Williams"/>
        <s v="AHC Funds"/>
        <s v="Craig &amp; Kurt Huffman"/>
        <s v="TYL Energy"/>
        <s v="CFM Realty &amp; Gene Willis"/>
        <s v="Burbeck Exchange Company LLC"/>
        <s v="CV Buffalo LLC"/>
        <s v="Mitsubishi Estate"/>
        <s v="Mariano LLC"/>
        <s v="Madison Realty"/>
        <s v="Kauri Investments"/>
        <s v="Yancey Properties"/>
        <s v="Jamie Harrison &amp;"/>
        <s v="Levitt Properties"/>
        <s v="444 Lafayette"/>
        <s v="John Flaherty"/>
        <s v="Accardo Arts"/>
        <s v="John Laucks Trust"/>
        <s v="Kan AM Group"/>
        <s v="Salon Pierre, Inc."/>
        <s v="Morgan Holdings"/>
        <s v="McLellan Propertiese"/>
        <s v="Michael Kupsch"/>
        <s v="Juliette Hooker"/>
        <s v="Fred Smith"/>
        <s v="Amstar"/>
        <s v="MAV Holdings LLC"/>
        <s v="Starbury Management"/>
        <s v="Don Wharton"/>
        <s v="Highwoods"/>
        <s v="Genesis Financial Group, Inc."/>
        <s v="Isaac Organization"/>
        <s v="Fred Hines"/>
        <s v="Board of Regents"/>
        <s v="Sheamus Michols LLC"/>
        <s v="Sun 1031"/>
        <s v="Emerson Ventures II, LP"/>
        <s v="Cambra Realty"/>
        <s v="Williams Roberts"/>
        <s v="Worsley Investment"/>
        <s v="Meridian West Apartments"/>
        <s v="David McAlpin"/>
        <s v="KBS Real Estate"/>
        <s v="Divco West Services"/>
        <s v="Broadreach Capital"/>
        <s v="Hogback South Carolina LLC"/>
        <s v="WKL Investments"/>
        <s v="Robert Premiere"/>
        <s v="TerraLux, Inc."/>
        <s v="Leavitt Properties"/>
        <s v="Michael Cabak"/>
        <s v="CF Funding"/>
        <s v="Gazit Group USA, Inc."/>
        <s v="Thurner Industries"/>
        <s v="Mike Ostrow Real Estate"/>
        <s v="Klaff Realty"/>
        <s v="Three Pines One, LLC"/>
        <s v="Roy &amp; Madalena Farrow"/>
        <s v="Marc Barmazel"/>
        <s v="Weiner Properties"/>
        <s v="Gustafson Trust"/>
        <s v="Equity Development"/>
        <s v="Patricia Mahaffey"/>
        <s v="John Traeger Trust"/>
        <s v="Degalopa"/>
        <s v="Dividend Capital DPF"/>
        <s v="HPI/ACORE"/>
        <s v="Ailani North Dixie"/>
        <s v="COF Realty"/>
        <s v="RTSP Properties"/>
        <s v="Standridge &amp; Jackson"/>
        <s v="Franklin Meadows Properties/Donald Saylor"/>
        <s v="Celia Tom"/>
        <s v="Tom Wallace"/>
        <s v="St Louis LLC"/>
        <s v="New Hampshire South, LLC"/>
        <s v="BSC Properties, Inc."/>
        <s v="Brickman"/>
        <s v="Mohammed Mirza"/>
        <s v="13151 W Alameda Parkway LLC"/>
        <s v="Normandy Real Estate Partners"/>
        <s v="First Industrial"/>
        <s v="Marina Lakes LLC"/>
        <s v="Tim Thompson"/>
        <s v="Millett Properties, Inc."/>
        <s v="JV; Rockpoint Group &amp; MRP Realty"/>
        <s v="Monday Properties &amp; AREA Property Partners"/>
        <s v="Gerlicher"/>
        <s v="Dweck Properties"/>
        <s v="CapLease"/>
        <s v="Ronel LLC"/>
        <s v="Ronel, LLC"/>
        <s v="TIAA-CREF"/>
        <s v="Marilyn Beam"/>
        <s v="Boston Properties"/>
        <s v="GE Capital"/>
        <s v="P D Property Management LLC"/>
        <s v="Multi-Investment Associates GP"/>
        <s v="PD Nevada Proeprty"/>
        <s v="Pacific Coast Properties, LP"/>
        <s v="MSB Pryamid"/>
        <s v="Lee Mudrick"/>
        <s v="Tolson Enterprises"/>
        <s v="Patricia Jones Trust"/>
        <s v="Penguin Industries, Inc."/>
        <s v="Oregon PERS"/>
        <s v="Brookwood Financial Partners"/>
        <s v="FP Hanover AB LLC"/>
        <s v="Frank Sargent"/>
        <s v="Decatur Properties"/>
        <s v="Donald Sharpe"/>
        <s v="Liberty Property Trust"/>
        <s v="Rainier"/>
        <s v="Norman Properties"/>
        <s v="Richard Q. Nye, Ltd."/>
        <s v="Equus Capital"/>
        <s v="Wanless Trust"/>
        <s v="Nationwide Realty Investors"/>
        <s v="Marbur Development Inc"/>
        <s v="GSA Group LLC"/>
        <s v="GE Asset Management"/>
        <s v="Frank Maestri"/>
        <s v="NorthStar"/>
        <s v="Wayne Hannah"/>
        <s v="AMLM LLC"/>
        <s v="JAX Landmark"/>
        <s v="Secure World Foundation"/>
        <s v="Saunders Property"/>
        <s v="Brookfield Properties"/>
        <s v="Record Realty"/>
        <s v="Levin Living Trust"/>
        <s v="Starbury"/>
        <s v="Sandy Acosta"/>
        <s v="Inland American Real Estate Trust"/>
        <s v="Millennium RE LLC"/>
        <s v="COPT"/>
        <s v="M&amp;H Investments"/>
        <s v="Joel Irving"/>
        <s v="GSS"/>
        <s v="J&amp;J Enterprises Property LLC"/>
        <s v="Salus"/>
        <s v="Genesis Financial Group"/>
        <s v="Stephen Goldberg Co."/>
        <s v="Jabez Properties"/>
        <s v="Michael Cristalli"/>
        <s v="Rubicon"/>
        <s v="Sequoia Properties"/>
        <s v="Klabzuba"/>
        <s v="JV; Chetrit Group &amp; Read Properties"/>
        <s v="JV; Meriwether Advisors &amp; Angelo Gordon"/>
        <s v="Capricine Investment Group"/>
        <s v="Carr Properties"/>
        <s v="Guggenheim"/>
        <s v="Lexington"/>
        <s v="First Corporate"/>
        <s v="Bryan DHS LLC"/>
        <s v="Greenleaf Square"/>
        <s v="268 Wilkesboro LLC"/>
        <s v="Levin Trust"/>
        <s v="States Duvall"/>
        <s v="Jackson Corporate Real Estate"/>
        <s v="Carotex Development"/>
        <s v="Barings"/>
        <s v="Seaton Benkowski &amp; Partners"/>
        <s v="Kodiak Capital Partners"/>
        <s v="Jana Collins LLC"/>
        <s v="Crossroads Partners"/>
        <s v="MRRIMB"/>
        <s v="Trinet West LLC"/>
        <s v="McWherter Properties"/>
        <s v="Gerlicher Company"/>
        <s v="Anthony Thompson"/>
        <s v="Francios Ledan"/>
        <s v="Richard Q. Nye, Ltd. Attorney"/>
        <s v="Stephen A. Goldberg Co."/>
        <s v="AION Partners"/>
        <s v="Williams Trust"/>
        <s v="Jared Chao"/>
        <s v="Kennedy-Wilson"/>
        <s v="Charles Steinmetiz"/>
        <s v="Richard Gillett"/>
        <s v="G &amp; R Investments of Bay County"/>
        <s v="Peoria LLC"/>
        <s v="Gerlicher Co LLC"/>
        <s v="HPI Group"/>
        <s v="Southwest Land"/>
        <s v="Richard Brooks"/>
        <s v="WCP Fairfax LLC"/>
        <s v="HDP Family Partnership"/>
        <s v="James Robertson"/>
        <s v="Sumitomo Corp."/>
        <s v="William Martin"/>
        <s v="Louis Rogers"/>
        <s v="Earnest Miller"/>
        <s v="Rubicon LLC"/>
        <s v="Springport, LLC"/>
        <s v="Principal Global Investors"/>
        <s v="HH Hub"/>
        <s v="Realmark Properties"/>
        <s v="JR Asheville"/>
        <s v="TA Associates"/>
        <s v="Joseph Harris"/>
        <s v="Warren Dedrick"/>
        <s v="Sonnenblick"/>
        <s v="Reginald Joyner"/>
        <s v="C&amp;H Properties LLC"/>
        <s v="Northmark Associates"/>
        <s v="WEH Capital"/>
        <s v="TIAA"/>
        <s v="Cammby's &amp; JBG Companies"/>
        <s v="Godfried Family Trust"/>
        <s v="Cornel Isfan"/>
        <s v="Donald Brothers"/>
        <s v="Don Tardy"/>
        <s v="S&amp;N Realty"/>
        <s v="Daehling Familty Trust"/>
        <s v="Kaneohe Ranch Company, Limited"/>
        <s v="LPC"/>
        <s v="Joseph Tamsberg"/>
        <s v="Craig Hausman"/>
        <s v="Pann Holdings"/>
        <s v="Allen Agency Real Estate"/>
        <s v="RREEF Funds"/>
        <s v="Peter Fleming"/>
        <s v="JBG Companies"/>
        <s v="Lyon Oil Co"/>
        <s v="Tutelian"/>
        <s v="AG/Corporate Center"/>
        <s v="Spauding &amp; Slye"/>
        <s v="Harry Hollins Trust"/>
        <s v="Wells REIT"/>
        <s v="Fairfax Fort Myers LLC"/>
        <s v="Schmid/Cook JV"/>
        <s v="Delma Properties"/>
        <s v="Columbia Office Properties Trust"/>
        <s v="Constance Wallace Trust"/>
        <s v="Hub Group"/>
        <s v="Barret Hilzer"/>
        <s v="Prium Companies LLC"/>
        <s v="DWS &amp; RREEF"/>
        <s v="Medical Office Buildings of Arkansas LLC"/>
        <s v="Mimi, Inc."/>
        <s v="Southwest Landmark"/>
        <s v="Roderick Seigle"/>
        <s v="Bryan Cave"/>
        <s v="Brookfield"/>
        <s v="Brewer Capital"/>
        <s v="IH Gainesville"/>
        <s v="Goodman Realty"/>
        <s v="North Building"/>
        <s v="Beech Properties"/>
        <s v="AJC Enterprises LLC"/>
        <s v="Centric Capital Partners"/>
        <s v="Akridge Cos"/>
        <s v="Douglas Kim"/>
        <s v="Timothy Bork"/>
        <s v="Tauras Investments"/>
        <s v="Williams Street Associates, LLC"/>
        <s v="Ronald &amp; Susan Volmer"/>
        <s v="Wells Operating"/>
        <s v="Washington Capital Management"/>
        <s v="William Sheeley"/>
        <s v="Blackmon Companies"/>
        <s v="Clearview Commercial"/>
        <s v="TrizeHahn"/>
        <s v="John McDonnell"/>
        <s v="William Scranage"/>
        <s v="Scribcor, Inc."/>
        <s v="Rise Marko Associates, Inc."/>
        <s v="Arsenault"/>
        <s v="Cousins Properties"/>
        <s v="JV; Walton Street &amp; Atlantic Realty"/>
        <s v="Carrolwood Crossing"/>
        <s v="Rocky Bluff LLC"/>
        <s v="Eland Energy"/>
        <s v="Cottle Holdings LLC"/>
        <s v="Rudolph Investments, Ltd."/>
        <s v="Wucher &amp; Green Valley"/>
        <s v="Encino Grande"/>
        <s v="Mark Friedman"/>
        <s v="Yvette DeGuero"/>
        <s v="Roe &amp; Roe, Inc."/>
        <s v="Crown Properties, Inc."/>
        <s v="Braddock Place"/>
        <s v="Gilah Properties LLC"/>
        <s v="Jordan Territory Enterprises"/>
        <s v="Rivertech, LLC"/>
        <s v="Pioneer, Inc."/>
        <s v="David Taylor"/>
        <s v="Clair Robinson"/>
        <s v="Lexington Realty"/>
        <s v="Richard Deihl"/>
        <s v="Alice Williams Trust"/>
        <s v="HUB Acqusition"/>
        <s v="South Central Oil Co. Inc."/>
        <s v="Laurel Realty"/>
        <s v="First Shattuck, LLC"/>
        <s v="CalSTERs"/>
        <s v="Sparks Regional Medical Center"/>
        <s v="Robert Levine"/>
        <s v="Richard Bowers"/>
        <s v="HPI Real Estate"/>
        <s v="Carlyle Investment Management"/>
        <s v="The Carlyle Group"/>
        <s v="JE Roberts Co."/>
        <s v="Warz Investments"/>
        <s v="Harvard Property"/>
        <s v="Elman Investors, Inc."/>
        <s v="Mack-Cali"/>
        <s v="HUB Properties Trust"/>
        <s v="Trenton Development"/>
        <s v="Ahmed Dakhil"/>
        <s v="Cadenhead Trust"/>
        <s v="CMD Realty"/>
        <s v="Spire"/>
        <s v="GFI Capital Resources"/>
        <s v="Deihl Family"/>
        <s v="Larson Family"/>
        <s v="Rocci Caringello"/>
        <s v="CMD Realty Investment Fund"/>
        <s v="Fairfax Center LLC"/>
        <s v="Rosecliff Realty Funding"/>
        <s v="John Moss"/>
        <s v="Beacon Properties"/>
        <s v="Ivanhoe-Bradsaw"/>
        <s v="Carr Realty"/>
        <s v="Causeway Holdings"/>
        <s v="Hannelore Crane"/>
        <s v="Archon"/>
        <s v="Healthcare Property Investors"/>
        <s v="Russell &amp; Associates"/>
        <s v="Christie Pawlak"/>
        <s v="Govprop Funding"/>
        <s v="NL Properties"/>
        <s v="Uniland Development"/>
        <s v="Papago Place"/>
        <s v="Vallco Park, Ltd."/>
        <s v="Perkos"/>
        <s v="Darryl Prop"/>
        <s v="Quadrangle Development"/>
        <s v="Archon Group"/>
        <s v="NY Life"/>
        <s v="Susanne Iann"/>
        <s v="GFR MEDIA, LLC"/>
        <s v="TANOTA RENTALS, LLC"/>
        <s v="Richard Tannenbaum"/>
        <s v="Henry Patel"/>
        <s v="Urban Spaces, LLC"/>
        <s v="PACIFICA PROPERTY MANAGEMENT COMPANY"/>
        <s v="JER Investors Trust"/>
        <s v="Bernard Weiss" u="1"/>
        <s v="Real Estate Holdings LLC" u="1"/>
        <s v="Charles Howard" u="1"/>
        <s v="Vaughn D Swanson" u="1"/>
        <s v="Robert Falsone" u="1"/>
        <s v="Hirth Real Estate Partnership" u="1"/>
        <s v="NGP Capital Partners" u="1"/>
        <s v="Gardner-Tanenbaum" u="1"/>
        <s v="David &amp; Sharon Chang" u="1"/>
        <s v="Elman Investors &amp; Josh Podell" u="1"/>
        <s v="K4 Investments" u="1"/>
        <s v="Westport Capital" u="1"/>
        <s v="Gale Wight" u="1"/>
        <s v="Kaiser Per" u="1"/>
        <s v="B.U.L.U. IV, LLC" u="1"/>
        <s v="Tanenbaum-Gardner" u="1"/>
        <s v="YORK GSA IRS/SSA, LLC" u="1"/>
        <s v="Malek Almassad" u="1"/>
        <s v="NGP" u="1"/>
        <s v="CW Capital" u="1"/>
        <s v="Capstone Commercial" u="1"/>
        <s v="Apif Minnesota LLC" u="1"/>
        <s v="Gofsco LLC" u="1"/>
        <s v="MPFL Capital LLC" u="1"/>
        <s v="Real Estate Capital Partners" u="1"/>
        <s v="Buffalo Realty - Palubicki, Brad" u="1"/>
        <s v="Paredium Investment Group, Inc." u="1"/>
        <s v="Osage Properties" u="1"/>
        <s v="Elman Investors &amp; Panache" u="1"/>
        <s v="Anderson &amp; Associates" u="1"/>
        <s v="Titanium Asset Management Corp" u="1"/>
        <s v="The Greystone Group" u="1"/>
        <s v="CW Capital " u="1"/>
        <s v="KJ" u="1"/>
        <s v="Rehab Associates XI, Inc." u="1"/>
        <s v="GIPNC 201 Ethridge Road, LLC" u="1"/>
        <s v="Net Lease Property Advisorys" u="1"/>
        <s v="Mark Jones" u="1"/>
        <s v="Philadelphia GSA, LLC" u="1"/>
        <s v="UIRC" u="1"/>
        <s v="Paul Ash Management Co." u="1"/>
        <s v="Government Properties Income Trust" u="1"/>
        <s v="Urban Investment Research Corporation" u="1"/>
        <s v="Red Hook Capital Partners" u="1"/>
        <s v="Gian Sud" u="1"/>
        <s v="Lewis-Pipgras, Inc." u="1"/>
        <s v="Monterey VA Investors, LLC" u="1"/>
        <s v="JV; Coffey Ranch &amp; Genesis Financial" u="1"/>
        <s v="Subotnick Family Trust" u="1"/>
        <s v="Skelton" u="1"/>
        <s v="Boyd Watterson Real Estate Advisors (formerly: Titanium Real Estate Advisors)" u="1"/>
        <s v="PRP Real Estate Investors" u="1"/>
        <s v="Peter Hanson" u="1"/>
        <s v="Troy Bunner" u="1"/>
        <s v="SRS Investments" u="1"/>
        <s v="Vaugh Swanson" u="1"/>
        <s v="Michael Anderson Co" u="1"/>
        <s v="Rajesh Ailani" u="1"/>
        <s v="JDL Castle Corporation" u="1"/>
        <s v="Realty Income" u="1"/>
        <s v="WESTMAR I L.P." u="1"/>
        <s v="LAKE CHARLES COURTHOUSE ASSOCIATES LLC" u="1"/>
        <s v="Yonezawa" u="1"/>
        <s v="Tom Cookson" u="1"/>
        <s v="Echo Stree t" u="1"/>
        <s v="Efraim &amp; Associates Inc" u="1"/>
        <s v="American Infrastructure Funds" u="1"/>
        <s v="Martin Couture" u="1"/>
        <s v="Roy Farrow" u="1"/>
        <s v="Dimension Lumber and Milling Corp" u="1"/>
        <s v="Goldman Sachs &amp; Co." u="1"/>
        <s v="Timothy Peach" u="1"/>
        <s v="No Contact - Gary Flynn" u="1"/>
        <s v="Birmingham USPS LLC" u="1"/>
        <s v="Gardner Tannenbaum" u="1"/>
        <s v="Genesis" u="1"/>
        <s v="UNIVERSITY OF MEMPHIS" u="1"/>
        <s v="GH Wichita Fallas LLC" u="1"/>
        <s v="Holmwood Capital" u="1"/>
        <s v="WAC Group" u="1"/>
        <s v="Government Properties Trust, Inc." u="1"/>
        <s v="Don Hanson" u="1"/>
        <s v="JV; Elman &amp; VEREIT" u="1"/>
        <s v="Government Properties Trust, Inc.(see 127736)" u="1"/>
        <s v="Rising Realty Partners" u="1"/>
        <s v="REVA" u="1"/>
        <s v="Q6 Office I, LLC" u="1"/>
        <s v="Echo Stree" u="1"/>
        <s v="George Miller" u="1"/>
        <s v="Coarra Washingting Investments LLC" u="1"/>
        <s v="YORK, TERRALL" u="1"/>
        <s v="Cathy Russell" u="1"/>
        <s v="Select Income REIT | The RMR Group" u="1"/>
        <s v="Syndicated Equities Corporation" u="1"/>
        <s v="Gary Mandelbaum" u="1"/>
        <s v="Government Investment Partners" u="1"/>
        <s v="Inclenberg Investments LLC" u="1"/>
        <s v="Gardner Tanenbaum Holdings" u="1"/>
        <s v="Frank Pipgras" u="1"/>
        <s v="Tim Williams" u="1"/>
        <s v="Lacombe GSA, LLC" u="1"/>
        <s v="Investors Title Exchange Corporation" u="1"/>
        <s v="No Contact - OK Arthritis" u="1"/>
        <s v="The Bocci Bypass Trust" u="1"/>
        <s v="Elman/John Moss" u="1"/>
        <s v="Alpha Development" u="1"/>
        <s v="Matthew Garner" u="1"/>
        <s v="Hal Trifon" u="1"/>
        <s v="Global/Elman" u="1"/>
      </sharedItems>
    </cacheField>
    <cacheField name="Bstate" uniqueList="1" numFmtId="165" sqlType="0" hierarchy="0" level="0" databaseField="1">
      <sharedItems count="0" containsBlank="1"/>
    </cacheField>
    <cacheField name="Type2" uniqueList="1" numFmtId="165" sqlType="0" hierarchy="0" level="0" databaseField="1">
      <sharedItems count="0" containsBlank="1"/>
    </cacheField>
    <cacheField name="P. BROKER" uniqueList="1" numFmtId="165" sqlType="0" hierarchy="0" level="0" databaseField="1">
      <sharedItems count="0" containsBlank="1"/>
    </cacheField>
    <cacheField name="DEVELOPER" uniqueList="1" numFmtId="165" sqlType="0" hierarchy="0" level="0" databaseField="1">
      <sharedItems count="0" containsBlank="1"/>
    </cacheField>
    <cacheField name="INITIAL PRICE" uniqueList="1" numFmtId="6" sqlType="0" hierarchy="0" level="0" databaseField="1">
      <sharedItems count="0" containsBlank="1" containsNumber="1" containsString="0" minValue="49500" maxValue="515000000"/>
    </cacheField>
    <cacheField name="INITIAL CAP" uniqueList="1" numFmtId="10" sqlType="0" hierarchy="0" level="0" databaseField="1">
      <sharedItems count="0" containsBlank="1" containsMixedTypes="1" containsNumber="1" minValue="0.03380936170212766" maxValue="0.2102521212121212"/>
    </cacheField>
    <cacheField name="% of Int Ach" uniqueList="1" numFmtId="9" sqlType="0" hierarchy="0" level="0" databaseField="1">
      <sharedItems count="0" containsBlank="1" containsMixedTypes="1" containsNumber="1" minValue="0.4135678391959799" maxValue="1.077694235588972"/>
    </cacheField>
    <cacheField name="LAST PRICE" uniqueList="1" numFmtId="6" sqlType="0" hierarchy="0" level="0" databaseField="1">
      <sharedItems count="0" containsBlank="1" containsNumber="1" containsString="0" minValue="49500" maxValue="515000000"/>
    </cacheField>
    <cacheField name="LAST CAP" uniqueList="1" numFmtId="10" sqlType="0" hierarchy="0" level="0" databaseField="1">
      <sharedItems count="0" containsBlank="1" containsMixedTypes="1" containsNumber="1" minValue="0.03520633597332222" maxValue="0.2102521212121212"/>
    </cacheField>
    <cacheField name="BID-ASK SPREAD" uniqueList="1" numFmtId="10" sqlType="0" hierarchy="0" level="0" databaseField="1">
      <sharedItems count="0" containsBlank="1" containsMixedTypes="1" containsNumber="1" minValue="-0.005958928571428573" maxValue="0.09572168985877139"/>
    </cacheField>
    <cacheField name="PRICE CHG" uniqueList="1" numFmtId="165" sqlType="0" hierarchy="0" level="0" databaseField="1">
      <sharedItems count="0" containsBlank="1"/>
    </cacheField>
    <cacheField name="ON MARKET" uniqueList="1" numFmtId="165" sqlType="0" hierarchy="0" level="0" databaseField="1">
      <sharedItems count="0" containsBlank="1" containsDate="1" containsNonDate="0" containsString="0" minDate="1997-04-22T00:00:00" maxDate="2024-03-06T00:00:00"/>
    </cacheField>
    <cacheField name="DOM" uniqueList="1" numFmtId="38" sqlType="0" hierarchy="0" level="0" databaseField="1">
      <sharedItems count="0" containsBlank="1" containsInteger="1" containsMixedTypes="1" containsNumber="1" minValue="2" maxValue="2200"/>
    </cacheField>
  </cacheFields>
</pivotCacheDefinition>
</file>

<file path=xl/pivotCache/pivotCacheRecords1.xml><?xml version="1.0" encoding="utf-8"?>
<pivotCacheRecords xmlns="http://schemas.openxmlformats.org/spreadsheetml/2006/main" count="3551">
  <r>
    <m/>
    <s v="DMV"/>
    <s v="State"/>
    <s v="Fee Simple"/>
    <s v="3281 Peoples Dr"/>
    <s v="Harrisburg"/>
    <s v="VA"/>
    <n v="2.22"/>
    <n v="1999"/>
    <n v="8528"/>
    <n v="8528"/>
    <n v="1"/>
    <n v="180367.2"/>
    <n v="21.15"/>
    <n v="144053"/>
    <n v="16.89176829268293"/>
    <d v="2024-02-01T00:00:00"/>
    <d v="2034-01-31T00:00:00"/>
    <d v="2034-01-31T00:00:00"/>
    <n v="9.627397260273973"/>
    <n v="9.627397260273973"/>
    <s v="Modified Gross"/>
    <s v="2% annually"/>
    <s v="None"/>
    <n v="2000000"/>
    <n v="234.5215759849906"/>
    <n v="0.07202649999999999"/>
    <m/>
    <d v="2024-06-18T00:00:00"/>
    <x v="0"/>
    <s v="HT; Danielson"/>
    <x v="0"/>
    <m/>
    <m/>
    <m/>
    <m/>
    <n v="2134133"/>
    <n v="0.06749954196856522"/>
    <n v="0.9371487156611139"/>
    <n v="2134133"/>
    <n v="0.06749954196856522"/>
    <n v="0.004526958031434769"/>
    <s v="No"/>
    <d v="2024-03-05T00:00:00"/>
    <n v="105"/>
  </r>
  <r>
    <s v="LOK01069"/>
    <m/>
    <s v="Federal"/>
    <s v="Fee Simple"/>
    <s v="3700 S MacArthur Blvd"/>
    <s v="Oklahoma City"/>
    <s v="OK"/>
    <n v="9.33"/>
    <n v="2008"/>
    <n v="44741"/>
    <n v="46000"/>
    <n v="0.9726304347826087"/>
    <n v="1199720.82"/>
    <n v="26.81479671889319"/>
    <m/>
    <s v=" "/>
    <d v="2023-07-31T00:00:00"/>
    <n v="51347"/>
    <d v="2038-07-30T00:00:00"/>
    <n v="16.2054794520548"/>
    <n v="14.2027397260274"/>
    <s v="Modified Gross"/>
    <s v="None"/>
    <s v="None"/>
    <n v="11000000"/>
    <n v="239.1304347826087"/>
    <s v=" "/>
    <m/>
    <d v="2024-05-20T00:00:00"/>
    <x v="1"/>
    <m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2830 McCarty Rd"/>
    <s v="Saginaw"/>
    <s v="MI"/>
    <n v="5"/>
    <n v="2022"/>
    <m/>
    <m/>
    <s v=" "/>
    <m/>
    <s v=" "/>
    <m/>
    <s v=" "/>
    <m/>
    <m/>
    <m/>
    <s v=" "/>
    <s v=" "/>
    <m/>
    <m/>
    <m/>
    <m/>
    <s v=" "/>
    <s v=" "/>
    <m/>
    <d v="2024-05-20T00:00:00"/>
    <x v="2"/>
    <s v="Colliers; Ficke"/>
    <x v="2"/>
    <s v="VA"/>
    <s v="Private"/>
    <m/>
    <m/>
    <m/>
    <s v=" "/>
    <s v=" "/>
    <m/>
    <s v=" "/>
    <s v=" "/>
    <s v=" "/>
    <m/>
    <s v=" "/>
  </r>
  <r>
    <s v="LFL00954"/>
    <s v="ICE"/>
    <s v="Federal"/>
    <s v="Fee Simple"/>
    <s v="9495 Delegates Dr"/>
    <s v="Orlando"/>
    <s v="FL"/>
    <n v="5.8"/>
    <n v="1996"/>
    <n v="49420"/>
    <n v="49420"/>
    <n v="1"/>
    <n v="1561565"/>
    <n v="31.59783488466208"/>
    <n v="1218000"/>
    <n v="24.64589235127479"/>
    <d v="2020-08-12T00:00:00"/>
    <n v="51359"/>
    <d v="2035-08-11T00:00:00"/>
    <n v="16.26849315068493"/>
    <n v="11.26301369863014"/>
    <s v="Modified Gross"/>
    <s v="None"/>
    <s v="None"/>
    <n v="16800000"/>
    <n v="339.943342776204"/>
    <n v="0.0725"/>
    <m/>
    <d v="2024-05-09T00:00:00"/>
    <x v="3"/>
    <m/>
    <x v="3"/>
    <s v="DC"/>
    <s v="REIT"/>
    <m/>
    <m/>
    <m/>
    <s v=" "/>
    <s v=" "/>
    <m/>
    <s v=" "/>
    <s v=" "/>
    <s v=" "/>
    <m/>
    <s v=" "/>
  </r>
  <r>
    <m/>
    <s v="ICE"/>
    <s v="Federal"/>
    <s v="Fee Simple"/>
    <s v="8222 N Belt Line Rd"/>
    <s v="Irving"/>
    <s v="TX"/>
    <n v="10.39"/>
    <n v="2000"/>
    <n v="135200"/>
    <n v="135200"/>
    <n v="1"/>
    <m/>
    <s v=" "/>
    <m/>
    <s v=" "/>
    <m/>
    <m/>
    <m/>
    <s v=" "/>
    <s v=" "/>
    <m/>
    <m/>
    <m/>
    <m/>
    <s v=" "/>
    <s v=" "/>
    <m/>
    <d v="2024-04-12T00:00:00"/>
    <x v="4"/>
    <m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380 W Anchor Rd"/>
    <s v="Dakota Dunes"/>
    <s v="SD"/>
    <n v="5.51"/>
    <n v="2018"/>
    <n v="24104"/>
    <n v="24104"/>
    <n v="1"/>
    <m/>
    <s v=" "/>
    <m/>
    <s v=" "/>
    <d v="2018-11-01T00:00:00"/>
    <n v="50709"/>
    <d v="2028-10-31T00:00:00"/>
    <n v="14.56438356164383"/>
    <n v="4.558904109589041"/>
    <s v="Modified Gross"/>
    <s v="None"/>
    <s v="None"/>
    <m/>
    <s v=" "/>
    <s v=" "/>
    <m/>
    <d v="2024-04-11T00:00:00"/>
    <x v="5"/>
    <s v="Trautvetter"/>
    <x v="2"/>
    <s v="VA"/>
    <s v="Private"/>
    <m/>
    <m/>
    <m/>
    <s v=" "/>
    <s v=" "/>
    <m/>
    <s v=" "/>
    <s v=" "/>
    <s v=" "/>
    <m/>
    <s v=" "/>
  </r>
  <r>
    <m/>
    <s v="VA"/>
    <s v="Federal"/>
    <s v="Fee Simple"/>
    <s v="2826 West Locust Street"/>
    <s v="Davenport"/>
    <s v="IA"/>
    <n v="4.49"/>
    <n v="2019"/>
    <n v="27778"/>
    <n v="33506"/>
    <n v="0.829045544081657"/>
    <m/>
    <s v=" "/>
    <m/>
    <s v=" "/>
    <d v="2019-06-01T00:00:00"/>
    <n v="50921"/>
    <d v="2029-05-31T00:00:00"/>
    <n v="15.14520547945206"/>
    <n v="5.13972602739726"/>
    <s v="Modified Gross"/>
    <s v="None"/>
    <s v="None"/>
    <n v="6969500"/>
    <n v="208.0075210410076"/>
    <s v=" "/>
    <m/>
    <d v="2024-04-11T00:00:00"/>
    <x v="5"/>
    <s v="Trautvetter"/>
    <x v="2"/>
    <s v="VA"/>
    <s v="Private"/>
    <m/>
    <m/>
    <m/>
    <s v=" "/>
    <s v=" "/>
    <m/>
    <s v=" "/>
    <s v=" "/>
    <s v=" "/>
    <m/>
    <s v=" "/>
  </r>
  <r>
    <m/>
    <s v="VA"/>
    <s v="Federal"/>
    <s v="Fee Simple"/>
    <s v="830 Chesapeake Dr"/>
    <s v="Cambridge"/>
    <s v="MD"/>
    <n v="7.75"/>
    <n v="1999"/>
    <n v="14480"/>
    <n v="14480"/>
    <n v="1"/>
    <n v="334633"/>
    <n v="23.1100138121547"/>
    <n v="286268"/>
    <n v="19.76988950276243"/>
    <d v="2022-07-09T00:00:00"/>
    <n v="48403"/>
    <d v="2027-07-08T00:00:00"/>
    <n v="8.263013698630138"/>
    <n v="3.257534246575343"/>
    <s v="Modified Gross"/>
    <s v="5% every 5"/>
    <s v="None"/>
    <n v="3418125"/>
    <n v="236.0583563535912"/>
    <n v="0.0837500091424392"/>
    <m/>
    <d v="2024-04-05T00:00:00"/>
    <x v="6"/>
    <s v="Colliers; Ficke"/>
    <x v="4"/>
    <s v="FL"/>
    <s v="Private"/>
    <m/>
    <m/>
    <m/>
    <s v=" "/>
    <s v=" "/>
    <m/>
    <s v=" "/>
    <s v=" "/>
    <s v=" "/>
    <d v="2023-11-28T00:00:00"/>
    <n v="129"/>
  </r>
  <r>
    <m/>
    <s v="VA"/>
    <s v="Federal"/>
    <s v="Fee Simple"/>
    <s v="9249 Highway 29 S"/>
    <s v="Athens"/>
    <s v="GA"/>
    <n v="3.37"/>
    <n v="1987"/>
    <n v="13168"/>
    <n v="13168"/>
    <n v="1"/>
    <m/>
    <s v=" "/>
    <n v="221650"/>
    <n v="16.83247266099636"/>
    <d v="2023-12-01T00:00:00"/>
    <n v="48913"/>
    <d v="2033-11-30T00:00:00"/>
    <n v="9.687671232876712"/>
    <n v="9.687671232876712"/>
    <s v="Full Service"/>
    <s v="2% annually"/>
    <s v="None"/>
    <n v="2750000"/>
    <n v="208.8396111786148"/>
    <n v="0.0806"/>
    <m/>
    <d v="2024-03-26T00:00:00"/>
    <x v="7"/>
    <s v="Daniel Marks"/>
    <x v="0"/>
    <m/>
    <m/>
    <m/>
    <m/>
    <n v="2860000"/>
    <n v="0.0775"/>
    <n v="0.9615384615384616"/>
    <n v="2860000"/>
    <n v="0.0775"/>
    <n v="0.003100000000000006"/>
    <s v="No"/>
    <d v="2023-10-23T00:00:00"/>
    <n v="155"/>
  </r>
  <r>
    <m/>
    <s v="USPS"/>
    <s v="Federal"/>
    <s v="Fee Simple"/>
    <s v="360 N Ventura Ave"/>
    <s v="Oak View"/>
    <s v="CA"/>
    <n v="0.34"/>
    <n v="1964"/>
    <n v="3051"/>
    <n v="3051"/>
    <n v="1"/>
    <n v="65967"/>
    <n v="21.62143559488692"/>
    <n v="63175"/>
    <n v="20.70632579482137"/>
    <m/>
    <n v="47208"/>
    <d v="2029-03-31T00:00:00"/>
    <n v="5.016438356164383"/>
    <n v="5.016438356164383"/>
    <s v="Rider"/>
    <s v="Flat"/>
    <s v="None"/>
    <n v="1001000"/>
    <n v="328.0891510980006"/>
    <n v="0.06311188811188811"/>
    <m/>
    <d v="2024-03-26T00:00:00"/>
    <x v="8"/>
    <s v="TCP; Harrison"/>
    <x v="0"/>
    <m/>
    <m/>
    <m/>
    <m/>
    <n v="950000"/>
    <n v="0.0665"/>
    <n v="1.053684210526316"/>
    <n v="950000"/>
    <n v="0.0665"/>
    <n v="-0.003388111888111889"/>
    <s v="No"/>
    <d v="2024-01-17T00:00:00"/>
    <n v="69"/>
  </r>
  <r>
    <m/>
    <s v="Eng. Dep't"/>
    <s v="Municipal"/>
    <s v="Fee Simple"/>
    <s v="9573-9577 Chesapeake Dr"/>
    <s v="San Diego"/>
    <s v="CA"/>
    <n v="2.58"/>
    <n v="1985"/>
    <n v="51000"/>
    <n v="51000"/>
    <n v="1"/>
    <m/>
    <s v=" "/>
    <n v="1466888"/>
    <n v="28.76250980392157"/>
    <d v="2016-05-01T00:00:00"/>
    <n v="46507"/>
    <d v="2027-04-30T00:00:00"/>
    <n v="3.136986301369863"/>
    <n v="3.136986301369863"/>
    <s v="Full Service"/>
    <s v="3% annually"/>
    <s v="None"/>
    <n v="17000000"/>
    <n v="333.3333333333333"/>
    <n v="0.08628752941176471"/>
    <m/>
    <d v="2024-03-11T00:00:00"/>
    <x v="9"/>
    <s v="Voit; Keith"/>
    <x v="5"/>
    <s v="CA"/>
    <s v="Private"/>
    <m/>
    <m/>
    <n v="17500000"/>
    <n v="0.08382217142857143"/>
    <n v="0.9714285714285714"/>
    <n v="17500000"/>
    <n v="0.08382217142857143"/>
    <n v="0.002465357983193278"/>
    <s v="No"/>
    <d v="2023-11-21T00:00:00"/>
    <n v="111"/>
  </r>
  <r>
    <s v="LME04696"/>
    <s v="SSA"/>
    <s v="Federal"/>
    <s v="Fee Simple"/>
    <s v="550 Forest Ave"/>
    <s v="Portland"/>
    <s v="ME"/>
    <n v="0.8100000000000001"/>
    <n v="1956"/>
    <n v="10600"/>
    <n v="36796"/>
    <n v="0.2880747907381237"/>
    <n v="276216.06"/>
    <n v="26.05811886792453"/>
    <n v="245000"/>
    <n v="6.658332427437765"/>
    <m/>
    <n v="47664"/>
    <d v="2025-06-30T00:00:00"/>
    <n v="6.336986301369863"/>
    <n v="1.334246575342466"/>
    <s v="Modified Gross"/>
    <s v="None"/>
    <s v="None"/>
    <n v="2900000"/>
    <n v="78.81291444722252"/>
    <n v="0.08448275862068966"/>
    <m/>
    <d v="2024-02-29T00:00:00"/>
    <x v="10"/>
    <s v="Dunham Group"/>
    <x v="0"/>
    <m/>
    <m/>
    <m/>
    <m/>
    <n v="3200000"/>
    <n v="0.07656250000000001"/>
    <n v="0.90625"/>
    <n v="3200000"/>
    <n v="0.07656250000000001"/>
    <n v="0.007920258620689652"/>
    <s v="No"/>
    <d v="2023-11-27T00:00:00"/>
    <n v="94"/>
  </r>
  <r>
    <m/>
    <s v="USPS"/>
    <s v="Federal"/>
    <s v="Fee Simple"/>
    <s v="2901 Scott Futrell Dr"/>
    <s v="Charlotte"/>
    <s v="NC"/>
    <n v="31.33"/>
    <n v="1966"/>
    <n v="453376"/>
    <n v="453376"/>
    <n v="1"/>
    <m/>
    <s v=" "/>
    <m/>
    <s v=" "/>
    <m/>
    <m/>
    <m/>
    <s v=" "/>
    <s v=" "/>
    <m/>
    <m/>
    <m/>
    <n v="11950000"/>
    <n v="26.3578133822699"/>
    <s v=" "/>
    <m/>
    <d v="2024-02-23T00:00:00"/>
    <x v="11"/>
    <m/>
    <x v="6"/>
    <s v="DC"/>
    <s v="User/Owner"/>
    <m/>
    <m/>
    <m/>
    <s v=" "/>
    <s v=" "/>
    <m/>
    <s v=" "/>
    <s v=" "/>
    <s v=" "/>
    <m/>
    <s v=" "/>
  </r>
  <r>
    <m/>
    <s v="USPS"/>
    <s v="Federal"/>
    <s v="Fee Simple"/>
    <s v="2850 McBride Ln"/>
    <s v="Santa Rosa"/>
    <s v="CA"/>
    <n v="1.7"/>
    <n v="1969"/>
    <n v="15200"/>
    <n v="15200"/>
    <n v="1"/>
    <m/>
    <s v=" "/>
    <n v="74250"/>
    <n v="4.884868421052632"/>
    <m/>
    <n v="47360"/>
    <d v="2029-08-30T00:00:00"/>
    <n v="5.526027397260274"/>
    <n v="5.526027397260274"/>
    <s v="Rider"/>
    <s v="None"/>
    <s v="None"/>
    <n v="1200000"/>
    <n v="78.94736842105263"/>
    <n v="0.061875"/>
    <m/>
    <d v="2024-02-21T00:00:00"/>
    <x v="12"/>
    <m/>
    <x v="7"/>
    <s v="NY"/>
    <s v="REIT"/>
    <m/>
    <m/>
    <n v="1350000"/>
    <n v="0.055"/>
    <n v="0.8888888888888888"/>
    <n v="1350000"/>
    <n v="0.055"/>
    <n v="0.006874999999999999"/>
    <s v="No"/>
    <d v="2023-08-28T00:00:00"/>
    <n v="177"/>
  </r>
  <r>
    <m/>
    <s v="VA"/>
    <s v="Federal"/>
    <s v="Fee Simple"/>
    <s v="1201 N Parrott Ave"/>
    <s v="Okeechobee"/>
    <s v="FL"/>
    <n v="1.5"/>
    <n v="1984"/>
    <n v="6000"/>
    <n v="6000"/>
    <n v="1"/>
    <m/>
    <s v=" "/>
    <n v="141000"/>
    <n v="23.5"/>
    <m/>
    <n v="47177"/>
    <d v="2029-02-28T00:00:00"/>
    <n v="5.038356164383561"/>
    <n v="5.038356164383561"/>
    <s v="Modified Gross"/>
    <s v="3% annually"/>
    <s v="None"/>
    <n v="2070500"/>
    <n v="345.0833333333333"/>
    <n v="0.06809949287611688"/>
    <m/>
    <d v="2024-02-16T00:00:00"/>
    <x v="13"/>
    <s v="Matthews; Edmiston"/>
    <x v="8"/>
    <s v="CA"/>
    <s v="Private"/>
    <m/>
    <m/>
    <n v="2150253"/>
    <n v="0.06557367900428461"/>
    <n v="0.9629099459458956"/>
    <n v="2150253"/>
    <n v="0.06557367900428461"/>
    <n v="0.002525813871832275"/>
    <s v="No"/>
    <d v="2023-11-21T00:00:00"/>
    <n v="87"/>
  </r>
  <r>
    <s v="LNC01750"/>
    <s v="MEPS"/>
    <s v="Federal"/>
    <s v="Fee Simple"/>
    <s v="2625 Appliance Ct"/>
    <s v="Raleigh"/>
    <s v="NC"/>
    <n v="2.41"/>
    <n v="1991"/>
    <n v="28321"/>
    <n v="28321"/>
    <n v="1"/>
    <n v="872570.01"/>
    <n v="30.81"/>
    <n v="712500"/>
    <n v="25.15800995727552"/>
    <d v="2022-11-08T00:00:00"/>
    <n v="48525"/>
    <d v="2032-11-07T00:00:00"/>
    <n v="8.736986301369862"/>
    <n v="8.736986301369862"/>
    <s v="Modified Gross"/>
    <s v="None"/>
    <s v="None"/>
    <n v="9500000"/>
    <n v="335.4401327636736"/>
    <n v="0.075"/>
    <m/>
    <d v="2024-02-14T00:00:00"/>
    <x v="14"/>
    <m/>
    <x v="1"/>
    <s v="IL"/>
    <s v="Private"/>
    <m/>
    <m/>
    <m/>
    <s v=" "/>
    <s v=" "/>
    <m/>
    <s v=" "/>
    <s v=" "/>
    <s v=" "/>
    <d v="2023-06-12T00:00:00"/>
    <n v="247"/>
  </r>
  <r>
    <s v="LTX01068"/>
    <s v="SSA"/>
    <s v="Federal"/>
    <s v="Fee Simple"/>
    <s v="221 S 45th St"/>
    <s v="Corsicana"/>
    <s v="TX"/>
    <n v="2"/>
    <n v="2007"/>
    <n v="8008"/>
    <n v="8008"/>
    <n v="1"/>
    <n v="246858"/>
    <n v="30.82642357642358"/>
    <n v="149000"/>
    <n v="18.60639360639361"/>
    <d v="2022-09-01T00:00:00"/>
    <n v="50283"/>
    <d v="2035-08-31T00:00:00"/>
    <n v="13.55342465753425"/>
    <n v="11.55068493150685"/>
    <s v="Modified Gross"/>
    <s v="None"/>
    <s v="None"/>
    <n v="1995000"/>
    <n v="249.1258741258741"/>
    <n v="0.07468671679197995"/>
    <m/>
    <d v="2024-02-14T00:00:00"/>
    <x v="15"/>
    <s v="Colliers; Ficke"/>
    <x v="9"/>
    <s v="TX"/>
    <s v="Private"/>
    <m/>
    <m/>
    <n v="2528000"/>
    <n v="0.05893987341772152"/>
    <n v="0.7891613924050633"/>
    <n v="2128565"/>
    <n v="0.07000021141003446"/>
    <n v="0.004686505381945497"/>
    <s v="Yes"/>
    <d v="2022-10-26T00:00:00"/>
    <n v="476"/>
  </r>
  <r>
    <m/>
    <s v="USPS"/>
    <s v="Federal"/>
    <s v="Fee Simple"/>
    <s v="1903 Live Oak St"/>
    <s v="Beaufort"/>
    <s v="NC"/>
    <n v="1.93"/>
    <n v="1997"/>
    <n v="6620"/>
    <n v="6620"/>
    <n v="1"/>
    <m/>
    <s v=" "/>
    <n v="89434"/>
    <n v="13.50966767371601"/>
    <m/>
    <n v="47483"/>
    <d v="2029-12-31T00:00:00"/>
    <n v="5.915068493150685"/>
    <n v="5.915068493150685"/>
    <s v="Rider"/>
    <s v="None"/>
    <s v="2, 5yr"/>
    <n v="1287500"/>
    <n v="194.4864048338369"/>
    <n v="0.06946330097087379"/>
    <m/>
    <d v="2024-02-02T00:00:00"/>
    <x v="16"/>
    <s v="Greg Berkowitz"/>
    <x v="10"/>
    <s v="NC"/>
    <s v="Private"/>
    <m/>
    <m/>
    <n v="1987426"/>
    <n v="0.044999914462224"/>
    <n v="0.6478228623355033"/>
    <n v="1350000"/>
    <n v="0.06624740740740741"/>
    <n v="0.003215893563466382"/>
    <s v="Yes"/>
    <d v="2022-08-10T00:00:00"/>
    <n v="541"/>
  </r>
  <r>
    <m/>
    <s v="USDA"/>
    <s v="Federal"/>
    <s v="Fee Simple"/>
    <s v="818 Ferdinand Plz"/>
    <s v="Scottsbluff"/>
    <s v="NE"/>
    <n v="1.23"/>
    <n v="1997"/>
    <n v="9948"/>
    <n v="9948"/>
    <n v="1"/>
    <m/>
    <s v=" "/>
    <m/>
    <s v=" "/>
    <m/>
    <n v="48487"/>
    <m/>
    <n v="8.671232876712329"/>
    <s v=" "/>
    <s v="Modified Gross"/>
    <s v="None"/>
    <s v="None"/>
    <n v="1654291"/>
    <n v="166.2938279051066"/>
    <s v=" "/>
    <m/>
    <d v="2024-01-31T00:00:00"/>
    <x v="8"/>
    <s v="Colliers; Ficke"/>
    <x v="0"/>
    <m/>
    <m/>
    <m/>
    <m/>
    <m/>
    <s v=" "/>
    <s v=" "/>
    <m/>
    <s v=" "/>
    <s v=" "/>
    <s v=" "/>
    <m/>
    <s v=" "/>
  </r>
  <r>
    <m/>
    <s v="SSA"/>
    <s v="Federal"/>
    <s v="Fee Simple"/>
    <s v="156 S Bellew Ave"/>
    <s v="Watertown"/>
    <s v="NY"/>
    <n v="1.8"/>
    <n v="2005"/>
    <n v="10000"/>
    <n v="10000"/>
    <n v="1"/>
    <m/>
    <s v=" "/>
    <n v="154031"/>
    <n v="15.4031"/>
    <d v="2020-10-01T00:00:00"/>
    <n v="47756"/>
    <d v="2025-09-30T00:00:00"/>
    <n v="6.668493150684932"/>
    <n v="1.665753424657534"/>
    <s v="Modified Gross"/>
    <s v="None"/>
    <s v="None"/>
    <n v="1700000"/>
    <n v="170"/>
    <n v="0.09060647058823529"/>
    <m/>
    <d v="2024-01-31T00:00:00"/>
    <x v="17"/>
    <s v="Matthews; Watson"/>
    <x v="0"/>
    <m/>
    <m/>
    <m/>
    <m/>
    <n v="2042000"/>
    <n v="0.07543143976493634"/>
    <n v="0.8325171400587659"/>
    <n v="1702000"/>
    <n v="0.0905"/>
    <n v="0.0001064705882352912"/>
    <s v="Yes"/>
    <d v="2023-09-18T00:00:00"/>
    <n v="135"/>
  </r>
  <r>
    <m/>
    <s v="ACE"/>
    <s v="Federal"/>
    <s v="Fee Simple"/>
    <s v="614 Tully Rd"/>
    <s v="San Jose"/>
    <s v="CA"/>
    <n v="1.77"/>
    <n v="2021"/>
    <n v="6039"/>
    <n v="25464"/>
    <n v="0.2371583411875589"/>
    <n v="187357"/>
    <n v="31.02450736876967"/>
    <n v="910291"/>
    <n v="35.74815425699026"/>
    <d v="2022-09-30T00:00:00"/>
    <n v="48486"/>
    <d v="2027-09-30T00:00:00"/>
    <n v="8.687671232876712"/>
    <n v="3.684931506849315"/>
    <s v="NNN"/>
    <s v="10% every 5"/>
    <s v="3, 5 yr"/>
    <n v="13200000"/>
    <n v="518.3788878416589"/>
    <n v="0.06896143939393939"/>
    <m/>
    <d v="2024-01-24T00:00:00"/>
    <x v="18"/>
    <s v="M&amp;M; "/>
    <x v="11"/>
    <s v="CA"/>
    <s v="Private"/>
    <m/>
    <m/>
    <n v="17341093"/>
    <n v="0.05249328862949988"/>
    <n v="0.7611976938247202"/>
    <n v="15209300"/>
    <n v="0.05985094646038937"/>
    <n v="0.009110492933550027"/>
    <s v="Yes"/>
    <d v="2022-10-15T00:00:00"/>
    <n v="466"/>
  </r>
  <r>
    <s v="LKY01552"/>
    <s v="DEA"/>
    <s v="Federal"/>
    <s v="Fee Simple"/>
    <s v="1661 Lyndon Farm Ct"/>
    <s v="Louisville"/>
    <s v="KY"/>
    <n v="3.07"/>
    <n v="2001"/>
    <n v="40529"/>
    <n v="40529"/>
    <n v="1"/>
    <n v="1399557.05"/>
    <n v="34.53223741024945"/>
    <n v="1070000"/>
    <n v="26.40084877495127"/>
    <d v="2022-10-31T00:00:00"/>
    <n v="52169"/>
    <d v="2037-10-30T00:00:00"/>
    <n v="18.8"/>
    <n v="13.7972602739726"/>
    <s v="Modified Gross"/>
    <s v="10% every 5"/>
    <s v="None"/>
    <n v="18925000"/>
    <n v="466.9495916504231"/>
    <n v="0.05653896961690885"/>
    <m/>
    <d v="2024-01-16T00:00:00"/>
    <x v="19"/>
    <m/>
    <x v="1"/>
    <s v="IL"/>
    <s v="Private"/>
    <m/>
    <m/>
    <m/>
    <s v=" "/>
    <s v=" "/>
    <m/>
    <s v=" "/>
    <s v=" "/>
    <s v=" "/>
    <m/>
    <s v=" "/>
  </r>
  <r>
    <s v="LTN62180"/>
    <s v="SSA"/>
    <s v="Federal"/>
    <s v="Fee Simple"/>
    <s v="1070 Vendall Rd"/>
    <s v="Dyersburg"/>
    <s v="TN"/>
    <n v="1.02"/>
    <n v="2002"/>
    <n v="9568"/>
    <n v="9568"/>
    <n v="1"/>
    <n v="208400"/>
    <n v="21.7809364548495"/>
    <n v="124695"/>
    <n v="13.03250418060201"/>
    <d v="2023-06-01T00:00:00"/>
    <n v="48730"/>
    <d v="2028-05-31T00:00:00"/>
    <n v="9.38082191780822"/>
    <n v="4.378082191780821"/>
    <s v="Modified Gross"/>
    <s v="None"/>
    <s v="None"/>
    <n v="1420000"/>
    <n v="148.4113712374582"/>
    <n v="0.08781338028169014"/>
    <m/>
    <d v="2024-01-15T00:00:00"/>
    <x v="20"/>
    <s v="M&amp;M; Fenn"/>
    <x v="0"/>
    <m/>
    <m/>
    <m/>
    <m/>
    <n v="1559000"/>
    <n v="0.07998396407953817"/>
    <n v="0.9108402822322001"/>
    <n v="1559000"/>
    <n v="0.07998396407953817"/>
    <n v="0.007829416202151968"/>
    <s v="No"/>
    <d v="2023-03-16T00:00:00"/>
    <n v="305"/>
  </r>
  <r>
    <m/>
    <s v="USPS"/>
    <s v="Federal"/>
    <s v="Fee Simple"/>
    <s v="12 Hemphill Pl"/>
    <s v="Ballston Spa"/>
    <s v="NY"/>
    <n v="1.37"/>
    <n v="1989"/>
    <n v="5380"/>
    <n v="5380"/>
    <n v="1"/>
    <m/>
    <s v=" "/>
    <n v="60786"/>
    <n v="11.29851301115242"/>
    <m/>
    <n v="47027"/>
    <d v="2028-10-01T00:00:00"/>
    <n v="4.728767123287671"/>
    <n v="4.728767123287671"/>
    <s v="Modified Gross"/>
    <s v="None"/>
    <s v="None"/>
    <n v="990000"/>
    <n v="184.0148698884758"/>
    <n v="0.0614"/>
    <m/>
    <d v="2024-01-10T00:00:00"/>
    <x v="8"/>
    <m/>
    <x v="0"/>
    <m/>
    <m/>
    <m/>
    <m/>
    <n v="990000"/>
    <n v="0.0614"/>
    <n v="1"/>
    <n v="990000"/>
    <n v="0.0614"/>
    <n v="0"/>
    <s v="No"/>
    <d v="2023-09-28T00:00:00"/>
    <n v="104"/>
  </r>
  <r>
    <m/>
    <s v="USDA"/>
    <s v="Federal"/>
    <s v="Fee Simple"/>
    <s v="311 E 2nd St"/>
    <s v="Kimball"/>
    <s v="NE"/>
    <n v="0.64"/>
    <n v="1993"/>
    <n v="4368"/>
    <n v="4368"/>
    <n v="1"/>
    <m/>
    <s v=" "/>
    <n v="45313"/>
    <n v="10.37385531135531"/>
    <d v="2013-03-01T00:00:00"/>
    <n v="48638"/>
    <d v="2028-02-28T00:00:00"/>
    <n v="9.145205479452056"/>
    <n v="4.13972602739726"/>
    <s v="Modified Gross"/>
    <s v="None"/>
    <s v="None"/>
    <n v="545000"/>
    <n v="124.7710622710623"/>
    <n v="0.08314311926605504"/>
    <m/>
    <d v="2024-01-09T00:00:00"/>
    <x v="8"/>
    <s v="Alan Beyke"/>
    <x v="0"/>
    <m/>
    <m/>
    <m/>
    <m/>
    <n v="575000"/>
    <n v="0.07880521739130435"/>
    <n v="0.9478260869565217"/>
    <n v="575000"/>
    <n v="0.07880521739130435"/>
    <n v="0.004337901874750694"/>
    <s v="No"/>
    <d v="2022-08-15T00:00:00"/>
    <n v="512"/>
  </r>
  <r>
    <m/>
    <s v="Police"/>
    <s v="State"/>
    <s v="Fee Simple"/>
    <s v="449 McCormick Rd"/>
    <s v="Corapolis"/>
    <s v="PA"/>
    <m/>
    <n v="2001"/>
    <n v="15680"/>
    <n v="15680"/>
    <n v="1"/>
    <m/>
    <s v=" "/>
    <n v="197340"/>
    <n v="12.58545918367347"/>
    <d v="2023-03-01T00:00:00"/>
    <n v="46811"/>
    <d v="2028-02-28T00:00:00"/>
    <n v="4.142465753424657"/>
    <n v="4.142465753424657"/>
    <s v="Full Service"/>
    <s v="2% annually"/>
    <s v="2, 5 yr"/>
    <n v="2600000"/>
    <n v="165.8163265306123"/>
    <n v="0.0759"/>
    <m/>
    <d v="2024-01-08T00:00:00"/>
    <x v="21"/>
    <s v="M&amp;M; Campagna"/>
    <x v="12"/>
    <s v="PA"/>
    <s v="Private"/>
    <s v="SVN; Dupre"/>
    <m/>
    <n v="2900000"/>
    <n v="0.06804827586206896"/>
    <n v="0.896551724137931"/>
    <n v="2700000"/>
    <n v="0.07308888888888888"/>
    <n v="0.002811111111111111"/>
    <s v="Yes"/>
    <d v="2022-05-27T00:00:00"/>
    <n v="591"/>
  </r>
  <r>
    <s v="LFL01987"/>
    <s v="SSA"/>
    <s v="Federal"/>
    <s v="Condominium"/>
    <s v="2659 Professional Cir"/>
    <s v="Naples"/>
    <s v="FL"/>
    <n v="1.89"/>
    <n v="2007"/>
    <n v="12215"/>
    <n v="23500"/>
    <n v="0.5197872340425532"/>
    <n v="431922"/>
    <n v="35.35996725337699"/>
    <n v="661653.5"/>
    <n v="28.15546808510638"/>
    <d v="2023-04-01T00:00:00"/>
    <n v="50495"/>
    <d v="2033-04-01T00:00:00"/>
    <n v="14.24657534246575"/>
    <n v="9.246575342465754"/>
    <s v="Modified Gross"/>
    <s v="None"/>
    <s v="None"/>
    <n v="9350000"/>
    <n v="397.8723404255319"/>
    <n v="0.07076508021390375"/>
    <m/>
    <d v="2024-01-04T00:00:00"/>
    <x v="22"/>
    <s v="TrinityCRE"/>
    <x v="13"/>
    <s v="PA"/>
    <s v="Private"/>
    <m/>
    <m/>
    <n v="9803000"/>
    <n v="0.06749500153014383"/>
    <n v="0.9537896562276854"/>
    <n v="9803000"/>
    <n v="0.06749500153014383"/>
    <n v="0.003270078683759919"/>
    <s v="No"/>
    <d v="2023-03-06T00:00:00"/>
    <n v="304"/>
  </r>
  <r>
    <m/>
    <s v="VA"/>
    <s v="Federal"/>
    <s v="Fee Simple"/>
    <s v="3285 S Val Vista Rd"/>
    <s v="Gilbert"/>
    <s v="AZ"/>
    <n v="9.696999999999999"/>
    <n v="2014"/>
    <n v="71259"/>
    <n v="71259"/>
    <n v="1"/>
    <n v="2855904"/>
    <n v="40.07780069885909"/>
    <n v="2187327"/>
    <n v="30.6954489959163"/>
    <d v="2014-02-20T00:00:00"/>
    <n v="48994"/>
    <d v="2034-02-19T00:00:00"/>
    <n v="10.15068493150685"/>
    <n v="10.15068493150685"/>
    <s v="Modified Gross"/>
    <s v="Flat"/>
    <s v="None"/>
    <n v="29000075"/>
    <n v="406.9671901093195"/>
    <n v="0.07542487390118818"/>
    <n v="0.1988455973542786"/>
    <d v="2023-12-29T00:00:00"/>
    <x v="23"/>
    <m/>
    <x v="14"/>
    <s v="OR"/>
    <s v="Private"/>
    <m/>
    <m/>
    <m/>
    <s v=" "/>
    <s v=" "/>
    <m/>
    <s v=" "/>
    <s v=" "/>
    <s v=" "/>
    <m/>
    <s v=" "/>
  </r>
  <r>
    <s v="LOH01266"/>
    <s v="SSA"/>
    <s v="Federal"/>
    <s v="Fee Simple"/>
    <s v="1287 S Trimble Rd"/>
    <s v="Mansfield"/>
    <s v="OH"/>
    <n v="1.27"/>
    <n v="2003"/>
    <n v="8287"/>
    <n v="8287"/>
    <n v="1"/>
    <n v="315500"/>
    <n v="38.07167853264149"/>
    <n v="262911.975"/>
    <n v="31.72583262941957"/>
    <d v="2023-09-10T00:00:00"/>
    <n v="48831"/>
    <d v="2028-09-09T00:00:00"/>
    <n v="9.704109589041096"/>
    <n v="4.701369863013698"/>
    <s v="Modified Gross"/>
    <s v="None"/>
    <s v="None"/>
    <n v="3000000"/>
    <n v="362.0127911186195"/>
    <n v="0.08763732499999999"/>
    <m/>
    <d v="2023-12-29T00:00:00"/>
    <x v="24"/>
    <s v="Bull; Neal"/>
    <x v="15"/>
    <m/>
    <s v="Private"/>
    <m/>
    <m/>
    <n v="3505493"/>
    <n v="0.075"/>
    <n v="0.855799740578572"/>
    <n v="3505493"/>
    <n v="0.075"/>
    <n v="0.01263732499999999"/>
    <s v="No"/>
    <d v="2023-09-14T00:00:00"/>
    <n v="106"/>
  </r>
  <r>
    <m/>
    <s v="DSHS"/>
    <s v="State"/>
    <s v="Fee Simple"/>
    <s v="1301 E 72nd St"/>
    <s v="Tacoma"/>
    <s v="WA"/>
    <n v="2.93"/>
    <n v="1994"/>
    <n v="30000"/>
    <n v="30000"/>
    <n v="1"/>
    <n v="615000"/>
    <n v="20.5"/>
    <n v="599810"/>
    <n v="19.99366666666667"/>
    <d v="2017-08-01T00:00:00"/>
    <n v="46599"/>
    <d v="2017-08-01T00:00:00"/>
    <n v="3.589041095890411"/>
    <n v="-6.413698630136986"/>
    <s v="Full Service"/>
    <s v="None"/>
    <s v="1, 5 year"/>
    <n v="8350000"/>
    <n v="278.3333333333333"/>
    <n v="0.07183353293413174"/>
    <m/>
    <d v="2023-12-29T00:00:00"/>
    <x v="25"/>
    <s v="M&amp;M; Brown"/>
    <x v="16"/>
    <s v="WA"/>
    <s v="Private"/>
    <m/>
    <m/>
    <n v="8560000"/>
    <n v="0.07007126168224299"/>
    <n v="0.9754672897196262"/>
    <n v="8560000"/>
    <n v="0.07007126168224299"/>
    <n v="0.001762271251888742"/>
    <s v="No"/>
    <d v="2023-09-07T00:00:00"/>
    <n v="113"/>
  </r>
  <r>
    <m/>
    <s v="SSA"/>
    <s v="Federal"/>
    <s v="Fee Simple"/>
    <s v="732 S 6th St"/>
    <s v="Las Vegas"/>
    <s v="NV"/>
    <n v="0.24"/>
    <n v="1992"/>
    <m/>
    <n v="13788"/>
    <s v=" "/>
    <m/>
    <s v=" "/>
    <n v="204028"/>
    <n v="14.79750507687844"/>
    <m/>
    <m/>
    <m/>
    <s v=" "/>
    <s v=" "/>
    <m/>
    <m/>
    <m/>
    <m/>
    <s v=" "/>
    <s v=" "/>
    <m/>
    <d v="2023-12-28T00:00:00"/>
    <x v="26"/>
    <m/>
    <x v="17"/>
    <s v="NV"/>
    <s v="Private"/>
    <m/>
    <m/>
    <m/>
    <s v=" "/>
    <s v=" "/>
    <m/>
    <s v=" "/>
    <s v=" "/>
    <s v=" "/>
    <m/>
    <s v=" "/>
  </r>
  <r>
    <m/>
    <s v="County"/>
    <s v="State"/>
    <s v="Fee Simple"/>
    <s v="3563 Empleo St"/>
    <s v="San Luis Obispo"/>
    <s v="CA"/>
    <n v="1.26"/>
    <n v="1990"/>
    <n v="21200"/>
    <n v="21200"/>
    <n v="1"/>
    <m/>
    <s v=" "/>
    <n v="345000"/>
    <n v="16.27358490566038"/>
    <d v="2012-12-01T00:00:00"/>
    <n v="46721"/>
    <d v="2027-11-30T00:00:00"/>
    <n v="3.926027397260274"/>
    <n v="3.926027397260274"/>
    <s v="Full Service"/>
    <s v="2% annually"/>
    <s v="None"/>
    <n v="5750000"/>
    <n v="271.2264150943396"/>
    <n v="0.06"/>
    <m/>
    <d v="2023-12-28T00:00:00"/>
    <x v="8"/>
    <s v="Colliers; Thomas"/>
    <x v="0"/>
    <m/>
    <m/>
    <m/>
    <m/>
    <m/>
    <s v=" "/>
    <s v=" "/>
    <m/>
    <s v=" "/>
    <s v=" "/>
    <s v=" "/>
    <m/>
    <s v=" "/>
  </r>
  <r>
    <m/>
    <s v="DCJ"/>
    <s v="State"/>
    <s v="Fee Simple"/>
    <s v="1621 State Hwy 75 N"/>
    <s v="Huntsville"/>
    <s v="TX"/>
    <n v="6"/>
    <n v="1984"/>
    <n v="69360"/>
    <n v="69360"/>
    <n v="1"/>
    <m/>
    <s v=" "/>
    <n v="340824"/>
    <n v="4.913840830449827"/>
    <m/>
    <n v="46873"/>
    <d v="2028-04-30T00:00:00"/>
    <n v="4.361643835616438"/>
    <n v="4.361643835616438"/>
    <s v="Full Service"/>
    <s v="CPI annually"/>
    <s v="None"/>
    <m/>
    <s v=" "/>
    <s v=" "/>
    <m/>
    <d v="2023-12-21T00:00:00"/>
    <x v="27"/>
    <s v="NAI; Stevenson"/>
    <x v="18"/>
    <s v="TX"/>
    <s v="Private"/>
    <m/>
    <m/>
    <n v="4544000"/>
    <n v="0.07500528169014084"/>
    <s v=" "/>
    <n v="4544000"/>
    <n v="0.07500528169014084"/>
    <s v=" "/>
    <s v="No"/>
    <d v="2023-09-07T00:00:00"/>
    <n v="105"/>
  </r>
  <r>
    <s v="LLA00734"/>
    <s v="MEPS (L/H)"/>
    <s v="Federal"/>
    <s v="Leasehold"/>
    <s v="2715 Alkay Dr"/>
    <s v="Shreveport"/>
    <s v="LA"/>
    <n v="9.23"/>
    <n v="1999"/>
    <n v="20342"/>
    <n v="20342"/>
    <n v="1"/>
    <n v="547282"/>
    <n v="26.90404090059975"/>
    <n v="363297.6"/>
    <n v="17.85948284337823"/>
    <d v="2019-04-01T00:00:00"/>
    <n v="49034"/>
    <d v="2029-04-01T00:00:00"/>
    <n v="10.28219178082192"/>
    <n v="5.282191780821917"/>
    <s v="Modified Gross"/>
    <s v="None"/>
    <s v="None"/>
    <n v="3700000"/>
    <n v="181.8896863631895"/>
    <n v="0.09818854054054055"/>
    <m/>
    <d v="2023-12-21T00:00:00"/>
    <x v="28"/>
    <m/>
    <x v="0"/>
    <m/>
    <s v="Private"/>
    <m/>
    <m/>
    <n v="4541220"/>
    <n v="0.08"/>
    <n v="0.8147590295118933"/>
    <n v="4541220"/>
    <n v="0.08"/>
    <n v="0.01818854054054055"/>
    <s v="No"/>
    <d v="2023-10-11T00:00:00"/>
    <n v="71"/>
  </r>
  <r>
    <s v="LCA02002"/>
    <s v="SSA"/>
    <s v="Federal"/>
    <s v="Fee Simple"/>
    <s v="2234 Girard St"/>
    <s v="Delano"/>
    <s v="CA"/>
    <n v="0.6899908172635445"/>
    <n v="1998"/>
    <n v="6195"/>
    <n v="10040"/>
    <n v="0.6170318725099602"/>
    <n v="198733.75"/>
    <n v="32.07970137207425"/>
    <n v="130151"/>
    <n v="12.96324701195219"/>
    <d v="2009-08-01T00:00:00"/>
    <n v="45504"/>
    <d v="2019-08-01T00:00:00"/>
    <n v="0.6164383561643836"/>
    <n v="-4.386301369863014"/>
    <s v="Modified Gross"/>
    <s v="None"/>
    <s v="None"/>
    <n v="1850000"/>
    <n v="184.2629482071713"/>
    <n v="0.07035189189189189"/>
    <m/>
    <d v="2023-12-19T00:00:00"/>
    <x v="29"/>
    <s v="Matthews; Smith"/>
    <x v="19"/>
    <s v="CA"/>
    <s v="Private"/>
    <m/>
    <m/>
    <n v="2002323"/>
    <n v="0.06500000249709961"/>
    <n v="0.9239268589533257"/>
    <n v="2002323"/>
    <n v="0.06500000249709961"/>
    <n v="0.005351889394792281"/>
    <s v="No"/>
    <d v="2023-09-11T00:00:00"/>
    <n v="99"/>
  </r>
  <r>
    <m/>
    <s v="VA/UT Health"/>
    <s v="Federal"/>
    <s v="Fee Simple"/>
    <s v="5788 Eckhert Rd"/>
    <s v="San Antonio"/>
    <s v="TX"/>
    <n v="4.86"/>
    <n v="1998"/>
    <n v="73390"/>
    <n v="73390"/>
    <n v="1"/>
    <n v="1865573.8"/>
    <n v="25.42"/>
    <n v="1533457.8"/>
    <n v="20.89464232184221"/>
    <m/>
    <n v="50313"/>
    <d v="2037-09-30T00:00:00"/>
    <n v="13.79178082191781"/>
    <n v="13.79178082191781"/>
    <s v="NN"/>
    <s v="2% annually"/>
    <s v="None"/>
    <n v="24310000"/>
    <n v="331.2440386973702"/>
    <n v="0.06307930069930071"/>
    <m/>
    <d v="2023-12-19T00:00:00"/>
    <x v="30"/>
    <m/>
    <x v="20"/>
    <s v="MN"/>
    <s v="Private"/>
    <m/>
    <m/>
    <m/>
    <s v=" "/>
    <s v=" "/>
    <m/>
    <s v=" "/>
    <s v=" "/>
    <s v=" "/>
    <m/>
    <s v=" "/>
  </r>
  <r>
    <m/>
    <s v="SSA"/>
    <s v="Federal"/>
    <s v="Fee Simple"/>
    <s v="818 Bella Vista Dr"/>
    <s v="Carroll"/>
    <s v="IA"/>
    <n v="1.55"/>
    <n v="2006"/>
    <n v="4536"/>
    <n v="4536"/>
    <n v="1"/>
    <m/>
    <s v=" "/>
    <n v="58575"/>
    <n v="12.91335978835979"/>
    <m/>
    <m/>
    <m/>
    <s v=" "/>
    <s v=" "/>
    <m/>
    <m/>
    <m/>
    <n v="781000"/>
    <n v="172.1781305114638"/>
    <n v="0.075"/>
    <m/>
    <d v="2023-12-18T00:00:00"/>
    <x v="31"/>
    <s v="Colliers; Ficke"/>
    <x v="21"/>
    <s v="IA"/>
    <s v="Private"/>
    <m/>
    <m/>
    <m/>
    <s v=" "/>
    <s v=" "/>
    <m/>
    <s v=" "/>
    <s v=" "/>
    <s v=" "/>
    <m/>
    <s v=" "/>
  </r>
  <r>
    <s v="LIA00101"/>
    <s v="SSA"/>
    <s v="Federal"/>
    <s v="Fee Simple"/>
    <s v="2615 University Blvd"/>
    <s v="Ames"/>
    <s v="IA"/>
    <n v="1"/>
    <n v="2009"/>
    <n v="4780"/>
    <n v="4780"/>
    <n v="1"/>
    <n v="129973.32"/>
    <n v="27.19107112970712"/>
    <n v="68325"/>
    <n v="14.2939330543933"/>
    <d v="2019-06-01T00:00:00"/>
    <n v="47269"/>
    <d v="2027-06-01T00:00:00"/>
    <n v="5.454794520547945"/>
    <n v="3.454794520547945"/>
    <s v="Modified Gross"/>
    <s v="None"/>
    <s v="None"/>
    <n v="911000"/>
    <n v="190.5857740585774"/>
    <n v="0.075"/>
    <m/>
    <d v="2023-12-18T00:00:00"/>
    <x v="31"/>
    <s v="Colliers; Ficke"/>
    <x v="21"/>
    <s v="IA"/>
    <s v="Private"/>
    <m/>
    <m/>
    <m/>
    <s v=" "/>
    <s v=" "/>
    <m/>
    <s v=" "/>
    <s v=" "/>
    <s v=" "/>
    <m/>
    <s v=" "/>
  </r>
  <r>
    <s v="LIL00894"/>
    <s v="FWS"/>
    <s v="Federal"/>
    <s v="Fee Simple"/>
    <s v="1511 47th Ave"/>
    <s v="Moline"/>
    <s v="IL"/>
    <n v="1.86"/>
    <n v="2007"/>
    <n v="9285"/>
    <n v="9285"/>
    <n v="1"/>
    <n v="211887.14"/>
    <n v="22.8203704900377"/>
    <n v="129500"/>
    <n v="13.94722670974691"/>
    <d v="2023-08-01T00:00:00"/>
    <n v="50617"/>
    <d v="2033-07-31T00:00:00"/>
    <n v="14.64383561643836"/>
    <n v="9.641095890410959"/>
    <s v="Modified Gross"/>
    <s v="None"/>
    <s v="None"/>
    <n v="1535000"/>
    <n v="165.3204092622509"/>
    <n v="0.08436482084690555"/>
    <m/>
    <d v="2023-12-12T00:00:00"/>
    <x v="32"/>
    <s v="Charles Ruhl"/>
    <x v="22"/>
    <s v="IL"/>
    <s v="Private"/>
    <m/>
    <m/>
    <n v="1850000"/>
    <n v="0.07000000000000001"/>
    <n v="0.8297297297297297"/>
    <n v="1850000"/>
    <n v="0.07000000000000001"/>
    <n v="0.01436482084690555"/>
    <s v="No"/>
    <d v="2023-04-26T00:00:00"/>
    <n v="230"/>
  </r>
  <r>
    <m/>
    <s v="USPS"/>
    <s v="Federal"/>
    <s v="Fee Simple"/>
    <s v="440 W San Ysidro Blvd"/>
    <s v="San Ysidro"/>
    <s v="CA"/>
    <n v="1.03"/>
    <n v="1969"/>
    <n v="10599"/>
    <n v="10599"/>
    <n v="1"/>
    <m/>
    <s v=" "/>
    <n v="191988"/>
    <n v="18.1137843192754"/>
    <m/>
    <n v="45930"/>
    <m/>
    <n v="1.802739726027397"/>
    <s v=" "/>
    <s v="NN"/>
    <s v="10% at each option"/>
    <s v="2, 5yr"/>
    <n v="3400000"/>
    <n v="320.7849797150674"/>
    <n v="0.05646705882352941"/>
    <m/>
    <d v="2023-12-12T00:00:00"/>
    <x v="8"/>
    <m/>
    <x v="0"/>
    <m/>
    <m/>
    <m/>
    <m/>
    <n v="3616563"/>
    <n v="0.05308576126006929"/>
    <n v="0.9401191130916287"/>
    <n v="3616563"/>
    <n v="0.05308576126006929"/>
    <n v="0.003381297563460117"/>
    <s v="No"/>
    <d v="2023-08-24T00:00:00"/>
    <n v="110"/>
  </r>
  <r>
    <m/>
    <s v="DHHS"/>
    <s v="State"/>
    <s v="Fee Simple"/>
    <s v="337 Brady Ave"/>
    <s v="Caspian"/>
    <s v="MI"/>
    <n v="0.27"/>
    <n v="1988"/>
    <n v="9720"/>
    <n v="9720"/>
    <n v="1"/>
    <m/>
    <s v=" "/>
    <n v="63000"/>
    <n v="6.481481481481482"/>
    <m/>
    <m/>
    <m/>
    <s v=" "/>
    <s v=" "/>
    <s v="NNN"/>
    <s v=""/>
    <s v=""/>
    <m/>
    <s v=" "/>
    <s v=" "/>
    <m/>
    <d v="2023-12-08T00:00:00"/>
    <x v="8"/>
    <m/>
    <x v="0"/>
    <m/>
    <m/>
    <m/>
    <m/>
    <n v="720000"/>
    <n v="0.08749999999999999"/>
    <s v=" "/>
    <n v="720000"/>
    <n v="0.08749999999999999"/>
    <s v=" "/>
    <s v="No"/>
    <d v="2023-06-27T00:00:00"/>
    <n v="164"/>
  </r>
  <r>
    <s v="LCO00548"/>
    <s v="USGS"/>
    <s v="Federal"/>
    <s v="Fee Simple"/>
    <s v="569 S Commercial Dr"/>
    <s v="Grand Junction"/>
    <s v="CO"/>
    <n v="0.5"/>
    <n v="1998"/>
    <n v="7384"/>
    <n v="7384"/>
    <n v="1"/>
    <n v="184600"/>
    <n v="25"/>
    <n v="121000"/>
    <n v="16.38678223185265"/>
    <d v="2019-12-01T00:00:00"/>
    <n v="49278"/>
    <d v="2029-11-30T00:00:00"/>
    <n v="11.01369863013699"/>
    <n v="6.010958904109589"/>
    <s v="Modified Gross"/>
    <s v="None"/>
    <s v="None"/>
    <n v="1900000"/>
    <n v="257.3131094257855"/>
    <n v="0.06368421052631579"/>
    <m/>
    <d v="2023-11-28T00:00:00"/>
    <x v="33"/>
    <s v="ReMax; Rickard"/>
    <x v="23"/>
    <s v="CO"/>
    <s v="Private"/>
    <m/>
    <m/>
    <n v="2300000"/>
    <n v="0.05260869565217392"/>
    <n v="0.8260869565217391"/>
    <n v="2300000"/>
    <n v="0.05260869565217392"/>
    <n v="0.01107551487414187"/>
    <s v="No"/>
    <d v="2022-12-14T00:00:00"/>
    <n v="349"/>
  </r>
  <r>
    <s v="LCA00491"/>
    <s v="FWS"/>
    <s v="Federal"/>
    <s v="Fee Simple"/>
    <s v="2493 Portola Rd"/>
    <s v="Ventura"/>
    <s v="CA"/>
    <n v="1.02"/>
    <n v="1986"/>
    <n v="17061"/>
    <n v="17061"/>
    <n v="1"/>
    <n v="483704.8"/>
    <n v="28.35149170623058"/>
    <n v="405950"/>
    <n v="23.79403317507766"/>
    <d v="2019-01-01T00:00:00"/>
    <n v="47118"/>
    <d v="2028-12-31T00:00:00"/>
    <n v="5.136986301369863"/>
    <n v="5.136986301369863"/>
    <s v="Modified Gross"/>
    <s v="None"/>
    <s v="None"/>
    <n v="5580000"/>
    <n v="327.061719711623"/>
    <n v="0.07275089605734766"/>
    <m/>
    <d v="2023-11-13T00:00:00"/>
    <x v="34"/>
    <s v="George Prince"/>
    <x v="24"/>
    <s v="CA"/>
    <s v="Private"/>
    <s v="Rosaleen O'Sullivan"/>
    <m/>
    <n v="5750000"/>
    <n v="0.0706"/>
    <n v="0.9704347826086956"/>
    <n v="5750000"/>
    <n v="0.0706"/>
    <n v="0.002150896057347668"/>
    <s v="No"/>
    <d v="2023-06-02T00:00:00"/>
    <n v="164"/>
  </r>
  <r>
    <s v="LVA06324"/>
    <s v="AOC"/>
    <s v="Federal"/>
    <s v="Fee Simple"/>
    <s v="2400 West Ave"/>
    <s v="Newport News"/>
    <s v="VA"/>
    <n v="0.96"/>
    <n v="2008"/>
    <n v="35005"/>
    <n v="35005"/>
    <n v="1"/>
    <n v="1961842.58"/>
    <n v="56.04463876589059"/>
    <n v="1368695.5"/>
    <n v="39.1"/>
    <d v="2008-01-01T00:00:00"/>
    <n v="48944"/>
    <d v="2033-12-31T00:00:00"/>
    <n v="10.1972602739726"/>
    <n v="10.1972602739726"/>
    <s v="Modified Gross"/>
    <s v="None"/>
    <s v="None"/>
    <n v="17000000"/>
    <n v="485.6449078703042"/>
    <n v="0.0805115"/>
    <m/>
    <d v="2023-10-23T00:00:00"/>
    <x v="35"/>
    <m/>
    <x v="3"/>
    <s v="DC"/>
    <s v="REIT"/>
    <m/>
    <m/>
    <m/>
    <s v=" "/>
    <s v=" "/>
    <m/>
    <s v=" "/>
    <s v=" "/>
    <s v=" "/>
    <m/>
    <s v=" "/>
  </r>
  <r>
    <m/>
    <s v="DHS"/>
    <s v="State"/>
    <s v="Fee Simple"/>
    <s v="1001 N Walnut St"/>
    <s v="Springfield"/>
    <s v="IL"/>
    <n v="0.72"/>
    <n v="1996"/>
    <n v="13590"/>
    <n v="13590"/>
    <n v="1"/>
    <m/>
    <s v=" "/>
    <n v="99552"/>
    <n v="7.325386313465784"/>
    <m/>
    <n v="46630"/>
    <d v="2027-08-30T00:00:00"/>
    <n v="3.876712328767123"/>
    <n v="3.873972602739726"/>
    <s v="Gross"/>
    <s v="2% annually"/>
    <s v="None"/>
    <n v="1095000"/>
    <n v="80.57395143487858"/>
    <n v="0.09091506849315069"/>
    <m/>
    <d v="2023-10-16T00:00:00"/>
    <x v="36"/>
    <s v="M&amp;M; Saia"/>
    <x v="25"/>
    <s v="MI"/>
    <s v="Private"/>
    <m/>
    <m/>
    <n v="1206690"/>
    <n v="0.08250006215349427"/>
    <n v="0.9074410163339383"/>
    <n v="1206690"/>
    <n v="0.08250006215349427"/>
    <n v="0.008415006339656417"/>
    <s v="No"/>
    <d v="2023-06-18T00:00:00"/>
    <n v="120"/>
  </r>
  <r>
    <m/>
    <s v="USF Health"/>
    <s v="State"/>
    <s v="Fee Simple"/>
    <s v="509 S Armenia Ave"/>
    <s v="Tampa"/>
    <s v="FL"/>
    <n v="1.19"/>
    <n v="2004"/>
    <n v="31939"/>
    <n v="31939"/>
    <n v="1"/>
    <n v="1085926"/>
    <n v="34"/>
    <n v="603200"/>
    <n v="18.88600144024547"/>
    <d v="2012-12-01T00:00:00"/>
    <n v="46752"/>
    <d v="2027-12-31T00:00:00"/>
    <n v="4.219178082191781"/>
    <n v="4.219178082191781"/>
    <s v="Full Service"/>
    <s v="2.5% annually"/>
    <s v="1, 5 yr"/>
    <n v="10400000"/>
    <n v="325.6207144869908"/>
    <n v="0.058"/>
    <m/>
    <d v="2023-10-13T00:00:00"/>
    <x v="37"/>
    <m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4240 Southwest Blvd"/>
    <s v="San Angelo"/>
    <s v="TX"/>
    <n v="1.88"/>
    <n v="2019"/>
    <n v="13300"/>
    <n v="13300"/>
    <n v="1"/>
    <n v="499461"/>
    <n v="37.55345864661654"/>
    <n v="348010"/>
    <n v="26.16616541353384"/>
    <d v="2019-07-01T00:00:00"/>
    <n v="47299"/>
    <d v="2029-06-30T00:00:00"/>
    <n v="5.720547945205479"/>
    <n v="5.720547945205479"/>
    <s v="Modified Gross"/>
    <s v="None"/>
    <s v="None"/>
    <n v="4820996"/>
    <n v="362.4809022556391"/>
    <n v="0.07218632830228443"/>
    <m/>
    <d v="2023-10-12T00:00:00"/>
    <x v="38"/>
    <s v="SJC; Scrivner"/>
    <x v="26"/>
    <s v="AZ"/>
    <s v="Private"/>
    <m/>
    <m/>
    <n v="5354000"/>
    <n v="0.065"/>
    <n v="0.9004475158759806"/>
    <n v="5354000"/>
    <n v="0.065"/>
    <n v="0.007186328302284425"/>
    <s v="No"/>
    <d v="2023-01-30T00:00:00"/>
    <n v="255"/>
  </r>
  <r>
    <m/>
    <s v="USPS"/>
    <s v="Federal"/>
    <s v="Fee Simple"/>
    <s v="100 N Akers St"/>
    <s v="Visalia"/>
    <s v="CA"/>
    <n v="1.56"/>
    <n v="2001"/>
    <n v="6720"/>
    <n v="6720"/>
    <n v="1"/>
    <m/>
    <s v=" "/>
    <n v="143998.6"/>
    <n v="21.4283630952381"/>
    <m/>
    <n v="46236"/>
    <d v="2026-08-02T00:00:00"/>
    <n v="2.808219178082192"/>
    <n v="2.808219178082192"/>
    <s v="Rider"/>
    <s v="At each option"/>
    <s v="3, 5yr remaining"/>
    <n v="2850000"/>
    <n v="424.1071428571428"/>
    <n v="0.05052582456140351"/>
    <m/>
    <d v="2023-10-12T00:00:00"/>
    <x v="39"/>
    <m/>
    <x v="27"/>
    <s v="CA"/>
    <s v="Private"/>
    <m/>
    <m/>
    <n v="2848500"/>
    <n v="0.05055243110408987"/>
    <n v="1.000526592943655"/>
    <n v="2848500"/>
    <n v="0.05055243110408987"/>
    <n v="-2.660654268635959e-05"/>
    <s v="No"/>
    <d v="2023-03-22T00:00:00"/>
    <n v="204"/>
  </r>
  <r>
    <s v="LGA60414"/>
    <s v="SSA"/>
    <s v="Federal"/>
    <s v="Fee Simple"/>
    <s v="115 Robert C Daniel Jr Pky"/>
    <s v="Augusta"/>
    <s v="GA"/>
    <n v="2.55"/>
    <n v="2005"/>
    <n v="19180"/>
    <n v="19180"/>
    <n v="1"/>
    <n v="475855.8"/>
    <n v="24.81"/>
    <n v="343000"/>
    <n v="17.88321167883212"/>
    <d v="2020-11-02T00:00:00"/>
    <n v="49614"/>
    <d v="2030-11-02T00:00:00"/>
    <n v="12.06575342465753"/>
    <n v="7.065753424657534"/>
    <s v="Modified Gross"/>
    <s v="$131k drop"/>
    <s v="None"/>
    <n v="4899999.999999999"/>
    <n v="255.4744525547445"/>
    <n v="0.07000000000000001"/>
    <m/>
    <d v="2023-10-11T00:00:00"/>
    <x v="40"/>
    <s v="Joe Edge"/>
    <x v="28"/>
    <s v="GA"/>
    <s v="Private"/>
    <m/>
    <m/>
    <m/>
    <s v=" "/>
    <s v=" "/>
    <m/>
    <s v=" "/>
    <s v=" "/>
    <s v=" "/>
    <d v="2023-03-27T00:00:00"/>
    <n v="198"/>
  </r>
  <r>
    <m/>
    <s v="TSA/SSA"/>
    <s v="Federal"/>
    <s v="Condominium"/>
    <s v="1500 Centre Pky"/>
    <s v="Atlanta"/>
    <s v="GA"/>
    <n v="8.210000000000001"/>
    <n v="2008"/>
    <n v="97969"/>
    <n v="97969"/>
    <n v="1"/>
    <n v="2538376.79"/>
    <n v="25.91"/>
    <n v="1277739.4"/>
    <n v="13.0422827629148"/>
    <d v="2023-05-01T00:00:00"/>
    <n v="50525"/>
    <d v="2036-04-30T00:00:00"/>
    <n v="14.57808219178082"/>
    <n v="12.57808219178082"/>
    <s v="Modified Gross"/>
    <s v="None"/>
    <s v="None"/>
    <n v="15959776"/>
    <n v="162.9063887556268"/>
    <n v="0.08005998329801121"/>
    <m/>
    <d v="2023-10-05T00:00:00"/>
    <x v="41"/>
    <s v="Bull; Neal"/>
    <x v="3"/>
    <s v="DC"/>
    <s v="REIT"/>
    <m/>
    <m/>
    <n v="18253420"/>
    <n v="0.07000000000000001"/>
    <n v="0.8743444242229675"/>
    <n v="18253420"/>
    <n v="0.07000000000000001"/>
    <n v="0.01005998329801121"/>
    <s v="No"/>
    <d v="2023-05-22T00:00:00"/>
    <n v="136"/>
  </r>
  <r>
    <s v="LGA02266"/>
    <s v="SSA"/>
    <s v="Federal"/>
    <s v="Fee Simple"/>
    <s v="3530 Riverside Dr"/>
    <s v="Macon"/>
    <s v="GA"/>
    <n v="1.82"/>
    <n v="2002"/>
    <n v="17440"/>
    <n v="17440"/>
    <n v="1"/>
    <n v="479619"/>
    <n v="27.50108944954128"/>
    <n v="304619"/>
    <n v="17.46668577981652"/>
    <d v="2022-12-01T00:00:00"/>
    <n v="46721"/>
    <d v="2025-11-30T00:00:00"/>
    <n v="4.158904109589041"/>
    <n v="2.158904109589041"/>
    <s v="Modified Gross"/>
    <s v="None"/>
    <s v="None"/>
    <n v="3950000"/>
    <n v="226.4908256880734"/>
    <n v="0.0771187341772152"/>
    <m/>
    <d v="2023-10-04T00:00:00"/>
    <x v="42"/>
    <s v="Bull; Neal"/>
    <x v="29"/>
    <s v="IL"/>
    <s v="Private"/>
    <m/>
    <m/>
    <m/>
    <s v=" "/>
    <s v=" "/>
    <m/>
    <s v=" "/>
    <s v=" "/>
    <s v=" "/>
    <m/>
    <s v=" "/>
  </r>
  <r>
    <m/>
    <s v="EDD/DIR"/>
    <s v="State"/>
    <s v="Fee Simple"/>
    <s v="1065 N Link"/>
    <s v="Anaheim"/>
    <s v="CA"/>
    <n v="2.21"/>
    <n v="1991"/>
    <n v="95371"/>
    <n v="95371"/>
    <n v="1"/>
    <m/>
    <s v=" "/>
    <n v="2258375"/>
    <n v="23.67989221042036"/>
    <m/>
    <n v="48975"/>
    <d v="2029-01-31T00:00:00"/>
    <n v="10.33698630136986"/>
    <n v="5.334246575342465"/>
    <s v="Full Service"/>
    <s v="2% annually"/>
    <s v="None"/>
    <n v="31150000"/>
    <n v="326.6192029023498"/>
    <n v="0.0725"/>
    <m/>
    <d v="2023-10-03T00:00:00"/>
    <x v="43"/>
    <s v="CW; Cole"/>
    <x v="3"/>
    <s v="DC"/>
    <s v="REIT"/>
    <m/>
    <m/>
    <m/>
    <s v=" "/>
    <s v=" "/>
    <m/>
    <s v=" "/>
    <s v=" "/>
    <s v=" "/>
    <d v="2023-06-06T00:00:00"/>
    <n v="119"/>
  </r>
  <r>
    <m/>
    <s v="VA"/>
    <s v="Federal"/>
    <s v="Fee Simple"/>
    <s v="925 S Padre Island Rd"/>
    <s v="Corpus Christi"/>
    <s v="TX"/>
    <n v="6.3"/>
    <n v="2023"/>
    <n v="69276"/>
    <n v="69276"/>
    <n v="1"/>
    <n v="2925600"/>
    <n v="42.23107569721115"/>
    <n v="2070000"/>
    <n v="29.8804780876494"/>
    <d v="2023-10-01T00:00:00"/>
    <n v="52504"/>
    <d v="2043-09-30T00:00:00"/>
    <n v="20.00821917808219"/>
    <n v="20.00821917808219"/>
    <s v="Modified Gross"/>
    <s v="None"/>
    <s v="None"/>
    <n v="34500000"/>
    <n v="498.00796812749"/>
    <n v="0.06"/>
    <m/>
    <d v="2023-10-02T00:00:00"/>
    <x v="44"/>
    <s v="Newmark; Carr"/>
    <x v="3"/>
    <s v="DC"/>
    <s v="REIT"/>
    <m/>
    <m/>
    <m/>
    <s v=" "/>
    <s v=" "/>
    <m/>
    <s v=" "/>
    <s v=" "/>
    <s v=" "/>
    <m/>
    <s v=" "/>
  </r>
  <r>
    <m/>
    <s v="VA"/>
    <s v="Federal"/>
    <s v="Fee Simple"/>
    <m/>
    <s v="Jacksonville"/>
    <s v="FL"/>
    <m/>
    <n v="2023"/>
    <n v="155000"/>
    <n v="155000"/>
    <n v="1"/>
    <m/>
    <s v=" "/>
    <n v="4634820"/>
    <n v="29.90206451612903"/>
    <m/>
    <n v="52504"/>
    <d v="2043-09-30T00:00:00"/>
    <n v="20.00821917808219"/>
    <n v="20.00821917808219"/>
    <s v="Modified Gross"/>
    <s v="None"/>
    <s v="None"/>
    <n v="77247000"/>
    <n v="498.3677419354839"/>
    <n v="0.06"/>
    <m/>
    <d v="2023-10-02T00:00:00"/>
    <x v="44"/>
    <s v="Newmark; Carr"/>
    <x v="3"/>
    <s v="DC"/>
    <s v="REIT"/>
    <m/>
    <m/>
    <m/>
    <s v=" "/>
    <s v=" "/>
    <m/>
    <s v=" "/>
    <s v=" "/>
    <s v=" "/>
    <m/>
    <s v=" "/>
  </r>
  <r>
    <m/>
    <s v="USPS"/>
    <s v="Federal"/>
    <s v="Not Indicated"/>
    <s v="310 N Valencia Blvd"/>
    <s v="Woodlake"/>
    <s v="CA"/>
    <n v="0.49"/>
    <n v="1976"/>
    <n v="3360"/>
    <n v="3360"/>
    <n v="1"/>
    <m/>
    <s v=" "/>
    <n v="48000"/>
    <n v="14.28571428571429"/>
    <m/>
    <m/>
    <m/>
    <s v=" "/>
    <s v=" "/>
    <s v="NN"/>
    <s v="3% annually"/>
    <s v=""/>
    <n v="770000"/>
    <n v="229.1666666666667"/>
    <n v="0.06233766233766234"/>
    <m/>
    <d v="2023-09-21T00:00:00"/>
    <x v="8"/>
    <m/>
    <x v="0"/>
    <m/>
    <m/>
    <m/>
    <m/>
    <n v="750000"/>
    <n v="0.064"/>
    <n v="1.026666666666667"/>
    <n v="750000"/>
    <n v="0.064"/>
    <n v="-0.001662337662337664"/>
    <s v="No"/>
    <d v="2023-08-17T00:00:00"/>
    <n v="35"/>
  </r>
  <r>
    <s v="LCA03077"/>
    <s v="SSA"/>
    <s v="Federal"/>
    <s v="Fee Simple"/>
    <s v="2005 Long Beach Blvd"/>
    <s v="Long Beach"/>
    <s v="CA"/>
    <n v="1.17"/>
    <n v="2003"/>
    <n v="15510"/>
    <n v="15510"/>
    <n v="1"/>
    <n v="692359.98"/>
    <n v="44.63958607350096"/>
    <n v="514578"/>
    <n v="33.17717601547389"/>
    <d v="2014-12-16T00:00:00"/>
    <n v="47467"/>
    <d v="2024-12-16T00:00:00"/>
    <n v="6.243835616438356"/>
    <n v="1.243835616438356"/>
    <s v="Modified Gross"/>
    <s v="$60k drop"/>
    <s v="None"/>
    <n v="6550000"/>
    <n v="422.3081882656351"/>
    <n v="0.07856152671755726"/>
    <m/>
    <d v="2023-09-19T00:00:00"/>
    <x v="45"/>
    <s v="M&amp;M; Mobin"/>
    <x v="30"/>
    <s v="CA"/>
    <s v="Private"/>
    <m/>
    <m/>
    <n v="6600000"/>
    <n v="0.07796636363636364"/>
    <n v="0.9924242424242424"/>
    <n v="6600000"/>
    <n v="0.07796636363636364"/>
    <n v="0.000595163081193617"/>
    <s v="No"/>
    <d v="2023-04-07T00:00:00"/>
    <n v="165"/>
  </r>
  <r>
    <s v="LNH04785"/>
    <s v="SSA"/>
    <s v="Federal"/>
    <s v="Fee Simple"/>
    <s v="175 Amherst"/>
    <s v="Nashua"/>
    <s v="NH"/>
    <n v="1.14"/>
    <n v="1977"/>
    <n v="6700"/>
    <n v="21898"/>
    <n v="0.3059640149785369"/>
    <n v="155051.92"/>
    <n v="23.1420776119403"/>
    <n v="260846.7802556145"/>
    <n v="11.91189972854208"/>
    <d v="2010-09-01T00:00:00"/>
    <n v="44074"/>
    <d v="2018-09-01T00:00:00"/>
    <n v="-3.016438356164384"/>
    <n v="-5.016438356164383"/>
    <s v="Modified Gross"/>
    <s v="None"/>
    <s v="None"/>
    <n v="3100000"/>
    <n v="141.5654397661887"/>
    <n v="0.08414412266310144"/>
    <m/>
    <d v="2023-09-06T00:00:00"/>
    <x v="46"/>
    <s v="Stebbens"/>
    <x v="0"/>
    <m/>
    <m/>
    <m/>
    <m/>
    <n v="3000000"/>
    <n v="0.08694892675187149"/>
    <n v="1.033333333333333"/>
    <n v="3000000"/>
    <n v="0.08694892675187149"/>
    <n v="-0.002804804088770055"/>
    <s v="No"/>
    <d v="2023-05-18T00:00:00"/>
    <n v="111"/>
  </r>
  <r>
    <m/>
    <s v="DFPS &amp; HHS"/>
    <s v="State"/>
    <s v="Fee Simple"/>
    <s v="2027 Stallings Drive North"/>
    <s v="Nacogdoches"/>
    <s v="TX"/>
    <n v="2.29"/>
    <n v="1997"/>
    <n v="17410"/>
    <n v="17410"/>
    <n v="1"/>
    <m/>
    <s v=" "/>
    <n v="82753"/>
    <n v="4.753187823090178"/>
    <m/>
    <n v="46812"/>
    <d v="2028-02-29T00:00:00"/>
    <n v="4.501369863013698"/>
    <n v="4.501369863013698"/>
    <s v="Gross"/>
    <s v="Flat"/>
    <s v="1, 5yr"/>
    <n v="1100000"/>
    <n v="63.18207926479035"/>
    <n v="0.07523000000000001"/>
    <m/>
    <d v="2023-08-31T00:00:00"/>
    <x v="8"/>
    <m/>
    <x v="31"/>
    <s v="TX"/>
    <s v="Private"/>
    <m/>
    <m/>
    <n v="1275000"/>
    <n v="0.0649043137254902"/>
    <n v="0.8627450980392157"/>
    <n v="1275000"/>
    <n v="0.0649043137254902"/>
    <n v="0.0103256862745098"/>
    <s v="No"/>
    <m/>
    <s v=" "/>
  </r>
  <r>
    <m/>
    <s v="BPC"/>
    <s v="State"/>
    <s v="Fee Simple"/>
    <s v="1677 Old Hot Springs Rd, Ste A"/>
    <s v="Carson City"/>
    <s v="NV"/>
    <n v="0.98"/>
    <n v="1990"/>
    <n v="12502"/>
    <n v="12502"/>
    <n v="1"/>
    <m/>
    <s v=" "/>
    <n v="142330"/>
    <n v="11.38457846744521"/>
    <m/>
    <n v="47490"/>
    <d v="2030-01-07T00:00:00"/>
    <n v="6.4"/>
    <n v="6.4"/>
    <s v="Full Service"/>
    <s v="2% annually"/>
    <s v="None"/>
    <n v="2000000"/>
    <n v="159.9744040953447"/>
    <n v="0.07116500000000001"/>
    <m/>
    <d v="2023-08-16T00:00:00"/>
    <x v="47"/>
    <s v="CB; Yeager"/>
    <x v="32"/>
    <s v="NV"/>
    <s v="Private"/>
    <m/>
    <m/>
    <n v="2400000"/>
    <n v="0.05930416666666666"/>
    <n v="0.8333333333333334"/>
    <n v="2275000"/>
    <n v="0.06256263736263737"/>
    <n v="0.008602362637362637"/>
    <s v="Yes"/>
    <d v="2023-01-26T00:00:00"/>
    <n v="202"/>
  </r>
  <r>
    <m/>
    <s v="University of Colorado"/>
    <s v="State"/>
    <s v="Fee Simple"/>
    <s v="6303 Wadsworth Byp"/>
    <s v="Arvada"/>
    <s v="CO"/>
    <n v="0.64"/>
    <n v="1986"/>
    <m/>
    <n v="10208"/>
    <s v=" "/>
    <m/>
    <s v=" "/>
    <n v="170984"/>
    <n v="16.75"/>
    <m/>
    <m/>
    <m/>
    <s v=" "/>
    <s v=" "/>
    <s v=""/>
    <s v=""/>
    <s v=""/>
    <n v="1460000"/>
    <n v="143.025078369906"/>
    <n v="0.1171123287671233"/>
    <m/>
    <d v="2023-08-01T00:00:00"/>
    <x v="8"/>
    <m/>
    <x v="0"/>
    <m/>
    <m/>
    <m/>
    <m/>
    <n v="1475000"/>
    <n v="0.1159213559322034"/>
    <n v="0.9898305084745763"/>
    <n v="1475000"/>
    <n v="0.1159213559322034"/>
    <n v="0.001190972834919896"/>
    <s v="No"/>
    <d v="2023-03-20T00:00:00"/>
    <n v="134"/>
  </r>
  <r>
    <s v="LIL01133"/>
    <s v="SSA"/>
    <s v="Federal"/>
    <s v="Fee Simple"/>
    <s v="400 N Vermilion St"/>
    <s v="Danville"/>
    <s v="IL"/>
    <n v="1.21"/>
    <n v="2009"/>
    <n v="7770"/>
    <n v="7770"/>
    <n v="1"/>
    <n v="195469.4"/>
    <n v="25.15693693693694"/>
    <m/>
    <s v=" "/>
    <d v="2022-05-15T00:00:00"/>
    <n v="50174"/>
    <d v="2032-05-15T00:00:00"/>
    <n v="13.79452054794521"/>
    <n v="8.794520547945206"/>
    <s v="Modified Gross"/>
    <s v="None"/>
    <s v="None"/>
    <n v="1405000"/>
    <n v="180.8236808236808"/>
    <s v=" "/>
    <m/>
    <d v="2023-08-01T00:00:00"/>
    <x v="48"/>
    <s v="Colliers; Ficke"/>
    <x v="33"/>
    <s v="IL"/>
    <s v="Private"/>
    <m/>
    <m/>
    <m/>
    <s v=" "/>
    <s v=" "/>
    <m/>
    <s v=" "/>
    <s v=" "/>
    <s v=" "/>
    <m/>
    <s v=" "/>
  </r>
  <r>
    <s v="LMO20002"/>
    <s v="SSA"/>
    <s v="Federal"/>
    <s v="Fee Simple"/>
    <s v="2021 Independence Ave"/>
    <s v="Kansas City"/>
    <s v="MO"/>
    <n v="0.63"/>
    <m/>
    <n v="11072"/>
    <n v="11072"/>
    <n v="1"/>
    <n v="390418.79"/>
    <n v="35.26181268063583"/>
    <m/>
    <s v=" "/>
    <d v="2002-11-01T00:00:00"/>
    <n v="43039"/>
    <d v="2012-10-31T00:00:00"/>
    <n v="-5.753424657534246"/>
    <n v="-10.75616438356164"/>
    <s v="Modified Gross"/>
    <s v="None"/>
    <s v="None"/>
    <m/>
    <s v=" "/>
    <s v=" "/>
    <m/>
    <d v="2023-08-01T00:00:00"/>
    <x v="49"/>
    <m/>
    <x v="34"/>
    <s v="MO"/>
    <s v="Private"/>
    <m/>
    <m/>
    <m/>
    <s v=" "/>
    <s v=" "/>
    <m/>
    <s v=" "/>
    <s v=" "/>
    <s v=" "/>
    <m/>
    <s v=" "/>
  </r>
  <r>
    <m/>
    <s v="USPS"/>
    <s v="Federal"/>
    <s v="Fee Simple"/>
    <s v="13867 W ID-53"/>
    <s v="Rathdrum"/>
    <s v="ID"/>
    <n v="0.53"/>
    <n v="1981"/>
    <n v="3842"/>
    <n v="3842"/>
    <n v="1"/>
    <n v="53788"/>
    <n v="14"/>
    <n v="48300"/>
    <n v="12.57157730348777"/>
    <d v="2021-05-14T00:00:00"/>
    <n v="46156"/>
    <d v="2026-05-14T00:00:00"/>
    <n v="2.802739726027397"/>
    <n v="2.802739726027397"/>
    <s v="Rider"/>
    <s v="None"/>
    <s v="None"/>
    <n v="750000"/>
    <n v="195.2108276939094"/>
    <n v="0.0644"/>
    <m/>
    <d v="2023-07-26T00:00:00"/>
    <x v="50"/>
    <s v="M&amp;M; McDonald"/>
    <x v="35"/>
    <s v="ID"/>
    <s v="Private"/>
    <m/>
    <m/>
    <n v="805000"/>
    <n v="0.06"/>
    <n v="0.9316770186335404"/>
    <n v="805000"/>
    <n v="0.06"/>
    <n v="0.004400000000000001"/>
    <s v="No"/>
    <d v="2023-02-13T00:00:00"/>
    <n v="163"/>
  </r>
  <r>
    <m/>
    <s v="ORS"/>
    <s v="State"/>
    <s v="Fee Simple"/>
    <s v="400 E Campus View Blvd"/>
    <s v="Columbus"/>
    <s v="OH"/>
    <n v="13.17"/>
    <n v="1987"/>
    <n v="142246"/>
    <n v="142246"/>
    <n v="1"/>
    <m/>
    <s v=" "/>
    <n v="1389670"/>
    <n v="9.769483851918507"/>
    <m/>
    <n v="45838"/>
    <d v="2020-06-30T00:00:00"/>
    <n v="1.945205479452055"/>
    <n v="-3.057534246575342"/>
    <s v="Full Service"/>
    <s v="None"/>
    <s v="None"/>
    <n v="7626000"/>
    <n v="53.61134935253013"/>
    <n v="0.1822279045371099"/>
    <m/>
    <d v="2023-07-21T00:00:00"/>
    <x v="8"/>
    <m/>
    <x v="0"/>
    <m/>
    <m/>
    <m/>
    <m/>
    <n v="13900000"/>
    <n v="0.09997625899280575"/>
    <n v="0.5486330935251799"/>
    <n v="13900000"/>
    <n v="0.09997625899280575"/>
    <n v="0.08225164554430413"/>
    <s v="No"/>
    <d v="2021-10-28T00:00:00"/>
    <n v="631"/>
  </r>
  <r>
    <m/>
    <s v="PA CareerLink"/>
    <s v="State"/>
    <s v="Leasehold"/>
    <s v="243 Schneider Dr"/>
    <s v="Lebanon"/>
    <s v="PA"/>
    <n v="2.512"/>
    <n v="1996"/>
    <n v="8464"/>
    <n v="8464"/>
    <n v="1"/>
    <m/>
    <s v=" "/>
    <n v="59134"/>
    <n v="6.986531190926276"/>
    <m/>
    <n v="48760"/>
    <m/>
    <n v="9.96986301369863"/>
    <s v=" "/>
    <s v="Gross"/>
    <s v="2.5% at each option"/>
    <s v="2, 5yr"/>
    <n v="950000"/>
    <n v="112.2400756143667"/>
    <n v="0.06224631578947368"/>
    <m/>
    <d v="2023-07-14T00:00:00"/>
    <x v="8"/>
    <m/>
    <x v="0"/>
    <m/>
    <m/>
    <m/>
    <m/>
    <n v="1100000"/>
    <n v="0.05375818181818182"/>
    <n v="0.8636363636363636"/>
    <n v="1100000"/>
    <n v="0.05375818181818182"/>
    <n v="0.008488133971291868"/>
    <s v="No"/>
    <d v="2021-04-02T00:00:00"/>
    <n v="833"/>
  </r>
  <r>
    <m/>
    <s v="VUMC"/>
    <s v="State"/>
    <s v="Fee Simple"/>
    <s v="455 Great Circle Rd"/>
    <s v="Nashville"/>
    <s v="TN"/>
    <n v="19.29"/>
    <n v="1988"/>
    <n v="94090"/>
    <n v="160069"/>
    <n v="0.5878090073655736"/>
    <m/>
    <s v=" "/>
    <n v="2841224.75"/>
    <n v="17.75"/>
    <m/>
    <n v="49948"/>
    <d v="2036-09-30T00:00:00"/>
    <n v="13.22465753424657"/>
    <n v="13.22465753424657"/>
    <s v="Full Service"/>
    <s v="2% annually"/>
    <s v="None"/>
    <n v="40000000"/>
    <n v="249.8922339740987"/>
    <n v="0.07103061875"/>
    <m/>
    <d v="2023-07-14T00:00:00"/>
    <x v="51"/>
    <s v="CBRE; Hillenmeyer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6001 NW 63rd St"/>
    <s v="Warr Acres"/>
    <s v="OK"/>
    <n v="1"/>
    <n v="1972"/>
    <n v="10236"/>
    <n v="10236"/>
    <n v="1"/>
    <m/>
    <s v=" "/>
    <n v="123667"/>
    <n v="12.0815748339195"/>
    <m/>
    <n v="46477"/>
    <d v="2027-03-31T00:00:00"/>
    <n v="3.715068493150685"/>
    <n v="3.715068493150685"/>
    <s v="Rider"/>
    <s v="At option"/>
    <s v="1, 5yr"/>
    <n v="1870000"/>
    <n v="182.6885502149277"/>
    <n v="0.06613208556149733"/>
    <m/>
    <d v="2023-07-14T00:00:00"/>
    <x v="52"/>
    <s v="Shop; Lightfoot"/>
    <x v="7"/>
    <s v="NY"/>
    <s v="Private"/>
    <m/>
    <m/>
    <n v="1903000"/>
    <n v="0.06498528638991066"/>
    <n v="0.9826589595375722"/>
    <n v="1903000"/>
    <n v="0.06498528638991066"/>
    <n v="0.001146799171586665"/>
    <s v="No"/>
    <d v="2023-05-01T00:00:00"/>
    <n v="74"/>
  </r>
  <r>
    <m/>
    <s v="SH"/>
    <s v="State"/>
    <s v="Fee Simple"/>
    <s v="1500 Boston Post Rd"/>
    <s v="Darien"/>
    <s v="CT"/>
    <n v="1.8"/>
    <n v="1997"/>
    <n v="18574"/>
    <n v="18574"/>
    <n v="1"/>
    <n v="655903"/>
    <n v="35.31296435878109"/>
    <n v="615950"/>
    <n v="33.16194680736513"/>
    <d v="2013-12-31T00:00:00"/>
    <n v="47938"/>
    <d v="2031-03-31T00:00:00"/>
    <n v="7.720547945205479"/>
    <n v="7.720547945205479"/>
    <s v="Modified Gross"/>
    <s v="CPI every 5"/>
    <s v="None"/>
    <n v="9700000"/>
    <n v="522.2353827931518"/>
    <n v="0.0635"/>
    <m/>
    <d v="2023-07-13T00:00:00"/>
    <x v="53"/>
    <s v="SJC; Rotunno"/>
    <x v="36"/>
    <s v="CT"/>
    <s v="Private"/>
    <m/>
    <m/>
    <n v="11500000"/>
    <n v="0.05356086956521739"/>
    <n v="0.8434782608695652"/>
    <n v="11500000"/>
    <n v="0.05356086956521739"/>
    <n v="0.00993913043478261"/>
    <s v="No"/>
    <d v="2023-02-08T00:00:00"/>
    <n v="155"/>
  </r>
  <r>
    <m/>
    <s v="Palomar Health"/>
    <s v="Contractor"/>
    <s v="Fee Simple"/>
    <s v="2227 Enterprise St"/>
    <s v="Escondido"/>
    <s v="CA"/>
    <n v="1.96"/>
    <m/>
    <n v="38616"/>
    <n v="38616"/>
    <n v="1"/>
    <m/>
    <s v=" "/>
    <n v="1110210"/>
    <n v="28.75"/>
    <m/>
    <n v="48090"/>
    <d v="2031-08-30T00:00:00"/>
    <n v="8.145205479452056"/>
    <n v="8.145205479452056"/>
    <s v="Full Service"/>
    <s v="2% annually"/>
    <s v="None"/>
    <n v="14400000"/>
    <n v="372.9024238657551"/>
    <n v="0.07709791666666667"/>
    <m/>
    <d v="2023-07-10T00:00:00"/>
    <x v="54"/>
    <m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45 Tunnel Ln"/>
    <s v="Greensburg"/>
    <s v="KY"/>
    <n v="1.32"/>
    <n v="2018"/>
    <n v="6000"/>
    <n v="6000"/>
    <n v="1"/>
    <m/>
    <s v=" "/>
    <n v="142788"/>
    <n v="23.798"/>
    <m/>
    <n v="46783"/>
    <d v="2028-01-31T00:00:00"/>
    <n v="4.594520547945206"/>
    <n v="4.594520547945206"/>
    <s v="Rider"/>
    <s v="None"/>
    <s v="2, 5yr"/>
    <n v="2165000"/>
    <n v="360.8333333333333"/>
    <n v="0.06595288683602771"/>
    <m/>
    <d v="2023-06-29T00:00:00"/>
    <x v="8"/>
    <m/>
    <x v="0"/>
    <m/>
    <m/>
    <m/>
    <m/>
    <n v="2600000"/>
    <n v="0.05491846153846154"/>
    <n v="0.8326923076923077"/>
    <n v="2165000"/>
    <n v="0.06595288683602771"/>
    <n v="0"/>
    <s v="Yes"/>
    <d v="2023-02-15T00:00:00"/>
    <n v="134"/>
  </r>
  <r>
    <m/>
    <s v="DSS"/>
    <s v="State"/>
    <s v="Fee Simple"/>
    <s v="1631 W Bennett St"/>
    <s v="Springfield"/>
    <s v="MO"/>
    <n v="1.49"/>
    <n v="1993"/>
    <n v="7076"/>
    <n v="7076"/>
    <n v="1"/>
    <m/>
    <s v=" "/>
    <n v="63662"/>
    <n v="8.99689089881289"/>
    <m/>
    <n v="47026"/>
    <d v="2023-09-30T00:00:00"/>
    <n v="5.276712328767124"/>
    <n v="0.2712328767123288"/>
    <s v="Gross"/>
    <s v="None"/>
    <s v="None"/>
    <n v="718200"/>
    <n v="101.4980214810628"/>
    <n v="0.08864104706209969"/>
    <m/>
    <d v="2023-06-23T00:00:00"/>
    <x v="55"/>
    <m/>
    <x v="37"/>
    <s v="AR"/>
    <s v="Private"/>
    <m/>
    <m/>
    <n v="695000"/>
    <n v="0.0916"/>
    <n v="1.033381294964029"/>
    <n v="695000"/>
    <n v="0.0916"/>
    <n v="-0.002958952937900314"/>
    <s v="No"/>
    <d v="2023-03-30T00:00:00"/>
    <n v="85"/>
  </r>
  <r>
    <s v="LAR16487"/>
    <s v="SSA"/>
    <s v="Federal"/>
    <s v="Fee Simple"/>
    <s v="6801 Dallas St"/>
    <s v="Fort Smith"/>
    <s v="AR"/>
    <n v="2.42"/>
    <n v="2010"/>
    <n v="15079"/>
    <n v="15079"/>
    <n v="1"/>
    <n v="463508"/>
    <n v="30.73864314609722"/>
    <n v="350497.5"/>
    <n v="23.24408117249154"/>
    <d v="2010-03-17T00:00:00"/>
    <n v="45732"/>
    <d v="2020-03-17T00:00:00"/>
    <n v="1.750684931506849"/>
    <n v="-3.249315068493151"/>
    <s v="Modified Gross"/>
    <s v="None"/>
    <s v="None"/>
    <n v="3515000"/>
    <n v="233.105643610319"/>
    <n v="0.09971479374110953"/>
    <m/>
    <d v="2023-06-16T00:00:00"/>
    <x v="56"/>
    <m/>
    <x v="38"/>
    <s v="FL"/>
    <s v="Private"/>
    <m/>
    <m/>
    <m/>
    <s v=" "/>
    <s v=" "/>
    <m/>
    <s v=" "/>
    <s v=" "/>
    <s v=" "/>
    <m/>
    <s v=" "/>
  </r>
  <r>
    <s v="LOH17872"/>
    <s v="SSA"/>
    <s v="Federal"/>
    <s v="Fee Simple"/>
    <s v="220 S Hamilton Rd"/>
    <s v="Columbus"/>
    <s v="OH"/>
    <n v="1.81"/>
    <n v="2009"/>
    <n v="13656"/>
    <n v="13656"/>
    <n v="1"/>
    <n v="344512.82"/>
    <n v="25.22794522554189"/>
    <n v="232500"/>
    <n v="17.02548330404218"/>
    <d v="2009-10-19T00:00:00"/>
    <n v="44852"/>
    <d v="2019-10-18T00:00:00"/>
    <n v="-0.6575342465753424"/>
    <n v="-3.66027397260274"/>
    <s v="Modified Gross"/>
    <s v="None"/>
    <s v="None"/>
    <n v="2405000"/>
    <n v="176.1130638547159"/>
    <n v="0.09667359667359668"/>
    <m/>
    <d v="2023-06-15T00:00:00"/>
    <x v="56"/>
    <m/>
    <x v="38"/>
    <s v="FL"/>
    <s v="Private"/>
    <m/>
    <m/>
    <m/>
    <s v=" "/>
    <s v=" "/>
    <m/>
    <s v=" "/>
    <s v=" "/>
    <s v=" "/>
    <m/>
    <s v=" "/>
  </r>
  <r>
    <s v="LOH19521"/>
    <s v="SSA"/>
    <s v="Federal"/>
    <s v="Fee Simple"/>
    <s v="1051 Worthington Woods Loop Rd"/>
    <s v="Columbus"/>
    <s v="OH"/>
    <n v="1.39"/>
    <n v="2007"/>
    <n v="10035"/>
    <n v="10035"/>
    <n v="1"/>
    <n v="392984.69"/>
    <n v="39.16140408570005"/>
    <n v="252193.6"/>
    <n v="25.13140009965122"/>
    <d v="2020-08-20T00:00:00"/>
    <n v="47714"/>
    <d v="2025-08-19T00:00:00"/>
    <n v="7.183561643835616"/>
    <n v="2.180821917808219"/>
    <s v="Modified Gross"/>
    <s v="None"/>
    <s v="None"/>
    <n v="2608000"/>
    <n v="259.8903836571998"/>
    <n v="0.09669999999999999"/>
    <m/>
    <d v="2023-06-15T00:00:00"/>
    <x v="56"/>
    <m/>
    <x v="39"/>
    <s v="FL"/>
    <s v="Private"/>
    <m/>
    <m/>
    <m/>
    <s v=" "/>
    <s v=" "/>
    <m/>
    <s v=" "/>
    <s v=" "/>
    <s v=" "/>
    <m/>
    <s v=" "/>
  </r>
  <r>
    <s v="LGA50020"/>
    <s v="SSA"/>
    <s v="Federal"/>
    <s v="Fee Simple"/>
    <s v="6670 Merchants Way"/>
    <s v="Morrow"/>
    <s v="GA"/>
    <n v="2.11"/>
    <n v="2011"/>
    <n v="19015"/>
    <n v="19015"/>
    <n v="1"/>
    <n v="404353.69"/>
    <n v="21.26498501183276"/>
    <n v="283289"/>
    <n v="14.89818564291349"/>
    <d v="2011-01-26T00:00:00"/>
    <n v="44221"/>
    <d v="2016-01-26T00:00:00"/>
    <n v="-2.380821917808219"/>
    <n v="-7.383561643835616"/>
    <s v="Modified Gross"/>
    <s v="None"/>
    <s v="None"/>
    <n v="2800000"/>
    <n v="147.2521693399947"/>
    <n v="0.1011746428571429"/>
    <m/>
    <d v="2023-06-13T00:00:00"/>
    <x v="57"/>
    <s v="Gibraltar; Warren"/>
    <x v="0"/>
    <m/>
    <m/>
    <m/>
    <m/>
    <n v="3500000"/>
    <n v="0.08093971428571428"/>
    <n v="0.8"/>
    <n v="3500000"/>
    <n v="0.08093971428571428"/>
    <n v="0.02023492857142857"/>
    <s v="No"/>
    <d v="2022-04-08T00:00:00"/>
    <n v="431"/>
  </r>
  <r>
    <m/>
    <s v="USPS"/>
    <s v="Federal"/>
    <s v="Fee Simple"/>
    <s v="16 N New Haven St"/>
    <s v="Marietta"/>
    <s v="PA"/>
    <n v="0.3"/>
    <n v="1950"/>
    <n v="3210"/>
    <n v="3210"/>
    <n v="1"/>
    <m/>
    <s v=" "/>
    <n v="53250"/>
    <n v="16.58878504672897"/>
    <m/>
    <n v="46234"/>
    <d v="2026-07-31T00:00:00"/>
    <n v="3.136986301369863"/>
    <n v="3.136986301369863"/>
    <s v="Rider"/>
    <s v="None"/>
    <s v="None"/>
    <n v="672000"/>
    <n v="209.3457943925234"/>
    <n v="0.07924107142857142"/>
    <m/>
    <d v="2023-06-12T00:00:00"/>
    <x v="8"/>
    <m/>
    <x v="0"/>
    <m/>
    <m/>
    <m/>
    <m/>
    <n v="625000"/>
    <n v="0.0852"/>
    <n v="1.0752"/>
    <n v="625000"/>
    <n v="0.0852"/>
    <n v="-0.005958928571428573"/>
    <s v="No"/>
    <d v="2023-04-05T00:00:00"/>
    <n v="68"/>
  </r>
  <r>
    <m/>
    <s v="VA"/>
    <s v="Federal"/>
    <s v="Fee Simple"/>
    <s v="8000 Metropolis Dr"/>
    <s v="Austin"/>
    <s v="TX"/>
    <n v="23.92"/>
    <m/>
    <n v="67625"/>
    <n v="138850"/>
    <n v="0.4870363701836514"/>
    <m/>
    <s v=" "/>
    <m/>
    <s v=" "/>
    <d v="2023-07-01T00:00:00"/>
    <m/>
    <m/>
    <s v=" "/>
    <s v=" "/>
    <m/>
    <m/>
    <m/>
    <m/>
    <s v=" "/>
    <s v=" "/>
    <m/>
    <d v="2023-06-01T00:00:00"/>
    <x v="58"/>
    <s v="CBRE; Pike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7901 Metropolis Dr"/>
    <s v="Austin"/>
    <s v="TX"/>
    <n v="35"/>
    <n v="2013"/>
    <n v="275000"/>
    <n v="275000"/>
    <n v="1"/>
    <n v="11976472"/>
    <n v="43.55080727272728"/>
    <n v="8532023"/>
    <n v="31.02553818181818"/>
    <d v="2013-02-26T00:00:00"/>
    <n v="48636"/>
    <d v="2033-02-26T00:00:00"/>
    <n v="9.747945205479452"/>
    <n v="9.747945205479452"/>
    <s v="Full Service"/>
    <s v="Flat"/>
    <s v="None"/>
    <n v="142000000"/>
    <n v="516.3636363636364"/>
    <n v="0.0600846690140845"/>
    <m/>
    <d v="2023-06-01T00:00:00"/>
    <x v="58"/>
    <s v="CBRE; Pike"/>
    <x v="1"/>
    <s v="IL"/>
    <s v="Private"/>
    <m/>
    <m/>
    <m/>
    <s v=" "/>
    <s v=" "/>
    <m/>
    <s v=" "/>
    <s v=" "/>
    <s v=" "/>
    <m/>
    <s v=" "/>
  </r>
  <r>
    <m/>
    <s v="Army"/>
    <s v="Federal"/>
    <s v="Fee Simple"/>
    <s v="3810 McIntyre Ave"/>
    <s v="Eau Claire"/>
    <s v="WI"/>
    <n v="1.83"/>
    <n v="1975"/>
    <n v="20000"/>
    <n v="20000"/>
    <n v="1"/>
    <m/>
    <s v=" "/>
    <n v="134894"/>
    <n v="6.7447"/>
    <m/>
    <n v="46388"/>
    <d v="2022-01-01T00:00:00"/>
    <n v="3.591780821917808"/>
    <n v="-1.410958904109589"/>
    <s v="Modified Gross"/>
    <s v="None"/>
    <s v="None"/>
    <n v="1543318"/>
    <n v="77.16589999999999"/>
    <n v="0.08740518804290497"/>
    <m/>
    <d v="2023-05-31T00:00:00"/>
    <x v="59"/>
    <s v="M&amp;M; Gommels"/>
    <x v="40"/>
    <s v="MN"/>
    <s v="Private"/>
    <m/>
    <m/>
    <n v="1586635"/>
    <n v="0.08501892369700656"/>
    <n v="0.9726988248715048"/>
    <n v="1586635"/>
    <n v="0.08501892369700656"/>
    <n v="0.002386264345898406"/>
    <s v="No"/>
    <d v="2023-01-31T00:00:00"/>
    <n v="120"/>
  </r>
  <r>
    <m/>
    <s v="USPS"/>
    <s v="Federal"/>
    <s v="Fee Simple"/>
    <s v="820 N Imperial Ave"/>
    <s v="Imperial"/>
    <s v="CA"/>
    <n v="1.49"/>
    <n v="2021"/>
    <n v="5430"/>
    <n v="5430"/>
    <n v="1"/>
    <m/>
    <s v=" "/>
    <n v="151567"/>
    <n v="27.91289134438306"/>
    <m/>
    <n v="48121"/>
    <d v="2031-09-30T00:00:00"/>
    <n v="8.353424657534246"/>
    <n v="8.353424657534246"/>
    <s v="Rider"/>
    <s v="3% annually"/>
    <s v="2, 5yr"/>
    <n v="2930000"/>
    <n v="539.5948434622468"/>
    <n v="0.05172935153583618"/>
    <m/>
    <d v="2023-05-26T00:00:00"/>
    <x v="60"/>
    <s v="Hanley; Asher"/>
    <x v="41"/>
    <s v="IN"/>
    <s v="Private"/>
    <m/>
    <m/>
    <n v="3665000"/>
    <n v="0.04135525238744884"/>
    <n v="0.7994542974079127"/>
    <n v="3030000"/>
    <n v="0.05002211221122112"/>
    <n v="0.001707239324615056"/>
    <s v="Yes"/>
    <d v="2022-07-14T00:00:00"/>
    <n v="316"/>
  </r>
  <r>
    <m/>
    <s v="USPS"/>
    <s v="Federal"/>
    <s v="Fee Simple"/>
    <s v="427 North St"/>
    <s v="Taft"/>
    <s v="CA"/>
    <n v="0.47"/>
    <n v="2000"/>
    <n v="6600"/>
    <n v="6600"/>
    <n v="1"/>
    <m/>
    <s v=" "/>
    <n v="123261"/>
    <n v="18.67590909090909"/>
    <m/>
    <n v="45998"/>
    <d v="2025-12-07T00:00:00"/>
    <n v="2.545205479452055"/>
    <n v="2.545205479452055"/>
    <s v="Modified Gross"/>
    <s v="FMV at option"/>
    <s v="1, 5yr"/>
    <n v="1780000"/>
    <n v="269.6969696969697"/>
    <n v="0.06924775280898876"/>
    <m/>
    <d v="2023-05-23T00:00:00"/>
    <x v="61"/>
    <m/>
    <x v="7"/>
    <s v="NY"/>
    <s v="Private"/>
    <m/>
    <m/>
    <n v="1911000"/>
    <n v="0.06450078492935636"/>
    <n v="0.9314495028780743"/>
    <n v="1911000"/>
    <n v="0.06450078492935636"/>
    <n v="0.004746967879632399"/>
    <s v="No"/>
    <d v="2023-04-04T00:00:00"/>
    <n v="49"/>
  </r>
  <r>
    <s v="LIL19501"/>
    <s v="SSA"/>
    <s v="Federal"/>
    <s v="Fee Simple"/>
    <s v="13325 N Lake St"/>
    <s v="Aurora"/>
    <s v="IL"/>
    <n v="2.25"/>
    <n v="2008"/>
    <n v="12500"/>
    <n v="12500"/>
    <n v="1"/>
    <n v="375516"/>
    <n v="30.04128"/>
    <n v="216086.4"/>
    <n v="17.286912"/>
    <d v="2018-10-01T00:00:00"/>
    <n v="47026"/>
    <d v="2023-09-30T00:00:00"/>
    <n v="5.364383561643836"/>
    <n v="0.3589041095890411"/>
    <s v="Modified Gross"/>
    <s v="None"/>
    <s v="None"/>
    <n v="2214000"/>
    <n v="177.12"/>
    <n v="0.09760000000000001"/>
    <m/>
    <d v="2023-05-22T00:00:00"/>
    <x v="56"/>
    <m/>
    <x v="38"/>
    <s v="FL"/>
    <s v="Private"/>
    <m/>
    <m/>
    <m/>
    <s v=" "/>
    <s v=" "/>
    <m/>
    <s v=" "/>
    <s v=" "/>
    <s v=" "/>
    <m/>
    <s v=" "/>
  </r>
  <r>
    <m/>
    <s v="USPS"/>
    <s v="Federal"/>
    <s v="Fee Simple"/>
    <s v="141 Montauk Hwy"/>
    <s v="Blue Point"/>
    <s v="NY"/>
    <n v="0.31"/>
    <n v="1956"/>
    <n v="3891"/>
    <n v="3891"/>
    <n v="1"/>
    <m/>
    <s v=" "/>
    <n v="67500"/>
    <n v="17.34772552043177"/>
    <m/>
    <n v="46599"/>
    <d v="2027-07-31T00:00:00"/>
    <n v="4.194520547945205"/>
    <n v="4.194520547945205"/>
    <s v="Rider"/>
    <s v="None"/>
    <s v="2, 5yr"/>
    <n v="1125000"/>
    <n v="289.1287586738628"/>
    <n v="0.06"/>
    <m/>
    <d v="2023-05-22T00:00:00"/>
    <x v="62"/>
    <s v="Silber; Frankel"/>
    <x v="0"/>
    <m/>
    <m/>
    <m/>
    <m/>
    <m/>
    <s v=" "/>
    <s v=" "/>
    <m/>
    <s v=" "/>
    <s v=" "/>
    <s v=" "/>
    <m/>
    <s v=" "/>
  </r>
  <r>
    <m/>
    <s v="NWS"/>
    <s v="Federal"/>
    <s v="Fee Simple"/>
    <s v="5027 Miller Trunk Hwy"/>
    <s v="Hermantown"/>
    <s v="MN"/>
    <n v="2.04"/>
    <n v="1995"/>
    <n v="5769"/>
    <n v="5769"/>
    <n v="1"/>
    <m/>
    <s v=" "/>
    <n v="146686"/>
    <n v="25.42659039694921"/>
    <m/>
    <n v="45838"/>
    <d v="2020-06-30T00:00:00"/>
    <n v="2.145205479452055"/>
    <n v="-2.857534246575343"/>
    <s v="Modified Gross"/>
    <s v="None"/>
    <s v="None"/>
    <n v="1737000"/>
    <n v="301.0920436817473"/>
    <n v="0.08444789867587794"/>
    <m/>
    <d v="2023-05-09T00:00:00"/>
    <x v="63"/>
    <s v="M&amp;M; Higgins"/>
    <x v="42"/>
    <s v="VA"/>
    <s v="Private"/>
    <m/>
    <m/>
    <n v="2066000"/>
    <n v="0.07099999999999999"/>
    <n v="0.8407550822846079"/>
    <n v="2066000"/>
    <n v="0.07099999999999999"/>
    <n v="0.01344789867587795"/>
    <s v="No"/>
    <d v="2022-11-10T00:00:00"/>
    <n v="180"/>
  </r>
  <r>
    <m/>
    <s v="USPS"/>
    <s v="Federal"/>
    <s v="Fee Simple"/>
    <s v="120-07 15th Ave"/>
    <s v="Queens"/>
    <s v="NY"/>
    <n v="0.23"/>
    <n v="1951"/>
    <n v="6853"/>
    <n v="6853"/>
    <n v="1"/>
    <m/>
    <s v=" "/>
    <n v="185031"/>
    <n v="27"/>
    <m/>
    <m/>
    <m/>
    <s v=" "/>
    <s v=" "/>
    <s v=""/>
    <s v=""/>
    <s v=""/>
    <n v="3900000"/>
    <n v="569.0938275207939"/>
    <n v="0.04744384615384616"/>
    <m/>
    <d v="2023-05-04T00:00:00"/>
    <x v="8"/>
    <m/>
    <x v="0"/>
    <m/>
    <m/>
    <m/>
    <m/>
    <n v="4900000"/>
    <n v="0.03776142857142857"/>
    <n v="0.7959183673469388"/>
    <n v="4500000"/>
    <n v="0.041118"/>
    <n v="0.006325846153846154"/>
    <s v="Yes"/>
    <d v="2022-02-18T00:00:00"/>
    <n v="440"/>
  </r>
  <r>
    <s v="LWA06991"/>
    <s v="SSA"/>
    <s v="Federal"/>
    <s v="Fee Simple"/>
    <s v="714 N Ironbridge Way"/>
    <s v="Spokane"/>
    <s v="WA"/>
    <n v="2.19"/>
    <n v="2009"/>
    <n v="36294"/>
    <n v="43000"/>
    <n v="0.844046511627907"/>
    <n v="1044209"/>
    <n v="28.77084366561966"/>
    <n v="753959"/>
    <n v="17.53393023255814"/>
    <d v="2009-12-29T00:00:00"/>
    <n v="45654"/>
    <d v="2019-12-29T00:00:00"/>
    <n v="1.654794520547945"/>
    <n v="-3.347945205479452"/>
    <s v="Modified Gross"/>
    <s v="None"/>
    <s v="None"/>
    <n v="8460366"/>
    <n v="196.7526976744186"/>
    <n v="0.0891165937738391"/>
    <m/>
    <d v="2023-05-04T00:00:00"/>
    <x v="64"/>
    <s v="K&amp;G; Nelson"/>
    <x v="1"/>
    <s v="IL"/>
    <s v="Private"/>
    <m/>
    <m/>
    <m/>
    <s v=" "/>
    <s v=" "/>
    <m/>
    <s v=" "/>
    <s v=" "/>
    <s v=" "/>
    <m/>
    <s v=" "/>
  </r>
  <r>
    <s v="LFL60308"/>
    <s v="IRS"/>
    <s v="Federal"/>
    <s v="Fee Simple"/>
    <s v="5971 Cattleridge Blvd"/>
    <s v="Sarasota"/>
    <s v="FL"/>
    <n v="4.09"/>
    <n v="1998"/>
    <n v="12941"/>
    <n v="31664"/>
    <n v="0.4086975745325922"/>
    <n v="350845.83"/>
    <n v="27.11118383432501"/>
    <m/>
    <s v=" "/>
    <d v="2015-10-19T00:00:00"/>
    <n v="45948"/>
    <d v="2020-10-19T00:00:00"/>
    <n v="2.465753424657534"/>
    <n v="-2.534246575342466"/>
    <s v="Modified Gross"/>
    <s v="None"/>
    <s v="None"/>
    <m/>
    <s v=" "/>
    <s v=" "/>
    <m/>
    <d v="2023-05-02T00:00:00"/>
    <x v="65"/>
    <m/>
    <x v="43"/>
    <s v="FL"/>
    <s v="User"/>
    <m/>
    <m/>
    <m/>
    <s v=" "/>
    <s v=" "/>
    <m/>
    <s v=" "/>
    <s v=" "/>
    <s v=" "/>
    <m/>
    <s v=" "/>
  </r>
  <r>
    <m/>
    <s v="Rev."/>
    <s v="State"/>
    <s v="Fee Simple"/>
    <s v="1846 Brookwood St"/>
    <s v="Harrisburg"/>
    <s v="PA"/>
    <n v="6.22"/>
    <n v="1950"/>
    <n v="96851"/>
    <n v="96851"/>
    <n v="1"/>
    <m/>
    <s v=" "/>
    <n v="988480"/>
    <n v="10.20619301814127"/>
    <m/>
    <n v="47848"/>
    <d v="2030-12-31T00:00:00"/>
    <n v="7.673972602739726"/>
    <n v="7.673972602739726"/>
    <s v="Full Service"/>
    <s v="2% annually"/>
    <s v="None"/>
    <n v="11000000"/>
    <n v="113.576524764845"/>
    <n v="0.08986181818181818"/>
    <m/>
    <d v="2023-05-01T00:00:00"/>
    <x v="66"/>
    <s v="Forged"/>
    <x v="44"/>
    <s v="PA"/>
    <s v="Private"/>
    <m/>
    <m/>
    <n v="12356000"/>
    <n v="0.08"/>
    <n v="0.89025574619618"/>
    <n v="12356000"/>
    <n v="0.08"/>
    <n v="0.00986181818181818"/>
    <s v="No"/>
    <d v="2023-01-17T00:00:00"/>
    <n v="104"/>
  </r>
  <r>
    <m/>
    <s v="USDA"/>
    <s v="Federal"/>
    <s v="Fee Simple"/>
    <s v="1605 E 1st St"/>
    <s v="Ogallala"/>
    <s v="NE"/>
    <n v="1.05"/>
    <n v="1996"/>
    <n v="4860"/>
    <n v="4860"/>
    <n v="1"/>
    <m/>
    <s v=" "/>
    <n v="51899.99999999999"/>
    <n v="10.67901234567901"/>
    <d v="2020-05-01T00:00:00"/>
    <n v="47603"/>
    <d v="2028-04-30T00:00:00"/>
    <n v="7.010958904109589"/>
    <n v="5.010958904109589"/>
    <s v="Modified Gross"/>
    <s v="None"/>
    <s v="None"/>
    <n v="600000"/>
    <n v="123.4567901234568"/>
    <n v="0.08649999999999999"/>
    <m/>
    <d v="2023-04-28T00:00:00"/>
    <x v="31"/>
    <s v="Colliers; Ficke"/>
    <x v="45"/>
    <s v="NE"/>
    <s v="Private"/>
    <m/>
    <m/>
    <m/>
    <s v=" "/>
    <s v=" "/>
    <m/>
    <s v=" "/>
    <s v=" "/>
    <s v=" "/>
    <m/>
    <s v=" "/>
  </r>
  <r>
    <m/>
    <s v="Raytheon"/>
    <s v="Contractor"/>
    <s v="Fee Simple"/>
    <s v="960 Overland Ct"/>
    <s v="San Dimas"/>
    <s v="CA"/>
    <n v="4.25"/>
    <n v="2018"/>
    <n v="79036"/>
    <n v="79036"/>
    <n v="1"/>
    <m/>
    <s v=" "/>
    <n v="1555565"/>
    <n v="19.68172731413533"/>
    <m/>
    <n v="47999"/>
    <d v="2031-05-31T00:00:00"/>
    <n v="8.098630136986301"/>
    <n v="8.098630136986301"/>
    <s v="Full Service"/>
    <s v="2% annually"/>
    <s v="None"/>
    <n v="26000000"/>
    <n v="328.964016397591"/>
    <n v="0.05982942307692308"/>
    <m/>
    <d v="2023-04-27T00:00:00"/>
    <x v="67"/>
    <s v="CBRE; Shaffer"/>
    <x v="1"/>
    <s v="IL"/>
    <s v="Private"/>
    <m/>
    <m/>
    <n v="28283000"/>
    <n v="0.055"/>
    <n v="0.91928013294205"/>
    <n v="28283000"/>
    <n v="0.055"/>
    <n v="0.004829423076923078"/>
    <s v="No"/>
    <d v="2023-02-09T00:00:00"/>
    <n v="77"/>
  </r>
  <r>
    <m/>
    <s v="FSSA/PDR"/>
    <s v="State"/>
    <s v="Fee Simple"/>
    <s v="9801 Georgia St"/>
    <s v="Crown Point"/>
    <s v="IN"/>
    <n v="4.64"/>
    <n v="2008"/>
    <n v="34704"/>
    <n v="34704"/>
    <n v="1"/>
    <m/>
    <s v=" "/>
    <n v="539000"/>
    <n v="15.53135085292762"/>
    <m/>
    <n v="47056"/>
    <d v="2028-10-30T00:00:00"/>
    <n v="5.53972602739726"/>
    <n v="5.53972602739726"/>
    <s v="Full Service"/>
    <s v="None"/>
    <s v="None"/>
    <n v="7000000"/>
    <n v="201.7058552328262"/>
    <n v="0.077"/>
    <m/>
    <d v="2023-04-18T00:00:00"/>
    <x v="68"/>
    <s v="M&amp;M; Kanich"/>
    <x v="1"/>
    <s v="IL"/>
    <s v="Private"/>
    <m/>
    <m/>
    <m/>
    <s v=" "/>
    <s v=" "/>
    <m/>
    <s v=" "/>
    <s v=" "/>
    <s v=" "/>
    <m/>
    <s v=" "/>
  </r>
  <r>
    <s v="LCA02053"/>
    <s v="SSA"/>
    <s v="Federal"/>
    <s v="Fee Simple"/>
    <s v="605 N Arrowhead Ave"/>
    <s v="San Bernardino"/>
    <s v="CA"/>
    <n v="3.08"/>
    <n v="1997"/>
    <n v="46946"/>
    <n v="46946"/>
    <n v="1"/>
    <n v="1427484"/>
    <n v="30.40693562816853"/>
    <n v="986619"/>
    <n v="21.0160397051932"/>
    <d v="2007-05-05T00:00:00"/>
    <n v="44685"/>
    <d v="2017-05-05T00:00:00"/>
    <n v="-0.9561643835616438"/>
    <n v="-5.956164383561644"/>
    <s v="Modified Gross"/>
    <s v="None"/>
    <s v="None"/>
    <n v="11760000"/>
    <n v="250.5005751288715"/>
    <n v="0.08389617346938776"/>
    <m/>
    <d v="2023-04-18T00:00:00"/>
    <x v="69"/>
    <m/>
    <x v="46"/>
    <s v="OK"/>
    <s v="Private"/>
    <s v="Colliers; Ficke"/>
    <m/>
    <m/>
    <s v=" "/>
    <s v=" "/>
    <m/>
    <s v=" "/>
    <s v=" "/>
    <s v=" "/>
    <m/>
    <s v=" "/>
  </r>
  <r>
    <m/>
    <s v="FS"/>
    <s v="Federal"/>
    <s v="Fee Simple"/>
    <s v="333 Broadway Blvd SE"/>
    <s v="Albuquerque"/>
    <s v="NM"/>
    <n v="3.5"/>
    <n v="2001"/>
    <n v="94783"/>
    <n v="94783"/>
    <n v="1"/>
    <m/>
    <m/>
    <m/>
    <m/>
    <d v="2007-11-01T00:00:00"/>
    <n v="46691"/>
    <d v="2022-10-31T00:00:00"/>
    <n v="4.542465753424658"/>
    <n v="-0.4602739726027397"/>
    <s v="Modified Gross"/>
    <s v="None"/>
    <s v="None"/>
    <n v="51870000"/>
    <n v="547.2500342888493"/>
    <s v=" "/>
    <m/>
    <d v="2023-04-17T00:00:00"/>
    <x v="69"/>
    <m/>
    <x v="46"/>
    <s v="OK"/>
    <s v="Private"/>
    <s v="Colliers; Ficke"/>
    <m/>
    <m/>
    <s v=" "/>
    <s v=" "/>
    <m/>
    <s v=" "/>
    <s v=" "/>
    <s v=" "/>
    <m/>
    <s v=" "/>
  </r>
  <r>
    <m/>
    <s v="EF"/>
    <s v="State"/>
    <s v="Fee Simple"/>
    <s v="1221 S Willow Ave"/>
    <s v="Cookeville"/>
    <s v="TN"/>
    <n v="1.38"/>
    <n v="1986"/>
    <n v="14450"/>
    <n v="14450"/>
    <n v="1"/>
    <m/>
    <s v=" "/>
    <n v="135691"/>
    <n v="9.39038062283737"/>
    <d v="2016-07-01T00:00:00"/>
    <n v="49856"/>
    <d v="2026-06-30T00:00:00"/>
    <n v="13.22739726027397"/>
    <n v="3.219178082191781"/>
    <s v="Full Service"/>
    <s v="None"/>
    <s v="None"/>
    <n v="1900000"/>
    <n v="131.4878892733564"/>
    <n v="0.07141631578947369"/>
    <m/>
    <d v="2023-04-12T00:00:00"/>
    <x v="70"/>
    <s v="Wayne Russell"/>
    <x v="47"/>
    <s v="TN"/>
    <s v="Private"/>
    <m/>
    <m/>
    <n v="2100000"/>
    <n v="0.06461476190476191"/>
    <n v="0.9047619047619048"/>
    <n v="2100000"/>
    <n v="0.06461476190476191"/>
    <n v="0.006801553884711778"/>
    <s v="No"/>
    <d v="2022-07-06T00:00:00"/>
    <n v="280"/>
  </r>
  <r>
    <s v="LAZ00428"/>
    <s v="HIS"/>
    <s v="Federal"/>
    <s v="Fee Simple"/>
    <s v="1553 W Todd Dr"/>
    <s v="Tempe"/>
    <s v="AZ"/>
    <n v="2.61"/>
    <n v="1999"/>
    <n v="4488"/>
    <n v="31323"/>
    <n v="0.143281294895125"/>
    <n v="89221"/>
    <n v="19.87990196078431"/>
    <n v="324188.12"/>
    <n v="10.34984260766849"/>
    <d v="2020-04-20T00:00:00"/>
    <n v="49418"/>
    <d v="2030-04-20T00:00:00"/>
    <n v="12.04383561643836"/>
    <n v="7.043835616438356"/>
    <s v="Modified Gross"/>
    <s v="None"/>
    <s v="None"/>
    <n v="4550000"/>
    <n v="145.2606710723749"/>
    <n v="0.07125013626373626"/>
    <m/>
    <d v="2023-04-06T00:00:00"/>
    <x v="71"/>
    <s v="CPIAZ"/>
    <x v="48"/>
    <s v="AZ"/>
    <s v="Private"/>
    <m/>
    <m/>
    <n v="5100000"/>
    <n v="0.06356629803921568"/>
    <n v="0.8921568627450981"/>
    <n v="5100000"/>
    <n v="0.06356629803921568"/>
    <n v="0.007683838224520581"/>
    <s v="No"/>
    <d v="2022-06-01T00:00:00"/>
    <n v="309"/>
  </r>
  <r>
    <m/>
    <s v="USPS"/>
    <s v="Federal"/>
    <s v="Fee Simple"/>
    <s v="28588 Cole Grade Rd"/>
    <s v="Valley Center"/>
    <s v="CA"/>
    <n v="1.07"/>
    <n v="1976"/>
    <n v="4440"/>
    <n v="4440"/>
    <n v="1"/>
    <m/>
    <s v=" "/>
    <n v="93722"/>
    <n v="21.10855855855856"/>
    <m/>
    <n v="46234"/>
    <d v="2026-07-31T00:00:00"/>
    <n v="3.323287671232876"/>
    <n v="3.323287671232876"/>
    <s v="Rider"/>
    <s v="None"/>
    <s v="None"/>
    <n v="1405000"/>
    <n v="316.4414414414414"/>
    <n v="0.06670604982206406"/>
    <m/>
    <d v="2023-04-05T00:00:00"/>
    <x v="8"/>
    <m/>
    <x v="0"/>
    <m/>
    <m/>
    <m/>
    <m/>
    <n v="1425000"/>
    <n v="0.06576982456140351"/>
    <n v="0.9859649122807017"/>
    <n v="1425000"/>
    <n v="0.06576982456140351"/>
    <n v="0.0009362252606605476"/>
    <s v="No"/>
    <d v="2023-03-06T00:00:00"/>
    <n v="30"/>
  </r>
  <r>
    <s v="LTX00628"/>
    <m/>
    <s v="Federal"/>
    <s v="Fee Simple"/>
    <s v="16800 Greenspoint Park Dr"/>
    <s v="Houston"/>
    <s v="TX"/>
    <n v="6.5"/>
    <n v="1980"/>
    <n v="58214"/>
    <n v="172333"/>
    <n v="0.3377994928423459"/>
    <n v="1214542.93"/>
    <n v="20.86341653210568"/>
    <n v="1816992.9855"/>
    <n v="10.5435"/>
    <d v="2020-11-24T00:00:00"/>
    <n v="50367"/>
    <d v="2035-11-23T00:00:00"/>
    <n v="14.65205479452055"/>
    <n v="12.64931506849315"/>
    <s v="Modified Gross"/>
    <s v="None"/>
    <s v="None"/>
    <n v="23781954"/>
    <n v="138"/>
    <n v="0.07640217391304348"/>
    <m/>
    <d v="2023-04-03T00:00:00"/>
    <x v="72"/>
    <m/>
    <x v="49"/>
    <s v="TX"/>
    <s v="Private"/>
    <m/>
    <m/>
    <m/>
    <s v=" "/>
    <s v=" "/>
    <m/>
    <s v=" "/>
    <s v=" "/>
    <s v=" "/>
    <m/>
    <s v=" "/>
  </r>
  <r>
    <m/>
    <s v="Rev."/>
    <s v="State"/>
    <s v="Fee Simple"/>
    <s v="2810 Richburg Ln"/>
    <s v="Crestview"/>
    <s v="FL"/>
    <n v="2.45"/>
    <n v="2011"/>
    <n v="12144"/>
    <n v="12144"/>
    <n v="1"/>
    <n v="297528"/>
    <n v="24.5"/>
    <n v="204027"/>
    <n v="16.80064229249012"/>
    <d v="2011-11-01T00:00:00"/>
    <n v="46326"/>
    <d v="2026-10-31T00:00:00"/>
    <n v="3.589041095890411"/>
    <n v="3.589041095890411"/>
    <s v="Full Service"/>
    <s v="None"/>
    <s v="None"/>
    <n v="2400000"/>
    <n v="197.6284584980237"/>
    <n v="0.08501125"/>
    <m/>
    <d v="2023-03-31T00:00:00"/>
    <x v="20"/>
    <s v="Newmark; Tabbi &amp; Gallas"/>
    <x v="0"/>
    <m/>
    <m/>
    <m/>
    <m/>
    <n v="2700000"/>
    <n v="0.07556555555555555"/>
    <n v="0.8888888888888888"/>
    <n v="2600000"/>
    <n v="0.07847192307692308"/>
    <n v="0.006539326923076919"/>
    <s v="Yes"/>
    <d v="2022-06-27T00:00:00"/>
    <n v="277"/>
  </r>
  <r>
    <m/>
    <s v="VA"/>
    <s v="Federal"/>
    <s v="Fee Simple"/>
    <s v="5775 N Meadows Dr"/>
    <s v="Grove City"/>
    <s v="OH"/>
    <n v="4.32"/>
    <n v="2019"/>
    <n v="15000"/>
    <n v="40257"/>
    <n v="0.3726060064088233"/>
    <m/>
    <s v=" "/>
    <n v="612000"/>
    <n v="15.20232506147999"/>
    <m/>
    <n v="48487"/>
    <d v="2032-09-30T00:00:00"/>
    <n v="9.520547945205479"/>
    <n v="9.520547945205479"/>
    <s v="Modified Gross"/>
    <s v="None"/>
    <s v="None"/>
    <n v="10200000"/>
    <n v="253.3720843579999"/>
    <n v="0.06"/>
    <m/>
    <d v="2023-03-27T00:00:00"/>
    <x v="73"/>
    <m/>
    <x v="50"/>
    <s v="VA"/>
    <s v="REIT"/>
    <m/>
    <m/>
    <m/>
    <s v=" "/>
    <s v=" "/>
    <m/>
    <s v=" "/>
    <s v=" "/>
    <s v=" "/>
    <m/>
    <s v=" "/>
  </r>
  <r>
    <m/>
    <s v="DSHS/DCYF/Rev."/>
    <s v="State"/>
    <s v="Fee Simple"/>
    <s v="1330 N Washington St"/>
    <s v="Spokane"/>
    <s v="WA"/>
    <n v="9.609999999999999"/>
    <n v="1998"/>
    <n v="103932"/>
    <n v="332008"/>
    <n v="0.3130406496229007"/>
    <m/>
    <s v=" "/>
    <n v="2737507"/>
    <n v="8.245304330016145"/>
    <m/>
    <n v="46752"/>
    <d v="2027-12-31T00:00:00"/>
    <n v="4.775342465753424"/>
    <n v="4.775342465753424"/>
    <s v="Full Service"/>
    <s v="None"/>
    <s v="None"/>
    <n v="24886429"/>
    <n v="74.95731729355919"/>
    <n v="0.1099999923653169"/>
    <m/>
    <d v="2023-03-24T00:00:00"/>
    <x v="74"/>
    <s v="CBRE; Safely"/>
    <x v="51"/>
    <s v="ID"/>
    <s v="Private"/>
    <m/>
    <m/>
    <m/>
    <s v=" "/>
    <s v=" "/>
    <m/>
    <s v=" "/>
    <s v=" "/>
    <s v=" "/>
    <m/>
    <s v=" "/>
  </r>
  <r>
    <m/>
    <s v="DOC"/>
    <s v="State"/>
    <s v="Fee Simple"/>
    <s v="4416 S US 301"/>
    <s v="Bushnell"/>
    <s v="FL"/>
    <n v="1.8"/>
    <n v="1981"/>
    <n v="6300"/>
    <n v="6300"/>
    <n v="1"/>
    <m/>
    <s v=" "/>
    <n v="36717.5"/>
    <n v="5.828174603174603"/>
    <d v="2018-11-01T00:00:00"/>
    <n v="47057"/>
    <d v="2023-10-31T00:00:00"/>
    <n v="5.616438356164384"/>
    <n v="0.6109589041095891"/>
    <s v="Full Service"/>
    <s v="Annually"/>
    <s v="None"/>
    <n v="475000"/>
    <n v="75.39682539682539"/>
    <n v="0.07729999999999999"/>
    <m/>
    <d v="2023-03-22T00:00:00"/>
    <x v="75"/>
    <s v="St. Clair"/>
    <x v="52"/>
    <s v="FL"/>
    <s v="Private"/>
    <m/>
    <m/>
    <m/>
    <s v=" "/>
    <s v=" "/>
    <m/>
    <s v=" "/>
    <s v=" "/>
    <s v=" "/>
    <m/>
    <s v=" "/>
  </r>
  <r>
    <m/>
    <s v="USDA"/>
    <s v="Federal"/>
    <s v="Fee Simple"/>
    <s v="2060 Riverfork Dr"/>
    <s v="Huntington"/>
    <s v="IN"/>
    <n v="1"/>
    <n v="1988"/>
    <n v="6960"/>
    <n v="6960"/>
    <n v="1"/>
    <m/>
    <s v=" "/>
    <n v="47920"/>
    <n v="6.885057471264368"/>
    <d v="2014-12-15T00:00:00"/>
    <n v="45657"/>
    <d v="2019-12-31T00:00:00"/>
    <n v="1.8"/>
    <n v="-3.205479452054794"/>
    <s v="Modified Gross"/>
    <s v="None"/>
    <s v="None"/>
    <n v="572000"/>
    <n v="82.18390804597701"/>
    <n v="0.08377622377622378"/>
    <m/>
    <d v="2023-03-15T00:00:00"/>
    <x v="76"/>
    <s v="NAI; Romary"/>
    <x v="53"/>
    <s v="IN"/>
    <s v="Private"/>
    <m/>
    <m/>
    <n v="599000"/>
    <n v="0.08"/>
    <n v="0.9549248747913188"/>
    <m/>
    <s v=" "/>
    <s v=" "/>
    <s v=" "/>
    <m/>
    <s v=" "/>
  </r>
  <r>
    <m/>
    <s v="VA"/>
    <s v="Federal"/>
    <s v="Fee Simple"/>
    <s v="220 Olympic Blvd"/>
    <s v="Everett"/>
    <s v="WA"/>
    <n v="1.89"/>
    <n v="2023"/>
    <n v="28000"/>
    <n v="28000"/>
    <n v="1"/>
    <m/>
    <s v=" "/>
    <n v="1063185.0065"/>
    <n v="37.97089308928572"/>
    <d v="2022-10-01T00:00:00"/>
    <n v="50313"/>
    <d v="2032-09-30T00:00:00"/>
    <n v="14.55890410958904"/>
    <n v="9.556164383561644"/>
    <s v="Modified Gross"/>
    <s v="None"/>
    <s v="None"/>
    <n v="15520949"/>
    <n v="554.3196071428572"/>
    <n v="0.06850000000000001"/>
    <m/>
    <d v="2023-03-14T00:00:00"/>
    <x v="77"/>
    <m/>
    <x v="54"/>
    <s v="NC"/>
    <s v="REIT"/>
    <m/>
    <m/>
    <m/>
    <s v=" "/>
    <s v=" "/>
    <m/>
    <s v=" "/>
    <s v=" "/>
    <s v=" "/>
    <m/>
    <s v=" "/>
  </r>
  <r>
    <s v="LVA00454"/>
    <s v="DOD"/>
    <s v="Federal"/>
    <s v="Fee Simple"/>
    <s v="115 Lake View Pky"/>
    <s v="Suffolk"/>
    <s v="VA"/>
    <n v="6.6"/>
    <n v="2004"/>
    <n v="115000"/>
    <n v="115000"/>
    <n v="1"/>
    <n v="3010358"/>
    <n v="26.17702608695652"/>
    <n v="3010358"/>
    <n v="26.17702608695652"/>
    <d v="2020-01-01T00:00:00"/>
    <n v="47483"/>
    <d v="2029-12-31T00:00:00"/>
    <n v="6.835616438356165"/>
    <n v="6.835616438356165"/>
    <s v="Modified Gross"/>
    <s v="None"/>
    <s v="None"/>
    <n v="33250000"/>
    <n v="289.1304347826087"/>
    <n v="0.09053708270676691"/>
    <m/>
    <d v="2023-03-03T00:00:00"/>
    <x v="78"/>
    <s v="Colliers; Bradley"/>
    <x v="1"/>
    <s v="IL"/>
    <s v="Private"/>
    <m/>
    <m/>
    <m/>
    <s v=" "/>
    <s v=" "/>
    <m/>
    <s v=" "/>
    <s v=" "/>
    <s v=" "/>
    <m/>
    <s v=" "/>
  </r>
  <r>
    <s v="LWI17002"/>
    <s v="SSA"/>
    <s v="Federal"/>
    <s v="Fee Simple"/>
    <s v="2213 8th St S"/>
    <s v="Wisconsin Rapids"/>
    <s v="WI"/>
    <m/>
    <m/>
    <n v="6966"/>
    <n v="27760"/>
    <n v="0.2509365994236311"/>
    <m/>
    <s v=" "/>
    <m/>
    <s v=" "/>
    <d v="2004-03-04T00:00:00"/>
    <n v="45354"/>
    <d v="2014-03-04T00:00:00"/>
    <n v="1.013698630136986"/>
    <n v="-8.991780821917809"/>
    <m/>
    <m/>
    <m/>
    <n v="1366700"/>
    <n v="49.23270893371758"/>
    <s v=" "/>
    <m/>
    <d v="2023-02-27T00:00:00"/>
    <x v="79"/>
    <m/>
    <x v="55"/>
    <s v="CA"/>
    <s v="Private"/>
    <m/>
    <m/>
    <m/>
    <s v=" "/>
    <s v=" "/>
    <m/>
    <s v=" "/>
    <s v=" "/>
    <s v=" "/>
    <m/>
    <s v=" "/>
  </r>
  <r>
    <s v="LOH01056"/>
    <s v="SSA"/>
    <s v="Federal"/>
    <s v="Fee Simple"/>
    <s v="745 Innovation Dr"/>
    <s v="Bowling Green"/>
    <s v="OH"/>
    <n v="2.2"/>
    <n v="2008"/>
    <n v="5534"/>
    <n v="5534"/>
    <n v="1"/>
    <n v="148864.6"/>
    <n v="26.9"/>
    <n v="112850"/>
    <n v="20.39212143115287"/>
    <d v="2022-03-31T00:00:00"/>
    <n v="48303"/>
    <d v="2027-03-31T00:00:00"/>
    <n v="9.104109589041096"/>
    <n v="4.101369863013699"/>
    <s v="Modified Gross"/>
    <s v="None"/>
    <s v="None"/>
    <n v="1227400"/>
    <n v="221.7925551138417"/>
    <n v="0.09194231709304221"/>
    <m/>
    <d v="2023-02-23T00:00:00"/>
    <x v="80"/>
    <s v="Colliers; Ficke"/>
    <x v="56"/>
    <m/>
    <s v="Private"/>
    <m/>
    <m/>
    <n v="1368816"/>
    <n v="0.08244351322602891"/>
    <n v="0.8966873560799991"/>
    <n v="1368816"/>
    <n v="0.08244351322602891"/>
    <n v="0.009498803867013295"/>
    <s v="No"/>
    <d v="2022-09-20T00:00:00"/>
    <n v="156"/>
  </r>
  <r>
    <m/>
    <s v="VA"/>
    <s v="Federal"/>
    <s v="Fee Simple"/>
    <s v="575 Phelan Ave"/>
    <s v="Memphis"/>
    <s v="TN"/>
    <n v="3.66"/>
    <n v="2023"/>
    <n v="40913"/>
    <n v="40913"/>
    <n v="1"/>
    <m/>
    <s v=" "/>
    <n v="407750"/>
    <n v="9.966269889766089"/>
    <d v="2023-02-01T00:00:00"/>
    <n v="50436"/>
    <d v="2033-01-31T00:00:00"/>
    <n v="14.94794520547945"/>
    <n v="9.945205479452055"/>
    <s v="Modified Gross"/>
    <s v="None"/>
    <s v="None"/>
    <n v="5825000"/>
    <n v="142.3752841395156"/>
    <n v="0.07000000000000001"/>
    <m/>
    <d v="2023-02-23T00:00:00"/>
    <x v="81"/>
    <s v="Colliers; Ficke"/>
    <x v="57"/>
    <s v="SD"/>
    <s v="Private"/>
    <m/>
    <m/>
    <m/>
    <s v=" "/>
    <s v=" "/>
    <m/>
    <s v=" "/>
    <s v=" "/>
    <s v=" "/>
    <m/>
    <s v=" "/>
  </r>
  <r>
    <s v="LFL50836"/>
    <s v="SSA"/>
    <s v="Federal"/>
    <s v="Fee Simple"/>
    <s v="1600 Tamiami Trl"/>
    <s v="Port Charlotte"/>
    <s v="FL"/>
    <n v="2.77"/>
    <n v="1987"/>
    <n v="11346"/>
    <n v="19492"/>
    <n v="0.5820849579314591"/>
    <n v="237296.31"/>
    <n v="20.9145346377578"/>
    <n v="200000"/>
    <n v="10.26061974143238"/>
    <d v="2012-02-01T00:00:00"/>
    <n v="44592"/>
    <d v="2017-01-31T00:00:00"/>
    <n v="-1.019178082191781"/>
    <n v="-6.021917808219178"/>
    <s v="Modified Gross"/>
    <s v="None"/>
    <s v="None"/>
    <n v="3500000"/>
    <n v="179.5608454750667"/>
    <n v="0.05714285714285714"/>
    <m/>
    <d v="2023-02-07T00:00:00"/>
    <x v="82"/>
    <s v="JLL; Ward"/>
    <x v="58"/>
    <s v="FL"/>
    <s v="Private"/>
    <s v="Xtra; Mineo"/>
    <m/>
    <n v="3738000"/>
    <n v="0.05350454788657036"/>
    <n v="0.9363295880149812"/>
    <n v="3738000"/>
    <n v="0.05350454788657036"/>
    <n v="0.003638309256286783"/>
    <s v="No"/>
    <m/>
    <s v=" "/>
  </r>
  <r>
    <s v="LVA12153"/>
    <s v="SSA"/>
    <s v="Federal"/>
    <s v="Fee Simple"/>
    <s v="320 Commonwealth Blvd"/>
    <s v="Martinsville "/>
    <s v="VA"/>
    <n v="1.38"/>
    <n v="2004"/>
    <n v="7475"/>
    <n v="7475"/>
    <n v="1"/>
    <n v="177716"/>
    <n v="23.77471571906354"/>
    <m/>
    <s v=" "/>
    <d v="2016-05-25T00:00:00"/>
    <n v="46166"/>
    <d v="2021-05-25T00:00:00"/>
    <n v="3.306849315068493"/>
    <n v="-1.693150684931507"/>
    <s v="Modified Gross"/>
    <s v="None"/>
    <s v="None"/>
    <n v="904837"/>
    <n v="121.0484280936455"/>
    <s v=" "/>
    <m/>
    <d v="2023-02-02T00:00:00"/>
    <x v="83"/>
    <m/>
    <x v="59"/>
    <s v="NC"/>
    <s v="Private"/>
    <m/>
    <m/>
    <m/>
    <s v=" "/>
    <s v=" "/>
    <m/>
    <s v=" "/>
    <s v=" "/>
    <s v=" "/>
    <m/>
    <s v=" "/>
  </r>
  <r>
    <s v="LMO21028"/>
    <s v="FWS"/>
    <s v="Federal"/>
    <s v="Fee Simple"/>
    <s v="101 Park DeVille Dr"/>
    <s v="Columbia"/>
    <s v="MO"/>
    <n v="5.71"/>
    <n v="1987"/>
    <n v="15011"/>
    <n v="30576"/>
    <n v="0.4909406070120356"/>
    <n v="231163"/>
    <n v="15.39957364599294"/>
    <n v="389844"/>
    <n v="12.75"/>
    <d v="2013-11-21T00:00:00"/>
    <n v="45250"/>
    <d v="2020-11-21T00:00:00"/>
    <n v="0.8"/>
    <n v="-2.197260273972603"/>
    <s v="Modified Gross"/>
    <s v="None"/>
    <s v="None"/>
    <n v="3381392"/>
    <n v="110.5897435897436"/>
    <n v="0.1152909807558544"/>
    <m/>
    <d v="2023-02-01T00:00:00"/>
    <x v="84"/>
    <m/>
    <x v="60"/>
    <s v="MO"/>
    <s v="Private"/>
    <m/>
    <m/>
    <m/>
    <s v=" "/>
    <s v=" "/>
    <m/>
    <s v=" "/>
    <s v=" "/>
    <s v=" "/>
    <m/>
    <s v=" "/>
  </r>
  <r>
    <m/>
    <s v="VA"/>
    <s v="Federal"/>
    <s v="Fee Simple"/>
    <s v="3506 W Tyvola"/>
    <s v="Charlotte"/>
    <s v="NC"/>
    <n v="35"/>
    <n v="2013"/>
    <n v="295000"/>
    <n v="295000"/>
    <n v="1"/>
    <n v="14778434.88"/>
    <n v="50.09638942372881"/>
    <m/>
    <s v=" "/>
    <d v="2013-08-30T00:00:00"/>
    <n v="48820"/>
    <d v="2033-08-30T00:00:00"/>
    <n v="10.58356164383562"/>
    <n v="10.58630136986301"/>
    <s v="Modified Gross"/>
    <s v="None"/>
    <s v="None"/>
    <m/>
    <s v=" "/>
    <s v=" "/>
    <m/>
    <d v="2023-01-31T00:00:00"/>
    <x v="85"/>
    <m/>
    <x v="61"/>
    <m/>
    <m/>
    <m/>
    <m/>
    <m/>
    <s v=" "/>
    <s v=" "/>
    <m/>
    <s v=" "/>
    <s v=" "/>
    <s v=" "/>
    <m/>
    <s v=" "/>
  </r>
  <r>
    <m/>
    <s v="VA"/>
    <s v="Federal"/>
    <s v="Fee Simple"/>
    <s v="4970 Highway 90"/>
    <s v="Marianna"/>
    <s v="FL"/>
    <n v="1.06"/>
    <n v="1982"/>
    <n v="8821"/>
    <n v="8821"/>
    <n v="1"/>
    <n v="402088.54"/>
    <n v="45.58310168915089"/>
    <n v="240961"/>
    <n v="27.31674413331822"/>
    <d v="2018-07-18T00:00:00"/>
    <n v="48760"/>
    <d v="2023-06-30T00:00:00"/>
    <n v="10.43013698630137"/>
    <n v="0.4219178082191781"/>
    <s v="Modified Gross"/>
    <s v="OpEx 2.50% Annually"/>
    <s v="None"/>
    <n v="3000000"/>
    <n v="340.097494615123"/>
    <n v="0.08032033333333333"/>
    <m/>
    <d v="2023-01-27T00:00:00"/>
    <x v="86"/>
    <s v="Colliers; Ficke"/>
    <x v="62"/>
    <s v="IL"/>
    <s v="Private"/>
    <m/>
    <m/>
    <n v="3311000"/>
    <n v="0.07277589852008456"/>
    <n v="0.906070673512534"/>
    <n v="3311000"/>
    <n v="0.07277589852008456"/>
    <n v="0.007544434813248763"/>
    <s v="No"/>
    <d v="2022-08-03T00:00:00"/>
    <n v="177"/>
  </r>
  <r>
    <s v="LIL17779"/>
    <s v="IRS"/>
    <s v="Federal"/>
    <s v="Fee Simple"/>
    <s v="2415 W Cornerstone Ct"/>
    <s v="Peoria"/>
    <s v="IL"/>
    <n v="2.95"/>
    <n v="2008"/>
    <n v="11413"/>
    <n v="11413"/>
    <n v="1"/>
    <n v="295210.75"/>
    <n v="25.8661832997459"/>
    <n v="177543"/>
    <n v="15.5562078331727"/>
    <d v="2022-01-01T00:00:00"/>
    <n v="46387"/>
    <d v="2024-12-31T00:00:00"/>
    <n v="3.934246575342466"/>
    <n v="1.934246575342466"/>
    <s v="Modified Gross"/>
    <s v="None"/>
    <s v="None"/>
    <n v="2336092"/>
    <n v="204.6869359502322"/>
    <n v="0.07600000342452266"/>
    <m/>
    <d v="2023-01-25T00:00:00"/>
    <x v="87"/>
    <s v="Colliers; Ficke"/>
    <x v="63"/>
    <s v="WV"/>
    <s v="Private"/>
    <m/>
    <m/>
    <n v="2536000"/>
    <n v="0.07000906940063091"/>
    <n v="0.9211719242902208"/>
    <n v="2536000"/>
    <n v="0.07000906940063091"/>
    <n v="0.005990934023891753"/>
    <s v="No"/>
    <d v="2022-08-04T00:00:00"/>
    <n v="174"/>
  </r>
  <r>
    <m/>
    <s v="USPS"/>
    <s v="Federal"/>
    <s v="Fee Simple"/>
    <s v="19 E Merced St"/>
    <s v="Fowler"/>
    <s v="CA"/>
    <n v="0.79"/>
    <n v="1999"/>
    <n v="4002"/>
    <n v="4002"/>
    <n v="1"/>
    <n v="65000"/>
    <n v="16.24187906046976"/>
    <n v="65000"/>
    <n v="16.24187906046976"/>
    <m/>
    <n v="45504"/>
    <m/>
    <n v="1.528767123287671"/>
    <s v=" "/>
    <s v="Rider"/>
    <s v="At each option"/>
    <s v="1, 5yr"/>
    <n v="1055000"/>
    <n v="263.6181909045477"/>
    <n v="0.06161137440758294"/>
    <m/>
    <d v="2023-01-20T00:00:00"/>
    <x v="8"/>
    <s v="James Harrison"/>
    <x v="0"/>
    <m/>
    <m/>
    <m/>
    <m/>
    <n v="1075000"/>
    <n v="0.06046511627906977"/>
    <n v="0.9813953488372092"/>
    <n v="1075000"/>
    <n v="0.06046511627906977"/>
    <n v="0.00114625812851317"/>
    <s v="No"/>
    <d v="2022-11-14T00:00:00"/>
    <n v="67"/>
  </r>
  <r>
    <s v="LCA00767"/>
    <s v="SSA"/>
    <s v="Federal"/>
    <s v="Leasehold"/>
    <s v="1051-1059 1st St"/>
    <s v="Gilroy"/>
    <s v="CA"/>
    <n v="2.27"/>
    <n v="1980"/>
    <n v="5743"/>
    <n v="22754"/>
    <n v="0.252395183264481"/>
    <n v="188105.85"/>
    <n v="32.7539352254919"/>
    <n v="424122.48"/>
    <n v="18.6394691043333"/>
    <d v="2020-02-01T00:00:00"/>
    <n v="47514"/>
    <d v="2028-02-01T00:00:00"/>
    <n v="7.041095890410959"/>
    <n v="5.041095890410959"/>
    <s v="Modified Gross"/>
    <s v="None"/>
    <s v="None"/>
    <n v="6900000"/>
    <n v="303.2433857783247"/>
    <n v="0.06146702608695652"/>
    <m/>
    <d v="2023-01-18T00:00:00"/>
    <x v="88"/>
    <s v="CBRE; Flores"/>
    <x v="64"/>
    <s v="CA"/>
    <s v="Private"/>
    <m/>
    <m/>
    <n v="7068708"/>
    <n v="0.06"/>
    <n v="0.9761331207909564"/>
    <n v="7068708"/>
    <n v="0.06"/>
    <n v="0.001467026086956522"/>
    <s v="No"/>
    <d v="2022-07-13T00:00:00"/>
    <n v="189"/>
  </r>
  <r>
    <m/>
    <s v="DHS"/>
    <s v="State"/>
    <s v="Fee Simple"/>
    <s v="39115 Trade Center Dr"/>
    <s v="Palmdale"/>
    <s v="CA"/>
    <n v="4.27"/>
    <n v="2008"/>
    <n v="58104"/>
    <n v="58104"/>
    <n v="1"/>
    <m/>
    <s v=" "/>
    <n v="1678866.5"/>
    <n v="28.89416391298362"/>
    <d v="2022-02-15T00:00:00"/>
    <n v="46721"/>
    <d v="2027-11-30T00:00:00"/>
    <n v="4.868493150684931"/>
    <n v="4.868493150684931"/>
    <s v="Full Service"/>
    <s v="None"/>
    <s v="None"/>
    <n v="21450000"/>
    <n v="369.1656340355225"/>
    <n v="0.07826883449883451"/>
    <m/>
    <d v="2023-01-18T00:00:00"/>
    <x v="89"/>
    <s v="CBRE; Shaffer"/>
    <x v="1"/>
    <s v="IL"/>
    <s v="Private"/>
    <m/>
    <m/>
    <n v="24509000"/>
    <n v="0.06850000000000001"/>
    <n v="0.875188706189563"/>
    <n v="24509000"/>
    <n v="0.06850000000000001"/>
    <n v="0.009768834498834505"/>
    <s v="No"/>
    <d v="2022-05-25T00:00:00"/>
    <n v="238"/>
  </r>
  <r>
    <m/>
    <s v="Rev."/>
    <s v="State"/>
    <s v="Fee Simple"/>
    <s v="6302 E Dr. Martin Luther King Jr. Blvd"/>
    <s v="Tampa"/>
    <s v="FL"/>
    <n v="50.16"/>
    <n v="1985"/>
    <n v="82000"/>
    <n v="350000"/>
    <n v="0.2342857142857143"/>
    <m/>
    <s v=" "/>
    <n v="3193000"/>
    <n v="9.122857142857143"/>
    <m/>
    <n v="48365"/>
    <d v="2022-05-31T00:00:00"/>
    <n v="9.372602739726027"/>
    <n v="-0.6356164383561644"/>
    <s v="Full Service"/>
    <s v="None"/>
    <s v="None"/>
    <n v="31000000"/>
    <n v="88.57142857142857"/>
    <n v="0.103"/>
    <m/>
    <d v="2023-01-18T00:00:00"/>
    <x v="90"/>
    <s v="CBRE"/>
    <x v="65"/>
    <s v="FL"/>
    <s v="Private"/>
    <m/>
    <m/>
    <m/>
    <s v=" "/>
    <s v=" "/>
    <m/>
    <s v=" "/>
    <s v=" "/>
    <s v=" "/>
    <m/>
    <s v=" "/>
  </r>
  <r>
    <m/>
    <s v="USPS"/>
    <s v="Federal"/>
    <s v="Fee Simple"/>
    <s v="19 E Merced St"/>
    <s v="Fowler"/>
    <s v="CA"/>
    <n v="0.79"/>
    <n v="1999"/>
    <n v="4002"/>
    <n v="4002"/>
    <n v="1"/>
    <m/>
    <s v=" "/>
    <n v="62350"/>
    <n v="15.57971014492754"/>
    <m/>
    <n v="45504"/>
    <d v="2019-07-31T00:00:00"/>
    <n v="1.536986301369863"/>
    <n v="-3.468493150684932"/>
    <s v="Rider"/>
    <s v="None"/>
    <s v="None"/>
    <n v="1055000"/>
    <n v="263.6181909045477"/>
    <n v="0.05909952606635071"/>
    <m/>
    <d v="2023-01-17T00:00:00"/>
    <x v="91"/>
    <s v="TCP; Harrison"/>
    <x v="66"/>
    <s v="CA"/>
    <s v="Private"/>
    <m/>
    <m/>
    <m/>
    <s v=" "/>
    <s v=" "/>
    <m/>
    <s v=" "/>
    <s v=" "/>
    <s v=" "/>
    <d v="2022-11-14T00:00:00"/>
    <n v="64"/>
  </r>
  <r>
    <s v="LCA00812"/>
    <s v="AOC"/>
    <s v="Federal"/>
    <s v="Fee Simple"/>
    <s v="21041 Burbank Blvd"/>
    <s v="Woodland Hills"/>
    <s v="CA"/>
    <n v="3.27"/>
    <n v="1982"/>
    <n v="54469"/>
    <n v="61600"/>
    <n v="0.884237012987013"/>
    <n v="1966066.96"/>
    <n v="36.09515430795499"/>
    <n v="1359922.96"/>
    <n v="22.07667142857143"/>
    <d v="2020-11-13T00:00:00"/>
    <n v="47799"/>
    <d v="2028-11-13T00:00:00"/>
    <n v="7.835616438356165"/>
    <n v="5.838356164383562"/>
    <s v="Modified Gross"/>
    <s v="None"/>
    <s v="None"/>
    <n v="20800000"/>
    <n v="337.6623376623377"/>
    <n v="0.06538091153846154"/>
    <m/>
    <d v="2023-01-13T00:00:00"/>
    <x v="92"/>
    <m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9800 W Commercial Blvd"/>
    <s v="Sunrise"/>
    <s v="FL"/>
    <n v="9.31"/>
    <n v="2008"/>
    <n v="107000"/>
    <n v="107000"/>
    <n v="1"/>
    <m/>
    <s v=" "/>
    <n v="2613275"/>
    <n v="24.42313084112149"/>
    <m/>
    <n v="47118"/>
    <d v="2023-12-31T00:00:00"/>
    <n v="5.972602739726027"/>
    <n v="0.9671232876712329"/>
    <s v="Modified Gross"/>
    <s v="None"/>
    <s v="None"/>
    <n v="38150000"/>
    <n v="356.5420560747664"/>
    <n v="0.06850000000000001"/>
    <m/>
    <d v="2023-01-12T00:00:00"/>
    <x v="93"/>
    <s v="Eastdil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13515 Lake Terrace Ln"/>
    <s v="Tampa"/>
    <s v="FL"/>
    <n v="32.89"/>
    <n v="2014"/>
    <n v="131156"/>
    <n v="131156"/>
    <n v="1"/>
    <m/>
    <s v=" "/>
    <n v="3774350"/>
    <n v="28.77756259721248"/>
    <m/>
    <n v="49003"/>
    <d v="2029-02-28T00:00:00"/>
    <n v="11.13698630136986"/>
    <n v="6.134246575342465"/>
    <s v="Modified Gross"/>
    <s v="None"/>
    <s v="None"/>
    <n v="55100000"/>
    <n v="420.1104028790143"/>
    <n v="0.06850000000000001"/>
    <m/>
    <d v="2023-01-12T00:00:00"/>
    <x v="93"/>
    <s v="Eastdil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79 E Main St"/>
    <s v="Merrimac"/>
    <s v="MA"/>
    <n v="1.32"/>
    <n v="1999"/>
    <n v="5667"/>
    <n v="5667"/>
    <n v="1"/>
    <n v="98958"/>
    <n v="17.46214928533616"/>
    <n v="98958"/>
    <n v="17.46214928533616"/>
    <d v="2019-04-01T00:00:00"/>
    <n v="45382"/>
    <m/>
    <n v="1.221917808219178"/>
    <s v=" "/>
    <s v="Rider"/>
    <s v="At option"/>
    <s v="1, 5yr"/>
    <n v="1600000"/>
    <n v="282.3363331568731"/>
    <n v="0.06184875"/>
    <m/>
    <d v="2023-01-10T00:00:00"/>
    <x v="8"/>
    <s v="James Harrison"/>
    <x v="0"/>
    <m/>
    <m/>
    <m/>
    <m/>
    <n v="1590000"/>
    <n v="0.06223773584905661"/>
    <n v="1.006289308176101"/>
    <n v="1590000"/>
    <n v="0.06223773584905661"/>
    <n v="-0.0003889858490566042"/>
    <s v="No"/>
    <d v="2022-10-06T00:00:00"/>
    <n v="96"/>
  </r>
  <r>
    <m/>
    <s v="Northrupp Gruman"/>
    <s v="Contractor"/>
    <s v="Fee Simple"/>
    <s v="10125-10205 Federal Dr"/>
    <s v="Colorado Springs"/>
    <s v="CO"/>
    <n v="25.85"/>
    <m/>
    <n v="289018"/>
    <n v="289018"/>
    <n v="1"/>
    <m/>
    <s v=" "/>
    <m/>
    <s v=" "/>
    <m/>
    <m/>
    <m/>
    <s v=" "/>
    <s v=" "/>
    <m/>
    <m/>
    <m/>
    <n v="54300000"/>
    <n v="187.8775716391367"/>
    <s v=" "/>
    <m/>
    <d v="2023-01-09T00:00:00"/>
    <x v="94"/>
    <s v="C&amp;W; Johnson"/>
    <x v="42"/>
    <s v="VA"/>
    <s v="Private"/>
    <m/>
    <m/>
    <m/>
    <s v=" "/>
    <s v=" "/>
    <m/>
    <s v=" "/>
    <s v=" "/>
    <s v=" "/>
    <m/>
    <s v=" "/>
  </r>
  <r>
    <s v="LPA12236"/>
    <s v="USGS"/>
    <s v="Federal"/>
    <s v="Fee Simple"/>
    <s v="215 Limekiln St"/>
    <s v="New Cumberland"/>
    <s v="PA"/>
    <n v="0.15"/>
    <n v="2001"/>
    <n v="30480"/>
    <n v="30279"/>
    <n v="1.006638264143466"/>
    <n v="721964"/>
    <n v="23.68648293963255"/>
    <n v="527640"/>
    <n v="17.42593876944417"/>
    <d v="2016-04-16T00:00:00"/>
    <n v="46127"/>
    <d v="2021-04-16T00:00:00"/>
    <n v="3.265753424657534"/>
    <n v="-1.734246575342466"/>
    <s v="Modified Gross"/>
    <s v="None"/>
    <s v="None"/>
    <n v="7900000"/>
    <n v="260.9068991710427"/>
    <n v="0.06678987341772152"/>
    <m/>
    <d v="2023-01-09T00:00:00"/>
    <x v="95"/>
    <s v="Landmark; Jason Grace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17 Rano Blvd"/>
    <s v="Vestal"/>
    <s v="NY"/>
    <n v="2.81"/>
    <n v="1987"/>
    <n v="6327"/>
    <n v="6327"/>
    <n v="1"/>
    <m/>
    <s v=" "/>
    <m/>
    <s v=" "/>
    <m/>
    <m/>
    <m/>
    <s v=" "/>
    <s v=" "/>
    <m/>
    <m/>
    <m/>
    <n v="2900000"/>
    <n v="458.3530899320373"/>
    <s v=" "/>
    <m/>
    <d v="2023-01-06T00:00:00"/>
    <x v="96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225 Columbia Mall Dr"/>
    <s v="Bloomsburg"/>
    <s v="PA"/>
    <n v="52"/>
    <n v="1970"/>
    <n v="11240"/>
    <n v="11240"/>
    <n v="1"/>
    <n v="157360"/>
    <n v="14"/>
    <n v="157360"/>
    <n v="14"/>
    <d v="2020-10-01T00:00:00"/>
    <d v="2027-10-31T00:00:00"/>
    <d v="2024-10-31T00:00:00"/>
    <n v="4.838356164383562"/>
    <n v="1.838356164383562"/>
    <s v="Modified Gross"/>
    <s v="3% annually"/>
    <s v="3, 3yr"/>
    <n v="1969461.827284105"/>
    <n v="175.2190237797247"/>
    <n v="0.0799"/>
    <m/>
    <d v="2022-12-30T00:00:00"/>
    <x v="8"/>
    <s v="Richard Geisenfeld"/>
    <x v="0"/>
    <m/>
    <m/>
    <m/>
    <m/>
    <n v="2088700"/>
    <n v="0.07533872743811941"/>
    <n v="0.9429127338938599"/>
    <n v="2088700"/>
    <n v="0.07533872743811941"/>
    <n v="0.004561272561880589"/>
    <s v="No"/>
    <d v="2022-06-16T00:00:00"/>
    <n v="197"/>
  </r>
  <r>
    <s v="LVA00896"/>
    <s v="FWS"/>
    <s v="Federal"/>
    <s v="Fee Simple"/>
    <s v="330 Cummings St"/>
    <s v="Abingdon"/>
    <s v="VA"/>
    <n v="4.15"/>
    <n v="1954"/>
    <n v="5438"/>
    <n v="28200"/>
    <n v="0.1928368794326241"/>
    <n v="93538.07000000001"/>
    <n v="17.20082199337992"/>
    <m/>
    <s v=" "/>
    <d v="2023-05-08T00:00:00"/>
    <d v="2033-05-07T00:00:00"/>
    <d v="2031-05-08T00:00:00"/>
    <n v="10.36164383561644"/>
    <n v="8.361643835616439"/>
    <s v="Modified Gross"/>
    <s v="None"/>
    <s v="None"/>
    <n v="6500000"/>
    <n v="230.4964539007092"/>
    <s v=" "/>
    <m/>
    <d v="2022-12-29T00:00:00"/>
    <x v="97"/>
    <m/>
    <x v="67"/>
    <s v="VA"/>
    <s v="Private"/>
    <m/>
    <m/>
    <m/>
    <s v=" "/>
    <s v=" "/>
    <m/>
    <s v=" "/>
    <s v=" "/>
    <s v=" "/>
    <m/>
    <s v=" "/>
  </r>
  <r>
    <m/>
    <s v="VA"/>
    <s v="Federal"/>
    <s v="Fee Simple"/>
    <s v="500 Davis Loop"/>
    <s v="Oxford"/>
    <s v="AL"/>
    <n v="7.85"/>
    <n v="2020"/>
    <n v="13781"/>
    <n v="13781"/>
    <n v="1"/>
    <m/>
    <s v=" "/>
    <m/>
    <s v=" "/>
    <m/>
    <m/>
    <m/>
    <s v=" "/>
    <s v=" "/>
    <m/>
    <m/>
    <m/>
    <n v="6500000"/>
    <n v="471.6638850591394"/>
    <s v=" "/>
    <m/>
    <d v="2022-12-29T00:00:00"/>
    <x v="5"/>
    <s v="C&amp;W; Trauttvetter"/>
    <x v="68"/>
    <s v="CA"/>
    <s v="Institutional"/>
    <m/>
    <m/>
    <m/>
    <s v=" "/>
    <s v=" "/>
    <m/>
    <s v=" "/>
    <s v=" "/>
    <s v=" "/>
    <m/>
    <s v=" "/>
  </r>
  <r>
    <m/>
    <s v="VA"/>
    <s v="Federal"/>
    <s v="Fee Simple"/>
    <s v="5171 Cub Lake Rd"/>
    <s v="Show Low"/>
    <s v="AZ"/>
    <n v="2.55"/>
    <n v="2005"/>
    <n v="9737"/>
    <n v="22400"/>
    <n v="0.4346875"/>
    <m/>
    <s v=" "/>
    <n v="803701.37"/>
    <n v="35.87952544642857"/>
    <m/>
    <m/>
    <m/>
    <s v=" "/>
    <s v=" "/>
    <m/>
    <m/>
    <m/>
    <n v="9389700"/>
    <n v="419.1830357142857"/>
    <n v="0.08559393484349873"/>
    <m/>
    <d v="2022-12-28T00:00:00"/>
    <x v="98"/>
    <m/>
    <x v="69"/>
    <s v="MD"/>
    <s v="REIT"/>
    <m/>
    <m/>
    <n v="10000000"/>
    <n v="0.08037013699999999"/>
    <n v="0.93897"/>
    <n v="10000000"/>
    <n v="0.08037013699999999"/>
    <n v="0.005223797843498731"/>
    <s v="No"/>
    <m/>
    <s v=" "/>
  </r>
  <r>
    <m/>
    <s v="USPS"/>
    <s v="Federal"/>
    <s v="Fee Simple"/>
    <s v="3101 Buttermilk Rd"/>
    <s v="Cottondale"/>
    <s v="AL"/>
    <n v="0.85"/>
    <n v="1994"/>
    <n v="3000"/>
    <n v="3000"/>
    <n v="1"/>
    <m/>
    <s v=" "/>
    <m/>
    <s v=" "/>
    <m/>
    <m/>
    <m/>
    <s v=" "/>
    <s v=" "/>
    <m/>
    <m/>
    <m/>
    <n v="810000"/>
    <n v="270"/>
    <s v=" "/>
    <m/>
    <d v="2022-12-23T00:00:00"/>
    <x v="99"/>
    <m/>
    <x v="66"/>
    <s v="CA"/>
    <s v="Private"/>
    <m/>
    <m/>
    <m/>
    <s v=" "/>
    <s v=" "/>
    <m/>
    <s v=" "/>
    <s v=" "/>
    <s v=" "/>
    <m/>
    <s v=" "/>
  </r>
  <r>
    <s v="LFL00132"/>
    <s v="AOC"/>
    <s v="Federal"/>
    <s v="Fee Simple"/>
    <s v="500 Australian Ave"/>
    <s v="West Palm Beach"/>
    <s v="FL"/>
    <n v="1.4"/>
    <n v="1985"/>
    <n v="24816"/>
    <n v="102087"/>
    <n v="0.243086778923859"/>
    <n v="1047211"/>
    <n v="42.19902482269504"/>
    <m/>
    <s v=" "/>
    <d v="2017-01-01T00:00:00"/>
    <d v="2031-12-31T00:00:00"/>
    <d v="2026-12-31T00:00:00"/>
    <n v="9.027397260273972"/>
    <n v="4.024657534246575"/>
    <s v="Modified Gross"/>
    <s v="None"/>
    <s v="None"/>
    <n v="35880000"/>
    <n v="351.4649269740515"/>
    <s v=" "/>
    <m/>
    <d v="2022-12-23T00:00:00"/>
    <x v="100"/>
    <m/>
    <x v="70"/>
    <s v="NY"/>
    <s v="Institutional"/>
    <m/>
    <m/>
    <m/>
    <s v=" "/>
    <s v=" "/>
    <m/>
    <s v=" "/>
    <s v=" "/>
    <s v=" "/>
    <m/>
    <s v=" "/>
  </r>
  <r>
    <m/>
    <s v="DE"/>
    <s v="State"/>
    <s v="Fee Simple"/>
    <s v="2545 Rocky Ridge Ln"/>
    <s v="Birmingham"/>
    <s v="AL"/>
    <n v="8"/>
    <n v="1989"/>
    <n v="114035"/>
    <n v="114035"/>
    <n v="1"/>
    <m/>
    <s v=" "/>
    <n v="3145749.695234445"/>
    <n v="27.58582623961455"/>
    <m/>
    <d v="2028-06-30T00:00:00"/>
    <d v="2028-06-30T00:00:00"/>
    <n v="5.526027397260274"/>
    <n v="5.526027397260274"/>
    <s v="NNN"/>
    <s v="2.5% annually"/>
    <s v="1, 10 year"/>
    <n v="33250000"/>
    <n v="291.5771473670364"/>
    <n v="0.09460901339050962"/>
    <m/>
    <d v="2022-12-22T00:00:00"/>
    <x v="101"/>
    <s v="Colliers; Bradley"/>
    <x v="1"/>
    <s v="IL"/>
    <s v="Private"/>
    <m/>
    <m/>
    <m/>
    <s v=" "/>
    <s v=" "/>
    <m/>
    <s v=" "/>
    <s v=" "/>
    <s v=" "/>
    <m/>
    <s v=" "/>
  </r>
  <r>
    <m/>
    <s v="CBP/USPS"/>
    <s v="Federal"/>
    <s v="Fee Simple"/>
    <s v="11690-11698 NW 25th St"/>
    <s v="Miami"/>
    <s v="FL"/>
    <n v="37.38"/>
    <n v="1999"/>
    <n v="232294"/>
    <n v="709496"/>
    <n v="0.327407060786812"/>
    <m/>
    <s v=" "/>
    <m/>
    <s v=" "/>
    <m/>
    <m/>
    <m/>
    <s v=" "/>
    <s v=" "/>
    <m/>
    <m/>
    <m/>
    <n v="198000000"/>
    <n v="279.0713407827528"/>
    <s v=" "/>
    <m/>
    <d v="2022-12-22T00:00:00"/>
    <x v="102"/>
    <m/>
    <x v="71"/>
    <s v="CA"/>
    <s v="Private"/>
    <m/>
    <m/>
    <m/>
    <s v=" "/>
    <s v=" "/>
    <m/>
    <s v=" "/>
    <s v=" "/>
    <s v=" "/>
    <m/>
    <s v=" "/>
  </r>
  <r>
    <m/>
    <s v="USPS"/>
    <s v="Federal"/>
    <s v="Fee Simple"/>
    <s v="540 Central Ave"/>
    <s v="Florence"/>
    <s v="WI"/>
    <n v="0.33"/>
    <n v="1970"/>
    <n v="2596"/>
    <n v="2596"/>
    <n v="1"/>
    <m/>
    <s v=" "/>
    <m/>
    <s v=" "/>
    <m/>
    <m/>
    <m/>
    <s v=" "/>
    <s v=" "/>
    <m/>
    <m/>
    <m/>
    <n v="350000"/>
    <n v="134.8228043143297"/>
    <s v=" "/>
    <m/>
    <d v="2022-12-20T00:00:00"/>
    <x v="8"/>
    <m/>
    <x v="66"/>
    <s v="CA"/>
    <s v="Private"/>
    <m/>
    <m/>
    <m/>
    <s v=" "/>
    <s v=" "/>
    <m/>
    <s v=" "/>
    <s v=" "/>
    <s v=" "/>
    <m/>
    <s v=" "/>
  </r>
  <r>
    <s v="LGA00947"/>
    <s v="SSA"/>
    <s v="Federal"/>
    <s v="Fee Simple"/>
    <s v="6665 Park Pl"/>
    <s v="Morrow"/>
    <s v="GA"/>
    <n v="2.77"/>
    <n v="1983"/>
    <n v="21000"/>
    <n v="21000"/>
    <n v="1"/>
    <n v="683077.42"/>
    <n v="32.52749619047619"/>
    <m/>
    <s v=" "/>
    <d v="2021-08-01T00:00:00"/>
    <d v="2031-07-31T00:00:00"/>
    <d v="2029-08-01T00:00:00"/>
    <n v="8.616438356164384"/>
    <n v="6.619178082191781"/>
    <s v="Modified Gross"/>
    <s v="None"/>
    <s v="None"/>
    <n v="7675000"/>
    <n v="365.4761904761905"/>
    <s v=" "/>
    <m/>
    <d v="2022-12-20T00:00:00"/>
    <x v="103"/>
    <s v="CW; Trautvetter"/>
    <x v="72"/>
    <s v="FL"/>
    <s v="Private"/>
    <m/>
    <m/>
    <m/>
    <s v=" "/>
    <s v=" "/>
    <m/>
    <s v=" "/>
    <s v=" "/>
    <s v=" "/>
    <d v="2022-05-26T00:00:00"/>
    <n v="208"/>
  </r>
  <r>
    <m/>
    <s v="BWC"/>
    <s v="State"/>
    <s v="Fee Simple"/>
    <s v="13430 Yarmouth Dr NW"/>
    <s v="Pickerington"/>
    <s v="OH"/>
    <n v="5.92"/>
    <n v="1981"/>
    <n v="40500"/>
    <n v="40500"/>
    <n v="1"/>
    <n v="608184"/>
    <n v="15.01688888888889"/>
    <n v="296704"/>
    <n v="7.326024691358024"/>
    <d v="1997-07-01T00:00:00"/>
    <d v="2027-06-30T00:00:00"/>
    <d v="2027-06-30T00:00:00"/>
    <n v="4.531506849315068"/>
    <n v="4.531506849315068"/>
    <s v="Full Service"/>
    <s v="None"/>
    <s v="None"/>
    <n v="3000000"/>
    <n v="74.07407407407408"/>
    <n v="0.09890133333333333"/>
    <m/>
    <d v="2022-12-19T00:00:00"/>
    <x v="104"/>
    <s v="CBRE; Leach"/>
    <x v="73"/>
    <s v="OH"/>
    <s v="User/Owner"/>
    <m/>
    <m/>
    <n v="3300000"/>
    <n v="0.08991030303030303"/>
    <n v="0.9090909090909091"/>
    <n v="3300000"/>
    <n v="0.08991030303030303"/>
    <n v="0.008991030303030292"/>
    <s v="No"/>
    <d v="2020-09-14T00:00:00"/>
    <n v="826"/>
  </r>
  <r>
    <m/>
    <s v="USPS"/>
    <s v="Federal"/>
    <s v="Fee Simple"/>
    <s v="40677 Shaver Lake Forest Rd"/>
    <s v="Shaver Lake"/>
    <s v="CA"/>
    <n v="0.6899999999999999"/>
    <n v="1998"/>
    <n v="2575"/>
    <n v="2575"/>
    <n v="1"/>
    <n v="62000"/>
    <n v="24.07766990291262"/>
    <n v="60294"/>
    <n v="23.41514563106796"/>
    <m/>
    <d v="2023-11-10T00:00:00"/>
    <m/>
    <n v="0.8931506849315068"/>
    <s v=" "/>
    <m/>
    <s v="Yes"/>
    <s v="1, 5yr remaining"/>
    <n v="940000"/>
    <n v="365.0485436893204"/>
    <n v="0.06414255319148936"/>
    <m/>
    <d v="2022-12-19T00:00:00"/>
    <x v="8"/>
    <s v="James Harrison"/>
    <x v="0"/>
    <m/>
    <m/>
    <m/>
    <m/>
    <n v="900000"/>
    <n v="0.06699333333333334"/>
    <n v="1.044444444444445"/>
    <n v="900000"/>
    <n v="0.06699333333333334"/>
    <n v="-0.002850780141843978"/>
    <s v="No"/>
    <d v="2022-09-05T00:00:00"/>
    <n v="105"/>
  </r>
  <r>
    <m/>
    <s v="Soc. Ser."/>
    <s v="State"/>
    <s v="Fee Simple"/>
    <s v="1 N Frederick St"/>
    <s v="Cumberland"/>
    <s v="MD"/>
    <n v="0.342"/>
    <n v="1998"/>
    <n v="39668.859"/>
    <n v="45770"/>
    <n v="0.8667000000000001"/>
    <m/>
    <s v=" "/>
    <m/>
    <s v=" "/>
    <m/>
    <m/>
    <m/>
    <s v=" "/>
    <s v=" "/>
    <m/>
    <m/>
    <m/>
    <m/>
    <s v=" "/>
    <s v=" "/>
    <m/>
    <d v="2022-12-16T00:00:00"/>
    <x v="105"/>
    <s v="Bull Realty"/>
    <x v="0"/>
    <m/>
    <m/>
    <m/>
    <m/>
    <m/>
    <s v=" "/>
    <s v=" "/>
    <m/>
    <s v=" "/>
    <s v=" "/>
    <s v=" "/>
    <m/>
    <s v=" "/>
  </r>
  <r>
    <m/>
    <s v="VA"/>
    <s v="Federal"/>
    <s v="Fee Simple"/>
    <s v="1301 N Turner St"/>
    <s v="Hobbs"/>
    <s v="NM"/>
    <n v="2.4"/>
    <n v="1974"/>
    <n v="11765"/>
    <n v="23280"/>
    <n v="0.5053694158075601"/>
    <n v="292850"/>
    <n v="24.89162770930727"/>
    <n v="284394"/>
    <n v="12.21623711340206"/>
    <d v="2021-11-01T00:00:00"/>
    <d v="2041-10-31T00:00:00"/>
    <d v="2031-10-31T00:00:00"/>
    <n v="18.88767123287671"/>
    <n v="8.87945205479452"/>
    <s v="Modified Gross"/>
    <s v="$0.50/sf annually plus 10% every 5 to OPEX"/>
    <s v="None"/>
    <n v="4000000"/>
    <n v="171.8213058419244"/>
    <n v="0.0710985"/>
    <m/>
    <d v="2022-12-16T00:00:00"/>
    <x v="106"/>
    <s v="Colliers; Ficke"/>
    <x v="54"/>
    <s v="NC"/>
    <s v="REIT"/>
    <m/>
    <m/>
    <n v="4740000"/>
    <n v="0.05999873417721519"/>
    <n v="0.8438818565400844"/>
    <n v="4740000"/>
    <n v="0.05999873417721519"/>
    <n v="0.0110997658227848"/>
    <s v="No"/>
    <d v="2022-03-11T00:00:00"/>
    <n v="280"/>
  </r>
  <r>
    <s v="LCA02923"/>
    <m/>
    <s v="Federal"/>
    <s v="Fee Simple"/>
    <s v="2 Wrigley"/>
    <s v="Irvine"/>
    <s v="CA"/>
    <n v="0.85"/>
    <n v="1986"/>
    <n v="7700"/>
    <n v="15502"/>
    <n v="0.4967101019223326"/>
    <n v="312356.22"/>
    <n v="40.56574285714285"/>
    <n v="457800"/>
    <n v="29.53167333247323"/>
    <d v="2013-03-01T00:00:00"/>
    <d v="2028-02-29T00:00:00"/>
    <d v="2023-03-01T00:00:00"/>
    <n v="5.208219178082191"/>
    <n v="0.2054794520547945"/>
    <s v="Modified Gross"/>
    <s v="None"/>
    <s v="None"/>
    <n v="7000000"/>
    <n v="451.5546381112114"/>
    <n v="0.0654"/>
    <m/>
    <d v="2022-12-16T00:00:00"/>
    <x v="107"/>
    <s v="CBRE; Cole"/>
    <x v="74"/>
    <s v="CA"/>
    <s v="Private"/>
    <m/>
    <m/>
    <n v="7400000"/>
    <n v="0.06186486486486487"/>
    <n v="0.9459459459459459"/>
    <n v="7400000"/>
    <n v="0.06186486486486487"/>
    <n v="0.003535135135135134"/>
    <s v="No"/>
    <d v="2021-12-21T00:00:00"/>
    <n v="360"/>
  </r>
  <r>
    <m/>
    <s v="USPS"/>
    <s v="Federal"/>
    <s v="Fee Simple"/>
    <s v="20 E Jefferson St"/>
    <s v="Hoschton"/>
    <s v="GA"/>
    <n v="0.6899999999999999"/>
    <n v="1987"/>
    <n v="2343"/>
    <n v="2343"/>
    <n v="1"/>
    <m/>
    <s v=" "/>
    <m/>
    <s v=" "/>
    <m/>
    <d v="2027-10-31T00:00:00"/>
    <d v="2027-10-31T00:00:00"/>
    <n v="4.879452054794521"/>
    <n v="4.879452054794521"/>
    <s v="Rider"/>
    <s v="None"/>
    <s v="None"/>
    <n v="370000"/>
    <n v="157.9172001707213"/>
    <s v=" "/>
    <m/>
    <d v="2022-12-15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478 Tiffany Dr"/>
    <s v="Mason City"/>
    <s v="IA"/>
    <n v="1.68"/>
    <n v="2021"/>
    <n v="14313"/>
    <n v="14313"/>
    <n v="1"/>
    <m/>
    <s v=" "/>
    <n v="348948"/>
    <n v="24.37979459232865"/>
    <d v="2021-08-01T00:00:00"/>
    <d v="2041-07-31T00:00:00"/>
    <d v="2036-07-31T00:00:00"/>
    <n v="18.63835616438356"/>
    <n v="13.63561643835616"/>
    <s v="Modified Gross"/>
    <s v="1.0256% annually"/>
    <s v="None"/>
    <n v="5000000"/>
    <n v="349.3327744008943"/>
    <n v="0.06978959999999999"/>
    <m/>
    <d v="2022-12-15T00:00:00"/>
    <x v="108"/>
    <s v="Newmark; Gallas"/>
    <x v="26"/>
    <s v="AZ"/>
    <s v="Private"/>
    <m/>
    <m/>
    <n v="5583000"/>
    <n v="0.06250188070929608"/>
    <n v="0.8955758552749418"/>
    <n v="5583000"/>
    <n v="0.06250188070929608"/>
    <n v="0.007287719290703917"/>
    <s v="No"/>
    <d v="2022-06-15T00:00:00"/>
    <n v="183"/>
  </r>
  <r>
    <s v="LCA00932"/>
    <s v="SSA"/>
    <s v="Federal"/>
    <s v="Fee Simple"/>
    <s v="23311 Madero"/>
    <s v="Mission Viejo"/>
    <s v="CA"/>
    <n v="1.12"/>
    <n v="1987"/>
    <n v="14540"/>
    <n v="14540"/>
    <n v="1"/>
    <n v="697338.39"/>
    <n v="47.95999931224209"/>
    <n v="527656.5900000001"/>
    <n v="36.2899993122421"/>
    <d v="2022-10-19T00:00:00"/>
    <d v="2042-10-18T00:00:00"/>
    <d v="2037-10-19T00:00:00"/>
    <n v="19.85479452054794"/>
    <n v="14.85479452054794"/>
    <s v="Modified Gross"/>
    <s v="None"/>
    <s v="None"/>
    <n v="9540000"/>
    <n v="656.121045392022"/>
    <n v="0.05530991509433963"/>
    <m/>
    <d v="2022-12-15T00:00:00"/>
    <x v="109"/>
    <s v="CW; Trautvetter"/>
    <x v="68"/>
    <s v="CA"/>
    <s v="Private"/>
    <m/>
    <m/>
    <m/>
    <s v=" "/>
    <s v=" "/>
    <m/>
    <s v=" "/>
    <s v=" "/>
    <s v=" "/>
    <m/>
    <s v=" "/>
  </r>
  <r>
    <s v="LCO00205"/>
    <s v="SSA/VA/DMV/DaVita"/>
    <s v="Federal &amp; State"/>
    <s v="Fee Simple"/>
    <s v="602-718 Del Sol Dr"/>
    <s v="Alamosa"/>
    <s v="CO"/>
    <n v="2.26"/>
    <m/>
    <n v="6750"/>
    <n v="32495"/>
    <n v="0.2077242652715802"/>
    <n v="199828.8"/>
    <n v="29.60426666666666"/>
    <n v="255929"/>
    <n v="7.875950146176335"/>
    <d v="2017-07-29T00:00:00"/>
    <d v="2032-07-28T00:00:00"/>
    <d v="2027-07-28T00:00:00"/>
    <n v="9.627397260273973"/>
    <n v="4.621917808219179"/>
    <s v="Modified Gross"/>
    <s v="None"/>
    <s v="None"/>
    <n v="4300000"/>
    <n v="132.328050469303"/>
    <n v="0.05951837209302326"/>
    <m/>
    <d v="2022-12-14T00:00:00"/>
    <x v="110"/>
    <s v="KW; "/>
    <x v="75"/>
    <s v="CO"/>
    <s v="Private"/>
    <m/>
    <m/>
    <n v="4500000"/>
    <n v="0.05687311111111111"/>
    <n v="0.9555555555555556"/>
    <n v="4500000"/>
    <n v="0.05687311111111111"/>
    <n v="0.002645260981912145"/>
    <s v="No"/>
    <d v="2021-09-10T00:00:00"/>
    <n v="460"/>
  </r>
  <r>
    <m/>
    <s v="VA"/>
    <s v="Federal"/>
    <s v="Fee Simple"/>
    <s v="1105 E Grand Ave"/>
    <s v="Rothschild"/>
    <s v="WI"/>
    <n v="8.98"/>
    <n v="1977"/>
    <n v="88030"/>
    <n v="88030"/>
    <n v="1"/>
    <m/>
    <s v=" "/>
    <n v="756380"/>
    <n v="8.592298080199932"/>
    <d v="2022-12-01T00:00:00"/>
    <d v="2042-12-01T00:00:00"/>
    <d v="2042-12-01T00:00:00"/>
    <n v="19.97808219178082"/>
    <n v="19.97808219178082"/>
    <s v="Modified Gross"/>
    <s v="None"/>
    <s v="None"/>
    <n v="11800000"/>
    <n v="134.0452118595933"/>
    <n v="0.0641"/>
    <m/>
    <d v="2022-12-14T00:00:00"/>
    <x v="111"/>
    <m/>
    <x v="76"/>
    <s v="CA"/>
    <s v="Private"/>
    <m/>
    <m/>
    <m/>
    <s v=" "/>
    <s v=" "/>
    <m/>
    <s v=" "/>
    <s v=" "/>
    <s v=" "/>
    <m/>
    <s v=" "/>
  </r>
  <r>
    <s v="LCA00898"/>
    <s v="SSA"/>
    <s v="Federal"/>
    <s v="Fee Simple"/>
    <s v="560 E Hoover Ave"/>
    <s v="Crescent City"/>
    <s v="CA"/>
    <n v="1.5"/>
    <n v="2007"/>
    <n v="5250"/>
    <n v="5250"/>
    <n v="1"/>
    <n v="164089"/>
    <n v="31.25504761904762"/>
    <n v="102374"/>
    <n v="19.49980952380952"/>
    <d v="2022-01-18T00:00:00"/>
    <d v="2037-01-17T00:00:00"/>
    <d v="2037-01-17T00:00:00"/>
    <n v="14.10958904109589"/>
    <n v="14.10958904109589"/>
    <s v="Modified Gross"/>
    <s v="None"/>
    <s v="3% in Year 9"/>
    <n v="2047480"/>
    <n v="389.9961904761905"/>
    <n v="0.05"/>
    <m/>
    <d v="2022-12-12T00:00:00"/>
    <x v="112"/>
    <s v="Newmark; Alleva"/>
    <x v="0"/>
    <m/>
    <m/>
    <m/>
    <m/>
    <m/>
    <s v=" "/>
    <s v=" "/>
    <m/>
    <s v=" "/>
    <s v=" "/>
    <s v=" "/>
    <m/>
    <s v=" "/>
  </r>
  <r>
    <s v="LTX17084"/>
    <s v="USCIS"/>
    <s v="Federal"/>
    <s v="Fee Simple"/>
    <s v="810 Gears Rd"/>
    <s v="Houston"/>
    <s v="TX"/>
    <n v="7.19"/>
    <n v="2000"/>
    <n v="68985"/>
    <n v="78895"/>
    <n v="0.8743900120413207"/>
    <n v="1852894.7"/>
    <n v="26.85938537363195"/>
    <n v="1328276.475"/>
    <n v="16.83600323214399"/>
    <d v="2016-01-11T00:00:00"/>
    <d v="2031-01-10T00:00:00"/>
    <d v="2026-01-11T00:00:00"/>
    <n v="8.101369863013698"/>
    <n v="3.101369863013699"/>
    <s v="Modified Gross"/>
    <s v="None"/>
    <s v="None"/>
    <n v="13900000"/>
    <n v="176.1835350782686"/>
    <n v="0.09555945863309354"/>
    <m/>
    <d v="2022-12-06T00:00:00"/>
    <x v="113"/>
    <s v="Colliers; Bradley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3200 E Van Buren St"/>
    <s v="Phoenix"/>
    <s v="AZ"/>
    <n v="14.97"/>
    <n v="2022"/>
    <n v="257294"/>
    <n v="257294"/>
    <n v="1"/>
    <n v="10649799"/>
    <n v="41.39155596321718"/>
    <n v="7227675"/>
    <n v="28.09111366763313"/>
    <d v="2022-05-01T00:00:00"/>
    <d v="2042-04-30T00:00:00"/>
    <d v="2042-04-30T00:00:00"/>
    <n v="19.41369863013699"/>
    <n v="19.41369863013699"/>
    <s v="Modified Gross"/>
    <s v="None"/>
    <s v="None"/>
    <n v="137670000"/>
    <n v="535.0688317644407"/>
    <n v="0.0525"/>
    <m/>
    <d v="2022-12-05T00:00:00"/>
    <x v="44"/>
    <s v="Newmark; Carr"/>
    <x v="3"/>
    <s v="DC"/>
    <s v="REIT"/>
    <m/>
    <m/>
    <m/>
    <s v=" "/>
    <s v=" "/>
    <m/>
    <s v=" "/>
    <s v=" "/>
    <s v=" "/>
    <m/>
    <s v=" "/>
  </r>
  <r>
    <m/>
    <s v="CFS"/>
    <s v="State"/>
    <s v="Fee Simple"/>
    <s v="56311 Pima Trail"/>
    <s v="Yucca Valley"/>
    <s v="CA"/>
    <n v="1"/>
    <n v="1986"/>
    <n v="10008"/>
    <n v="10008"/>
    <n v="1"/>
    <n v="251796"/>
    <n v="25.15947242206235"/>
    <n v="161690"/>
    <n v="16.15607513988809"/>
    <m/>
    <m/>
    <m/>
    <s v=" "/>
    <s v=" "/>
    <s v="Full Service"/>
    <s v="None"/>
    <s v="None"/>
    <n v="2127000"/>
    <n v="212.5299760191847"/>
    <n v="0.07601786553831688"/>
    <m/>
    <d v="2022-11-30T00:00:00"/>
    <x v="114"/>
    <s v="Ron Caricchio"/>
    <x v="77"/>
    <s v="FL"/>
    <s v="Private"/>
    <m/>
    <m/>
    <n v="2300000"/>
    <n v="0.0703"/>
    <n v="0.9247826086956522"/>
    <n v="2300000"/>
    <n v="0.0703"/>
    <n v="0.00571786553831688"/>
    <s v="No"/>
    <d v="2022-08-31T00:00:00"/>
    <n v="91"/>
  </r>
  <r>
    <m/>
    <s v="USDA"/>
    <s v="Federal"/>
    <s v="Fee Simple"/>
    <s v="320 Congress Pkwy N"/>
    <s v="Athens"/>
    <s v="TN"/>
    <n v="1.53"/>
    <n v="1991"/>
    <n v="5870"/>
    <n v="5870"/>
    <n v="1"/>
    <n v="95489"/>
    <n v="16.26729131175469"/>
    <n v="70801"/>
    <n v="12.06149914821124"/>
    <d v="2022-01-15T00:00:00"/>
    <d v="2032-01-14T00:00:00"/>
    <d v="2027-01-14T00:00:00"/>
    <n v="9.134246575342466"/>
    <n v="4.131506849315069"/>
    <s v="Modified Gross"/>
    <s v="None"/>
    <s v="None"/>
    <n v="870000"/>
    <n v="148.2112436115843"/>
    <n v="0.08138045977011495"/>
    <m/>
    <d v="2022-11-28T00:00:00"/>
    <x v="115"/>
    <s v="Mark Boston"/>
    <x v="78"/>
    <s v="TN"/>
    <s v="Private"/>
    <m/>
    <m/>
    <n v="1000000"/>
    <n v="0.070801"/>
    <n v="0.87"/>
    <n v="900000"/>
    <n v="0.07866777777777778"/>
    <n v="0.002712681992337165"/>
    <s v="Yes"/>
    <d v="2021-03-09T00:00:00"/>
    <n v="629"/>
  </r>
  <r>
    <m/>
    <s v="Northwest Arkansas Community College"/>
    <s v="State"/>
    <s v="Fee Simple"/>
    <s v="693 White Rd"/>
    <s v="Springdale"/>
    <s v="AR"/>
    <n v="3.72"/>
    <n v="2007"/>
    <n v="12640"/>
    <n v="12640"/>
    <n v="1"/>
    <n v="131400"/>
    <n v="10.39556962025316"/>
    <n v="131400"/>
    <n v="10.39556962025316"/>
    <m/>
    <d v="2025-12-31T00:00:00"/>
    <m/>
    <n v="3.093150684931507"/>
    <s v=" "/>
    <s v="Full Service"/>
    <s v="None"/>
    <s v="None"/>
    <n v="1600000"/>
    <n v="126.5822784810127"/>
    <n v="0.082125"/>
    <m/>
    <d v="2022-11-28T00:00:00"/>
    <x v="116"/>
    <s v="Ben Israel"/>
    <x v="79"/>
    <s v="AR"/>
    <s v="Private"/>
    <m/>
    <m/>
    <n v="1725000"/>
    <n v="0.07617391304347826"/>
    <n v="0.927536231884058"/>
    <n v="1600000"/>
    <n v="0.082125"/>
    <n v="0"/>
    <s v="Yes"/>
    <d v="2019-01-14T00:00:00"/>
    <n v="1414"/>
  </r>
  <r>
    <m/>
    <s v="DNR"/>
    <s v="State"/>
    <s v="Fee Simple"/>
    <s v="16 Center Rd SE"/>
    <s v="Cartersville"/>
    <s v="GA"/>
    <n v="1.8"/>
    <n v="2002"/>
    <n v="13800"/>
    <n v="13800"/>
    <n v="1"/>
    <m/>
    <s v=" "/>
    <n v="227102"/>
    <n v="16.45666666666667"/>
    <d v="2020-01-01T00:00:00"/>
    <d v="2028-06-30T00:00:00"/>
    <d v="2023-05-31T00:00:00"/>
    <n v="5.605479452054794"/>
    <n v="0.5178082191780822"/>
    <s v="Full Service"/>
    <s v="4% annually"/>
    <s v="None"/>
    <n v="3187000"/>
    <n v="230.9420289855072"/>
    <n v="0.07125886413555067"/>
    <m/>
    <d v="2022-11-23T00:00:00"/>
    <x v="117"/>
    <s v="Colliers; Ficke"/>
    <x v="80"/>
    <s v="UT"/>
    <s v="Private"/>
    <m/>
    <m/>
    <n v="3244000"/>
    <n v="0.07000678175092478"/>
    <n v="0.9824290998766955"/>
    <n v="3244000"/>
    <n v="0.07000678175092478"/>
    <n v="0.001252082384625888"/>
    <s v="No"/>
    <d v="2022-05-10T00:00:00"/>
    <n v="197"/>
  </r>
  <r>
    <s v="LPA00731"/>
    <s v="OPM"/>
    <s v="Federal"/>
    <s v="Fee Simple"/>
    <s v="202-206 Spruce Dr"/>
    <s v="Slippery Rock"/>
    <s v="PA"/>
    <n v="1.04"/>
    <n v="2004"/>
    <n v="2581"/>
    <n v="6681"/>
    <n v="0.3863194132614878"/>
    <n v="48884"/>
    <n v="18.93994575745835"/>
    <n v="77871"/>
    <n v="11.655590480467"/>
    <d v="2022-12-13T00:00:00"/>
    <d v="2037-12-12T00:00:00"/>
    <d v="2030-12-13T00:00:00"/>
    <n v="15.07671232876712"/>
    <n v="8.073972602739726"/>
    <s v="Modified Gross"/>
    <s v="10% in Year 6"/>
    <s v="None"/>
    <n v="975000"/>
    <n v="145.936237090256"/>
    <n v="0.07986769230769231"/>
    <m/>
    <d v="2022-11-18T00:00:00"/>
    <x v="118"/>
    <s v="M&amp;M; Patel"/>
    <x v="81"/>
    <s v="PA"/>
    <s v="Private"/>
    <m/>
    <m/>
    <n v="1112447"/>
    <n v="0.06999973931342347"/>
    <n v="0.8764462486752178"/>
    <n v="1112447"/>
    <n v="0.06999973931342347"/>
    <n v="0.009867952994268833"/>
    <s v="No"/>
    <d v="2022-07-18T00:00:00"/>
    <n v="123"/>
  </r>
  <r>
    <m/>
    <s v="AG"/>
    <s v="State"/>
    <s v="Fee Simple"/>
    <s v="3939 Cleveland Ave SE"/>
    <s v="Tumwater"/>
    <s v="WA"/>
    <n v="4.51"/>
    <n v="1970"/>
    <n v="21000"/>
    <n v="38000"/>
    <n v="0.5526315789473685"/>
    <m/>
    <s v=" "/>
    <m/>
    <s v=" "/>
    <m/>
    <d v="2032-11-30T00:00:00"/>
    <m/>
    <n v="10.04657534246575"/>
    <s v=" "/>
    <s v="Full Service"/>
    <s v="None"/>
    <s v="None"/>
    <n v="4250000"/>
    <n v="111.8421052631579"/>
    <s v=" "/>
    <m/>
    <d v="2022-11-16T00:00:00"/>
    <x v="119"/>
    <s v="Quint Newell"/>
    <x v="82"/>
    <s v="WA"/>
    <s v="Private"/>
    <m/>
    <m/>
    <m/>
    <s v=" "/>
    <s v=" "/>
    <m/>
    <s v=" "/>
    <s v=" "/>
    <s v=" "/>
    <m/>
    <s v=" "/>
  </r>
  <r>
    <m/>
    <s v="State Police"/>
    <s v="State"/>
    <s v="Fee Simple"/>
    <s v="1325 Learn Rd"/>
    <s v="Avonmore"/>
    <s v="PA"/>
    <n v="5"/>
    <n v="2018"/>
    <n v="8575"/>
    <n v="8575"/>
    <n v="1"/>
    <n v="249373"/>
    <n v="29.08139941690962"/>
    <n v="221486"/>
    <n v="25.82927113702624"/>
    <d v="2018-03-10T00:00:00"/>
    <d v="2033-03-10T00:00:00"/>
    <d v="2033-03-10T00:00:00"/>
    <n v="10.33698630136986"/>
    <n v="10.33698630136986"/>
    <s v="Modified Gross"/>
    <s v="CPI annually"/>
    <s v="2, 5 yr"/>
    <n v="3150000"/>
    <n v="367.3469387755102"/>
    <n v="0.07031301587301587"/>
    <m/>
    <d v="2022-11-10T00:00:00"/>
    <x v="120"/>
    <s v="M&amp;M; Dunkle"/>
    <x v="83"/>
    <s v="NJ"/>
    <s v="Private"/>
    <m/>
    <m/>
    <n v="3500000"/>
    <n v="0.06328171428571429"/>
    <n v="0.9"/>
    <n v="3500000"/>
    <n v="0.06328171428571429"/>
    <n v="0.007031301587301586"/>
    <s v="No"/>
    <d v="2022-05-27T00:00:00"/>
    <n v="167"/>
  </r>
  <r>
    <s v="LNM00951"/>
    <s v="BIA"/>
    <s v="Federal"/>
    <s v="Fee Simple"/>
    <s v="304 N Auburn Ave"/>
    <s v="Farmington"/>
    <s v="NM"/>
    <n v="0.96"/>
    <n v="1955"/>
    <n v="10200"/>
    <n v="10200"/>
    <n v="1"/>
    <n v="143130"/>
    <n v="14.03235294117647"/>
    <n v="143130"/>
    <n v="14.03235294117647"/>
    <d v="2022-05-01T00:00:00"/>
    <d v="2032-04-30T00:00:00"/>
    <d v="2027-04-30T00:00:00"/>
    <n v="9.476712328767123"/>
    <n v="4.471232876712329"/>
    <s v="Modified Gross"/>
    <s v="CPI annually; 15% at year 6"/>
    <s v="None"/>
    <n v="1500000"/>
    <n v="147.0588235294118"/>
    <n v="0.09542"/>
    <m/>
    <d v="2022-11-10T00:00:00"/>
    <x v="121"/>
    <s v="M&amp;M; Higgins"/>
    <x v="84"/>
    <s v="IL"/>
    <s v="Private"/>
    <m/>
    <m/>
    <n v="1835000"/>
    <n v="0.078"/>
    <n v="0.8174386920980926"/>
    <n v="1835000"/>
    <n v="0.078"/>
    <n v="0.01742"/>
    <s v="No"/>
    <d v="2022-05-04T00:00:00"/>
    <n v="190"/>
  </r>
  <r>
    <m/>
    <s v="CMH"/>
    <s v="State"/>
    <s v="Fee Simple"/>
    <s v="501 Nelson Blvd"/>
    <s v="Kingstree"/>
    <s v="SC"/>
    <n v="1.1"/>
    <n v="1979"/>
    <n v="5995"/>
    <n v="5995"/>
    <n v="1"/>
    <n v="69000"/>
    <n v="11.50959132610509"/>
    <n v="47667"/>
    <n v="7.951125938281901"/>
    <m/>
    <d v="2028-05-31T00:00:00"/>
    <d v="2023-05-31T00:00:00"/>
    <n v="5.561643835616438"/>
    <n v="0.5561643835616439"/>
    <s v="Full Service"/>
    <s v="None"/>
    <s v="None"/>
    <n v="600000"/>
    <n v="100.0834028356964"/>
    <n v="0.079445"/>
    <m/>
    <d v="2022-11-09T00:00:00"/>
    <x v="8"/>
    <s v="NAI; Sherrod"/>
    <x v="0"/>
    <m/>
    <s v="Private"/>
    <s v="Rick Willis"/>
    <m/>
    <n v="600000"/>
    <n v="0.079445"/>
    <n v="1"/>
    <n v="600000"/>
    <n v="0.079445"/>
    <n v="0"/>
    <s v="No"/>
    <d v="2022-05-26T00:00:00"/>
    <n v="167"/>
  </r>
  <r>
    <s v="LNC00272"/>
    <s v="SSA"/>
    <s v="Federal"/>
    <s v="Fee Simple"/>
    <s v="633 Venture Dr"/>
    <s v="Smithfield"/>
    <s v="NC"/>
    <n v="1.5"/>
    <n v="2005"/>
    <n v="7956"/>
    <n v="7956"/>
    <n v="1"/>
    <n v="121329"/>
    <n v="15.25"/>
    <n v="66240"/>
    <n v="8.325791855203621"/>
    <d v="2017-09-01T00:00:00"/>
    <d v="2027-08-31T00:00:00"/>
    <d v="2019-09-01T00:00:00"/>
    <n v="4.83013698630137"/>
    <n v="-3.172602739726027"/>
    <s v="Modified Gross"/>
    <s v="None"/>
    <s v="None"/>
    <n v="800000"/>
    <n v="100.5530417295123"/>
    <n v="0.0828"/>
    <m/>
    <d v="2022-11-02T00:00:00"/>
    <x v="122"/>
    <s v="SJC; Hellwig"/>
    <x v="85"/>
    <s v="NC"/>
    <s v="Private"/>
    <m/>
    <m/>
    <m/>
    <s v=" "/>
    <s v=" "/>
    <m/>
    <s v=" "/>
    <s v=" "/>
    <s v=" "/>
    <m/>
    <s v=" "/>
  </r>
  <r>
    <s v="LPA12189"/>
    <s v="SSA"/>
    <s v="Federal"/>
    <s v="Fee Simple"/>
    <s v="134 S 4th St"/>
    <s v="Easton"/>
    <s v="PA"/>
    <n v="0.87"/>
    <n v="2005"/>
    <n v="10072"/>
    <n v="10072"/>
    <n v="1"/>
    <n v="286332.16"/>
    <n v="28.42853057982526"/>
    <n v="177748"/>
    <n v="17.64773629864972"/>
    <d v="2016-09-01T00:00:00"/>
    <d v="2026-08-31T00:00:00"/>
    <d v="2021-09-01T00:00:00"/>
    <n v="3.832876712328767"/>
    <n v="-1.167123287671233"/>
    <s v="Modified Gross"/>
    <s v="None"/>
    <s v="None"/>
    <n v="2000000"/>
    <n v="198.570293884035"/>
    <n v="0.08887399999999999"/>
    <m/>
    <d v="2022-11-01T00:00:00"/>
    <x v="123"/>
    <m/>
    <x v="86"/>
    <s v="CA"/>
    <s v="Private"/>
    <m/>
    <m/>
    <m/>
    <s v=" "/>
    <s v=" "/>
    <m/>
    <s v=" "/>
    <s v=" "/>
    <s v=" "/>
    <m/>
    <s v=" "/>
  </r>
  <r>
    <s v="LIL00952"/>
    <s v="SSA"/>
    <s v="Federal"/>
    <s v="Condominium"/>
    <s v="790 Fletcher Dr"/>
    <s v="Elgin"/>
    <s v="IL"/>
    <n v="2.16"/>
    <n v="2002"/>
    <n v="10864"/>
    <n v="10864"/>
    <n v="1"/>
    <n v="267648"/>
    <n v="24.63622974963181"/>
    <n v="152528.87"/>
    <n v="14.03984444035346"/>
    <d v="2022-03-13T00:00:00"/>
    <d v="2032-03-12T00:00:00"/>
    <d v="2027-03-31T00:00:00"/>
    <n v="9.367123287671232"/>
    <n v="4.413698630136986"/>
    <s v="Modified Gross"/>
    <s v="None"/>
    <s v="None"/>
    <n v="1710000"/>
    <n v="157.40058910162"/>
    <n v="0.08919816959064328"/>
    <m/>
    <d v="2022-11-01T00:00:00"/>
    <x v="124"/>
    <s v="PSA; Boucher"/>
    <x v="62"/>
    <s v="IL"/>
    <s v="Private"/>
    <s v="CB; Gagliano"/>
    <m/>
    <n v="1975000"/>
    <n v="0.07722980759493671"/>
    <n v="0.8658227848101265"/>
    <n v="1975000"/>
    <n v="0.07722980759493671"/>
    <n v="0.01196836199570657"/>
    <s v="No"/>
    <d v="2021-09-20T00:00:00"/>
    <n v="407"/>
  </r>
  <r>
    <m/>
    <s v="USPS"/>
    <s v="Federal"/>
    <s v="Fee Simple"/>
    <s v="2585 Sebastopol Rd"/>
    <s v="Santa Rosa"/>
    <s v="CA"/>
    <n v="1.38"/>
    <n v="1991"/>
    <n v="3812"/>
    <n v="3812"/>
    <n v="1"/>
    <m/>
    <s v=" "/>
    <n v="156720"/>
    <n v="41.11227701993704"/>
    <d v="2018-12-01T00:00:00"/>
    <d v="2038-11-30T00:00:00"/>
    <d v="2038-11-30T00:00:00"/>
    <n v="16.09315068493151"/>
    <n v="16.09315068493151"/>
    <s v="Rider"/>
    <s v="10% at each option"/>
    <s v="2, 5yr"/>
    <n v="3800000"/>
    <n v="996.8520461699895"/>
    <n v="0.04124210526315789"/>
    <m/>
    <d v="2022-10-31T00:00:00"/>
    <x v="125"/>
    <s v="James Kilpatrick"/>
    <x v="87"/>
    <s v="CA"/>
    <s v="Private"/>
    <m/>
    <m/>
    <n v="3918000"/>
    <n v="0.04"/>
    <n v="0.9698825931597754"/>
    <n v="3918000"/>
    <n v="0.04"/>
    <n v="0.001242105263157892"/>
    <s v="No"/>
    <d v="2022-08-11T00:00:00"/>
    <n v="81"/>
  </r>
  <r>
    <m/>
    <m/>
    <s v="Federal"/>
    <s v="Fee Simple"/>
    <m/>
    <s v="Portfolio of Ten"/>
    <m/>
    <n v="60.09"/>
    <m/>
    <n v="690841"/>
    <n v="690841"/>
    <n v="1"/>
    <m/>
    <s v=" "/>
    <n v="14950000"/>
    <n v="21.64029060232383"/>
    <m/>
    <d v="2030-08-27T00:00:00"/>
    <d v="2025-08-27T00:00:00"/>
    <n v="7.838356164383562"/>
    <n v="2.835616438356164"/>
    <s v="Modified Gross"/>
    <s v="None"/>
    <s v="None"/>
    <n v="205300000"/>
    <n v="297.1740241242196"/>
    <n v="0.07282026302971262"/>
    <m/>
    <d v="2022-10-27T00:00:00"/>
    <x v="126"/>
    <m/>
    <x v="2"/>
    <s v="VA"/>
    <s v="Private"/>
    <m/>
    <m/>
    <m/>
    <s v=" "/>
    <s v=" "/>
    <m/>
    <s v=" "/>
    <s v=" "/>
    <s v=" "/>
    <m/>
    <s v=" "/>
  </r>
  <r>
    <s v="LIN17405"/>
    <s v="FWS"/>
    <s v="Federal"/>
    <s v="Fee Simple"/>
    <s v="620 S Walker"/>
    <s v="Bloomington"/>
    <s v="IN"/>
    <m/>
    <n v="1989"/>
    <n v="9400"/>
    <n v="27306"/>
    <n v="0.3442466857101004"/>
    <n v="112048.68"/>
    <n v="11.92007234042553"/>
    <m/>
    <s v=" "/>
    <d v="2006-02-01T00:00:00"/>
    <d v="2024-01-31T00:00:00"/>
    <d v="2017-01-31T00:00:00"/>
    <n v="1.279452054794521"/>
    <n v="-5.723287671232876"/>
    <s v="Modified Gross"/>
    <s v="None"/>
    <s v="None"/>
    <n v="4850000"/>
    <n v="177.6166410312752"/>
    <s v=" "/>
    <m/>
    <d v="2022-10-21T00:00:00"/>
    <x v="127"/>
    <m/>
    <x v="88"/>
    <s v="IN"/>
    <s v="Private"/>
    <m/>
    <m/>
    <m/>
    <s v=" "/>
    <s v=" "/>
    <m/>
    <s v=" "/>
    <s v=" "/>
    <s v=" "/>
    <m/>
    <s v=" "/>
  </r>
  <r>
    <s v="LMS62625"/>
    <s v="SSA"/>
    <s v="Federal"/>
    <s v="Fee Simple"/>
    <s v="8760 Mid South Dr"/>
    <s v="Olive Branch"/>
    <s v="MS"/>
    <n v="1.34"/>
    <n v="2003"/>
    <n v="11388"/>
    <n v="11388"/>
    <n v="1"/>
    <n v="288954.66"/>
    <n v="25.3736090621707"/>
    <n v="194250"/>
    <n v="17.05742887249736"/>
    <d v="2013-06-11T00:00:00"/>
    <d v="2023-01-31T00:00:00"/>
    <d v="2018-12-10T00:00:00"/>
    <n v="0.2821917808219178"/>
    <n v="-3.863013698630137"/>
    <s v="Modified Gross"/>
    <s v="None"/>
    <s v="None"/>
    <n v="2428000"/>
    <n v="213.2068844397612"/>
    <n v="0.08000411861614498"/>
    <m/>
    <d v="2022-10-20T00:00:00"/>
    <x v="128"/>
    <s v="CBRE; Drinkard"/>
    <x v="89"/>
    <s v="GA"/>
    <s v="Private"/>
    <m/>
    <m/>
    <m/>
    <s v=" "/>
    <s v=" "/>
    <m/>
    <s v=" "/>
    <s v=" "/>
    <s v=" "/>
    <d v="2021-09-16T00:00:00"/>
    <n v="399"/>
  </r>
  <r>
    <m/>
    <s v="The Pennsylvania Commission on Crime &amp; Delinquency Building"/>
    <s v="State"/>
    <s v="Fee Simple"/>
    <s v="3101 N Front St"/>
    <s v="Harrisburg"/>
    <s v="PA"/>
    <n v="1.09"/>
    <n v="1968"/>
    <n v="27983"/>
    <n v="27983"/>
    <n v="1"/>
    <m/>
    <s v=" "/>
    <n v="277545"/>
    <n v="9.918343279848479"/>
    <m/>
    <m/>
    <m/>
    <s v=" "/>
    <s v=" "/>
    <s v="Full Service"/>
    <s v="Annually based on CPI"/>
    <s v="None"/>
    <n v="2800000"/>
    <n v="100.0607511703534"/>
    <n v="0.09912321428571429"/>
    <m/>
    <d v="2022-10-18T00:00:00"/>
    <x v="129"/>
    <s v="Craig Dunkle"/>
    <x v="90"/>
    <s v="DC"/>
    <s v="Private"/>
    <s v="Charles Klein"/>
    <m/>
    <n v="4300000"/>
    <n v="0.0645453488372093"/>
    <n v="0.6511627906976745"/>
    <n v="3500000"/>
    <n v="0.07929857142857143"/>
    <n v="0.01982464285714286"/>
    <s v="Yes"/>
    <d v="2022-03-04T00:00:00"/>
    <n v="228"/>
  </r>
  <r>
    <m/>
    <s v="DCA"/>
    <s v="State"/>
    <s v="Fee Simple"/>
    <s v="9850 Goethe Rd"/>
    <s v="Sacramento"/>
    <s v="CA"/>
    <n v="1.919995408631772"/>
    <n v="1995"/>
    <n v="19040"/>
    <n v="19040"/>
    <n v="1"/>
    <n v="445536"/>
    <n v="23.4"/>
    <n v="276792"/>
    <n v="14.53739495798319"/>
    <d v="2022-06-01T00:00:00"/>
    <d v="2026-11-30T00:00:00"/>
    <d v="2021-05-31T00:00:00"/>
    <n v="4.131506849315069"/>
    <n v="-1.372602739726027"/>
    <s v="Full Service"/>
    <s v="$0.72 per SF Annually"/>
    <s v="None"/>
    <n v="4560000"/>
    <n v="239.4957983193277"/>
    <n v="0.0607"/>
    <m/>
    <d v="2022-10-14T00:00:00"/>
    <x v="130"/>
    <s v="JLL; Rawlings"/>
    <x v="91"/>
    <s v="CA"/>
    <s v="Private"/>
    <m/>
    <m/>
    <n v="4815000"/>
    <n v="0.05748535825545172"/>
    <n v="0.9470404984423676"/>
    <n v="4615000"/>
    <n v="0.05997659804983749"/>
    <n v="0.0007234019501625097"/>
    <s v="Yes"/>
    <m/>
    <s v=" "/>
  </r>
  <r>
    <s v="LNE00066"/>
    <s v="SSA"/>
    <s v="Federal"/>
    <s v="Fee Simple"/>
    <s v="415 Valley View Dr"/>
    <s v="Scottsbluff"/>
    <s v="NE"/>
    <n v="1.34"/>
    <n v="2005"/>
    <n v="4541"/>
    <n v="7178"/>
    <n v="0.6326274728336584"/>
    <n v="97065.23"/>
    <n v="21.37529839242458"/>
    <m/>
    <s v=" "/>
    <d v="2019-10-01T00:00:00"/>
    <d v="2034-09-30T00:00:00"/>
    <d v="2029-10-01T00:00:00"/>
    <n v="11.96986301369863"/>
    <n v="6.96986301369863"/>
    <s v="Modified Gross"/>
    <s v="None"/>
    <s v="None"/>
    <n v="1300000"/>
    <n v="181.1089439955419"/>
    <s v=" "/>
    <m/>
    <d v="2022-10-14T00:00:00"/>
    <x v="131"/>
    <m/>
    <x v="92"/>
    <s v="NE"/>
    <s v="Private"/>
    <m/>
    <m/>
    <m/>
    <s v=" "/>
    <s v=" "/>
    <m/>
    <s v=" "/>
    <s v=" "/>
    <s v=" "/>
    <m/>
    <s v=" "/>
  </r>
  <r>
    <s v="LVA00636"/>
    <s v="AOC"/>
    <s v="Federal"/>
    <s v="Fee Simple"/>
    <s v="8809 Sudley Road"/>
    <s v="Manassas"/>
    <s v="VA"/>
    <n v="0.626"/>
    <n v="1979"/>
    <n v="10293"/>
    <n v="29569"/>
    <n v="0.3481010517771991"/>
    <n v="335700"/>
    <n v="32.61439813465462"/>
    <n v="481223"/>
    <n v="16.27457810544827"/>
    <d v="2018-12-13T00:00:00"/>
    <d v="2028-12-12T00:00:00"/>
    <d v="2028-12-12T00:00:00"/>
    <n v="6.16986301369863"/>
    <n v="6.16986301369863"/>
    <s v="Modified Gross"/>
    <s v="None"/>
    <s v="None"/>
    <n v="5100000"/>
    <n v="172.4779329703406"/>
    <n v="0.09435745098039215"/>
    <m/>
    <d v="2022-10-13T00:00:00"/>
    <x v="132"/>
    <s v="M&amp;M; Roti"/>
    <x v="93"/>
    <s v="VA"/>
    <s v="Private"/>
    <s v="Weber; Rector"/>
    <m/>
    <n v="5150000"/>
    <n v="0.09344135922330098"/>
    <n v="0.9902912621359223"/>
    <n v="5150000"/>
    <n v="0.09344135922330098"/>
    <n v="0.0009160917570911753"/>
    <s v="No"/>
    <d v="2022-04-13T00:00:00"/>
    <n v="183"/>
  </r>
  <r>
    <m/>
    <s v="DOC"/>
    <s v="State"/>
    <s v="Fee Simple"/>
    <s v="1100 S Oakley Blvd"/>
    <s v="Chicago"/>
    <s v="IL"/>
    <n v="0.37"/>
    <n v="1903"/>
    <n v="30000"/>
    <n v="30000"/>
    <n v="1"/>
    <m/>
    <s v=" "/>
    <n v="275000"/>
    <n v="9.166666666666666"/>
    <d v="2014-10-01T00:00:00"/>
    <d v="2024-09-30T00:00:00"/>
    <m/>
    <n v="1.983561643835617"/>
    <s v=" "/>
    <s v="Full Service"/>
    <s v="None"/>
    <s v="None"/>
    <n v="3900000"/>
    <n v="130"/>
    <n v="0.07051282051282051"/>
    <m/>
    <d v="2022-10-07T00:00:00"/>
    <x v="133"/>
    <s v="CRER"/>
    <x v="94"/>
    <s v="IL"/>
    <s v="Private"/>
    <m/>
    <m/>
    <m/>
    <s v=" "/>
    <s v=" "/>
    <m/>
    <s v=" "/>
    <s v=" "/>
    <s v=" "/>
    <m/>
    <s v=" "/>
  </r>
  <r>
    <m/>
    <s v="USDA"/>
    <s v="Federal"/>
    <s v="Fee Simple"/>
    <s v="1001 S 8th St"/>
    <s v="Clarinda"/>
    <s v="IA"/>
    <n v="1.1"/>
    <n v="1990"/>
    <n v="6240"/>
    <n v="6240"/>
    <n v="1"/>
    <n v="128232"/>
    <n v="20.55"/>
    <n v="79561"/>
    <n v="12.75016025641026"/>
    <d v="2022-06-01T00:00:00"/>
    <d v="2032-05-31T00:00:00"/>
    <d v="2025-05-31T00:00:00"/>
    <n v="9.654794520547945"/>
    <n v="2.649315068493151"/>
    <s v="Modified Gross"/>
    <s v="None"/>
    <s v="None"/>
    <n v="1115000"/>
    <n v="178.6858974358974"/>
    <n v="0.07135515695067264"/>
    <m/>
    <d v="2022-10-07T00:00:00"/>
    <x v="134"/>
    <s v="Colliers; Ficke"/>
    <x v="95"/>
    <s v="IA"/>
    <s v="Private"/>
    <m/>
    <m/>
    <n v="1147120"/>
    <n v="0.0693571727456587"/>
    <n v="0.9719994420810377"/>
    <n v="1147120"/>
    <n v="0.0693571727456587"/>
    <n v="0.001997984205013945"/>
    <s v="No"/>
    <d v="2022-06-02T00:00:00"/>
    <n v="127"/>
  </r>
  <r>
    <m/>
    <s v="DMV"/>
    <s v="State"/>
    <s v="Fee Simple"/>
    <s v="165 Center St"/>
    <s v="Taft"/>
    <s v="CA"/>
    <n v="0.29"/>
    <n v="1970"/>
    <n v="2234"/>
    <n v="2234"/>
    <n v="1"/>
    <n v="42474"/>
    <n v="19.01253357206804"/>
    <m/>
    <s v=" "/>
    <m/>
    <d v="2023-06-30T00:00:00"/>
    <m/>
    <n v="0.7287671232876712"/>
    <s v=" "/>
    <s v="Full Service"/>
    <s v="None"/>
    <s v="None"/>
    <n v="350000"/>
    <n v="156.6696508504924"/>
    <s v=" "/>
    <m/>
    <d v="2022-10-07T00:00:00"/>
    <x v="8"/>
    <s v="Martin Starr"/>
    <x v="0"/>
    <m/>
    <m/>
    <m/>
    <m/>
    <n v="550000"/>
    <s v=" "/>
    <n v="0.6363636363636364"/>
    <n v="525000"/>
    <s v=" "/>
    <s v=" "/>
    <s v="Yes"/>
    <d v="2022-02-17T00:00:00"/>
    <n v="232"/>
  </r>
  <r>
    <m/>
    <s v="VA"/>
    <s v="Federal"/>
    <s v="Fee Simple"/>
    <s v="565 Space Center Dr"/>
    <s v="Colorado Springs"/>
    <s v="CO"/>
    <n v="5.72"/>
    <n v="2008"/>
    <n v="15154"/>
    <n v="89907"/>
    <n v="0.1685519481241728"/>
    <n v="390063.96"/>
    <n v="25.74"/>
    <n v="1525321.06371216"/>
    <n v="16.96554288"/>
    <d v="2022-09-01T00:00:00"/>
    <d v="2032-08-30T00:00:00"/>
    <d v="2027-08-30T00:00:00"/>
    <n v="9.90958904109589"/>
    <n v="4.904109589041096"/>
    <s v="Modified Gross"/>
    <s v="Various"/>
    <s v="Various"/>
    <n v="23000000"/>
    <n v="255.8199027884369"/>
    <n v="0.06631830711791999"/>
    <m/>
    <d v="2022-10-05T00:00:00"/>
    <x v="135"/>
    <s v="C&amp;W;"/>
    <x v="1"/>
    <s v="IL"/>
    <s v="Private"/>
    <m/>
    <m/>
    <m/>
    <s v=" "/>
    <s v=" "/>
    <m/>
    <s v=" "/>
    <s v=" "/>
    <s v=" "/>
    <m/>
    <s v=" "/>
  </r>
  <r>
    <m/>
    <s v="DOL"/>
    <s v="State"/>
    <s v="Fee Simple"/>
    <s v="96 Cohen Walker Dr"/>
    <s v="Warner Robins"/>
    <s v="GA"/>
    <n v="2.92"/>
    <n v="1999"/>
    <n v="12500"/>
    <n v="12500"/>
    <n v="1"/>
    <m/>
    <s v=" "/>
    <m/>
    <s v=" "/>
    <m/>
    <d v="2032-06-30T00:00:00"/>
    <m/>
    <n v="9.745205479452055"/>
    <s v=" "/>
    <m/>
    <m/>
    <m/>
    <n v="4075000"/>
    <n v="326"/>
    <s v=" "/>
    <m/>
    <d v="2022-10-04T00:00:00"/>
    <x v="136"/>
    <m/>
    <x v="96"/>
    <s v="GA"/>
    <s v="Private"/>
    <m/>
    <m/>
    <m/>
    <s v=" "/>
    <s v=" "/>
    <m/>
    <s v=" "/>
    <s v=" "/>
    <s v=" "/>
    <m/>
    <s v=" "/>
  </r>
  <r>
    <s v="LRI04447"/>
    <s v="USCIS"/>
    <s v="Federal"/>
    <s v="Fee Simple"/>
    <s v="1543 Atwood Ave"/>
    <s v="Johnston"/>
    <s v="RI"/>
    <n v="1.9"/>
    <n v="2009"/>
    <n v="20560"/>
    <n v="20560"/>
    <n v="1"/>
    <n v="700700"/>
    <n v="34.0807392996109"/>
    <n v="600408"/>
    <n v="29.20272373540856"/>
    <d v="2009-07-31T00:00:00"/>
    <d v="2024-07-30T00:00:00"/>
    <d v="2019-07-30T00:00:00"/>
    <n v="1.824657534246575"/>
    <n v="-3.180821917808219"/>
    <s v="Modified Gross"/>
    <s v="None"/>
    <s v="None"/>
    <n v="10920000"/>
    <n v="531.1284046692607"/>
    <n v="0.05498241758241759"/>
    <m/>
    <d v="2022-10-03T00:00:00"/>
    <x v="137"/>
    <s v="M&amp;M; Drinkwater"/>
    <x v="97"/>
    <s v="RI"/>
    <s v="Private"/>
    <m/>
    <m/>
    <n v="10920000"/>
    <n v="0.05498241758241759"/>
    <n v="1"/>
    <n v="10920000"/>
    <n v="0.05498241758241759"/>
    <n v="0"/>
    <s v="No"/>
    <d v="2022-06-21T00:00:00"/>
    <n v="104"/>
  </r>
  <r>
    <s v="LMS61580"/>
    <s v="SSA"/>
    <s v="Federal"/>
    <s v="Fee Simple"/>
    <s v="1911 Broadway Dr"/>
    <s v="Hattiesburg"/>
    <s v="MS"/>
    <n v="2.08"/>
    <n v="2008"/>
    <n v="12209"/>
    <n v="12209"/>
    <n v="1"/>
    <m/>
    <s v=" "/>
    <n v="253109"/>
    <n v="20.7313457285609"/>
    <m/>
    <d v="2026-12-31T00:00:00"/>
    <d v="2021-12-31T00:00:00"/>
    <n v="4.254794520547946"/>
    <n v="-0.7479452054794521"/>
    <s v="Modified Gross"/>
    <s v="None"/>
    <s v="None"/>
    <n v="3025000"/>
    <n v="247.7680399705135"/>
    <n v="0.08367239669421488"/>
    <m/>
    <d v="2022-09-30T00:00:00"/>
    <x v="138"/>
    <s v="M&amp;M; MObin"/>
    <x v="98"/>
    <s v="AL"/>
    <s v="Private"/>
    <m/>
    <m/>
    <n v="3050000"/>
    <n v="0.08298655737704919"/>
    <n v="0.9918032786885246"/>
    <n v="3050000"/>
    <n v="0.08298655737704919"/>
    <n v="0.0006858393171656901"/>
    <s v="No"/>
    <d v="2022-03-24T00:00:00"/>
    <n v="190"/>
  </r>
  <r>
    <s v="LMS61580"/>
    <s v="SSA"/>
    <s v="Federal"/>
    <s v="Fee Simple"/>
    <s v="1901 Broadway Dr"/>
    <s v="Hattiesburg"/>
    <s v="MS"/>
    <n v="2.3"/>
    <n v="2006"/>
    <n v="18360"/>
    <n v="18360"/>
    <n v="1"/>
    <n v="469832.4"/>
    <n v="25.59"/>
    <n v="274798.038"/>
    <n v="14.96721339869281"/>
    <d v="2016-12-18T00:00:00"/>
    <d v="2026-12-17T00:00:00"/>
    <d v="2021-12-17T00:00:00"/>
    <n v="4.216438356164383"/>
    <n v="-0.7863013698630137"/>
    <s v="Modified Gross"/>
    <s v="None"/>
    <s v="None"/>
    <n v="3350000"/>
    <n v="182.4618736383442"/>
    <n v="0.08202926507462686"/>
    <m/>
    <d v="2022-09-30T00:00:00"/>
    <x v="139"/>
    <s v="SVN; Levin"/>
    <x v="99"/>
    <m/>
    <m/>
    <m/>
    <m/>
    <n v="3713487"/>
    <n v="0.074"/>
    <n v="0.9021170667892469"/>
    <n v="3713487"/>
    <n v="0.074"/>
    <n v="0.008029265074626868"/>
    <s v="No"/>
    <d v="2022-05-03T00:00:00"/>
    <n v="150"/>
  </r>
  <r>
    <m/>
    <s v="FS/BLM"/>
    <s v="Federal"/>
    <s v="Fee Simple"/>
    <s v="1206 S Challis St"/>
    <s v="Salmon"/>
    <s v="ID"/>
    <n v="21.37"/>
    <n v="1992"/>
    <n v="43859"/>
    <n v="43859"/>
    <n v="1"/>
    <m/>
    <s v=" "/>
    <n v="335828"/>
    <n v="7.656991723477508"/>
    <d v="2022-02-01T00:00:00"/>
    <d v="2032-01-31T00:00:00"/>
    <d v="2027-01-31T00:00:00"/>
    <n v="9.342465753424657"/>
    <n v="4.33972602739726"/>
    <s v="Modified Gross"/>
    <s v="None"/>
    <s v="None"/>
    <n v="3900000"/>
    <n v="88.92131603547732"/>
    <n v="0.08610974358974359"/>
    <m/>
    <d v="2022-09-30T00:00:00"/>
    <x v="140"/>
    <s v="Matthews"/>
    <x v="0"/>
    <m/>
    <m/>
    <m/>
    <m/>
    <n v="4333269"/>
    <n v="0.07749991980650174"/>
    <n v="0.9000133617368319"/>
    <n v="4333269"/>
    <n v="0.07749991980650174"/>
    <n v="0.008609823783241849"/>
    <s v="No"/>
    <d v="2022-07-17T00:00:00"/>
    <n v="75"/>
  </r>
  <r>
    <m/>
    <s v="Multi"/>
    <s v="State"/>
    <s v="Fee Simple"/>
    <s v="1200-1298 Veterans Hwy"/>
    <s v="Bristol"/>
    <s v="PA"/>
    <n v="21.1"/>
    <n v="1960"/>
    <n v="208500"/>
    <n v="208500"/>
    <n v="1"/>
    <m/>
    <s v=" "/>
    <m/>
    <s v=" "/>
    <m/>
    <m/>
    <m/>
    <m/>
    <m/>
    <m/>
    <m/>
    <m/>
    <n v="9918250"/>
    <n v="47.5695443645084"/>
    <s v=" "/>
    <m/>
    <d v="2022-09-28T00:00:00"/>
    <x v="141"/>
    <s v="Colliers; Pulte"/>
    <x v="100"/>
    <s v="VA"/>
    <s v="Private"/>
    <m/>
    <m/>
    <m/>
    <s v=" "/>
    <s v=" "/>
    <m/>
    <s v=" "/>
    <s v=" "/>
    <s v=" "/>
    <d v="2022-07-22T00:00:00"/>
    <n v="68"/>
  </r>
  <r>
    <m/>
    <s v="SSA/Recruiting/County"/>
    <s v="Federal &amp; State"/>
    <s v="Fee Simple"/>
    <s v="330-350 Grand Ave"/>
    <s v="Wausau"/>
    <s v="WI"/>
    <n v="1.09"/>
    <n v="2002"/>
    <n v="8710"/>
    <n v="21168"/>
    <n v="0.4114701436130008"/>
    <m/>
    <s v=" "/>
    <m/>
    <s v=" "/>
    <m/>
    <m/>
    <m/>
    <s v=" "/>
    <s v=" "/>
    <m/>
    <m/>
    <m/>
    <n v="1900000"/>
    <n v="89.75812547241118"/>
    <s v=" "/>
    <m/>
    <d v="2022-09-27T00:00:00"/>
    <x v="142"/>
    <m/>
    <x v="101"/>
    <s v="WI"/>
    <s v="Private"/>
    <m/>
    <m/>
    <m/>
    <s v=" "/>
    <s v=" "/>
    <m/>
    <s v=" "/>
    <s v=" "/>
    <s v=" "/>
    <m/>
    <s v=" "/>
  </r>
  <r>
    <s v="LTX00820"/>
    <s v="SSA"/>
    <s v="Federal"/>
    <s v="Fee Simple"/>
    <s v="2304 W Ferguson Rd"/>
    <s v="Mount Pleasant"/>
    <s v="TX"/>
    <n v="0.84"/>
    <n v="2004"/>
    <n v="4964"/>
    <n v="4964"/>
    <n v="1"/>
    <n v="110665"/>
    <n v="22.29351329572925"/>
    <m/>
    <s v=" "/>
    <d v="2020-08-15T00:00:00"/>
    <d v="2035-08-14T00:00:00"/>
    <d v="2033-08-14T00:00:00"/>
    <n v="12.89041095890411"/>
    <n v="10.89041095890411"/>
    <s v="Modified Gross"/>
    <s v="None"/>
    <s v="None"/>
    <m/>
    <s v=" "/>
    <s v=" "/>
    <m/>
    <d v="2022-09-26T00:00:00"/>
    <x v="143"/>
    <m/>
    <x v="102"/>
    <s v="IL"/>
    <s v="Private"/>
    <m/>
    <m/>
    <m/>
    <s v=" "/>
    <s v=" "/>
    <m/>
    <s v=" "/>
    <s v=" "/>
    <s v=" "/>
    <m/>
    <s v=" "/>
  </r>
  <r>
    <m/>
    <s v="USPS"/>
    <s v="Federal"/>
    <s v="Fee Simple"/>
    <s v="53 Broad St"/>
    <s v="Providence"/>
    <s v="RI"/>
    <n v="0.13"/>
    <n v="1957"/>
    <n v="3691"/>
    <n v="3691"/>
    <n v="1"/>
    <m/>
    <s v=" "/>
    <n v="71320"/>
    <n v="19.32267678136007"/>
    <m/>
    <d v="2029-07-31T00:00:00"/>
    <d v="2029-07-31T00:00:00"/>
    <n v="6.86027397260274"/>
    <n v="6.86027397260274"/>
    <s v="Rider"/>
    <s v="In Options"/>
    <s v="1, 5 yr"/>
    <n v="1300000"/>
    <n v="352.2080736927662"/>
    <n v="0.05486153846153846"/>
    <m/>
    <d v="2022-09-22T00:00:00"/>
    <x v="144"/>
    <s v="H&amp;T; Huntley"/>
    <x v="103"/>
    <m/>
    <m/>
    <m/>
    <m/>
    <n v="1358476"/>
    <n v="0.05250000736119004"/>
    <n v="0.9569547051254494"/>
    <n v="1358476"/>
    <n v="0.05250000736119004"/>
    <n v="0.002361531100348424"/>
    <s v="No"/>
    <d v="2022-06-24T00:00:00"/>
    <n v="90"/>
  </r>
  <r>
    <m/>
    <s v="BLM"/>
    <s v="Federal"/>
    <s v="Fee Simple"/>
    <s v="300 South Richmond Road"/>
    <s v="Ridgecrest"/>
    <s v="CA"/>
    <n v="1.85"/>
    <n v="1990"/>
    <n v="16976"/>
    <n v="16976"/>
    <n v="1"/>
    <n v="272000"/>
    <n v="16.02262016965127"/>
    <n v="213952.986"/>
    <n v="12.60326260603204"/>
    <m/>
    <d v="2028-05-31T00:00:00"/>
    <d v="2028-05-31T00:00:00"/>
    <n v="5.695890410958904"/>
    <n v="5.695890410958904"/>
    <s v="Modified Gross"/>
    <s v="None"/>
    <s v="1, 5 yr"/>
    <n v="3657316"/>
    <n v="215.4403864278982"/>
    <n v="0.0585"/>
    <m/>
    <d v="2022-09-21T00:00:00"/>
    <x v="145"/>
    <s v="SJC; Briggs"/>
    <x v="104"/>
    <s v="CA"/>
    <s v="Private"/>
    <m/>
    <m/>
    <n v="3786778.513274336"/>
    <n v="0.0565"/>
    <n v="0.9658119658119658"/>
    <n v="3786778.513274336"/>
    <n v="0.0565"/>
    <n v="0.002000000000000002"/>
    <s v="No"/>
    <d v="2022-04-09T00:00:00"/>
    <n v="165"/>
  </r>
  <r>
    <s v="LGA01375"/>
    <s v="EPA"/>
    <s v="Federal"/>
    <s v="Fee Simple"/>
    <s v="396 Commerce Blvd"/>
    <s v="Bogart"/>
    <s v="GA"/>
    <n v="2.57"/>
    <n v="1983"/>
    <n v="12000"/>
    <n v="36000"/>
    <n v="0.3333333333333333"/>
    <n v="162000"/>
    <n v="13.5"/>
    <n v="234062.5"/>
    <n v="6.501736111111111"/>
    <d v="2020-07-01T00:00:00"/>
    <d v="2030-06-30T00:00:00"/>
    <d v="2025-07-01T00:00:00"/>
    <n v="7.783561643835617"/>
    <n v="2.783561643835617"/>
    <s v="Modified Gross"/>
    <s v="None"/>
    <s v="None"/>
    <n v="3125000"/>
    <n v="86.80555555555556"/>
    <n v="0.07489999999999999"/>
    <m/>
    <d v="2022-09-19T00:00:00"/>
    <x v="146"/>
    <s v="Atlas; Blackmon"/>
    <x v="105"/>
    <s v="GA"/>
    <s v="Private"/>
    <m/>
    <m/>
    <m/>
    <s v=" "/>
    <s v=" "/>
    <m/>
    <s v=" "/>
    <s v=" "/>
    <s v=" "/>
    <m/>
    <s v=" "/>
  </r>
  <r>
    <m/>
    <s v="Multi"/>
    <s v="State"/>
    <s v="Fee Simple"/>
    <s v="840 N Broadway"/>
    <s v="Everett"/>
    <s v="WA"/>
    <n v="29.95"/>
    <m/>
    <n v="345266"/>
    <n v="345266"/>
    <n v="1"/>
    <m/>
    <s v=" "/>
    <n v="5875750"/>
    <n v="17.01803826614842"/>
    <m/>
    <d v="2029-07-31T00:00:00"/>
    <d v="2029-07-31T00:00:00"/>
    <n v="6.868493150684931"/>
    <n v="6.868493150684931"/>
    <s v="Full Service"/>
    <s v="2% annually"/>
    <s v="None"/>
    <n v="65750000"/>
    <n v="190.4328836317506"/>
    <n v="0.08936501901140684"/>
    <m/>
    <d v="2022-09-19T00:00:00"/>
    <x v="147"/>
    <s v="CBRE; Phel"/>
    <x v="1"/>
    <s v="IL"/>
    <s v="Private"/>
    <m/>
    <m/>
    <m/>
    <s v=" "/>
    <s v=" "/>
    <m/>
    <s v=" "/>
    <s v=" "/>
    <s v=" "/>
    <m/>
    <s v=" "/>
  </r>
  <r>
    <s v="LCO00684"/>
    <s v="USCB"/>
    <s v="Federal"/>
    <s v="Fee Simple"/>
    <s v="6900-6950 W Jefferson Ave"/>
    <s v="Lakewood"/>
    <s v="CO"/>
    <n v="9.800000000000001"/>
    <n v="1984"/>
    <n v="27000"/>
    <n v="120464"/>
    <n v="0.2241333510426352"/>
    <n v="805680"/>
    <n v="29.84"/>
    <n v="1436800"/>
    <n v="11.92721476955771"/>
    <d v="2022-01-04T00:00:00"/>
    <d v="2027-01-03T00:00:00"/>
    <d v="2025-01-04T00:00:00"/>
    <n v="4.293150684931507"/>
    <n v="2.295890410958904"/>
    <s v="Modified Gross"/>
    <s v="None"/>
    <s v="None"/>
    <n v="22450000"/>
    <n v="186.3627307743392"/>
    <n v="0.064"/>
    <m/>
    <d v="2022-09-19T00:00:00"/>
    <x v="148"/>
    <s v="Colliers; Smith"/>
    <x v="106"/>
    <s v="CO"/>
    <s v="Private"/>
    <m/>
    <m/>
    <m/>
    <s v=" "/>
    <s v=" "/>
    <m/>
    <s v=" "/>
    <s v=" "/>
    <s v=" "/>
    <m/>
    <s v=" "/>
  </r>
  <r>
    <m/>
    <s v="SSA"/>
    <s v="Federal"/>
    <s v="Fee Simple"/>
    <s v="6340 Security Blvd"/>
    <s v="Woodlawn"/>
    <s v="MD"/>
    <n v="2.62"/>
    <n v="1973"/>
    <n v="61123"/>
    <n v="61123"/>
    <n v="1"/>
    <m/>
    <s v=" "/>
    <n v="580000"/>
    <n v="9.48906303682738"/>
    <m/>
    <d v="2026-08-30T00:00:00"/>
    <d v="2021-08-31T00:00:00"/>
    <n v="3.947945205479452"/>
    <n v="-1.052054794520548"/>
    <s v="Modified Gross"/>
    <s v="None"/>
    <s v="None"/>
    <n v="5000000"/>
    <n v="81.80226755885673"/>
    <n v="0.116"/>
    <m/>
    <d v="2022-09-19T00:00:00"/>
    <x v="149"/>
    <s v="Mackenzie"/>
    <x v="107"/>
    <s v="MD"/>
    <s v="Private"/>
    <m/>
    <m/>
    <n v="5800000"/>
    <n v="0.1"/>
    <n v="0.8620689655172413"/>
    <n v="5800000"/>
    <n v="0.1"/>
    <n v="0.016"/>
    <s v="No"/>
    <d v="2021-05-05T00:00:00"/>
    <n v="502"/>
  </r>
  <r>
    <m/>
    <s v="USPS"/>
    <s v="Federal"/>
    <s v="Fee Simple"/>
    <s v="14664 Main St"/>
    <s v="Orrville"/>
    <s v="AL"/>
    <n v="0.1"/>
    <m/>
    <n v="5000"/>
    <n v="5000"/>
    <n v="1"/>
    <m/>
    <s v=" "/>
    <n v="173060"/>
    <n v="34.612"/>
    <m/>
    <m/>
    <m/>
    <s v=" "/>
    <s v=" "/>
    <m/>
    <m/>
    <m/>
    <n v="2545000"/>
    <n v="509"/>
    <n v="0.068"/>
    <m/>
    <d v="2022-09-14T00:00:00"/>
    <x v="8"/>
    <s v="Matthews"/>
    <x v="0"/>
    <m/>
    <m/>
    <m/>
    <m/>
    <m/>
    <s v=" "/>
    <s v=" "/>
    <m/>
    <s v=" "/>
    <s v=" "/>
    <s v=" "/>
    <m/>
    <s v=" "/>
  </r>
  <r>
    <m/>
    <s v="Multi"/>
    <s v="State"/>
    <s v="Fee Simple"/>
    <s v="925 L St"/>
    <s v="Sacramento"/>
    <s v="CA"/>
    <n v="0.36"/>
    <n v="1973"/>
    <n v="106371.72"/>
    <n v="168844"/>
    <n v="0.63"/>
    <m/>
    <s v=" "/>
    <n v="3003000"/>
    <n v="17.78564829072991"/>
    <m/>
    <d v="2025-06-30T00:00:00"/>
    <d v="2025-06-30T00:00:00"/>
    <n v="2.794520547945206"/>
    <n v="2.794520547945206"/>
    <s v="Full Service"/>
    <s v="Annually"/>
    <s v="None"/>
    <n v="55100000"/>
    <n v="326.3367368695364"/>
    <n v="0.05450090744101634"/>
    <m/>
    <d v="2022-09-14T00:00:00"/>
    <x v="150"/>
    <s v="JLL; Hielscher"/>
    <x v="108"/>
    <s v="CA"/>
    <s v="Institutional"/>
    <m/>
    <m/>
    <m/>
    <s v=" "/>
    <s v=" "/>
    <m/>
    <s v=" "/>
    <s v=" "/>
    <s v=" "/>
    <m/>
    <s v=" "/>
  </r>
  <r>
    <m/>
    <s v="DOC"/>
    <s v="State"/>
    <s v="Fee Simple"/>
    <s v="3444 S Congress Ave"/>
    <s v="West Palm Beach"/>
    <s v="FL"/>
    <n v="0.75"/>
    <n v="1977"/>
    <n v="8137"/>
    <n v="8137"/>
    <n v="1"/>
    <m/>
    <s v=" "/>
    <n v="120000"/>
    <n v="14.74744992011798"/>
    <d v="2021-11-01T00:00:00"/>
    <d v="2026-10-31T00:00:00"/>
    <d v="2026-10-31T00:00:00"/>
    <n v="4.134246575342465"/>
    <n v="4.134246575342465"/>
    <s v="NNN"/>
    <s v="3% annually"/>
    <s v="2, 5 yr"/>
    <n v="1500000"/>
    <n v="184.3431240014747"/>
    <n v="0.08"/>
    <m/>
    <d v="2022-09-13T00:00:00"/>
    <x v="151"/>
    <s v="CRE; Warzoha"/>
    <x v="109"/>
    <s v="NJ"/>
    <s v="Private"/>
    <m/>
    <m/>
    <n v="1800000"/>
    <n v="0.06666666666666667"/>
    <n v="0.8333333333333334"/>
    <n v="1800000"/>
    <n v="0.06666666666666667"/>
    <n v="0.01333333333333334"/>
    <s v="No"/>
    <d v="2022-02-28T00:00:00"/>
    <n v="197"/>
  </r>
  <r>
    <m/>
    <s v="Montgomery County"/>
    <s v="State"/>
    <s v="Fee Simple"/>
    <s v="11 W Monument Ave"/>
    <s v="Dayton"/>
    <s v="OH"/>
    <n v="0.27"/>
    <n v="1989"/>
    <n v="38801.84"/>
    <n v="50392"/>
    <n v="0.7700000000000001"/>
    <m/>
    <s v=" "/>
    <n v="111960"/>
    <n v="2.221781235116685"/>
    <m/>
    <m/>
    <m/>
    <s v=" "/>
    <s v=" "/>
    <m/>
    <m/>
    <m/>
    <n v="1200000"/>
    <n v="23.81330369899984"/>
    <n v="0.09329999999999999"/>
    <m/>
    <d v="2022-09-09T00:00:00"/>
    <x v="152"/>
    <s v="Crest; Albro"/>
    <x v="110"/>
    <s v="OH"/>
    <s v="Private"/>
    <m/>
    <m/>
    <m/>
    <s v=" "/>
    <s v=" "/>
    <m/>
    <s v=" "/>
    <s v=" "/>
    <s v=" "/>
    <m/>
    <s v=" "/>
  </r>
  <r>
    <s v="LMO00215"/>
    <s v="SSA"/>
    <s v="Federal"/>
    <s v="Fee Simple"/>
    <s v="880 Rue St Francois"/>
    <s v="Florissant"/>
    <s v="MO"/>
    <n v="1.18"/>
    <n v="1970"/>
    <n v="10291"/>
    <n v="17964"/>
    <n v="0.5728679581384992"/>
    <n v="231171"/>
    <n v="22.46341463414634"/>
    <n v="231171"/>
    <n v="12.8685704742819"/>
    <d v="2020-12-03T00:00:00"/>
    <d v="2035-12-02T00:00:00"/>
    <d v="2030-12-03T00:00:00"/>
    <n v="13.23835616438356"/>
    <n v="8.238356164383562"/>
    <s v="Modified Gross"/>
    <s v="None"/>
    <s v="None"/>
    <n v="2766400"/>
    <n v="153.9968826541973"/>
    <n v="0.08356383747831116"/>
    <m/>
    <d v="2022-09-09T00:00:00"/>
    <x v="153"/>
    <s v="Brian Votava, CCIM"/>
    <x v="72"/>
    <s v="FL"/>
    <s v="Private"/>
    <m/>
    <m/>
    <n v="3765000"/>
    <n v="0.0614"/>
    <n v="0.7347675962815405"/>
    <n v="3563000"/>
    <n v="0.06488099915801292"/>
    <n v="0.01868283832029824"/>
    <s v="Yes"/>
    <d v="2021-10-21T00:00:00"/>
    <n v="323"/>
  </r>
  <r>
    <s v="LOH19330"/>
    <s v="ICE"/>
    <s v="Federal"/>
    <s v="Fee Simple"/>
    <s v="675 Brooksedge Blvd"/>
    <s v="Westerville"/>
    <s v="OH"/>
    <n v="4.2"/>
    <n v="1983"/>
    <n v="24640"/>
    <n v="24640"/>
    <n v="1"/>
    <n v="728525.39"/>
    <n v="29.56677719155844"/>
    <m/>
    <s v=" "/>
    <d v="2020-11-30T00:00:00"/>
    <d v="2035-11-29T00:00:00"/>
    <d v="2030-11-29T00:00:00"/>
    <n v="13.23287671232877"/>
    <n v="8.230136986301369"/>
    <s v="Modified Gross"/>
    <s v="None"/>
    <s v="None"/>
    <n v="6500000"/>
    <n v="263.7987012987013"/>
    <s v=" "/>
    <m/>
    <d v="2022-09-08T00:00:00"/>
    <x v="154"/>
    <s v="Newmark; Gallas"/>
    <x v="38"/>
    <s v="FL"/>
    <s v="Private"/>
    <m/>
    <m/>
    <m/>
    <s v=" "/>
    <s v=" "/>
    <m/>
    <s v=" "/>
    <s v=" "/>
    <s v=" "/>
    <m/>
    <s v=" "/>
  </r>
  <r>
    <m/>
    <s v="SAP/CACI"/>
    <s v="Contractor"/>
    <s v="Fee Simple"/>
    <s v="15040 Conference Center Dr"/>
    <s v="Chantilly"/>
    <s v="VA"/>
    <n v="7.46"/>
    <n v="2006"/>
    <n v="74649"/>
    <n v="115563"/>
    <n v="0.6459593468497703"/>
    <m/>
    <s v=" "/>
    <n v="2435879.853103707"/>
    <n v="21.07837156446014"/>
    <m/>
    <d v="2030-07-31T00:00:00"/>
    <d v="2030-07-31T00:00:00"/>
    <n v="7.901369863013699"/>
    <n v="7.901369863013699"/>
    <s v="NNN"/>
    <s v="2% annually"/>
    <s v="None"/>
    <n v="39200000"/>
    <n v="339.2089163486583"/>
    <n v="0.06213979217101293"/>
    <m/>
    <d v="2022-09-07T00:00:00"/>
    <x v="155"/>
    <s v="JLL; Meisel"/>
    <x v="1"/>
    <s v="IL"/>
    <s v="Private"/>
    <m/>
    <m/>
    <m/>
    <s v=" "/>
    <s v=" "/>
    <m/>
    <s v=" "/>
    <s v=" "/>
    <s v=" "/>
    <d v="2022-05-12T00:00:00"/>
    <n v="118"/>
  </r>
  <r>
    <m/>
    <s v="SSA/Rev."/>
    <s v="State &amp; Federal"/>
    <s v="Fee Simple"/>
    <s v="2800 South Macarthur Drive"/>
    <s v="Alexandria"/>
    <s v="LA"/>
    <n v="13.37"/>
    <n v="1994"/>
    <n v="170646"/>
    <n v="170646"/>
    <n v="1"/>
    <n v="1225958"/>
    <n v="7.184217620102435"/>
    <n v="864260"/>
    <n v="5.06463673335443"/>
    <d v="2021-05-01T00:00:00"/>
    <d v="2031-04-30T00:00:00"/>
    <d v="2026-04-30T00:00:00"/>
    <n v="8.652054794520549"/>
    <n v="3.649315068493151"/>
    <s v="Full Service"/>
    <s v="None"/>
    <s v="None"/>
    <n v="7900000"/>
    <n v="46.29466849501307"/>
    <n v="0.1094"/>
    <m/>
    <d v="2022-09-06T00:00:00"/>
    <x v="156"/>
    <s v="SJC; Hughes"/>
    <x v="111"/>
    <s v="LA"/>
    <s v="Private"/>
    <m/>
    <m/>
    <m/>
    <s v=" "/>
    <s v=" "/>
    <m/>
    <s v=" "/>
    <s v=" "/>
    <s v=" "/>
    <m/>
    <s v=" "/>
  </r>
  <r>
    <m/>
    <s v="VA"/>
    <s v="Federal"/>
    <s v="Fee Simple"/>
    <s v="2191 Marion St"/>
    <s v="North Bend"/>
    <s v="OR"/>
    <n v="0.36"/>
    <m/>
    <n v="10635"/>
    <n v="10635"/>
    <n v="1"/>
    <m/>
    <s v=" "/>
    <m/>
    <s v=" "/>
    <m/>
    <m/>
    <m/>
    <s v=" "/>
    <s v=" "/>
    <m/>
    <m/>
    <m/>
    <m/>
    <s v=" "/>
    <s v=" "/>
    <m/>
    <d v="2022-09-06T00:00:00"/>
    <x v="157"/>
    <m/>
    <x v="46"/>
    <s v="OK"/>
    <s v="Private"/>
    <s v="Colliers; Ficke"/>
    <m/>
    <m/>
    <s v=" "/>
    <s v=" "/>
    <m/>
    <s v=" "/>
    <s v=" "/>
    <s v=" "/>
    <m/>
    <s v=" "/>
  </r>
  <r>
    <m/>
    <s v="Multi"/>
    <s v="State"/>
    <s v="Fee Simple"/>
    <s v="150 N Hill Dr"/>
    <s v="Brisbane"/>
    <s v="CA"/>
    <n v="3.93"/>
    <n v="1983"/>
    <n v="30000"/>
    <n v="73996"/>
    <n v="0.4054273203956971"/>
    <m/>
    <s v=" "/>
    <m/>
    <s v=" "/>
    <m/>
    <m/>
    <m/>
    <s v=" "/>
    <s v=" "/>
    <m/>
    <m/>
    <m/>
    <n v="49800000"/>
    <n v="673.0093518568572"/>
    <s v=" "/>
    <m/>
    <d v="2022-09-01T00:00:00"/>
    <x v="158"/>
    <m/>
    <x v="112"/>
    <s v="NY"/>
    <s v="Institutional"/>
    <m/>
    <m/>
    <m/>
    <s v=" "/>
    <s v=" "/>
    <m/>
    <s v=" "/>
    <s v=" "/>
    <s v=" "/>
    <m/>
    <s v=" "/>
  </r>
  <r>
    <s v="LKS00402"/>
    <s v="USDA"/>
    <s v="Federal"/>
    <s v="Fee Simple"/>
    <s v="3705 Miller Pkwy"/>
    <s v="Manhattan"/>
    <s v="KS"/>
    <m/>
    <n v="2006"/>
    <n v="12262"/>
    <n v="12262"/>
    <n v="1"/>
    <n v="381268.09"/>
    <n v="31.09346680802479"/>
    <n v="213309"/>
    <n v="17.39593867232099"/>
    <d v="2022-10-11T00:00:00"/>
    <d v="2042-10-10T00:00:00"/>
    <d v="2042-10-10T00:00:00"/>
    <n v="20.12054794520548"/>
    <n v="20.12054794520548"/>
    <s v="Modified Gross"/>
    <s v="None"/>
    <s v="None"/>
    <n v="3114000"/>
    <n v="253.955309084978"/>
    <n v="0.06850000000000001"/>
    <m/>
    <d v="2022-09-01T00:00:00"/>
    <x v="159"/>
    <s v="Colliers"/>
    <x v="1"/>
    <s v="IL"/>
    <s v="Private"/>
    <m/>
    <m/>
    <m/>
    <s v=" "/>
    <s v=" "/>
    <m/>
    <s v=" "/>
    <s v=" "/>
    <s v=" "/>
    <m/>
    <s v=" "/>
  </r>
  <r>
    <s v="LCA01213"/>
    <s v="SSA"/>
    <s v="Federal"/>
    <s v="Fee Simple"/>
    <s v="900 S Garfield Ave"/>
    <s v="Alhambra"/>
    <s v="CA"/>
    <n v="0.57"/>
    <n v="1922"/>
    <n v="8800"/>
    <n v="10977"/>
    <n v="0.801676232121709"/>
    <n v="246400"/>
    <n v="28"/>
    <n v="484000"/>
    <n v="44.092192766694"/>
    <d v="2020-04-17T00:00:00"/>
    <d v="2024-04-17T00:00:00"/>
    <d v="2022-04-17T00:00:00"/>
    <n v="1.63013698630137"/>
    <n v="-0.3726027397260274"/>
    <s v="Modified Gross"/>
    <s v="None"/>
    <s v="None"/>
    <n v="4850000"/>
    <n v="441.8329233852601"/>
    <n v="0.09979381443298969"/>
    <m/>
    <d v="2022-08-31T00:00:00"/>
    <x v="160"/>
    <s v="Raymond Ho"/>
    <x v="113"/>
    <s v="CA"/>
    <s v="Private"/>
    <s v="Maggie Qi"/>
    <m/>
    <n v="5000000"/>
    <n v="0.0968"/>
    <n v="0.97"/>
    <n v="5000000"/>
    <n v="0.0968"/>
    <n v="0.002993814432989697"/>
    <s v="No"/>
    <d v="2021-05-24T00:00:00"/>
    <n v="464"/>
  </r>
  <r>
    <m/>
    <s v="Multi"/>
    <s v="State"/>
    <s v="Fee Simple"/>
    <s v="1521 - 1621 Oxbow Drive &amp; 3410 Williams Dr"/>
    <s v="Montrose"/>
    <s v="CO"/>
    <n v="5.18"/>
    <n v="2006"/>
    <n v="5000"/>
    <n v="92330"/>
    <n v="0.05415357955160836"/>
    <m/>
    <s v=" "/>
    <n v="698949.2999999999"/>
    <n v="7.570121304018195"/>
    <m/>
    <d v="2025-07-31T00:00:00"/>
    <m/>
    <n v="2.917808219178082"/>
    <s v=" "/>
    <s v="Full Service"/>
    <s v="None"/>
    <s v="None"/>
    <n v="10479000"/>
    <n v="113.4950720242608"/>
    <n v="0.0667"/>
    <m/>
    <d v="2022-08-31T00:00:00"/>
    <x v="161"/>
    <s v="SJC; Butler"/>
    <x v="114"/>
    <s v="CA"/>
    <s v="Private"/>
    <m/>
    <m/>
    <m/>
    <s v=" "/>
    <s v=" "/>
    <m/>
    <s v=" "/>
    <s v=" "/>
    <s v=" "/>
    <m/>
    <s v=" "/>
  </r>
  <r>
    <m/>
    <s v="FL Coastal School of Law"/>
    <s v="State"/>
    <s v="Fee Simple"/>
    <s v="8787 Baypine Rd"/>
    <s v="Jacksonville"/>
    <s v="FL"/>
    <n v="9.99"/>
    <n v="1980"/>
    <n v="46200"/>
    <n v="231021"/>
    <n v="0.1999818198345605"/>
    <m/>
    <s v=" "/>
    <m/>
    <s v=" "/>
    <d v="2011-02-01T00:00:00"/>
    <d v="2030-12-31T00:00:00"/>
    <d v="2030-12-31T00:00:00"/>
    <n v="8.345205479452055"/>
    <n v="8.345205479452055"/>
    <s v="NNN"/>
    <s v="2% annually"/>
    <s v="4, 5 yr"/>
    <n v="13500000"/>
    <n v="58.43624605555339"/>
    <s v=" "/>
    <m/>
    <d v="2022-08-29T00:00:00"/>
    <x v="162"/>
    <s v="JLL; McEwan"/>
    <x v="1"/>
    <s v="IL"/>
    <s v="Private"/>
    <m/>
    <m/>
    <m/>
    <s v=" "/>
    <s v=" "/>
    <m/>
    <s v=" "/>
    <s v=" "/>
    <s v=" "/>
    <m/>
    <s v=" "/>
  </r>
  <r>
    <m/>
    <s v="County Health Services"/>
    <s v="State"/>
    <s v="Fee Simple"/>
    <s v="9320-9328 Telstar Ave"/>
    <s v="El Monte"/>
    <s v="CA"/>
    <n v="7.95"/>
    <n v="1975"/>
    <n v="248961"/>
    <n v="248961"/>
    <n v="1"/>
    <m/>
    <s v=" "/>
    <n v="4927500"/>
    <n v="19.79225661850651"/>
    <m/>
    <d v="2029-09-30T00:00:00"/>
    <d v="2029-09-30T00:00:00"/>
    <n v="7.101369863013699"/>
    <n v="7.101369863013699"/>
    <s v="Full Service"/>
    <s v="2% annually"/>
    <s v="None"/>
    <n v="73000000"/>
    <n v="293.2186165704668"/>
    <n v="0.0675"/>
    <m/>
    <d v="2022-08-26T00:00:00"/>
    <x v="163"/>
    <s v="CBRE; Pike"/>
    <x v="115"/>
    <s v="CA"/>
    <s v="Private"/>
    <m/>
    <m/>
    <m/>
    <s v=" "/>
    <s v=" "/>
    <m/>
    <s v=" "/>
    <s v=" "/>
    <s v=" "/>
    <m/>
    <s v=" "/>
  </r>
  <r>
    <m/>
    <s v="USPS"/>
    <s v="Federal"/>
    <s v="Fee Simple"/>
    <s v="20655 Commerce Way"/>
    <s v="Burney"/>
    <s v="CA"/>
    <n v="0.73"/>
    <n v="1995"/>
    <n v="9733"/>
    <n v="9733"/>
    <n v="1"/>
    <n v="147500"/>
    <n v="15.15462858317066"/>
    <n v="130932"/>
    <n v="13.45237850611322"/>
    <m/>
    <d v="2025-03-31T00:00:00"/>
    <d v="2025-03-31T00:00:00"/>
    <n v="2.602739726027397"/>
    <n v="2.602739726027397"/>
    <s v="Rider"/>
    <s v="None"/>
    <s v="None"/>
    <n v="2075000"/>
    <n v="213.1922326107058"/>
    <n v="0.06309975903614458"/>
    <m/>
    <d v="2022-08-24T00:00:00"/>
    <x v="164"/>
    <s v="Matthews"/>
    <x v="66"/>
    <s v="CA"/>
    <s v="Private"/>
    <m/>
    <m/>
    <m/>
    <s v=" "/>
    <s v=" "/>
    <m/>
    <s v=" "/>
    <s v=" "/>
    <s v=" "/>
    <m/>
    <s v=" "/>
  </r>
  <r>
    <s v="LIA00232"/>
    <s v="AOC"/>
    <s v="Federal"/>
    <s v="Fee Simple"/>
    <s v="2146 27th Ave"/>
    <s v="Council Bluffs"/>
    <s v="IA"/>
    <n v="5.49"/>
    <n v="2021"/>
    <n v="28900"/>
    <n v="28900"/>
    <n v="1"/>
    <n v="1272797"/>
    <n v="44.04141868512111"/>
    <n v="872502"/>
    <n v="30.19038062283737"/>
    <d v="2021-12-07T00:00:00"/>
    <d v="2041-12-06T00:00:00"/>
    <d v="2041-12-06T00:00:00"/>
    <n v="19.2986301369863"/>
    <n v="19.2986301369863"/>
    <s v="Modified Gross"/>
    <s v="Drops in Options"/>
    <s v="2, 5 yr"/>
    <n v="15000000"/>
    <n v="519.0311418685121"/>
    <n v="0.0581668"/>
    <m/>
    <d v="2022-08-24T00:00:00"/>
    <x v="165"/>
    <s v="C&amp;W; Trautvetter"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5580 Thomaston Rd"/>
    <s v="Macon"/>
    <s v="GA"/>
    <n v="2.82"/>
    <n v="2018"/>
    <n v="30832"/>
    <n v="30832"/>
    <n v="1"/>
    <n v="856163"/>
    <n v="27.76864945511157"/>
    <n v="622568"/>
    <n v="20.19226777374157"/>
    <d v="2017-06-01T00:00:00"/>
    <d v="2027-05-31T00:00:00"/>
    <d v="2022-05-31T00:00:00"/>
    <n v="4.76986301369863"/>
    <n v="-0.2328767123287671"/>
    <s v="Modified Gross"/>
    <s v="None"/>
    <s v="None"/>
    <n v="8850000"/>
    <n v="287.0394395433316"/>
    <n v="0.07034666666666667"/>
    <m/>
    <d v="2022-08-24T00:00:00"/>
    <x v="166"/>
    <s v="Colliers; Ficke"/>
    <x v="116"/>
    <s v="KY"/>
    <s v="Private"/>
    <s v="M&amp;M; Pfieffer"/>
    <m/>
    <m/>
    <s v=" "/>
    <s v=" "/>
    <m/>
    <s v=" "/>
    <s v=" "/>
    <s v=" "/>
    <m/>
    <s v=" "/>
  </r>
  <r>
    <s v="LNJ00606"/>
    <s v="SSA/County"/>
    <s v="State &amp; Federal"/>
    <s v="Fee Simple"/>
    <s v="2475 McClellan Blvd"/>
    <s v="Pennsauken"/>
    <s v="NJ"/>
    <n v="5.8"/>
    <n v="2008"/>
    <n v="15693"/>
    <n v="50740"/>
    <n v="0.3092826172644856"/>
    <m/>
    <s v=" "/>
    <n v="776250"/>
    <n v="15.2985810011825"/>
    <d v="2020-08-01T00:00:00"/>
    <d v="2035-07-31T00:00:00"/>
    <d v="2033-08-01T00:00:00"/>
    <n v="12.94520547945205"/>
    <n v="10.94794520547945"/>
    <s v="Modified Gross"/>
    <s v="None"/>
    <s v="None"/>
    <n v="9800000"/>
    <n v="193.1415057154119"/>
    <n v="0.07920918367346939"/>
    <m/>
    <d v="2022-08-23T00:00:00"/>
    <x v="167"/>
    <s v="CBRE; Kranzel"/>
    <x v="117"/>
    <s v="PA"/>
    <s v="Private"/>
    <m/>
    <m/>
    <m/>
    <s v=" "/>
    <s v=" "/>
    <m/>
    <s v=" "/>
    <s v=" "/>
    <s v=" "/>
    <m/>
    <s v=" "/>
  </r>
  <r>
    <m/>
    <s v="EMS"/>
    <s v="State"/>
    <s v="Fee Simple"/>
    <s v="7111 Five Forks Dr"/>
    <s v="Spring"/>
    <s v="TX"/>
    <n v="6.3"/>
    <n v="2008"/>
    <n v="32954"/>
    <n v="32954"/>
    <n v="1"/>
    <n v="415220"/>
    <n v="12.59998786186806"/>
    <n v="415220"/>
    <n v="12.59998786186806"/>
    <d v="2022-08-23T00:00:00"/>
    <d v="2032-08-22T00:00:00"/>
    <d v="2032-08-22T00:00:00"/>
    <n v="10.00547945205479"/>
    <n v="10.00547945205479"/>
    <s v="Full Service"/>
    <s v="2% annually"/>
    <s v="None"/>
    <m/>
    <s v=" "/>
    <s v=" "/>
    <m/>
    <d v="2022-08-23T00:00:00"/>
    <x v="168"/>
    <s v="CBRE; King"/>
    <x v="118"/>
    <s v="TX"/>
    <s v="Private"/>
    <m/>
    <m/>
    <n v="6920340"/>
    <n v="0.05999994219937171"/>
    <s v=" "/>
    <n v="6920340"/>
    <n v="0.05999994219937171"/>
    <s v=" "/>
    <s v="No"/>
    <d v="2022-02-22T00:00:00"/>
    <n v="182"/>
  </r>
  <r>
    <m/>
    <s v="VA"/>
    <s v="Federal"/>
    <s v="Fee Simple"/>
    <s v="500 Markaview Rd NW"/>
    <s v="Huntsville"/>
    <s v="AL"/>
    <m/>
    <n v="2013"/>
    <n v="55856"/>
    <n v="55856"/>
    <n v="1"/>
    <n v="2581716"/>
    <n v="46.22092523632197"/>
    <m/>
    <s v=" "/>
    <d v="2015-03-01T00:00:00"/>
    <d v="2035-02-28T00:00:00"/>
    <d v="2035-02-28T00:00:00"/>
    <n v="12.53698630136986"/>
    <n v="12.53698630136986"/>
    <s v="Modified Gross"/>
    <s v="Drops After 10"/>
    <s v="None"/>
    <n v="19717300"/>
    <n v="353.0023632197078"/>
    <s v=" "/>
    <n v="0.118077686419053"/>
    <d v="2022-08-19T00:00:00"/>
    <x v="169"/>
    <s v="CBRE"/>
    <x v="119"/>
    <s v="NH"/>
    <s v="Private"/>
    <m/>
    <m/>
    <m/>
    <s v=" "/>
    <s v=" "/>
    <m/>
    <s v=" "/>
    <s v=" "/>
    <s v=" "/>
    <m/>
    <s v=" "/>
  </r>
  <r>
    <m/>
    <s v="VA/SSA"/>
    <s v="Federal"/>
    <s v="Fee Simple"/>
    <s v="1260 Monroe Ave"/>
    <s v="New Philadelphia"/>
    <s v="OH"/>
    <n v="7.21"/>
    <n v="1973"/>
    <n v="20644"/>
    <n v="78743"/>
    <n v="0.2621693356869817"/>
    <m/>
    <s v=" "/>
    <n v="659120"/>
    <n v="8.370521824162148"/>
    <m/>
    <d v="2023-02-28T00:00:00"/>
    <d v="2018-02-28T00:00:00"/>
    <n v="0.5287671232876713"/>
    <n v="-4.473972602739726"/>
    <s v="Modified Gross"/>
    <s v="None"/>
    <s v="None"/>
    <n v="5600000"/>
    <n v="71.11743266068095"/>
    <n v="0.1177"/>
    <m/>
    <d v="2022-08-19T00:00:00"/>
    <x v="170"/>
    <s v="Dan Cooper"/>
    <x v="120"/>
    <s v="CA"/>
    <s v="Private"/>
    <m/>
    <m/>
    <m/>
    <s v=" "/>
    <s v=" "/>
    <m/>
    <s v=" "/>
    <s v=" "/>
    <s v=" "/>
    <m/>
    <s v=" "/>
  </r>
  <r>
    <m/>
    <s v="VA"/>
    <s v="Federal"/>
    <s v="Fee Simple"/>
    <s v="15 Kingslan Ct"/>
    <s v="Savannah"/>
    <s v="GA"/>
    <m/>
    <n v="2016"/>
    <n v="69000"/>
    <n v="69000"/>
    <n v="1"/>
    <n v="2237920"/>
    <n v="32.4336231884058"/>
    <m/>
    <s v=" "/>
    <d v="2016-07-01T00:00:00"/>
    <d v="2036-06-30T00:00:00"/>
    <d v="2036-06-30T00:00:00"/>
    <n v="13.87397260273973"/>
    <n v="13.87397260273973"/>
    <m/>
    <s v="Drops After 10"/>
    <s v="None"/>
    <n v="23906230"/>
    <n v="346.4671014492754"/>
    <s v=" "/>
    <n v="0.1224636116067236"/>
    <d v="2022-08-19T00:00:00"/>
    <x v="169"/>
    <s v="CBRE"/>
    <x v="119"/>
    <s v="NH"/>
    <s v="Private"/>
    <m/>
    <m/>
    <m/>
    <s v=" "/>
    <s v=" "/>
    <m/>
    <s v=" "/>
    <s v=" "/>
    <s v=" "/>
    <m/>
    <s v=" "/>
  </r>
  <r>
    <m/>
    <s v="DHS"/>
    <s v="State"/>
    <s v="Fee Simple"/>
    <s v="201 Larry Holmes Dr"/>
    <s v="Easton"/>
    <s v="PA"/>
    <n v="0.76"/>
    <n v="2006"/>
    <n v="21800"/>
    <n v="21800"/>
    <n v="1"/>
    <m/>
    <s v=" "/>
    <n v="273000"/>
    <n v="12.52293577981651"/>
    <d v="2006-06-01T00:00:00"/>
    <d v="2031-06-01T00:00:00"/>
    <d v="2031-06-01T00:00:00"/>
    <n v="8.813698630136987"/>
    <n v="8.813698630136987"/>
    <s v="Full Service"/>
    <s v="None"/>
    <s v="None"/>
    <n v="3900000"/>
    <n v="178.8990825688073"/>
    <n v="0.07000000000000001"/>
    <m/>
    <d v="2022-08-10T00:00:00"/>
    <x v="171"/>
    <s v="Kevin Flynn"/>
    <x v="121"/>
    <s v="PA"/>
    <s v="Private"/>
    <s v="Veraxia; Jrousis"/>
    <m/>
    <n v="4200000"/>
    <n v="0.065"/>
    <n v="0.9285714285714286"/>
    <n v="4200000"/>
    <n v="0.065"/>
    <n v="0.005000000000000004"/>
    <s v="No"/>
    <d v="2021-09-15T00:00:00"/>
    <n v="329"/>
  </r>
  <r>
    <m/>
    <s v="USPS"/>
    <s v="Federal"/>
    <s v="Fee Simple"/>
    <s v="15 Pennsylvania Ave"/>
    <s v="York Haven"/>
    <s v="PA"/>
    <n v="0.13"/>
    <n v="1959"/>
    <n v="1735"/>
    <n v="1735"/>
    <n v="1"/>
    <m/>
    <s v=" "/>
    <m/>
    <s v=" "/>
    <m/>
    <m/>
    <m/>
    <s v=" "/>
    <s v=" "/>
    <m/>
    <m/>
    <m/>
    <n v="310000"/>
    <n v="178.6743515850144"/>
    <s v=" "/>
    <m/>
    <d v="2022-08-10T00:00:00"/>
    <x v="8"/>
    <m/>
    <x v="66"/>
    <s v="CA"/>
    <s v="Private"/>
    <m/>
    <m/>
    <m/>
    <s v=" "/>
    <s v=" "/>
    <m/>
    <s v=" "/>
    <s v=" "/>
    <s v=" "/>
    <m/>
    <s v=" "/>
  </r>
  <r>
    <m/>
    <s v="DOT"/>
    <s v="State"/>
    <s v="Ground Lease"/>
    <s v="7511 Burbage Dr"/>
    <s v="Suffolk"/>
    <s v="VA"/>
    <n v="11.96"/>
    <n v="2009"/>
    <n v="97318"/>
    <n v="97318"/>
    <n v="1"/>
    <m/>
    <s v=" "/>
    <m/>
    <s v=" "/>
    <m/>
    <m/>
    <m/>
    <s v=" "/>
    <s v=" "/>
    <m/>
    <m/>
    <m/>
    <n v="5000000"/>
    <n v="51.37795680141392"/>
    <s v=" "/>
    <m/>
    <d v="2022-08-09T00:00:00"/>
    <x v="172"/>
    <m/>
    <x v="1"/>
    <s v="IL"/>
    <s v="Private"/>
    <m/>
    <m/>
    <m/>
    <s v=" "/>
    <s v=" "/>
    <m/>
    <s v=" "/>
    <s v=" "/>
    <s v=" "/>
    <m/>
    <s v=" "/>
  </r>
  <r>
    <s v="LNV02746"/>
    <m/>
    <s v="Federal"/>
    <s v="Fee Simple"/>
    <s v="7080 La Cienega St"/>
    <s v="Las Vegas"/>
    <s v="NV"/>
    <n v="1.34"/>
    <n v="2003"/>
    <n v="3160"/>
    <n v="12000"/>
    <n v="0.2633333333333333"/>
    <n v="89517.99000000001"/>
    <n v="28.32847784810127"/>
    <n v="182700"/>
    <n v="15.225"/>
    <d v="2013-05-15T00:00:00"/>
    <d v="2023-05-14T00:00:00"/>
    <d v="2018-05-14T00:00:00"/>
    <n v="0.7726027397260274"/>
    <n v="-4.23013698630137"/>
    <s v="Modified Gross"/>
    <s v="None"/>
    <s v="None"/>
    <n v="2500000"/>
    <n v="208.3333333333333"/>
    <n v="0.07308000000000001"/>
    <m/>
    <d v="2022-08-05T00:00:00"/>
    <x v="173"/>
    <s v="JA Kennedy"/>
    <x v="122"/>
    <s v="CA"/>
    <s v="Private"/>
    <m/>
    <m/>
    <n v="2500000"/>
    <n v="0.07308000000000001"/>
    <n v="1"/>
    <n v="2500000"/>
    <n v="0.07308000000000001"/>
    <n v="0"/>
    <s v="No"/>
    <d v="2022-05-02T00:00:00"/>
    <n v="95"/>
  </r>
  <r>
    <s v="LAL60055"/>
    <s v="ACOE"/>
    <s v="Federal"/>
    <s v="Fee Simple"/>
    <s v="4820 University Sq"/>
    <s v="Huntsville"/>
    <s v="AL"/>
    <n v="5.95"/>
    <n v="2005"/>
    <n v="135746"/>
    <n v="135746"/>
    <n v="1"/>
    <n v="2708542.24"/>
    <n v="19.95301695814241"/>
    <m/>
    <s v=" "/>
    <d v="2014-10-07T00:00:00"/>
    <d v="2024-10-06T00:00:00"/>
    <d v="2022-10-06T00:00:00"/>
    <n v="2.175342465753425"/>
    <n v="0.1726027397260274"/>
    <s v="Modified Gross"/>
    <s v="None"/>
    <s v="None"/>
    <n v="10800000"/>
    <n v="79.56035536958731"/>
    <s v=" "/>
    <m/>
    <d v="2022-08-04T00:00:00"/>
    <x v="174"/>
    <s v="JDI Realty"/>
    <x v="123"/>
    <s v="NY"/>
    <s v="Private"/>
    <m/>
    <m/>
    <m/>
    <s v=" "/>
    <s v=" "/>
    <m/>
    <s v=" "/>
    <s v=" "/>
    <s v=" "/>
    <m/>
    <s v=" "/>
  </r>
  <r>
    <s v="LCA02650"/>
    <s v="USDA"/>
    <s v="Federal"/>
    <s v="Fee Simple"/>
    <s v="200 W 8th St"/>
    <s v="Alturas"/>
    <s v="CA"/>
    <n v="3.4"/>
    <n v="2012"/>
    <n v="25427"/>
    <n v="25427"/>
    <n v="1"/>
    <n v="620109.58"/>
    <n v="24.3878389113934"/>
    <n v="453817"/>
    <n v="17.8478389113934"/>
    <d v="2013-08-01T00:00:00"/>
    <d v="2028-07-31T00:00:00"/>
    <d v="2023-07-31T00:00:00"/>
    <n v="5.997260273972603"/>
    <n v="0.9917808219178083"/>
    <s v="Modified Gross"/>
    <s v="None"/>
    <s v="None"/>
    <n v="6800000"/>
    <n v="267.432257049593"/>
    <n v="0.06673779411764706"/>
    <m/>
    <d v="2022-08-03T00:00:00"/>
    <x v="175"/>
    <s v="Bull; Neal"/>
    <x v="1"/>
    <s v="IL"/>
    <s v="Private"/>
    <m/>
    <m/>
    <m/>
    <s v=" "/>
    <s v=" "/>
    <m/>
    <s v=" "/>
    <s v=" "/>
    <s v=" "/>
    <m/>
    <s v=" "/>
  </r>
  <r>
    <m/>
    <s v="NARA"/>
    <s v="Federal"/>
    <s v="Fee Simple"/>
    <s v="23123 Cajalco Rd"/>
    <s v="Perris"/>
    <s v="CA"/>
    <n v="12.96"/>
    <n v="2004"/>
    <n v="183194"/>
    <n v="183194"/>
    <n v="1"/>
    <m/>
    <s v=" "/>
    <m/>
    <s v=" "/>
    <d v="2004-07-01T00:00:00"/>
    <d v="2024-06-30T00:00:00"/>
    <d v="2019-06-30T00:00:00"/>
    <n v="1.90958904109589"/>
    <n v="-3.095890410958904"/>
    <s v="Modified Gross"/>
    <s v="None"/>
    <s v="None"/>
    <n v="16478000"/>
    <n v="89.94836075417317"/>
    <s v=" "/>
    <m/>
    <d v="2022-08-03T00:00:00"/>
    <x v="176"/>
    <m/>
    <x v="1"/>
    <s v="IL"/>
    <s v="Private"/>
    <m/>
    <m/>
    <m/>
    <s v=" "/>
    <s v=" "/>
    <m/>
    <s v=" "/>
    <s v=" "/>
    <s v=" "/>
    <m/>
    <s v=" "/>
  </r>
  <r>
    <m/>
    <s v="UofA MS"/>
    <s v="State"/>
    <s v="Fee Simple"/>
    <s v="1301 Wolfe St"/>
    <s v="Little Rock"/>
    <s v="AR"/>
    <n v="1.71"/>
    <n v="1920"/>
    <n v="30565"/>
    <n v="30565"/>
    <n v="1"/>
    <m/>
    <s v=" "/>
    <n v="305549.28"/>
    <n v="9.996704727629643"/>
    <m/>
    <d v="2025-05-31T00:00:00"/>
    <m/>
    <n v="2.832876712328767"/>
    <s v=" "/>
    <s v="Full Service"/>
    <s v="3% annually"/>
    <s v="None"/>
    <m/>
    <s v=" "/>
    <s v=" "/>
    <m/>
    <d v="2022-08-01T00:00:00"/>
    <x v="177"/>
    <s v="Flake and Kelly"/>
    <x v="62"/>
    <s v="IL"/>
    <s v="Private"/>
    <m/>
    <m/>
    <n v="4200000"/>
    <n v="0.07274982857142857"/>
    <s v=" "/>
    <n v="3950000"/>
    <n v="0.07735424810126583"/>
    <s v=" "/>
    <s v="Yes"/>
    <m/>
    <s v=" "/>
  </r>
  <r>
    <s v="LOH17948"/>
    <s v="SSA"/>
    <s v="Federal"/>
    <s v="Fee Simple"/>
    <s v="2345 Gateway Dr"/>
    <s v="Wooster"/>
    <s v="OH"/>
    <n v="1.22"/>
    <n v="1998"/>
    <n v="6769"/>
    <n v="9770"/>
    <n v="0.692835209825998"/>
    <n v="207190.44"/>
    <n v="30.60872211552667"/>
    <n v="136046"/>
    <n v="13.92487205731832"/>
    <d v="2023-05-01T00:00:00"/>
    <d v="2028-05-26T00:00:00"/>
    <d v="2026-05-31T00:00:00"/>
    <n v="5.821917808219178"/>
    <n v="3.832876712328767"/>
    <s v="Modified Gross"/>
    <s v="None"/>
    <s v="None"/>
    <n v="1656000"/>
    <n v="169.4984646878198"/>
    <n v="0.08215338164251208"/>
    <m/>
    <d v="2022-08-01T00:00:00"/>
    <x v="178"/>
    <s v="BW; Wells"/>
    <x v="124"/>
    <s v="CA"/>
    <s v="Private"/>
    <m/>
    <m/>
    <n v="1814000"/>
    <n v="0.07499779492833517"/>
    <n v="0.9128996692392503"/>
    <n v="1814000"/>
    <n v="0.07499779492833517"/>
    <n v="0.007155586714176917"/>
    <s v="No"/>
    <m/>
    <s v=" "/>
  </r>
  <r>
    <m/>
    <s v="Multi"/>
    <s v="State"/>
    <s v="Fee Simple"/>
    <s v="3160 W Elder St"/>
    <s v="Boise"/>
    <s v="ID"/>
    <n v="6.74"/>
    <n v="1984"/>
    <n v="62000"/>
    <n v="76000"/>
    <n v="0.8157894736842105"/>
    <m/>
    <s v=" "/>
    <n v="300000"/>
    <n v="3.947368421052631"/>
    <m/>
    <d v="2024-06-30T00:00:00"/>
    <m/>
    <n v="1.923287671232877"/>
    <s v=" "/>
    <s v="Full Service"/>
    <s v="Annually"/>
    <s v="None"/>
    <n v="5000000"/>
    <n v="65.78947368421052"/>
    <n v="0.06"/>
    <m/>
    <d v="2022-07-29T00:00:00"/>
    <x v="179"/>
    <s v="Colliers; Manglos"/>
    <x v="125"/>
    <s v="ID"/>
    <s v="Private"/>
    <m/>
    <m/>
    <n v="5000000"/>
    <n v="0.06"/>
    <n v="1"/>
    <n v="5000000"/>
    <n v="0.06"/>
    <n v="0"/>
    <s v="No"/>
    <d v="2022-03-24T00:00:00"/>
    <n v="127"/>
  </r>
  <r>
    <m/>
    <s v="Dep't of Econ Security"/>
    <s v="Federal"/>
    <s v="Fee Simple"/>
    <s v="8800 N 22nd Ave"/>
    <s v="Phoenix"/>
    <s v="AZ"/>
    <n v="3.23"/>
    <n v="2013"/>
    <n v="38238"/>
    <n v="38238"/>
    <n v="1"/>
    <m/>
    <s v=" "/>
    <n v="344400"/>
    <n v="9.00674721481249"/>
    <m/>
    <m/>
    <m/>
    <s v=" "/>
    <s v=" "/>
    <m/>
    <m/>
    <m/>
    <n v="4300000"/>
    <n v="112.4535802081699"/>
    <n v="0.08009302325581395"/>
    <m/>
    <d v="2022-07-29T00:00:00"/>
    <x v="180"/>
    <s v="CBRE; Turbow"/>
    <x v="126"/>
    <s v="AZ"/>
    <s v="User/Owner"/>
    <m/>
    <m/>
    <m/>
    <s v=" "/>
    <s v=" "/>
    <m/>
    <s v=" "/>
    <s v=" "/>
    <s v=" "/>
    <m/>
    <s v=" "/>
  </r>
  <r>
    <m/>
    <s v="Multi"/>
    <s v="State"/>
    <s v="Fee Simple"/>
    <m/>
    <s v="Portfolio of Four"/>
    <m/>
    <m/>
    <m/>
    <m/>
    <n v="686953"/>
    <s v=" "/>
    <m/>
    <s v=" "/>
    <n v="5265000"/>
    <n v="7.664279797890103"/>
    <m/>
    <m/>
    <m/>
    <s v=" "/>
    <s v=" "/>
    <m/>
    <m/>
    <m/>
    <n v="69000000"/>
    <n v="100.4435529068219"/>
    <n v="0.07630434782608696"/>
    <m/>
    <d v="2022-07-29T00:00:00"/>
    <x v="181"/>
    <s v="C&amp;W;"/>
    <x v="127"/>
    <s v="TX"/>
    <s v="Private"/>
    <m/>
    <m/>
    <m/>
    <s v=" "/>
    <s v=" "/>
    <m/>
    <s v=" "/>
    <s v=" "/>
    <s v=" "/>
    <m/>
    <s v=" "/>
  </r>
  <r>
    <s v="LCT04500"/>
    <s v="SSA/County"/>
    <s v="Federal &amp; State"/>
    <s v="Fee Simple"/>
    <s v="430 State St"/>
    <s v="Bridgeport"/>
    <s v="CT"/>
    <n v="1.11"/>
    <n v="1970"/>
    <n v="12758"/>
    <n v="30000"/>
    <n v="0.4252666666666667"/>
    <n v="460588.81"/>
    <n v="36.10196033861106"/>
    <m/>
    <s v=" "/>
    <d v="2017-04-24T00:00:00"/>
    <d v="2027-04-23T00:00:00"/>
    <d v="2024-04-24T00:00:00"/>
    <n v="4.739726027397261"/>
    <n v="1.742465753424657"/>
    <s v="Modified Gross"/>
    <s v="None"/>
    <s v="None"/>
    <n v="2500000"/>
    <n v="83.33333333333333"/>
    <s v=" "/>
    <m/>
    <d v="2022-07-28T00:00:00"/>
    <x v="182"/>
    <s v="Scott Peterson"/>
    <x v="128"/>
    <s v="FL"/>
    <s v="Private"/>
    <m/>
    <m/>
    <m/>
    <s v=" "/>
    <s v=" "/>
    <m/>
    <s v=" "/>
    <s v=" "/>
    <s v=" "/>
    <d v="2021-07-16T00:00:00"/>
    <n v="377"/>
  </r>
  <r>
    <s v="LKY62350"/>
    <s v="SSA"/>
    <s v="Federal"/>
    <s v="Fee Simple"/>
    <s v="103 Belinda Blvd"/>
    <s v="Danville"/>
    <s v="KY"/>
    <n v="2.7"/>
    <n v="2004"/>
    <n v="8089"/>
    <n v="8089"/>
    <n v="1"/>
    <n v="203575.01"/>
    <n v="25.16689454815181"/>
    <m/>
    <s v=" "/>
    <d v="2014-08-01T00:00:00"/>
    <d v="2024-07-31T00:00:00"/>
    <d v="2019-07-31T00:00:00"/>
    <n v="2.010958904109589"/>
    <n v="-2.994520547945205"/>
    <s v="Modified Gross"/>
    <s v="None"/>
    <s v="None"/>
    <m/>
    <s v=" "/>
    <s v=" "/>
    <m/>
    <d v="2022-07-28T00:00:00"/>
    <x v="183"/>
    <m/>
    <x v="129"/>
    <s v="KY"/>
    <s v="Private"/>
    <m/>
    <m/>
    <m/>
    <s v=" "/>
    <s v=" "/>
    <m/>
    <s v=" "/>
    <s v=" "/>
    <s v=" "/>
    <m/>
    <s v=" "/>
  </r>
  <r>
    <m/>
    <s v="USPS"/>
    <s v="Federal"/>
    <s v="Fee Simple"/>
    <s v="6500 N Lincoln Ave"/>
    <s v="Lincolnwood"/>
    <s v="IL"/>
    <n v="2.61"/>
    <n v="1988"/>
    <n v="26115"/>
    <n v="63446"/>
    <n v="0.4116098729628345"/>
    <m/>
    <s v=" "/>
    <n v="386000"/>
    <n v="6.083913879519591"/>
    <m/>
    <m/>
    <m/>
    <s v=" "/>
    <s v=" "/>
    <m/>
    <m/>
    <m/>
    <n v="4200000"/>
    <n v="66.19802666834789"/>
    <n v="0.09190476190476191"/>
    <m/>
    <d v="2022-07-28T00:00:00"/>
    <x v="184"/>
    <s v="Imperial; Smith"/>
    <x v="130"/>
    <s v="NY"/>
    <s v="Private"/>
    <m/>
    <m/>
    <m/>
    <s v=" "/>
    <s v=" "/>
    <m/>
    <s v=" "/>
    <s v=" "/>
    <s v=" "/>
    <m/>
    <s v=" "/>
  </r>
  <r>
    <s v="LKY61583"/>
    <s v="SSA"/>
    <s v="Federal"/>
    <s v="Fee Simple"/>
    <s v="4532 Lucky Stripe Loop"/>
    <s v="Owensboro"/>
    <s v="KY"/>
    <n v="1.578"/>
    <n v="2006"/>
    <n v="9747"/>
    <n v="9747"/>
    <n v="1"/>
    <n v="188804.33"/>
    <n v="19.37050682261209"/>
    <m/>
    <s v=" "/>
    <d v="2018-02-25T00:00:00"/>
    <d v="2028-02-24T00:00:00"/>
    <d v="2023-02-24T00:00:00"/>
    <n v="5.580821917808219"/>
    <n v="0.5780821917808219"/>
    <s v="Modified Gross"/>
    <s v="None"/>
    <s v="None"/>
    <n v="1650000"/>
    <n v="169.2828562634657"/>
    <s v=" "/>
    <m/>
    <d v="2022-07-28T00:00:00"/>
    <x v="183"/>
    <m/>
    <x v="129"/>
    <s v="KY"/>
    <s v="Private"/>
    <m/>
    <m/>
    <m/>
    <s v=" "/>
    <s v=" "/>
    <m/>
    <s v=" "/>
    <s v=" "/>
    <s v=" "/>
    <m/>
    <s v=" "/>
  </r>
  <r>
    <s v="LVA00081"/>
    <s v="SSA"/>
    <s v="Federal"/>
    <s v="Fee Simple"/>
    <s v="22581 Center Pky"/>
    <s v="ierr"/>
    <s v="VA"/>
    <n v="1.07"/>
    <n v="1999"/>
    <n v="5155"/>
    <n v="5155"/>
    <n v="1"/>
    <n v="95200"/>
    <n v="18.46750727449079"/>
    <n v="83131"/>
    <n v="16.1262851600388"/>
    <d v="2017-08-05T00:00:00"/>
    <d v="2027-08-04T00:00:00"/>
    <d v="2027-08-04T00:00:00"/>
    <n v="5.024657534246575"/>
    <n v="5.024657534246575"/>
    <s v="Modified Gross"/>
    <s v="None"/>
    <s v="None"/>
    <n v="1230000"/>
    <n v="238.6032977691562"/>
    <n v="0.06758617886178862"/>
    <m/>
    <d v="2022-07-27T00:00:00"/>
    <x v="185"/>
    <s v="Harvey; Allen"/>
    <x v="131"/>
    <s v="VA"/>
    <s v="Private"/>
    <m/>
    <m/>
    <n v="1280000"/>
    <n v="0.06494609375"/>
    <n v="0.9609375"/>
    <n v="1280000"/>
    <n v="0.06494609375"/>
    <n v="0.00264008511178862"/>
    <s v="No"/>
    <d v="2022-04-28T00:00:00"/>
    <n v="90"/>
  </r>
  <r>
    <m/>
    <s v="AO"/>
    <s v="State"/>
    <s v="Fee Simple"/>
    <s v="539 Fulton Dr"/>
    <s v="McConnellsburg"/>
    <s v="PA"/>
    <n v="1.18"/>
    <n v="2008"/>
    <n v="5031"/>
    <n v="5031"/>
    <n v="1"/>
    <m/>
    <s v=" "/>
    <n v="78248"/>
    <n v="15.55317034386802"/>
    <d v="2010-07-14T00:00:00"/>
    <d v="2023-07-14T00:00:00"/>
    <m/>
    <n v="0.9698630136986301"/>
    <s v=" "/>
    <m/>
    <s v="Yes"/>
    <s v="1, 5yr"/>
    <n v="840000"/>
    <n v="166.9648181276088"/>
    <n v="0.09315238095238096"/>
    <m/>
    <d v="2022-07-25T00:00:00"/>
    <x v="8"/>
    <s v="William Shearer"/>
    <x v="0"/>
    <m/>
    <m/>
    <m/>
    <m/>
    <n v="975000"/>
    <n v="0.08025435897435898"/>
    <n v="0.8615384615384616"/>
    <n v="975000"/>
    <n v="0.08025435897435898"/>
    <n v="0.01289802197802198"/>
    <s v="No"/>
    <d v="2022-02-21T00:00:00"/>
    <n v="154"/>
  </r>
  <r>
    <m/>
    <s v="USPS"/>
    <s v="Federal"/>
    <s v="Fee Simple"/>
    <s v="3512 Business Center Dr"/>
    <s v="Chesapeake"/>
    <s v="VA"/>
    <n v="9.720000000000001"/>
    <n v="1998"/>
    <n v="70000"/>
    <n v="70000"/>
    <n v="1"/>
    <m/>
    <s v=" "/>
    <m/>
    <s v=" "/>
    <d v="2017-02-01T00:00:00"/>
    <d v="2027-01-31T00:00:00"/>
    <d v="2027-01-31T00:00:00"/>
    <n v="4.534246575342466"/>
    <n v="4.534246575342466"/>
    <s v="Rider"/>
    <s v="Options"/>
    <s v="2, 5 year"/>
    <n v="13590000"/>
    <n v="194.1428571428571"/>
    <s v=" "/>
    <m/>
    <d v="2022-07-21T00:00:00"/>
    <x v="28"/>
    <s v="Colliers; Blunt"/>
    <x v="132"/>
    <s v="IL"/>
    <s v="Institutional"/>
    <m/>
    <m/>
    <m/>
    <s v=" "/>
    <s v=" "/>
    <m/>
    <s v=" "/>
    <s v=" "/>
    <s v=" "/>
    <m/>
    <s v=" "/>
  </r>
  <r>
    <m/>
    <s v="Tompkins Chamber of Commerce"/>
    <s v="Municipal"/>
    <s v="Fee Simple"/>
    <s v="904 E Shore Dr"/>
    <s v="Ithaca"/>
    <s v="NY"/>
    <n v="1.13"/>
    <n v="1988"/>
    <n v="6508"/>
    <n v="6508"/>
    <n v="1"/>
    <m/>
    <s v=" "/>
    <n v="101500"/>
    <n v="15.59618930547019"/>
    <m/>
    <m/>
    <m/>
    <s v=" "/>
    <s v=" "/>
    <m/>
    <m/>
    <m/>
    <n v="1450000"/>
    <n v="222.8027043638599"/>
    <n v="0.07000000000000001"/>
    <m/>
    <d v="2022-07-20T00:00:00"/>
    <x v="186"/>
    <s v="Laura Fiore"/>
    <x v="133"/>
    <s v="NY"/>
    <s v="Private"/>
    <m/>
    <m/>
    <m/>
    <s v=" "/>
    <s v=" "/>
    <m/>
    <s v=" "/>
    <s v=" "/>
    <s v=" "/>
    <m/>
    <s v=" "/>
  </r>
  <r>
    <s v="LIL19380"/>
    <s v="SSA"/>
    <s v="Federal"/>
    <s v="Fee Simple"/>
    <s v="4 E Linden St"/>
    <s v="Freeport"/>
    <s v="IL"/>
    <n v="0.83"/>
    <n v="2004"/>
    <n v="3550"/>
    <n v="3550"/>
    <n v="1"/>
    <n v="78342.5"/>
    <n v="22.06830985915493"/>
    <m/>
    <s v=" "/>
    <d v="2016-12-10T00:00:00"/>
    <d v="2021-12-09T00:00:00"/>
    <d v="2019-12-11T00:00:00"/>
    <n v="-0.6082191780821918"/>
    <n v="-2.605479452054794"/>
    <s v="Modified Gross"/>
    <s v="None"/>
    <s v="None"/>
    <n v="480000"/>
    <n v="135.2112676056338"/>
    <s v=" "/>
    <m/>
    <d v="2022-07-19T00:00:00"/>
    <x v="187"/>
    <m/>
    <x v="134"/>
    <s v="MS"/>
    <s v="Private"/>
    <m/>
    <m/>
    <m/>
    <s v=" "/>
    <s v=" "/>
    <m/>
    <s v=" "/>
    <s v=" "/>
    <s v=" "/>
    <m/>
    <s v=" "/>
  </r>
  <r>
    <m/>
    <s v="DOR"/>
    <s v="State"/>
    <s v="Condominium"/>
    <s v="630 N Chelan Ave"/>
    <s v="Wenatchee"/>
    <s v="WA"/>
    <n v="0.12"/>
    <n v="1984"/>
    <m/>
    <n v="3579"/>
    <s v=" "/>
    <n v="68001"/>
    <s v=" "/>
    <n v="54644"/>
    <n v="15.26795194188321"/>
    <d v="2021-07-01T00:00:00"/>
    <d v="2026-06-30T00:00:00"/>
    <d v="2026-06-30T00:00:00"/>
    <n v="3.950684931506849"/>
    <n v="3.950684931506849"/>
    <s v="Full Service"/>
    <s v="None"/>
    <s v="1, 5yr"/>
    <m/>
    <s v=" "/>
    <s v=" "/>
    <m/>
    <d v="2022-07-19T00:00:00"/>
    <x v="188"/>
    <s v="CPX; Gellner"/>
    <x v="135"/>
    <m/>
    <s v="Private"/>
    <m/>
    <m/>
    <n v="827933"/>
    <n v="0.06600050970307984"/>
    <s v=" "/>
    <n v="827933"/>
    <n v="0.06600050970307984"/>
    <s v=" "/>
    <s v="No"/>
    <d v="2022-05-05T00:00:00"/>
    <n v="75"/>
  </r>
  <r>
    <m/>
    <s v="State Police"/>
    <s v="State"/>
    <s v="Fee Simple"/>
    <s v="2101 Directors Row"/>
    <s v="Indianapolis"/>
    <s v="IN"/>
    <n v="1.87"/>
    <n v="1981"/>
    <n v="13648"/>
    <n v="13648"/>
    <n v="1"/>
    <n v="85226"/>
    <n v="6.24457796014068"/>
    <n v="85226"/>
    <n v="6.24457796014068"/>
    <m/>
    <m/>
    <m/>
    <s v=" "/>
    <s v=" "/>
    <s v="NNN"/>
    <m/>
    <m/>
    <n v="950000"/>
    <n v="69.60726846424384"/>
    <n v="0.08971157894736842"/>
    <m/>
    <d v="2022-07-15T00:00:00"/>
    <x v="189"/>
    <s v="Bradley Co; Dick"/>
    <x v="0"/>
    <m/>
    <m/>
    <m/>
    <m/>
    <n v="1100000"/>
    <n v="0.07747818181818182"/>
    <n v="0.8636363636363636"/>
    <n v="1100000"/>
    <n v="0.07747818181818182"/>
    <n v="0.0122333971291866"/>
    <s v="No"/>
    <d v="2022-04-20T00:00:00"/>
    <n v="86"/>
  </r>
  <r>
    <m/>
    <s v="VA"/>
    <s v="Federal"/>
    <s v="Fee Simple"/>
    <s v="6910 River Rd"/>
    <s v="Columbus"/>
    <s v="GA"/>
    <n v="13.7"/>
    <n v="2022"/>
    <n v="67793"/>
    <n v="67793"/>
    <n v="1"/>
    <n v="2887003"/>
    <n v="42.58556193117283"/>
    <n v="1815607.5"/>
    <n v="26.78163674715679"/>
    <d v="2022-04-01T00:00:00"/>
    <d v="2042-03-31T00:00:00"/>
    <d v="2042-03-31T00:00:00"/>
    <n v="19.72602739726027"/>
    <n v="19.72602739726027"/>
    <s v="Modified Gross"/>
    <s v="None"/>
    <s v="None"/>
    <n v="34583000"/>
    <n v="510.1264142315578"/>
    <n v="0.0525"/>
    <m/>
    <d v="2022-07-14T00:00:00"/>
    <x v="44"/>
    <s v="Newmark; Carr"/>
    <x v="3"/>
    <s v="DC"/>
    <s v="REIT"/>
    <m/>
    <m/>
    <m/>
    <s v=" "/>
    <s v=" "/>
    <m/>
    <s v=" "/>
    <s v=" "/>
    <s v=" "/>
    <m/>
    <s v=" "/>
  </r>
  <r>
    <s v="LNM00294"/>
    <m/>
    <s v="Federal"/>
    <s v="Fee Simple"/>
    <s v="506 S Main St"/>
    <s v="Las Cruces"/>
    <s v="NM"/>
    <n v="3.5"/>
    <n v="1966"/>
    <n v="21128"/>
    <n v="87279"/>
    <n v="0.2420742675786844"/>
    <n v="532324.61"/>
    <n v="25.19522008708822"/>
    <m/>
    <s v=" "/>
    <d v="2021-10-01T00:00:00"/>
    <d v="2036-09-30T00:00:00"/>
    <d v="2031-09-30T00:00:00"/>
    <n v="14.22465753424657"/>
    <n v="9.219178082191782"/>
    <s v="Modified Gross"/>
    <s v="None"/>
    <s v="None"/>
    <n v="8900000"/>
    <n v="101.9718374408506"/>
    <s v=" "/>
    <m/>
    <d v="2022-07-14T00:00:00"/>
    <x v="190"/>
    <m/>
    <x v="136"/>
    <s v="NM"/>
    <s v="User"/>
    <m/>
    <m/>
    <m/>
    <s v=" "/>
    <s v=" "/>
    <m/>
    <s v=" "/>
    <s v=" "/>
    <s v=" "/>
    <m/>
    <s v=" "/>
  </r>
  <r>
    <m/>
    <s v="Multi"/>
    <s v="State"/>
    <s v="Fee Simple"/>
    <s v="703 Jersey Ave"/>
    <s v="New Brunswick"/>
    <s v="NJ"/>
    <n v="5.77"/>
    <n v="1980"/>
    <n v="41000"/>
    <n v="41000"/>
    <n v="1"/>
    <m/>
    <s v=" "/>
    <m/>
    <s v=" "/>
    <m/>
    <m/>
    <m/>
    <s v=" "/>
    <s v=" "/>
    <m/>
    <m/>
    <m/>
    <n v="9625000"/>
    <n v="234.7560975609756"/>
    <s v=" "/>
    <m/>
    <d v="2022-07-14T00:00:00"/>
    <x v="191"/>
    <s v="NAI; Hansen"/>
    <x v="137"/>
    <m/>
    <s v="Cross-Border"/>
    <m/>
    <m/>
    <m/>
    <s v=" "/>
    <s v=" "/>
    <m/>
    <s v=" "/>
    <s v=" "/>
    <s v=" "/>
    <m/>
    <s v=" "/>
  </r>
  <r>
    <m/>
    <s v="VA"/>
    <s v="Federal"/>
    <s v="Fee Simple"/>
    <s v="1970 Riverside Pky"/>
    <s v="Lawrenceville"/>
    <s v="GA"/>
    <n v="3.14"/>
    <n v="1995"/>
    <n v="9790"/>
    <n v="16010"/>
    <n v="0.6114928169893816"/>
    <m/>
    <s v=" "/>
    <n v="280313"/>
    <n v="17.50861961274204"/>
    <d v="2018-03-01T00:00:00"/>
    <d v="2028-02-28T00:00:00"/>
    <d v="2023-02-28T00:00:00"/>
    <n v="5.638356164383562"/>
    <n v="0.6356164383561644"/>
    <s v="Full Service"/>
    <s v="None"/>
    <s v="None"/>
    <n v="4520775"/>
    <n v="282.3719550281074"/>
    <n v="0.06200551896522167"/>
    <m/>
    <d v="2022-07-11T00:00:00"/>
    <x v="192"/>
    <s v="Lavista; Ryan"/>
    <x v="138"/>
    <s v="MA"/>
    <s v="Private"/>
    <m/>
    <m/>
    <m/>
    <s v=" "/>
    <s v=" "/>
    <m/>
    <s v=" "/>
    <s v=" "/>
    <s v=" "/>
    <m/>
    <s v=" "/>
  </r>
  <r>
    <m/>
    <s v="SSA"/>
    <s v="Federal"/>
    <s v="Fee Simple"/>
    <s v="2450 Lake Shore Dr"/>
    <s v="Woodstock"/>
    <s v="IL"/>
    <n v="0.83"/>
    <n v="2005"/>
    <n v="6800"/>
    <n v="6800"/>
    <n v="1"/>
    <m/>
    <s v=" "/>
    <n v="69588"/>
    <n v="10.23352941176471"/>
    <d v="2016-02-01T00:00:00"/>
    <d v="2026-01-31T00:00:00"/>
    <d v="2021-01-31T00:00:00"/>
    <n v="3.56986301369863"/>
    <n v="-1.432876712328767"/>
    <s v="Modified Gross"/>
    <s v="None"/>
    <s v="None"/>
    <n v="966500"/>
    <n v="142.1323529411765"/>
    <n v="0.07199999999999999"/>
    <m/>
    <d v="2022-07-08T00:00:00"/>
    <x v="193"/>
    <m/>
    <x v="134"/>
    <s v="MS"/>
    <s v="Private"/>
    <m/>
    <m/>
    <m/>
    <s v=" "/>
    <s v=" "/>
    <m/>
    <s v=" "/>
    <s v=" "/>
    <s v=" "/>
    <m/>
    <s v=" "/>
  </r>
  <r>
    <s v="LIN19382"/>
    <s v="SSA"/>
    <s v="Federal"/>
    <s v="Fee Simple"/>
    <s v="1240 S Grandstaff Dr"/>
    <s v="Auburn"/>
    <s v="IN"/>
    <n v="2.22"/>
    <n v="1996"/>
    <n v="6233"/>
    <n v="6233"/>
    <n v="1"/>
    <n v="149952.98"/>
    <n v="24.05791432696936"/>
    <n v="107822"/>
    <n v="17.29857211615595"/>
    <d v="2021-12-01T00:00:00"/>
    <d v="2031-11-30T00:00:00"/>
    <d v="2026-11-30T00:00:00"/>
    <n v="9.405479452054795"/>
    <n v="4.402739726027397"/>
    <s v="Modified Gross"/>
    <s v="TI Drops $48k in Soft"/>
    <s v="None"/>
    <m/>
    <s v=" "/>
    <s v=" "/>
    <m/>
    <d v="2022-07-07T00:00:00"/>
    <x v="194"/>
    <s v="Colliers; Ficke"/>
    <x v="139"/>
    <s v="IN"/>
    <s v="Private"/>
    <m/>
    <m/>
    <n v="1100000"/>
    <n v="0.09802"/>
    <s v=" "/>
    <n v="1100000"/>
    <n v="0.09802"/>
    <s v=" "/>
    <s v="No"/>
    <d v="2022-06-08T00:00:00"/>
    <n v="29"/>
  </r>
  <r>
    <s v="LAR17232"/>
    <s v="SSA"/>
    <s v="Federal"/>
    <s v="Fee Simple"/>
    <s v="3608 E Kiehl Ave"/>
    <s v="Sherwood"/>
    <s v="AR"/>
    <n v="1.34"/>
    <n v="2002"/>
    <n v="10483"/>
    <n v="10483"/>
    <n v="1"/>
    <n v="316108.39"/>
    <n v="30.15438233330154"/>
    <m/>
    <s v=" "/>
    <d v="2016-07-06T00:00:00"/>
    <d v="2026-07-05T00:00:00"/>
    <d v="2021-07-06T00:00:00"/>
    <n v="3.997260273972603"/>
    <n v="-1.002739726027397"/>
    <s v="Modified Gross"/>
    <s v="None"/>
    <s v="None"/>
    <n v="2125000"/>
    <n v="202.7091481446151"/>
    <s v=" "/>
    <m/>
    <d v="2022-07-07T00:00:00"/>
    <x v="195"/>
    <s v="M&amp;M; Ford"/>
    <x v="140"/>
    <s v="CO"/>
    <s v="Private"/>
    <s v="Brian Smith"/>
    <m/>
    <m/>
    <s v=" "/>
    <s v=" "/>
    <m/>
    <s v=" "/>
    <s v=" "/>
    <s v=" "/>
    <m/>
    <s v=" "/>
  </r>
  <r>
    <m/>
    <s v="COCDETFSF"/>
    <s v="Municipal"/>
    <s v="Fee Simple"/>
    <s v="4781 Hinckley Industrial Pky"/>
    <s v="Cleveland"/>
    <s v="OH"/>
    <n v="6.13"/>
    <n v="2021"/>
    <n v="47000"/>
    <n v="47000"/>
    <n v="1"/>
    <m/>
    <s v=" "/>
    <m/>
    <s v=" "/>
    <m/>
    <m/>
    <m/>
    <s v=" "/>
    <s v=" "/>
    <m/>
    <m/>
    <m/>
    <n v="21000000"/>
    <n v="446.8085106382979"/>
    <s v=" "/>
    <m/>
    <d v="2022-07-06T00:00:00"/>
    <x v="196"/>
    <m/>
    <x v="1"/>
    <s v="IL"/>
    <s v="Private"/>
    <m/>
    <m/>
    <m/>
    <s v=" "/>
    <s v=" "/>
    <m/>
    <s v=" "/>
    <s v=" "/>
    <s v=" "/>
    <m/>
    <s v=" "/>
  </r>
  <r>
    <m/>
    <s v="SIGTARP"/>
    <s v="Federal"/>
    <s v="Fee Simple"/>
    <s v="1801 L St NW"/>
    <s v="Washington"/>
    <s v="DC"/>
    <n v="0.5600000000000001"/>
    <n v="1988"/>
    <n v="134131"/>
    <n v="199846"/>
    <n v="0.6711718022877616"/>
    <n v="5565155"/>
    <n v="41.49044590735922"/>
    <n v="3464125"/>
    <n v="17.33397215856209"/>
    <d v="2019-08-01T00:00:00"/>
    <d v="2029-08-30T00:00:00"/>
    <d v="2029-08-30T00:00:00"/>
    <n v="7.156164383561644"/>
    <n v="7.156164383561644"/>
    <s v="Modified Gross"/>
    <s v="None"/>
    <s v="None"/>
    <n v="64750000"/>
    <n v="323.9994795992915"/>
    <n v="0.0535"/>
    <m/>
    <d v="2022-07-06T00:00:00"/>
    <x v="197"/>
    <s v="C&amp;W; Collins"/>
    <x v="141"/>
    <s v="DC"/>
    <s v="Private"/>
    <m/>
    <m/>
    <m/>
    <s v=" "/>
    <s v=" "/>
    <m/>
    <s v=" "/>
    <s v=" "/>
    <s v=" "/>
    <d v="2022-02-24T00:00:00"/>
    <n v="132"/>
  </r>
  <r>
    <m/>
    <s v="DCF"/>
    <s v="State"/>
    <s v="Fee Simple"/>
    <s v="328 Cambridge St"/>
    <s v="Burlington"/>
    <s v="MA"/>
    <n v="3.53"/>
    <n v="2020"/>
    <n v="21000"/>
    <n v="21000"/>
    <n v="1"/>
    <m/>
    <m/>
    <n v="926640"/>
    <n v="44.12571428571429"/>
    <d v="2020-09-14T00:00:00"/>
    <d v="2030-09-30T00:00:00"/>
    <d v="2030-08-31T00:00:00"/>
    <n v="8.243835616438357"/>
    <n v="8.161643835616438"/>
    <s v="Full Service"/>
    <s v="2% at year 6"/>
    <s v="None"/>
    <n v="15400000"/>
    <n v="733.3333333333334"/>
    <n v="0.06017142857142857"/>
    <m/>
    <d v="2022-07-05T00:00:00"/>
    <x v="198"/>
    <m/>
    <x v="142"/>
    <s v="MA"/>
    <s v="Private"/>
    <m/>
    <m/>
    <m/>
    <s v=" "/>
    <s v=" "/>
    <m/>
    <s v=" "/>
    <s v=" "/>
    <s v=" "/>
    <m/>
    <s v=" "/>
  </r>
  <r>
    <m/>
    <s v="DCS"/>
    <s v="State"/>
    <s v="Fee Simple"/>
    <s v="4160 N Keystone Ave"/>
    <s v="Indianapolis"/>
    <s v="IN"/>
    <n v="12.14"/>
    <n v="1975"/>
    <n v="60000"/>
    <n v="60000"/>
    <n v="1"/>
    <n v="720000"/>
    <n v="12"/>
    <n v="447000"/>
    <n v="7.45"/>
    <d v="2019-09-01T00:00:00"/>
    <d v="2029-08-31T00:00:00"/>
    <d v="2022-08-31T00:00:00"/>
    <n v="7.172602739726027"/>
    <n v="0.1671232876712329"/>
    <s v="Modified Gross"/>
    <s v="None"/>
    <s v="None"/>
    <m/>
    <s v=" "/>
    <s v=" "/>
    <m/>
    <d v="2022-07-01T00:00:00"/>
    <x v="20"/>
    <s v="Colliers; Ficke"/>
    <x v="0"/>
    <m/>
    <m/>
    <m/>
    <m/>
    <n v="5551000"/>
    <n v="0.08052603134570348"/>
    <s v=" "/>
    <n v="5551000"/>
    <n v="0.08052603134570348"/>
    <s v=" "/>
    <s v="No"/>
    <d v="2022-02-18T00:00:00"/>
    <n v="133"/>
  </r>
  <r>
    <s v="LGA01560"/>
    <s v="CBP/Count"/>
    <s v="Federal &amp; State"/>
    <s v="Fee Simple"/>
    <s v="700 Gloucester St"/>
    <s v="Brunswick"/>
    <s v="GA"/>
    <m/>
    <n v="1984"/>
    <n v="8429"/>
    <n v="25680"/>
    <n v="0.3282320872274143"/>
    <n v="437700"/>
    <n v="51.92786807450469"/>
    <n v="322561"/>
    <n v="12.56078660436137"/>
    <d v="2022-07-10T00:00:00"/>
    <d v="2032-07-09T00:00:00"/>
    <d v="2030-07-09T00:00:00"/>
    <n v="10.03287671232877"/>
    <n v="8.03013698630137"/>
    <s v="Modified Gross"/>
    <s v="None"/>
    <s v="None"/>
    <n v="3350000"/>
    <n v="130.4517133956386"/>
    <n v="0.0962868656716418"/>
    <m/>
    <d v="2022-06-30T00:00:00"/>
    <x v="199"/>
    <s v="Newmark; Watson"/>
    <x v="143"/>
    <s v="GA"/>
    <s v="Private"/>
    <m/>
    <m/>
    <n v="3450000"/>
    <n v="0.09349594202898551"/>
    <n v="0.9710144927536232"/>
    <n v="3450000"/>
    <n v="0.09349594202898551"/>
    <n v="0.00279092364265629"/>
    <s v="No"/>
    <d v="2021-08-19T00:00:00"/>
    <n v="315"/>
  </r>
  <r>
    <m/>
    <s v="Tennessee Board of Regents"/>
    <s v="State"/>
    <s v="Fee Simple"/>
    <s v="1 Bridgestone Pk"/>
    <s v="Nashville"/>
    <s v="TN"/>
    <n v="7.26"/>
    <n v="1988"/>
    <n v="46008"/>
    <n v="63195"/>
    <n v="0.728032281034892"/>
    <n v="1195000"/>
    <n v="25.97374369674839"/>
    <n v="875700"/>
    <n v="13.85710894849276"/>
    <m/>
    <d v="2031-05-30T00:00:00"/>
    <d v="2031-05-30T00:00:00"/>
    <n v="8.920547945205479"/>
    <n v="8.920547945205479"/>
    <s v="Full Service"/>
    <s v="None"/>
    <s v="None"/>
    <n v="15500000"/>
    <n v="245.2725690323602"/>
    <n v="0.05649677419354839"/>
    <m/>
    <d v="2022-06-30T00:00:00"/>
    <x v="200"/>
    <s v="C&amp;W; Muller"/>
    <x v="1"/>
    <s v="IL"/>
    <s v="Private"/>
    <m/>
    <m/>
    <m/>
    <s v=" "/>
    <s v=" "/>
    <m/>
    <s v=" "/>
    <s v=" "/>
    <s v=" "/>
    <m/>
    <s v=" "/>
  </r>
  <r>
    <m/>
    <s v="Community College"/>
    <s v="State"/>
    <s v="Fee Simple"/>
    <s v="2121 Miller Dr"/>
    <s v="Longmont"/>
    <s v="CO"/>
    <n v="7.79"/>
    <n v="1988"/>
    <n v="117106"/>
    <n v="117106"/>
    <n v="1"/>
    <m/>
    <s v=" "/>
    <n v="1293600"/>
    <n v="11.04640240465903"/>
    <m/>
    <d v="2028-10-30T00:00:00"/>
    <d v="2028-10-30T00:00:00"/>
    <n v="6.345205479452055"/>
    <n v="6.345205479452055"/>
    <m/>
    <m/>
    <m/>
    <n v="20950000"/>
    <n v="178.8977507557256"/>
    <n v="0.06174701670644391"/>
    <m/>
    <d v="2022-06-28T00:00:00"/>
    <x v="20"/>
    <s v="Newmark"/>
    <x v="144"/>
    <s v="CT"/>
    <s v="Private"/>
    <m/>
    <m/>
    <n v="25000000"/>
    <n v="0.051744"/>
    <n v="0.838"/>
    <n v="25000000"/>
    <n v="0.051744"/>
    <n v="0.01000301670644391"/>
    <s v="No"/>
    <d v="2022-03-23T00:00:00"/>
    <n v="97"/>
  </r>
  <r>
    <m/>
    <s v="SSA"/>
    <s v="Federal"/>
    <s v="Fee Simple"/>
    <s v="10 Malcolm X Blvd"/>
    <s v="Boston"/>
    <s v="MA"/>
    <n v="1.66"/>
    <n v="1914"/>
    <n v="11520"/>
    <n v="34695"/>
    <n v="0.3320363164721141"/>
    <m/>
    <s v=" "/>
    <m/>
    <s v=" "/>
    <d v="2010-12-01T00:00:00"/>
    <d v="2025-11-30T00:00:00"/>
    <d v="2017-11-30T00:00:00"/>
    <n v="3.43013698630137"/>
    <n v="-4.575342465753424"/>
    <s v="Modified Gross"/>
    <s v="None"/>
    <s v="None"/>
    <n v="13500000"/>
    <n v="389.1050583657587"/>
    <s v=" "/>
    <m/>
    <d v="2022-06-27T00:00:00"/>
    <x v="201"/>
    <s v="Jacob; Houllahan"/>
    <x v="145"/>
    <s v="MA"/>
    <s v="Private"/>
    <m/>
    <m/>
    <m/>
    <s v=" "/>
    <s v=" "/>
    <m/>
    <s v=" "/>
    <s v=" "/>
    <s v=" "/>
    <m/>
    <s v=" "/>
  </r>
  <r>
    <s v="LCO14710"/>
    <s v="SSA"/>
    <s v="Federal"/>
    <s v="Fee Simple"/>
    <s v="1805 Pavilion Dr"/>
    <s v="Montrose"/>
    <s v="CO"/>
    <n v="0.5600000000000001"/>
    <n v="2002"/>
    <n v="4362"/>
    <n v="4362"/>
    <n v="1"/>
    <n v="142484"/>
    <n v="32.66483264557542"/>
    <n v="81002"/>
    <n v="18.56992205410362"/>
    <d v="2015-05-14T00:00:00"/>
    <d v="2030-05-13T00:00:00"/>
    <d v="2022-05-14T00:00:00"/>
    <n v="7.882191780821918"/>
    <n v="-0.1205479452054795"/>
    <s v="Modified Gross"/>
    <s v="None"/>
    <s v="None"/>
    <n v="1227303"/>
    <n v="281.3624484181568"/>
    <n v="0.06600000162958944"/>
    <m/>
    <d v="2022-06-27T00:00:00"/>
    <x v="202"/>
    <s v="SJC: Briggs"/>
    <x v="146"/>
    <s v="AK"/>
    <s v="Private"/>
    <s v="Pacific Tower; Rowley"/>
    <s v="SDA, Inc."/>
    <n v="1246183"/>
    <n v="0.06500008425728805"/>
    <n v="0.9848497371573838"/>
    <n v="1246183"/>
    <n v="0.06500008425728805"/>
    <n v="0.0009999173723013871"/>
    <s v="No"/>
    <d v="2022-01-15T00:00:00"/>
    <n v="163"/>
  </r>
  <r>
    <m/>
    <s v="Raytheon"/>
    <s v="Contractor"/>
    <s v="Fee Simple"/>
    <s v="2599 Empire Dr"/>
    <s v="Winston-Salem"/>
    <s v="NC"/>
    <m/>
    <n v="1987"/>
    <n v="90499"/>
    <n v="90499"/>
    <n v="1"/>
    <n v="489795"/>
    <n v="5.412159250378457"/>
    <n v="489785"/>
    <n v="5.412048751919911"/>
    <m/>
    <d v="2028-12-28T00:00:00"/>
    <d v="2028-12-28T00:00:00"/>
    <n v="6.517808219178082"/>
    <n v="6.517808219178082"/>
    <s v="NNN"/>
    <s v="2% annually"/>
    <s v="2, 5 yr"/>
    <n v="11390500"/>
    <n v="125.8632692073946"/>
    <n v="0.04299942934901892"/>
    <m/>
    <d v="2022-06-24T00:00:00"/>
    <x v="203"/>
    <s v="SJC; Sladich"/>
    <x v="147"/>
    <s v="NY"/>
    <s v="Private"/>
    <s v="SJC; Hughes"/>
    <m/>
    <n v="11524585"/>
    <n v="0.04249914422081142"/>
    <n v="0.9883653077312545"/>
    <n v="11524585"/>
    <n v="0.04249914422081142"/>
    <n v="0.0005002851282074963"/>
    <s v="No"/>
    <m/>
    <s v=" "/>
  </r>
  <r>
    <m/>
    <s v="USPS"/>
    <s v="Federal"/>
    <s v="Fee Simple"/>
    <s v="110 E Green St"/>
    <s v="Roberts"/>
    <s v="IL"/>
    <m/>
    <n v="1959"/>
    <n v="968"/>
    <n v="968"/>
    <n v="1"/>
    <m/>
    <s v=" "/>
    <m/>
    <s v=" "/>
    <m/>
    <m/>
    <m/>
    <s v=" "/>
    <s v=" "/>
    <m/>
    <m/>
    <m/>
    <n v="120000"/>
    <n v="123.9669421487603"/>
    <s v=" "/>
    <m/>
    <d v="2022-06-23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Leasehold"/>
    <s v="420 Victory Park Dr"/>
    <s v="Lincoln"/>
    <s v="NE"/>
    <n v="7.85"/>
    <n v="2021"/>
    <n v="90000"/>
    <n v="90000"/>
    <n v="1"/>
    <m/>
    <s v=" "/>
    <n v="2550080"/>
    <n v="28.33422222222222"/>
    <d v="2021-11-30T00:00:00"/>
    <d v="2041-12-01T00:00:00"/>
    <d v="2041-12-01T00:00:00"/>
    <n v="19.45753424657534"/>
    <n v="19.45753424657534"/>
    <s v="Modified Gross"/>
    <s v="None"/>
    <s v="None"/>
    <n v="39845000"/>
    <n v="442.7222222222222"/>
    <n v="0.064"/>
    <m/>
    <d v="2022-06-22T00:00:00"/>
    <x v="204"/>
    <s v="Baden"/>
    <x v="148"/>
    <s v="NJ"/>
    <s v="Private"/>
    <m/>
    <m/>
    <m/>
    <s v=" "/>
    <s v=" "/>
    <m/>
    <s v=" "/>
    <s v=" "/>
    <s v=" "/>
    <m/>
    <s v=" "/>
  </r>
  <r>
    <m/>
    <s v="DOR"/>
    <s v="State"/>
    <s v="Fee Simple"/>
    <s v="2205 La Vista Ave"/>
    <s v="Pensacola"/>
    <s v="FL"/>
    <n v="5"/>
    <n v="1986"/>
    <n v="32529"/>
    <n v="32529"/>
    <n v="1"/>
    <m/>
    <s v=" "/>
    <n v="552500"/>
    <n v="16.9848442927849"/>
    <m/>
    <d v="2025-06-30T00:00:00"/>
    <d v="2025-06-30T00:00:00"/>
    <n v="3.027397260273973"/>
    <n v="3.027397260273973"/>
    <s v="Full Service"/>
    <s v="3% annually"/>
    <s v="None"/>
    <n v="5790000"/>
    <n v="177.9950198284608"/>
    <n v="0.09542314335060449"/>
    <m/>
    <d v="2022-06-21T00:00:00"/>
    <x v="20"/>
    <s v="NMRK; Gallas"/>
    <x v="0"/>
    <m/>
    <m/>
    <m/>
    <m/>
    <n v="6500000"/>
    <n v="0.08500000000000001"/>
    <n v="0.8907692307692308"/>
    <n v="6250000"/>
    <n v="0.08840000000000001"/>
    <n v="0.007023143350604485"/>
    <s v="Yes"/>
    <d v="2021-06-15T00:00:00"/>
    <n v="371"/>
  </r>
  <r>
    <m/>
    <s v="VA"/>
    <s v="Federal"/>
    <s v="Leasehold"/>
    <s v="711 S Mt. Auburn Rd"/>
    <s v="Cape Girardeau"/>
    <s v="MO"/>
    <m/>
    <n v="2021"/>
    <n v="55000"/>
    <n v="55000"/>
    <n v="1"/>
    <m/>
    <s v=" "/>
    <n v="1125954"/>
    <n v="20.47189090909091"/>
    <d v="2021-11-30T00:00:00"/>
    <d v="2041-12-01T00:00:00"/>
    <d v="2041-12-01T00:00:00"/>
    <n v="19.47123287671233"/>
    <n v="19.47123287671233"/>
    <s v="Modified Gross"/>
    <s v="None"/>
    <s v="None"/>
    <n v="20851000"/>
    <n v="379.1090909090909"/>
    <n v="0.054"/>
    <m/>
    <d v="2022-06-17T00:00:00"/>
    <x v="204"/>
    <s v="Baden"/>
    <x v="148"/>
    <s v="NJ"/>
    <s v="Private"/>
    <m/>
    <m/>
    <m/>
    <s v=" "/>
    <s v=" "/>
    <m/>
    <s v=" "/>
    <s v=" "/>
    <s v=" "/>
    <m/>
    <s v=" "/>
  </r>
  <r>
    <m/>
    <s v="SAIC"/>
    <s v="Contractor"/>
    <s v="Leasehold"/>
    <s v="5617 N Rhett Ave"/>
    <s v="North Charleston"/>
    <s v="SC"/>
    <n v="5.02"/>
    <n v="2008"/>
    <n v="64801"/>
    <n v="64801"/>
    <n v="1"/>
    <m/>
    <s v=" "/>
    <n v="1132300"/>
    <n v="17.47349577938612"/>
    <m/>
    <d v="2032-08-30T00:00:00"/>
    <d v="2032-08-30T00:00:00"/>
    <n v="10.21095890410959"/>
    <n v="10.21095890410959"/>
    <s v="NNN"/>
    <s v="2% annually"/>
    <s v="None"/>
    <n v="16900000"/>
    <n v="260.7984444684496"/>
    <n v="0.067"/>
    <m/>
    <d v="2022-06-17T00:00:00"/>
    <x v="205"/>
    <s v="M&amp;M; Paulson"/>
    <x v="149"/>
    <s v="CA"/>
    <s v="Private"/>
    <m/>
    <m/>
    <m/>
    <s v=" "/>
    <s v=" "/>
    <m/>
    <s v=" "/>
    <s v=" "/>
    <s v=" "/>
    <m/>
    <s v=" "/>
  </r>
  <r>
    <m/>
    <s v="DMV"/>
    <s v="State"/>
    <s v="Fee Simple"/>
    <s v="1001 Maple Bluff Rd"/>
    <s v="Stevens Point"/>
    <s v="WI"/>
    <n v="1.37"/>
    <n v="1995"/>
    <n v="13000"/>
    <n v="13000"/>
    <n v="1"/>
    <m/>
    <s v=" "/>
    <n v="159541"/>
    <n v="12.27238461538462"/>
    <m/>
    <m/>
    <m/>
    <s v=" "/>
    <s v=" "/>
    <m/>
    <m/>
    <m/>
    <n v="1620000"/>
    <n v="124.6153846153846"/>
    <n v="0.0984820987654321"/>
    <m/>
    <d v="2022-06-17T00:00:00"/>
    <x v="206"/>
    <s v="TJ Morice"/>
    <x v="150"/>
    <s v="WI"/>
    <s v="Private"/>
    <m/>
    <m/>
    <n v="1945617"/>
    <n v="0.08200020867416352"/>
    <n v="0.8326407509802803"/>
    <n v="1945617"/>
    <n v="0.08200020867416352"/>
    <n v="0.01648189009126858"/>
    <s v="No"/>
    <d v="2020-09-18T00:00:00"/>
    <n v="637"/>
  </r>
  <r>
    <m/>
    <s v="Multi"/>
    <s v="State"/>
    <s v="Fee Simple"/>
    <s v="1000-1100 San Leandro Blvd"/>
    <s v="San Leandro"/>
    <s v="CA"/>
    <n v="2.31"/>
    <m/>
    <n v="230458"/>
    <n v="230438"/>
    <n v="1.000086791241028"/>
    <m/>
    <s v=" "/>
    <m/>
    <s v=" "/>
    <m/>
    <m/>
    <m/>
    <s v=" "/>
    <s v=" "/>
    <m/>
    <m/>
    <m/>
    <n v="109600000"/>
    <n v="475.6160008331959"/>
    <s v=" "/>
    <m/>
    <d v="2022-06-16T00:00:00"/>
    <x v="207"/>
    <s v="C&amp;W; Venezia"/>
    <x v="1"/>
    <s v="IL"/>
    <s v="Private"/>
    <m/>
    <m/>
    <m/>
    <s v=" "/>
    <s v=" "/>
    <m/>
    <s v=" "/>
    <s v=" "/>
    <s v=" "/>
    <m/>
    <s v=" "/>
  </r>
  <r>
    <m/>
    <s v="VA/ECU"/>
    <s v="Federal &amp; State"/>
    <s v="Fee Simple"/>
    <s v="800 Moye Blvd"/>
    <s v="Greenville"/>
    <s v="NC"/>
    <n v="1.09"/>
    <n v="1995"/>
    <n v="6500"/>
    <n v="16200"/>
    <n v="0.4012345679012346"/>
    <m/>
    <s v=" "/>
    <n v="386820"/>
    <n v="23.87777777777778"/>
    <m/>
    <m/>
    <m/>
    <s v=" "/>
    <s v=" "/>
    <s v="Modified Gross"/>
    <s v="2% annually"/>
    <s v="None"/>
    <n v="6140000"/>
    <n v="379.0123456790124"/>
    <n v="0.063"/>
    <m/>
    <d v="2022-06-15T00:00:00"/>
    <x v="208"/>
    <s v="Overton"/>
    <x v="151"/>
    <s v="NY"/>
    <s v="Private"/>
    <m/>
    <m/>
    <m/>
    <s v=" "/>
    <s v=" "/>
    <m/>
    <s v=" "/>
    <s v=" "/>
    <s v=" "/>
    <m/>
    <s v=" "/>
  </r>
  <r>
    <s v="LMD12164"/>
    <m/>
    <s v="Federal"/>
    <s v="Fee Simple"/>
    <s v="950 Principio Furnace Rd"/>
    <s v="Perryville"/>
    <s v="MD"/>
    <n v="16"/>
    <n v="1986"/>
    <n v="23850"/>
    <n v="50000"/>
    <n v="0.477"/>
    <n v="299300.38"/>
    <n v="12.5492821802935"/>
    <m/>
    <s v=" "/>
    <d v="2014-12-08T00:00:00"/>
    <d v="2024-12-07T00:00:00"/>
    <d v="2019-12-08T00:00:00"/>
    <n v="2.482191780821918"/>
    <n v="-2.520547945205479"/>
    <s v="Modified Gross"/>
    <s v="None"/>
    <s v="None"/>
    <n v="6600000"/>
    <n v="132"/>
    <s v=" "/>
    <m/>
    <d v="2022-06-15T00:00:00"/>
    <x v="209"/>
    <s v="NAI; Wright"/>
    <x v="152"/>
    <s v="MA"/>
    <s v="Private"/>
    <s v="JLL; Dannenfelser"/>
    <m/>
    <n v="6800000"/>
    <s v=" "/>
    <n v="0.9705882352941176"/>
    <n v="6800000"/>
    <s v=" "/>
    <s v=" "/>
    <s v="No"/>
    <d v="2020-09-02T00:00:00"/>
    <n v="651"/>
  </r>
  <r>
    <m/>
    <s v="DHS"/>
    <s v="State"/>
    <s v="Fee Simple"/>
    <s v="3925 N Ashland Ave"/>
    <s v="Chicago"/>
    <s v="IL"/>
    <n v="0.07000000000000001"/>
    <n v="2004"/>
    <n v="8000"/>
    <n v="8000"/>
    <n v="1"/>
    <n v="47029"/>
    <n v="5.878625"/>
    <n v="36787"/>
    <n v="4.598375"/>
    <d v="2020-05-01T00:00:00"/>
    <d v="2025-04-30T00:00:00"/>
    <m/>
    <n v="2.89041095890411"/>
    <s v=" "/>
    <m/>
    <s v="2.5% annually"/>
    <s v="1, 5yr"/>
    <n v="550000"/>
    <n v="68.75"/>
    <n v="0.06688545454545454"/>
    <m/>
    <d v="2022-06-10T00:00:00"/>
    <x v="8"/>
    <s v="Randy Blankstein"/>
    <x v="0"/>
    <m/>
    <m/>
    <m/>
    <m/>
    <n v="650000"/>
    <n v="0.05659538461538462"/>
    <n v="0.8461538461538461"/>
    <n v="650000"/>
    <n v="0.05659538461538462"/>
    <n v="0.01029006993006992"/>
    <s v="No"/>
    <d v="2022-03-10T00:00:00"/>
    <n v="92"/>
  </r>
  <r>
    <m/>
    <s v="OR State Bar"/>
    <s v="State"/>
    <s v="Fee Simple"/>
    <s v="5200 SW Meadows Rd"/>
    <s v="Lake Oswego"/>
    <s v="OR"/>
    <n v="1.06"/>
    <n v="1986"/>
    <n v="28912"/>
    <n v="28912"/>
    <n v="1"/>
    <m/>
    <s v=" "/>
    <m/>
    <s v=" "/>
    <m/>
    <m/>
    <m/>
    <s v=" "/>
    <s v=" "/>
    <m/>
    <m/>
    <m/>
    <n v="11100000"/>
    <n v="383.923630326508"/>
    <s v=" "/>
    <m/>
    <d v="2022-06-10T00:00:00"/>
    <x v="210"/>
    <s v="Colliers"/>
    <x v="153"/>
    <s v="OR"/>
    <s v="Private"/>
    <m/>
    <m/>
    <m/>
    <s v=" "/>
    <s v=" "/>
    <m/>
    <s v=" "/>
    <s v=" "/>
    <s v=" "/>
    <m/>
    <s v=" "/>
  </r>
  <r>
    <s v="LMD12610"/>
    <s v="CDC"/>
    <s v="Federal"/>
    <s v="Fee Simple"/>
    <s v="3311 Toledo Rd"/>
    <s v="Hyattsville"/>
    <s v="MD"/>
    <n v="1.01"/>
    <n v="2002"/>
    <n v="104000"/>
    <n v="189410"/>
    <n v="0.5490734385724091"/>
    <n v="2607806.8"/>
    <n v="25.07506538461538"/>
    <n v="2983500"/>
    <n v="15.75154426904598"/>
    <d v="2016-11-01T00:00:00"/>
    <d v="2031-10-31T00:00:00"/>
    <d v="2031-10-31T00:00:00"/>
    <n v="9.405479452054795"/>
    <n v="9.405479452054795"/>
    <s v="Modified Gross"/>
    <s v="None"/>
    <s v="None"/>
    <n v="45000000"/>
    <n v="237.5798532284462"/>
    <n v="0.0663"/>
    <m/>
    <d v="2022-06-07T00:00:00"/>
    <x v="20"/>
    <s v="C&amp;W; Weinburg"/>
    <x v="2"/>
    <s v="VA"/>
    <s v="Private"/>
    <m/>
    <m/>
    <m/>
    <s v=" "/>
    <s v=" "/>
    <m/>
    <s v=" "/>
    <s v=" "/>
    <s v=" "/>
    <m/>
    <s v=" "/>
  </r>
  <r>
    <m/>
    <s v="USPS"/>
    <s v="Federal"/>
    <s v="Fee Simple"/>
    <s v="403 N Escondido Blvd"/>
    <s v="Escondido"/>
    <s v="CA"/>
    <n v="0.35"/>
    <n v="1991"/>
    <n v="8400"/>
    <n v="8400"/>
    <n v="1"/>
    <n v="216249"/>
    <n v="25.74392857142857"/>
    <n v="216249"/>
    <n v="25.74392857142857"/>
    <d v="2021-03-01T00:00:00"/>
    <d v="2027-02-28T00:00:00"/>
    <d v="2027-02-28T00:00:00"/>
    <n v="4.734246575342466"/>
    <n v="4.734246575342466"/>
    <s v="Rider"/>
    <s v="None"/>
    <s v="1, 5 yr"/>
    <n v="4300000"/>
    <n v="511.9047619047619"/>
    <n v="0.05029046511627907"/>
    <m/>
    <d v="2022-06-06T00:00:00"/>
    <x v="211"/>
    <s v="Daniel Weiss"/>
    <x v="154"/>
    <m/>
    <m/>
    <m/>
    <m/>
    <n v="4324975"/>
    <n v="0.05000005780380233"/>
    <n v="0.9942254001468217"/>
    <n v="4324975"/>
    <n v="0.05000005780380233"/>
    <n v="0.0002904073124767384"/>
    <s v="No"/>
    <d v="2020-12-08T00:00:00"/>
    <n v="545"/>
  </r>
  <r>
    <m/>
    <s v="SSA/IRS"/>
    <s v="Federal"/>
    <s v="Fee Simple"/>
    <s v="225 W Broadway"/>
    <s v="Glendale"/>
    <s v="CA"/>
    <n v="1.76"/>
    <n v="1981"/>
    <n v="47814"/>
    <n v="126509"/>
    <n v="0.3779493949047104"/>
    <m/>
    <s v=" "/>
    <n v="1904000"/>
    <n v="15.05031262597918"/>
    <m/>
    <m/>
    <m/>
    <s v=" "/>
    <s v=" "/>
    <m/>
    <m/>
    <m/>
    <n v="27500000"/>
    <n v="217.3758388731237"/>
    <n v="0.06923636363636364"/>
    <m/>
    <d v="2022-06-03T00:00:00"/>
    <x v="212"/>
    <s v="KM; Boyd"/>
    <x v="155"/>
    <s v="CA"/>
    <s v="Private"/>
    <m/>
    <m/>
    <m/>
    <s v=" "/>
    <s v=" "/>
    <m/>
    <s v=" "/>
    <s v=" "/>
    <s v=" "/>
    <m/>
    <s v=" "/>
  </r>
  <r>
    <s v="LLA17180"/>
    <s v="SSA"/>
    <s v="Federal"/>
    <s v="Fee Simple"/>
    <s v="4332 Harding Blvd"/>
    <s v="Baton Rouge"/>
    <s v="LA"/>
    <n v="0.95"/>
    <n v="1998"/>
    <n v="9279"/>
    <n v="9279"/>
    <n v="1"/>
    <n v="248398.37"/>
    <n v="26.76995042569243"/>
    <n v="146701"/>
    <n v="15.81000107770234"/>
    <d v="2017-10-04T00:00:00"/>
    <d v="2027-10-03T00:00:00"/>
    <d v="2027-10-03T00:00:00"/>
    <n v="5.33972602739726"/>
    <n v="5.33972602739726"/>
    <s v="Modified Gross"/>
    <s v="7.5% in year 6"/>
    <s v="1, 5 yr"/>
    <n v="1871144"/>
    <n v="201.6536264683694"/>
    <n v="0.0784017691850547"/>
    <m/>
    <d v="2022-06-02T00:00:00"/>
    <x v="213"/>
    <s v="M&amp;M; Roti"/>
    <x v="156"/>
    <s v="TX"/>
    <s v="Private"/>
    <m/>
    <m/>
    <n v="2020000"/>
    <n v="0.07262425742574258"/>
    <n v="0.9263089108910891"/>
    <n v="2020000"/>
    <n v="0.07262425742574258"/>
    <n v="0.005777511759312126"/>
    <s v="No"/>
    <d v="2021-12-28T00:00:00"/>
    <n v="156"/>
  </r>
  <r>
    <m/>
    <s v="DOC/DJJ"/>
    <s v="State"/>
    <s v="Fee Simple"/>
    <s v="506-508 Houston Ave NW"/>
    <s v="Live Oak"/>
    <s v="FL"/>
    <n v="1.5"/>
    <n v="1997"/>
    <n v="7851"/>
    <n v="7851"/>
    <n v="1"/>
    <n v="147495"/>
    <n v="18.78677875429882"/>
    <n v="100025"/>
    <n v="12.74041523372819"/>
    <d v="2017-06-23T00:00:00"/>
    <d v="2027-06-22T00:00:00"/>
    <d v="2017-07-23T00:00:00"/>
    <n v="5.06027397260274"/>
    <n v="-4.86027397260274"/>
    <s v="Modified Gross"/>
    <s v="None"/>
    <s v="None"/>
    <m/>
    <s v=" "/>
    <s v=" "/>
    <m/>
    <d v="2022-06-01T00:00:00"/>
    <x v="8"/>
    <s v="Colliers; Ficke"/>
    <x v="157"/>
    <s v="FL"/>
    <s v="Private"/>
    <m/>
    <m/>
    <n v="1334000"/>
    <n v="0.07498125937031484"/>
    <s v=" "/>
    <n v="1334000"/>
    <n v="0.07498125937031484"/>
    <s v=" "/>
    <s v="No"/>
    <d v="2022-03-17T00:00:00"/>
    <n v="76"/>
  </r>
  <r>
    <m/>
    <s v="BIA"/>
    <s v="Federal"/>
    <s v="Fee Simple"/>
    <s v="13922 Denver West Pkwy"/>
    <s v="Golden"/>
    <s v="CO"/>
    <n v="3.63"/>
    <n v="1981"/>
    <n v="39856"/>
    <n v="60158"/>
    <n v="0.662522025333289"/>
    <n v="1473871"/>
    <n v="36.97990264953834"/>
    <n v="1050000"/>
    <n v="17.45403770072143"/>
    <d v="2010-08-01T00:00:00"/>
    <d v="2030-07-31T00:00:00"/>
    <d v="2025-07-31T00:00:00"/>
    <n v="8.172602739726027"/>
    <n v="3.16986301369863"/>
    <s v="Modified Gross"/>
    <s v="None"/>
    <s v="None"/>
    <n v="17400000"/>
    <n v="289.2383390405266"/>
    <n v="0.0603448275862069"/>
    <m/>
    <d v="2022-05-31T00:00:00"/>
    <x v="214"/>
    <m/>
    <x v="1"/>
    <s v="IL"/>
    <s v="Private"/>
    <m/>
    <m/>
    <m/>
    <s v=" "/>
    <s v=" "/>
    <m/>
    <s v=" "/>
    <s v=" "/>
    <s v=" "/>
    <m/>
    <s v=" "/>
  </r>
  <r>
    <s v="LCO00816"/>
    <m/>
    <s v="Federal"/>
    <s v="Fee Simple"/>
    <s v="13922 Denver West Pky"/>
    <s v="Lakewood"/>
    <s v="CO"/>
    <n v="7.56"/>
    <n v="1981"/>
    <n v="63289"/>
    <n v="88850"/>
    <n v="0.7123128868880135"/>
    <n v="1691280"/>
    <n v="26.72312724170077"/>
    <m/>
    <s v=" "/>
    <d v="2021-12-01T00:00:00"/>
    <d v="2036-11-30T00:00:00"/>
    <d v="2031-12-01T00:00:00"/>
    <n v="14.51232876712329"/>
    <n v="9.509589041095891"/>
    <s v="Modified Gross"/>
    <s v="None"/>
    <s v="None"/>
    <n v="17400000"/>
    <n v="195.8356781091728"/>
    <s v=" "/>
    <m/>
    <d v="2022-05-31T00:00:00"/>
    <x v="215"/>
    <m/>
    <x v="1"/>
    <s v="IL"/>
    <s v="Private"/>
    <m/>
    <m/>
    <m/>
    <s v=" "/>
    <s v=" "/>
    <m/>
    <s v=" "/>
    <s v=" "/>
    <s v=" "/>
    <m/>
    <s v=" "/>
  </r>
  <r>
    <m/>
    <s v="SSA"/>
    <s v="Federal"/>
    <s v="Fee Simple"/>
    <s v="650 South 14th St"/>
    <s v="Safford"/>
    <s v="AZ"/>
    <n v="0.6899999999999999"/>
    <n v="2006"/>
    <n v="3271"/>
    <n v="3271"/>
    <n v="1"/>
    <n v="137382"/>
    <n v="42"/>
    <n v="105733"/>
    <n v="32.32436563741975"/>
    <d v="2006-11-17T00:00:00"/>
    <d v="2024-11-06T00:00:00"/>
    <d v="2024-11-06T00:00:00"/>
    <n v="2.438356164383562"/>
    <n v="2.438356164383562"/>
    <s v="Modified Gross"/>
    <s v="None"/>
    <s v="None"/>
    <n v="1320000"/>
    <n v="403.5463161112809"/>
    <n v="0.08010075757575758"/>
    <m/>
    <d v="2022-05-31T00:00:00"/>
    <x v="216"/>
    <s v="Colliers; Ficke"/>
    <x v="158"/>
    <s v="WA"/>
    <s v="Private"/>
    <m/>
    <m/>
    <n v="1321659"/>
    <n v="0.08000021185494897"/>
    <n v="0.9987447594273561"/>
    <n v="1321659"/>
    <n v="0.08000021185494897"/>
    <n v="0.0001005457208086008"/>
    <s v="No"/>
    <d v="2022-02-03T00:00:00"/>
    <n v="117"/>
  </r>
  <r>
    <s v="LIL19467"/>
    <s v="SSA"/>
    <s v="Federal"/>
    <s v="Fee Simple"/>
    <s v="1207 Network Centre Dr"/>
    <s v="Effingham"/>
    <s v="IL"/>
    <n v="3.42"/>
    <n v="1995"/>
    <n v="6560"/>
    <n v="24000"/>
    <n v="0.2733333333333333"/>
    <n v="117844.79"/>
    <n v="17.96414481707317"/>
    <n v="195000"/>
    <n v="8.125"/>
    <d v="2016-09-01T00:00:00"/>
    <d v="2026-08-31T00:00:00"/>
    <d v="2021-08-31T00:00:00"/>
    <n v="4.271232876712329"/>
    <n v="-0.7315068493150685"/>
    <s v="Modified Gross"/>
    <s v="None"/>
    <s v="None"/>
    <n v="1800000"/>
    <n v="75"/>
    <n v="0.1083333333333333"/>
    <m/>
    <d v="2022-05-25T00:00:00"/>
    <x v="217"/>
    <m/>
    <x v="159"/>
    <s v="IL"/>
    <s v="Private"/>
    <m/>
    <m/>
    <m/>
    <s v=" "/>
    <s v=" "/>
    <m/>
    <s v=" "/>
    <s v=" "/>
    <s v=" "/>
    <m/>
    <s v=" "/>
  </r>
  <r>
    <m/>
    <s v="DHS"/>
    <s v="State"/>
    <s v="Fee Simple"/>
    <s v="601 5th St"/>
    <s v="Jellico"/>
    <s v="TN"/>
    <n v="0.57"/>
    <n v="2006"/>
    <n v="3600"/>
    <n v="3600"/>
    <n v="1"/>
    <n v="48000"/>
    <n v="13.33333333333333"/>
    <n v="38786"/>
    <n v="10.77388888888889"/>
    <d v="2021-03-01T00:00:00"/>
    <d v="2031-02-28T00:00:00"/>
    <d v="2028-02-28T00:00:00"/>
    <n v="8.775342465753425"/>
    <n v="5.772602739726027"/>
    <s v="Modified Gross"/>
    <s v="None"/>
    <s v="3, 1 yr"/>
    <m/>
    <s v=" "/>
    <s v=" "/>
    <m/>
    <d v="2022-05-23T00:00:00"/>
    <x v="218"/>
    <s v="Colliers; Ficke"/>
    <x v="160"/>
    <m/>
    <m/>
    <m/>
    <m/>
    <n v="534977"/>
    <n v="0.07250031309757242"/>
    <s v=" "/>
    <n v="534977"/>
    <n v="0.07250031309757242"/>
    <s v=" "/>
    <s v="No"/>
    <d v="2022-01-14T00:00:00"/>
    <n v="129"/>
  </r>
  <r>
    <m/>
    <s v="DHS"/>
    <s v="State"/>
    <s v="Fee Simple"/>
    <s v="601 5th St"/>
    <s v="Jellico"/>
    <s v="TN"/>
    <n v="0.45"/>
    <n v="2006"/>
    <n v="3600"/>
    <n v="3600"/>
    <n v="1"/>
    <n v="47000"/>
    <n v="13.05555555555556"/>
    <n v="38786"/>
    <n v="10.77388888888889"/>
    <d v="2021-03-01T00:00:00"/>
    <d v="2028-02-28T00:00:00"/>
    <m/>
    <n v="5.772602739726027"/>
    <s v=" "/>
    <m/>
    <s v="At option"/>
    <s v="3, 1yr"/>
    <m/>
    <s v=" "/>
    <s v=" "/>
    <m/>
    <d v="2022-05-23T00:00:00"/>
    <x v="8"/>
    <s v="Geoff Ficke"/>
    <x v="0"/>
    <m/>
    <m/>
    <m/>
    <m/>
    <n v="554000"/>
    <n v="0.07001083032490975"/>
    <s v=" "/>
    <n v="534977"/>
    <n v="0.07250031309757242"/>
    <s v=" "/>
    <s v="Yes"/>
    <d v="2020-12-02T00:00:00"/>
    <n v="537"/>
  </r>
  <r>
    <m/>
    <s v="VA"/>
    <s v="Federal"/>
    <s v="Fee Simple"/>
    <s v="1261 N Cobb Pky"/>
    <s v="Marietta"/>
    <s v="GA"/>
    <n v="13.17"/>
    <n v="2021"/>
    <n v="76882"/>
    <n v="76882"/>
    <n v="1"/>
    <n v="3908473"/>
    <n v="50.83729611612601"/>
    <n v="3083692.5"/>
    <n v="40.10942093077703"/>
    <d v="2021-07-01T00:00:00"/>
    <d v="2041-06-30T00:00:00"/>
    <d v="2041-06-30T00:00:00"/>
    <n v="19.11780821917808"/>
    <n v="19.11780821917808"/>
    <s v="Modified Gross"/>
    <s v="None"/>
    <s v="None"/>
    <n v="58737000"/>
    <n v="763.9889701100387"/>
    <n v="0.0525"/>
    <m/>
    <d v="2022-05-23T00:00:00"/>
    <x v="44"/>
    <s v="Newmark; Carr"/>
    <x v="3"/>
    <s v="DC"/>
    <s v="REIT"/>
    <m/>
    <m/>
    <m/>
    <s v=" "/>
    <s v=" "/>
    <m/>
    <s v=" "/>
    <s v=" "/>
    <s v=" "/>
    <m/>
    <s v=" "/>
  </r>
  <r>
    <m/>
    <s v="USPS"/>
    <s v="State"/>
    <s v="Fee Simple"/>
    <s v="3372 Main St"/>
    <s v="Pikeville"/>
    <s v="TN"/>
    <n v="1.07"/>
    <n v="1982"/>
    <n v="4440"/>
    <n v="4440"/>
    <n v="1"/>
    <n v="63057"/>
    <n v="14.20202702702703"/>
    <n v="60375"/>
    <n v="13.59797297297297"/>
    <m/>
    <d v="2027-11-14T00:00:00"/>
    <m/>
    <n v="5.482191780821918"/>
    <s v=" "/>
    <m/>
    <s v="10% at each option"/>
    <s v="1, 5yr"/>
    <n v="975000"/>
    <n v="219.5945945945946"/>
    <n v="0.06192307692307692"/>
    <m/>
    <d v="2022-05-23T00:00:00"/>
    <x v="8"/>
    <s v="James Harrison"/>
    <x v="0"/>
    <m/>
    <m/>
    <s v="James Harrison"/>
    <m/>
    <n v="1050000"/>
    <n v="0.0575"/>
    <n v="0.9285714285714286"/>
    <n v="1050000"/>
    <n v="0.0575"/>
    <n v="0.004423076923076918"/>
    <s v="No"/>
    <d v="2022-02-12T00:00:00"/>
    <n v="100"/>
  </r>
  <r>
    <m/>
    <s v="USPS"/>
    <s v="Federal"/>
    <s v="Not Indicated"/>
    <s v="3372 Main St"/>
    <s v="Pikeville"/>
    <s v="TN"/>
    <n v="1.07"/>
    <n v="1982"/>
    <n v="4440"/>
    <n v="4440"/>
    <n v="1"/>
    <n v="63057"/>
    <n v="14.20202702702703"/>
    <n v="60375"/>
    <n v="13.59797297297297"/>
    <d v="2022-11-01T00:00:00"/>
    <d v="2027-11-14T00:00:00"/>
    <d v="2027-11-14T00:00:00"/>
    <n v="5.482191780821918"/>
    <n v="5.482191780821918"/>
    <s v="Rider"/>
    <s v="10% at each option"/>
    <s v="1, 5yr"/>
    <n v="975000"/>
    <n v="219.5945945945946"/>
    <n v="0.06192307692307692"/>
    <m/>
    <d v="2022-05-23T00:00:00"/>
    <x v="219"/>
    <s v="TCP; Harrison"/>
    <x v="161"/>
    <m/>
    <m/>
    <s v="James Harrison"/>
    <m/>
    <n v="1050000"/>
    <n v="0.0575"/>
    <n v="0.9285714285714286"/>
    <n v="1050000"/>
    <n v="0.0575"/>
    <n v="0.004423076923076918"/>
    <s v="No"/>
    <d v="2022-02-12T00:00:00"/>
    <n v="100"/>
  </r>
  <r>
    <s v="LFL00407"/>
    <s v="FBI"/>
    <s v="Federal"/>
    <s v="Fee Simple"/>
    <s v="5525 W Gray St"/>
    <s v="Tampa"/>
    <s v="FL"/>
    <n v="7"/>
    <n v="2005"/>
    <n v="138093"/>
    <n v="138093"/>
    <n v="1"/>
    <n v="5035156.66"/>
    <n v="36.46207019906875"/>
    <n v="3447150"/>
    <n v="24.96252525471964"/>
    <d v="2020-12-01T00:00:00"/>
    <d v="2040-11-30T00:00:00"/>
    <d v="2040-11-30T00:00:00"/>
    <n v="18.54794520547945"/>
    <n v="18.54794520547945"/>
    <s v="Modified Gross"/>
    <s v="None"/>
    <s v="None"/>
    <n v="70350000"/>
    <n v="509.4392909126458"/>
    <n v="0.049"/>
    <m/>
    <d v="2022-05-19T00:00:00"/>
    <x v="220"/>
    <s v="CBRE"/>
    <x v="3"/>
    <s v="DC"/>
    <s v="REIT"/>
    <m/>
    <m/>
    <m/>
    <s v=" "/>
    <s v=" "/>
    <m/>
    <s v=" "/>
    <s v=" "/>
    <s v=" "/>
    <m/>
    <s v=" "/>
  </r>
  <r>
    <m/>
    <s v="FD"/>
    <s v="State"/>
    <s v="Ground Lease"/>
    <s v="8724 Little River Tpke"/>
    <s v="Annandale"/>
    <s v="VA"/>
    <n v="0.53"/>
    <n v="1971"/>
    <n v="2125"/>
    <n v="2125"/>
    <n v="1"/>
    <m/>
    <s v=" "/>
    <n v="84000"/>
    <n v="39.52941176470588"/>
    <d v="2021-06-06T00:00:00"/>
    <d v="2025-05-31T00:00:00"/>
    <d v="2025-05-31T00:00:00"/>
    <n v="3.043835616438356"/>
    <n v="3.043835616438356"/>
    <s v="Absolute NNN"/>
    <s v="12% at option 1"/>
    <s v="8, 3month"/>
    <n v="1700000"/>
    <n v="800"/>
    <n v="0.04941176470588235"/>
    <m/>
    <d v="2022-05-16T00:00:00"/>
    <x v="221"/>
    <s v="Berkeley; Foose"/>
    <x v="162"/>
    <s v="VA"/>
    <s v="Private"/>
    <m/>
    <m/>
    <n v="1600000"/>
    <n v="0.0525"/>
    <n v="1.0625"/>
    <n v="1600000"/>
    <n v="0.0525"/>
    <n v="-0.003088235294117649"/>
    <s v="No"/>
    <d v="2021-12-02T00:00:00"/>
    <n v="165"/>
  </r>
  <r>
    <m/>
    <m/>
    <s v="Federal"/>
    <s v="Fee Simple"/>
    <s v="2510-2520 Aviation Wy"/>
    <s v="Colorado Springs"/>
    <s v="CO"/>
    <n v="12.73"/>
    <m/>
    <n v="19200"/>
    <n v="215960"/>
    <n v="0.0889053528431191"/>
    <m/>
    <s v=" "/>
    <m/>
    <s v=" "/>
    <d v="2022-01-01T00:00:00"/>
    <d v="2031-12-31T00:00:00"/>
    <d v="2029-01-01T00:00:00"/>
    <n v="9.641095890410959"/>
    <n v="6.643835616438357"/>
    <m/>
    <m/>
    <m/>
    <n v="28100000"/>
    <n v="130.1166882756066"/>
    <s v=" "/>
    <m/>
    <d v="2022-05-13T00:00:00"/>
    <x v="222"/>
    <s v="NAI; Dowis"/>
    <x v="163"/>
    <s v="CO"/>
    <s v="Private"/>
    <m/>
    <m/>
    <m/>
    <s v=" "/>
    <s v=" "/>
    <m/>
    <s v=" "/>
    <s v=" "/>
    <s v=" "/>
    <m/>
    <s v=" "/>
  </r>
  <r>
    <s v="LCA02619"/>
    <s v="ICE"/>
    <s v="Federal"/>
    <s v="Fee Simple"/>
    <s v="443 Redcliff Dr"/>
    <s v="Redding"/>
    <s v="CA"/>
    <n v="1.03"/>
    <n v="1992"/>
    <n v="10157"/>
    <n v="10157"/>
    <n v="1"/>
    <n v="450891.3"/>
    <n v="44.39217288569459"/>
    <n v="362675"/>
    <n v="35.70690164418627"/>
    <d v="2012-12-20T00:00:00"/>
    <d v="2027-12-19T00:00:00"/>
    <d v="2022-12-20T00:00:00"/>
    <n v="5.605479452054794"/>
    <n v="0.6054794520547945"/>
    <s v="Modified Gross"/>
    <s v="None"/>
    <s v="None"/>
    <n v="5875000"/>
    <n v="578.4188244560402"/>
    <n v="0.06173191489361702"/>
    <m/>
    <d v="2022-05-13T00:00:00"/>
    <x v="223"/>
    <s v="Bull Realty"/>
    <x v="26"/>
    <s v="AZ"/>
    <s v="Private"/>
    <m/>
    <m/>
    <m/>
    <s v=" "/>
    <s v=" "/>
    <m/>
    <s v=" "/>
    <s v=" "/>
    <s v=" "/>
    <m/>
    <s v=" "/>
  </r>
  <r>
    <m/>
    <s v="DFPS &amp; HHS"/>
    <s v="State"/>
    <s v="Fee Simple"/>
    <s v="3 Northpoint Dr"/>
    <s v="Houston"/>
    <s v="TX"/>
    <n v="2.65"/>
    <n v="1979"/>
    <n v="43966"/>
    <n v="43966"/>
    <n v="1"/>
    <m/>
    <s v=" "/>
    <m/>
    <s v=" "/>
    <d v="2013-08-01T00:00:00"/>
    <d v="2023-07-31T00:00:00"/>
    <m/>
    <n v="1.219178082191781"/>
    <s v=" "/>
    <s v="Full Service"/>
    <s v="None"/>
    <s v="None"/>
    <m/>
    <s v=" "/>
    <s v=" "/>
    <m/>
    <d v="2022-05-12T00:00:00"/>
    <x v="223"/>
    <m/>
    <x v="164"/>
    <s v="IL"/>
    <s v="Private"/>
    <m/>
    <m/>
    <m/>
    <s v=" "/>
    <s v=" "/>
    <m/>
    <s v=" "/>
    <s v=" "/>
    <s v=" "/>
    <m/>
    <s v=" "/>
  </r>
  <r>
    <s v="LCO14375"/>
    <s v="NARA"/>
    <s v="Federal"/>
    <s v="Fee Simple"/>
    <s v="17101 N Huron St"/>
    <s v="Broomfield"/>
    <s v="CO"/>
    <n v="11.57"/>
    <n v="2012"/>
    <n v="164375"/>
    <n v="164375"/>
    <n v="1"/>
    <n v="2107013.41"/>
    <n v="12.81833253231939"/>
    <n v="1365000"/>
    <n v="8.304182509505704"/>
    <d v="2012-05-21T00:00:00"/>
    <d v="2032-05-20T00:00:00"/>
    <d v="2032-05-20T00:00:00"/>
    <n v="10.03561643835616"/>
    <n v="10.03561643835616"/>
    <s v="Modified Gross"/>
    <s v="None"/>
    <s v="None"/>
    <n v="22275000"/>
    <n v="135.5133079847909"/>
    <n v="0.06127946127946128"/>
    <m/>
    <d v="2022-05-10T00:00:00"/>
    <x v="224"/>
    <s v="Direct"/>
    <x v="3"/>
    <s v="DC"/>
    <s v="REIT"/>
    <m/>
    <m/>
    <m/>
    <s v=" "/>
    <s v=" "/>
    <m/>
    <s v=" "/>
    <s v=" "/>
    <s v=" "/>
    <m/>
    <s v=" "/>
  </r>
  <r>
    <m/>
    <s v="DOC"/>
    <s v="State"/>
    <s v="Fee Simple"/>
    <s v="1426 Elm St"/>
    <s v="Knoxville"/>
    <s v="TN"/>
    <n v="3.24"/>
    <n v="1995"/>
    <n v="18296"/>
    <n v="18296"/>
    <n v="1"/>
    <m/>
    <s v=" "/>
    <n v="191234"/>
    <n v="10.45222999562746"/>
    <m/>
    <d v="2024-01-31T00:00:00"/>
    <d v="2024-01-31T00:00:00"/>
    <n v="1.728767123287671"/>
    <n v="1.728767123287671"/>
    <s v="Full Service"/>
    <s v="None"/>
    <s v="None"/>
    <n v="1368000"/>
    <n v="74.77044162658504"/>
    <n v="0.1397909356725146"/>
    <m/>
    <d v="2022-05-10T00:00:00"/>
    <x v="225"/>
    <s v="CBRE; Adams"/>
    <x v="165"/>
    <s v="TN"/>
    <s v="Private"/>
    <s v="Michael Fuller"/>
    <m/>
    <n v="2185000"/>
    <n v="0.08752128146453089"/>
    <n v="0.6260869565217392"/>
    <n v="2185000"/>
    <n v="0.08752128146453089"/>
    <n v="0.05226965420798374"/>
    <s v="No"/>
    <d v="2021-09-04T00:00:00"/>
    <n v="248"/>
  </r>
  <r>
    <s v="LOR00224"/>
    <s v="SSA"/>
    <s v="Federal"/>
    <s v="Fee Simple"/>
    <s v="2205 Cove Ave"/>
    <s v="La Grande"/>
    <s v="OR"/>
    <n v="0.39"/>
    <n v="1998"/>
    <n v="3995"/>
    <n v="3995"/>
    <n v="1"/>
    <n v="123925.9"/>
    <n v="31.02025031289111"/>
    <m/>
    <s v=" "/>
    <d v="2020-06-01T00:00:00"/>
    <d v="2040-05-31T00:00:00"/>
    <d v="2030-05-31T00:00:00"/>
    <n v="18.08493150684932"/>
    <n v="8.076712328767123"/>
    <s v="Modified Gross"/>
    <s v="None"/>
    <s v="None"/>
    <n v="1300000"/>
    <n v="325.4067584480601"/>
    <s v=" "/>
    <m/>
    <d v="2022-05-05T00:00:00"/>
    <x v="226"/>
    <m/>
    <x v="166"/>
    <s v="ID"/>
    <s v="Private"/>
    <m/>
    <m/>
    <m/>
    <s v=" "/>
    <s v=" "/>
    <m/>
    <s v=" "/>
    <s v=" "/>
    <s v=" "/>
    <m/>
    <s v=" "/>
  </r>
  <r>
    <m/>
    <s v="Triad National Security"/>
    <s v="Contractor"/>
    <s v="Fee Simple"/>
    <s v="195 East Road"/>
    <s v="Los Alamos"/>
    <s v="NM"/>
    <n v="2.83"/>
    <n v="1983"/>
    <n v="63940"/>
    <n v="63940"/>
    <n v="1"/>
    <n v="1663877"/>
    <n v="26.0224741945574"/>
    <n v="1368978"/>
    <n v="21.41035345636534"/>
    <d v="2021-01-01T00:00:00"/>
    <d v="2026-03-31T00:00:00"/>
    <d v="2021-01-31T00:00:00"/>
    <n v="3.906849315068493"/>
    <n v="-1.257534246575343"/>
    <s v="Full Service"/>
    <s v="None"/>
    <s v="None"/>
    <n v="19200000"/>
    <n v="300.2815139192994"/>
    <n v="0.07130093749999999"/>
    <m/>
    <d v="2022-05-05T00:00:00"/>
    <x v="161"/>
    <s v="SJC; Briggs"/>
    <x v="1"/>
    <s v="IL"/>
    <s v="Private"/>
    <m/>
    <m/>
    <m/>
    <s v=" "/>
    <s v=" "/>
    <m/>
    <s v=" "/>
    <s v=" "/>
    <s v=" "/>
    <m/>
    <s v=" "/>
  </r>
  <r>
    <m/>
    <s v="DOR/FM"/>
    <s v="State"/>
    <s v="Fee Simple"/>
    <s v="5040 W Tharpe St"/>
    <s v="Tallahassee"/>
    <s v="FL"/>
    <n v="6.06"/>
    <n v="2006"/>
    <n v="34244"/>
    <n v="66500"/>
    <n v="0.5149473684210526"/>
    <n v="874464"/>
    <n v="25.53626912743838"/>
    <n v="685086"/>
    <n v="10.30204511278195"/>
    <d v="2011-04-18T00:00:00"/>
    <d v="2033-04-30T00:00:00"/>
    <d v="2011-05-18T00:00:00"/>
    <n v="10.99452054794521"/>
    <n v="-10.97260273972603"/>
    <s v="Full Service"/>
    <s v="None"/>
    <s v="None"/>
    <n v="10400000"/>
    <n v="156.390977443609"/>
    <n v="0.06587365384615385"/>
    <m/>
    <d v="2022-05-05T00:00:00"/>
    <x v="227"/>
    <s v="Colliers; Ficke"/>
    <x v="167"/>
    <s v="TN"/>
    <s v="Private"/>
    <m/>
    <m/>
    <n v="10149421"/>
    <n v="0.06750000812854251"/>
    <n v="1.024688994574173"/>
    <n v="10149421"/>
    <n v="0.06750000812854251"/>
    <n v="-0.001626354282388665"/>
    <s v="No"/>
    <d v="2021-10-14T00:00:00"/>
    <n v="203"/>
  </r>
  <r>
    <m/>
    <s v="USPS"/>
    <s v="Federal"/>
    <s v="Fee Simple"/>
    <s v="202 Main St"/>
    <s v="Hale"/>
    <s v="MO"/>
    <m/>
    <n v="2009"/>
    <n v="1500"/>
    <n v="1500"/>
    <n v="1"/>
    <n v="28355"/>
    <n v="18.90333333333333"/>
    <n v="28355"/>
    <n v="18.90333333333333"/>
    <d v="2009-07-08T00:00:00"/>
    <d v="2029-07-07T00:00:00"/>
    <d v="2029-07-07T00:00:00"/>
    <n v="7.186301369863013"/>
    <n v="7.186301369863013"/>
    <s v="Rider"/>
    <s v="In Options"/>
    <s v="2, 5 yr"/>
    <m/>
    <s v=" "/>
    <s v=" "/>
    <m/>
    <d v="2022-05-02T00:00:00"/>
    <x v="8"/>
    <s v="Colliers; Ficke"/>
    <x v="0"/>
    <m/>
    <m/>
    <m/>
    <m/>
    <n v="440000"/>
    <n v="0.06444318181818182"/>
    <s v=" "/>
    <n v="440000"/>
    <n v="0.06444318181818182"/>
    <s v=" "/>
    <s v="No"/>
    <d v="2022-02-23T00:00:00"/>
    <n v="68"/>
  </r>
  <r>
    <s v="LCA01230"/>
    <s v="SSA"/>
    <s v="Federal"/>
    <s v="Fee Simple"/>
    <s v="3164 Garrity Way"/>
    <s v="Richmond"/>
    <s v="CA"/>
    <n v="1.3"/>
    <n v="2006"/>
    <n v="11108"/>
    <n v="11108"/>
    <n v="1"/>
    <n v="348000"/>
    <n v="31.32877205617573"/>
    <m/>
    <s v=" "/>
    <d v="2021-06-15T00:00:00"/>
    <d v="2026-06-14T00:00:00"/>
    <d v="2026-06-14T00:00:00"/>
    <n v="4.128767123287671"/>
    <n v="4.128767123287671"/>
    <s v="Modified Gross"/>
    <s v="None"/>
    <s v="None"/>
    <n v="2250000"/>
    <n v="202.5567158804465"/>
    <s v=" "/>
    <m/>
    <d v="2022-04-29T00:00:00"/>
    <x v="228"/>
    <s v="Colliers; Erickson"/>
    <x v="168"/>
    <s v="CA"/>
    <s v="Private"/>
    <s v="Colliers; Huillade"/>
    <m/>
    <m/>
    <s v=" "/>
    <s v=" "/>
    <m/>
    <s v=" "/>
    <s v=" "/>
    <s v=" "/>
    <m/>
    <s v=" "/>
  </r>
  <r>
    <m/>
    <s v="USDA"/>
    <s v="Federal"/>
    <s v="Fee Simple"/>
    <s v="Portfolio of Two"/>
    <m/>
    <m/>
    <n v="1.43"/>
    <m/>
    <n v="7782"/>
    <n v="7782"/>
    <n v="1"/>
    <n v="154605"/>
    <n v="19.86700077101002"/>
    <n v="98075"/>
    <n v="12.60280133641737"/>
    <m/>
    <d v="2024-12-31T00:00:00"/>
    <d v="2021-12-31T00:00:00"/>
    <n v="2.676712328767124"/>
    <n v="-0.326027397260274"/>
    <s v="Modified Gross"/>
    <s v="None"/>
    <s v="None"/>
    <m/>
    <s v=" "/>
    <s v=" "/>
    <m/>
    <d v="2022-04-29T00:00:00"/>
    <x v="229"/>
    <s v="Colliers; Ficke"/>
    <x v="0"/>
    <m/>
    <m/>
    <m/>
    <m/>
    <n v="1145000"/>
    <n v="0.08565502183406114"/>
    <s v=" "/>
    <n v="1145000"/>
    <n v="0.08565502183406114"/>
    <s v=" "/>
    <s v="No"/>
    <d v="2022-01-14T00:00:00"/>
    <n v="105"/>
  </r>
  <r>
    <m/>
    <s v="CAP"/>
    <s v="State"/>
    <s v="Fee Simple"/>
    <s v="662-696 S Tippecanoe"/>
    <s v="San Bernardino"/>
    <s v="CA"/>
    <n v="6.61"/>
    <m/>
    <n v="107864"/>
    <n v="107864"/>
    <n v="1"/>
    <m/>
    <s v=" "/>
    <m/>
    <s v=" "/>
    <m/>
    <m/>
    <m/>
    <s v=" "/>
    <s v=" "/>
    <m/>
    <m/>
    <m/>
    <n v="22001000"/>
    <n v="203.9698138396499"/>
    <s v=" "/>
    <m/>
    <d v="2022-04-28T00:00:00"/>
    <x v="230"/>
    <m/>
    <x v="169"/>
    <s v="NY"/>
    <s v="Institutional"/>
    <m/>
    <m/>
    <m/>
    <s v=" "/>
    <s v=" "/>
    <m/>
    <s v=" "/>
    <s v=" "/>
    <s v=" "/>
    <m/>
    <s v=" "/>
  </r>
  <r>
    <m/>
    <s v="DOC/P&amp;PO"/>
    <s v="State"/>
    <s v="Fee Simple"/>
    <s v="237 W Willow St"/>
    <s v="Lafayette"/>
    <s v="LA"/>
    <n v="1.8"/>
    <n v="2003"/>
    <n v="16854"/>
    <n v="16854"/>
    <n v="1"/>
    <n v="171350"/>
    <n v="10.16672599976267"/>
    <n v="171350"/>
    <n v="10.16672599976267"/>
    <m/>
    <m/>
    <m/>
    <s v=" "/>
    <s v=" "/>
    <m/>
    <m/>
    <m/>
    <n v="1929080"/>
    <n v="114.4582888335113"/>
    <n v="0.08882472473925394"/>
    <m/>
    <d v="2022-04-26T00:00:00"/>
    <x v="231"/>
    <s v="Tyler Mcconathy"/>
    <x v="0"/>
    <m/>
    <m/>
    <m/>
    <m/>
    <n v="1900000"/>
    <n v="0.09018421052631578"/>
    <n v="1.015305263157895"/>
    <n v="1900000"/>
    <n v="0.09018421052631578"/>
    <n v="-0.00135948578706184"/>
    <s v="No"/>
    <d v="2022-01-21T00:00:00"/>
    <n v="95"/>
  </r>
  <r>
    <m/>
    <s v="DOC/P&amp;PO"/>
    <s v="State"/>
    <s v="Fee Simple"/>
    <s v="403 Industrial Dr"/>
    <s v="Minden"/>
    <s v="LA"/>
    <m/>
    <m/>
    <n v="6750"/>
    <n v="6750"/>
    <n v="1"/>
    <m/>
    <s v=" "/>
    <n v="53961"/>
    <n v="7.994222222222223"/>
    <m/>
    <m/>
    <m/>
    <s v=" "/>
    <s v=" "/>
    <m/>
    <m/>
    <m/>
    <n v="674642"/>
    <n v="99.94696296296296"/>
    <n v="0.07998464370732922"/>
    <m/>
    <d v="2022-04-26T00:00:00"/>
    <x v="231"/>
    <s v="Tyler Mcconathy"/>
    <x v="0"/>
    <m/>
    <m/>
    <m/>
    <m/>
    <m/>
    <s v=" "/>
    <s v=" "/>
    <m/>
    <s v=" "/>
    <s v=" "/>
    <s v=" "/>
    <d v="2022-01-21T00:00:00"/>
    <n v="95"/>
  </r>
  <r>
    <m/>
    <s v="DOC/P&amp;PO"/>
    <s v="State"/>
    <s v="Fee Simple"/>
    <s v="1221 Adrian St"/>
    <s v="New Iberia"/>
    <s v="LA"/>
    <n v="1.24"/>
    <n v="2010"/>
    <n v="12485"/>
    <n v="12485"/>
    <n v="1"/>
    <n v="159229"/>
    <n v="12.75362434921906"/>
    <n v="159229"/>
    <n v="12.75362434921906"/>
    <m/>
    <m/>
    <m/>
    <s v=" "/>
    <s v=" "/>
    <s v="NNN"/>
    <m/>
    <m/>
    <n v="1296278"/>
    <n v="103.8268321986384"/>
    <n v="0.122835533735819"/>
    <m/>
    <d v="2022-04-26T00:00:00"/>
    <x v="231"/>
    <s v="Tyler Mcconathy"/>
    <x v="0"/>
    <m/>
    <m/>
    <m/>
    <m/>
    <n v="1872750"/>
    <n v="0.08502416232812708"/>
    <n v="0.6921788813242558"/>
    <n v="1872750"/>
    <n v="0.08502416232812708"/>
    <n v="0.03781137140769193"/>
    <s v="No"/>
    <d v="2022-01-21T00:00:00"/>
    <n v="95"/>
  </r>
  <r>
    <m/>
    <s v="USPS"/>
    <s v="Federal"/>
    <s v="Fee Simple"/>
    <s v="102 2nd Ave SW"/>
    <s v="Medina"/>
    <s v="ND"/>
    <m/>
    <m/>
    <n v="1063"/>
    <n v="1063"/>
    <n v="1"/>
    <m/>
    <s v=" "/>
    <m/>
    <s v=" "/>
    <m/>
    <m/>
    <m/>
    <s v=" "/>
    <s v=" "/>
    <m/>
    <m/>
    <m/>
    <m/>
    <s v=" "/>
    <s v=" "/>
    <m/>
    <d v="2022-04-25T00:00:00"/>
    <x v="8"/>
    <m/>
    <x v="66"/>
    <s v="CA"/>
    <s v="Private"/>
    <m/>
    <m/>
    <m/>
    <s v=" "/>
    <s v=" "/>
    <m/>
    <s v=" "/>
    <s v=" "/>
    <s v=" "/>
    <m/>
    <s v=" "/>
  </r>
  <r>
    <m/>
    <s v="DOJ/Jud Dept."/>
    <s v="State"/>
    <s v="Fee Simple"/>
    <s v="1215-1241 State Street"/>
    <s v="Salem"/>
    <s v="OR"/>
    <n v="0.4"/>
    <n v="1996"/>
    <n v="77384"/>
    <n v="77384"/>
    <n v="1"/>
    <m/>
    <s v=" "/>
    <n v="1435500"/>
    <n v="18.55034632482167"/>
    <m/>
    <m/>
    <m/>
    <s v=" "/>
    <s v=" "/>
    <m/>
    <m/>
    <m/>
    <n v="19272530"/>
    <n v="249.0505789310452"/>
    <n v="0.07448425297560829"/>
    <m/>
    <d v="2022-04-22T00:00:00"/>
    <x v="232"/>
    <m/>
    <x v="170"/>
    <m/>
    <m/>
    <m/>
    <m/>
    <n v="19800000"/>
    <n v="0.0725"/>
    <n v="0.9733601010101011"/>
    <n v="19800000"/>
    <n v="0.0725"/>
    <n v="0.001984252975608294"/>
    <s v="No"/>
    <m/>
    <s v=" "/>
  </r>
  <r>
    <m/>
    <s v="FS/Rehab Center"/>
    <s v="State &amp; Federal"/>
    <s v="Fee Simple"/>
    <s v="1330 Bayshore Wy"/>
    <s v="Eureka"/>
    <s v="CA"/>
    <n v="2.4"/>
    <n v="1992"/>
    <n v="29554"/>
    <n v="31534"/>
    <n v="0.9372106297964102"/>
    <n v="735948"/>
    <n v="24.9018068620153"/>
    <n v="502657"/>
    <n v="15.94015982748779"/>
    <d v="1992-11-02T00:00:00"/>
    <d v="2027-05-31T00:00:00"/>
    <d v="2022-05-31T00:00:00"/>
    <n v="5.112328767123287"/>
    <n v="0.1095890410958904"/>
    <s v="Modified Gross"/>
    <s v="None"/>
    <s v="None"/>
    <n v="4777777.777777778"/>
    <n v="151.5119483027138"/>
    <n v="0.1052072790697674"/>
    <m/>
    <d v="2022-04-21T00:00:00"/>
    <x v="233"/>
    <m/>
    <x v="171"/>
    <s v="CA"/>
    <s v="Private"/>
    <m/>
    <m/>
    <m/>
    <s v=" "/>
    <s v=" "/>
    <m/>
    <s v=" "/>
    <s v=" "/>
    <s v=" "/>
    <m/>
    <s v=" "/>
  </r>
  <r>
    <m/>
    <s v="USPS"/>
    <s v="Federal"/>
    <s v="Fee Simple"/>
    <s v="1850 State Route 88"/>
    <s v="Bristolville"/>
    <s v="OH"/>
    <n v="0.23"/>
    <m/>
    <n v="1680"/>
    <n v="1680"/>
    <n v="1"/>
    <m/>
    <s v=" "/>
    <m/>
    <s v=" "/>
    <m/>
    <m/>
    <m/>
    <s v=" "/>
    <s v=" "/>
    <m/>
    <m/>
    <m/>
    <n v="166000"/>
    <n v="98.80952380952381"/>
    <s v=" "/>
    <m/>
    <d v="2022-04-1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3 Main St W"/>
    <s v="Golden Valley"/>
    <s v="ND"/>
    <m/>
    <m/>
    <n v="2018"/>
    <n v="2018"/>
    <n v="1"/>
    <m/>
    <s v=" "/>
    <m/>
    <s v=" "/>
    <m/>
    <m/>
    <m/>
    <s v=" "/>
    <s v=" "/>
    <m/>
    <m/>
    <m/>
    <m/>
    <s v=" "/>
    <s v=" "/>
    <m/>
    <d v="2022-04-18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03 Front St"/>
    <s v="Hawley"/>
    <s v="MN"/>
    <n v="0.2632"/>
    <n v="1972"/>
    <n v="3395"/>
    <n v="3395"/>
    <n v="1"/>
    <m/>
    <s v=" "/>
    <m/>
    <s v=" "/>
    <m/>
    <m/>
    <m/>
    <s v=" "/>
    <s v=" "/>
    <m/>
    <m/>
    <m/>
    <n v="290000"/>
    <n v="85.41973490427098"/>
    <s v=" "/>
    <m/>
    <d v="2022-04-18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8 N Madison St"/>
    <s v="Mcgregor"/>
    <s v="ND"/>
    <n v="2.064"/>
    <m/>
    <n v="6312"/>
    <n v="6312"/>
    <n v="1"/>
    <m/>
    <s v=" "/>
    <m/>
    <s v=" "/>
    <m/>
    <m/>
    <m/>
    <s v=" "/>
    <s v=" "/>
    <m/>
    <m/>
    <m/>
    <m/>
    <s v=" "/>
    <s v=" "/>
    <m/>
    <d v="2022-04-18T00:00:00"/>
    <x v="8"/>
    <m/>
    <x v="66"/>
    <s v="CA"/>
    <s v="Private"/>
    <m/>
    <m/>
    <m/>
    <s v=" "/>
    <s v=" "/>
    <m/>
    <s v=" "/>
    <s v=" "/>
    <s v=" "/>
    <m/>
    <s v=" "/>
  </r>
  <r>
    <m/>
    <s v="PD"/>
    <s v="Municipal"/>
    <s v="Fee Simple"/>
    <s v="40 Brick Kiln Road"/>
    <s v="Chelmsford"/>
    <s v="MA"/>
    <n v="4.8"/>
    <n v="2002"/>
    <n v="19946"/>
    <n v="19946"/>
    <n v="1"/>
    <m/>
    <s v=" "/>
    <n v="211750"/>
    <n v="10.61616364183295"/>
    <d v="2021-12-10T00:00:00"/>
    <d v="2027-12-09T00:00:00"/>
    <d v="2027-12-09T00:00:00"/>
    <n v="5.654794520547945"/>
    <n v="5.654794520547945"/>
    <s v="NNN"/>
    <s v="None"/>
    <s v="None"/>
    <n v="2600000"/>
    <n v="130.3519502657174"/>
    <n v="0.08144230769230769"/>
    <m/>
    <d v="2022-04-15T00:00:00"/>
    <x v="234"/>
    <s v="Ben Gatti"/>
    <x v="172"/>
    <s v="MA"/>
    <s v="Private"/>
    <s v="Ellen Garthoff"/>
    <m/>
    <n v="2750000"/>
    <n v="0.077"/>
    <n v="0.9454545454545454"/>
    <n v="2750000"/>
    <n v="0.077"/>
    <n v="0.00444230769230769"/>
    <s v="No"/>
    <d v="2021-12-08T00:00:00"/>
    <n v="128"/>
  </r>
  <r>
    <m/>
    <s v="ACOE"/>
    <s v="Federal"/>
    <s v="Fee Simple"/>
    <s v="4101 Jefferson Plz NE"/>
    <s v="Albuquerque"/>
    <s v="NM"/>
    <n v="3.75"/>
    <n v="1995"/>
    <n v="62890"/>
    <n v="62890"/>
    <n v="1"/>
    <n v="1412719"/>
    <n v="22.46333280330736"/>
    <n v="1001379"/>
    <n v="15.92270631260932"/>
    <d v="2019-11-25T00:00:00"/>
    <d v="2034-11-24T00:00:00"/>
    <d v="2029-11-25T00:00:00"/>
    <n v="12.62191780821918"/>
    <n v="7.621917808219179"/>
    <s v="Modified Gross"/>
    <s v="$312k drop at firm"/>
    <s v="None"/>
    <n v="16025200"/>
    <n v="254.8131658451264"/>
    <n v="0.06248776926341013"/>
    <m/>
    <d v="2022-04-14T00:00:00"/>
    <x v="69"/>
    <m/>
    <x v="1"/>
    <s v="IL"/>
    <s v="Private"/>
    <m/>
    <m/>
    <m/>
    <s v=" "/>
    <s v=" "/>
    <m/>
    <s v=" "/>
    <s v=" "/>
    <s v=" "/>
    <m/>
    <s v=" "/>
  </r>
  <r>
    <m/>
    <s v="VA/Vet Center"/>
    <s v="Federal"/>
    <s v="Fee Simple"/>
    <s v="3132 Lynnhurst Blvd"/>
    <s v="Chesapeake"/>
    <s v="VA"/>
    <n v="2.5"/>
    <n v="2004"/>
    <n v="5000"/>
    <n v="5000"/>
    <n v="1"/>
    <n v="152500"/>
    <n v="30.5"/>
    <n v="99297"/>
    <n v="19.8594"/>
    <d v="2019-03-01T00:00:00"/>
    <d v="2039-02-28T00:00:00"/>
    <d v="2029-02-28T00:00:00"/>
    <n v="16.88767123287671"/>
    <n v="6.882191780821918"/>
    <s v="Full Service"/>
    <s v="Year 11 &amp; 16, 3.5%"/>
    <s v="None"/>
    <n v="1625000"/>
    <n v="325"/>
    <n v="0.06110584615384616"/>
    <m/>
    <d v="2022-04-14T00:00:00"/>
    <x v="235"/>
    <s v="M&amp;M; Britti"/>
    <x v="173"/>
    <s v="MD"/>
    <s v="Private"/>
    <m/>
    <m/>
    <n v="1654950"/>
    <n v="0.06"/>
    <n v="0.9819027765189281"/>
    <n v="1654950"/>
    <n v="0.06"/>
    <n v="0.001105846153846159"/>
    <s v="No"/>
    <d v="2021-11-15T00:00:00"/>
    <n v="150"/>
  </r>
  <r>
    <m/>
    <s v="VA/CBOC"/>
    <s v="Federal"/>
    <s v="Fee Simple"/>
    <s v="333 Midway Rd SW"/>
    <s v="Marietta"/>
    <s v="GA"/>
    <n v="2.73"/>
    <n v="2020"/>
    <n v="13500"/>
    <n v="13500"/>
    <n v="1"/>
    <m/>
    <s v=" "/>
    <n v="357676"/>
    <n v="26.49451851851852"/>
    <d v="2020-02-01T00:00:00"/>
    <d v="2030-01-31T00:00:00"/>
    <d v="2030-01-31T00:00:00"/>
    <n v="7.805479452054795"/>
    <n v="7.805479452054795"/>
    <s v="Modified Gross"/>
    <s v="None"/>
    <s v="None"/>
    <n v="5502709"/>
    <n v="407.6080740740741"/>
    <n v="0.06499998455306287"/>
    <m/>
    <d v="2022-04-14T00:00:00"/>
    <x v="236"/>
    <s v="SJC; Powell"/>
    <x v="174"/>
    <s v="AK"/>
    <s v="Private"/>
    <m/>
    <m/>
    <n v="5502709"/>
    <n v="0.06499998455306287"/>
    <n v="1"/>
    <n v="5502709"/>
    <n v="0.06499998455306287"/>
    <n v="0"/>
    <s v="No"/>
    <d v="2019-08-07T00:00:00"/>
    <n v="981"/>
  </r>
  <r>
    <s v="LAZ03010"/>
    <s v="NPS"/>
    <s v="Federal"/>
    <s v="Fee Simple"/>
    <s v="691 Scenic View Rd"/>
    <s v="Page"/>
    <s v="AZ"/>
    <n v="4.27"/>
    <n v="1992"/>
    <n v="26826"/>
    <n v="26826"/>
    <n v="1"/>
    <n v="935387"/>
    <n v="34.86867218370238"/>
    <n v="694334"/>
    <n v="25.88287482293298"/>
    <d v="2013-02-01T00:00:00"/>
    <d v="2033-01-31T00:00:00"/>
    <d v="2028-01-31T00:00:00"/>
    <n v="10.80821917808219"/>
    <n v="5.802739726027397"/>
    <s v="Modified Gross"/>
    <s v="$115k drop at firm"/>
    <s v="None"/>
    <n v="9970000"/>
    <n v="371.6543651681205"/>
    <n v="0.06964232698094283"/>
    <m/>
    <d v="2022-04-14T00:00:00"/>
    <x v="69"/>
    <m/>
    <x v="1"/>
    <s v="IL"/>
    <s v="Private"/>
    <m/>
    <m/>
    <m/>
    <s v=" "/>
    <s v=" "/>
    <m/>
    <s v=" "/>
    <s v=" "/>
    <s v=" "/>
    <m/>
    <s v=" "/>
  </r>
  <r>
    <s v="LID00142"/>
    <s v="AOC"/>
    <s v="Federal"/>
    <s v="Fee Simple"/>
    <s v="801 E Sherman St"/>
    <s v="Pocatello"/>
    <s v="ID"/>
    <n v="2.08"/>
    <n v="1999"/>
    <n v="36818"/>
    <n v="36818"/>
    <n v="1"/>
    <n v="1339653"/>
    <n v="36.38581672008257"/>
    <n v="1113500"/>
    <n v="30.24335922646532"/>
    <d v="2019-03-29T00:00:00"/>
    <d v="2039-03-28T00:00:00"/>
    <d v="2034-03-28T00:00:00"/>
    <n v="16.96438356164384"/>
    <n v="11.96164383561644"/>
    <s v="Modified Gross"/>
    <s v="Flat"/>
    <s v="None"/>
    <n v="21280000"/>
    <n v="577.9781628551252"/>
    <n v="0.05232612781954887"/>
    <m/>
    <d v="2022-04-14T00:00:00"/>
    <x v="69"/>
    <m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94 Route 9"/>
    <s v="West Creek"/>
    <s v="NJ"/>
    <n v="0.2435"/>
    <n v="1967"/>
    <n v="1584"/>
    <n v="1584"/>
    <n v="1"/>
    <m/>
    <s v=" "/>
    <m/>
    <s v=" "/>
    <m/>
    <m/>
    <m/>
    <s v=" "/>
    <s v=" "/>
    <m/>
    <m/>
    <m/>
    <n v="355000"/>
    <n v="224.1161616161616"/>
    <s v=" "/>
    <m/>
    <d v="2022-04-13T00:00:00"/>
    <x v="8"/>
    <m/>
    <x v="66"/>
    <s v="CA"/>
    <s v="Private"/>
    <m/>
    <m/>
    <m/>
    <s v=" "/>
    <s v=" "/>
    <m/>
    <s v=" "/>
    <s v=" "/>
    <s v=" "/>
    <m/>
    <s v=" "/>
  </r>
  <r>
    <s v="LSC59114"/>
    <s v="SSA"/>
    <s v="Federal"/>
    <s v="Fee Simple"/>
    <s v="499 Lakeshore Pkwy"/>
    <s v="Rock Hill"/>
    <s v="SC"/>
    <n v="2.52"/>
    <n v="2011"/>
    <n v="12204"/>
    <n v="12204"/>
    <n v="1"/>
    <n v="317304"/>
    <n v="26"/>
    <n v="171146"/>
    <n v="14.02376270075385"/>
    <d v="2021-12-11T00:00:00"/>
    <d v="2036-12-10T00:00:00"/>
    <d v="2031-12-10T00:00:00"/>
    <n v="14.67945205479452"/>
    <n v="9.673972602739726"/>
    <s v="Modified Gross"/>
    <s v="Drops After 10"/>
    <s v="None"/>
    <n v="2900011"/>
    <n v="237.6279088823337"/>
    <n v="0.05901563821654469"/>
    <m/>
    <d v="2022-04-10T00:00:00"/>
    <x v="237"/>
    <s v="M&amp;M; Fenn"/>
    <x v="175"/>
    <s v="NC"/>
    <s v="Private"/>
    <s v="CharCom"/>
    <m/>
    <n v="2976446"/>
    <n v="0.05750011926975997"/>
    <n v="0.9743200447782355"/>
    <n v="2976446"/>
    <n v="0.05750011926975997"/>
    <n v="0.00151551894678472"/>
    <s v="No"/>
    <d v="2021-12-17T00:00:00"/>
    <n v="114"/>
  </r>
  <r>
    <m/>
    <s v="State of Louisiana"/>
    <s v="State"/>
    <s v="Fee Simple"/>
    <s v="8810 Jewella Ave"/>
    <s v="Shreveport"/>
    <s v="LA"/>
    <n v="18.76"/>
    <n v="1992"/>
    <n v="154003"/>
    <n v="154003"/>
    <n v="1"/>
    <n v="309924"/>
    <n v="2.012454302838256"/>
    <n v="309924"/>
    <n v="2.012454302838256"/>
    <m/>
    <d v="2023-05-31T00:00:00"/>
    <m/>
    <n v="1.145205479452055"/>
    <s v=" "/>
    <s v="Gross"/>
    <s v="At option"/>
    <s v="1, 5yr"/>
    <n v="3750000"/>
    <n v="24.35017499659098"/>
    <n v="0.08264639999999999"/>
    <m/>
    <d v="2022-04-08T00:00:00"/>
    <x v="238"/>
    <s v="Justin Langlois"/>
    <x v="176"/>
    <s v="TX"/>
    <s v="Private"/>
    <m/>
    <m/>
    <n v="3999000"/>
    <n v="0.07750037509377344"/>
    <n v="0.9377344336084021"/>
    <n v="3999000"/>
    <n v="0.07750037509377344"/>
    <n v="0.005146024906226551"/>
    <s v="No"/>
    <d v="2021-10-27T00:00:00"/>
    <n v="163"/>
  </r>
  <r>
    <m/>
    <s v="Dep't of Ag"/>
    <s v="State"/>
    <s v="Fee Simple"/>
    <s v="7031 E Hwy 290"/>
    <s v="Austin"/>
    <s v="TX"/>
    <n v="1.46"/>
    <n v="1981"/>
    <n v="15750"/>
    <n v="15750"/>
    <n v="1"/>
    <n v="165164"/>
    <n v="10.48660317460318"/>
    <n v="165164"/>
    <n v="10.48660317460318"/>
    <m/>
    <m/>
    <m/>
    <s v=" "/>
    <s v=" "/>
    <s v="Gross"/>
    <m/>
    <m/>
    <n v="2875000"/>
    <n v="182.5396825396825"/>
    <n v="0.05744834782608696"/>
    <m/>
    <d v="2022-04-05T00:00:00"/>
    <x v="239"/>
    <s v="M&amp;M; Abushagur"/>
    <x v="177"/>
    <s v="TX"/>
    <s v="Private"/>
    <m/>
    <m/>
    <n v="2800000"/>
    <n v="0.05898714285714286"/>
    <n v="1.026785714285714"/>
    <n v="2800000"/>
    <n v="0.05898714285714286"/>
    <n v="-0.001538795031055896"/>
    <s v="No"/>
    <d v="2022-01-13T00:00:00"/>
    <n v="82"/>
  </r>
  <r>
    <m/>
    <s v="VA"/>
    <s v="Federal"/>
    <s v="Fee Simple"/>
    <s v="7901 Crestwood Blvd"/>
    <s v="Birmingham"/>
    <s v="AL"/>
    <n v="2.91"/>
    <n v="2021"/>
    <n v="77128"/>
    <n v="77128"/>
    <n v="1"/>
    <n v="3154679"/>
    <n v="40.90186443315009"/>
    <n v="2183370"/>
    <n v="28.3083964319054"/>
    <d v="2021-09-01T00:00:00"/>
    <d v="2041-08-30T00:00:00"/>
    <d v="2041-08-30T00:00:00"/>
    <n v="19.41643835616438"/>
    <n v="19.41643835616438"/>
    <s v="Modified Gross"/>
    <s v="None"/>
    <s v="None"/>
    <n v="41588000"/>
    <n v="539.2075510839124"/>
    <n v="0.0525"/>
    <m/>
    <d v="2022-04-05T00:00:00"/>
    <x v="44"/>
    <s v="Newmark; Carr"/>
    <x v="3"/>
    <s v="DC"/>
    <s v="REIT"/>
    <m/>
    <m/>
    <m/>
    <s v=" "/>
    <s v=" "/>
    <m/>
    <s v=" "/>
    <s v=" "/>
    <s v=" "/>
    <m/>
    <s v=" "/>
  </r>
  <r>
    <m/>
    <s v="SSA"/>
    <s v="Federal"/>
    <s v="Fee Simple"/>
    <s v="1300-1302 Lafayette Pky"/>
    <s v="Lagrange"/>
    <s v="GA"/>
    <n v="4.6"/>
    <n v="2009"/>
    <n v="7365"/>
    <n v="42699"/>
    <n v="0.1724864750930935"/>
    <n v="173003.85"/>
    <n v="23.49"/>
    <m/>
    <s v=" "/>
    <d v="2021-09-14T00:00:00"/>
    <d v="2036-09-13T00:00:00"/>
    <d v="2031-09-13T00:00:00"/>
    <n v="14.45205479452055"/>
    <n v="9.446575342465753"/>
    <s v="Modified Gross"/>
    <s v="None"/>
    <s v="None"/>
    <n v="4429000"/>
    <n v="103.7260825780463"/>
    <s v=" "/>
    <m/>
    <d v="2022-04-05T00:00:00"/>
    <x v="240"/>
    <m/>
    <x v="178"/>
    <s v="GA"/>
    <s v="Private"/>
    <m/>
    <m/>
    <m/>
    <s v=" "/>
    <s v=" "/>
    <m/>
    <s v=" "/>
    <s v=" "/>
    <s v=" "/>
    <m/>
    <s v=" "/>
  </r>
  <r>
    <m/>
    <s v="BLM/FS"/>
    <s v="Federal"/>
    <s v="Leasehold"/>
    <s v="101 Sun Ave Ne"/>
    <s v="Albuquerque"/>
    <s v="NM"/>
    <n v="5.22"/>
    <n v="1989"/>
    <n v="165534"/>
    <n v="183000"/>
    <n v="0.9045573770491804"/>
    <m/>
    <s v=" "/>
    <n v="3836000"/>
    <n v="20.96174863387978"/>
    <m/>
    <d v="2025-01-31T00:00:00"/>
    <d v="2025-01-31T00:00:00"/>
    <n v="2.83013698630137"/>
    <n v="2.83013698630137"/>
    <s v="Modified Gross"/>
    <s v="None"/>
    <s v="None"/>
    <n v="43500000"/>
    <n v="237.7049180327869"/>
    <n v="0.08818390804597702"/>
    <m/>
    <d v="2022-04-04T00:00:00"/>
    <x v="241"/>
    <s v="Colliers; Martinez"/>
    <x v="1"/>
    <s v="IL"/>
    <s v="Private"/>
    <m/>
    <m/>
    <m/>
    <s v=" "/>
    <s v=" "/>
    <m/>
    <s v=" "/>
    <s v=" "/>
    <s v=" "/>
    <m/>
    <s v=" "/>
  </r>
  <r>
    <m/>
    <s v="MPS"/>
    <s v="State"/>
    <s v="Fee Simple"/>
    <s v="15-45 W Gude Dr"/>
    <s v="Rockville"/>
    <s v="MD"/>
    <n v="24.16"/>
    <n v="1986"/>
    <n v="112474"/>
    <n v="229186"/>
    <n v="0.4907542345518487"/>
    <m/>
    <s v=" "/>
    <n v="3740320.423004423"/>
    <n v="16.32002139312359"/>
    <m/>
    <d v="2032-12-31T00:00:00"/>
    <d v="2032-12-31T00:00:00"/>
    <n v="10.75068493150685"/>
    <n v="10.75068493150685"/>
    <s v="Full Service"/>
    <s v="2% annually"/>
    <s v="None"/>
    <n v="66000000"/>
    <n v="287.9757053223146"/>
    <n v="0.05667152156067307"/>
    <m/>
    <d v="2022-04-04T00:00:00"/>
    <x v="242"/>
    <m/>
    <x v="1"/>
    <s v="IL"/>
    <s v="Private"/>
    <m/>
    <m/>
    <m/>
    <s v=" "/>
    <s v=" "/>
    <m/>
    <s v=" "/>
    <s v=" "/>
    <s v=" "/>
    <m/>
    <s v=" "/>
  </r>
  <r>
    <m/>
    <s v="St. Tammany Parish"/>
    <s v="County"/>
    <s v="Fee Simple"/>
    <s v="1112 W 21st Ave"/>
    <s v="Covington"/>
    <s v="LA"/>
    <n v="0.41"/>
    <n v="2006"/>
    <n v="4400"/>
    <n v="4400"/>
    <n v="1"/>
    <n v="62544.96"/>
    <n v="14.21476363636364"/>
    <n v="62544.96"/>
    <n v="14.21476363636364"/>
    <m/>
    <d v="2023-03-31T00:00:00"/>
    <m/>
    <n v="0.9972602739726028"/>
    <s v=" "/>
    <s v="NNN"/>
    <s v="CPI annually"/>
    <s v="1, 2yr"/>
    <n v="850000"/>
    <n v="193.1818181818182"/>
    <n v="0.07358230588235294"/>
    <m/>
    <d v="2022-04-01T00:00:00"/>
    <x v="8"/>
    <s v="Steven Reisig"/>
    <x v="0"/>
    <m/>
    <m/>
    <m/>
    <m/>
    <n v="850000"/>
    <n v="0.07358230588235294"/>
    <n v="1"/>
    <n v="850000"/>
    <n v="0.07358230588235294"/>
    <n v="0"/>
    <s v="No"/>
    <d v="2022-01-17T00:00:00"/>
    <n v="74"/>
  </r>
  <r>
    <m/>
    <s v="DOE"/>
    <s v="Federal"/>
    <s v="Fee Simple"/>
    <s v="20251-20300 Century Blvd"/>
    <s v="Germantown"/>
    <s v="MD"/>
    <n v="8.35"/>
    <n v="1991"/>
    <n v="183973"/>
    <n v="239556"/>
    <n v="0.7679749202691646"/>
    <m/>
    <s v=" "/>
    <n v="2693125"/>
    <n v="11.24215214814073"/>
    <m/>
    <d v="2024-11-30T00:00:00"/>
    <d v="2024-11-30T00:00:00"/>
    <n v="2.668493150684931"/>
    <n v="2.668493150684931"/>
    <s v="Modified Gross"/>
    <s v="None"/>
    <s v="None"/>
    <n v="34750000"/>
    <n v="145.0600277179449"/>
    <n v="0.0775"/>
    <m/>
    <d v="2022-04-01T00:00:00"/>
    <x v="242"/>
    <s v="C&amp;W; Weinburg"/>
    <x v="1"/>
    <s v="IL"/>
    <s v="Private"/>
    <m/>
    <m/>
    <m/>
    <s v=" "/>
    <s v=" "/>
    <m/>
    <s v=" "/>
    <s v=" "/>
    <s v=" "/>
    <m/>
    <s v=" "/>
  </r>
  <r>
    <m/>
    <s v="State"/>
    <s v="State"/>
    <s v="Fee Simple"/>
    <s v="100 W Randolph"/>
    <s v="Chicago"/>
    <s v="IL"/>
    <n v="33.57"/>
    <n v="1986"/>
    <n v="487000"/>
    <n v="1200000"/>
    <n v="0.4058333333333333"/>
    <m/>
    <s v=" "/>
    <m/>
    <s v=" "/>
    <m/>
    <m/>
    <m/>
    <s v=" "/>
    <s v=" "/>
    <m/>
    <m/>
    <m/>
    <n v="70000000"/>
    <n v="58.33333333333334"/>
    <s v=" "/>
    <m/>
    <d v="2022-03-31T00:00:00"/>
    <x v="243"/>
    <m/>
    <x v="179"/>
    <s v="IL"/>
    <s v="Private"/>
    <m/>
    <m/>
    <m/>
    <s v=" "/>
    <s v=" "/>
    <m/>
    <s v=" "/>
    <s v=" "/>
    <s v=" "/>
    <m/>
    <s v=" "/>
  </r>
  <r>
    <m/>
    <s v="IRS/DOD"/>
    <s v="Federal"/>
    <s v="Fee Simple"/>
    <s v="1899 Powers Ferry Rd"/>
    <s v="Atlanta"/>
    <s v="GA"/>
    <n v="4.04"/>
    <n v="1986"/>
    <n v="18500"/>
    <n v="88414"/>
    <n v="0.2092428800868641"/>
    <n v="2113978.74"/>
    <n v="114.2691210810811"/>
    <n v="1401567.90462"/>
    <n v="15.85233"/>
    <m/>
    <m/>
    <m/>
    <s v=" "/>
    <s v=" "/>
    <m/>
    <m/>
    <m/>
    <n v="11993000"/>
    <n v="135.6459384260411"/>
    <n v="0.1168654969248729"/>
    <m/>
    <d v="2022-03-29T00:00:00"/>
    <x v="244"/>
    <m/>
    <x v="180"/>
    <s v="GA"/>
    <s v="Private"/>
    <m/>
    <m/>
    <m/>
    <s v=" "/>
    <s v=" "/>
    <m/>
    <s v=" "/>
    <s v=" "/>
    <s v=" "/>
    <m/>
    <s v=" "/>
  </r>
  <r>
    <m/>
    <s v="DEQ"/>
    <s v="State"/>
    <s v="Fee Simple"/>
    <s v="2100 W M-32"/>
    <s v="Gaylord"/>
    <s v="MI"/>
    <n v="3.53"/>
    <n v="1999"/>
    <n v="15000"/>
    <n v="15000"/>
    <n v="1"/>
    <n v="180000"/>
    <n v="12"/>
    <n v="126173"/>
    <n v="8.411533333333333"/>
    <d v="1999-11-01T00:00:00"/>
    <d v="2026-10-31T00:00:00"/>
    <d v="2021-10-31T00:00:00"/>
    <n v="4.597260273972603"/>
    <n v="-0.4054794520547945"/>
    <s v="Modified Gross"/>
    <s v="None"/>
    <s v="None"/>
    <n v="1361750"/>
    <n v="90.78333333333333"/>
    <n v="0.09265503947126859"/>
    <m/>
    <d v="2022-03-28T00:00:00"/>
    <x v="245"/>
    <s v="SJC; Tremblay"/>
    <x v="181"/>
    <s v="MI"/>
    <s v="Private"/>
    <m/>
    <m/>
    <n v="1484383"/>
    <n v="0.08500029978785799"/>
    <n v="0.9173845294644307"/>
    <n v="1484383"/>
    <n v="0.08500029978785799"/>
    <n v="0.0076547396834106"/>
    <s v="No"/>
    <d v="2021-11-18T00:00:00"/>
    <n v="130"/>
  </r>
  <r>
    <m/>
    <s v="NYPD"/>
    <s v="Municipal"/>
    <s v="Leasehold"/>
    <s v="11 Metrotech Ctr"/>
    <s v="Brooklyn"/>
    <s v="NY"/>
    <n v="0.84"/>
    <n v="1994"/>
    <n v="216000"/>
    <n v="216000"/>
    <n v="1"/>
    <m/>
    <s v=" "/>
    <n v="8920674"/>
    <n v="41.29941666666667"/>
    <m/>
    <d v="2030-03-31T00:00:00"/>
    <d v="2030-03-31T00:00:00"/>
    <n v="8.021917808219179"/>
    <n v="8.021917808219179"/>
    <s v="Full Service"/>
    <s v="2% annually"/>
    <s v="None"/>
    <n v="121000000"/>
    <n v="560.1851851851852"/>
    <n v="0.07372457851239669"/>
    <m/>
    <d v="2022-03-25T00:00:00"/>
    <x v="246"/>
    <s v="Newmark; Seigel"/>
    <x v="1"/>
    <s v="IL"/>
    <s v="Private"/>
    <m/>
    <m/>
    <m/>
    <s v=" "/>
    <s v=" "/>
    <m/>
    <s v=" "/>
    <s v=" "/>
    <s v=" "/>
    <m/>
    <s v=" "/>
  </r>
  <r>
    <s v="LWI19441"/>
    <s v="MEPS"/>
    <s v="Federal"/>
    <s v="Fee Simple"/>
    <s v="11050 W Liberty Dr"/>
    <s v="Milwaukee"/>
    <s v="WI"/>
    <n v="7"/>
    <n v="2006"/>
    <n v="29297"/>
    <n v="29297"/>
    <n v="1"/>
    <n v="834574.16"/>
    <n v="28.48667645151381"/>
    <m/>
    <s v=" "/>
    <d v="2016-07-01T00:00:00"/>
    <d v="2026-06-30T00:00:00"/>
    <d v="2021-06-30T00:00:00"/>
    <n v="4.268493150684932"/>
    <n v="-0.7342465753424657"/>
    <s v="Modified Gross"/>
    <s v="None"/>
    <s v="None"/>
    <n v="3850000"/>
    <n v="131.4127726388367"/>
    <s v=" "/>
    <m/>
    <d v="2022-03-25T00:00:00"/>
    <x v="247"/>
    <m/>
    <x v="62"/>
    <s v="IL"/>
    <s v="Private"/>
    <m/>
    <m/>
    <m/>
    <s v=" "/>
    <s v=" "/>
    <m/>
    <s v=" "/>
    <s v=" "/>
    <s v=" "/>
    <m/>
    <s v=" "/>
  </r>
  <r>
    <s v="LKS00068"/>
    <s v="SSA"/>
    <s v="Federal"/>
    <s v="Fee Simple"/>
    <s v="1440 Wakarusa Dr"/>
    <s v="Lawrence"/>
    <s v="KS"/>
    <n v="2"/>
    <n v="1994"/>
    <n v="8042"/>
    <n v="27564"/>
    <n v="0.2917573646785662"/>
    <n v="226402"/>
    <n v="28.15244963939319"/>
    <m/>
    <s v=" "/>
    <d v="2018-12-01T00:00:00"/>
    <d v="2028-11-30T00:00:00"/>
    <d v="2025-12-01T00:00:00"/>
    <n v="6.693150684931507"/>
    <n v="3.693150684931507"/>
    <s v="Modified Gross"/>
    <s v="None"/>
    <s v="None"/>
    <n v="2200000"/>
    <n v="79.81425047162966"/>
    <s v=" "/>
    <m/>
    <d v="2022-03-24T00:00:00"/>
    <x v="248"/>
    <s v="Colliers; Moore"/>
    <x v="182"/>
    <s v="KS"/>
    <s v="Private"/>
    <m/>
    <m/>
    <n v="2950000"/>
    <s v=" "/>
    <n v="0.7457627118644068"/>
    <n v="260000"/>
    <s v=" "/>
    <s v=" "/>
    <s v="Yes"/>
    <d v="2019-12-30T00:00:00"/>
    <n v="815"/>
  </r>
  <r>
    <s v="LNC01030"/>
    <m/>
    <s v="Federal"/>
    <s v="Fee Simple"/>
    <s v="103 Outerbanks Dr"/>
    <s v="Havelock"/>
    <s v="NC"/>
    <n v="9.19"/>
    <n v="1991"/>
    <n v="25500"/>
    <n v="75000"/>
    <n v="0.34"/>
    <n v="404175"/>
    <n v="15.85"/>
    <m/>
    <s v=" "/>
    <d v="2019-10-18T00:00:00"/>
    <d v="2024-10-17T00:00:00"/>
    <d v="2024-10-17T00:00:00"/>
    <n v="2.575342465753425"/>
    <n v="2.575342465753425"/>
    <s v="Modified Gross"/>
    <s v="None"/>
    <s v="None"/>
    <n v="26650000"/>
    <n v="355.3333333333333"/>
    <s v=" "/>
    <m/>
    <d v="2022-03-22T00:00:00"/>
    <x v="249"/>
    <m/>
    <x v="1"/>
    <s v="IL"/>
    <s v="Private"/>
    <m/>
    <m/>
    <m/>
    <s v=" "/>
    <s v=" "/>
    <m/>
    <s v=" "/>
    <s v=" "/>
    <s v=" "/>
    <m/>
    <s v=" "/>
  </r>
  <r>
    <m/>
    <s v="State of Michigan"/>
    <s v="State"/>
    <s v="Fee Simple"/>
    <s v="2229 Summit Park Dr"/>
    <s v="Petoskey"/>
    <s v="MI"/>
    <n v="1.95"/>
    <n v="2001"/>
    <n v="12700"/>
    <n v="12700"/>
    <n v="1"/>
    <n v="180213"/>
    <n v="14.19"/>
    <m/>
    <s v=" "/>
    <d v="2001-08-01T00:00:00"/>
    <d v="2026-07-31T00:00:00"/>
    <d v="2021-07-31T00:00:00"/>
    <n v="4.361643835616438"/>
    <n v="-0.6410958904109589"/>
    <s v="Modified Gross"/>
    <m/>
    <m/>
    <n v="1408334"/>
    <n v="110.8924409448819"/>
    <s v=" "/>
    <m/>
    <d v="2022-03-22T00:00:00"/>
    <x v="245"/>
    <s v="SJC; Tremblay"/>
    <x v="183"/>
    <s v="MI"/>
    <s v="Private"/>
    <m/>
    <m/>
    <n v="1622896"/>
    <s v=" "/>
    <n v="0.867790665575613"/>
    <n v="1622896"/>
    <s v=" "/>
    <s v=" "/>
    <s v="No"/>
    <d v="2021-07-23T00:00:00"/>
    <n v="242"/>
  </r>
  <r>
    <m/>
    <s v="AG"/>
    <s v="State"/>
    <s v="Leasehold"/>
    <s v="7141 Cleanwater Lane"/>
    <s v="Tumwater"/>
    <s v="WA"/>
    <m/>
    <m/>
    <n v="148311"/>
    <n v="148311"/>
    <n v="1"/>
    <m/>
    <s v=" "/>
    <m/>
    <s v=" "/>
    <m/>
    <d v="2031-11-30T00:00:00"/>
    <d v="2031-11-30T00:00:00"/>
    <n v="9.698630136986301"/>
    <n v="9.698630136986301"/>
    <s v="Full Service"/>
    <m/>
    <m/>
    <n v="39750000"/>
    <n v="268.0178813439327"/>
    <s v=" "/>
    <m/>
    <d v="2022-03-22T00:00:00"/>
    <x v="250"/>
    <s v="CPX; Gellner"/>
    <x v="2"/>
    <s v="VA"/>
    <s v="Private"/>
    <m/>
    <m/>
    <m/>
    <s v=" "/>
    <s v=" "/>
    <m/>
    <s v=" "/>
    <s v=" "/>
    <s v=" "/>
    <m/>
    <s v=" "/>
  </r>
  <r>
    <m/>
    <s v="VA"/>
    <s v="Federal"/>
    <s v="Fee Simple"/>
    <s v="1670 South Blvd"/>
    <s v="Baraboo"/>
    <s v="WI"/>
    <n v="0.86"/>
    <n v="2013"/>
    <n v="9012"/>
    <n v="9012"/>
    <n v="1"/>
    <m/>
    <s v=" "/>
    <m/>
    <s v=" "/>
    <m/>
    <m/>
    <m/>
    <s v=" "/>
    <s v=" "/>
    <m/>
    <m/>
    <m/>
    <n v="1750000"/>
    <n v="194.1855304039059"/>
    <s v=" "/>
    <m/>
    <d v="2022-03-18T00:00:00"/>
    <x v="251"/>
    <s v="FWG; Wegner"/>
    <x v="184"/>
    <s v="WI"/>
    <s v="Private"/>
    <s v="Bill Ranguette"/>
    <m/>
    <n v="1750000"/>
    <s v=" "/>
    <n v="1"/>
    <n v="1750000"/>
    <s v=" "/>
    <s v=" "/>
    <s v="No"/>
    <d v="2021-12-08T00:00:00"/>
    <n v="100"/>
  </r>
  <r>
    <s v="LCA02578"/>
    <s v="SSA/State"/>
    <s v="Federal &amp; State"/>
    <s v="Fee Simple"/>
    <s v="1370 E Lassen Ave"/>
    <s v="Chico"/>
    <s v="CA"/>
    <n v="3"/>
    <n v="1984"/>
    <n v="11144"/>
    <n v="18402"/>
    <n v="0.6055863493098577"/>
    <n v="483618.8"/>
    <n v="43.39723618090452"/>
    <n v="427113"/>
    <n v="23.21014020215194"/>
    <d v="2011-10-05T00:00:00"/>
    <d v="2026-10-04T00:00:00"/>
    <d v="2021-10-05T00:00:00"/>
    <n v="4.550684931506849"/>
    <n v="-0.4493150684931507"/>
    <s v="Modified Gross"/>
    <s v="None"/>
    <s v="None"/>
    <n v="6400000"/>
    <n v="347.7882838821867"/>
    <n v="0.06673640625"/>
    <m/>
    <d v="2022-03-18T00:00:00"/>
    <x v="252"/>
    <s v="CBRE; Getz"/>
    <x v="185"/>
    <s v="CA"/>
    <s v="Private"/>
    <s v="SBC; Tamimi"/>
    <m/>
    <n v="6578004"/>
    <n v="0.06493048651232197"/>
    <n v="0.9729395117424677"/>
    <n v="6578004"/>
    <n v="0.06493048651232197"/>
    <n v="0.001805919737678033"/>
    <s v="No"/>
    <d v="2021-10-18T00:00:00"/>
    <n v="151"/>
  </r>
  <r>
    <m/>
    <s v="VA"/>
    <s v="Federal"/>
    <s v="Fee Simple"/>
    <s v="2296 Henderson Mill Rd NE"/>
    <s v="Atlanta"/>
    <s v="GA"/>
    <n v="2.88"/>
    <n v="1981"/>
    <n v="11866"/>
    <n v="73953"/>
    <n v="0.1604532608548673"/>
    <m/>
    <s v=" "/>
    <m/>
    <s v=" "/>
    <m/>
    <m/>
    <m/>
    <s v=" "/>
    <s v=" "/>
    <m/>
    <m/>
    <m/>
    <n v="9000000"/>
    <n v="121.6989168796398"/>
    <s v=" "/>
    <m/>
    <d v="2022-03-15T00:00:00"/>
    <x v="253"/>
    <s v="Bull; Neal"/>
    <x v="186"/>
    <s v="GA"/>
    <s v="Private"/>
    <m/>
    <m/>
    <m/>
    <s v=" "/>
    <s v=" "/>
    <m/>
    <s v=" "/>
    <s v=" "/>
    <s v=" "/>
    <m/>
    <s v=" "/>
  </r>
  <r>
    <m/>
    <s v="DFCS"/>
    <s v="State"/>
    <s v="Fee Simple"/>
    <m/>
    <s v="Lavonia"/>
    <s v="GA"/>
    <m/>
    <n v="2021"/>
    <n v="11622"/>
    <n v="11622"/>
    <n v="1"/>
    <n v="339943"/>
    <n v="29.2499569781449"/>
    <n v="296491.5"/>
    <n v="25.51122870418173"/>
    <d v="2021-03-01T00:00:00"/>
    <d v="2041-02-28T00:00:00"/>
    <d v="2021-03-31T00:00:00"/>
    <n v="18.97260273972603"/>
    <n v="-0.9561643835616438"/>
    <s v="Full Service"/>
    <s v="2% annually"/>
    <s v="None"/>
    <n v="4821000"/>
    <n v="414.8167268972638"/>
    <n v="0.0615"/>
    <m/>
    <d v="2022-03-15T00:00:00"/>
    <x v="254"/>
    <s v="SJC; Briggs"/>
    <x v="187"/>
    <s v="MD"/>
    <s v="Private"/>
    <m/>
    <m/>
    <n v="5647457.142857143"/>
    <n v="0.0525"/>
    <n v="0.8536585365853658"/>
    <n v="5011000"/>
    <n v="0.05916813011374975"/>
    <n v="0.002331869886250247"/>
    <s v="Yes"/>
    <d v="2021-02-26T00:00:00"/>
    <n v="382"/>
  </r>
  <r>
    <m/>
    <s v="GSA"/>
    <s v="Federal"/>
    <s v="Fee Simple"/>
    <s v="2125 E Katella Ave"/>
    <s v="Anaheim"/>
    <s v="CA"/>
    <n v="4.5"/>
    <n v="2000"/>
    <n v="101095"/>
    <n v="101095"/>
    <n v="1"/>
    <n v="3487777.5"/>
    <n v="34.5"/>
    <n v="1904027.5"/>
    <n v="18.83404223749938"/>
    <m/>
    <m/>
    <m/>
    <s v=" "/>
    <s v=" "/>
    <m/>
    <m/>
    <m/>
    <n v="31500000"/>
    <n v="311.5881101933825"/>
    <n v="0.06044531746031746"/>
    <m/>
    <d v="2022-03-14T00:00:00"/>
    <x v="255"/>
    <s v="Newmark; Shannon"/>
    <x v="188"/>
    <s v="NV"/>
    <s v="Private"/>
    <m/>
    <m/>
    <m/>
    <s v=" "/>
    <s v=" "/>
    <m/>
    <s v=" "/>
    <s v=" "/>
    <s v=" "/>
    <m/>
    <s v=" "/>
  </r>
  <r>
    <m/>
    <s v="VA"/>
    <s v="Federal"/>
    <s v="Fee Simple"/>
    <s v="260 E University Ave"/>
    <s v="Cincinnati"/>
    <s v="OH"/>
    <n v="0.18"/>
    <n v="2006"/>
    <n v="10688"/>
    <n v="10688"/>
    <n v="1"/>
    <m/>
    <s v=" "/>
    <m/>
    <s v=" "/>
    <m/>
    <m/>
    <m/>
    <s v=" "/>
    <s v=" "/>
    <m/>
    <m/>
    <m/>
    <n v="2800000"/>
    <n v="261.9760479041916"/>
    <s v=" "/>
    <m/>
    <d v="2022-03-11T00:00:00"/>
    <x v="256"/>
    <s v="C&amp;W; Sullivan"/>
    <x v="62"/>
    <s v="IL"/>
    <s v="Private"/>
    <m/>
    <m/>
    <m/>
    <s v=" "/>
    <s v=" "/>
    <m/>
    <s v=" "/>
    <s v=" "/>
    <s v=" "/>
    <m/>
    <s v=" "/>
  </r>
  <r>
    <m/>
    <s v="USDA"/>
    <s v="Federal"/>
    <s v="Fee Simple"/>
    <s v="5218 New York 414"/>
    <s v="Hector"/>
    <s v="NY"/>
    <n v="5"/>
    <n v="1995"/>
    <n v="5225"/>
    <n v="5225"/>
    <n v="1"/>
    <n v="67563"/>
    <n v="12.93071770334928"/>
    <n v="51482"/>
    <n v="9.853014354066985"/>
    <d v="2013-06-01T00:00:00"/>
    <d v="2028-05-31T00:00:00"/>
    <d v="2023-05-31T00:00:00"/>
    <n v="6.227397260273973"/>
    <n v="1.221917808219178"/>
    <s v="Modified Gross"/>
    <s v="None"/>
    <s v="None"/>
    <n v="438000"/>
    <n v="83.82775119617224"/>
    <n v="0.1175388127853881"/>
    <m/>
    <d v="2022-03-11T00:00:00"/>
    <x v="257"/>
    <s v="Christian Tremblay"/>
    <x v="189"/>
    <m/>
    <m/>
    <m/>
    <m/>
    <n v="571381"/>
    <n v="0.09010100090832562"/>
    <n v="0.7665638164377184"/>
    <n v="571381"/>
    <n v="0.09010100090832562"/>
    <n v="0.0274378118770625"/>
    <s v="No"/>
    <d v="2021-08-25T00:00:00"/>
    <n v="198"/>
  </r>
  <r>
    <m/>
    <s v="DOCR"/>
    <s v="State"/>
    <s v="Fee Simple"/>
    <s v="814 Court St"/>
    <s v="Woodland"/>
    <s v="CA"/>
    <n v="0.48"/>
    <n v="2000"/>
    <n v="5849"/>
    <n v="5849"/>
    <n v="1"/>
    <m/>
    <s v=" "/>
    <n v="69445"/>
    <n v="11.87296973841682"/>
    <m/>
    <d v="2030-06-30T00:00:00"/>
    <d v="2025-06-30T00:00:00"/>
    <n v="8.312328767123288"/>
    <n v="3.309589041095891"/>
    <s v="Full Service"/>
    <s v="None"/>
    <s v="None"/>
    <n v="1075000"/>
    <n v="183.7921012138827"/>
    <n v="0.0646"/>
    <m/>
    <d v="2022-03-10T00:00:00"/>
    <x v="258"/>
    <m/>
    <x v="190"/>
    <s v="CA"/>
    <s v="Private"/>
    <m/>
    <m/>
    <n v="1300000"/>
    <n v="0.05341923076923077"/>
    <n v="0.8269230769230769"/>
    <n v="1300000"/>
    <n v="0.05341923076923077"/>
    <n v="0.01118076923076924"/>
    <s v="No"/>
    <d v="2021-07-08T00:00:00"/>
    <n v="245"/>
  </r>
  <r>
    <m/>
    <s v="County of San Bernardino"/>
    <s v="State"/>
    <s v="Fee Simple"/>
    <s v="459 E Industrial Rd"/>
    <s v="San Bernardino"/>
    <s v="CA"/>
    <n v="0.49"/>
    <n v="2007"/>
    <n v="9574"/>
    <n v="9574"/>
    <n v="1"/>
    <n v="99750"/>
    <n v="10.41884269897639"/>
    <n v="99750"/>
    <n v="10.41884269897639"/>
    <m/>
    <d v="2022-10-31T00:00:00"/>
    <d v="2022-10-31T00:00:00"/>
    <n v="0.6465753424657534"/>
    <n v="0.6465753424657534"/>
    <s v="Modified Gross"/>
    <s v="FMV"/>
    <s v="1, 3 yr"/>
    <n v="2150000"/>
    <n v="224.5665343639022"/>
    <n v="0.0463953488372093"/>
    <m/>
    <d v="2022-03-09T00:00:00"/>
    <x v="259"/>
    <s v="TVM; Atura"/>
    <x v="191"/>
    <s v="CA"/>
    <s v="Private"/>
    <m/>
    <m/>
    <n v="1995000"/>
    <n v="0.05"/>
    <n v="1.077694235588972"/>
    <n v="1995000"/>
    <n v="0.05"/>
    <n v="-0.003604651162790698"/>
    <s v="No"/>
    <d v="2021-11-03T00:00:00"/>
    <n v="126"/>
  </r>
  <r>
    <m/>
    <s v="DHS"/>
    <s v="State"/>
    <s v="Fee Simple"/>
    <s v="3809 Airport Plaza Dr"/>
    <s v="Texarkana"/>
    <s v="AR"/>
    <n v="6.22"/>
    <n v="2001"/>
    <n v="25000"/>
    <n v="25000"/>
    <n v="1"/>
    <m/>
    <s v=" "/>
    <m/>
    <s v=" "/>
    <m/>
    <m/>
    <m/>
    <s v=" "/>
    <s v=" "/>
    <m/>
    <m/>
    <m/>
    <n v="2530000"/>
    <n v="101.2"/>
    <s v=" "/>
    <m/>
    <d v="2022-03-09T00:00:00"/>
    <x v="260"/>
    <s v="Colliers; Ficke"/>
    <x v="0"/>
    <m/>
    <s v="Private"/>
    <m/>
    <m/>
    <m/>
    <s v=" "/>
    <s v=" "/>
    <m/>
    <s v=" "/>
    <s v=" "/>
    <s v=" "/>
    <m/>
    <s v=" "/>
  </r>
  <r>
    <m/>
    <s v="DOC"/>
    <s v="State"/>
    <s v="Fee Simple"/>
    <s v="307-309 W Adams St"/>
    <s v="Ionia"/>
    <s v="MI"/>
    <n v="1.38"/>
    <n v="1965"/>
    <n v="8410"/>
    <n v="8410"/>
    <n v="1"/>
    <n v="23442"/>
    <n v="2.787395957193817"/>
    <n v="23442"/>
    <n v="2.787395957193817"/>
    <m/>
    <d v="2029-01-15T00:00:00"/>
    <d v="2029-01-15T00:00:00"/>
    <n v="6.863013698630137"/>
    <n v="6.863013698630137"/>
    <m/>
    <m/>
    <m/>
    <m/>
    <s v=" "/>
    <s v=" "/>
    <m/>
    <d v="2022-03-08T00:00:00"/>
    <x v="8"/>
    <s v="Jim Rundell"/>
    <x v="0"/>
    <m/>
    <m/>
    <m/>
    <m/>
    <n v="275000"/>
    <n v="0.08524363636363637"/>
    <s v=" "/>
    <n v="275000"/>
    <n v="0.08524363636363637"/>
    <s v=" "/>
    <s v="No"/>
    <d v="2021-02-08T00:00:00"/>
    <n v="393"/>
  </r>
  <r>
    <s v="LVA12013"/>
    <s v="SSA"/>
    <s v="Federal"/>
    <s v="Fee Simple"/>
    <s v="9911-15 Jefferson Davis Hwy"/>
    <s v="Fredericksburg"/>
    <s v="VA"/>
    <n v="1.77"/>
    <n v="2008"/>
    <n v="9139"/>
    <n v="16680"/>
    <n v="0.5479016786570743"/>
    <n v="305010.29"/>
    <n v="33.37458036984353"/>
    <m/>
    <s v=" "/>
    <d v="2012-12-10T00:00:00"/>
    <d v="2022-12-09T00:00:00"/>
    <d v="2020-12-10T00:00:00"/>
    <n v="0.7671232876712328"/>
    <n v="-1.23013698630137"/>
    <s v="Modified Gross"/>
    <s v="None"/>
    <s v="None"/>
    <n v="3000000"/>
    <n v="179.8561151079137"/>
    <s v=" "/>
    <m/>
    <d v="2022-03-04T00:00:00"/>
    <x v="261"/>
    <m/>
    <x v="192"/>
    <s v="VA"/>
    <s v="Private"/>
    <m/>
    <m/>
    <m/>
    <s v=" "/>
    <s v=" "/>
    <m/>
    <s v=" "/>
    <s v=" "/>
    <s v=" "/>
    <m/>
    <s v=" "/>
  </r>
  <r>
    <m/>
    <s v="CSP"/>
    <s v="State"/>
    <s v="Fee Simple"/>
    <s v="2127 Grand Blvd"/>
    <s v="Holiday"/>
    <s v="FL"/>
    <n v="4.77"/>
    <n v="1972"/>
    <n v="22814"/>
    <n v="22814"/>
    <n v="1"/>
    <m/>
    <s v=" "/>
    <n v="189750"/>
    <n v="8.317261330761813"/>
    <m/>
    <d v="2024-03-31T00:00:00"/>
    <m/>
    <n v="2.076712328767123"/>
    <s v=" "/>
    <s v="Full Service"/>
    <s v="None"/>
    <s v="None"/>
    <n v="1995000"/>
    <n v="87.4463049004997"/>
    <n v="0.09511278195488722"/>
    <m/>
    <d v="2022-03-04T00:00:00"/>
    <x v="20"/>
    <s v="Steve Klein"/>
    <x v="193"/>
    <s v="FL"/>
    <s v="Private"/>
    <m/>
    <m/>
    <n v="1995000"/>
    <n v="0.09511278195488722"/>
    <n v="1"/>
    <n v="1995000"/>
    <n v="0.09511278195488722"/>
    <n v="0"/>
    <s v="No"/>
    <d v="2021-03-11T00:00:00"/>
    <n v="358"/>
  </r>
  <r>
    <m/>
    <s v="VA"/>
    <s v="Federal"/>
    <s v="Fee Simple"/>
    <s v="4219 Chestnut St"/>
    <s v="Philadelphia"/>
    <s v="PA"/>
    <n v="0.29"/>
    <n v="2009"/>
    <n v="8762"/>
    <n v="8762"/>
    <n v="1"/>
    <m/>
    <s v=" "/>
    <n v="442800"/>
    <n v="50.53640721296507"/>
    <m/>
    <d v="2031-08-31T00:00:00"/>
    <d v="2031-08-31T00:00:00"/>
    <n v="9.501369863013698"/>
    <n v="9.501369863013698"/>
    <s v="Modified Gross"/>
    <s v="None"/>
    <s v="None"/>
    <n v="8200000"/>
    <n v="935.8593928326866"/>
    <n v="0.054"/>
    <m/>
    <d v="2022-03-03T00:00:00"/>
    <x v="262"/>
    <m/>
    <x v="194"/>
    <s v="PA"/>
    <s v="Private"/>
    <m/>
    <m/>
    <m/>
    <s v=" "/>
    <s v=" "/>
    <m/>
    <s v=" "/>
    <s v=" "/>
    <s v=" "/>
    <m/>
    <s v=" "/>
  </r>
  <r>
    <m/>
    <s v="BLM"/>
    <s v="Federal"/>
    <s v="Fee Simple"/>
    <s v="4701 N Torrey Pines Dr"/>
    <s v="Las Vegas"/>
    <s v="NV"/>
    <n v="5.09"/>
    <n v="2002"/>
    <n v="43245"/>
    <n v="43245"/>
    <n v="1"/>
    <n v="833621"/>
    <n v="19.27670250896058"/>
    <n v="708190"/>
    <n v="16.37622846571858"/>
    <m/>
    <d v="2027-01-23T00:00:00"/>
    <d v="2027-01-24T00:00:00"/>
    <n v="4.901369863013699"/>
    <n v="4.904109589041096"/>
    <s v="Modified Gross"/>
    <s v="None"/>
    <s v="None"/>
    <n v="10570000"/>
    <n v="244.4213203838594"/>
    <n v="0.067"/>
    <m/>
    <d v="2022-03-01T00:00:00"/>
    <x v="20"/>
    <s v="Colliers; Ficke"/>
    <x v="195"/>
    <s v="CA"/>
    <s v="Private"/>
    <s v="M&amp;M; Mobin"/>
    <m/>
    <m/>
    <s v=" "/>
    <s v=" "/>
    <m/>
    <s v=" "/>
    <s v=" "/>
    <s v=" "/>
    <m/>
    <s v=" "/>
  </r>
  <r>
    <s v="LVA00499"/>
    <s v="DEA"/>
    <s v="Federal"/>
    <s v="Fee Simple"/>
    <s v="20 Greenspring Dr"/>
    <s v="Stafford"/>
    <s v="VA"/>
    <n v="4.27"/>
    <n v="1997"/>
    <n v="34383"/>
    <n v="53408"/>
    <n v="0.6437799580587178"/>
    <n v="983237.38"/>
    <n v="28.59661402437251"/>
    <n v="890000"/>
    <n v="16.66417016177352"/>
    <d v="2021-08-17T00:00:00"/>
    <d v="2041-08-16T00:00:00"/>
    <d v="2036-08-17T00:00:00"/>
    <n v="19.47397260273972"/>
    <n v="14.47397260273973"/>
    <s v="Modified Gross"/>
    <s v="None"/>
    <s v="None"/>
    <n v="13500000"/>
    <n v="252.771120431396"/>
    <n v="0.06592592592592593"/>
    <m/>
    <d v="2022-03-01T00:00:00"/>
    <x v="263"/>
    <s v="AY; Weber"/>
    <x v="196"/>
    <s v="WI"/>
    <s v="Private"/>
    <m/>
    <m/>
    <m/>
    <s v=" "/>
    <s v=" "/>
    <m/>
    <s v=" "/>
    <s v=" "/>
    <s v=" "/>
    <m/>
    <s v=" "/>
  </r>
  <r>
    <m/>
    <s v="AG"/>
    <s v="Federal"/>
    <s v="Fee Simple"/>
    <s v="601 D St NW"/>
    <s v="Washington"/>
    <s v="DC"/>
    <n v="1.23"/>
    <n v="1997"/>
    <n v="513652"/>
    <n v="513652"/>
    <n v="1"/>
    <m/>
    <s v=" "/>
    <m/>
    <s v=" "/>
    <m/>
    <d v="2035-06-30T00:00:00"/>
    <d v="2035-06-30T00:00:00"/>
    <n v="13.33972602739726"/>
    <n v="13.33972602739726"/>
    <s v="Modified Gross"/>
    <s v="None"/>
    <s v="None"/>
    <n v="375431522"/>
    <n v="730.9063763014648"/>
    <s v=" "/>
    <m/>
    <d v="2022-03-01T00:00:00"/>
    <x v="264"/>
    <m/>
    <x v="197"/>
    <m/>
    <s v="Cross-Border"/>
    <m/>
    <m/>
    <m/>
    <s v=" "/>
    <s v=" "/>
    <m/>
    <s v=" "/>
    <s v=" "/>
    <s v=" "/>
    <m/>
    <s v=" "/>
  </r>
  <r>
    <m/>
    <s v="DPSS"/>
    <s v="State"/>
    <s v="Fee Simple"/>
    <s v="56357 Pima Trail"/>
    <s v="Yucca Valley"/>
    <s v="CA"/>
    <n v="2.72"/>
    <n v="1994"/>
    <n v="25000"/>
    <n v="25000"/>
    <n v="1"/>
    <n v="396768"/>
    <n v="15.87072"/>
    <n v="396768"/>
    <n v="15.87072"/>
    <d v="2011-02-01T00:00:00"/>
    <d v="2026-01-31T00:00:00"/>
    <d v="2026-01-31T00:00:00"/>
    <n v="3.923287671232877"/>
    <n v="3.923287671232877"/>
    <s v="Full Service"/>
    <s v="None"/>
    <s v="None"/>
    <n v="4995000"/>
    <n v="199.8"/>
    <n v="0.07943303303303303"/>
    <m/>
    <d v="2022-03-01T00:00:00"/>
    <x v="265"/>
    <s v="Firm; Gilbert"/>
    <x v="198"/>
    <s v="CA"/>
    <s v="Private"/>
    <m/>
    <m/>
    <n v="5850000"/>
    <n v="0.06782358974358975"/>
    <n v="0.8538461538461538"/>
    <n v="5499000"/>
    <n v="0.07215275504637207"/>
    <n v="0.007280277986660963"/>
    <s v="Yes"/>
    <d v="2021-05-11T00:00:00"/>
    <n v="294"/>
  </r>
  <r>
    <s v="LKS61014"/>
    <s v="SSA"/>
    <s v="Federal"/>
    <s v="Fee Simple"/>
    <s v="2125 N Pennsylvania Ave"/>
    <s v="Independence"/>
    <s v="KS"/>
    <n v="1"/>
    <n v="1987"/>
    <n v="5162"/>
    <n v="6584"/>
    <n v="0.7840218712029161"/>
    <n v="111764"/>
    <n v="21.65129794653235"/>
    <n v="63546"/>
    <n v="9.651579586877279"/>
    <d v="2016-05-01T00:00:00"/>
    <d v="2026-04-30T00:00:00"/>
    <d v="2021-04-30T00:00:00"/>
    <n v="4.16986301369863"/>
    <n v="-0.8328767123287671"/>
    <s v="Modified Gross"/>
    <s v="None"/>
    <s v="None"/>
    <m/>
    <s v=" "/>
    <s v=" "/>
    <m/>
    <d v="2022-02-28T00:00:00"/>
    <x v="266"/>
    <s v="Colliers; Ficke"/>
    <x v="199"/>
    <s v="CA"/>
    <s v="Private"/>
    <m/>
    <m/>
    <n v="770258"/>
    <n v="0.08249962999410587"/>
    <s v=" "/>
    <n v="770258"/>
    <n v="0.08249962999410587"/>
    <s v=" "/>
    <s v="No"/>
    <d v="2021-11-04T00:00:00"/>
    <n v="116"/>
  </r>
  <r>
    <m/>
    <s v="Multi"/>
    <s v="Federal, State, &amp; Municipal"/>
    <s v="Fee Simple"/>
    <s v="10500 Copper Ave NE"/>
    <s v="Albuquerque"/>
    <s v="NM"/>
    <n v="13.53"/>
    <m/>
    <n v="119027"/>
    <n v="159682"/>
    <n v="0.7454002329630139"/>
    <n v="2884850"/>
    <n v="24.23693783763348"/>
    <n v="2087908"/>
    <n v="13.07541238210944"/>
    <m/>
    <d v="2030-03-31T00:00:00"/>
    <d v="2030-03-31T00:00:00"/>
    <n v="8.098630136986301"/>
    <n v="8.098630136986301"/>
    <s v="Full Service"/>
    <s v="None"/>
    <s v="None"/>
    <m/>
    <s v=" "/>
    <s v=" "/>
    <m/>
    <d v="2022-02-25T00:00:00"/>
    <x v="267"/>
    <s v="NAI; McMillan"/>
    <x v="1"/>
    <s v="IL"/>
    <s v="Private"/>
    <m/>
    <m/>
    <m/>
    <s v=" "/>
    <s v=" "/>
    <m/>
    <s v=" "/>
    <s v=" "/>
    <s v=" "/>
    <d v="2021-08-02T00:00:00"/>
    <n v="207"/>
  </r>
  <r>
    <m/>
    <s v="MSHA"/>
    <s v="Federal"/>
    <s v="Fee Simple"/>
    <s v="1664 Pond Fork Rd"/>
    <s v="Madison"/>
    <s v="WV"/>
    <n v="13.98"/>
    <n v="1990"/>
    <n v="9407"/>
    <n v="9407"/>
    <n v="1"/>
    <n v="162618"/>
    <n v="17.28691400021261"/>
    <n v="126654.5"/>
    <n v="13.46385670245562"/>
    <d v="2021-06-09T00:00:00"/>
    <d v="2031-06-08T00:00:00"/>
    <d v="2029-06-08T00:00:00"/>
    <n v="9.287671232876713"/>
    <n v="7.287671232876712"/>
    <s v="Modified Gross"/>
    <s v="$23k bleeds off at TI"/>
    <s v="None"/>
    <n v="1460500"/>
    <n v="155.2567237163814"/>
    <n v="0.0867199589181787"/>
    <m/>
    <d v="2022-02-25T00:00:00"/>
    <x v="237"/>
    <s v="M&amp;M; Patel"/>
    <x v="200"/>
    <s v="WV"/>
    <s v="Private"/>
    <m/>
    <m/>
    <n v="1613553"/>
    <n v="0.07849416783954416"/>
    <n v="0.9051453531430328"/>
    <n v="1613553"/>
    <n v="0.07849416783954416"/>
    <n v="0.00822579107863454"/>
    <s v="No"/>
    <d v="2021-07-27T00:00:00"/>
    <n v="213"/>
  </r>
  <r>
    <s v="LWI18391"/>
    <s v="NRC"/>
    <s v="Federal"/>
    <s v="Fee Simple"/>
    <s v="1304 N Hillcrest Pky"/>
    <s v="Altoona"/>
    <s v="WI"/>
    <n v="1.89"/>
    <n v="1985"/>
    <n v="10250"/>
    <n v="15500"/>
    <n v="0.6612903225806451"/>
    <n v="177896.22"/>
    <n v="17.35572878048781"/>
    <m/>
    <s v=" "/>
    <d v="2012-02-16T00:00:00"/>
    <d v="2025-02-15T00:00:00"/>
    <d v="2023-02-16T00:00:00"/>
    <n v="2.983561643835616"/>
    <n v="0.9835616438356164"/>
    <s v="Modified Gross"/>
    <s v="None"/>
    <s v="None"/>
    <n v="850000"/>
    <n v="54.83870967741935"/>
    <s v=" "/>
    <m/>
    <d v="2022-02-22T00:00:00"/>
    <x v="268"/>
    <m/>
    <x v="201"/>
    <s v="WI"/>
    <s v="Private"/>
    <m/>
    <m/>
    <m/>
    <s v=" "/>
    <s v=" "/>
    <m/>
    <s v=" "/>
    <s v=" "/>
    <s v=" "/>
    <m/>
    <s v=" "/>
  </r>
  <r>
    <s v="LMI18915"/>
    <s v="DEA"/>
    <s v="Federal"/>
    <s v="Fee Simple"/>
    <s v="431 Howard St"/>
    <s v="Detroit"/>
    <s v="MI"/>
    <n v="0.99"/>
    <n v="1994"/>
    <n v="76074"/>
    <n v="76074"/>
    <n v="1"/>
    <n v="2486553"/>
    <n v="32.68597681205142"/>
    <n v="1873720"/>
    <n v="24.63022846176092"/>
    <d v="2021-03-01T00:00:00"/>
    <d v="2036-02-28T00:00:00"/>
    <d v="2031-02-28T00:00:00"/>
    <n v="14.03561643835616"/>
    <n v="9.032876712328767"/>
    <s v="Modified Gross"/>
    <s v="None"/>
    <s v="None"/>
    <n v="29200000"/>
    <n v="383.8367904934669"/>
    <n v="0.06416849315068493"/>
    <m/>
    <d v="2022-02-18T00:00:00"/>
    <x v="269"/>
    <s v="CBRE"/>
    <x v="1"/>
    <s v="IL"/>
    <s v="Private"/>
    <m/>
    <m/>
    <m/>
    <s v=" "/>
    <s v=" "/>
    <m/>
    <s v=" "/>
    <s v=" "/>
    <s v=" "/>
    <m/>
    <s v=" "/>
  </r>
  <r>
    <s v="LCA00404"/>
    <s v="BR"/>
    <s v="Federal"/>
    <s v="Fee Simple"/>
    <s v="27226 Via Industria"/>
    <s v="Temecula"/>
    <s v="CA"/>
    <n v="4.39"/>
    <n v="2008"/>
    <n v="3534"/>
    <n v="6912"/>
    <n v="0.5112847222222222"/>
    <n v="107174.93"/>
    <n v="30.32680531975099"/>
    <n v="131670"/>
    <n v="19.04947916666667"/>
    <d v="2018-07-02T00:00:00"/>
    <d v="2028-07-01T00:00:00"/>
    <d v="2023-07-02T00:00:00"/>
    <n v="6.375342465753425"/>
    <n v="1.372602739726027"/>
    <s v="Modified Gross"/>
    <s v="None"/>
    <s v="None"/>
    <n v="2300000"/>
    <n v="332.7546296296296"/>
    <n v="0.05724782608695652"/>
    <m/>
    <d v="2022-02-16T00:00:00"/>
    <x v="270"/>
    <s v="Ed Hsu"/>
    <x v="202"/>
    <s v="CA"/>
    <s v="Private"/>
    <m/>
    <m/>
    <n v="2390000"/>
    <n v="0.05509205020920502"/>
    <n v="0.9623430962343096"/>
    <n v="2390000"/>
    <n v="0.05509205020920502"/>
    <n v="0.002155775877751502"/>
    <s v="No"/>
    <d v="2021-08-02T00:00:00"/>
    <n v="198"/>
  </r>
  <r>
    <s v="LNY23813"/>
    <m/>
    <s v="Federal"/>
    <s v="Fee Simple"/>
    <s v="171 Pattonwood Dr"/>
    <s v="Rochester"/>
    <s v="NY"/>
    <n v="0.46"/>
    <n v="2003"/>
    <n v="4300"/>
    <n v="8694"/>
    <n v="0.4945939728548424"/>
    <n v="163989.41"/>
    <n v="38.13707209302326"/>
    <m/>
    <s v=" "/>
    <d v="2011-04-01T00:00:00"/>
    <d v="2021-03-31T00:00:00"/>
    <d v="2016-04-01T00:00:00"/>
    <n v="-0.8767123287671232"/>
    <n v="-5.876712328767123"/>
    <s v="Modified Gross"/>
    <s v="None"/>
    <s v="None"/>
    <n v="1030000"/>
    <n v="118.4725097768576"/>
    <s v=" "/>
    <m/>
    <d v="2022-02-14T00:00:00"/>
    <x v="271"/>
    <m/>
    <x v="203"/>
    <s v="CA"/>
    <s v="Private"/>
    <m/>
    <m/>
    <m/>
    <s v=" "/>
    <s v=" "/>
    <m/>
    <s v=" "/>
    <s v=" "/>
    <s v=" "/>
    <m/>
    <s v=" "/>
  </r>
  <r>
    <m/>
    <s v="SSA"/>
    <s v="Federal"/>
    <s v="Fee Simple"/>
    <s v="565 Oak Ridge Tpke"/>
    <s v="Oak Ridge"/>
    <s v="TN"/>
    <n v="0.7"/>
    <n v="2002"/>
    <n v="8922"/>
    <n v="10172"/>
    <n v="0.8771136453008258"/>
    <n v="135401"/>
    <n v="15.1760815960547"/>
    <n v="99441"/>
    <n v="9.775953598112466"/>
    <d v="2020-04-10T00:00:00"/>
    <d v="2030-04-13T00:00:00"/>
    <d v="2025-04-13T00:00:00"/>
    <n v="8.172602739726027"/>
    <n v="3.16986301369863"/>
    <s v="Modified Gross"/>
    <s v="TI Bleeds Off $73k"/>
    <s v="None"/>
    <n v="1725000"/>
    <n v="169.5831694848604"/>
    <n v="0.05764695652173913"/>
    <m/>
    <d v="2022-02-11T00:00:00"/>
    <x v="272"/>
    <s v="M&amp;M; Fenn"/>
    <x v="204"/>
    <s v="NC"/>
    <s v="Private"/>
    <m/>
    <m/>
    <n v="1664787"/>
    <n v="0.05973196571092879"/>
    <n v="1.036168590936859"/>
    <n v="1664787"/>
    <n v="0.05973196571092879"/>
    <n v="-0.002085009189189656"/>
    <s v="No"/>
    <d v="2021-11-19T00:00:00"/>
    <n v="84"/>
  </r>
  <r>
    <m/>
    <s v="DC"/>
    <s v="Municipal"/>
    <s v="Fee Simple"/>
    <s v="4049 S Capitol St SW"/>
    <s v="Washington"/>
    <s v="DC"/>
    <n v="1.89"/>
    <n v="2016"/>
    <n v="28700"/>
    <n v="28700"/>
    <n v="1"/>
    <n v="1464449"/>
    <n v="51.02609756097561"/>
    <n v="927032"/>
    <n v="32.30076655052265"/>
    <m/>
    <d v="2026-12-11T00:00:00"/>
    <d v="2026-12-11T00:00:00"/>
    <n v="4.832876712328767"/>
    <n v="4.832876712328767"/>
    <s v="Modified Gross"/>
    <s v="Annually"/>
    <s v="1, 5 year"/>
    <n v="14750000"/>
    <n v="513.9372822299651"/>
    <n v="0.06284962711864407"/>
    <m/>
    <d v="2022-02-11T00:00:00"/>
    <x v="273"/>
    <s v="CBRE; Rampula"/>
    <x v="1"/>
    <s v="IL"/>
    <s v="Private"/>
    <m/>
    <m/>
    <m/>
    <s v=" "/>
    <s v=" "/>
    <m/>
    <s v=" "/>
    <s v=" "/>
    <s v=" "/>
    <m/>
    <s v=" "/>
  </r>
  <r>
    <m/>
    <s v="IRS"/>
    <s v="Federal"/>
    <s v="Fee Simple"/>
    <s v="1180 Veterans Memorial Hwy"/>
    <s v="Hauppauge"/>
    <s v="NY"/>
    <n v="2.19"/>
    <m/>
    <n v="42750"/>
    <n v="42750"/>
    <n v="1"/>
    <n v="1517197.5"/>
    <n v="35.49"/>
    <m/>
    <s v=" "/>
    <m/>
    <d v="2022-04-30T00:00:00"/>
    <m/>
    <n v="0.2246575342465753"/>
    <s v=" "/>
    <s v="Modified Gross"/>
    <m/>
    <m/>
    <n v="6500000"/>
    <n v="152.046783625731"/>
    <s v=" "/>
    <m/>
    <d v="2022-02-07T00:00:00"/>
    <x v="274"/>
    <s v="C&amp;W; LaRuffa"/>
    <x v="0"/>
    <m/>
    <s v="Private"/>
    <m/>
    <m/>
    <m/>
    <s v=" "/>
    <s v=" "/>
    <m/>
    <s v=" "/>
    <s v=" "/>
    <s v=" "/>
    <m/>
    <s v=" "/>
  </r>
  <r>
    <s v="LAR17266"/>
    <s v="USGS"/>
    <s v="Federal"/>
    <s v="Fee Simple"/>
    <s v="401 Hardin Rd"/>
    <s v="Little Rock"/>
    <s v="AR"/>
    <n v="2.57"/>
    <n v="1994"/>
    <n v="19005"/>
    <n v="19005"/>
    <n v="1"/>
    <n v="340263.8"/>
    <n v="17.90390949750066"/>
    <n v="258653"/>
    <n v="13.60973428045251"/>
    <d v="2014-09-01T00:00:00"/>
    <d v="2034-08-30T00:00:00"/>
    <d v="2024-08-31T00:00:00"/>
    <n v="12.56712328767123"/>
    <n v="2.564383561643836"/>
    <s v="Modified Gross"/>
    <s v="None"/>
    <s v="None"/>
    <n v="3490000"/>
    <n v="183.6358852933438"/>
    <n v="0.07411260744985673"/>
    <m/>
    <d v="2022-02-07T00:00:00"/>
    <x v="275"/>
    <s v="CBCH; Hathaway"/>
    <x v="205"/>
    <s v="AR"/>
    <s v="Private"/>
    <m/>
    <m/>
    <n v="3900000"/>
    <n v="0.06632128205128206"/>
    <n v="0.8948717948717949"/>
    <n v="3900000"/>
    <n v="0.06632128205128206"/>
    <n v="0.007791325398574675"/>
    <s v="No"/>
    <d v="2021-08-19T00:00:00"/>
    <n v="172"/>
  </r>
  <r>
    <m/>
    <s v="State"/>
    <s v="State"/>
    <s v="Fee Simple"/>
    <m/>
    <s v="Houston"/>
    <s v="TX"/>
    <n v="1.375"/>
    <m/>
    <m/>
    <n v="18681"/>
    <s v=" "/>
    <m/>
    <s v=" "/>
    <n v="136800"/>
    <n v="7.322948450297093"/>
    <m/>
    <m/>
    <m/>
    <s v=" "/>
    <s v=" "/>
    <m/>
    <m/>
    <m/>
    <n v="1800000"/>
    <n v="96.35458487233018"/>
    <n v="0.076"/>
    <m/>
    <d v="2022-02-04T00:00:00"/>
    <x v="276"/>
    <s v="SJC; Corriston"/>
    <x v="206"/>
    <s v="TX"/>
    <s v="Private"/>
    <m/>
    <m/>
    <m/>
    <s v=" "/>
    <s v=" "/>
    <m/>
    <s v=" "/>
    <s v=" "/>
    <s v=" "/>
    <m/>
    <s v=" "/>
  </r>
  <r>
    <s v="LIA01045"/>
    <s v="SSA"/>
    <s v="Federal"/>
    <s v="Fee Simple"/>
    <s v="2315 2nd Ave N"/>
    <s v="Fort Dodge"/>
    <s v="IA"/>
    <n v="2.41"/>
    <n v="2003"/>
    <n v="5260"/>
    <n v="5260"/>
    <n v="1"/>
    <n v="129935.54"/>
    <n v="24.70257414448669"/>
    <n v="75000"/>
    <n v="14.25855513307985"/>
    <d v="2013-09-16T00:00:00"/>
    <d v="2023-09-15T00:00:00"/>
    <d v="2020-09-15T00:00:00"/>
    <n v="1.616438356164384"/>
    <n v="-1.383561643835616"/>
    <s v="Modified Gross"/>
    <s v="None"/>
    <s v="None"/>
    <n v="550000"/>
    <n v="104.5627376425855"/>
    <n v="0.1363636363636364"/>
    <m/>
    <d v="2022-02-02T00:00:00"/>
    <x v="277"/>
    <m/>
    <x v="207"/>
    <m/>
    <m/>
    <m/>
    <m/>
    <m/>
    <s v=" "/>
    <s v=" "/>
    <m/>
    <s v=" "/>
    <s v=" "/>
    <s v=" "/>
    <m/>
    <s v=" "/>
  </r>
  <r>
    <m/>
    <s v="NYPD"/>
    <s v="Municipal"/>
    <s v="Leasehold"/>
    <s v="9 Metrotech Ctr"/>
    <s v="Brooklyn"/>
    <s v="NY"/>
    <n v="1.08"/>
    <n v="1997"/>
    <n v="360227"/>
    <n v="360227"/>
    <n v="1"/>
    <m/>
    <s v=" "/>
    <n v="11067725"/>
    <n v="30.72430717297704"/>
    <m/>
    <d v="2028-10-31T00:00:00"/>
    <d v="2028-10-31T00:00:00"/>
    <n v="6.750684931506849"/>
    <n v="6.750684931506849"/>
    <s v="Full Service"/>
    <s v="2% annually"/>
    <s v="None"/>
    <n v="185500000"/>
    <n v="514.9530712578457"/>
    <n v="0.05966428571428571"/>
    <m/>
    <d v="2022-02-01T00:00:00"/>
    <x v="246"/>
    <s v="Newmark; Seigel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3968 N Rancho Dr"/>
    <s v="Las Vegas"/>
    <s v="NV"/>
    <n v="8.57"/>
    <n v="2011"/>
    <n v="32700"/>
    <n v="32700"/>
    <n v="1"/>
    <n v="1945000"/>
    <n v="59.48012232415902"/>
    <n v="1716410.5"/>
    <n v="52.48961773700306"/>
    <m/>
    <d v="2031-08-19T00:00:00"/>
    <d v="2031-08-19T00:00:00"/>
    <n v="9.553424657534247"/>
    <n v="9.553424657534247"/>
    <s v="Full Service"/>
    <s v="Flat"/>
    <s v="None"/>
    <n v="30830000"/>
    <n v="942.8134556574923"/>
    <n v="0.05567338631203373"/>
    <m/>
    <d v="2022-01-31T00:00:00"/>
    <x v="278"/>
    <s v="Newark; Berres"/>
    <x v="119"/>
    <s v="NH"/>
    <s v="Private"/>
    <m/>
    <m/>
    <m/>
    <s v=" "/>
    <s v=" "/>
    <m/>
    <s v=" "/>
    <s v=" "/>
    <s v=" "/>
    <m/>
    <s v=" "/>
  </r>
  <r>
    <m/>
    <s v="USPS"/>
    <s v="Federal"/>
    <s v="Fee Simple"/>
    <s v="2585 Sebastopol Rd"/>
    <s v="Santa Rosa"/>
    <s v="CA"/>
    <n v="1.38"/>
    <n v="1991"/>
    <n v="4080"/>
    <n v="4080"/>
    <n v="1"/>
    <n v="84460"/>
    <n v="20.70098039215686"/>
    <n v="84460"/>
    <n v="20.70098039215686"/>
    <m/>
    <d v="2023-12-31T00:00:00"/>
    <d v="2023-12-31T00:00:00"/>
    <n v="1.915068493150685"/>
    <n v="1.915068493150685"/>
    <s v="Rider"/>
    <s v="In Options"/>
    <s v="2, 5 yr"/>
    <n v="2050000"/>
    <n v="502.4509803921569"/>
    <n v="0.0412"/>
    <m/>
    <d v="2022-01-31T00:00:00"/>
    <x v="279"/>
    <s v="NAI; Kilpatrick"/>
    <x v="208"/>
    <s v="CA"/>
    <s v="Private"/>
    <m/>
    <m/>
    <n v="2399000"/>
    <n v="0.03520633597332222"/>
    <n v="0.854522717799083"/>
    <n v="2399000"/>
    <n v="0.03520633597332222"/>
    <n v="0.005993664026677781"/>
    <s v="No"/>
    <d v="2021-12-27T00:00:00"/>
    <n v="35"/>
  </r>
  <r>
    <m/>
    <s v="CBP"/>
    <s v="Federal &amp; State"/>
    <s v="Leasehold"/>
    <s v="301 E Ocean Blvd"/>
    <s v="Long Beach"/>
    <s v="CA"/>
    <n v="1.11"/>
    <n v="1988"/>
    <n v="155500"/>
    <n v="389492"/>
    <n v="0.3992379817813973"/>
    <m/>
    <s v=" "/>
    <n v="6591759"/>
    <n v="16.92399073665185"/>
    <m/>
    <d v="2031-10-31T00:00:00"/>
    <d v="2031-10-31T00:00:00"/>
    <n v="9.761643835616438"/>
    <n v="9.761643835616438"/>
    <s v="Full Service"/>
    <s v="Ground bumps 3% annually"/>
    <m/>
    <n v="85500000"/>
    <n v="219.5167038090641"/>
    <n v="0.07709659649122808"/>
    <m/>
    <d v="2022-01-28T00:00:00"/>
    <x v="280"/>
    <s v="Newmark; Shannon"/>
    <x v="209"/>
    <s v="NY"/>
    <s v="Private"/>
    <m/>
    <m/>
    <m/>
    <s v=" "/>
    <s v=" "/>
    <m/>
    <s v=" "/>
    <s v=" "/>
    <s v=" "/>
    <m/>
    <s v=" "/>
  </r>
  <r>
    <m/>
    <s v="VA"/>
    <s v="Federal"/>
    <s v="Fee Simple"/>
    <s v="2600 Central E Fwy"/>
    <s v="Wichita Falls"/>
    <s v="TX"/>
    <n v="2.56"/>
    <n v="2001"/>
    <n v="15750"/>
    <n v="22130"/>
    <n v="0.7117035698147312"/>
    <n v="580632"/>
    <n v="36.86552380952381"/>
    <n v="420167"/>
    <n v="18.98630817894261"/>
    <d v="2020-10-01T00:00:00"/>
    <d v="2030-09-30T00:00:00"/>
    <d v="2030-09-30T00:00:00"/>
    <n v="8.684931506849315"/>
    <n v="8.684931506849315"/>
    <s v="Modified Gross"/>
    <s v="Every 5"/>
    <s v="2, 5 year"/>
    <n v="5260000"/>
    <n v="237.6863985539991"/>
    <n v="0.0798796577946768"/>
    <m/>
    <d v="2022-01-25T00:00:00"/>
    <x v="281"/>
    <s v="Colliers; Ficke"/>
    <x v="72"/>
    <s v="FL"/>
    <s v="Private"/>
    <m/>
    <m/>
    <m/>
    <s v=" "/>
    <s v=" "/>
    <m/>
    <s v=" "/>
    <s v=" "/>
    <s v=" "/>
    <d v="2021-08-05T00:00:00"/>
    <n v="173"/>
  </r>
  <r>
    <m/>
    <s v="USPS"/>
    <s v="Federal"/>
    <s v="Fee Simple"/>
    <s v="119 Church St"/>
    <s v="Romeo"/>
    <s v="MI"/>
    <n v="0.26"/>
    <n v="1958"/>
    <n v="3308"/>
    <n v="3308"/>
    <n v="1"/>
    <m/>
    <s v=" "/>
    <m/>
    <s v=" "/>
    <m/>
    <d v="2023-05-31T00:00:00"/>
    <d v="2023-05-31T00:00:00"/>
    <n v="1.361643835616438"/>
    <n v="1.361643835616438"/>
    <s v="Rider"/>
    <s v="None"/>
    <s v="None"/>
    <n v="480000"/>
    <n v="145.1027811366384"/>
    <s v=" "/>
    <m/>
    <d v="2022-01-1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m/>
    <s v="Portfolio of Four"/>
    <s v="PA"/>
    <n v="0.8100000000000001"/>
    <m/>
    <n v="6929"/>
    <n v="6929"/>
    <n v="1"/>
    <m/>
    <s v=" "/>
    <n v="71673.95"/>
    <n v="10.34405397604272"/>
    <m/>
    <m/>
    <m/>
    <s v=" "/>
    <s v=" "/>
    <s v="Rider"/>
    <s v="Options"/>
    <s v="Yes"/>
    <m/>
    <s v=" "/>
    <s v=" "/>
    <m/>
    <d v="2022-01-18T00:00:00"/>
    <x v="8"/>
    <s v="TCP; Harrison"/>
    <x v="0"/>
    <m/>
    <s v="Private"/>
    <m/>
    <m/>
    <n v="1200000"/>
    <n v="0.05972829166666666"/>
    <s v=" "/>
    <n v="1200000"/>
    <n v="0.05972829166666666"/>
    <s v=" "/>
    <s v="No"/>
    <d v="2021-10-12T00:00:00"/>
    <n v="98"/>
  </r>
  <r>
    <s v="LNM00538"/>
    <s v="CBP"/>
    <s v="Federal"/>
    <s v="Fee Simple"/>
    <s v="1997 Highway 54 S"/>
    <s v="Alamogordo"/>
    <s v="NM"/>
    <n v="0.4"/>
    <n v="1992"/>
    <n v="8103"/>
    <n v="8103"/>
    <n v="1"/>
    <n v="259842.14"/>
    <n v="32.06739972849562"/>
    <m/>
    <s v=" "/>
    <d v="2021-08-01T00:00:00"/>
    <d v="2031-07-31T00:00:00"/>
    <d v="2028-08-01T00:00:00"/>
    <n v="9.550684931506849"/>
    <n v="6.553424657534246"/>
    <s v="Modified Gross"/>
    <s v="None"/>
    <s v="None"/>
    <m/>
    <s v=" "/>
    <s v=" "/>
    <m/>
    <d v="2022-01-13T00:00:00"/>
    <x v="282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4702 Park 370 Blvd"/>
    <s v="Hazelwood"/>
    <s v="MO"/>
    <n v="18.09"/>
    <n v="2006"/>
    <n v="299004"/>
    <n v="494333"/>
    <n v="0.6048635231716272"/>
    <m/>
    <s v=" "/>
    <n v="1730165.5"/>
    <n v="3.5"/>
    <m/>
    <d v="2024-08-31T00:00:00"/>
    <d v="2024-08-31T00:00:00"/>
    <n v="2.632876712328767"/>
    <n v="2.632876712328767"/>
    <s v="Rider"/>
    <s v="None"/>
    <s v="None"/>
    <n v="33800000"/>
    <n v="68.37496181723655"/>
    <n v="0.05118832840236687"/>
    <m/>
    <d v="2022-01-13T00:00:00"/>
    <x v="283"/>
    <s v="CBRE; Caprile"/>
    <x v="210"/>
    <s v="TX"/>
    <s v="Private"/>
    <m/>
    <m/>
    <m/>
    <s v=" "/>
    <s v=" "/>
    <m/>
    <s v=" "/>
    <s v=" "/>
    <s v=" "/>
    <m/>
    <s v=" "/>
  </r>
  <r>
    <s v="LMD01842"/>
    <s v="NIH"/>
    <s v="Federal"/>
    <s v="Fee Simple"/>
    <s v="2115 E Jefferson St"/>
    <s v="Rockville"/>
    <s v="MD"/>
    <n v="5.57"/>
    <n v="1981"/>
    <n v="128645"/>
    <n v="128645"/>
    <n v="1"/>
    <n v="2976099.17"/>
    <n v="23.13420008550663"/>
    <n v="1992847"/>
    <n v="15.4910567841735"/>
    <d v="2014-10-05T00:00:00"/>
    <d v="2016-05-19T00:00:00"/>
    <d v="2016-05-19T00:00:00"/>
    <n v="-5.654794520547945"/>
    <n v="-5.654794520547945"/>
    <s v="Modified Gross"/>
    <s v="None"/>
    <s v="None"/>
    <m/>
    <s v=" "/>
    <s v=" "/>
    <m/>
    <d v="2022-01-12T00:00:00"/>
    <x v="247"/>
    <s v="JLL"/>
    <x v="211"/>
    <s v="MD"/>
    <s v="Private"/>
    <m/>
    <m/>
    <m/>
    <s v=" "/>
    <s v=" "/>
    <m/>
    <s v=" "/>
    <s v=" "/>
    <s v=" "/>
    <m/>
    <s v=" "/>
  </r>
  <r>
    <m/>
    <s v="DFCS"/>
    <s v="State"/>
    <s v="Fee Simple"/>
    <m/>
    <s v="Sylvania"/>
    <s v="GA"/>
    <n v="0.34"/>
    <n v="1982"/>
    <n v="7821"/>
    <n v="7821"/>
    <n v="1"/>
    <n v="83150"/>
    <n v="10.63163278353152"/>
    <n v="64792.5"/>
    <n v="8.284426543920215"/>
    <d v="2018-07-01T00:00:00"/>
    <d v="2028-06-30T00:00:00"/>
    <d v="2023-06-30T00:00:00"/>
    <n v="6.471232876712329"/>
    <n v="1.465753424657534"/>
    <s v="Full Service"/>
    <s v="2% annually"/>
    <s v="None"/>
    <n v="815000"/>
    <n v="104.206623193965"/>
    <n v="0.0795"/>
    <m/>
    <d v="2022-01-11T00:00:00"/>
    <x v="284"/>
    <s v="SJC; Briggs"/>
    <x v="212"/>
    <s v="GA"/>
    <s v="Private"/>
    <m/>
    <m/>
    <m/>
    <s v=" "/>
    <s v=" "/>
    <m/>
    <s v=" "/>
    <s v=" "/>
    <s v=" "/>
    <m/>
    <s v=" "/>
  </r>
  <r>
    <s v="LVA00583"/>
    <s v="SSA"/>
    <s v="Federal"/>
    <s v="Fee Simple"/>
    <s v="130 Withers Lane"/>
    <s v="Wytheville"/>
    <s v="VA"/>
    <n v="0.96"/>
    <n v="2010"/>
    <n v="17813"/>
    <n v="17813"/>
    <n v="1"/>
    <m/>
    <s v=" "/>
    <n v="384070"/>
    <n v="21.56121933419413"/>
    <d v="2020-07-14T00:00:00"/>
    <d v="2035-07-13T00:00:00"/>
    <d v="2030-07-13T00:00:00"/>
    <n v="13.50958904109589"/>
    <n v="8.506849315068493"/>
    <s v="Modified Gross"/>
    <s v="None"/>
    <s v="None"/>
    <n v="4975000"/>
    <n v="279.2904058833436"/>
    <n v="0.0772"/>
    <m/>
    <d v="2022-01-11T00:00:00"/>
    <x v="285"/>
    <s v="TCP; Harrison"/>
    <x v="85"/>
    <s v="VA"/>
    <s v="Private"/>
    <s v="SJC; Hellwig"/>
    <m/>
    <n v="4975000"/>
    <n v="0.0772"/>
    <n v="1"/>
    <n v="4975000"/>
    <n v="0.0772"/>
    <n v="0"/>
    <s v="No"/>
    <m/>
    <s v=" "/>
  </r>
  <r>
    <m/>
    <s v="USPS"/>
    <s v="Federal"/>
    <s v="Fee Simple"/>
    <s v="5520 Chevrolet Blvd"/>
    <s v="Parma"/>
    <s v="OH"/>
    <n v="33.27"/>
    <n v="1970"/>
    <n v="575000"/>
    <n v="575000"/>
    <n v="1"/>
    <m/>
    <s v=" "/>
    <n v="2846250"/>
    <n v="4.95"/>
    <m/>
    <m/>
    <m/>
    <s v=" "/>
    <s v=" "/>
    <m/>
    <m/>
    <m/>
    <n v="34000000"/>
    <n v="59.1304347826087"/>
    <n v="0.08371323529411764"/>
    <m/>
    <d v="2022-01-10T00:00:00"/>
    <x v="286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80 Main St"/>
    <s v="Farmingdale"/>
    <s v="NY"/>
    <n v="0.67"/>
    <n v="1962"/>
    <n v="11324"/>
    <n v="11324"/>
    <n v="1"/>
    <n v="288200"/>
    <n v="25.45037089367715"/>
    <n v="284063"/>
    <n v="25.08504062168845"/>
    <d v="2018-04-01T00:00:00"/>
    <d v="2028-03-30T00:00:00"/>
    <d v="2028-03-30T00:00:00"/>
    <n v="6.23013698630137"/>
    <n v="6.23013698630137"/>
    <s v="Rider"/>
    <s v="In Options"/>
    <s v="1, 5 year"/>
    <m/>
    <s v=" "/>
    <s v=" "/>
    <m/>
    <d v="2022-01-07T00:00:00"/>
    <x v="8"/>
    <s v="Gallelli; Turpen"/>
    <x v="0"/>
    <m/>
    <m/>
    <m/>
    <m/>
    <n v="5655000"/>
    <n v="0.05023218390804598"/>
    <s v=" "/>
    <n v="5260425"/>
    <n v="0.05400000950493544"/>
    <s v=" "/>
    <s v="Yes"/>
    <d v="2021-08-09T00:00:00"/>
    <n v="151"/>
  </r>
  <r>
    <m/>
    <s v="Multi"/>
    <s v="State &amp; Federal"/>
    <s v="Fee Simple"/>
    <m/>
    <s v="Portfolio of 18"/>
    <s v="NM"/>
    <n v="233.19"/>
    <m/>
    <n v="646885"/>
    <n v="646885"/>
    <n v="1"/>
    <m/>
    <s v=" "/>
    <n v="10128341"/>
    <n v="15.65709670188673"/>
    <m/>
    <m/>
    <m/>
    <s v=" "/>
    <s v=" "/>
    <m/>
    <m/>
    <m/>
    <n v="126000000"/>
    <n v="194.7795976100853"/>
    <n v="0.08038365873015874"/>
    <m/>
    <d v="2022-01-07T00:00:00"/>
    <x v="287"/>
    <s v="SJC; Corriston"/>
    <x v="213"/>
    <s v="OK"/>
    <s v="Private"/>
    <m/>
    <m/>
    <m/>
    <s v=" "/>
    <s v=" "/>
    <m/>
    <s v=" "/>
    <s v=" "/>
    <s v=" "/>
    <m/>
    <s v=" "/>
  </r>
  <r>
    <s v="LFL62160"/>
    <s v="IRS"/>
    <s v="Federal"/>
    <s v="Fee Simple"/>
    <s v="4057 Carmichael Ave"/>
    <s v="Jacksonville"/>
    <s v="FL"/>
    <n v="2.8"/>
    <n v="1972"/>
    <n v="35152"/>
    <n v="47500"/>
    <n v="0.7400421052631579"/>
    <n v="610806.86"/>
    <n v="17.37616238051889"/>
    <m/>
    <s v=" "/>
    <d v="2012-12-01T00:00:00"/>
    <d v="2022-11-30T00:00:00"/>
    <d v="2017-11-30T00:00:00"/>
    <n v="0.8986301369863013"/>
    <n v="-4.104109589041096"/>
    <s v="Modified Gross"/>
    <s v="None"/>
    <s v="None"/>
    <n v="2484900"/>
    <n v="52.31368421052632"/>
    <s v=" "/>
    <m/>
    <d v="2022-01-06T00:00:00"/>
    <x v="288"/>
    <s v="CBRE; Smith"/>
    <x v="214"/>
    <s v="VA"/>
    <s v="Private"/>
    <m/>
    <m/>
    <m/>
    <s v=" "/>
    <s v=" "/>
    <m/>
    <s v=" "/>
    <s v=" "/>
    <s v=" "/>
    <m/>
    <s v=" "/>
  </r>
  <r>
    <m/>
    <s v="DOC"/>
    <s v="State"/>
    <s v="Fee Simple"/>
    <s v="439 w 15th St"/>
    <s v="Merced"/>
    <s v="CA"/>
    <n v="1.3"/>
    <n v="2009"/>
    <n v="10890"/>
    <n v="10890"/>
    <n v="1"/>
    <m/>
    <s v=" "/>
    <m/>
    <s v=" "/>
    <m/>
    <d v="2026-11-30T00:00:00"/>
    <m/>
    <n v="4.901369863013699"/>
    <s v=" "/>
    <s v="Full Service"/>
    <s v="2% annually"/>
    <s v="None"/>
    <n v="4488000"/>
    <n v="412.1212121212121"/>
    <s v=" "/>
    <m/>
    <d v="2022-01-06T00:00:00"/>
    <x v="289"/>
    <s v="DeBour"/>
    <x v="215"/>
    <s v="CA"/>
    <s v="Private"/>
    <m/>
    <m/>
    <m/>
    <s v=" "/>
    <s v=" "/>
    <m/>
    <s v=" "/>
    <s v=" "/>
    <s v=" "/>
    <m/>
    <s v=" "/>
  </r>
  <r>
    <m/>
    <s v="USPS"/>
    <s v="Federal"/>
    <s v="Fee Simple"/>
    <s v="135 S 1st St"/>
    <s v="Chowchilla"/>
    <s v="CA"/>
    <n v="0.48"/>
    <n v="2001"/>
    <n v="6888"/>
    <n v="6888"/>
    <n v="1"/>
    <n v="111224"/>
    <n v="16.14750290360046"/>
    <n v="111224"/>
    <n v="16.14750290360046"/>
    <m/>
    <d v="2026-10-04T00:00:00"/>
    <d v="2026-10-04T00:00:00"/>
    <n v="4.747945205479452"/>
    <n v="4.747945205479452"/>
    <s v="Rider"/>
    <s v="In Options"/>
    <s v="1, 5 year"/>
    <n v="1700000"/>
    <n v="246.8060394889663"/>
    <n v="0.06542588235294118"/>
    <m/>
    <d v="2022-01-05T00:00:00"/>
    <x v="290"/>
    <s v="Gallelli; Turpen"/>
    <x v="66"/>
    <s v="CA"/>
    <s v="Private"/>
    <m/>
    <m/>
    <n v="1853733"/>
    <n v="0.06000001078904028"/>
    <n v="0.9170684235539854"/>
    <n v="1853733"/>
    <n v="0.06000001078904028"/>
    <n v="0.005425871563900904"/>
    <s v="No"/>
    <d v="2021-06-24T00:00:00"/>
    <n v="195"/>
  </r>
  <r>
    <m/>
    <s v="USPS"/>
    <s v="Federal"/>
    <s v="Fee Simple"/>
    <s v="380 Main St"/>
    <s v="Farmingdale"/>
    <s v="NY"/>
    <n v="0.67"/>
    <n v="1962"/>
    <n v="11324"/>
    <n v="11324"/>
    <n v="1"/>
    <n v="288200"/>
    <n v="25.45037089367715"/>
    <n v="284063"/>
    <n v="25.08504062168845"/>
    <d v="2018-04-01T00:00:00"/>
    <d v="2028-03-30T00:00:00"/>
    <d v="2028-03-30T00:00:00"/>
    <n v="6.235616438356164"/>
    <n v="6.235616438356164"/>
    <s v="Rider"/>
    <s v="10% every 5"/>
    <s v="2, 5 year"/>
    <m/>
    <s v=" "/>
    <s v=" "/>
    <m/>
    <d v="2022-01-05T00:00:00"/>
    <x v="291"/>
    <s v="TCP; Harrison"/>
    <x v="0"/>
    <m/>
    <m/>
    <m/>
    <m/>
    <n v="5260425"/>
    <n v="0.05400000950493544"/>
    <s v=" "/>
    <n v="5260425"/>
    <n v="0.05400000950493544"/>
    <s v=" "/>
    <s v="No"/>
    <d v="2021-08-09T00:00:00"/>
    <n v="149"/>
  </r>
  <r>
    <m/>
    <s v="DHS"/>
    <s v="State"/>
    <s v="Fee Simple"/>
    <s v="601 5th St"/>
    <s v="Jellico"/>
    <s v="TN"/>
    <n v="0.57"/>
    <n v="2006"/>
    <n v="3600"/>
    <n v="3600"/>
    <n v="1"/>
    <n v="47000"/>
    <n v="13.05555555555556"/>
    <n v="38786"/>
    <n v="10.77388888888889"/>
    <d v="2021-03-01T00:00:00"/>
    <d v="2028-02-28T00:00:00"/>
    <d v="2028-02-28T00:00:00"/>
    <n v="6.153424657534247"/>
    <n v="6.153424657534247"/>
    <s v="Full Service"/>
    <s v="Options"/>
    <s v="3, 1 year"/>
    <m/>
    <s v=" "/>
    <s v=" "/>
    <m/>
    <d v="2022-01-04T00:00:00"/>
    <x v="218"/>
    <s v="Colliers; Ficke"/>
    <x v="0"/>
    <m/>
    <s v="Private"/>
    <m/>
    <m/>
    <n v="534977"/>
    <n v="0.07250031309757242"/>
    <s v=" "/>
    <n v="534977"/>
    <n v="0.07250031309757242"/>
    <s v=" "/>
    <s v="No"/>
    <d v="2020-12-11T00:00:00"/>
    <n v="389"/>
  </r>
  <r>
    <s v="LCA03054"/>
    <s v="SSA"/>
    <s v="Federal"/>
    <s v="Fee Simple"/>
    <s v="1521 N Carpenter Rd"/>
    <s v="Modesto"/>
    <s v="CA"/>
    <n v="2.29"/>
    <n v="2003"/>
    <n v="22352"/>
    <n v="24587"/>
    <n v="0.909098303981779"/>
    <n v="556379.48"/>
    <n v="24.89170901932713"/>
    <n v="282100.98"/>
    <n v="11.47358278765201"/>
    <d v="2013-11-06T00:00:00"/>
    <d v="2028-11-05T00:00:00"/>
    <d v="2023-11-06T00:00:00"/>
    <n v="6.841095890410959"/>
    <n v="1.838356164383562"/>
    <s v="Modified Gross"/>
    <s v="None"/>
    <s v="None"/>
    <n v="4890000"/>
    <n v="198.8855899459064"/>
    <n v="0.05768936196319019"/>
    <m/>
    <d v="2022-01-04T00:00:00"/>
    <x v="292"/>
    <s v="PMZ; Sauser"/>
    <x v="216"/>
    <s v="CA"/>
    <s v="Private"/>
    <s v="WCB; Stella"/>
    <m/>
    <n v="5295000"/>
    <n v="0.0532768611898017"/>
    <n v="0.9235127478753541"/>
    <n v="5295000"/>
    <n v="0.0532768611898017"/>
    <n v="0.004412500773388485"/>
    <s v="No"/>
    <d v="2021-05-14T00:00:00"/>
    <n v="235"/>
  </r>
  <r>
    <m/>
    <s v="DA - City of San Francisco"/>
    <s v="Municipal"/>
    <s v="Leasehold"/>
    <s v="350 Rhode Island St"/>
    <s v="San Francisco"/>
    <s v="CA"/>
    <n v="1.84"/>
    <n v="2002"/>
    <n v="127100"/>
    <n v="127100"/>
    <n v="1"/>
    <m/>
    <s v=" "/>
    <m/>
    <s v=" "/>
    <m/>
    <d v="2033-01-31T00:00:00"/>
    <d v="2033-01-31T00:00:00"/>
    <n v="11.08219178082192"/>
    <n v="11.08219178082192"/>
    <s v="Full Service"/>
    <s v="2% annually"/>
    <s v="None"/>
    <n v="182500000"/>
    <n v="1435.877261998427"/>
    <s v=" "/>
    <m/>
    <d v="2022-01-04T00:00:00"/>
    <x v="293"/>
    <s v="JLL"/>
    <x v="217"/>
    <m/>
    <s v="Cross-Border"/>
    <m/>
    <m/>
    <m/>
    <s v=" "/>
    <s v=" "/>
    <m/>
    <s v=" "/>
    <s v=" "/>
    <s v=" "/>
    <m/>
    <s v=" "/>
  </r>
  <r>
    <m/>
    <s v="DA - City of San Francisco"/>
    <s v="Municipal"/>
    <s v="Ground Lease"/>
    <s v="350 Rhode Island St"/>
    <s v="San Francisco"/>
    <s v="CA"/>
    <n v="1.84"/>
    <n v="2002"/>
    <n v="127100"/>
    <n v="127100"/>
    <n v="1"/>
    <m/>
    <s v=" "/>
    <m/>
    <s v=" "/>
    <m/>
    <d v="2033-01-31T00:00:00"/>
    <d v="2033-01-31T00:00:00"/>
    <n v="11.08219178082192"/>
    <n v="11.08219178082192"/>
    <s v="Full Service"/>
    <s v="2% annually"/>
    <s v="None"/>
    <n v="64500000"/>
    <n v="507.4744295830055"/>
    <s v=" "/>
    <m/>
    <d v="2022-01-04T00:00:00"/>
    <x v="293"/>
    <s v="JLL"/>
    <x v="218"/>
    <s v="NY"/>
    <s v="REIT"/>
    <m/>
    <m/>
    <m/>
    <s v=" "/>
    <s v=" "/>
    <m/>
    <s v=" "/>
    <s v=" "/>
    <s v=" "/>
    <m/>
    <s v=" "/>
  </r>
  <r>
    <m/>
    <s v="Multi"/>
    <s v="Federal, State"/>
    <s v="Fee Simple"/>
    <s v="Portfolio of Five"/>
    <s v="Olympia"/>
    <s v="WA"/>
    <n v="4.31"/>
    <m/>
    <n v="128941"/>
    <n v="128941"/>
    <n v="1"/>
    <m/>
    <s v=" "/>
    <n v="1854400"/>
    <n v="14.38177150789896"/>
    <m/>
    <d v="2025-07-31T00:00:00"/>
    <d v="2025-07-31T00:00:00"/>
    <n v="3.575342465753425"/>
    <n v="3.575342465753425"/>
    <s v="Full Service"/>
    <s v="Annually"/>
    <s v="None"/>
    <n v="30400000"/>
    <n v="235.7667460311305"/>
    <n v="0.061"/>
    <m/>
    <d v="2022-01-03T00:00:00"/>
    <x v="294"/>
    <s v="KM; Parker"/>
    <x v="1"/>
    <s v="IL"/>
    <s v="Private"/>
    <m/>
    <m/>
    <m/>
    <s v=" "/>
    <s v=" "/>
    <m/>
    <s v=" "/>
    <s v=" "/>
    <s v=" "/>
    <m/>
    <s v=" "/>
  </r>
  <r>
    <m/>
    <s v="DCF"/>
    <s v="State"/>
    <s v="Fee Simple"/>
    <s v="328-330 Cambridge St"/>
    <s v="Burlington"/>
    <s v="MA"/>
    <n v="3.53"/>
    <n v="2020"/>
    <n v="21000"/>
    <n v="21000"/>
    <n v="1"/>
    <m/>
    <s v=" "/>
    <n v="926640"/>
    <n v="44.12571428571429"/>
    <d v="2020-09-01T00:00:00"/>
    <d v="2030-08-31T00:00:00"/>
    <d v="2030-08-31T00:00:00"/>
    <n v="8.671232876712329"/>
    <n v="8.671232876712329"/>
    <s v="Full Service"/>
    <s v="2% at year 6"/>
    <s v="None"/>
    <n v="14300000"/>
    <n v="680.952380952381"/>
    <n v="0.0648"/>
    <m/>
    <d v="2021-12-31T00:00:00"/>
    <x v="295"/>
    <s v="Newmark; Gallas"/>
    <x v="219"/>
    <s v="NH"/>
    <s v="Private"/>
    <m/>
    <m/>
    <m/>
    <s v=" "/>
    <s v=" "/>
    <m/>
    <s v=" "/>
    <s v=" "/>
    <s v=" "/>
    <m/>
    <s v=" "/>
  </r>
  <r>
    <m/>
    <s v="DCFS/CMS"/>
    <s v="State"/>
    <s v="Fee Simple"/>
    <s v="1911-1921 S Indiana Ave"/>
    <s v="Chicago"/>
    <s v="IL"/>
    <n v="0.66"/>
    <n v="1996"/>
    <n v="106575"/>
    <n v="125265"/>
    <n v="0.8507963118189439"/>
    <m/>
    <s v=" "/>
    <m/>
    <s v=" "/>
    <m/>
    <d v="2031-05-31T00:00:00"/>
    <m/>
    <n v="9.419178082191781"/>
    <s v=" "/>
    <s v="Full Service"/>
    <s v="None"/>
    <s v="None"/>
    <n v="16500000"/>
    <n v="131.7207520057478"/>
    <s v=" "/>
    <m/>
    <d v="2021-12-31T00:00:00"/>
    <x v="296"/>
    <s v="Imperial; Neems"/>
    <x v="220"/>
    <s v="NJ"/>
    <s v="Private"/>
    <m/>
    <m/>
    <m/>
    <s v=" "/>
    <s v=" "/>
    <m/>
    <s v=" "/>
    <s v=" "/>
    <s v=" "/>
    <m/>
    <s v=" "/>
  </r>
  <r>
    <m/>
    <s v="USPS"/>
    <s v="Federal"/>
    <s v="Fee Simple"/>
    <s v="320 E Commerce St"/>
    <s v="Fairfield"/>
    <s v="TX"/>
    <n v="1.55"/>
    <n v="2001"/>
    <n v="11406"/>
    <n v="11406"/>
    <n v="1"/>
    <m/>
    <s v=" "/>
    <m/>
    <s v=" "/>
    <m/>
    <m/>
    <m/>
    <s v=" "/>
    <s v=" "/>
    <m/>
    <m/>
    <m/>
    <m/>
    <s v=" "/>
    <s v=" "/>
    <m/>
    <d v="2021-12-30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20 E Commerce St"/>
    <s v="Fairfield"/>
    <s v="TX"/>
    <n v="1.55"/>
    <n v="2001"/>
    <n v="11406"/>
    <n v="11406"/>
    <n v="1"/>
    <m/>
    <s v=" "/>
    <m/>
    <s v=" "/>
    <m/>
    <m/>
    <m/>
    <s v=" "/>
    <s v=" "/>
    <m/>
    <m/>
    <m/>
    <m/>
    <s v=" "/>
    <s v=" "/>
    <m/>
    <d v="2021-12-30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475 Handley Dr"/>
    <s v="Fort Worth"/>
    <s v="TX"/>
    <n v="2.017"/>
    <n v="2000"/>
    <n v="8988"/>
    <n v="8988"/>
    <n v="1"/>
    <m/>
    <s v=" "/>
    <m/>
    <s v=" "/>
    <m/>
    <m/>
    <m/>
    <s v=" "/>
    <s v=" "/>
    <m/>
    <m/>
    <m/>
    <m/>
    <s v=" "/>
    <s v=" "/>
    <m/>
    <d v="2021-12-30T00:00:00"/>
    <x v="297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00 NE Big Bend Trl"/>
    <s v="Glen Rose"/>
    <s v="TX"/>
    <n v="1.67"/>
    <n v="2001"/>
    <n v="6670"/>
    <n v="6670"/>
    <n v="1"/>
    <m/>
    <s v=" "/>
    <m/>
    <s v=" "/>
    <m/>
    <m/>
    <m/>
    <s v=" "/>
    <s v=" "/>
    <m/>
    <m/>
    <m/>
    <m/>
    <s v=" "/>
    <s v=" "/>
    <m/>
    <d v="2021-12-30T00:00:00"/>
    <x v="8"/>
    <m/>
    <x v="66"/>
    <s v="CA"/>
    <s v="Private"/>
    <m/>
    <m/>
    <m/>
    <s v=" "/>
    <s v=" "/>
    <m/>
    <s v=" "/>
    <s v=" "/>
    <s v=" "/>
    <m/>
    <s v=" "/>
  </r>
  <r>
    <s v="LCO14951"/>
    <s v="USGS"/>
    <s v="Federal"/>
    <s v="Fee Simple"/>
    <s v="4620 Technology"/>
    <s v="Golden"/>
    <s v="CO"/>
    <n v="1.74"/>
    <n v="2002"/>
    <n v="8219"/>
    <n v="18773"/>
    <n v="0.4378096201992223"/>
    <n v="184112.32"/>
    <n v="22.40081761771505"/>
    <m/>
    <s v=" "/>
    <d v="2018-06-15T00:00:00"/>
    <d v="2028-06-14T00:00:00"/>
    <d v="2025-06-14T00:00:00"/>
    <n v="6.46027397260274"/>
    <n v="3.457534246575342"/>
    <s v="Modified Gross"/>
    <s v="None"/>
    <s v="None"/>
    <n v="4400000"/>
    <n v="234.3791615618175"/>
    <s v=" "/>
    <m/>
    <d v="2021-12-30T00:00:00"/>
    <x v="298"/>
    <s v="Unique Properties; Leger"/>
    <x v="221"/>
    <m/>
    <m/>
    <m/>
    <m/>
    <m/>
    <s v=" "/>
    <s v=" "/>
    <m/>
    <s v=" "/>
    <s v=" "/>
    <s v=" "/>
    <m/>
    <s v=" "/>
  </r>
  <r>
    <m/>
    <s v="USPS"/>
    <s v="Federal"/>
    <s v="Fee Simple"/>
    <s v="103 N Main St"/>
    <s v="Luxora"/>
    <s v="AR"/>
    <m/>
    <m/>
    <n v="3983"/>
    <n v="3983"/>
    <n v="1"/>
    <m/>
    <s v=" "/>
    <m/>
    <s v=" "/>
    <m/>
    <m/>
    <m/>
    <s v=" "/>
    <s v=" "/>
    <m/>
    <m/>
    <m/>
    <n v="420000"/>
    <n v="105.4481546572935"/>
    <s v=" "/>
    <m/>
    <d v="2021-12-30T00:00:00"/>
    <x v="8"/>
    <m/>
    <x v="66"/>
    <s v="CA"/>
    <s v="Private"/>
    <m/>
    <m/>
    <m/>
    <s v=" "/>
    <s v=" "/>
    <m/>
    <s v=" "/>
    <s v=" "/>
    <s v=" "/>
    <m/>
    <s v=" "/>
  </r>
  <r>
    <m/>
    <s v="USDA"/>
    <s v="Federal"/>
    <s v="Fee Simple"/>
    <s v="360 International Park"/>
    <s v="Newnan"/>
    <s v="GA"/>
    <n v="18.92"/>
    <n v="1999"/>
    <n v="130000"/>
    <n v="130000"/>
    <n v="1"/>
    <m/>
    <s v=" "/>
    <n v="2305887.5"/>
    <n v="17.73759615384616"/>
    <d v="2009-10-01T00:00:00"/>
    <d v="2029-09-30T00:00:00"/>
    <d v="2029-09-30T00:00:00"/>
    <n v="7.756164383561644"/>
    <n v="7.756164383561644"/>
    <s v="Modified Gross"/>
    <s v="None"/>
    <s v="None"/>
    <n v="34675000"/>
    <n v="266.7307692307692"/>
    <n v="0.0665"/>
    <m/>
    <d v="2021-12-30T00:00:00"/>
    <x v="103"/>
    <m/>
    <x v="42"/>
    <s v="VA"/>
    <s v="Private"/>
    <m/>
    <m/>
    <m/>
    <s v=" "/>
    <s v=" "/>
    <m/>
    <s v=" "/>
    <s v=" "/>
    <s v=" "/>
    <m/>
    <s v=" "/>
  </r>
  <r>
    <s v="LKY00883"/>
    <s v="DOL"/>
    <s v="Federal"/>
    <s v="Fee Simple"/>
    <s v="1101 Town Square Dr"/>
    <s v="Beaver Dam"/>
    <s v="KY"/>
    <n v="0.9"/>
    <n v="2008"/>
    <n v="2814"/>
    <n v="2814"/>
    <n v="1"/>
    <n v="65453.64"/>
    <n v="23.26"/>
    <n v="48323.88"/>
    <n v="17.17266524520256"/>
    <d v="2018-04-21T00:00:00"/>
    <d v="2028-04-20T00:00:00"/>
    <d v="2023-04-20T00:00:00"/>
    <n v="6.312328767123287"/>
    <n v="1.306849315068493"/>
    <s v="Modified Gross"/>
    <s v="None"/>
    <s v="None"/>
    <m/>
    <s v=" "/>
    <s v=" "/>
    <m/>
    <d v="2021-12-29T00:00:00"/>
    <x v="299"/>
    <s v="Colliers; Ficke"/>
    <x v="222"/>
    <s v="NJ"/>
    <s v="Private"/>
    <m/>
    <m/>
    <n v="526932"/>
    <n v="0.09170800027328004"/>
    <s v=" "/>
    <n v="526932"/>
    <n v="0.09170800027328004"/>
    <s v=" "/>
    <s v="No"/>
    <d v="2021-10-28T00:00:00"/>
    <n v="62"/>
  </r>
  <r>
    <s v="LGA00396"/>
    <s v="SSA"/>
    <s v="Federal"/>
    <s v="Fee Simple"/>
    <s v="301 Point North Pl"/>
    <s v="Dalton"/>
    <s v="GA"/>
    <n v="1.58"/>
    <n v="2009"/>
    <n v="9235"/>
    <n v="9235"/>
    <n v="1"/>
    <n v="299675.06"/>
    <n v="32.44992528424472"/>
    <m/>
    <s v=" "/>
    <d v="2020-12-01T00:00:00"/>
    <d v="2030-11-30T00:00:00"/>
    <d v="2025-12-01T00:00:00"/>
    <n v="8.926027397260274"/>
    <n v="3.926027397260274"/>
    <s v="Modified Gross"/>
    <s v="None"/>
    <s v="None"/>
    <n v="3250274"/>
    <n v="351.951705468327"/>
    <s v=" "/>
    <m/>
    <d v="2021-12-29T00:00:00"/>
    <x v="103"/>
    <s v="C&amp;W; Trautvetter"/>
    <x v="223"/>
    <s v="WY"/>
    <s v="Private"/>
    <s v="BW; Wells"/>
    <s v="Alliance Land Group"/>
    <m/>
    <s v=" "/>
    <s v=" "/>
    <m/>
    <s v=" "/>
    <s v=" "/>
    <s v=" "/>
    <m/>
    <s v=" "/>
  </r>
  <r>
    <s v="LMS00925"/>
    <s v="FS"/>
    <s v="Federal"/>
    <s v="Fee Simple"/>
    <s v="6425 Lakeover Rd"/>
    <s v="Jackson"/>
    <s v="MS"/>
    <n v="2.43"/>
    <n v="2000"/>
    <n v="15270"/>
    <n v="23745"/>
    <n v="0.6430827542640556"/>
    <n v="478103.7"/>
    <n v="31.31"/>
    <n v="275865"/>
    <n v="11.61781427668983"/>
    <d v="2021-05-20T00:00:00"/>
    <d v="2031-05-19T00:00:00"/>
    <d v="2026-05-19T00:00:00"/>
    <n v="9.391780821917807"/>
    <n v="4.389041095890411"/>
    <s v="Modified Gross"/>
    <s v="None"/>
    <s v="None"/>
    <n v="3675000"/>
    <n v="154.7694251421352"/>
    <n v="0.07506530612244898"/>
    <m/>
    <d v="2021-12-29T00:00:00"/>
    <x v="300"/>
    <s v="NAI; McCullough"/>
    <x v="224"/>
    <s v="CO"/>
    <s v="Private"/>
    <m/>
    <m/>
    <n v="3975000"/>
    <n v="0.0694"/>
    <n v="0.9245283018867925"/>
    <n v="3975000"/>
    <n v="0.0694"/>
    <n v="0.005665306122448976"/>
    <s v="No"/>
    <d v="2021-07-16T00:00:00"/>
    <n v="166"/>
  </r>
  <r>
    <m/>
    <s v="VA/CBOC"/>
    <s v="Federal"/>
    <s v="Fee Simple"/>
    <s v="1639 Medical Center Pky"/>
    <s v="Murfreesboro"/>
    <s v="TN"/>
    <n v="4.62"/>
    <n v="2005"/>
    <n v="22500"/>
    <n v="85590"/>
    <n v="0.2628811777076761"/>
    <m/>
    <s v=" "/>
    <m/>
    <s v=" "/>
    <m/>
    <m/>
    <m/>
    <s v=" "/>
    <s v=" "/>
    <m/>
    <m/>
    <m/>
    <n v="19775000"/>
    <n v="231.043346185302"/>
    <s v=" "/>
    <m/>
    <d v="2021-12-29T00:00:00"/>
    <x v="301"/>
    <s v="M&amp;M: Grenaway"/>
    <x v="225"/>
    <s v="TN"/>
    <s v="REIT"/>
    <m/>
    <m/>
    <m/>
    <s v=" "/>
    <s v=" "/>
    <m/>
    <s v=" "/>
    <s v=" "/>
    <s v=" "/>
    <m/>
    <s v=" "/>
  </r>
  <r>
    <s v="LFL00191"/>
    <s v="CBP"/>
    <s v="Federal"/>
    <s v="Fee Simple"/>
    <s v="612 SW Federal Highway"/>
    <s v="Stuart"/>
    <s v="FL"/>
    <n v="0.92"/>
    <n v="2021"/>
    <n v="7200"/>
    <n v="7200"/>
    <n v="1"/>
    <n v="363516"/>
    <n v="50.48833333333334"/>
    <n v="301254"/>
    <n v="41.84083333333334"/>
    <d v="2021-08-01T00:00:00"/>
    <d v="2036-07-31T00:00:00"/>
    <d v="2036-07-31T00:00:00"/>
    <n v="14.5972602739726"/>
    <n v="14.5972602739726"/>
    <s v="Modified Gross"/>
    <s v="TI Drops $33k"/>
    <s v="None"/>
    <n v="5400000"/>
    <n v="750"/>
    <n v="0.05578777777777778"/>
    <m/>
    <d v="2021-12-29T00:00:00"/>
    <x v="302"/>
    <s v="NGKF; Gallas &amp; Tabbi"/>
    <x v="226"/>
    <s v="FL"/>
    <s v="Private"/>
    <m/>
    <m/>
    <n v="5500000"/>
    <n v="0.05477345454545455"/>
    <n v="0.9818181818181818"/>
    <n v="5500000"/>
    <n v="0.05477345454545455"/>
    <n v="0.001014323232323228"/>
    <s v="No"/>
    <d v="2021-08-02T00:00:00"/>
    <n v="149"/>
  </r>
  <r>
    <s v="LPA08365"/>
    <s v="SSA"/>
    <s v="Federal"/>
    <s v="Fee Simple"/>
    <s v="8645 W Chester Pike"/>
    <s v="Upper Darby"/>
    <s v="PA"/>
    <n v="1.36"/>
    <n v="2008"/>
    <n v="13689"/>
    <n v="13689"/>
    <n v="1"/>
    <n v="233545.23"/>
    <n v="17.06079552925707"/>
    <m/>
    <s v=" "/>
    <d v="2009-11-25T00:00:00"/>
    <d v="2029-11-24T00:00:00"/>
    <d v="2029-11-24T00:00:00"/>
    <n v="7.909589041095891"/>
    <n v="7.909589041095891"/>
    <s v="Modified Gross"/>
    <s v="None"/>
    <s v="None"/>
    <n v="1925000"/>
    <n v="140.6238585725765"/>
    <s v=" "/>
    <m/>
    <d v="2021-12-29T00:00:00"/>
    <x v="303"/>
    <s v="M&amp;M; Gariano"/>
    <x v="227"/>
    <s v="PA"/>
    <s v="Private"/>
    <m/>
    <m/>
    <m/>
    <s v=" "/>
    <s v=" "/>
    <m/>
    <s v=" "/>
    <s v=" "/>
    <s v=" "/>
    <m/>
    <s v=" "/>
  </r>
  <r>
    <m/>
    <s v="BLM, Other"/>
    <s v="Federal"/>
    <s v="Fee Simple"/>
    <s v="7341 E 30th St"/>
    <s v="Yuma"/>
    <s v="AZ"/>
    <n v="5.26"/>
    <n v="2005"/>
    <n v="57600"/>
    <n v="57600"/>
    <n v="1"/>
    <m/>
    <s v=" "/>
    <n v="407700"/>
    <n v="7.078125"/>
    <d v="2020-05-01T00:00:00"/>
    <d v="2035-04-30T00:00:00"/>
    <d v="2030-04-30T00:00:00"/>
    <n v="13.34246575342466"/>
    <n v="8.33972602739726"/>
    <s v="Modified Gross"/>
    <s v="None"/>
    <s v="None"/>
    <n v="6357709"/>
    <n v="110.3768923611111"/>
    <n v="0.06412687337529918"/>
    <m/>
    <d v="2021-12-29T00:00:00"/>
    <x v="304"/>
    <s v="AT Pancrazi"/>
    <x v="228"/>
    <s v="CA"/>
    <s v="Private"/>
    <m/>
    <m/>
    <m/>
    <s v=" "/>
    <s v=" "/>
    <m/>
    <s v=" "/>
    <s v=" "/>
    <s v=" "/>
    <m/>
    <s v=" "/>
  </r>
  <r>
    <m/>
    <s v="University Health"/>
    <s v="State"/>
    <s v="Fee Simple"/>
    <m/>
    <m/>
    <s v="GA"/>
    <n v="0"/>
    <m/>
    <n v="15000"/>
    <n v="15000"/>
    <n v="1"/>
    <m/>
    <s v=" "/>
    <n v="591855"/>
    <n v="39.457"/>
    <m/>
    <m/>
    <m/>
    <s v=" "/>
    <s v=" "/>
    <m/>
    <m/>
    <m/>
    <n v="10550000"/>
    <n v="703.3333333333334"/>
    <n v="0.0561"/>
    <m/>
    <d v="2021-12-29T00:00:00"/>
    <x v="305"/>
    <s v="SJC; Scrivner"/>
    <x v="229"/>
    <s v="CA"/>
    <s v="Private"/>
    <m/>
    <m/>
    <m/>
    <s v=" "/>
    <s v=" "/>
    <m/>
    <s v=" "/>
    <s v=" "/>
    <s v=" "/>
    <m/>
    <s v=" "/>
  </r>
  <r>
    <s v="LMD09305"/>
    <m/>
    <s v="Federal"/>
    <s v="Fee Simple"/>
    <s v="11835-11841 Newgate Blvd"/>
    <s v="Hagerstown"/>
    <s v="MD"/>
    <n v="142.67"/>
    <m/>
    <n v="400140"/>
    <n v="1231200"/>
    <n v="0.325"/>
    <n v="2590039.72"/>
    <n v="6.472833808167142"/>
    <m/>
    <s v=" "/>
    <d v="2009-10-19T00:00:00"/>
    <d v="2019-10-18T00:00:00"/>
    <d v="2019-10-18T00:00:00"/>
    <n v="-2.197260273972603"/>
    <n v="-2.197260273972603"/>
    <s v="Modified Gross"/>
    <s v="None"/>
    <s v="None"/>
    <n v="139500000"/>
    <n v="113.3040935672515"/>
    <s v=" "/>
    <m/>
    <d v="2021-12-28T00:00:00"/>
    <x v="306"/>
    <s v="CW; Carpenter"/>
    <x v="230"/>
    <s v="MA"/>
    <s v="REIT"/>
    <m/>
    <m/>
    <m/>
    <s v=" "/>
    <s v=" "/>
    <m/>
    <s v=" "/>
    <s v=" "/>
    <s v=" "/>
    <m/>
    <s v=" "/>
  </r>
  <r>
    <s v="LMO00274"/>
    <s v="SSA"/>
    <s v="Federal"/>
    <s v="Fee Simple"/>
    <s v="518 W South Hills Dr"/>
    <s v="Maryville"/>
    <s v="MO"/>
    <m/>
    <m/>
    <n v="4390"/>
    <n v="4390"/>
    <n v="1"/>
    <n v="81900"/>
    <n v="18.65603644646925"/>
    <m/>
    <s v=" "/>
    <d v="2020-03-04T00:00:00"/>
    <d v="2030-03-03T00:00:00"/>
    <d v="2023-03-04T00:00:00"/>
    <n v="8.183561643835617"/>
    <n v="1.180821917808219"/>
    <s v="Modified Gross"/>
    <s v="None"/>
    <s v="None"/>
    <m/>
    <s v=" "/>
    <s v=" "/>
    <m/>
    <d v="2021-12-28T00:00:00"/>
    <x v="307"/>
    <m/>
    <x v="231"/>
    <s v="MO"/>
    <s v="Private"/>
    <m/>
    <m/>
    <m/>
    <s v=" "/>
    <s v=" "/>
    <m/>
    <s v=" "/>
    <s v=" "/>
    <s v=" "/>
    <m/>
    <s v=" "/>
  </r>
  <r>
    <s v="LFL00338"/>
    <s v="DEA"/>
    <s v="Federal"/>
    <s v="Fee Simple"/>
    <s v="7140 N 9th Ave"/>
    <s v="Pensacola"/>
    <s v="FL"/>
    <n v="0.88"/>
    <n v="1975"/>
    <n v="8515"/>
    <n v="8515"/>
    <n v="1"/>
    <n v="276897"/>
    <n v="32.51873165002936"/>
    <n v="192469"/>
    <n v="22.60352319436289"/>
    <d v="2021-02-01T00:00:00"/>
    <d v="2036-01-31T00:00:00"/>
    <d v="2031-01-31T00:00:00"/>
    <n v="14.1013698630137"/>
    <n v="9.098630136986301"/>
    <s v="Modified Gross"/>
    <s v="TI Drops $42k"/>
    <s v="None"/>
    <n v="3350344.827586207"/>
    <n v="393.463867009537"/>
    <n v="0.05744751955537258"/>
    <m/>
    <d v="2021-12-28T00:00:00"/>
    <x v="308"/>
    <s v="Colliers; Ficke"/>
    <x v="232"/>
    <s v="CA"/>
    <s v="Private"/>
    <m/>
    <m/>
    <n v="3499435"/>
    <n v="0.05500002143203117"/>
    <n v="0.9573959303676757"/>
    <n v="3499435"/>
    <n v="0.05500002143203117"/>
    <n v="0.002447498123341406"/>
    <s v="No"/>
    <d v="2021-08-31T00:00:00"/>
    <n v="119"/>
  </r>
  <r>
    <m/>
    <s v="USPS"/>
    <s v="Federal"/>
    <s v="Fee Simple"/>
    <s v="417 N Washington St"/>
    <s v="Berkeley Springs"/>
    <s v="WV"/>
    <n v="0.9579"/>
    <n v="1963"/>
    <n v="6492"/>
    <n v="6492"/>
    <n v="1"/>
    <m/>
    <s v=" "/>
    <m/>
    <s v=" "/>
    <m/>
    <m/>
    <m/>
    <s v=" "/>
    <s v=" "/>
    <m/>
    <m/>
    <m/>
    <n v="1221667"/>
    <n v="188.1803758471966"/>
    <s v=" "/>
    <m/>
    <d v="2021-12-27T00:00:00"/>
    <x v="309"/>
    <m/>
    <x v="66"/>
    <s v="CA"/>
    <s v="Private"/>
    <m/>
    <m/>
    <m/>
    <s v=" "/>
    <s v=" "/>
    <m/>
    <s v=" "/>
    <s v=" "/>
    <s v=" "/>
    <m/>
    <s v=" "/>
  </r>
  <r>
    <s v="LTN02063"/>
    <s v="FBI"/>
    <s v="Federal"/>
    <s v="Fee Simple"/>
    <s v="2868 Elm Hill Pke"/>
    <s v="Nashville"/>
    <s v="TN"/>
    <n v="3"/>
    <n v="2005"/>
    <n v="30858"/>
    <n v="30858"/>
    <n v="1"/>
    <n v="1063611.39"/>
    <n v="34.46793019638343"/>
    <n v="798232.3899999999"/>
    <n v="25.86792371508199"/>
    <d v="2021-02-09T00:00:00"/>
    <d v="2026-06-30T00:00:00"/>
    <d v="2024-02-04T00:00:00"/>
    <n v="4.50958904109589"/>
    <n v="2.106849315068493"/>
    <s v="Modified Gross"/>
    <s v="None"/>
    <s v="None"/>
    <n v="8680000"/>
    <n v="281.2884827273317"/>
    <n v="0.09196225691244238"/>
    <m/>
    <d v="2021-12-27T00:00:00"/>
    <x v="310"/>
    <m/>
    <x v="233"/>
    <s v="NY"/>
    <s v="Private"/>
    <m/>
    <m/>
    <m/>
    <s v=" "/>
    <s v=" "/>
    <m/>
    <s v=" "/>
    <s v=" "/>
    <s v=" "/>
    <m/>
    <s v=" "/>
  </r>
  <r>
    <m/>
    <s v="USPS"/>
    <s v="Federal"/>
    <s v="Fee Simple"/>
    <s v="205 Ambrose Dr"/>
    <s v="Ranson"/>
    <s v="WV"/>
    <n v="1.3731"/>
    <n v="1998"/>
    <n v="7116"/>
    <n v="7116"/>
    <n v="1"/>
    <m/>
    <s v=" "/>
    <m/>
    <s v=" "/>
    <m/>
    <m/>
    <m/>
    <s v=" "/>
    <s v=" "/>
    <m/>
    <m/>
    <m/>
    <n v="940000"/>
    <n v="132.0966835300731"/>
    <s v=" "/>
    <m/>
    <d v="2021-12-27T00:00:00"/>
    <x v="309"/>
    <m/>
    <x v="66"/>
    <s v="CA"/>
    <s v="Private"/>
    <m/>
    <m/>
    <m/>
    <s v=" "/>
    <s v=" "/>
    <m/>
    <s v=" "/>
    <s v=" "/>
    <s v=" "/>
    <m/>
    <s v=" "/>
  </r>
  <r>
    <m/>
    <s v="SSA"/>
    <s v="Federal"/>
    <s v="Fee Simple"/>
    <s v="3250 Craig Dr"/>
    <s v="McKinney"/>
    <s v="TX"/>
    <n v="2.55"/>
    <n v="2006"/>
    <n v="15544"/>
    <n v="15544"/>
    <n v="1"/>
    <n v="541464.58"/>
    <n v="34.83431420483787"/>
    <n v="397520.7"/>
    <n v="25.57389989706639"/>
    <d v="2021-02-01T00:00:00"/>
    <d v="2037-12-31T00:00:00"/>
    <d v="2035-12-31T00:00:00"/>
    <n v="16.03013698630137"/>
    <n v="14.02739726027397"/>
    <s v="Modified Gross"/>
    <s v="TI Drops $64k"/>
    <s v="None"/>
    <m/>
    <s v=" "/>
    <s v=" "/>
    <m/>
    <d v="2021-12-24T00:00:00"/>
    <x v="311"/>
    <s v="Colliers; Ficke"/>
    <x v="62"/>
    <s v="IL"/>
    <s v="Private"/>
    <m/>
    <m/>
    <n v="6158151.16"/>
    <n v="0.06455195555803797"/>
    <s v=" "/>
    <n v="6158151.16"/>
    <n v="0.06455195555803797"/>
    <s v=" "/>
    <s v="No"/>
    <d v="2021-08-05T00:00:00"/>
    <n v="141"/>
  </r>
  <r>
    <m/>
    <s v="THECB"/>
    <s v="State"/>
    <s v="Fee Simple"/>
    <s v="1200 E Anderson Ln"/>
    <s v="Austin"/>
    <s v="TX"/>
    <n v="3.66"/>
    <n v="1982"/>
    <n v="86910"/>
    <n v="86910"/>
    <n v="1"/>
    <n v="1731085.68"/>
    <n v="19.91814152571626"/>
    <n v="1006513"/>
    <n v="11.58109538603153"/>
    <d v="2015-07-01T00:00:00"/>
    <d v="2025-06-30T00:00:00"/>
    <d v="2016-06-30T00:00:00"/>
    <n v="3.523287671232877"/>
    <n v="-5.482191780821918"/>
    <s v="Full Service"/>
    <s v="None"/>
    <s v="1, 5yr"/>
    <n v="10600000"/>
    <n v="121.9652514095041"/>
    <n v="0.09495405660377358"/>
    <m/>
    <d v="2021-12-22T00:00:00"/>
    <x v="312"/>
    <s v="Bradley Bailey"/>
    <x v="234"/>
    <s v="CA"/>
    <s v="Private"/>
    <m/>
    <m/>
    <n v="10593000"/>
    <n v="0.09501680354951383"/>
    <n v="1.000660813744926"/>
    <n v="10593000"/>
    <n v="0.09501680354951383"/>
    <n v="-6.274694574025241e-05"/>
    <s v="No"/>
    <d v="2021-08-04T00:00:00"/>
    <n v="140"/>
  </r>
  <r>
    <m/>
    <s v="USPS"/>
    <s v="Federal"/>
    <s v="Fee Simple"/>
    <s v="419 W 20th St"/>
    <s v="Norfolk"/>
    <s v="VA"/>
    <n v="0.2652"/>
    <n v="1956"/>
    <n v="4500"/>
    <n v="4500"/>
    <n v="1"/>
    <m/>
    <s v=" "/>
    <m/>
    <s v=" "/>
    <m/>
    <m/>
    <m/>
    <s v=" "/>
    <s v=" "/>
    <m/>
    <m/>
    <m/>
    <n v="975000"/>
    <n v="216.6666666666667"/>
    <s v=" "/>
    <m/>
    <d v="2021-12-22T00:00:00"/>
    <x v="313"/>
    <m/>
    <x v="66"/>
    <s v="CA"/>
    <s v="Private"/>
    <m/>
    <m/>
    <m/>
    <s v=" "/>
    <s v=" "/>
    <m/>
    <s v=" "/>
    <s v=" "/>
    <s v=" "/>
    <m/>
    <s v=" "/>
  </r>
  <r>
    <m/>
    <s v="HLO/DHS"/>
    <s v="State"/>
    <s v="Fee Simple"/>
    <s v="1430 Tandem Ave NE"/>
    <s v="Salem"/>
    <s v="OR"/>
    <n v="5.44"/>
    <n v="1996"/>
    <n v="52778"/>
    <n v="57632"/>
    <n v="0.9157759578012216"/>
    <m/>
    <s v=" "/>
    <n v="1323000"/>
    <n v="22.95599666851749"/>
    <m/>
    <d v="2028-02-28T00:00:00"/>
    <d v="2028-02-28T00:00:00"/>
    <n v="6.189041095890411"/>
    <n v="6.189041095890411"/>
    <s v="Modified Gross"/>
    <s v="Annually"/>
    <s v="None"/>
    <n v="17500000"/>
    <n v="303.6507495835647"/>
    <n v="0.0756"/>
    <m/>
    <d v="2021-12-22T00:00:00"/>
    <x v="314"/>
    <s v="M&amp;M; Carvolth"/>
    <x v="1"/>
    <s v="IL"/>
    <s v="Private"/>
    <m/>
    <m/>
    <n v="17500000"/>
    <n v="0.0756"/>
    <n v="1"/>
    <n v="17500000"/>
    <n v="0.0756"/>
    <n v="0"/>
    <s v="No"/>
    <d v="2021-08-27T00:00:00"/>
    <n v="117"/>
  </r>
  <r>
    <s v="LGA00657"/>
    <s v="DMCA/IRS"/>
    <s v="Federal"/>
    <s v="Fee Simple"/>
    <s v="2300 Lake Park Dr SE"/>
    <s v="Smyrna"/>
    <s v="GA"/>
    <n v="8.779999999999999"/>
    <n v="1985"/>
    <n v="53472"/>
    <n v="90558"/>
    <n v="0.5904724044258928"/>
    <n v="847423"/>
    <n v="15.84797651107121"/>
    <n v="744000"/>
    <n v="8.215729145961705"/>
    <d v="2019-05-01T00:00:00"/>
    <d v="2029-04-30T00:00:00"/>
    <d v="2024-04-30T00:00:00"/>
    <n v="7.361643835616438"/>
    <n v="2.358904109589041"/>
    <s v="Modified Gross"/>
    <s v="None"/>
    <s v="None"/>
    <n v="9300000"/>
    <n v="102.6966143245213"/>
    <n v="0.08"/>
    <m/>
    <d v="2021-12-21T00:00:00"/>
    <x v="315"/>
    <s v="TW; Markwordt"/>
    <x v="186"/>
    <s v="GA"/>
    <s v="Private"/>
    <m/>
    <m/>
    <m/>
    <s v=" "/>
    <s v=" "/>
    <m/>
    <s v=" "/>
    <s v=" "/>
    <s v=" "/>
    <m/>
    <s v=" "/>
  </r>
  <r>
    <s v="LCO00309"/>
    <s v="ARMY"/>
    <s v="Federal"/>
    <s v="Fee Simple"/>
    <s v="1555 N Newport Rd"/>
    <s v="Colorado Springs"/>
    <s v="CO"/>
    <n v="4.87"/>
    <n v="1983"/>
    <n v="64455"/>
    <n v="64455"/>
    <n v="1"/>
    <n v="1320531"/>
    <n v="20.48764254130789"/>
    <n v="930578.25"/>
    <n v="14.43764254130789"/>
    <d v="2019-01-01T00:00:00"/>
    <d v="2033-12-31T00:00:00"/>
    <d v="2029-01-01T00:00:00"/>
    <n v="12.03835616438356"/>
    <n v="7.038356164383561"/>
    <s v="Modified Gross"/>
    <s v="None"/>
    <s v="None"/>
    <n v="13750000"/>
    <n v="213.327127453262"/>
    <n v="0.06767841818181818"/>
    <m/>
    <d v="2021-12-20T00:00:00"/>
    <x v="316"/>
    <m/>
    <x v="1"/>
    <s v="IL"/>
    <s v="Private"/>
    <m/>
    <m/>
    <m/>
    <s v=" "/>
    <s v=" "/>
    <m/>
    <s v=" "/>
    <s v=" "/>
    <s v=" "/>
    <m/>
    <s v=" "/>
  </r>
  <r>
    <s v="LWA00243"/>
    <s v="IRS"/>
    <s v="Federal"/>
    <s v="Fee Simple"/>
    <s v="1301 A St"/>
    <s v="Tacoma"/>
    <s v="WA"/>
    <n v="0.75"/>
    <n v="2001"/>
    <n v="57341"/>
    <n v="172000"/>
    <n v="0.3333779069767442"/>
    <n v="1950167.06"/>
    <n v="34.00999389616505"/>
    <n v="3643750"/>
    <n v="21.18459302325581"/>
    <d v="2021-12-01T00:00:00"/>
    <d v="2041-11-30T00:00:00"/>
    <d v="2036-11-30T00:00:00"/>
    <n v="19.95890410958904"/>
    <n v="14.95616438356164"/>
    <s v="Modified Gross"/>
    <s v="None"/>
    <s v="None"/>
    <n v="58300000"/>
    <n v="338.953488372093"/>
    <n v="0.0625"/>
    <m/>
    <d v="2021-12-20T00:00:00"/>
    <x v="317"/>
    <s v="Neilwater"/>
    <x v="1"/>
    <s v="IL"/>
    <s v="Private"/>
    <m/>
    <m/>
    <m/>
    <s v=" "/>
    <s v=" "/>
    <m/>
    <s v=" "/>
    <s v=" "/>
    <s v=" "/>
    <m/>
    <s v=" "/>
  </r>
  <r>
    <m/>
    <s v="Multi"/>
    <s v="Federal"/>
    <s v="Fee Simple"/>
    <s v="700 Market St"/>
    <s v="Parkersburg"/>
    <s v="WV"/>
    <n v="0.2"/>
    <n v="1903"/>
    <m/>
    <n v="60908"/>
    <s v=" "/>
    <m/>
    <s v=" "/>
    <m/>
    <s v=" "/>
    <m/>
    <m/>
    <m/>
    <s v=" "/>
    <s v=" "/>
    <m/>
    <m/>
    <m/>
    <n v="8000000"/>
    <n v="131.3456360412425"/>
    <s v=" "/>
    <m/>
    <d v="2021-12-17T00:00:00"/>
    <x v="318"/>
    <m/>
    <x v="1"/>
    <s v="IL"/>
    <s v="Private"/>
    <m/>
    <m/>
    <m/>
    <s v=" "/>
    <s v=" "/>
    <m/>
    <s v=" "/>
    <s v=" "/>
    <s v=" "/>
    <m/>
    <s v=" "/>
  </r>
  <r>
    <m/>
    <s v="SSA"/>
    <s v="Federal"/>
    <s v="Fee Simple"/>
    <s v="1392 Johnny Johnson Dr"/>
    <s v="Brookhaven"/>
    <s v="MS"/>
    <m/>
    <m/>
    <n v="6175"/>
    <n v="6175"/>
    <n v="1"/>
    <m/>
    <s v=" "/>
    <m/>
    <s v=" "/>
    <m/>
    <d v="2026-01-31T00:00:00"/>
    <d v="2021-01-31T00:00:00"/>
    <n v="4.128767123287671"/>
    <n v="-0.873972602739726"/>
    <s v="Modified Gross"/>
    <s v="None"/>
    <s v="None"/>
    <m/>
    <s v=" "/>
    <s v=" "/>
    <m/>
    <d v="2021-12-16T00:00:00"/>
    <x v="319"/>
    <m/>
    <x v="235"/>
    <m/>
    <m/>
    <m/>
    <m/>
    <m/>
    <s v=" "/>
    <s v=" "/>
    <m/>
    <s v=" "/>
    <s v=" "/>
    <s v=" "/>
    <m/>
    <s v=" "/>
  </r>
  <r>
    <m/>
    <s v="USPS"/>
    <s v="Federal"/>
    <s v="Fee Simple"/>
    <s v="163 N Hemlock St"/>
    <s v="Cannon Beach"/>
    <s v="OR"/>
    <n v="0.23"/>
    <n v="1982"/>
    <n v="1620"/>
    <n v="1620"/>
    <n v="1"/>
    <n v="38754"/>
    <n v="23.92222222222222"/>
    <n v="38754"/>
    <n v="23.92222222222222"/>
    <m/>
    <d v="2025-03-31T00:00:00"/>
    <d v="2025-03-31T00:00:00"/>
    <n v="3.293150684931507"/>
    <n v="3.293150684931507"/>
    <s v="Rider"/>
    <s v="10% Apr 2023; 5% at each option"/>
    <s v="2, 5yr"/>
    <n v="865000"/>
    <n v="533.9506172839506"/>
    <n v="0.04480231213872832"/>
    <m/>
    <d v="2021-12-15T00:00:00"/>
    <x v="8"/>
    <s v="Brandon Gayeski"/>
    <x v="0"/>
    <m/>
    <m/>
    <m/>
    <m/>
    <n v="825000"/>
    <n v="0.04697454545454546"/>
    <n v="1.048484848484849"/>
    <n v="825000"/>
    <n v="0.04697454545454546"/>
    <n v="-0.002172233315817132"/>
    <s v="No"/>
    <d v="2021-11-16T00:00:00"/>
    <n v="29"/>
  </r>
  <r>
    <s v="LFL62198"/>
    <s v="FWS"/>
    <s v="Federal"/>
    <s v="Fee Simple"/>
    <s v="3701 NW 82nd Ave"/>
    <s v="Doral"/>
    <s v="FL"/>
    <n v="1.1"/>
    <n v="1999"/>
    <n v="7747"/>
    <n v="17500"/>
    <n v="0.4426857142857143"/>
    <n v="192555.39"/>
    <n v="24.85547824964502"/>
    <n v="369241"/>
    <n v="21.09948571428571"/>
    <d v="2016-03-07T00:00:00"/>
    <d v="2026-03-06T00:00:00"/>
    <d v="2021-03-07T00:00:00"/>
    <n v="4.224657534246576"/>
    <n v="-0.7753424657534247"/>
    <s v="Modified Gross"/>
    <s v="None"/>
    <s v="None"/>
    <n v="6665000"/>
    <n v="380.8571428571428"/>
    <n v="0.0554"/>
    <m/>
    <d v="2021-12-15T00:00:00"/>
    <x v="320"/>
    <s v="Blanca"/>
    <x v="236"/>
    <s v="FL"/>
    <s v="Private"/>
    <m/>
    <m/>
    <n v="6928249"/>
    <n v="0.05329499560422843"/>
    <n v="0.962003530762246"/>
    <n v="6928249"/>
    <n v="0.05329499560422843"/>
    <n v="0.002105004395771569"/>
    <s v="No"/>
    <d v="2021-02-01T00:00:00"/>
    <n v="317"/>
  </r>
  <r>
    <m/>
    <s v="Battelle Energy Alliance"/>
    <s v="Contractor"/>
    <s v="Fee Simple"/>
    <s v="625 &amp; 655 MK Simpson Blvd"/>
    <s v="Idaho Falls"/>
    <s v="ID"/>
    <n v="6.23"/>
    <n v="2008"/>
    <n v="75502"/>
    <n v="75502"/>
    <n v="1"/>
    <n v="2101975"/>
    <n v="27.83999099361606"/>
    <n v="1926000"/>
    <n v="25.50925803289979"/>
    <d v="2018-10-01T00:00:00"/>
    <d v="2028-09-30T00:00:00"/>
    <d v="2028-09-30T00:00:00"/>
    <n v="6.797260273972602"/>
    <n v="6.797260273972602"/>
    <s v="NNN"/>
    <s v="CPI to OpEx"/>
    <s v="None"/>
    <n v="28533333.33333333"/>
    <n v="377.9149338207376"/>
    <n v="0.0675"/>
    <m/>
    <d v="2021-12-15T00:00:00"/>
    <x v="321"/>
    <s v="Rallens; Guanell"/>
    <x v="1"/>
    <s v="IL"/>
    <s v="Private"/>
    <m/>
    <m/>
    <n v="30998000"/>
    <n v="0.06213304084134461"/>
    <n v="0.9204894939458459"/>
    <n v="30998000"/>
    <n v="0.06213304084134461"/>
    <n v="0.005366959158655399"/>
    <s v="No"/>
    <d v="2021-05-08T00:00:00"/>
    <n v="221"/>
  </r>
  <r>
    <m/>
    <s v="MEPS"/>
    <s v="Federal"/>
    <s v="Leasehold"/>
    <s v="7545 NE Ambassador Pl"/>
    <s v="Portland"/>
    <s v="OR"/>
    <n v="2.26"/>
    <n v="2002"/>
    <n v="24142"/>
    <n v="24142"/>
    <n v="1"/>
    <n v="620947.0699999999"/>
    <n v="25.72061428216386"/>
    <n v="432937.75"/>
    <n v="17.93296951371055"/>
    <d v="2017-08-01T00:00:00"/>
    <d v="2037-07-31T00:00:00"/>
    <d v="2027-07-31T00:00:00"/>
    <n v="15.63561643835616"/>
    <n v="5.627397260273972"/>
    <s v="Modified Gross"/>
    <s v="Drops TI"/>
    <s v="2, 5yr"/>
    <n v="7000000"/>
    <n v="289.95112252506"/>
    <n v="0.06184825"/>
    <m/>
    <d v="2021-12-15T00:00:00"/>
    <x v="322"/>
    <s v="N&amp;S; Lyman"/>
    <x v="237"/>
    <s v="CA"/>
    <s v="Private"/>
    <s v="KM; Francis"/>
    <m/>
    <n v="7250000"/>
    <n v="0.05971555172413793"/>
    <n v="0.9655172413793104"/>
    <n v="7250000"/>
    <n v="0.05971555172413793"/>
    <n v="0.002132698275862072"/>
    <s v="No"/>
    <d v="2021-06-11T00:00:00"/>
    <n v="187"/>
  </r>
  <r>
    <m/>
    <s v="USPS"/>
    <s v="Federal"/>
    <s v="Fee Simple"/>
    <s v="4327 N US Highway 83"/>
    <s v="San Ygnacio"/>
    <s v="TX"/>
    <m/>
    <m/>
    <n v="2940"/>
    <n v="2940"/>
    <n v="1"/>
    <m/>
    <s v=" "/>
    <m/>
    <s v=" "/>
    <m/>
    <m/>
    <m/>
    <s v=" "/>
    <s v=" "/>
    <m/>
    <m/>
    <m/>
    <m/>
    <s v=" "/>
    <s v=" "/>
    <m/>
    <d v="2021-12-15T00:00:00"/>
    <x v="8"/>
    <m/>
    <x v="66"/>
    <s v="CA"/>
    <s v="Private"/>
    <m/>
    <m/>
    <m/>
    <s v=" "/>
    <s v=" "/>
    <m/>
    <s v=" "/>
    <s v=" "/>
    <s v=" "/>
    <m/>
    <s v=" "/>
  </r>
  <r>
    <s v="LCA03271"/>
    <s v="SSA"/>
    <s v="Federal"/>
    <s v="Fee Simple"/>
    <s v="3840 Crenshaw Blvd"/>
    <s v="Los Angeles"/>
    <s v="CA"/>
    <n v="0.93"/>
    <n v="1995"/>
    <n v="8756"/>
    <n v="14430"/>
    <n v="0.6067914067914068"/>
    <n v="315175"/>
    <n v="35.99531749657378"/>
    <n v="211458"/>
    <n v="14.65405405405405"/>
    <d v="2018-03-31T00:00:00"/>
    <d v="2033-03-12T00:00:00"/>
    <d v="2028-03-12T00:00:00"/>
    <n v="11.26027397260274"/>
    <n v="6.257534246575342"/>
    <s v="Modified Gross"/>
    <s v="Drops $55k at firm"/>
    <s v="None"/>
    <n v="5275000"/>
    <n v="365.5578655578656"/>
    <n v="0.04008682464454976"/>
    <m/>
    <d v="2021-12-10T00:00:00"/>
    <x v="69"/>
    <m/>
    <x v="238"/>
    <s v="CA"/>
    <s v="Private"/>
    <m/>
    <m/>
    <m/>
    <s v=" "/>
    <s v=" "/>
    <m/>
    <s v=" "/>
    <s v=" "/>
    <s v=" "/>
    <m/>
    <s v=" "/>
  </r>
  <r>
    <m/>
    <s v="AAL"/>
    <s v="State"/>
    <s v="Fee Simple"/>
    <s v="720 Alabama Ave"/>
    <s v="Selma"/>
    <s v="AL"/>
    <n v="0.61"/>
    <n v="2015"/>
    <n v="14305"/>
    <n v="14305"/>
    <n v="1"/>
    <m/>
    <s v=" "/>
    <n v="182820"/>
    <n v="12.78014680181754"/>
    <m/>
    <d v="2023-07-31T00:00:00"/>
    <d v="2023-07-31T00:00:00"/>
    <n v="1.638356164383562"/>
    <n v="1.638356164383562"/>
    <s v="NNN"/>
    <s v="2% annually"/>
    <s v="None"/>
    <n v="2200000"/>
    <n v="153.7923802866131"/>
    <n v="0.08309999999999999"/>
    <m/>
    <d v="2021-12-10T00:00:00"/>
    <x v="223"/>
    <s v="SRS; Suffoletto"/>
    <x v="239"/>
    <s v="CA"/>
    <s v="Private"/>
    <m/>
    <m/>
    <n v="2358000"/>
    <n v="0.07753180661577606"/>
    <n v="0.9329940627650551"/>
    <n v="2358000"/>
    <n v="0.07753180661577606"/>
    <n v="0.00556819338422393"/>
    <s v="No"/>
    <d v="2021-04-29T00:00:00"/>
    <n v="225"/>
  </r>
  <r>
    <s v="LNM00935"/>
    <s v="SSA"/>
    <s v="Federal"/>
    <s v="Fee Simple"/>
    <s v="500 Lead Ave SW"/>
    <s v="Albuquerque"/>
    <s v="NM"/>
    <n v="1.08"/>
    <n v="2001"/>
    <n v="153465"/>
    <n v="153465"/>
    <n v="1"/>
    <n v="4297020"/>
    <n v="28"/>
    <n v="2628904"/>
    <n v="17.13031635877887"/>
    <d v="2021-10-16T00:00:00"/>
    <d v="2031-10-15T00:00:00"/>
    <d v="2026-10-15T00:00:00"/>
    <n v="9.854794520547944"/>
    <n v="4.852054794520548"/>
    <s v="Modified Gross"/>
    <s v="None"/>
    <s v="None"/>
    <n v="41797355"/>
    <n v="272.3575733880689"/>
    <n v="0.06289642012036407"/>
    <m/>
    <d v="2021-12-09T00:00:00"/>
    <x v="323"/>
    <s v="Bull; Neal"/>
    <x v="1"/>
    <s v="IL"/>
    <s v="Private"/>
    <m/>
    <m/>
    <m/>
    <s v=" "/>
    <s v=" "/>
    <m/>
    <s v=" "/>
    <s v=" "/>
    <s v=" "/>
    <m/>
    <s v=" "/>
  </r>
  <r>
    <s v="LTX00489"/>
    <s v="DHS"/>
    <s v="Federal"/>
    <s v="Fee Simple"/>
    <s v="7701 N Stemmons Fwy"/>
    <s v="Dallas"/>
    <s v="TX"/>
    <n v="5.6416"/>
    <n v="1968"/>
    <n v="175801"/>
    <n v="175801"/>
    <n v="1"/>
    <n v="1983240.96"/>
    <n v="11.28116995921525"/>
    <n v="621516.6"/>
    <n v="3.535341664723181"/>
    <d v="2020-09-15T00:00:00"/>
    <d v="2040-09-14T00:00:00"/>
    <d v="2035-09-15T00:00:00"/>
    <n v="18.77808219178082"/>
    <n v="13.77534246575343"/>
    <s v="Modified Gross"/>
    <s v="None"/>
    <s v="None"/>
    <n v="8000000"/>
    <n v="45.50599825939557"/>
    <n v="0.077689575"/>
    <m/>
    <d v="2021-12-09T00:00:00"/>
    <x v="223"/>
    <m/>
    <x v="240"/>
    <s v="TX"/>
    <s v="Private"/>
    <m/>
    <m/>
    <m/>
    <s v=" "/>
    <s v=" "/>
    <m/>
    <s v=" "/>
    <s v=" "/>
    <s v=" "/>
    <m/>
    <s v=" "/>
  </r>
  <r>
    <s v="LTX00378"/>
    <s v="FBI"/>
    <s v="Federal"/>
    <s v="Fee Simple"/>
    <s v="1751 Storey Ln"/>
    <s v="Dallas"/>
    <s v="TX"/>
    <n v="15.39"/>
    <n v="2002"/>
    <n v="226175"/>
    <n v="226175"/>
    <n v="1"/>
    <n v="7290000"/>
    <n v="32.23167900961645"/>
    <n v="4544668"/>
    <n v="20.09359124571681"/>
    <d v="2022-10-11T00:00:00"/>
    <d v="2042-10-10T00:00:00"/>
    <d v="2037-10-11T00:00:00"/>
    <n v="20.84931506849315"/>
    <n v="15.84931506849315"/>
    <s v="Modified Gross"/>
    <s v="None"/>
    <s v="None"/>
    <n v="80436601.7699115"/>
    <n v="355.638783110032"/>
    <n v="0.0565"/>
    <m/>
    <d v="2021-12-09T00:00:00"/>
    <x v="324"/>
    <s v="Bull; Neal"/>
    <x v="1"/>
    <s v="IL"/>
    <s v="Private"/>
    <m/>
    <m/>
    <m/>
    <s v=" "/>
    <s v=" "/>
    <m/>
    <s v=" "/>
    <s v=" "/>
    <s v=" "/>
    <m/>
    <s v=" "/>
  </r>
  <r>
    <s v="LTX00698"/>
    <s v="FBI"/>
    <s v="Federal"/>
    <s v="Fee Simple"/>
    <s v="1200 N McColl Rd"/>
    <s v="McAllen"/>
    <s v="TX"/>
    <n v="4.69"/>
    <n v="2001"/>
    <n v="79335"/>
    <n v="79335"/>
    <n v="1"/>
    <n v="2914897.9"/>
    <n v="36.74163862103737"/>
    <n v="1667868.9"/>
    <n v="21.02311590092645"/>
    <d v="2022-06-01T00:00:00"/>
    <d v="2039-05-31T00:00:00"/>
    <d v="2037-05-31T00:00:00"/>
    <n v="17.48493150684931"/>
    <n v="15.48493150684932"/>
    <s v="Modified Gross"/>
    <s v="None"/>
    <s v="None"/>
    <n v="29519803.53982301"/>
    <n v="372.0905469190522"/>
    <n v="0.0565"/>
    <m/>
    <d v="2021-12-09T00:00:00"/>
    <x v="324"/>
    <s v="Bull; Neal"/>
    <x v="1"/>
    <s v="IL"/>
    <s v="Private"/>
    <m/>
    <m/>
    <m/>
    <s v=" "/>
    <s v=" "/>
    <m/>
    <s v=" "/>
    <s v=" "/>
    <s v=" "/>
    <m/>
    <s v=" "/>
  </r>
  <r>
    <s v="LOK17058"/>
    <s v="SSA"/>
    <s v="Federal"/>
    <s v="Fee Simple"/>
    <s v="406 E Hall of Fame Ave"/>
    <s v="Stillwater"/>
    <s v="OK"/>
    <n v="1"/>
    <n v="1997"/>
    <n v="6168"/>
    <n v="17701"/>
    <n v="0.3484548895542625"/>
    <n v="151679.92"/>
    <n v="24.59142671854734"/>
    <m/>
    <s v=" "/>
    <d v="2017-07-20T00:00:00"/>
    <d v="2027-07-19T00:00:00"/>
    <d v="2022-07-20T00:00:00"/>
    <n v="5.610958904109589"/>
    <n v="0.6109589041095891"/>
    <s v="Modified Gross"/>
    <s v="None"/>
    <s v="None"/>
    <n v="949000"/>
    <n v="53.61279023783967"/>
    <s v=" "/>
    <m/>
    <d v="2021-12-09T00:00:00"/>
    <x v="325"/>
    <m/>
    <x v="241"/>
    <s v="TX"/>
    <s v="Private"/>
    <m/>
    <m/>
    <m/>
    <s v=" "/>
    <s v=" "/>
    <m/>
    <s v=" "/>
    <s v=" "/>
    <s v=" "/>
    <m/>
    <s v=" "/>
  </r>
  <r>
    <s v="LDC00162"/>
    <s v="FCC"/>
    <s v="Federal"/>
    <s v="Fee Simple"/>
    <s v="45 L St NE"/>
    <s v="Washington"/>
    <s v="DC"/>
    <n v="1.46"/>
    <n v="2020"/>
    <n v="473000"/>
    <n v="545823"/>
    <n v="0.866581291004593"/>
    <n v="23177000"/>
    <n v="49"/>
    <n v="14945000"/>
    <n v="27.38067102339037"/>
    <d v="2020-07-15T00:00:00"/>
    <d v="2035-07-14T00:00:00"/>
    <d v="2035-07-14T00:00:00"/>
    <n v="13.60547945205479"/>
    <n v="13.60547945205479"/>
    <s v="Modified Gross"/>
    <s v="None"/>
    <s v="None"/>
    <n v="305000000"/>
    <n v="558.7892045589871"/>
    <n v="0.049"/>
    <m/>
    <d v="2021-12-08T00:00:00"/>
    <x v="326"/>
    <s v="CW; Collins"/>
    <x v="242"/>
    <s v="TX"/>
    <s v="Institutional"/>
    <m/>
    <m/>
    <m/>
    <s v=" "/>
    <s v=" "/>
    <m/>
    <s v=" "/>
    <s v=" "/>
    <s v=" "/>
    <d v="2021-04-01T00:00:00"/>
    <n v="251"/>
  </r>
  <r>
    <s v="LTX01078"/>
    <s v="SSA"/>
    <s v="Federal"/>
    <s v="Fee Simple"/>
    <s v="2921 N Valderas St"/>
    <s v="Angleton"/>
    <s v="TX"/>
    <n v="2.47"/>
    <n v="2006"/>
    <n v="10375"/>
    <n v="10375"/>
    <n v="1"/>
    <n v="287836.8"/>
    <n v="27.74330602409638"/>
    <n v="129653"/>
    <n v="12.49667469879518"/>
    <d v="2022-01-11T00:00:00"/>
    <d v="2037-01-10T00:00:00"/>
    <d v="2035-01-10T00:00:00"/>
    <n v="15.1041095890411"/>
    <n v="13.1013698630137"/>
    <s v="Modified Gross"/>
    <s v="10% in year 9"/>
    <s v="None"/>
    <n v="2045000"/>
    <n v="197.1084337349398"/>
    <n v="0.0634"/>
    <m/>
    <d v="2021-12-07T00:00:00"/>
    <x v="327"/>
    <m/>
    <x v="243"/>
    <s v="CA"/>
    <s v="Private"/>
    <s v="SJC; Corriston"/>
    <m/>
    <m/>
    <s v=" "/>
    <s v=" "/>
    <m/>
    <s v=" "/>
    <s v=" "/>
    <s v=" "/>
    <m/>
    <s v=" "/>
  </r>
  <r>
    <s v="LMI18737"/>
    <m/>
    <s v="Federal"/>
    <s v="Fee Simple"/>
    <s v="38275 W Twelve Mile Rd"/>
    <s v="Farmington Hills"/>
    <s v="MI"/>
    <n v="2.6"/>
    <n v="2001"/>
    <n v="18031"/>
    <n v="36370"/>
    <n v="0.4957657409953258"/>
    <n v="421945.68"/>
    <n v="23.4011247296323"/>
    <m/>
    <s v=" "/>
    <d v="2012-02-01T00:00:00"/>
    <d v="2022-01-31T00:00:00"/>
    <d v="2017-02-01T00:00:00"/>
    <n v="0.1506849315068493"/>
    <n v="-4.849315068493151"/>
    <s v="Modified Gross"/>
    <s v="None"/>
    <s v="None"/>
    <n v="4650000"/>
    <n v="127.8526257904867"/>
    <s v=" "/>
    <m/>
    <d v="2021-12-07T00:00:00"/>
    <x v="328"/>
    <s v="Friedman Hawley"/>
    <x v="244"/>
    <s v="MI"/>
    <s v="Private"/>
    <m/>
    <m/>
    <m/>
    <s v=" "/>
    <s v=" "/>
    <m/>
    <s v=" "/>
    <s v=" "/>
    <s v=" "/>
    <m/>
    <s v=" "/>
  </r>
  <r>
    <m/>
    <s v="DOC"/>
    <s v="State"/>
    <s v="Fee Simple"/>
    <s v="131 24th St S"/>
    <s v="Wisconsin Rapids"/>
    <s v="WI"/>
    <n v="2.46"/>
    <n v="2002"/>
    <n v="7000"/>
    <n v="7000"/>
    <n v="1"/>
    <m/>
    <s v=" "/>
    <n v="82202"/>
    <n v="11.74314285714286"/>
    <m/>
    <m/>
    <m/>
    <s v=" "/>
    <s v=" "/>
    <s v="NNN"/>
    <m/>
    <m/>
    <n v="965000"/>
    <n v="137.8571428571429"/>
    <n v="0.08518341968911917"/>
    <m/>
    <d v="2021-12-06T00:00:00"/>
    <x v="8"/>
    <s v="John Evans"/>
    <x v="0"/>
    <m/>
    <m/>
    <m/>
    <m/>
    <n v="1058836"/>
    <n v="0.07763430786259629"/>
    <n v="0.9113781548795092"/>
    <n v="1058836"/>
    <n v="0.07763430786259629"/>
    <n v="0.007549111826522889"/>
    <s v="No"/>
    <d v="2020-09-18T00:00:00"/>
    <n v="444"/>
  </r>
  <r>
    <s v="LMN16652"/>
    <s v="SSA"/>
    <s v="Federal"/>
    <s v="Fee Simple"/>
    <s v="3280 County Rd 10"/>
    <s v="Brooklyn Center"/>
    <s v="MN"/>
    <n v="21.27"/>
    <n v="2003"/>
    <n v="9802"/>
    <n v="84584"/>
    <n v="0.1158848009079731"/>
    <n v="234190.04"/>
    <n v="23.89206692511732"/>
    <m/>
    <s v=" "/>
    <d v="2003-06-01T00:00:00"/>
    <d v="2023-05-31T00:00:00"/>
    <d v="2013-06-01T00:00:00"/>
    <n v="1.49041095890411"/>
    <n v="-8.512328767123288"/>
    <s v="Modified Gross"/>
    <s v="None"/>
    <s v="None"/>
    <n v="8137000"/>
    <n v="96.20022699328479"/>
    <s v=" "/>
    <m/>
    <d v="2021-12-03T00:00:00"/>
    <x v="329"/>
    <s v="TW; Coglianese"/>
    <x v="245"/>
    <s v="MN"/>
    <s v="Private"/>
    <s v="Inventure; Ruehle"/>
    <m/>
    <m/>
    <s v=" "/>
    <s v=" "/>
    <m/>
    <s v=" "/>
    <s v=" "/>
    <s v=" "/>
    <d v="2021-06-17T00:00:00"/>
    <n v="169"/>
  </r>
  <r>
    <s v="LGA60399"/>
    <s v="CDC"/>
    <s v="Federal"/>
    <s v="Fee Simple"/>
    <s v="3719 N Peachtree Rd"/>
    <s v="Chamblee"/>
    <s v="GA"/>
    <n v="17.85"/>
    <n v="2004"/>
    <n v="121956"/>
    <n v="195543"/>
    <n v="0.623678679369755"/>
    <n v="1825387.5"/>
    <n v="14.9675907704418"/>
    <m/>
    <s v=" "/>
    <d v="2018-04-02T00:00:00"/>
    <d v="2033-04-01T00:00:00"/>
    <d v="2023-04-01T00:00:00"/>
    <n v="11.33424657534247"/>
    <n v="1.326027397260274"/>
    <s v="Modified Gross"/>
    <s v="None"/>
    <s v="None"/>
    <n v="41500000"/>
    <n v="212.2295351917481"/>
    <s v=" "/>
    <m/>
    <d v="2021-12-03T00:00:00"/>
    <x v="330"/>
    <m/>
    <x v="246"/>
    <s v="FL"/>
    <s v="Private"/>
    <m/>
    <m/>
    <m/>
    <s v=" "/>
    <s v=" "/>
    <m/>
    <s v=" "/>
    <s v=" "/>
    <s v=" "/>
    <m/>
    <s v=" "/>
  </r>
  <r>
    <m/>
    <s v="KDA"/>
    <s v="State"/>
    <s v="Fee Simple"/>
    <s v="6531 SE Forbes Ave"/>
    <s v="Topeka"/>
    <s v="KS"/>
    <n v="2.75"/>
    <n v="1997"/>
    <n v="18600"/>
    <n v="75000"/>
    <n v="0.248"/>
    <n v="130200"/>
    <n v="7"/>
    <m/>
    <s v=" "/>
    <m/>
    <m/>
    <m/>
    <s v=" "/>
    <s v=" "/>
    <m/>
    <m/>
    <m/>
    <n v="5100000"/>
    <n v="68"/>
    <s v=" "/>
    <m/>
    <d v="2021-12-03T00:00:00"/>
    <x v="331"/>
    <s v="M&amp;M; Krantz"/>
    <x v="62"/>
    <s v="IL"/>
    <s v="Private"/>
    <s v="M&amp;M; Greenamyre"/>
    <m/>
    <m/>
    <s v=" "/>
    <s v=" "/>
    <m/>
    <s v=" "/>
    <s v=" "/>
    <s v=" "/>
    <m/>
    <s v=" "/>
  </r>
  <r>
    <m/>
    <s v="HHS"/>
    <s v="State"/>
    <s v="Fee Simple"/>
    <s v="509 E Saint Charles St"/>
    <s v="San Andreas"/>
    <s v="CA"/>
    <n v="3.47"/>
    <n v="2001"/>
    <n v="31228"/>
    <n v="31228"/>
    <n v="1"/>
    <n v="586930.8"/>
    <n v="18.79501729217369"/>
    <n v="440937.68"/>
    <n v="14.1199462021263"/>
    <d v="2001-05-11T00:00:00"/>
    <d v="2026-05-31T00:00:00"/>
    <d v="2026-05-31T00:00:00"/>
    <n v="4.495890410958904"/>
    <n v="4.495890410958904"/>
    <s v="Modified Gross"/>
    <s v="2% annually"/>
    <s v="None"/>
    <n v="5500000"/>
    <n v="176.1239912898681"/>
    <n v="0.08017048727272727"/>
    <m/>
    <d v="2021-12-02T00:00:00"/>
    <x v="332"/>
    <s v="Lee; Still"/>
    <x v="247"/>
    <s v="CA"/>
    <s v="Private"/>
    <m/>
    <m/>
    <n v="6695000"/>
    <n v="0.06586074383868558"/>
    <n v="0.8215085884988798"/>
    <n v="6695000"/>
    <n v="0.06586074383868558"/>
    <n v="0.01430974343404169"/>
    <s v="No"/>
    <d v="2021-06-18T00:00:00"/>
    <n v="167"/>
  </r>
  <r>
    <s v="LWY00354"/>
    <s v="FS"/>
    <s v="Federal"/>
    <s v="Fee Simple"/>
    <s v="2250 E Richards St"/>
    <s v="Douglas"/>
    <s v="WY"/>
    <n v="3"/>
    <n v="1990"/>
    <n v="13596"/>
    <n v="13596"/>
    <n v="1"/>
    <n v="279718.43"/>
    <n v="20.57358267137393"/>
    <n v="229075"/>
    <n v="16.84870550161812"/>
    <d v="2022-01-01T00:00:00"/>
    <d v="2041-12-31T00:00:00"/>
    <d v="2037-01-01T00:00:00"/>
    <n v="20.0958904109589"/>
    <n v="15.0958904109589"/>
    <s v="Modified Gross"/>
    <s v="None"/>
    <s v="None"/>
    <n v="3850000"/>
    <n v="283.1715210355987"/>
    <n v="0.0595"/>
    <m/>
    <d v="2021-12-01T00:00:00"/>
    <x v="333"/>
    <s v="C&amp;W; Trautvetter"/>
    <x v="248"/>
    <s v="CA"/>
    <s v="Private"/>
    <m/>
    <m/>
    <m/>
    <s v=" "/>
    <s v=" "/>
    <m/>
    <s v=" "/>
    <s v=" "/>
    <s v=" "/>
    <m/>
    <s v=" "/>
  </r>
  <r>
    <m/>
    <s v="SSA"/>
    <s v="Federal"/>
    <s v="Fee Simple"/>
    <s v="732 S 6th St"/>
    <s v="Las Vegas"/>
    <s v="NV"/>
    <n v="0.24"/>
    <n v="1992"/>
    <m/>
    <n v="13788"/>
    <s v=" "/>
    <m/>
    <s v=" "/>
    <n v="204028"/>
    <n v="14.79750507687844"/>
    <m/>
    <m/>
    <m/>
    <s v=" "/>
    <s v=" "/>
    <m/>
    <m/>
    <m/>
    <n v="2800000"/>
    <n v="203.0751378009864"/>
    <n v="0.07286714285714285"/>
    <m/>
    <d v="2021-11-30T00:00:00"/>
    <x v="334"/>
    <s v="NAC; Livingston"/>
    <x v="249"/>
    <s v="NV"/>
    <s v="Private"/>
    <m/>
    <m/>
    <n v="2900000"/>
    <n v="0.07035448275862069"/>
    <n v="0.9655172413793104"/>
    <n v="2900000"/>
    <n v="0.07035448275862069"/>
    <n v="0.002512660098522163"/>
    <s v="No"/>
    <d v="2020-09-18T00:00:00"/>
    <n v="438"/>
  </r>
  <r>
    <s v="LSC47138"/>
    <s v="FBI"/>
    <s v="Federal"/>
    <s v="Fee Simple"/>
    <s v="Portfolio of Two"/>
    <m/>
    <s v="SC"/>
    <n v="5.61"/>
    <n v="2008"/>
    <n v="14734"/>
    <n v="78368"/>
    <n v="0.1880104124132299"/>
    <n v="466538.68"/>
    <n v="31.66408850278268"/>
    <n v="1992762"/>
    <n v="25.42826153532054"/>
    <d v="2008-11-01T00:00:00"/>
    <d v="2023-10-31T00:00:00"/>
    <d v="2018-11-01T00:00:00"/>
    <n v="1.917808219178082"/>
    <n v="-3.082191780821918"/>
    <s v="Modified Gross"/>
    <s v="None"/>
    <s v="None"/>
    <n v="24500000"/>
    <n v="312.6276031033075"/>
    <n v="0.08133722448979591"/>
    <m/>
    <d v="2021-11-30T00:00:00"/>
    <x v="335"/>
    <m/>
    <x v="250"/>
    <s v="CA"/>
    <s v="Private"/>
    <m/>
    <m/>
    <m/>
    <s v=" "/>
    <s v=" "/>
    <m/>
    <s v=" "/>
    <s v=" "/>
    <s v=" "/>
    <d v="2021-03-12T00:00:00"/>
    <n v="263"/>
  </r>
  <r>
    <m/>
    <s v="DCS"/>
    <s v="State"/>
    <s v="Fee Simple"/>
    <s v="4160 N Keystone Ave"/>
    <s v="Indianapolis"/>
    <s v="IN"/>
    <n v="12.14"/>
    <n v="1975"/>
    <n v="60000"/>
    <n v="60000"/>
    <n v="1"/>
    <n v="720000"/>
    <n v="12"/>
    <n v="444103"/>
    <n v="7.401716666666666"/>
    <d v="2019-09-01T00:00:00"/>
    <d v="2029-08-31T00:00:00"/>
    <d v="2022-08-31T00:00:00"/>
    <n v="7.758904109589041"/>
    <n v="0.7534246575342466"/>
    <s v="Modified Gross"/>
    <s v="None"/>
    <s v="None"/>
    <m/>
    <s v=" "/>
    <s v=" "/>
    <m/>
    <d v="2021-11-29T00:00:00"/>
    <x v="336"/>
    <s v="Colliers; Ficke"/>
    <x v="62"/>
    <s v="IL"/>
    <s v="Private"/>
    <m/>
    <m/>
    <n v="5970000"/>
    <n v="0.0743891122278057"/>
    <s v=" "/>
    <n v="5970000"/>
    <n v="0.0743891122278057"/>
    <s v=" "/>
    <s v="No"/>
    <m/>
    <s v=" "/>
  </r>
  <r>
    <m/>
    <s v="USDA"/>
    <s v="Federal"/>
    <s v="Fee Simple"/>
    <s v="1601 S 2nd St"/>
    <s v="Tahoka"/>
    <s v="TX"/>
    <n v="0.83"/>
    <n v="1975"/>
    <n v="6049"/>
    <n v="6049"/>
    <n v="1"/>
    <m/>
    <s v=" "/>
    <n v="71920"/>
    <n v="11.88956852372293"/>
    <d v="2018-09-01T00:00:00"/>
    <d v="2028-08-30T00:00:00"/>
    <d v="2023-08-30T00:00:00"/>
    <n v="6.764383561643836"/>
    <n v="1.758904109589041"/>
    <s v="Modified Gross"/>
    <s v="None"/>
    <s v="None"/>
    <n v="850000"/>
    <n v="140.5190940651347"/>
    <n v="0.08461176470588236"/>
    <m/>
    <d v="2021-11-26T00:00:00"/>
    <x v="337"/>
    <s v="Jeremy Steen"/>
    <x v="0"/>
    <m/>
    <m/>
    <m/>
    <m/>
    <n v="899000"/>
    <n v="0.08"/>
    <n v="0.9454949944382648"/>
    <n v="899000"/>
    <n v="0.08"/>
    <n v="0.004611764705882357"/>
    <s v="No"/>
    <d v="2021-09-07T00:00:00"/>
    <n v="80"/>
  </r>
  <r>
    <m/>
    <s v="USPS"/>
    <s v="Federal"/>
    <s v="Fee Simple"/>
    <s v="1902 Oak St"/>
    <s v="Granger"/>
    <s v="IA"/>
    <n v="1.41493"/>
    <n v="2000"/>
    <n v="2582"/>
    <n v="2582"/>
    <n v="1"/>
    <m/>
    <s v=" "/>
    <m/>
    <s v=" "/>
    <m/>
    <m/>
    <m/>
    <s v=" "/>
    <s v=" "/>
    <m/>
    <m/>
    <m/>
    <n v="632000"/>
    <n v="244.7714949651433"/>
    <s v=" "/>
    <m/>
    <d v="2021-11-24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825 W Market St"/>
    <s v="Leavittsburg"/>
    <s v="OH"/>
    <n v="1"/>
    <n v="1997"/>
    <n v="3304"/>
    <n v="3304"/>
    <n v="1"/>
    <m/>
    <s v=" "/>
    <m/>
    <s v=" "/>
    <m/>
    <m/>
    <m/>
    <s v=" "/>
    <s v=" "/>
    <m/>
    <m/>
    <m/>
    <n v="660000"/>
    <n v="199.7578692493947"/>
    <s v=" "/>
    <m/>
    <d v="2021-11-24T00:00:00"/>
    <x v="338"/>
    <m/>
    <x v="66"/>
    <s v="CA"/>
    <s v="Private"/>
    <m/>
    <m/>
    <m/>
    <s v=" "/>
    <s v=" "/>
    <m/>
    <s v=" "/>
    <s v=" "/>
    <s v=" "/>
    <m/>
    <s v=" "/>
  </r>
  <r>
    <s v="LAZ00408"/>
    <s v="DOS"/>
    <s v="Federal"/>
    <s v="Fee Simple"/>
    <s v="7333-7373 E Rosewood St"/>
    <s v="Tucson"/>
    <s v="AZ"/>
    <n v="5.07"/>
    <n v="1997"/>
    <n v="26268"/>
    <n v="76268"/>
    <n v="0.3444170556458803"/>
    <n v="910552"/>
    <n v="34.66392568905132"/>
    <n v="1275963.64"/>
    <n v="16.73"/>
    <d v="2018-05-01T00:00:00"/>
    <d v="2033-04-30T00:00:00"/>
    <d v="2028-05-01T00:00:00"/>
    <n v="11.44109589041096"/>
    <n v="6.441095890410959"/>
    <s v="Modified Gross"/>
    <s v="None"/>
    <s v="None"/>
    <n v="20520000"/>
    <n v="269.0512403629307"/>
    <n v="0.06218146393762184"/>
    <m/>
    <d v="2021-11-23T00:00:00"/>
    <x v="339"/>
    <m/>
    <x v="1"/>
    <s v="IL"/>
    <s v="Private"/>
    <m/>
    <m/>
    <m/>
    <s v=" "/>
    <s v=" "/>
    <m/>
    <s v=" "/>
    <s v=" "/>
    <s v=" "/>
    <m/>
    <s v=" "/>
  </r>
  <r>
    <s v="LGA62679"/>
    <s v="USGS"/>
    <s v="Federal"/>
    <s v="Fee Simple"/>
    <s v="1890 Fletcher Road"/>
    <s v="Tifton"/>
    <s v="GA"/>
    <n v="3.45"/>
    <n v="1988"/>
    <n v="6000"/>
    <n v="6000"/>
    <n v="1"/>
    <n v="113631.05"/>
    <n v="18.93850833333333"/>
    <n v="87165"/>
    <n v="14.5275"/>
    <d v="2015-10-01T00:00:00"/>
    <d v="2030-09-30T00:00:00"/>
    <d v="2025-10-01T00:00:00"/>
    <n v="8.868493150684932"/>
    <n v="3.868493150684932"/>
    <s v="Modified Gross"/>
    <s v="None"/>
    <s v="None"/>
    <n v="1050000"/>
    <n v="175"/>
    <n v="0.08301428571428572"/>
    <m/>
    <d v="2021-11-19T00:00:00"/>
    <x v="340"/>
    <s v="SIG; Wakefield"/>
    <x v="251"/>
    <s v="GA"/>
    <s v="Private"/>
    <s v="Habersham"/>
    <m/>
    <m/>
    <s v=" "/>
    <s v=" "/>
    <m/>
    <s v=" "/>
    <s v=" "/>
    <s v=" "/>
    <m/>
    <s v=" "/>
  </r>
  <r>
    <m/>
    <s v="USPS"/>
    <s v="Federal"/>
    <s v="Fee Simple"/>
    <s v="9 Chapman St"/>
    <s v="Rouses Point"/>
    <s v="NY"/>
    <n v="0.1777"/>
    <m/>
    <n v="3213"/>
    <n v="3213"/>
    <n v="1"/>
    <m/>
    <s v=" "/>
    <m/>
    <s v=" "/>
    <m/>
    <m/>
    <m/>
    <s v=" "/>
    <s v=" "/>
    <m/>
    <m/>
    <m/>
    <n v="285000"/>
    <n v="88.70214752567693"/>
    <s v=" "/>
    <m/>
    <d v="2021-11-18T00:00:00"/>
    <x v="8"/>
    <m/>
    <x v="66"/>
    <s v="CA"/>
    <s v="Private"/>
    <m/>
    <m/>
    <m/>
    <s v=" "/>
    <s v=" "/>
    <m/>
    <s v=" "/>
    <s v=" "/>
    <s v=" "/>
    <m/>
    <s v=" "/>
  </r>
  <r>
    <s v="LNC61151"/>
    <s v="SSA"/>
    <s v="Federal"/>
    <s v="Fee Simple"/>
    <s v="707 Schenck St"/>
    <s v="Shelby"/>
    <s v="NC"/>
    <n v="1.07"/>
    <n v="2001"/>
    <n v="12513"/>
    <n v="12513"/>
    <n v="1"/>
    <n v="182246"/>
    <n v="14.56453288579877"/>
    <n v="121184"/>
    <n v="9.684647966115239"/>
    <d v="2011-08-24T00:00:00"/>
    <d v="2024-08-23T00:00:00"/>
    <d v="2016-08-24T00:00:00"/>
    <n v="2.767123287671233"/>
    <n v="-5.235616438356164"/>
    <s v="Modified Gross"/>
    <s v="None"/>
    <s v="None"/>
    <n v="925000"/>
    <n v="73.92311995524655"/>
    <n v="0.1310097297297297"/>
    <m/>
    <d v="2021-11-17T00:00:00"/>
    <x v="341"/>
    <s v="Champion"/>
    <x v="85"/>
    <s v="NC"/>
    <s v="Private"/>
    <m/>
    <m/>
    <n v="999000"/>
    <n v="0.1213053053053053"/>
    <n v="0.9259259259259259"/>
    <n v="999000"/>
    <n v="0.1213053053053053"/>
    <n v="0.009704424424424429"/>
    <s v="No"/>
    <d v="2021-09-28T00:00:00"/>
    <n v="50"/>
  </r>
  <r>
    <m/>
    <s v="DEGLR"/>
    <s v="State"/>
    <s v="Fee Simple"/>
    <s v="7953 Adobe Rd"/>
    <s v="Kalamazoo"/>
    <s v="MI"/>
    <n v="3.2"/>
    <n v="2000"/>
    <n v="19860"/>
    <n v="19860"/>
    <n v="1"/>
    <n v="205722.07"/>
    <n v="10.35861379657603"/>
    <n v="205722.07"/>
    <n v="10.35861379657603"/>
    <m/>
    <d v="2025-10-31T00:00:00"/>
    <d v="2025-10-31T00:00:00"/>
    <n v="3.961643835616438"/>
    <n v="3.961643835616438"/>
    <s v="Modified Gross"/>
    <s v="Flat"/>
    <s v="1, 5yr remaining"/>
    <n v="2330000"/>
    <n v="117.3212487411883"/>
    <n v="0.0882927339055794"/>
    <m/>
    <d v="2021-11-15T00:00:00"/>
    <x v="8"/>
    <s v="Fortis; Leon"/>
    <x v="0"/>
    <m/>
    <m/>
    <m/>
    <m/>
    <n v="2392700"/>
    <n v="0.08597904877335229"/>
    <n v="0.9737952940193088"/>
    <n v="2392700"/>
    <n v="0.08597904877335229"/>
    <n v="0.002313685132227114"/>
    <s v="No"/>
    <d v="2021-08-24T00:00:00"/>
    <n v="83"/>
  </r>
  <r>
    <m/>
    <s v="Coroner"/>
    <s v="State"/>
    <s v="Fee Simple"/>
    <s v="521 W McCarty St"/>
    <s v="Indianapolis"/>
    <s v="IN"/>
    <n v="0.38"/>
    <n v="1954"/>
    <n v="26422"/>
    <n v="26422"/>
    <n v="1"/>
    <m/>
    <s v=" "/>
    <n v="340200"/>
    <n v="12.87563394141246"/>
    <m/>
    <d v="2026-12-31T00:00:00"/>
    <m/>
    <n v="5.136986301369863"/>
    <s v=" "/>
    <s v="Full Service"/>
    <s v="None"/>
    <s v="None"/>
    <n v="6000000"/>
    <n v="227.0834910302021"/>
    <n v="0.0567"/>
    <m/>
    <d v="2021-11-12T00:00:00"/>
    <x v="342"/>
    <m/>
    <x v="252"/>
    <s v="IN"/>
    <s v="Private"/>
    <m/>
    <m/>
    <m/>
    <s v=" "/>
    <s v=" "/>
    <m/>
    <s v=" "/>
    <s v=" "/>
    <s v=" "/>
    <m/>
    <s v=" "/>
  </r>
  <r>
    <s v="LCA00730"/>
    <s v="SSA"/>
    <s v="Federal"/>
    <s v="Fee Simple"/>
    <s v="22815 Calle San Juan De Los Lagos"/>
    <s v="Moreno Valley"/>
    <s v="CA"/>
    <n v="2.17"/>
    <n v="2005"/>
    <n v="12856"/>
    <n v="12856"/>
    <n v="1"/>
    <n v="431681"/>
    <n v="33.57817361543248"/>
    <n v="253650"/>
    <n v="19.73008711885501"/>
    <d v="2020-11-23T00:00:00"/>
    <d v="2035-11-22T00:00:00"/>
    <d v="2030-11-22T00:00:00"/>
    <n v="14.03561643835616"/>
    <n v="9.032876712328767"/>
    <s v="Modified Gross"/>
    <s v="Drops in Options"/>
    <s v="None"/>
    <n v="4450000"/>
    <n v="346.1418792781581"/>
    <n v="0.057"/>
    <m/>
    <d v="2021-11-12T00:00:00"/>
    <x v="343"/>
    <s v="SJC; Hellwig"/>
    <x v="253"/>
    <s v="CA"/>
    <s v="Private"/>
    <s v="TW; Conte"/>
    <m/>
    <n v="5075400"/>
    <n v="0.04997635654332663"/>
    <n v="0.8767781849706427"/>
    <n v="4614000"/>
    <n v="0.0549739921976593"/>
    <n v="0.002026007802340704"/>
    <s v="Yes"/>
    <d v="2021-03-28T00:00:00"/>
    <n v="229"/>
  </r>
  <r>
    <s v="LTX00786"/>
    <s v="AOC"/>
    <s v="Federal"/>
    <s v="Fee Simple"/>
    <s v="601 NW Loop 410"/>
    <s v="San Antonio"/>
    <s v="TX"/>
    <n v="6.16"/>
    <n v="1980"/>
    <n v="98596"/>
    <n v="219376"/>
    <n v="0.4494384071183721"/>
    <n v="3126479.16"/>
    <n v="31.71"/>
    <n v="3479000"/>
    <n v="15.85861716869667"/>
    <d v="2021-05-15T00:00:00"/>
    <d v="2031-05-14T00:00:00"/>
    <d v="2026-05-14T00:00:00"/>
    <n v="9.509589041095891"/>
    <n v="4.506849315068493"/>
    <s v="Modified Gross"/>
    <s v="None"/>
    <s v="None"/>
    <m/>
    <s v=" "/>
    <s v=" "/>
    <m/>
    <d v="2021-11-11T00:00:00"/>
    <x v="344"/>
    <s v="JLL; Taylor"/>
    <x v="1"/>
    <s v="IL"/>
    <s v="Private"/>
    <m/>
    <m/>
    <m/>
    <s v=" "/>
    <s v=" "/>
    <m/>
    <s v=" "/>
    <s v=" "/>
    <s v=" "/>
    <m/>
    <s v=" "/>
  </r>
  <r>
    <m/>
    <s v="BLM"/>
    <s v="Federal"/>
    <s v="Fee Simple"/>
    <s v="702 N Industrial Wy"/>
    <s v="Ely"/>
    <s v="NV"/>
    <n v="6.92"/>
    <n v="1990"/>
    <n v="32160"/>
    <n v="32160"/>
    <n v="1"/>
    <m/>
    <s v=" "/>
    <n v="203175"/>
    <n v="6.317630597014926"/>
    <d v="2020-07-01T00:00:00"/>
    <d v="2040-06-30T00:00:00"/>
    <d v="2035-06-30T00:00:00"/>
    <n v="18.64931506849315"/>
    <n v="13.64383561643836"/>
    <s v="Modified Gross"/>
    <s v="None"/>
    <s v="None"/>
    <n v="3010000"/>
    <n v="93.59452736318408"/>
    <n v="0.0675"/>
    <m/>
    <d v="2021-11-10T00:00:00"/>
    <x v="345"/>
    <m/>
    <x v="42"/>
    <s v="VA"/>
    <s v="Private"/>
    <m/>
    <m/>
    <m/>
    <s v=" "/>
    <s v=" "/>
    <m/>
    <s v=" "/>
    <s v=" "/>
    <s v=" "/>
    <m/>
    <s v=" "/>
  </r>
  <r>
    <m/>
    <s v="H&amp;HS"/>
    <s v="State"/>
    <s v="Fee Simple"/>
    <s v="430 Barfield Dr"/>
    <s v="Hastings"/>
    <s v="MI"/>
    <n v="5.89"/>
    <n v="2000"/>
    <n v="13378"/>
    <n v="13378"/>
    <n v="1"/>
    <n v="210161"/>
    <n v="15.70944834803409"/>
    <n v="152639"/>
    <n v="11.40970249663627"/>
    <d v="2020-12-01T00:00:00"/>
    <d v="2030-11-30T00:00:00"/>
    <d v="2021-12-01T00:00:00"/>
    <n v="9.065753424657535"/>
    <n v="0.06301369863013699"/>
    <s v="Modified Gross"/>
    <s v="8% year 5"/>
    <s v="1, 10yr"/>
    <n v="1750000"/>
    <n v="130.811780535207"/>
    <n v="0.08722228571428571"/>
    <m/>
    <d v="2021-11-08T00:00:00"/>
    <x v="346"/>
    <s v="M&amp;M; Birndorf"/>
    <x v="254"/>
    <s v="MI"/>
    <s v="Private"/>
    <m/>
    <m/>
    <n v="1884437"/>
    <n v="0.08099978932699793"/>
    <n v="0.928659329019755"/>
    <n v="1884437"/>
    <n v="0.08099978932699793"/>
    <n v="0.006222496387287779"/>
    <s v="No"/>
    <d v="2021-03-03T00:00:00"/>
    <n v="250"/>
  </r>
  <r>
    <s v="LAZ02816"/>
    <s v="BIA"/>
    <s v="Federal"/>
    <s v="Fee Simple"/>
    <s v="256 S 2nd Ave"/>
    <s v="Yuma"/>
    <s v="AZ"/>
    <n v="0.95"/>
    <n v="1993"/>
    <n v="5495"/>
    <n v="11045"/>
    <n v="0.4975101856043458"/>
    <n v="121667"/>
    <n v="22.14140127388535"/>
    <m/>
    <s v=" "/>
    <d v="2011-09-01T00:00:00"/>
    <d v="2021-08-31T00:00:00"/>
    <d v="2016-09-01T00:00:00"/>
    <n v="-0.189041095890411"/>
    <n v="-5.189041095890411"/>
    <s v="Modified Gross"/>
    <s v="None"/>
    <s v="None"/>
    <n v="1350000"/>
    <n v="122.2272521502942"/>
    <s v=" "/>
    <m/>
    <d v="2021-11-08T00:00:00"/>
    <x v="347"/>
    <m/>
    <x v="255"/>
    <s v="AZ"/>
    <s v="Private"/>
    <m/>
    <m/>
    <m/>
    <s v=" "/>
    <s v=" "/>
    <m/>
    <s v=" "/>
    <s v=" "/>
    <s v=" "/>
    <m/>
    <s v=" "/>
  </r>
  <r>
    <m/>
    <s v="USPS"/>
    <s v="Federal"/>
    <s v="Fee Simple"/>
    <s v="2929 Michael Ave SW"/>
    <s v="Grand Rapids"/>
    <s v="MI"/>
    <n v="0.82"/>
    <n v="1962"/>
    <n v="5346"/>
    <n v="5346"/>
    <n v="1"/>
    <m/>
    <s v=" "/>
    <m/>
    <s v=" "/>
    <m/>
    <m/>
    <m/>
    <s v=" "/>
    <s v=" "/>
    <m/>
    <m/>
    <m/>
    <n v="1000000"/>
    <n v="187.0557426112982"/>
    <s v=" "/>
    <m/>
    <d v="2021-11-05T00:00:00"/>
    <x v="348"/>
    <m/>
    <x v="66"/>
    <s v="CA"/>
    <s v="Private"/>
    <m/>
    <m/>
    <m/>
    <s v=" "/>
    <s v=" "/>
    <m/>
    <s v=" "/>
    <s v=" "/>
    <s v=" "/>
    <m/>
    <s v=" "/>
  </r>
  <r>
    <m/>
    <s v="BLM"/>
    <s v="Federal"/>
    <s v="Fee Simple"/>
    <s v="50 Bastian Rd"/>
    <s v="Battle Mountain"/>
    <s v="NV"/>
    <n v="10.87"/>
    <n v="1992"/>
    <n v="39847"/>
    <n v="39847"/>
    <n v="1"/>
    <m/>
    <s v=" "/>
    <n v="269325"/>
    <n v="6.758978091198836"/>
    <d v="2017-08-01T00:00:00"/>
    <d v="2037-07-31T00:00:00"/>
    <d v="2032-07-31T00:00:00"/>
    <n v="15.75068493150685"/>
    <n v="10.74794520547945"/>
    <s v="Modified Gross"/>
    <s v="None"/>
    <s v="None"/>
    <n v="3990000"/>
    <n v="100.1330087585013"/>
    <n v="0.0675"/>
    <m/>
    <d v="2021-11-03T00:00:00"/>
    <x v="345"/>
    <s v="C&amp;W; Trautvetter"/>
    <x v="42"/>
    <s v="VA"/>
    <s v="Private"/>
    <m/>
    <m/>
    <m/>
    <s v=" "/>
    <s v=" "/>
    <m/>
    <s v=" "/>
    <s v=" "/>
    <s v=" "/>
    <m/>
    <s v=" "/>
  </r>
  <r>
    <m/>
    <s v="DHS"/>
    <s v="State"/>
    <s v="Fee Simple"/>
    <s v="2747-2753 W North Ave"/>
    <s v="Chicago"/>
    <s v="IL"/>
    <n v="0.41"/>
    <n v="1923"/>
    <n v="43749"/>
    <n v="43749"/>
    <n v="1"/>
    <m/>
    <s v=" "/>
    <m/>
    <s v=" "/>
    <m/>
    <m/>
    <m/>
    <s v=" "/>
    <s v=" "/>
    <m/>
    <m/>
    <m/>
    <n v="3000000"/>
    <n v="68.57299595419323"/>
    <s v=" "/>
    <m/>
    <d v="2021-11-03T00:00:00"/>
    <x v="296"/>
    <s v="Imperial; Neems"/>
    <x v="256"/>
    <s v="NY"/>
    <s v="Private"/>
    <m/>
    <m/>
    <n v="3000000"/>
    <s v=" "/>
    <n v="1"/>
    <n v="3000000"/>
    <s v=" "/>
    <s v=" "/>
    <s v="No"/>
    <d v="2021-09-03T00:00:00"/>
    <n v="61"/>
  </r>
  <r>
    <m/>
    <s v="VA"/>
    <s v="Federal"/>
    <s v="Fee Simple"/>
    <s v="6401 Shallowford Road"/>
    <s v="Chattanooga"/>
    <s v="TN"/>
    <m/>
    <n v="2020"/>
    <n v="94566"/>
    <n v="94566"/>
    <n v="1"/>
    <n v="4334944"/>
    <n v="45.84040775754499"/>
    <n v="3062640"/>
    <n v="32.3862699067318"/>
    <d v="2020-11-01T00:00:00"/>
    <d v="2036-10-31T00:00:00"/>
    <d v="2036-10-31T00:00:00"/>
    <n v="15.00547945205479"/>
    <n v="15.00547945205479"/>
    <s v="Modified Gross"/>
    <s v="None"/>
    <s v="None"/>
    <n v="58336000"/>
    <n v="616.8813315567963"/>
    <n v="0.0525"/>
    <m/>
    <d v="2021-11-02T00:00:00"/>
    <x v="44"/>
    <s v="Newmark; Carr"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3401 N Morrison Rd"/>
    <s v="Muncie"/>
    <s v="IN"/>
    <n v="8.06"/>
    <n v="2020"/>
    <n v="26187"/>
    <n v="26187"/>
    <n v="1"/>
    <m/>
    <s v=" "/>
    <m/>
    <s v=" "/>
    <m/>
    <m/>
    <m/>
    <s v=" "/>
    <s v=" "/>
    <m/>
    <m/>
    <m/>
    <n v="9200000"/>
    <n v="351.3193569328293"/>
    <s v=" "/>
    <m/>
    <d v="2021-11-02T00:00:00"/>
    <x v="349"/>
    <m/>
    <x v="257"/>
    <s v="WY"/>
    <s v="NAI; Donahue"/>
    <m/>
    <m/>
    <m/>
    <s v=" "/>
    <s v=" "/>
    <m/>
    <s v=" "/>
    <s v=" "/>
    <s v=" "/>
    <m/>
    <s v=" "/>
  </r>
  <r>
    <s v="LMS59086"/>
    <s v="SSA"/>
    <s v="Federal"/>
    <s v="Fee Simple"/>
    <s v="100 Pilot St"/>
    <s v="Philadelphia"/>
    <s v="MS"/>
    <n v="1.29"/>
    <n v="2009"/>
    <n v="7075"/>
    <n v="7075"/>
    <n v="1"/>
    <n v="176769.46"/>
    <n v="24.98508268551237"/>
    <n v="126750"/>
    <n v="17.91519434628975"/>
    <d v="2009-10-01T00:00:00"/>
    <d v="2024-09-30T00:00:00"/>
    <d v="2019-10-01T00:00:00"/>
    <n v="2.912328767123288"/>
    <n v="-2.09041095890411"/>
    <s v="Modified Gross"/>
    <s v="None"/>
    <s v="None"/>
    <m/>
    <s v=" "/>
    <s v=" "/>
    <m/>
    <d v="2021-11-02T00:00:00"/>
    <x v="149"/>
    <m/>
    <x v="46"/>
    <s v="OK"/>
    <s v="Private"/>
    <s v="Colliers; Ficke"/>
    <m/>
    <m/>
    <s v=" "/>
    <s v=" "/>
    <m/>
    <s v=" "/>
    <s v=" "/>
    <s v=" "/>
    <m/>
    <s v=" "/>
  </r>
  <r>
    <m/>
    <s v="USPS"/>
    <s v="Federal"/>
    <s v="Fee Simple"/>
    <s v="401 E Washington St"/>
    <s v="East Peoria"/>
    <s v="IL"/>
    <n v="0.4667"/>
    <n v="1978"/>
    <n v="2744"/>
    <n v="2744"/>
    <n v="1"/>
    <m/>
    <s v=" "/>
    <m/>
    <s v=" "/>
    <m/>
    <m/>
    <m/>
    <s v=" "/>
    <s v=" "/>
    <m/>
    <m/>
    <m/>
    <n v="660000"/>
    <n v="240.5247813411079"/>
    <s v=" "/>
    <m/>
    <d v="2021-11-01T00:00:00"/>
    <x v="350"/>
    <m/>
    <x v="66"/>
    <s v="CA"/>
    <s v="Private"/>
    <m/>
    <m/>
    <m/>
    <s v=" "/>
    <s v=" "/>
    <m/>
    <s v=" "/>
    <s v=" "/>
    <s v=" "/>
    <m/>
    <s v=" "/>
  </r>
  <r>
    <m/>
    <s v="USDA"/>
    <s v="Federal"/>
    <s v="Fee Simple"/>
    <s v="560 Eccles Ave"/>
    <s v="South San Francisco"/>
    <s v="CA"/>
    <n v="3.65"/>
    <n v="2019"/>
    <n v="21552"/>
    <n v="21552"/>
    <n v="1"/>
    <n v="2688899"/>
    <n v="124.7633166295471"/>
    <n v="2050026"/>
    <n v="95.11998886414254"/>
    <d v="2019-05-15T00:00:00"/>
    <d v="2039-05-14T00:00:00"/>
    <d v="2039-05-14T00:00:00"/>
    <n v="17.54246575342466"/>
    <n v="17.54246575342466"/>
    <s v="NN"/>
    <s v="1.95% annually"/>
    <s v="None"/>
    <n v="47127040"/>
    <n v="2186.666666666667"/>
    <n v="0.04349999490738226"/>
    <m/>
    <d v="2021-11-01T00:00:00"/>
    <x v="351"/>
    <s v="SJC; Briggs"/>
    <x v="258"/>
    <s v="CA"/>
    <s v="Private"/>
    <s v="NLC; Kenneth Brown"/>
    <s v="SMPO"/>
    <n v="47127040"/>
    <n v="0.04349999490738226"/>
    <n v="1"/>
    <n v="47127040"/>
    <n v="0.04349999490738226"/>
    <n v="0"/>
    <s v="No"/>
    <d v="2020-10-01T00:00:00"/>
    <n v="396"/>
  </r>
  <r>
    <m/>
    <s v="BLM"/>
    <s v="Federal"/>
    <s v="Fee Simple"/>
    <s v="2103 N Park Ave"/>
    <s v="Kremmling"/>
    <s v="CO"/>
    <n v="2"/>
    <n v="2000"/>
    <n v="15681"/>
    <n v="15681"/>
    <n v="1"/>
    <n v="210088"/>
    <n v="13.39761494802627"/>
    <n v="97612.50000000001"/>
    <n v="6.224889994260571"/>
    <d v="2020-06-01T00:00:00"/>
    <d v="2040-05-30T00:00:00"/>
    <d v="2035-05-30T00:00:00"/>
    <n v="18.6"/>
    <n v="13.5945205479452"/>
    <s v="Modified Gross"/>
    <s v="None"/>
    <s v="None"/>
    <n v="1425000"/>
    <n v="90.87430648555576"/>
    <n v="0.06850000000000001"/>
    <m/>
    <d v="2021-10-28T00:00:00"/>
    <x v="352"/>
    <m/>
    <x v="42"/>
    <s v="VA"/>
    <s v="Private"/>
    <m/>
    <m/>
    <m/>
    <s v=" "/>
    <s v=" "/>
    <m/>
    <s v=" "/>
    <s v=" "/>
    <s v=" "/>
    <m/>
    <s v=" "/>
  </r>
  <r>
    <m/>
    <s v="FS"/>
    <s v="Federal"/>
    <s v="Fee Simple"/>
    <s v="1711 S Main St"/>
    <s v="Yreka"/>
    <s v="CA"/>
    <n v="2.6"/>
    <n v="2011"/>
    <n v="19900"/>
    <n v="19900"/>
    <n v="1"/>
    <n v="636203"/>
    <n v="31.97"/>
    <n v="577500"/>
    <n v="29.02010050251256"/>
    <d v="2001-11-01T00:00:00"/>
    <d v="2021-12-31T00:00:00"/>
    <d v="2021-12-31T00:00:00"/>
    <n v="0.1753424657534247"/>
    <n v="0.1753424657534247"/>
    <s v="Modified Gross"/>
    <s v="None"/>
    <s v="1, 5 year"/>
    <n v="7109500"/>
    <n v="357.2613065326633"/>
    <n v="0.08122934102257542"/>
    <m/>
    <d v="2021-10-28T00:00:00"/>
    <x v="353"/>
    <m/>
    <x v="46"/>
    <s v="OK"/>
    <s v="Private"/>
    <s v="Colliers; Ficke"/>
    <m/>
    <m/>
    <s v=" "/>
    <s v=" "/>
    <m/>
    <s v=" "/>
    <s v=" "/>
    <s v=" "/>
    <m/>
    <s v=" "/>
  </r>
  <r>
    <m/>
    <s v="VA"/>
    <s v="Federal"/>
    <s v="Fee Simple"/>
    <s v="4000 Wisconsin State I-16 Rd"/>
    <s v="La Crosse"/>
    <s v="WI"/>
    <n v="4.64"/>
    <n v="2020"/>
    <n v="41212"/>
    <n v="41212"/>
    <n v="1"/>
    <m/>
    <s v=" "/>
    <n v="842530"/>
    <n v="20.44380277589052"/>
    <m/>
    <d v="2040-12-31T00:00:00"/>
    <d v="2035-12-31T00:00:00"/>
    <n v="19.1972602739726"/>
    <n v="14.19178082191781"/>
    <s v="Modified Gross"/>
    <s v="None"/>
    <s v="None"/>
    <n v="13450000"/>
    <n v="326.3612540036883"/>
    <n v="0.06264163568773234"/>
    <m/>
    <d v="2021-10-25T00:00:00"/>
    <x v="111"/>
    <s v="C&amp;W; Trautvetter"/>
    <x v="2"/>
    <s v="VA"/>
    <s v="Private"/>
    <m/>
    <m/>
    <n v="14652710"/>
    <n v="0.05749994369642203"/>
    <n v="0.9179189378620064"/>
    <n v="14652710"/>
    <n v="0.05749994369642203"/>
    <n v="0.005141691991310315"/>
    <s v="No"/>
    <d v="2021-05-19T00:00:00"/>
    <n v="159"/>
  </r>
  <r>
    <m/>
    <s v="USPS"/>
    <s v="Federal"/>
    <s v="Fee Simple"/>
    <s v="131 E Main Blvd"/>
    <s v="Church Hill"/>
    <s v="TN"/>
    <n v="0.95"/>
    <n v="1960"/>
    <n v="5143"/>
    <n v="5143"/>
    <n v="1"/>
    <m/>
    <s v=" "/>
    <m/>
    <s v=" "/>
    <m/>
    <m/>
    <m/>
    <s v=" "/>
    <s v=" "/>
    <m/>
    <m/>
    <m/>
    <n v="662152"/>
    <n v="128.7482014388489"/>
    <s v=" "/>
    <m/>
    <d v="2021-10-23T00:00:00"/>
    <x v="354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20 S Wilcox St"/>
    <s v="Castle Rock"/>
    <s v="CO"/>
    <n v="0.8"/>
    <n v="2021"/>
    <n v="5382"/>
    <n v="5382"/>
    <n v="1"/>
    <n v="146000"/>
    <n v="27.1274619100706"/>
    <n v="142500"/>
    <n v="26.47714604236343"/>
    <d v="2021-04-01T00:00:00"/>
    <d v="2036-03-31T00:00:00"/>
    <d v="2036-03-31T00:00:00"/>
    <n v="14.44931506849315"/>
    <n v="14.44931506849315"/>
    <s v="NNN"/>
    <s v="Flat"/>
    <s v="None"/>
    <n v="2850000"/>
    <n v="529.5429208472686"/>
    <n v="0.05"/>
    <m/>
    <d v="2021-10-22T00:00:00"/>
    <x v="355"/>
    <s v="Blue West; Wright"/>
    <x v="259"/>
    <s v="CA"/>
    <s v="Private"/>
    <m/>
    <m/>
    <n v="2682000"/>
    <n v="0.05313199105145414"/>
    <n v="1.062639821029083"/>
    <n v="2682000"/>
    <n v="0.05313199105145414"/>
    <n v="-0.003131991051454133"/>
    <s v="No"/>
    <d v="2021-05-12T00:00:00"/>
    <n v="163"/>
  </r>
  <r>
    <m/>
    <s v="FS"/>
    <s v="Federal"/>
    <s v="Fee Simple"/>
    <s v="30 S Chiricahua St"/>
    <s v="Springerville"/>
    <s v="AZ"/>
    <n v="2"/>
    <n v="2006"/>
    <n v="21000"/>
    <n v="21000"/>
    <n v="1"/>
    <n v="381795"/>
    <n v="18.18071428571428"/>
    <n v="271183"/>
    <n v="12.91347619047619"/>
    <d v="2006-08-01T00:00:00"/>
    <d v="2026-07-31T00:00:00"/>
    <d v="2016-07-31T00:00:00"/>
    <n v="4.778082191780822"/>
    <n v="-5.227397260273973"/>
    <s v="Modified Gross"/>
    <s v="Every 5 Years"/>
    <s v="None"/>
    <n v="3552333"/>
    <n v="169.1587142857143"/>
    <n v="0.07633940849576884"/>
    <m/>
    <d v="2021-10-21T00:00:00"/>
    <x v="149"/>
    <m/>
    <x v="46"/>
    <s v="OK"/>
    <s v="Private"/>
    <s v="Colliers; Ficke"/>
    <m/>
    <m/>
    <s v=" "/>
    <s v=" "/>
    <m/>
    <s v=" "/>
    <s v=" "/>
    <s v=" "/>
    <m/>
    <s v=" "/>
  </r>
  <r>
    <m/>
    <s v="USPS"/>
    <s v="Federal"/>
    <s v="Fee Simple"/>
    <s v="341 W Saint Paul Ave"/>
    <s v="Milwaukee"/>
    <s v="WI"/>
    <n v="9.31"/>
    <n v="1967"/>
    <n v="1105000"/>
    <n v="1105000"/>
    <n v="1"/>
    <n v="3922750"/>
    <n v="3.55"/>
    <m/>
    <s v=" "/>
    <m/>
    <d v="2025-03-31T00:00:00"/>
    <m/>
    <n v="3.446575342465753"/>
    <s v=" "/>
    <s v="Rider"/>
    <s v="None"/>
    <s v="None"/>
    <n v="15000000"/>
    <n v="13.57466063348416"/>
    <s v=" "/>
    <m/>
    <d v="2021-10-20T00:00:00"/>
    <x v="356"/>
    <m/>
    <x v="7"/>
    <s v="NY"/>
    <s v="REIT"/>
    <m/>
    <m/>
    <m/>
    <s v=" "/>
    <s v=" "/>
    <m/>
    <s v=" "/>
    <s v=" "/>
    <s v=" "/>
    <m/>
    <s v=" "/>
  </r>
  <r>
    <s v="LCO15016"/>
    <s v="FS"/>
    <s v="Federal"/>
    <s v="Fee Simple"/>
    <s v="1617 Cole Blvd"/>
    <s v="Lakewood"/>
    <s v="CO"/>
    <n v="3.73"/>
    <n v="1978"/>
    <n v="66378"/>
    <n v="76505"/>
    <n v="0.8676295666949873"/>
    <n v="1555300.34"/>
    <n v="23.43096116183073"/>
    <n v="948790.25"/>
    <n v="12.40167636102215"/>
    <d v="2017-04-01T00:00:00"/>
    <d v="2027-03-31T00:00:00"/>
    <d v="2027-03-31T00:00:00"/>
    <n v="5.449315068493151"/>
    <n v="5.449315068493151"/>
    <s v="Modified Gross"/>
    <s v="None"/>
    <s v="None"/>
    <n v="12086500"/>
    <n v="157.9831383569701"/>
    <n v="0.0785"/>
    <m/>
    <d v="2021-10-19T00:00:00"/>
    <x v="357"/>
    <m/>
    <x v="260"/>
    <s v="CA"/>
    <s v="Private"/>
    <m/>
    <m/>
    <m/>
    <s v=" "/>
    <s v=" "/>
    <m/>
    <s v=" "/>
    <s v=" "/>
    <s v=" "/>
    <m/>
    <s v=" "/>
  </r>
  <r>
    <s v="LWA07366"/>
    <s v="Navy"/>
    <s v="Federal"/>
    <s v="Fee Simple"/>
    <s v="3230 NW Randall Way"/>
    <s v="Silverdale"/>
    <s v="WA"/>
    <n v="3.34"/>
    <n v="1993"/>
    <n v="38601"/>
    <n v="38601"/>
    <n v="1"/>
    <n v="1014228.99"/>
    <n v="26.27468174399627"/>
    <n v="816337.5"/>
    <n v="21.14809201834149"/>
    <d v="2012-07-01T00:00:00"/>
    <d v="2022-06-30T00:00:00"/>
    <d v="2017-06-30T00:00:00"/>
    <n v="0.6958904109589041"/>
    <n v="-4.306849315068493"/>
    <s v="Full Service"/>
    <s v="None"/>
    <s v="None"/>
    <n v="8607355"/>
    <n v="222.9826947488407"/>
    <n v="0.09484185327548358"/>
    <m/>
    <d v="2021-10-19T00:00:00"/>
    <x v="149"/>
    <m/>
    <x v="46"/>
    <s v="OK"/>
    <s v="Private"/>
    <s v="Colliers; Ficke"/>
    <m/>
    <m/>
    <s v=" "/>
    <s v=" "/>
    <m/>
    <s v=" "/>
    <s v=" "/>
    <s v=" "/>
    <m/>
    <s v=" "/>
  </r>
  <r>
    <s v="LKS00052"/>
    <s v="SSA/OHO"/>
    <s v="Federal"/>
    <s v="Fee Simple"/>
    <s v="3207 N Cypress St"/>
    <s v="Wichita"/>
    <s v="KS"/>
    <n v="1.6"/>
    <n v="2006"/>
    <n v="12987"/>
    <n v="12987"/>
    <n v="1"/>
    <n v="344254.77"/>
    <n v="26.5076437976438"/>
    <n v="206250"/>
    <n v="15.88126588126588"/>
    <d v="2016-11-01T00:00:00"/>
    <d v="2026-10-31T00:00:00"/>
    <d v="2023-11-01T00:00:00"/>
    <n v="5.035616438356165"/>
    <n v="2.035616438356164"/>
    <s v="Modified Gross"/>
    <s v="None"/>
    <s v="None"/>
    <m/>
    <s v=" "/>
    <s v=" "/>
    <m/>
    <d v="2021-10-19T00:00:00"/>
    <x v="149"/>
    <m/>
    <x v="46"/>
    <s v="OK"/>
    <s v="Private"/>
    <s v="Colliers; Ficke"/>
    <m/>
    <m/>
    <s v=" "/>
    <s v=" "/>
    <m/>
    <s v=" "/>
    <s v=" "/>
    <s v=" "/>
    <m/>
    <s v=" "/>
  </r>
  <r>
    <m/>
    <s v="SSA"/>
    <s v="Federal"/>
    <s v="Fee Simple"/>
    <s v="3216 N Cypress St"/>
    <s v="Wichita"/>
    <s v="KS"/>
    <n v="2.13"/>
    <n v="2007"/>
    <n v="24574"/>
    <n v="24574"/>
    <n v="1"/>
    <n v="759280"/>
    <n v="30.89769675266542"/>
    <n v="528955"/>
    <n v="21.52498575730447"/>
    <d v="2009-02-01T00:00:00"/>
    <d v="2022-01-31T00:00:00"/>
    <d v="2017-01-31T00:00:00"/>
    <n v="0.2849315068493151"/>
    <n v="-4.717808219178083"/>
    <s v="Modified Gross"/>
    <s v="None"/>
    <s v="None"/>
    <n v="6350000"/>
    <n v="258.4031903637991"/>
    <n v="0.0833"/>
    <m/>
    <d v="2021-10-19T00:00:00"/>
    <x v="149"/>
    <m/>
    <x v="46"/>
    <s v="OK"/>
    <s v="Private"/>
    <s v="Colliers; Ficke"/>
    <m/>
    <m/>
    <s v=" "/>
    <s v=" "/>
    <m/>
    <s v=" "/>
    <s v=" "/>
    <s v=" "/>
    <m/>
    <s v=" "/>
  </r>
  <r>
    <m/>
    <s v="IRS"/>
    <s v="Federal"/>
    <s v="Fee Simple"/>
    <s v="3251 N Evergreen Dr"/>
    <s v="Grand Rapids"/>
    <s v="MI"/>
    <n v="3.21"/>
    <n v="2009"/>
    <n v="30664"/>
    <n v="30664"/>
    <n v="1"/>
    <m/>
    <s v=" "/>
    <m/>
    <s v=" "/>
    <m/>
    <m/>
    <m/>
    <s v=" "/>
    <s v=" "/>
    <m/>
    <m/>
    <m/>
    <m/>
    <s v=" "/>
    <s v=" "/>
    <m/>
    <d v="2021-10-18T00:00:00"/>
    <x v="149"/>
    <m/>
    <x v="46"/>
    <s v="OK"/>
    <s v="Private"/>
    <s v="Colliers; FIcke"/>
    <m/>
    <m/>
    <s v=" "/>
    <s v=" "/>
    <m/>
    <s v=" "/>
    <s v=" "/>
    <s v=" "/>
    <m/>
    <s v=" "/>
  </r>
  <r>
    <s v="LMO00226"/>
    <s v="USCIS"/>
    <s v="Federal"/>
    <s v="Leasehold"/>
    <s v="800-850 NW Chipman Rd"/>
    <s v="Lees Summit"/>
    <s v="MO"/>
    <m/>
    <n v="1961"/>
    <n v="317000"/>
    <n v="494449"/>
    <n v="0.6411176885785996"/>
    <n v="7700340.66"/>
    <n v="24.29129545741325"/>
    <n v="7744720"/>
    <n v="15.66333433781846"/>
    <d v="2022-02-20T00:00:00"/>
    <d v="2042-02-19T00:00:00"/>
    <d v="2037-02-19T00:00:00"/>
    <n v="20.35342465753425"/>
    <n v="15.35068493150685"/>
    <s v="Modified Gross"/>
    <s v="None"/>
    <s v="None"/>
    <n v="98705000"/>
    <n v="199.6262506345447"/>
    <n v="0.07846329973152323"/>
    <m/>
    <d v="2021-10-18T00:00:00"/>
    <x v="44"/>
    <s v="Newmark; Carr"/>
    <x v="3"/>
    <s v="DC"/>
    <s v="REIT"/>
    <m/>
    <m/>
    <m/>
    <s v=" "/>
    <s v=" "/>
    <m/>
    <s v=" "/>
    <s v=" "/>
    <s v=" "/>
    <m/>
    <s v=" "/>
  </r>
  <r>
    <s v="LMS62143"/>
    <s v="SSA/ODAR"/>
    <s v="Federal"/>
    <s v="Fee Simple"/>
    <s v="4717 26th Ave"/>
    <s v="Meridian"/>
    <s v="MS"/>
    <n v="1.4"/>
    <n v="2014"/>
    <n v="9796"/>
    <n v="9796"/>
    <n v="1"/>
    <n v="245951.49"/>
    <n v="25.10733870967742"/>
    <n v="150975"/>
    <n v="15.41190281747652"/>
    <d v="2014-09-01T00:00:00"/>
    <d v="2029-08-31T00:00:00"/>
    <d v="2024-08-31T00:00:00"/>
    <n v="7.873972602739726"/>
    <n v="2.871232876712329"/>
    <s v="Modified Gross"/>
    <s v="None"/>
    <s v="None"/>
    <m/>
    <s v=" "/>
    <s v=" "/>
    <m/>
    <d v="2021-10-18T00:00:00"/>
    <x v="149"/>
    <m/>
    <x v="46"/>
    <s v="OK"/>
    <s v="Private"/>
    <s v="Colliers; Ficke"/>
    <m/>
    <m/>
    <s v=" "/>
    <s v=" "/>
    <m/>
    <s v=" "/>
    <s v=" "/>
    <s v=" "/>
    <m/>
    <s v=" "/>
  </r>
  <r>
    <s v="LFL48869"/>
    <s v="ICE"/>
    <s v="Federal"/>
    <s v="Fee Simple"/>
    <s v="3500 SE Commerce Ave"/>
    <s v="Stuart"/>
    <s v="FL"/>
    <n v="3.27"/>
    <n v="2011"/>
    <n v="12736"/>
    <n v="12736"/>
    <n v="1"/>
    <n v="562285"/>
    <n v="44.14926193467337"/>
    <n v="402716"/>
    <n v="31.62028894472362"/>
    <d v="2011-03-04T00:00:00"/>
    <d v="2021-03-03T00:00:00"/>
    <d v="2021-03-03T00:00:00"/>
    <n v="-0.6273972602739726"/>
    <n v="-0.6273972602739726"/>
    <s v="Modified Gross"/>
    <s v="None"/>
    <s v="None"/>
    <n v="5143800"/>
    <n v="403.8787688442211"/>
    <n v="0.07829153544072476"/>
    <m/>
    <d v="2021-10-18T00:00:00"/>
    <x v="149"/>
    <m/>
    <x v="46"/>
    <s v="OK"/>
    <s v="Private"/>
    <s v="Colliers; Ficke"/>
    <m/>
    <m/>
    <s v=" "/>
    <s v=" "/>
    <m/>
    <s v=" "/>
    <s v=" "/>
    <s v=" "/>
    <m/>
    <s v=" "/>
  </r>
  <r>
    <s v="LAL60288"/>
    <s v="AOC"/>
    <s v="Federal"/>
    <s v="Fee Simple"/>
    <s v="1801 4th Ave N"/>
    <s v="Birmingham"/>
    <s v="AL"/>
    <n v="0.4812"/>
    <n v="2001"/>
    <n v="52467"/>
    <n v="52467"/>
    <n v="1"/>
    <n v="1115638"/>
    <n v="21.26361331884804"/>
    <m/>
    <s v=" "/>
    <d v="2016-02-06T00:00:00"/>
    <d v="2031-02-05T00:00:00"/>
    <d v="2026-02-05T00:00:00"/>
    <n v="9.315068493150685"/>
    <n v="4.312328767123287"/>
    <s v="Modified Gross"/>
    <s v="None"/>
    <s v="None"/>
    <n v="10500000"/>
    <n v="200.1257933558237"/>
    <s v=" "/>
    <m/>
    <d v="2021-10-15T00:00:00"/>
    <x v="223"/>
    <m/>
    <x v="1"/>
    <s v="IL"/>
    <s v="Private"/>
    <m/>
    <m/>
    <m/>
    <s v=" "/>
    <s v=" "/>
    <m/>
    <s v=" "/>
    <s v=" "/>
    <s v=" "/>
    <m/>
    <s v=" "/>
  </r>
  <r>
    <s v="LOH19290"/>
    <s v="USCIS"/>
    <s v="Federal"/>
    <s v="Fee Simple"/>
    <s v="395 E Broad St"/>
    <s v="Columbus"/>
    <s v="OH"/>
    <n v="0.52"/>
    <n v="1952"/>
    <n v="16467"/>
    <n v="28860"/>
    <n v="0.5705821205821205"/>
    <n v="463082.82"/>
    <n v="28.12186919293132"/>
    <n v="350100"/>
    <n v="12.13097713097713"/>
    <d v="2017-05-08T00:00:00"/>
    <d v="2032-05-07T00:00:00"/>
    <d v="2027-05-07T00:00:00"/>
    <n v="10.56712328767123"/>
    <n v="5.561643835616438"/>
    <s v="Modified Gross"/>
    <s v="None"/>
    <s v="None"/>
    <n v="4070000"/>
    <n v="141.025641025641"/>
    <n v="0.08601965601965601"/>
    <m/>
    <d v="2021-10-15T00:00:00"/>
    <x v="149"/>
    <m/>
    <x v="46"/>
    <s v="OK"/>
    <s v="Private"/>
    <s v="Colliers; Ficke"/>
    <m/>
    <m/>
    <s v=" "/>
    <s v=" "/>
    <m/>
    <s v=" "/>
    <s v=" "/>
    <s v=" "/>
    <m/>
    <s v=" "/>
  </r>
  <r>
    <m/>
    <s v="USDA"/>
    <s v="Federal"/>
    <s v="Fee Simple"/>
    <s v="2200 N Grand Ave"/>
    <s v="Gainesville"/>
    <s v="TX"/>
    <n v="0.6899999999999999"/>
    <n v="2000"/>
    <n v="3846"/>
    <n v="3846"/>
    <n v="1"/>
    <n v="136225"/>
    <n v="35.41991679667186"/>
    <n v="85148"/>
    <n v="22.13936557462299"/>
    <d v="2021-04-01T00:00:00"/>
    <d v="2031-03-31T00:00:00"/>
    <d v="2026-03-31T00:00:00"/>
    <n v="9.463013698630137"/>
    <n v="4.46027397260274"/>
    <s v="Modified Gross"/>
    <s v="None"/>
    <s v="None"/>
    <n v="1127840"/>
    <n v="293.2501300052002"/>
    <n v="0.07549652432969216"/>
    <m/>
    <d v="2021-10-15T00:00:00"/>
    <x v="358"/>
    <s v="Axis; Andrus"/>
    <x v="261"/>
    <s v="TX"/>
    <s v="Private"/>
    <m/>
    <m/>
    <m/>
    <s v=" "/>
    <s v=" "/>
    <m/>
    <s v=" "/>
    <s v=" "/>
    <s v=" "/>
    <d v="2021-05-18T00:00:00"/>
    <n v="150"/>
  </r>
  <r>
    <s v="LPA00259"/>
    <s v="SSA"/>
    <s v="Federal"/>
    <s v="Fee Simple"/>
    <s v="2221 W Market St"/>
    <s v="Pottsville"/>
    <s v="PA"/>
    <n v="1.05"/>
    <n v="2007"/>
    <n v="8500"/>
    <n v="16312"/>
    <n v="0.5210887690044139"/>
    <n v="184387.76"/>
    <n v="21.69267764705883"/>
    <n v="255000"/>
    <n v="15.63266307013242"/>
    <d v="2022-02-01T00:00:00"/>
    <d v="2032-01-31T00:00:00"/>
    <d v="2027-02-01T00:00:00"/>
    <n v="10.3013698630137"/>
    <n v="5.301369863013699"/>
    <s v="Modified Gross"/>
    <s v="None"/>
    <s v="None"/>
    <n v="2810000"/>
    <n v="172.2658165767533"/>
    <n v="0.09074733096085409"/>
    <m/>
    <d v="2021-10-15T00:00:00"/>
    <x v="359"/>
    <m/>
    <x v="262"/>
    <s v="PA"/>
    <s v="Private"/>
    <m/>
    <m/>
    <m/>
    <s v=" "/>
    <s v=" "/>
    <m/>
    <s v=" "/>
    <s v=" "/>
    <s v=" "/>
    <m/>
    <s v=" "/>
  </r>
  <r>
    <m/>
    <s v="USPS"/>
    <s v="Federal"/>
    <s v="Fee Simple"/>
    <s v="2250 E Highway 318"/>
    <s v="Citra"/>
    <s v="FL"/>
    <n v="0.65"/>
    <n v="1984"/>
    <n v="3220"/>
    <n v="3220"/>
    <n v="1"/>
    <m/>
    <s v=" "/>
    <m/>
    <s v=" "/>
    <m/>
    <m/>
    <m/>
    <s v=" "/>
    <s v=" "/>
    <m/>
    <m/>
    <m/>
    <n v="651900"/>
    <n v="202.4534161490683"/>
    <s v=" "/>
    <m/>
    <d v="2021-10-14T00:00:00"/>
    <x v="360"/>
    <m/>
    <x v="66"/>
    <s v="CA"/>
    <s v="Private"/>
    <m/>
    <m/>
    <m/>
    <s v=" "/>
    <s v=" "/>
    <m/>
    <s v=" "/>
    <s v=" "/>
    <s v=" "/>
    <m/>
    <s v=" "/>
  </r>
  <r>
    <m/>
    <s v="SSA"/>
    <s v="Federal"/>
    <s v="Fee Simple"/>
    <s v="1834 W Cary St"/>
    <s v="Richmond"/>
    <s v="VA"/>
    <n v="0.6899999999999999"/>
    <n v="2003"/>
    <n v="14782"/>
    <n v="14782"/>
    <n v="1"/>
    <n v="404083.78"/>
    <n v="27.33620484372886"/>
    <m/>
    <s v=" "/>
    <d v="2018-07-09T00:00:00"/>
    <d v="2033-07-08T00:00:00"/>
    <d v="2028-07-09T00:00:00"/>
    <n v="11.73972602739726"/>
    <n v="6.739726027397261"/>
    <s v="Modified Gross"/>
    <s v="None"/>
    <s v="None"/>
    <n v="2900000"/>
    <n v="196.1845487755378"/>
    <s v=" "/>
    <m/>
    <d v="2021-10-14T00:00:00"/>
    <x v="361"/>
    <s v="CC; Tyler"/>
    <x v="263"/>
    <s v="VA"/>
    <s v="Private"/>
    <s v="Taylor; Gupta"/>
    <m/>
    <m/>
    <s v=" "/>
    <s v=" "/>
    <m/>
    <s v=" "/>
    <s v=" "/>
    <s v=" "/>
    <d v="2021-05-07T00:00:00"/>
    <n v="160"/>
  </r>
  <r>
    <m/>
    <s v="VA"/>
    <s v="Federal"/>
    <s v="Fee Simple"/>
    <s v="15512 W 113th St"/>
    <s v="Lenexa"/>
    <s v="KS"/>
    <n v="3.61"/>
    <n v="2021"/>
    <n v="31062"/>
    <n v="31062"/>
    <n v="1"/>
    <n v="1277946"/>
    <n v="41.14178095422059"/>
    <n v="934447.5"/>
    <n v="30.08330113965617"/>
    <d v="2021-05-01T00:00:00"/>
    <d v="2041-05-01T00:00:00"/>
    <d v="2041-05-01T00:00:00"/>
    <n v="19.56438356164384"/>
    <n v="19.56438356164384"/>
    <s v="Modified Gross"/>
    <s v="None"/>
    <s v="None"/>
    <n v="17799000"/>
    <n v="573.0152598029747"/>
    <n v="0.0525"/>
    <m/>
    <d v="2021-10-12T00:00:00"/>
    <x v="44"/>
    <s v="Newmark; Carr"/>
    <x v="3"/>
    <s v="DC"/>
    <s v="REIT"/>
    <m/>
    <m/>
    <m/>
    <s v=" "/>
    <s v=" "/>
    <m/>
    <s v=" "/>
    <s v=" "/>
    <s v=" "/>
    <m/>
    <s v=" "/>
  </r>
  <r>
    <m/>
    <s v="VA"/>
    <s v="Federal"/>
    <s v="Fee Simple"/>
    <m/>
    <s v="Lenexa"/>
    <s v="KS"/>
    <m/>
    <n v="2024"/>
    <n v="31062"/>
    <n v="31062"/>
    <n v="1"/>
    <n v="1309621"/>
    <n v="42.16151567832078"/>
    <n v="934447.5"/>
    <n v="30.08330113965617"/>
    <d v="2021-11-01T00:00:00"/>
    <d v="2041-10-31T00:00:00"/>
    <d v="2041-10-31T00:00:00"/>
    <n v="20.06575342465753"/>
    <n v="20.06575342465753"/>
    <s v="Modified Gross"/>
    <s v="None"/>
    <s v="None"/>
    <n v="17799000"/>
    <n v="573.0152598029747"/>
    <n v="0.0525"/>
    <m/>
    <d v="2021-10-12T00:00:00"/>
    <x v="44"/>
    <s v="Newmark; Carr"/>
    <x v="3"/>
    <s v="DC"/>
    <s v="REIT"/>
    <m/>
    <m/>
    <m/>
    <s v=" "/>
    <s v=" "/>
    <m/>
    <s v=" "/>
    <s v=" "/>
    <s v=" "/>
    <m/>
    <s v=" "/>
  </r>
  <r>
    <m/>
    <s v="VA"/>
    <s v="Federal"/>
    <s v="Leasehold"/>
    <s v="3510 4th St"/>
    <s v="Lubbock"/>
    <s v="TX"/>
    <n v="14.53"/>
    <n v="2020"/>
    <n v="120916"/>
    <n v="120916"/>
    <n v="1"/>
    <n v="4030913"/>
    <n v="33.33647325415991"/>
    <n v="2413792.5"/>
    <n v="19.96255665089814"/>
    <d v="2020-12-01T00:00:00"/>
    <d v="2040-12-01T00:00:00"/>
    <d v="2040-12-01T00:00:00"/>
    <n v="19.15068493150685"/>
    <n v="19.15068493150685"/>
    <s v="Modified Gross"/>
    <s v="None"/>
    <s v="None"/>
    <n v="45977000"/>
    <n v="380.2391743028218"/>
    <n v="0.0525"/>
    <m/>
    <d v="2021-10-12T00:00:00"/>
    <x v="44"/>
    <s v="Newmark; Carr"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Rogers Rd"/>
    <s v="San Antonio"/>
    <s v="TX"/>
    <n v="25.35"/>
    <n v="2021"/>
    <n v="226148"/>
    <n v="226148"/>
    <n v="1"/>
    <n v="9413858"/>
    <n v="41.62697879264906"/>
    <n v="5953867.5"/>
    <n v="26.32730556980384"/>
    <d v="2021-10-01T00:00:00"/>
    <d v="2041-09-30T00:00:00"/>
    <d v="2041-09-30T00:00:00"/>
    <n v="19.98082191780822"/>
    <n v="19.98082191780822"/>
    <s v="Modified Gross"/>
    <s v="None"/>
    <s v="None"/>
    <n v="113407000"/>
    <n v="501.4724870438828"/>
    <n v="0.0525"/>
    <m/>
    <d v="2021-10-12T00:00:00"/>
    <x v="44"/>
    <s v="Newmark; Carr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232 N Union St"/>
    <s v="Byron"/>
    <s v="IL"/>
    <n v="0.7438"/>
    <m/>
    <n v="5075"/>
    <n v="5075"/>
    <n v="1"/>
    <m/>
    <s v=" "/>
    <m/>
    <s v=" "/>
    <m/>
    <m/>
    <m/>
    <s v=" "/>
    <s v=" "/>
    <m/>
    <m/>
    <m/>
    <m/>
    <s v=" "/>
    <s v=" "/>
    <m/>
    <d v="2021-10-08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32 N Union St"/>
    <s v="Byron"/>
    <s v="IL"/>
    <n v="0.7438"/>
    <m/>
    <n v="5075"/>
    <n v="5075"/>
    <n v="1"/>
    <m/>
    <s v=" "/>
    <m/>
    <s v=" "/>
    <m/>
    <m/>
    <m/>
    <s v=" "/>
    <s v=" "/>
    <m/>
    <m/>
    <m/>
    <n v="173850"/>
    <n v="34.25615763546798"/>
    <s v=" "/>
    <m/>
    <d v="2021-10-08T00:00:00"/>
    <x v="8"/>
    <m/>
    <x v="66"/>
    <s v="CA"/>
    <s v="Private"/>
    <m/>
    <m/>
    <m/>
    <s v=" "/>
    <s v=" "/>
    <m/>
    <s v=" "/>
    <s v=" "/>
    <s v=" "/>
    <m/>
    <s v=" "/>
  </r>
  <r>
    <m/>
    <s v="Multi"/>
    <s v="State"/>
    <s v="Fee Simple"/>
    <s v="1-3 S Park Cir"/>
    <s v="Charleston"/>
    <s v="SC"/>
    <n v="14.04"/>
    <m/>
    <n v="159716"/>
    <n v="159716"/>
    <n v="1"/>
    <m/>
    <s v=" "/>
    <n v="1812500"/>
    <n v="11.34826817601242"/>
    <m/>
    <d v="2028-10-31T00:00:00"/>
    <d v="2028-10-31T00:00:00"/>
    <n v="7.076712328767123"/>
    <n v="7.076712328767123"/>
    <s v="Full Service"/>
    <s v="2.5% annually"/>
    <s v="None"/>
    <n v="31300000"/>
    <n v="195.9728518119663"/>
    <n v="0.0579073482428115"/>
    <m/>
    <d v="2021-10-05T00:00:00"/>
    <x v="362"/>
    <s v="CBRE; Carmody"/>
    <x v="1"/>
    <s v="IL"/>
    <s v="Private"/>
    <m/>
    <m/>
    <m/>
    <s v=" "/>
    <s v=" "/>
    <m/>
    <s v=" "/>
    <s v=" "/>
    <s v=" "/>
    <d v="2021-04-30T00:00:00"/>
    <n v="158"/>
  </r>
  <r>
    <m/>
    <s v="USPS"/>
    <s v="Federal"/>
    <s v="Fee Simple"/>
    <s v="26113 Bear Rd"/>
    <s v="Cushing"/>
    <s v="MN"/>
    <n v="1.13"/>
    <n v="1988"/>
    <n v="1125"/>
    <n v="1125"/>
    <n v="1"/>
    <n v="15385"/>
    <n v="13.67555555555556"/>
    <n v="12055"/>
    <n v="10.71555555555556"/>
    <d v="2013-08-01T00:00:00"/>
    <d v="2023-07-31T00:00:00"/>
    <d v="2014-08-01T00:00:00"/>
    <n v="1.819178082191781"/>
    <n v="-7.183561643835616"/>
    <s v="Rider"/>
    <s v="In Options"/>
    <s v="1, 5 yr"/>
    <n v="205133"/>
    <n v="182.3404444444444"/>
    <n v="0.05876675132718773"/>
    <m/>
    <d v="2021-10-05T00:00:00"/>
    <x v="363"/>
    <s v="Upland; Sturm"/>
    <x v="264"/>
    <s v="CA"/>
    <s v="Private"/>
    <m/>
    <m/>
    <n v="205133"/>
    <n v="0.05876675132718773"/>
    <n v="1"/>
    <n v="205133"/>
    <n v="0.05876675132718773"/>
    <n v="0"/>
    <s v="No"/>
    <d v="2017-07-18T00:00:00"/>
    <n v="1540"/>
  </r>
  <r>
    <m/>
    <s v="USPS"/>
    <s v="Federal"/>
    <s v="Fee Simple"/>
    <s v="811 4th St"/>
    <s v="Mattoon"/>
    <s v="WI"/>
    <n v="0.11"/>
    <n v="2000"/>
    <n v="872"/>
    <n v="872"/>
    <n v="1"/>
    <n v="13975"/>
    <n v="16.02637614678899"/>
    <n v="13975"/>
    <n v="16.02637614678899"/>
    <d v="2017-10-01T00:00:00"/>
    <d v="2027-09-30T00:00:00"/>
    <d v="2018-10-01T00:00:00"/>
    <n v="5.989041095890411"/>
    <n v="-3.013698630136986"/>
    <s v="Rider"/>
    <s v="In Options"/>
    <s v="1, 5 yr"/>
    <n v="190286"/>
    <n v="218.2178899082569"/>
    <n v="0.07344208191879592"/>
    <m/>
    <d v="2021-10-05T00:00:00"/>
    <x v="363"/>
    <s v="Upland; Sturm"/>
    <x v="264"/>
    <s v="CA"/>
    <s v="Private"/>
    <m/>
    <m/>
    <n v="186333"/>
    <n v="0.07500013416839744"/>
    <n v="1.021214707003054"/>
    <n v="186333"/>
    <n v="0.07500013416839744"/>
    <n v="-0.001558052249601524"/>
    <s v="No"/>
    <d v="2017-07-18T00:00:00"/>
    <n v="1540"/>
  </r>
  <r>
    <m/>
    <s v="USPS"/>
    <s v="Federal"/>
    <s v="Fee Simple"/>
    <s v="404 Euclid Ave"/>
    <s v="Milroy"/>
    <s v="MN"/>
    <n v="0.15"/>
    <n v="1989"/>
    <n v="616"/>
    <n v="616"/>
    <n v="1"/>
    <m/>
    <s v=" "/>
    <n v="13922"/>
    <n v="22.60064935064935"/>
    <m/>
    <d v="2024-07-31T00:00:00"/>
    <d v="2024-07-31T00:00:00"/>
    <n v="2.821917808219178"/>
    <n v="2.821917808219178"/>
    <s v="Rider"/>
    <s v="None"/>
    <s v="None"/>
    <m/>
    <s v=" "/>
    <s v=" "/>
    <m/>
    <d v="2021-10-05T00:00:00"/>
    <x v="364"/>
    <s v="Upland; Sturm"/>
    <x v="0"/>
    <m/>
    <m/>
    <m/>
    <m/>
    <n v="185627"/>
    <n v="0.0749998653213164"/>
    <s v=" "/>
    <n v="185627"/>
    <n v="0.0749998653213164"/>
    <s v=" "/>
    <s v="No"/>
    <d v="2017-07-27T00:00:00"/>
    <n v="1531"/>
  </r>
  <r>
    <m/>
    <s v="USPS"/>
    <s v="Federal"/>
    <s v="Fee Simple"/>
    <s v="404 Euclid Ave"/>
    <s v="Milroy"/>
    <s v="MN"/>
    <n v="0.15"/>
    <n v="1989"/>
    <n v="616"/>
    <n v="616"/>
    <n v="1"/>
    <n v="13922"/>
    <n v="22.60064935064935"/>
    <n v="13922"/>
    <n v="22.60064935064935"/>
    <d v="2014-08-01T00:00:00"/>
    <d v="2024-07-31T00:00:00"/>
    <d v="2015-08-01T00:00:00"/>
    <n v="2.821917808219178"/>
    <n v="-6.183561643835616"/>
    <s v="Rider"/>
    <s v="In Options"/>
    <s v="1, 5 yr"/>
    <n v="189581"/>
    <n v="307.7613636363636"/>
    <n v="0.07343562909785263"/>
    <m/>
    <d v="2021-10-05T00:00:00"/>
    <x v="363"/>
    <s v="Upland; Sturm"/>
    <x v="264"/>
    <s v="CA"/>
    <s v="Private"/>
    <m/>
    <m/>
    <n v="185627"/>
    <n v="0.0749998653213164"/>
    <n v="1.02130078059765"/>
    <n v="185627"/>
    <n v="0.0749998653213164"/>
    <n v="-0.001564236223463772"/>
    <s v="No"/>
    <d v="2021-07-26T00:00:00"/>
    <n v="71"/>
  </r>
  <r>
    <m/>
    <s v="USPS"/>
    <s v="Federal"/>
    <s v="Fee Simple"/>
    <s v="471 N Saizon St"/>
    <s v="Port Barre"/>
    <s v="LA"/>
    <n v="1.5886"/>
    <n v="2000"/>
    <n v="4221"/>
    <n v="4221"/>
    <n v="1"/>
    <m/>
    <s v=" "/>
    <m/>
    <s v=" "/>
    <m/>
    <m/>
    <m/>
    <s v=" "/>
    <s v=" "/>
    <m/>
    <m/>
    <m/>
    <n v="895974"/>
    <n v="212.2658137882019"/>
    <s v=" "/>
    <m/>
    <d v="2021-10-05T00:00:00"/>
    <x v="365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44878 Notre Dame Ln"/>
    <s v="Ahwahnee"/>
    <s v="CA"/>
    <n v="1.21"/>
    <n v="2000"/>
    <n v="3330"/>
    <n v="3330"/>
    <n v="1"/>
    <n v="76123"/>
    <n v="22.85975975975976"/>
    <n v="76123"/>
    <n v="22.85975975975976"/>
    <d v="2020-11-18T00:00:00"/>
    <d v="2025-11-17T00:00:00"/>
    <d v="2021-11-18T00:00:00"/>
    <n v="4.123287671232877"/>
    <n v="0.1232876712328767"/>
    <s v="Rider"/>
    <s v="In Options"/>
    <s v="1, 5 yr"/>
    <n v="1120000"/>
    <n v="336.3363363363363"/>
    <n v="0.06796696428571429"/>
    <m/>
    <d v="2021-10-04T00:00:00"/>
    <x v="8"/>
    <s v="Mickey Turpen"/>
    <x v="0"/>
    <m/>
    <m/>
    <m/>
    <m/>
    <n v="1171123"/>
    <n v="0.06500000426940637"/>
    <n v="0.956347027596589"/>
    <n v="1171123"/>
    <n v="0.06500000426940637"/>
    <n v="0.002966960016307918"/>
    <s v="No"/>
    <d v="2021-07-01T00:00:00"/>
    <n v="95"/>
  </r>
  <r>
    <m/>
    <s v="USPS"/>
    <s v="Federal"/>
    <s v="Fee Simple"/>
    <s v="3512 Business Center Dr"/>
    <s v="Chesapeake"/>
    <s v="VA"/>
    <n v="9.720000000000001"/>
    <n v="1998"/>
    <n v="70000"/>
    <n v="70000"/>
    <n v="1"/>
    <m/>
    <s v=" "/>
    <m/>
    <s v=" "/>
    <d v="2017-02-01T00:00:00"/>
    <d v="2027-01-31T00:00:00"/>
    <d v="2027-01-31T00:00:00"/>
    <n v="5.328767123287672"/>
    <n v="5.328767123287672"/>
    <s v="Rider"/>
    <s v="Options"/>
    <s v="2, 5 year"/>
    <n v="6700000"/>
    <n v="95.71428571428571"/>
    <s v=" "/>
    <m/>
    <d v="2021-10-04T00:00:00"/>
    <x v="8"/>
    <m/>
    <x v="265"/>
    <s v="NJ"/>
    <s v="Private"/>
    <m/>
    <m/>
    <m/>
    <s v=" "/>
    <s v=" "/>
    <m/>
    <s v=" "/>
    <s v=" "/>
    <s v=" "/>
    <m/>
    <s v=" "/>
  </r>
  <r>
    <s v="LGA60019"/>
    <s v="ATF"/>
    <s v="Federal"/>
    <s v="Fee Simple"/>
    <s v="2036 Franklin Way SE"/>
    <s v="Marietta"/>
    <s v="GA"/>
    <n v="1.61"/>
    <n v="2004"/>
    <n v="11198"/>
    <n v="11198"/>
    <n v="1"/>
    <n v="251144.36"/>
    <n v="22.42760850151813"/>
    <m/>
    <s v=" "/>
    <d v="2014-07-01T00:00:00"/>
    <d v="2024-06-30T00:00:00"/>
    <d v="2019-06-30T00:00:00"/>
    <n v="2.73972602739726"/>
    <n v="-2.265753424657534"/>
    <s v="Modified Gross"/>
    <s v="None"/>
    <s v="None"/>
    <n v="1900000"/>
    <n v="169.6731559207001"/>
    <s v=" "/>
    <m/>
    <d v="2021-10-04T00:00:00"/>
    <x v="366"/>
    <s v="Donnie Miller"/>
    <x v="266"/>
    <s v="MD"/>
    <s v="Private"/>
    <m/>
    <m/>
    <n v="2200000"/>
    <s v=" "/>
    <n v="0.8636363636363636"/>
    <n v="2200000"/>
    <s v=" "/>
    <s v=" "/>
    <s v="No"/>
    <d v="2019-10-17T00:00:00"/>
    <n v="718"/>
  </r>
  <r>
    <m/>
    <s v="Court/DA"/>
    <s v="State"/>
    <s v="Fee Simple"/>
    <s v="35-45 Shawmut Rd"/>
    <s v="Canton"/>
    <s v="MA"/>
    <n v="10.65"/>
    <m/>
    <n v="115464.635"/>
    <n v="119405"/>
    <n v="0.967"/>
    <m/>
    <s v=" "/>
    <n v="1787700"/>
    <n v="14.97173485197437"/>
    <m/>
    <d v="2028-01-31T00:00:00"/>
    <m/>
    <n v="6.336986301369863"/>
    <s v=" "/>
    <s v="Full Service"/>
    <s v="2% annually"/>
    <s v="None"/>
    <n v="25250000"/>
    <n v="211.4651815250618"/>
    <n v="0.0708"/>
    <m/>
    <d v="2021-10-01T00:00:00"/>
    <x v="367"/>
    <s v="Newmark; Galla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44878 Notre Dame Ln"/>
    <s v="Ahwahnee"/>
    <s v="CA"/>
    <n v="1.21"/>
    <n v="2000"/>
    <n v="3330"/>
    <n v="3330"/>
    <n v="1"/>
    <m/>
    <s v=" "/>
    <n v="76123"/>
    <n v="22.85975975975976"/>
    <d v="2020-12-01T00:00:00"/>
    <d v="2025-11-30T00:00:00"/>
    <d v="2021-05-30T00:00:00"/>
    <n v="4.16986301369863"/>
    <n v="-0.336986301369863"/>
    <s v="Rider"/>
    <s v="None"/>
    <s v="None"/>
    <n v="1268716.666666667"/>
    <n v="380.995995995996"/>
    <n v="0.06"/>
    <m/>
    <d v="2021-09-30T00:00:00"/>
    <x v="290"/>
    <s v="Gallelli"/>
    <x v="66"/>
    <s v="CA"/>
    <s v="Private"/>
    <m/>
    <m/>
    <m/>
    <s v=" "/>
    <s v=" "/>
    <m/>
    <s v=" "/>
    <s v=" "/>
    <s v=" "/>
    <d v="2021-06-20T00:00:00"/>
    <n v="102"/>
  </r>
  <r>
    <m/>
    <s v="USPS"/>
    <s v="Federal"/>
    <s v="Fee Simple"/>
    <s v="8110 N Business Park Dr"/>
    <s v="Marana"/>
    <s v="AZ"/>
    <n v="1.059"/>
    <n v="1997"/>
    <n v="9530"/>
    <n v="9530"/>
    <n v="1"/>
    <m/>
    <s v=" "/>
    <m/>
    <s v=" "/>
    <m/>
    <m/>
    <m/>
    <s v=" "/>
    <s v=" "/>
    <m/>
    <m/>
    <m/>
    <n v="1135000"/>
    <n v="119.0975865687303"/>
    <s v=" "/>
    <m/>
    <d v="2021-09-30T00:00:00"/>
    <x v="368"/>
    <m/>
    <x v="66"/>
    <s v="CA"/>
    <s v="Private"/>
    <m/>
    <m/>
    <m/>
    <s v=" "/>
    <s v=" "/>
    <m/>
    <s v=" "/>
    <s v=" "/>
    <s v=" "/>
    <m/>
    <s v=" "/>
  </r>
  <r>
    <m/>
    <s v="USPS"/>
    <s v="Federal"/>
    <s v="Not Indicated"/>
    <s v="18100 Paulson Dr"/>
    <s v="Port Charlotte"/>
    <s v="FL"/>
    <n v="1.5"/>
    <n v="1981"/>
    <n v="21322"/>
    <n v="21322"/>
    <n v="1"/>
    <n v="105000"/>
    <n v="4.924491135915956"/>
    <n v="95000"/>
    <n v="4.455491980114436"/>
    <d v="2008-11-12T00:00:00"/>
    <d v="2024-11-11T00:00:00"/>
    <d v="2024-11-11T00:00:00"/>
    <n v="3.117808219178082"/>
    <n v="3.117808219178082"/>
    <s v="Rider"/>
    <s v="In Options"/>
    <s v="1, 5 yr"/>
    <n v="1485000"/>
    <n v="69.64637463652565"/>
    <n v="0.06397306397306397"/>
    <m/>
    <d v="2021-09-30T00:00:00"/>
    <x v="369"/>
    <s v="Matthews; Chislock"/>
    <x v="267"/>
    <s v="UT"/>
    <s v="Private"/>
    <m/>
    <m/>
    <n v="1635000"/>
    <n v="0.0581039755351682"/>
    <n v="0.9082568807339449"/>
    <n v="1635000"/>
    <n v="0.0581039755351682"/>
    <n v="0.005869088437895777"/>
    <s v="No"/>
    <d v="2021-07-07T00:00:00"/>
    <n v="85"/>
  </r>
  <r>
    <m/>
    <s v="USPS"/>
    <s v="Federal"/>
    <s v="Fee Simple"/>
    <s v="8448 S Archer Ave"/>
    <s v="Willow Springs"/>
    <s v="IL"/>
    <n v="0.13"/>
    <n v="1958"/>
    <n v="4970"/>
    <n v="4970"/>
    <n v="1"/>
    <m/>
    <s v=" "/>
    <m/>
    <s v=" "/>
    <m/>
    <m/>
    <m/>
    <s v=" "/>
    <s v=" "/>
    <m/>
    <m/>
    <m/>
    <n v="375000"/>
    <n v="75.45271629778672"/>
    <s v=" "/>
    <m/>
    <d v="2021-09-30T00:00:00"/>
    <x v="370"/>
    <m/>
    <x v="66"/>
    <s v="CA"/>
    <s v="Private"/>
    <m/>
    <m/>
    <m/>
    <s v=" "/>
    <s v=" "/>
    <m/>
    <s v=" "/>
    <s v=" "/>
    <s v=" "/>
    <m/>
    <s v=" "/>
  </r>
  <r>
    <s v="LTX00049"/>
    <m/>
    <s v="Federal"/>
    <s v="Fee Simple"/>
    <s v="2202 S Cornerstone Blvd"/>
    <s v="Edinburg"/>
    <s v="TX"/>
    <m/>
    <m/>
    <n v="16789"/>
    <n v="23688"/>
    <n v="0.7087554880108071"/>
    <n v="449025.84"/>
    <n v="26.74524033593424"/>
    <m/>
    <s v=" "/>
    <d v="2020-07-01T00:00:00"/>
    <d v="2035-06-30T00:00:00"/>
    <d v="2030-07-01T00:00:00"/>
    <n v="13.75890410958904"/>
    <n v="8.758904109589041"/>
    <s v="Modified Gross"/>
    <s v="None"/>
    <s v="None"/>
    <m/>
    <s v=" "/>
    <s v=" "/>
    <m/>
    <d v="2021-09-29T00:00:00"/>
    <x v="371"/>
    <m/>
    <x v="268"/>
    <m/>
    <s v="Cross-Border"/>
    <m/>
    <m/>
    <m/>
    <s v=" "/>
    <s v=" "/>
    <m/>
    <s v=" "/>
    <s v=" "/>
    <s v=" "/>
    <m/>
    <s v=" "/>
  </r>
  <r>
    <s v="LWY14789"/>
    <s v="SSA"/>
    <s v="Federal"/>
    <s v="Fee Simple"/>
    <s v="2266 N Main St"/>
    <s v="Sheridan"/>
    <s v="WY"/>
    <n v="0.91"/>
    <n v="1978"/>
    <n v="3831"/>
    <n v="9763"/>
    <n v="0.392399877086961"/>
    <n v="139000"/>
    <n v="36.28295484207779"/>
    <m/>
    <s v=" "/>
    <d v="2017-04-06T00:00:00"/>
    <d v="2031-04-05T00:00:00"/>
    <d v="2024-04-06T00:00:00"/>
    <n v="9.520547945205479"/>
    <n v="2.520547945205479"/>
    <s v="Modified Gross"/>
    <s v="None"/>
    <s v="None"/>
    <m/>
    <s v=" "/>
    <s v=" "/>
    <m/>
    <d v="2021-09-29T00:00:00"/>
    <x v="372"/>
    <m/>
    <x v="269"/>
    <s v="WY"/>
    <s v="Private"/>
    <m/>
    <m/>
    <m/>
    <s v=" "/>
    <s v=" "/>
    <m/>
    <s v=" "/>
    <s v=" "/>
    <s v=" "/>
    <m/>
    <s v=" "/>
  </r>
  <r>
    <m/>
    <s v="Rev."/>
    <s v="State"/>
    <s v="Fee Simple"/>
    <s v="5483 W Waters Ave"/>
    <s v="Tampa"/>
    <s v="FL"/>
    <n v="2.71"/>
    <n v="1999"/>
    <n v="10105"/>
    <n v="33684"/>
    <n v="0.2999940624628904"/>
    <m/>
    <s v=" "/>
    <n v="627000"/>
    <n v="18.61417883861774"/>
    <m/>
    <m/>
    <m/>
    <s v=" "/>
    <s v=" "/>
    <m/>
    <m/>
    <m/>
    <n v="6750000"/>
    <n v="200.391877449234"/>
    <n v="0.09288888888888888"/>
    <m/>
    <d v="2021-09-29T00:00:00"/>
    <x v="373"/>
    <s v="Sage Andress"/>
    <x v="270"/>
    <s v="FL"/>
    <s v="Private"/>
    <m/>
    <m/>
    <n v="7000000"/>
    <n v="0.08957142857142857"/>
    <n v="0.9642857142857143"/>
    <n v="7000000"/>
    <n v="0.08957142857142857"/>
    <n v="0.003317460317460316"/>
    <s v="No"/>
    <m/>
    <s v=" "/>
  </r>
  <r>
    <m/>
    <s v="SAIC"/>
    <s v="Contractor"/>
    <s v="Leasehold"/>
    <s v="5617 N Rhett Ave"/>
    <s v="North Charleston"/>
    <s v="SC"/>
    <n v="5.02"/>
    <n v="2008"/>
    <n v="64801"/>
    <n v="64801"/>
    <n v="1"/>
    <m/>
    <s v=" "/>
    <n v="1245530"/>
    <n v="19.22084535732473"/>
    <m/>
    <d v="2022-08-30T00:00:00"/>
    <d v="2022-08-30T00:00:00"/>
    <n v="0.9205479452054794"/>
    <n v="0.9205479452054794"/>
    <s v="NNN"/>
    <s v="2% annually"/>
    <s v="None"/>
    <n v="11200000"/>
    <n v="172.8368389376707"/>
    <n v="0.1112080357142857"/>
    <m/>
    <d v="2021-09-28T00:00:00"/>
    <x v="374"/>
    <s v="CRE Partners"/>
    <x v="271"/>
    <s v="OH"/>
    <s v="Private"/>
    <m/>
    <m/>
    <m/>
    <s v=" "/>
    <s v=" "/>
    <m/>
    <s v=" "/>
    <s v=" "/>
    <s v=" "/>
    <m/>
    <s v=" "/>
  </r>
  <r>
    <m/>
    <s v="USPS"/>
    <s v="Federal"/>
    <s v="Fee Simple"/>
    <s v="117 S West St"/>
    <s v="Peotone"/>
    <s v="IL"/>
    <n v="0.9917"/>
    <m/>
    <n v="5986"/>
    <n v="5986"/>
    <n v="1"/>
    <m/>
    <s v=" "/>
    <m/>
    <s v=" "/>
    <m/>
    <m/>
    <m/>
    <s v=" "/>
    <s v=" "/>
    <m/>
    <m/>
    <m/>
    <n v="2000000"/>
    <n v="334.1129301703976"/>
    <s v=" "/>
    <m/>
    <d v="2021-09-28T00:00:00"/>
    <x v="375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7 N Main St"/>
    <s v="Roanoke"/>
    <s v="IN"/>
    <n v="0.2486"/>
    <n v="1977"/>
    <n v="1900"/>
    <n v="1900"/>
    <n v="1"/>
    <m/>
    <s v=" "/>
    <m/>
    <s v=" "/>
    <m/>
    <m/>
    <m/>
    <s v=" "/>
    <s v=" "/>
    <m/>
    <m/>
    <m/>
    <m/>
    <s v=" "/>
    <s v=" "/>
    <m/>
    <d v="2021-09-28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9 NW 1st Ave"/>
    <s v="Williston"/>
    <s v="FL"/>
    <n v="0.19"/>
    <n v="1965"/>
    <n v="3188"/>
    <n v="3188"/>
    <n v="1"/>
    <m/>
    <s v=" "/>
    <m/>
    <s v=" "/>
    <m/>
    <m/>
    <m/>
    <s v=" "/>
    <s v=" "/>
    <m/>
    <m/>
    <m/>
    <n v="376000"/>
    <n v="117.9422835633626"/>
    <s v=" "/>
    <m/>
    <d v="2021-09-28T00:00:00"/>
    <x v="8"/>
    <m/>
    <x v="66"/>
    <s v="CA"/>
    <s v="Private"/>
    <m/>
    <m/>
    <m/>
    <s v=" "/>
    <s v=" "/>
    <m/>
    <s v=" "/>
    <s v=" "/>
    <s v=" "/>
    <m/>
    <s v=" "/>
  </r>
  <r>
    <m/>
    <s v="VA/Vet Center"/>
    <s v="Federal"/>
    <s v="Fee Simple"/>
    <s v="4250 NE River Center Dr"/>
    <s v="Cedar Rapids"/>
    <s v="IA"/>
    <n v="1.59"/>
    <n v="1996"/>
    <n v="4053"/>
    <n v="14000"/>
    <n v="0.2895"/>
    <m/>
    <s v=" "/>
    <m/>
    <s v=" "/>
    <m/>
    <d v="2041-12-01T00:00:00"/>
    <d v="2026-12-01T00:00:00"/>
    <n v="20.19178082191781"/>
    <n v="5.18082191780822"/>
    <s v="Modified Gross"/>
    <s v="None"/>
    <s v="None"/>
    <n v="1400000"/>
    <n v="100"/>
    <s v=" "/>
    <m/>
    <d v="2021-09-27T00:00:00"/>
    <x v="376"/>
    <m/>
    <x v="272"/>
    <s v="IA"/>
    <s v="Private"/>
    <m/>
    <m/>
    <m/>
    <s v=" "/>
    <s v=" "/>
    <m/>
    <s v=" "/>
    <s v=" "/>
    <s v=" "/>
    <m/>
    <s v=" "/>
  </r>
  <r>
    <m/>
    <s v="USPS"/>
    <s v="Federal"/>
    <s v="Fee Simple"/>
    <s v="14015 Amstutz Rd"/>
    <s v="Leo"/>
    <s v="IN"/>
    <n v="0.83"/>
    <n v="1997"/>
    <n v="3192"/>
    <n v="3192"/>
    <n v="1"/>
    <m/>
    <s v=" "/>
    <m/>
    <s v=" "/>
    <m/>
    <m/>
    <m/>
    <s v=" "/>
    <s v=" "/>
    <m/>
    <m/>
    <m/>
    <n v="617518"/>
    <n v="193.4580200501253"/>
    <s v=" "/>
    <m/>
    <d v="2021-09-27T00:00:00"/>
    <x v="8"/>
    <m/>
    <x v="66"/>
    <s v="CA"/>
    <s v="Private"/>
    <m/>
    <m/>
    <m/>
    <s v=" "/>
    <s v=" "/>
    <m/>
    <s v=" "/>
    <s v=" "/>
    <s v=" "/>
    <m/>
    <s v=" "/>
  </r>
  <r>
    <m/>
    <s v="SSA"/>
    <s v="Federal"/>
    <s v="Fee Simple"/>
    <s v="2006 E FM 700"/>
    <s v="Big Spring"/>
    <s v="TX"/>
    <n v="2.48"/>
    <n v="2001"/>
    <n v="5100"/>
    <n v="5100"/>
    <n v="1"/>
    <m/>
    <s v=" "/>
    <m/>
    <s v=" "/>
    <m/>
    <m/>
    <m/>
    <s v=" "/>
    <s v=" "/>
    <m/>
    <m/>
    <m/>
    <m/>
    <s v=" "/>
    <s v=" "/>
    <m/>
    <d v="2021-09-24T00:00:00"/>
    <x v="377"/>
    <m/>
    <x v="273"/>
    <s v="TX"/>
    <s v="User/Owner"/>
    <m/>
    <m/>
    <m/>
    <s v=" "/>
    <s v=" "/>
    <m/>
    <s v=" "/>
    <s v=" "/>
    <s v=" "/>
    <m/>
    <s v=" "/>
  </r>
  <r>
    <m/>
    <s v="USPS"/>
    <s v="Federal"/>
    <s v="Fee Simple"/>
    <s v="521 Dakota Ave"/>
    <s v="Harwood"/>
    <s v="ND"/>
    <n v="0.2008"/>
    <m/>
    <n v="1501"/>
    <n v="1501"/>
    <n v="1"/>
    <m/>
    <s v=" "/>
    <m/>
    <s v=" "/>
    <m/>
    <m/>
    <m/>
    <s v=" "/>
    <s v=" "/>
    <m/>
    <m/>
    <m/>
    <m/>
    <s v=" "/>
    <s v=" "/>
    <m/>
    <d v="2021-09-24T00:00:00"/>
    <x v="8"/>
    <m/>
    <x v="66"/>
    <s v="CA"/>
    <s v="Private"/>
    <m/>
    <m/>
    <m/>
    <s v=" "/>
    <s v=" "/>
    <m/>
    <s v=" "/>
    <s v=" "/>
    <s v=" "/>
    <m/>
    <s v=" "/>
  </r>
  <r>
    <m/>
    <s v="General Dynamics &amp; Tactical Systems"/>
    <s v="Contractor"/>
    <s v="Fee Simple"/>
    <s v="100 Carillon Pky"/>
    <s v="Saint Petersburg"/>
    <s v="FL"/>
    <n v="4.81"/>
    <n v="1987"/>
    <n v="77955"/>
    <n v="77955"/>
    <n v="1"/>
    <n v="2026830"/>
    <n v="26"/>
    <n v="1102000"/>
    <n v="14.13636072092874"/>
    <d v="2021-10-01T00:00:00"/>
    <d v="2031-09-30T00:00:00"/>
    <d v="2031-09-30T00:00:00"/>
    <n v="10.02191780821918"/>
    <n v="10.02191780821918"/>
    <s v="NNN"/>
    <s v="2% annually"/>
    <s v="2, 5 yr"/>
    <n v="19000000"/>
    <n v="243.7303572573921"/>
    <n v="0.058"/>
    <m/>
    <d v="2021-09-24T00:00:00"/>
    <x v="378"/>
    <s v="JLL; Peterson"/>
    <x v="214"/>
    <s v="VA"/>
    <s v="Private"/>
    <m/>
    <m/>
    <m/>
    <s v=" "/>
    <s v=" "/>
    <m/>
    <s v=" "/>
    <s v=" "/>
    <s v=" "/>
    <m/>
    <s v=" "/>
  </r>
  <r>
    <m/>
    <s v="FDA"/>
    <s v="Federal"/>
    <s v="Fee Simple"/>
    <s v="1 Montvale Ave"/>
    <s v="Stoneham"/>
    <s v="MA"/>
    <n v="1.84"/>
    <n v="1987"/>
    <n v="36791"/>
    <n v="97777"/>
    <n v="0.3762745840023727"/>
    <m/>
    <s v=" "/>
    <m/>
    <s v=" "/>
    <m/>
    <m/>
    <m/>
    <s v=" "/>
    <s v=" "/>
    <m/>
    <m/>
    <m/>
    <n v="6799625"/>
    <n v="69.54217249455394"/>
    <s v=" "/>
    <m/>
    <d v="2021-09-24T00:00:00"/>
    <x v="247"/>
    <s v="JLL; Sardo"/>
    <x v="274"/>
    <s v="MA"/>
    <s v="Private"/>
    <m/>
    <m/>
    <m/>
    <s v=" "/>
    <s v=" "/>
    <m/>
    <s v=" "/>
    <s v=" "/>
    <s v=" "/>
    <m/>
    <s v=" "/>
  </r>
  <r>
    <m/>
    <s v="USPS"/>
    <s v="Federal"/>
    <s v="Fee Simple"/>
    <s v="3992 Colville Rd"/>
    <s v="Loon Lake"/>
    <s v="WA"/>
    <n v="0.82"/>
    <n v="1997"/>
    <n v="5458"/>
    <n v="5458"/>
    <n v="1"/>
    <m/>
    <s v=" "/>
    <m/>
    <s v=" "/>
    <m/>
    <m/>
    <m/>
    <s v=" "/>
    <s v=" "/>
    <m/>
    <m/>
    <m/>
    <m/>
    <s v=" "/>
    <s v=" "/>
    <m/>
    <d v="2021-09-23T00:00:00"/>
    <x v="8"/>
    <m/>
    <x v="66"/>
    <s v="CA"/>
    <s v="Private"/>
    <m/>
    <m/>
    <m/>
    <s v=" "/>
    <s v=" "/>
    <m/>
    <s v=" "/>
    <s v=" "/>
    <s v=" "/>
    <m/>
    <s v=" "/>
  </r>
  <r>
    <m/>
    <s v="Suffolk County"/>
    <s v="State"/>
    <s v="Fee Simple"/>
    <s v="80 Middle Country Rd"/>
    <s v="Coram"/>
    <s v="NY"/>
    <n v="9.26"/>
    <n v="2005"/>
    <n v="53000"/>
    <n v="53000"/>
    <n v="1"/>
    <m/>
    <s v=" "/>
    <n v="1137059"/>
    <n v="21.45394339622641"/>
    <d v="2005-07-01T00:00:00"/>
    <d v="2035-06-30T00:00:00"/>
    <d v="2035-06-30T00:00:00"/>
    <n v="13.78082191780822"/>
    <n v="13.78082191780822"/>
    <s v="NNN"/>
    <s v="None"/>
    <s v="None"/>
    <n v="18099000"/>
    <n v="341.4905660377358"/>
    <n v="0.0628244101884082"/>
    <m/>
    <d v="2021-09-21T00:00:00"/>
    <x v="379"/>
    <s v="Reliant; Gitto"/>
    <x v="275"/>
    <s v="WI"/>
    <s v="Private"/>
    <m/>
    <m/>
    <n v="19980000"/>
    <n v="0.05690985985985986"/>
    <n v="0.9058558558558558"/>
    <n v="19980000"/>
    <n v="0.05690985985985986"/>
    <n v="0.005914550328548346"/>
    <s v="No"/>
    <d v="2021-03-04T00:00:00"/>
    <n v="201"/>
  </r>
  <r>
    <s v="LFL62270"/>
    <s v="USCIS"/>
    <s v="Federal"/>
    <s v="Fee Simple"/>
    <s v="4121 Southpoint Blvd"/>
    <s v="Jacksonville"/>
    <s v="FL"/>
    <n v="3.12"/>
    <n v="1999"/>
    <n v="21300"/>
    <n v="21300"/>
    <n v="1"/>
    <n v="785305"/>
    <n v="36.868779342723"/>
    <n v="601035"/>
    <n v="28.21760563380282"/>
    <d v="2015-02-10T00:00:00"/>
    <d v="2031-02-09T00:00:00"/>
    <d v="2026-02-09T00:00:00"/>
    <n v="9.391780821917807"/>
    <n v="4.389041095890411"/>
    <s v="Modified Gross"/>
    <s v="$218k drop with TI, Base, &amp; HVAC Ovt"/>
    <s v="None"/>
    <n v="5800000"/>
    <n v="272.3004694835681"/>
    <n v="0.103626724137931"/>
    <m/>
    <d v="2021-09-21T00:00:00"/>
    <x v="380"/>
    <m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15 E 2nd St"/>
    <s v="Williamsport"/>
    <s v="IN"/>
    <n v="0.3889"/>
    <n v="1962"/>
    <n v="2769"/>
    <n v="2769"/>
    <n v="1"/>
    <m/>
    <s v=" "/>
    <m/>
    <s v=" "/>
    <m/>
    <m/>
    <m/>
    <s v=" "/>
    <s v=" "/>
    <m/>
    <m/>
    <m/>
    <n v="345000"/>
    <n v="124.5937161430119"/>
    <s v=" "/>
    <m/>
    <d v="2021-09-21T00:00:00"/>
    <x v="8"/>
    <m/>
    <x v="66"/>
    <s v="CA"/>
    <s v="Private"/>
    <m/>
    <m/>
    <m/>
    <s v=" "/>
    <s v=" "/>
    <m/>
    <s v=" "/>
    <s v=" "/>
    <s v=" "/>
    <m/>
    <s v=" "/>
  </r>
  <r>
    <m/>
    <s v="HD"/>
    <s v="State"/>
    <s v="Fee Simple"/>
    <s v="10777 Main St"/>
    <s v="Fairfax"/>
    <s v="VA"/>
    <n v="2.05"/>
    <n v="1985"/>
    <n v="64681"/>
    <n v="72156"/>
    <n v="0.8964050113642663"/>
    <n v="2058126"/>
    <n v="31.81963791530743"/>
    <n v="1500001"/>
    <n v="20.78830589278785"/>
    <m/>
    <d v="2023-07-31T00:00:00"/>
    <d v="2023-07-31T00:00:00"/>
    <n v="1.86027397260274"/>
    <n v="1.86027397260274"/>
    <s v="Full Service"/>
    <s v="None"/>
    <s v="None"/>
    <n v="19250000"/>
    <n v="266.7830811020567"/>
    <n v="0.07792212987012986"/>
    <m/>
    <d v="2021-09-20T00:00:00"/>
    <x v="381"/>
    <s v="M&amp;M; Filley"/>
    <x v="1"/>
    <s v="IL"/>
    <s v="Private"/>
    <m/>
    <m/>
    <m/>
    <s v=" "/>
    <s v=" "/>
    <m/>
    <s v=" "/>
    <s v=" "/>
    <s v=" "/>
    <m/>
    <s v=" "/>
  </r>
  <r>
    <m/>
    <s v="E&amp;TA"/>
    <s v="State"/>
    <s v="Fee Simple"/>
    <s v="925 Del Paso Blvd"/>
    <s v="Sacramento"/>
    <s v="CA"/>
    <n v="4.3"/>
    <n v="2002"/>
    <n v="95372"/>
    <n v="95372"/>
    <n v="1"/>
    <m/>
    <s v=" "/>
    <m/>
    <s v=" "/>
    <m/>
    <m/>
    <m/>
    <s v=" "/>
    <s v=" "/>
    <m/>
    <m/>
    <m/>
    <n v="17500000"/>
    <n v="183.4920102336116"/>
    <s v=" "/>
    <m/>
    <d v="2021-09-20T00:00:00"/>
    <x v="382"/>
    <m/>
    <x v="1"/>
    <s v="IL"/>
    <s v="Private"/>
    <m/>
    <m/>
    <m/>
    <s v=" "/>
    <s v=" "/>
    <m/>
    <s v=" "/>
    <s v=" "/>
    <s v=" "/>
    <m/>
    <s v=" "/>
  </r>
  <r>
    <s v="LFL01142"/>
    <s v="AOC"/>
    <s v="Federal"/>
    <s v="Fee Simple"/>
    <s v="2075 W 1st St"/>
    <s v="Fort Myers"/>
    <s v="FL"/>
    <n v="1.04"/>
    <n v="1973"/>
    <n v="5725"/>
    <n v="19342"/>
    <n v="0.2959880053769"/>
    <n v="201102.46"/>
    <n v="35.1270672489083"/>
    <m/>
    <s v=" "/>
    <d v="2020-02-01T00:00:00"/>
    <d v="2030-01-31T00:00:00"/>
    <d v="2025-02-01T00:00:00"/>
    <n v="8.378082191780821"/>
    <n v="3.378082191780822"/>
    <s v="Modified Gross"/>
    <s v="None"/>
    <s v="None"/>
    <n v="3150000"/>
    <n v="162.8580291593424"/>
    <s v=" "/>
    <m/>
    <d v="2021-09-17T00:00:00"/>
    <x v="383"/>
    <s v="LandQuest"/>
    <x v="276"/>
    <s v="FL"/>
    <s v="Private"/>
    <m/>
    <m/>
    <m/>
    <s v=" "/>
    <s v=" "/>
    <m/>
    <s v=" "/>
    <s v=" "/>
    <s v=" "/>
    <m/>
    <s v=" "/>
  </r>
  <r>
    <m/>
    <s v="IRS, VA, DHS, State"/>
    <s v="Federal &amp; State"/>
    <s v="Fee Simple"/>
    <s v="855 M St"/>
    <s v="Fresno"/>
    <s v="CA"/>
    <n v="1.18"/>
    <n v="2005"/>
    <n v="228650"/>
    <n v="288597"/>
    <n v="0.7922812780451634"/>
    <m/>
    <s v=" "/>
    <m/>
    <s v=" "/>
    <d v="2021-11-01T00:00:00"/>
    <d v="2036-10-31T00:00:00"/>
    <d v="2031-10-31T00:00:00"/>
    <n v="15.13424657534247"/>
    <n v="10.12876712328767"/>
    <s v="Modified Gross"/>
    <s v="Various"/>
    <s v="None"/>
    <n v="96006000"/>
    <n v="332.6645807128972"/>
    <s v=" "/>
    <m/>
    <d v="2021-09-16T00:00:00"/>
    <x v="384"/>
    <s v="Fortune Associates"/>
    <x v="1"/>
    <s v="IL"/>
    <s v="Private"/>
    <m/>
    <m/>
    <m/>
    <s v=" "/>
    <s v=" "/>
    <m/>
    <s v=" "/>
    <s v=" "/>
    <s v=" "/>
    <m/>
    <s v=" "/>
  </r>
  <r>
    <s v="LMO50013"/>
    <s v="SSA"/>
    <s v="Federal"/>
    <s v="Fee Simple"/>
    <s v="507 E Main St"/>
    <s v="Park Hills"/>
    <s v="MO"/>
    <n v="0.79"/>
    <n v="2005"/>
    <n v="6543"/>
    <n v="6543"/>
    <n v="1"/>
    <n v="100660.64"/>
    <n v="15.38447806816445"/>
    <n v="57705.5"/>
    <n v="8.819425340058077"/>
    <d v="2015-03-02T00:00:00"/>
    <d v="2025-03-01T00:00:00"/>
    <d v="2020-03-02T00:00:00"/>
    <n v="3.457534246575342"/>
    <n v="-1.542465753424658"/>
    <s v="Modified Gross"/>
    <s v="None"/>
    <s v="None"/>
    <n v="615000"/>
    <n v="93.99358092618066"/>
    <n v="0.09383008130081301"/>
    <m/>
    <d v="2021-09-16T00:00:00"/>
    <x v="385"/>
    <s v="Colliers; Ficke"/>
    <x v="181"/>
    <s v="IL"/>
    <s v="Individual"/>
    <m/>
    <m/>
    <n v="655000"/>
    <n v="0.0881"/>
    <n v="0.9389312977099237"/>
    <n v="655000"/>
    <n v="0.0881"/>
    <n v="0.005730081300813011"/>
    <s v="No"/>
    <d v="2021-06-18T00:00:00"/>
    <n v="90"/>
  </r>
  <r>
    <m/>
    <s v="Multi"/>
    <s v="State"/>
    <s v="Fee Simple"/>
    <s v="2 MacArthur Pl"/>
    <s v="Santa Ana"/>
    <s v="CA"/>
    <n v="2.83"/>
    <n v="2001"/>
    <n v="167512"/>
    <n v="208142"/>
    <n v="0.804796725312527"/>
    <m/>
    <s v=" "/>
    <n v="5218344.954504"/>
    <n v="25.07108106246697"/>
    <m/>
    <d v="2039-05-31T00:00:00"/>
    <d v="2039-05-31T00:00:00"/>
    <n v="17.71506849315069"/>
    <n v="17.71506849315069"/>
    <s v="Full Service"/>
    <m/>
    <m/>
    <n v="99000000"/>
    <n v="475.6368248599514"/>
    <n v="0.052710555096"/>
    <m/>
    <d v="2021-09-16T00:00:00"/>
    <x v="386"/>
    <s v="C&amp;W; Flood"/>
    <x v="1"/>
    <s v="IL"/>
    <s v="Private"/>
    <m/>
    <m/>
    <m/>
    <s v=" "/>
    <s v=" "/>
    <m/>
    <s v=" "/>
    <s v=" "/>
    <s v=" "/>
    <m/>
    <s v=" "/>
  </r>
  <r>
    <s v="LTX17559"/>
    <s v="SSA"/>
    <s v="Federal"/>
    <s v="Fee Simple"/>
    <s v="5414 Aldine Mail Rd"/>
    <s v="Houston"/>
    <s v="TX"/>
    <n v="2.19"/>
    <n v="2001"/>
    <n v="21019"/>
    <n v="21019"/>
    <n v="1"/>
    <n v="598091"/>
    <n v="28.45477900946763"/>
    <m/>
    <s v=" "/>
    <d v="2020-02-22T00:00:00"/>
    <d v="2035-02-21T00:00:00"/>
    <d v="2030-02-21T00:00:00"/>
    <n v="13.45753424657534"/>
    <n v="8.454794520547946"/>
    <s v="Modified Gross"/>
    <s v="None"/>
    <s v="None"/>
    <m/>
    <s v=" "/>
    <s v=" "/>
    <m/>
    <d v="2021-09-10T00:00:00"/>
    <x v="387"/>
    <s v="NAI; Haro"/>
    <x v="54"/>
    <s v="NC"/>
    <s v="REIT"/>
    <s v="MSP; Bucher"/>
    <m/>
    <m/>
    <s v=" "/>
    <s v=" "/>
    <m/>
    <s v=" "/>
    <s v=" "/>
    <s v=" "/>
    <m/>
    <s v=" "/>
  </r>
  <r>
    <m/>
    <s v="DARPA"/>
    <s v="Federal"/>
    <s v="Fee Simple"/>
    <s v="675 N Randolph St"/>
    <s v="Arlington"/>
    <s v="VA"/>
    <n v="1.95"/>
    <n v="2012"/>
    <n v="352740"/>
    <n v="352740"/>
    <n v="1"/>
    <m/>
    <s v=" "/>
    <m/>
    <s v=" "/>
    <m/>
    <d v="2026-12-31T00:00:00"/>
    <d v="2026-12-31T00:00:00"/>
    <n v="5.312328767123287"/>
    <n v="5.312328767123287"/>
    <s v="Modified Gross"/>
    <s v="None"/>
    <s v="None"/>
    <n v="196534947"/>
    <n v="557.1666014628338"/>
    <s v=" "/>
    <m/>
    <d v="2021-09-09T00:00:00"/>
    <x v="388"/>
    <m/>
    <x v="1"/>
    <s v="IL"/>
    <s v="Private"/>
    <m/>
    <m/>
    <m/>
    <s v=" "/>
    <s v=" "/>
    <m/>
    <s v=" "/>
    <s v=" "/>
    <s v=" "/>
    <m/>
    <s v=" "/>
  </r>
  <r>
    <s v="LCO00717"/>
    <s v="ICE"/>
    <s v="Federal"/>
    <s v="Fee Simple"/>
    <s v="799 Tech Center Dr"/>
    <s v="Durango"/>
    <s v="CO"/>
    <n v="3.6"/>
    <n v="2002"/>
    <n v="7132"/>
    <n v="13166"/>
    <n v="0.5416983138386754"/>
    <n v="161311.9"/>
    <n v="22.61804542905216"/>
    <m/>
    <s v=" "/>
    <d v="2021-06-10T00:00:00"/>
    <d v="2036-06-09T00:00:00"/>
    <d v="2031-06-10T00:00:00"/>
    <n v="14.76438356164384"/>
    <n v="9.761643835616438"/>
    <s v="Modified Gross"/>
    <s v="None"/>
    <s v="None"/>
    <n v="2195000"/>
    <n v="166.7173021418806"/>
    <s v=" "/>
    <m/>
    <d v="2021-09-07T00:00:00"/>
    <x v="389"/>
    <s v="CB; Sieger"/>
    <x v="277"/>
    <s v="AL"/>
    <s v="Private"/>
    <m/>
    <m/>
    <m/>
    <s v=" "/>
    <s v=" "/>
    <m/>
    <s v=" "/>
    <s v=" "/>
    <s v=" "/>
    <m/>
    <s v=" "/>
  </r>
  <r>
    <s v="LTN62180"/>
    <s v="SSA"/>
    <s v="Federal"/>
    <s v="Fee Simple"/>
    <s v="1070 Vendall Rd"/>
    <s v="Dyersburg"/>
    <s v="TN"/>
    <n v="1.02"/>
    <n v="2002"/>
    <n v="9568"/>
    <n v="9568"/>
    <n v="1"/>
    <n v="165921.4"/>
    <n v="17.34128344481605"/>
    <n v="82000"/>
    <n v="8.570234113712374"/>
    <d v="2013-06-02T00:00:00"/>
    <d v="2023-06-01T00:00:00"/>
    <d v="2018-06-02T00:00:00"/>
    <n v="1.731506849315068"/>
    <n v="-3.268493150684932"/>
    <s v="Modified Gross"/>
    <s v="None"/>
    <s v="None"/>
    <n v="1025000"/>
    <n v="107.1279264214047"/>
    <n v="0.08"/>
    <m/>
    <d v="2021-09-07T00:00:00"/>
    <x v="390"/>
    <s v="M&amp;M; Fenn"/>
    <x v="62"/>
    <s v="IL"/>
    <s v="Private"/>
    <s v="M&amp;M; Patel"/>
    <m/>
    <n v="1068294"/>
    <n v="0.07675789623455716"/>
    <n v="0.9594737029319644"/>
    <n v="1068294"/>
    <n v="0.07675789623455716"/>
    <n v="0.003242103765442844"/>
    <s v="No"/>
    <d v="2021-03-07T00:00:00"/>
    <n v="184"/>
  </r>
  <r>
    <s v="LTX00257"/>
    <s v="SSA"/>
    <s v="Federal"/>
    <s v="Fee Simple"/>
    <s v="702 E Denman Ave"/>
    <s v="Lufkin"/>
    <s v="TX"/>
    <n v="2.76"/>
    <n v="2004"/>
    <n v="12804"/>
    <n v="12804"/>
    <n v="1"/>
    <n v="287632.31"/>
    <n v="22.46425413933146"/>
    <n v="190897.7888068961"/>
    <n v="14.90923061597126"/>
    <d v="2019-12-06T00:00:00"/>
    <d v="2034-12-05T00:00:00"/>
    <d v="2024-12-05T00:00:00"/>
    <n v="13.25205479452055"/>
    <n v="3.246575342465754"/>
    <s v="Modified Gross"/>
    <s v="Drops after 5"/>
    <s v="None"/>
    <n v="2086935"/>
    <n v="162.9908622305529"/>
    <n v="0.09147280044989234"/>
    <m/>
    <d v="2021-09-07T00:00:00"/>
    <x v="391"/>
    <s v="AY; Betts"/>
    <x v="116"/>
    <s v="KY"/>
    <s v="Private"/>
    <m/>
    <m/>
    <n v="2100000"/>
    <n v="0.0909037089556648"/>
    <n v="0.9937785714285714"/>
    <n v="2100000"/>
    <n v="0.0909037089556648"/>
    <n v="0.0005690914942275416"/>
    <s v="No"/>
    <m/>
    <s v=" "/>
  </r>
  <r>
    <m/>
    <s v="Multi"/>
    <s v="Municipal, State &amp; Federal"/>
    <s v="Fee Simple"/>
    <s v="6800 Burleson Rd"/>
    <s v="Austin"/>
    <s v="TX"/>
    <n v="21.07"/>
    <n v="1986"/>
    <n v="477865"/>
    <n v="558289"/>
    <n v="0.8559455765741399"/>
    <m/>
    <s v=" "/>
    <n v="12880000"/>
    <n v="23.07048858207846"/>
    <m/>
    <m/>
    <m/>
    <s v=" "/>
    <s v=" "/>
    <m/>
    <m/>
    <m/>
    <n v="200000000"/>
    <n v="358.2374003428332"/>
    <n v="0.0644"/>
    <m/>
    <d v="2021-09-03T00:00:00"/>
    <x v="392"/>
    <m/>
    <x v="1"/>
    <s v="IL"/>
    <s v="Private"/>
    <m/>
    <m/>
    <m/>
    <s v=" "/>
    <s v=" "/>
    <m/>
    <s v=" "/>
    <s v=" "/>
    <s v=" "/>
    <m/>
    <s v=" "/>
  </r>
  <r>
    <m/>
    <s v="Tax Collector"/>
    <s v="State"/>
    <s v="Fee Simple"/>
    <s v="6050 Wooden Pine"/>
    <s v="Orlando"/>
    <s v="FL"/>
    <n v="3.88"/>
    <n v="2020"/>
    <n v="23505"/>
    <n v="23505"/>
    <n v="1"/>
    <m/>
    <s v=" "/>
    <n v="530961"/>
    <n v="22.58927887683472"/>
    <m/>
    <d v="2032-02-28T00:00:00"/>
    <d v="2032-02-28T00:00:00"/>
    <n v="10.4958904109589"/>
    <n v="10.4958904109589"/>
    <s v="NNN"/>
    <s v="3% annually"/>
    <s v="4, 5 year"/>
    <n v="10500000"/>
    <n v="446.7134652201659"/>
    <n v="0.05056771428571429"/>
    <m/>
    <d v="2021-09-02T00:00:00"/>
    <x v="393"/>
    <s v="Colliers; Rossi"/>
    <x v="1"/>
    <s v="IL"/>
    <s v="Private"/>
    <m/>
    <m/>
    <m/>
    <s v=" "/>
    <s v=" "/>
    <m/>
    <s v=" "/>
    <s v=" "/>
    <s v=" "/>
    <m/>
    <s v=" "/>
  </r>
  <r>
    <s v="LMI17047"/>
    <s v="SSA"/>
    <s v="Federal"/>
    <s v="Fee Simple"/>
    <s v="2163 University Park Dr"/>
    <s v="Okemos"/>
    <s v="MI"/>
    <n v="1.63"/>
    <n v="1990"/>
    <n v="4276"/>
    <n v="17848"/>
    <n v="0.2395786642761094"/>
    <n v="107746.14"/>
    <n v="25.19788119738073"/>
    <m/>
    <s v=" "/>
    <d v="2003-09-10T00:00:00"/>
    <d v="2023-09-09T00:00:00"/>
    <d v="2013-09-10T00:00:00"/>
    <n v="2.021917808219178"/>
    <n v="-7.980821917808219"/>
    <s v="Modified Gross"/>
    <s v="None"/>
    <s v="None"/>
    <n v="1665000"/>
    <n v="93.28776333482743"/>
    <s v=" "/>
    <m/>
    <d v="2021-09-01T00:00:00"/>
    <x v="394"/>
    <s v="CBRE; Miller"/>
    <x v="278"/>
    <s v="MI"/>
    <s v="Private"/>
    <m/>
    <m/>
    <m/>
    <s v=" "/>
    <s v=" "/>
    <m/>
    <s v=" "/>
    <s v=" "/>
    <s v=" "/>
    <m/>
    <s v=" "/>
  </r>
  <r>
    <m/>
    <s v="DFPS"/>
    <s v="State"/>
    <s v="Fee Simple"/>
    <s v="3521 SW 15th Ave"/>
    <s v="Amarillo"/>
    <s v="TX"/>
    <m/>
    <n v="2007"/>
    <n v="29747"/>
    <n v="29747"/>
    <n v="1"/>
    <n v="516217"/>
    <n v="17.3535818738024"/>
    <n v="401240"/>
    <n v="13.48841900023532"/>
    <d v="2007-10-01T00:00:00"/>
    <d v="2028-10-31T00:00:00"/>
    <d v="2028-10-31T00:00:00"/>
    <n v="7.172602739726027"/>
    <n v="7.172602739726027"/>
    <s v="Full Service"/>
    <s v="CPI annually"/>
    <s v="1, 5 year"/>
    <n v="5632000"/>
    <n v="189.3300164722493"/>
    <n v="0.07124289772727273"/>
    <m/>
    <d v="2021-08-31T00:00:00"/>
    <x v="213"/>
    <s v="SJC; Altemus"/>
    <x v="214"/>
    <s v="VA"/>
    <s v="Private"/>
    <s v="SJC; Rotunno"/>
    <m/>
    <n v="6025000"/>
    <n v="0.06659585062240664"/>
    <n v="0.9347717842323652"/>
    <n v="6025000"/>
    <n v="0.06659585062240664"/>
    <n v="0.004647047104866089"/>
    <s v="No"/>
    <d v="2021-05-15T00:00:00"/>
    <n v="108"/>
  </r>
  <r>
    <m/>
    <s v="FS"/>
    <s v="Federal"/>
    <s v="Fee Simple"/>
    <s v="595 NW Industrial Way"/>
    <s v="Estacada"/>
    <s v="OR"/>
    <n v="1.76"/>
    <n v="1984"/>
    <n v="15220"/>
    <n v="15220"/>
    <n v="1"/>
    <n v="302508"/>
    <n v="19.87568988173456"/>
    <n v="244106"/>
    <n v="16.03850197109067"/>
    <d v="2012-06-01T00:00:00"/>
    <d v="2019-05-31T00:00:00"/>
    <d v="2017-05-31T00:00:00"/>
    <n v="-2.254794520547945"/>
    <n v="-4.254794520547946"/>
    <s v="Modified Gross"/>
    <s v="None"/>
    <s v="None"/>
    <n v="1750000"/>
    <n v="114.9802890932983"/>
    <n v="0.1394891428571429"/>
    <m/>
    <d v="2021-08-31T00:00:00"/>
    <x v="395"/>
    <s v="MORE Realty; Whiting"/>
    <x v="279"/>
    <s v="OR"/>
    <s v="Private"/>
    <m/>
    <m/>
    <m/>
    <s v=" "/>
    <s v=" "/>
    <m/>
    <s v=" "/>
    <s v=" "/>
    <s v=" "/>
    <m/>
    <s v=" "/>
  </r>
  <r>
    <m/>
    <s v="SSA/OHO"/>
    <s v="Federal"/>
    <s v="Fee Simple"/>
    <s v="1925 Breton"/>
    <s v="Grand Rapids"/>
    <s v="MI"/>
    <n v="2.7"/>
    <n v="1974"/>
    <n v="17580"/>
    <n v="40530"/>
    <n v="0.4337527757216876"/>
    <n v="642410"/>
    <n v="36.54209328782708"/>
    <n v="537039"/>
    <n v="13.25040710584752"/>
    <d v="2019-05-17T00:00:00"/>
    <d v="2029-05-16T00:00:00"/>
    <d v="2029-05-16T00:00:00"/>
    <n v="7.715068493150685"/>
    <n v="7.715068493150685"/>
    <s v="Modified Gross"/>
    <s v="None"/>
    <s v="None"/>
    <n v="8855300"/>
    <n v="218.4875400937577"/>
    <n v="0.06064605377570494"/>
    <m/>
    <d v="2021-08-30T00:00:00"/>
    <x v="396"/>
    <s v="SJC; Briggs"/>
    <x v="280"/>
    <s v="IN"/>
    <s v="Private"/>
    <m/>
    <m/>
    <n v="9300000"/>
    <n v="0.05774612903225806"/>
    <n v="0.9521827956989247"/>
    <n v="9300000"/>
    <n v="0.05774612903225806"/>
    <n v="0.002899924743446879"/>
    <s v="No"/>
    <d v="2020-08-31T00:00:00"/>
    <n v="364"/>
  </r>
  <r>
    <m/>
    <s v="SSA"/>
    <s v="Federal"/>
    <s v="Fee Simple"/>
    <s v="4701 Old Wake Forest Rd"/>
    <s v="Raleigh"/>
    <s v="NC"/>
    <n v="2"/>
    <n v="2003"/>
    <n v="15800"/>
    <n v="15800"/>
    <n v="1"/>
    <m/>
    <s v=" "/>
    <m/>
    <s v=" "/>
    <m/>
    <d v="2020-09-30T00:00:00"/>
    <d v="2015-09-30T00:00:00"/>
    <n v="-0.9068493150684932"/>
    <n v="-5.912328767123288"/>
    <s v="Modified Gross"/>
    <s v="None"/>
    <s v="None"/>
    <n v="2790000"/>
    <n v="176.5822784810127"/>
    <s v=" "/>
    <m/>
    <d v="2021-08-27T00:00:00"/>
    <x v="397"/>
    <s v="CRE; Nealy"/>
    <x v="281"/>
    <s v="CA"/>
    <s v="User/Owner"/>
    <s v="AY; Booth"/>
    <m/>
    <n v="2950000"/>
    <s v=" "/>
    <n v="0.9457627118644067"/>
    <n v="2950000"/>
    <s v=" "/>
    <s v=" "/>
    <s v="No"/>
    <d v="2021-02-10T00:00:00"/>
    <n v="198"/>
  </r>
  <r>
    <s v="LTN00816"/>
    <s v="SSA"/>
    <s v="Federal"/>
    <s v="Fee Simple"/>
    <s v="661 Mulberry Ave"/>
    <s v="Selmer"/>
    <s v="TN"/>
    <n v="1.34"/>
    <n v="2007"/>
    <n v="7627"/>
    <n v="7627"/>
    <n v="1"/>
    <n v="207825.39"/>
    <n v="27.24864166775928"/>
    <n v="84735.36"/>
    <n v="11.1099200209781"/>
    <d v="2018-02-01T00:00:00"/>
    <d v="2030-09-30T00:00:00"/>
    <d v="2023-12-31T00:00:00"/>
    <n v="9.098630136986301"/>
    <n v="2.345205479452055"/>
    <s v="Modified Gross"/>
    <s v="None"/>
    <s v="None"/>
    <n v="1353600"/>
    <n v="177.4747607185001"/>
    <n v="0.0626"/>
    <m/>
    <d v="2021-08-27T00:00:00"/>
    <x v="398"/>
    <s v="M&amp;M; Fenn"/>
    <x v="251"/>
    <s v="GA"/>
    <s v="Private"/>
    <m/>
    <m/>
    <n v="1474704"/>
    <n v="0.05745923249682648"/>
    <n v="0.9178791133678351"/>
    <n v="1474704"/>
    <n v="0.05745923249682648"/>
    <n v="0.005140767503173521"/>
    <s v="No"/>
    <d v="2020-12-02T00:00:00"/>
    <n v="268"/>
  </r>
  <r>
    <s v="LSD14846"/>
    <s v="AOC/Courthouse"/>
    <s v="Federal"/>
    <s v="Fee Simple"/>
    <s v="102 4th Ave SE"/>
    <s v="Aberdeen"/>
    <s v="SC"/>
    <n v="2.07"/>
    <n v="1937"/>
    <n v="10940"/>
    <n v="53009"/>
    <n v="0.2063800486709804"/>
    <n v="175706.66"/>
    <n v="16.0609378427788"/>
    <m/>
    <s v=" "/>
    <d v="2015-05-05T00:00:00"/>
    <d v="2025-05-04T00:00:00"/>
    <d v="2020-05-04T00:00:00"/>
    <n v="3.690410958904109"/>
    <n v="-1.312328767123288"/>
    <s v="Modified Gross"/>
    <s v="None"/>
    <s v="None"/>
    <m/>
    <s v=" "/>
    <s v=" "/>
    <m/>
    <d v="2021-08-26T00:00:00"/>
    <x v="399"/>
    <m/>
    <x v="282"/>
    <m/>
    <m/>
    <m/>
    <m/>
    <m/>
    <s v=" "/>
    <s v=" "/>
    <m/>
    <s v=" "/>
    <s v=" "/>
    <s v=" "/>
    <m/>
    <s v=" "/>
  </r>
  <r>
    <s v="LFL00547"/>
    <s v="VA/Sabil Clinic"/>
    <s v="Federal"/>
    <s v="Fee Simple"/>
    <s v="9208-9210 King Palm Dr"/>
    <s v="Tampa"/>
    <s v="FL"/>
    <n v="0.82"/>
    <n v="2019"/>
    <n v="32256"/>
    <n v="44000"/>
    <n v="0.7330909090909091"/>
    <n v="1065827.69"/>
    <n v="33.04277312748016"/>
    <m/>
    <s v=" "/>
    <d v="2019-03-18T00:00:00"/>
    <d v="2034-03-17T00:00:00"/>
    <d v="2034-03-17T00:00:00"/>
    <n v="12.56438356164383"/>
    <n v="12.56438356164383"/>
    <s v="Modified Gross"/>
    <s v="None"/>
    <s v="None"/>
    <n v="17000000"/>
    <n v="386.3636363636364"/>
    <s v=" "/>
    <m/>
    <d v="2021-08-26T00:00:00"/>
    <x v="77"/>
    <m/>
    <x v="1"/>
    <s v="IL"/>
    <s v="Private"/>
    <m/>
    <m/>
    <m/>
    <s v=" "/>
    <s v=" "/>
    <m/>
    <s v=" "/>
    <s v=" "/>
    <s v=" "/>
    <m/>
    <s v=" "/>
  </r>
  <r>
    <m/>
    <s v="FBI"/>
    <s v="Federal"/>
    <s v="Fee Simple"/>
    <s v="Portfolio of 13"/>
    <s v="Woodbridge"/>
    <s v="VA"/>
    <n v="40.52"/>
    <m/>
    <n v="83333"/>
    <n v="748861"/>
    <n v="0.111279663382123"/>
    <m/>
    <s v=" "/>
    <m/>
    <s v=" "/>
    <m/>
    <d v="2031-08-01T00:00:00"/>
    <d v="2031-08-01T00:00:00"/>
    <n v="9.93972602739726"/>
    <n v="9.93972602739726"/>
    <s v="Modified Gross"/>
    <s v="None"/>
    <s v="None"/>
    <n v="104200000"/>
    <n v="139.1446476715973"/>
    <s v=" "/>
    <m/>
    <d v="2021-08-25T00:00:00"/>
    <x v="400"/>
    <s v="TW; Trainor"/>
    <x v="283"/>
    <s v="VA"/>
    <s v="Private"/>
    <m/>
    <m/>
    <m/>
    <s v=" "/>
    <s v=" "/>
    <m/>
    <s v=" "/>
    <s v=" "/>
    <s v=" "/>
    <m/>
    <s v=" "/>
  </r>
  <r>
    <m/>
    <s v="HHS"/>
    <s v="State"/>
    <s v="Fee Simple"/>
    <s v="173 Wildcat Dr"/>
    <s v="Del Rio"/>
    <s v="TX"/>
    <n v="3.41"/>
    <n v="2011"/>
    <n v="13850"/>
    <n v="13850"/>
    <n v="1"/>
    <n v="236973.5"/>
    <n v="17.11"/>
    <n v="219674"/>
    <n v="15.86093862815884"/>
    <d v="2011-07-01T00:00:00"/>
    <d v="2027-08-31T00:00:00"/>
    <d v="2027-08-31T00:00:00"/>
    <n v="6.032876712328767"/>
    <n v="6.032876712328767"/>
    <s v="Full Service"/>
    <s v="CPI annually"/>
    <s v="None"/>
    <n v="3150000"/>
    <n v="227.4368231046931"/>
    <n v="0.06973777777777777"/>
    <m/>
    <d v="2021-08-20T00:00:00"/>
    <x v="401"/>
    <s v="SJC; Corriston"/>
    <x v="206"/>
    <s v="TX"/>
    <s v="Private"/>
    <m/>
    <m/>
    <m/>
    <s v=" "/>
    <s v=" "/>
    <m/>
    <s v=" "/>
    <s v=" "/>
    <s v=" "/>
    <m/>
    <s v=" "/>
  </r>
  <r>
    <m/>
    <s v="AG"/>
    <s v="State"/>
    <s v="Fee Simple"/>
    <s v="3019 Saulsbury Rd"/>
    <s v="Temple"/>
    <s v="TX"/>
    <n v="1.48"/>
    <n v="2015"/>
    <n v="9159"/>
    <n v="9159"/>
    <n v="1"/>
    <m/>
    <s v=" "/>
    <n v="121688"/>
    <n v="13.28616661207555"/>
    <d v="2014-11-01T00:00:00"/>
    <d v="2024-10-31T00:00:00"/>
    <d v="2024-10-31T00:00:00"/>
    <n v="3.2"/>
    <n v="3.2"/>
    <s v="Full Service"/>
    <s v="CPI annually"/>
    <s v="None"/>
    <n v="1525000"/>
    <n v="166.5028933289661"/>
    <n v="0.07979540983606558"/>
    <m/>
    <d v="2021-08-20T00:00:00"/>
    <x v="401"/>
    <s v="SJC; Corriston"/>
    <x v="206"/>
    <s v="TX"/>
    <s v="Private"/>
    <m/>
    <m/>
    <m/>
    <s v=" "/>
    <s v=" "/>
    <m/>
    <s v=" "/>
    <s v=" "/>
    <s v=" "/>
    <m/>
    <s v=" "/>
  </r>
  <r>
    <m/>
    <s v="AG"/>
    <s v="State"/>
    <s v="Fee Simple"/>
    <s v="1901 Garner Field Rd"/>
    <s v="Uvalde"/>
    <s v="TX"/>
    <n v="0"/>
    <n v="1995"/>
    <n v="8233"/>
    <n v="8233"/>
    <n v="1"/>
    <n v="121259.75"/>
    <n v="14.72850115389287"/>
    <n v="88296"/>
    <n v="10.7246447224584"/>
    <d v="2019-09-01T00:00:00"/>
    <d v="2024-08-31T00:00:00"/>
    <d v="2024-08-31T00:00:00"/>
    <n v="3.032876712328767"/>
    <n v="3.032876712328767"/>
    <s v="Full Service"/>
    <s v="CPI annually"/>
    <s v="None"/>
    <n v="1120000"/>
    <n v="136.0378962711041"/>
    <n v="0.07883571428571429"/>
    <m/>
    <d v="2021-08-20T00:00:00"/>
    <x v="401"/>
    <s v="SJC; Corriston"/>
    <x v="206"/>
    <s v="TX"/>
    <s v="Private"/>
    <m/>
    <m/>
    <m/>
    <s v=" "/>
    <s v=" "/>
    <m/>
    <s v=" "/>
    <s v=" "/>
    <s v=" "/>
    <m/>
    <s v=" "/>
  </r>
  <r>
    <m/>
    <s v="DHS/PSS"/>
    <s v="State"/>
    <s v="Fee Simple"/>
    <s v="2110-2120 Washington Blvd"/>
    <s v="Arlington"/>
    <s v="VA"/>
    <n v="5.83"/>
    <n v="1987"/>
    <n v="361830.7"/>
    <n v="369215"/>
    <n v="0.98"/>
    <m/>
    <s v=" "/>
    <n v="10694429.7408"/>
    <n v="28.96531760843952"/>
    <d v="2013-01-01T00:00:00"/>
    <d v="2032-12-31T00:00:00"/>
    <d v="2032-12-31T00:00:00"/>
    <n v="11.37534246575343"/>
    <n v="11.37534246575343"/>
    <s v="NNN"/>
    <s v="2% annually"/>
    <s v="None"/>
    <n v="204411401"/>
    <n v="553.6378559917663"/>
    <n v="0.05231816664081276"/>
    <m/>
    <d v="2021-08-19T00:00:00"/>
    <x v="402"/>
    <s v="Eastdil"/>
    <x v="1"/>
    <s v="IL"/>
    <s v="Private"/>
    <m/>
    <m/>
    <m/>
    <s v=" "/>
    <s v=" "/>
    <m/>
    <s v=" "/>
    <s v=" "/>
    <s v=" "/>
    <m/>
    <s v=" "/>
  </r>
  <r>
    <m/>
    <s v="AOC"/>
    <s v="Federal"/>
    <s v="Fee Simple"/>
    <s v="200 Jefferson Ave"/>
    <s v="Memphis"/>
    <s v="TN"/>
    <n v="0.49"/>
    <n v="1985"/>
    <n v="90690"/>
    <n v="341473"/>
    <n v="0.2655846875155576"/>
    <m/>
    <s v=" "/>
    <n v="349773"/>
    <n v="1.024306460540072"/>
    <d v="2015-08-15T00:00:00"/>
    <d v="2025-08-14T00:00:00"/>
    <d v="2020-08-15T00:00:00"/>
    <n v="3.994520547945205"/>
    <n v="-1.005479452054794"/>
    <s v="Modified Gross"/>
    <s v="None"/>
    <s v="None"/>
    <n v="15270000"/>
    <n v="44.71803041528906"/>
    <n v="0.02290589390962672"/>
    <m/>
    <d v="2021-08-17T00:00:00"/>
    <x v="247"/>
    <s v="Colliers; Riley"/>
    <x v="284"/>
    <s v="FL"/>
    <s v="Private"/>
    <m/>
    <m/>
    <m/>
    <s v=" "/>
    <s v=" "/>
    <m/>
    <s v=" "/>
    <s v=" "/>
    <s v=" "/>
    <m/>
    <s v=" "/>
  </r>
  <r>
    <m/>
    <s v="DCFS"/>
    <s v="State"/>
    <s v="Fee Simple"/>
    <s v="2001 NE Jefferson St"/>
    <s v="Peoria"/>
    <s v="IL"/>
    <n v="0"/>
    <m/>
    <n v="22000"/>
    <n v="22000"/>
    <n v="1"/>
    <m/>
    <s v=" "/>
    <n v="199540"/>
    <n v="9.07"/>
    <d v="2017-11-01T00:00:00"/>
    <d v="2022-10-31T00:00:00"/>
    <d v="2022-10-31T00:00:00"/>
    <n v="1.205479452054794"/>
    <n v="1.205479452054794"/>
    <s v="Full Service"/>
    <s v="CPI annually"/>
    <s v="None"/>
    <n v="2000000"/>
    <n v="90.90909090909091"/>
    <n v="0.09977"/>
    <m/>
    <d v="2021-08-17T00:00:00"/>
    <x v="403"/>
    <s v="SJC; Corriston"/>
    <x v="285"/>
    <s v="IL"/>
    <s v="Private"/>
    <m/>
    <m/>
    <m/>
    <s v=" "/>
    <s v=" "/>
    <m/>
    <s v=" "/>
    <s v=" "/>
    <s v=" "/>
    <m/>
    <s v=" "/>
  </r>
  <r>
    <m/>
    <s v="FS"/>
    <s v="Federal"/>
    <s v="Fee Simple"/>
    <s v="32588 CA-190"/>
    <s v="Springville"/>
    <s v="CA"/>
    <n v="4.24"/>
    <n v="1971"/>
    <n v="9004"/>
    <n v="9004"/>
    <n v="1"/>
    <m/>
    <s v=" "/>
    <n v="201966"/>
    <n v="22.43069746779209"/>
    <d v="2008-02-01T00:00:00"/>
    <d v="2027-01-31T00:00:00"/>
    <d v="2022-01-31T00:00:00"/>
    <n v="5.46027397260274"/>
    <n v="0.4575342465753425"/>
    <s v="Modified Gross"/>
    <s v="None"/>
    <s v="1, 5 year"/>
    <n v="2666666.666666667"/>
    <n v="296.1646675551606"/>
    <n v="0.07573725000000001"/>
    <m/>
    <d v="2021-08-17T00:00:00"/>
    <x v="404"/>
    <s v="NAI; Millies"/>
    <x v="286"/>
    <s v="CA"/>
    <s v="Private"/>
    <m/>
    <m/>
    <n v="3060099"/>
    <n v="0.0659998254958418"/>
    <n v="0.8714315016169956"/>
    <n v="3060099"/>
    <n v="0.0659998254958418"/>
    <n v="0.00973742450415821"/>
    <s v="No"/>
    <d v="2017-10-01T00:00:00"/>
    <n v="1416"/>
  </r>
  <r>
    <m/>
    <s v="VA"/>
    <s v="Federal"/>
    <s v="Fee Simple"/>
    <s v="8787 Brookpark Rd"/>
    <s v="Cleveland"/>
    <s v="OH"/>
    <n v="11.85"/>
    <n v="2012"/>
    <n v="75000"/>
    <n v="75000"/>
    <n v="1"/>
    <m/>
    <s v=" "/>
    <n v="2041017.34375"/>
    <n v="27.21356458333333"/>
    <d v="2012-01-01T00:00:00"/>
    <d v="2032-01-01T00:00:00"/>
    <d v="2032-01-01T00:00:00"/>
    <n v="10.39178082191781"/>
    <n v="10.39178082191781"/>
    <s v="Modified Gross"/>
    <s v="None"/>
    <s v="None"/>
    <n v="33514721"/>
    <n v="446.8629466666667"/>
    <n v="0.0608991297809103"/>
    <m/>
    <d v="2021-08-13T00:00:00"/>
    <x v="405"/>
    <s v="Matthews"/>
    <x v="1"/>
    <s v="IL"/>
    <s v="Private"/>
    <m/>
    <m/>
    <m/>
    <s v=" "/>
    <s v=" "/>
    <m/>
    <s v=" "/>
    <s v=" "/>
    <s v=" "/>
    <m/>
    <s v=" "/>
  </r>
  <r>
    <m/>
    <s v="Rev."/>
    <s v="State"/>
    <s v="Fee Simple"/>
    <s v="2810 Richbourg Ln"/>
    <s v="Crestview"/>
    <s v="FL"/>
    <n v="2.45"/>
    <n v="2011"/>
    <n v="12144"/>
    <n v="12144"/>
    <n v="1"/>
    <n v="309186.24"/>
    <n v="25.46"/>
    <n v="204027"/>
    <n v="16.80064229249012"/>
    <d v="2011-11-01T00:00:00"/>
    <d v="2026-10-31T00:00:00"/>
    <d v="2026-10-31T00:00:00"/>
    <n v="5.219178082191781"/>
    <n v="5.219178082191781"/>
    <s v="Full Service"/>
    <s v="None"/>
    <s v="None"/>
    <n v="1925000"/>
    <n v="158.5144927536232"/>
    <n v="0.1059880519480519"/>
    <m/>
    <d v="2021-08-13T00:00:00"/>
    <x v="406"/>
    <s v="Newmark; Tabbi &amp; Gallas"/>
    <x v="62"/>
    <s v="IL"/>
    <s v="Private"/>
    <m/>
    <m/>
    <m/>
    <s v=" "/>
    <s v=" "/>
    <m/>
    <s v=" "/>
    <s v=" "/>
    <s v=" "/>
    <m/>
    <s v=" "/>
  </r>
  <r>
    <m/>
    <s v="DHHS"/>
    <s v="State"/>
    <s v="Fee Simple"/>
    <s v="26452 E Lynn R"/>
    <s v="Wayne"/>
    <s v="WV"/>
    <n v="1.93"/>
    <n v="1976"/>
    <n v="15361"/>
    <n v="15361"/>
    <n v="1"/>
    <n v="230415"/>
    <n v="15"/>
    <n v="187689"/>
    <n v="12.21854045960549"/>
    <d v="2013-10-01T00:00:00"/>
    <d v="2023-09-30T00:00:00"/>
    <d v="2013-10-31T00:00:00"/>
    <n v="2.131506849315068"/>
    <n v="-7.789041095890411"/>
    <s v="Modified Gross"/>
    <s v="None"/>
    <s v="None"/>
    <m/>
    <s v=" "/>
    <s v=" "/>
    <m/>
    <d v="2021-08-13T00:00:00"/>
    <x v="407"/>
    <s v="M&amp;M; Ficke"/>
    <x v="0"/>
    <m/>
    <m/>
    <m/>
    <m/>
    <n v="1877000"/>
    <n v="0.09999413958444327"/>
    <s v=" "/>
    <n v="1877000"/>
    <n v="0.09999413958444327"/>
    <s v=" "/>
    <s v="No"/>
    <d v="2020-09-10T00:00:00"/>
    <n v="337"/>
  </r>
  <r>
    <s v="LVA12190"/>
    <s v="ICE"/>
    <s v="Federal"/>
    <s v="Fee Simple"/>
    <s v="282 Neff Ave"/>
    <s v="Harrisonburg"/>
    <s v="VA"/>
    <n v="0"/>
    <n v="2013"/>
    <n v="6916"/>
    <n v="6916"/>
    <n v="1"/>
    <n v="542796.5"/>
    <n v="78.48416714864084"/>
    <n v="307160.0000000001"/>
    <n v="44.41295546558705"/>
    <d v="2020-08-01T00:00:00"/>
    <d v="2035-07-31T00:00:00"/>
    <d v="2035-07-31T00:00:00"/>
    <n v="13.97534246575342"/>
    <n v="13.97534246575342"/>
    <s v="Modified Gross"/>
    <s v="None"/>
    <s v="None"/>
    <n v="4388000"/>
    <n v="634.4707923655292"/>
    <n v="0.07000000000000001"/>
    <m/>
    <d v="2021-08-12T00:00:00"/>
    <x v="408"/>
    <s v="SJC; Hellwig"/>
    <x v="287"/>
    <s v="MD"/>
    <s v="Private"/>
    <m/>
    <m/>
    <n v="4700000"/>
    <n v="0.06535319148936171"/>
    <n v="0.9336170212765957"/>
    <n v="4700000"/>
    <n v="0.06535319148936171"/>
    <n v="0.004646808510638298"/>
    <s v="No"/>
    <m/>
    <s v=" "/>
  </r>
  <r>
    <m/>
    <s v="USPS"/>
    <s v="Federal"/>
    <s v="Fee Simple"/>
    <s v="3400 Strong Ave"/>
    <s v="Kansas City"/>
    <s v="KS"/>
    <n v="0.84"/>
    <n v="1967"/>
    <n v="7230"/>
    <n v="7230"/>
    <n v="1"/>
    <n v="38380"/>
    <n v="5.308437067773167"/>
    <n v="38380"/>
    <n v="5.308437067773167"/>
    <m/>
    <d v="2022-09-30T00:00:00"/>
    <d v="2022-09-30T00:00:00"/>
    <n v="1.134246575342466"/>
    <n v="1.134246575342466"/>
    <s v="Rider"/>
    <s v="10% in option"/>
    <s v="1, 5yr"/>
    <n v="450000"/>
    <n v="62.24066390041494"/>
    <n v="0.08528888888888889"/>
    <m/>
    <d v="2021-08-12T00:00:00"/>
    <x v="409"/>
    <s v="Block"/>
    <x v="288"/>
    <s v="KS"/>
    <s v="Private"/>
    <m/>
    <m/>
    <n v="500000"/>
    <n v="0.07675999999999999"/>
    <n v="0.9"/>
    <n v="500000"/>
    <n v="0.07675999999999999"/>
    <n v="0.008528888888888891"/>
    <s v="No"/>
    <d v="2020-01-16T00:00:00"/>
    <n v="574"/>
  </r>
  <r>
    <m/>
    <s v="USPS"/>
    <s v="Federal"/>
    <s v="Fee Simple"/>
    <s v="5530 Dunsmuir Ave"/>
    <s v="Dunsmuir"/>
    <s v="CA"/>
    <n v="0.21"/>
    <n v="1958"/>
    <n v="4851"/>
    <n v="4851"/>
    <n v="1"/>
    <n v="58212"/>
    <n v="12"/>
    <n v="56100"/>
    <n v="11.56462585034014"/>
    <m/>
    <d v="2023-03-31T00:00:00"/>
    <d v="2023-03-31T00:00:00"/>
    <n v="1.635616438356164"/>
    <n v="1.635616438356164"/>
    <s v="Rider"/>
    <s v="10% at option"/>
    <s v="1, 5 yr"/>
    <n v="812000"/>
    <n v="167.3881673881674"/>
    <n v="0.06908866995073891"/>
    <m/>
    <d v="2021-08-11T00:00:00"/>
    <x v="410"/>
    <s v="SVN; King"/>
    <x v="289"/>
    <s v="CA"/>
    <s v="Private"/>
    <m/>
    <m/>
    <n v="850000"/>
    <n v="0.066"/>
    <n v="0.9552941176470588"/>
    <n v="850000"/>
    <n v="0.066"/>
    <n v="0.003088669950738906"/>
    <s v="No"/>
    <d v="2021-01-19T00:00:00"/>
    <n v="204"/>
  </r>
  <r>
    <s v="LCA03002"/>
    <s v="FS"/>
    <s v="Federal"/>
    <s v="Fee Simple"/>
    <s v="22830 Forest Hill Rd"/>
    <s v="Forest Hill"/>
    <s v="CA"/>
    <n v="0.83"/>
    <n v="1969"/>
    <n v="6830"/>
    <n v="6830"/>
    <n v="1"/>
    <n v="187660.77"/>
    <n v="27.47595461200585"/>
    <n v="135330"/>
    <n v="19.81405563689605"/>
    <d v="2013-12-01T00:00:00"/>
    <d v="2023-11-30T00:00:00"/>
    <d v="2023-11-30T00:00:00"/>
    <n v="2.32054794520548"/>
    <n v="2.32054794520548"/>
    <s v="Modified Gross"/>
    <s v="None"/>
    <s v="None"/>
    <n v="1625000"/>
    <n v="237.9209370424597"/>
    <n v="0.08328000000000001"/>
    <m/>
    <d v="2021-08-05T00:00:00"/>
    <x v="411"/>
    <s v="Fortis; Bistolarides"/>
    <x v="290"/>
    <s v="CA"/>
    <s v="Private"/>
    <m/>
    <m/>
    <n v="1971000"/>
    <n v="0.06866057838660579"/>
    <n v="0.8244545915778793"/>
    <n v="1971000"/>
    <n v="0.06866057838660579"/>
    <n v="0.01461942161339422"/>
    <s v="No"/>
    <d v="2021-05-13T00:00:00"/>
    <n v="84"/>
  </r>
  <r>
    <s v="LCA03002"/>
    <s v="FS"/>
    <s v="Federal"/>
    <s v="Fee Simple"/>
    <s v="22830 Foresthill Rd"/>
    <s v="Foresthill"/>
    <s v="CA"/>
    <n v="0.83"/>
    <n v="1969"/>
    <n v="6830"/>
    <n v="6830"/>
    <n v="1"/>
    <n v="187660.77"/>
    <n v="27.47595461200585"/>
    <n v="140933"/>
    <n v="20.63440702781845"/>
    <d v="2013-12-01T00:00:00"/>
    <d v="2023-11-30T00:00:00"/>
    <d v="2018-11-30T00:00:00"/>
    <n v="2.32054794520548"/>
    <n v="-2.682191780821918"/>
    <s v="Modified Gross"/>
    <s v="None"/>
    <s v="None"/>
    <n v="1625000"/>
    <n v="237.9209370424597"/>
    <n v="0.086728"/>
    <m/>
    <d v="2021-08-05T00:00:00"/>
    <x v="412"/>
    <s v="Encore; Bistolarides"/>
    <x v="291"/>
    <s v="CA"/>
    <s v="Private"/>
    <m/>
    <m/>
    <n v="1971000"/>
    <n v="0.07150329781836631"/>
    <n v="0.8244545915778793"/>
    <n v="1971000"/>
    <n v="0.07150329781836631"/>
    <n v="0.01522470218163369"/>
    <s v="No"/>
    <d v="2021-05-13T00:00:00"/>
    <n v="84"/>
  </r>
  <r>
    <s v="LLA00496"/>
    <s v="FWS"/>
    <s v="Federal"/>
    <s v="Fee Simple"/>
    <s v="1780 Commercial Dr"/>
    <s v="Port Allen"/>
    <s v="LA"/>
    <n v="1.06"/>
    <n v="1991"/>
    <n v="3113"/>
    <n v="9000"/>
    <n v="0.3458888888888889"/>
    <n v="59209.26"/>
    <n v="19.02"/>
    <m/>
    <s v=" "/>
    <d v="2020-02-01T00:00:00"/>
    <d v="2040-02-01T00:00:00"/>
    <d v="2035-02-01T00:00:00"/>
    <n v="18.5041095890411"/>
    <n v="13.5013698630137"/>
    <s v="Modified Gross"/>
    <s v="None"/>
    <s v="None"/>
    <n v="825000"/>
    <n v="91.66666666666667"/>
    <s v=" "/>
    <m/>
    <d v="2021-08-05T00:00:00"/>
    <x v="413"/>
    <m/>
    <x v="292"/>
    <s v="LA"/>
    <s v="Private"/>
    <m/>
    <m/>
    <m/>
    <s v=" "/>
    <s v=" "/>
    <m/>
    <s v=" "/>
    <s v=" "/>
    <s v=" "/>
    <m/>
    <s v=" "/>
  </r>
  <r>
    <m/>
    <s v="SSA/IRS/USDA"/>
    <s v="Federal"/>
    <s v="Fee Simple"/>
    <s v="30-60 Quaker Ln"/>
    <s v="Warwick"/>
    <s v="RI"/>
    <n v="2.86"/>
    <n v="1978"/>
    <n v="15500"/>
    <n v="54224"/>
    <n v="0.2858512835644733"/>
    <m/>
    <s v=" "/>
    <m/>
    <s v=" "/>
    <m/>
    <m/>
    <m/>
    <s v=" "/>
    <s v=" "/>
    <s v="Modified Gross"/>
    <s v="None"/>
    <s v="None"/>
    <n v="6000000"/>
    <n v="110.6521097668929"/>
    <s v=" "/>
    <m/>
    <d v="2021-08-05T00:00:00"/>
    <x v="414"/>
    <m/>
    <x v="293"/>
    <s v="RI"/>
    <s v="Private"/>
    <m/>
    <m/>
    <m/>
    <s v=" "/>
    <s v=" "/>
    <m/>
    <s v=" "/>
    <s v=" "/>
    <s v=" "/>
    <m/>
    <s v=" "/>
  </r>
  <r>
    <s v="LSC01290"/>
    <s v="SSA"/>
    <s v="Federal"/>
    <s v="Fee Simple"/>
    <s v="292 Professional Park Rd"/>
    <s v="Clinton"/>
    <s v="SC"/>
    <n v="1.11"/>
    <n v="2010"/>
    <n v="5404"/>
    <n v="5404"/>
    <n v="1"/>
    <n v="131425.28"/>
    <n v="24.32"/>
    <n v="76353.3"/>
    <n v="14.1290340488527"/>
    <d v="2021-01-01T00:00:00"/>
    <d v="2035-12-31T00:00:00"/>
    <d v="2030-12-31T00:00:00"/>
    <n v="14.43013698630137"/>
    <n v="9.427397260273972"/>
    <s v="Modified Gross"/>
    <s v="None"/>
    <s v="None"/>
    <n v="1018044"/>
    <n v="188.3871206513693"/>
    <n v="0.075"/>
    <m/>
    <d v="2021-07-30T00:00:00"/>
    <x v="415"/>
    <m/>
    <x v="85"/>
    <s v="NC"/>
    <s v="Private"/>
    <s v="SJC; Hellwig"/>
    <m/>
    <n v="1036088"/>
    <n v="0.07369383681694991"/>
    <n v="0.9825844908926655"/>
    <n v="1036088"/>
    <n v="0.07369383681694991"/>
    <n v="0.001306163183050088"/>
    <s v="No"/>
    <m/>
    <s v=" "/>
  </r>
  <r>
    <m/>
    <s v="USPS"/>
    <s v="Federal"/>
    <s v="Fee Simple"/>
    <s v="120 Nebraska St"/>
    <s v="Ewing"/>
    <s v="NE"/>
    <n v="0.0574"/>
    <n v="1910"/>
    <n v="1150"/>
    <n v="1150"/>
    <n v="1"/>
    <m/>
    <s v=" "/>
    <m/>
    <s v=" "/>
    <m/>
    <m/>
    <m/>
    <s v=" "/>
    <s v=" "/>
    <m/>
    <m/>
    <m/>
    <n v="103439"/>
    <n v="89.94695652173912"/>
    <s v=" "/>
    <m/>
    <d v="2021-07-30T00:00:00"/>
    <x v="8"/>
    <m/>
    <x v="66"/>
    <s v="CA"/>
    <s v="Private"/>
    <m/>
    <m/>
    <m/>
    <s v=" "/>
    <s v=" "/>
    <m/>
    <s v=" "/>
    <s v=" "/>
    <s v=" "/>
    <m/>
    <s v=" "/>
  </r>
  <r>
    <m/>
    <s v="USDA"/>
    <s v="Federal"/>
    <s v="Fee Simple"/>
    <s v="1585 S Plaza Wy"/>
    <s v="Flagstaff"/>
    <s v="AZ"/>
    <n v="2.27"/>
    <n v="1996"/>
    <n v="7553"/>
    <n v="14700"/>
    <n v="0.5138095238095238"/>
    <m/>
    <s v=" "/>
    <n v="190890"/>
    <n v="12.98571428571429"/>
    <d v="2015-09-01T00:00:00"/>
    <d v="2025-08-30T00:00:00"/>
    <d v="2020-08-30T00:00:00"/>
    <n v="4.087671232876712"/>
    <n v="-0.9150684931506849"/>
    <s v="Modified Gross"/>
    <s v="None"/>
    <s v="None"/>
    <n v="2538250"/>
    <n v="172.6700680272109"/>
    <n v="0.07520535802225943"/>
    <m/>
    <d v="2021-07-30T00:00:00"/>
    <x v="416"/>
    <s v="da Vinci Realty"/>
    <x v="294"/>
    <s v="AZ"/>
    <s v="Private"/>
    <m/>
    <m/>
    <n v="2700000"/>
    <n v="0.0707"/>
    <n v="0.9400925925925926"/>
    <n v="2700000"/>
    <n v="0.0707"/>
    <n v="0.004505358022259431"/>
    <s v="No"/>
    <d v="2021-03-05T00:00:00"/>
    <n v="147"/>
  </r>
  <r>
    <m/>
    <s v="VRILS"/>
    <s v="State"/>
    <s v="Fee Simple"/>
    <s v="1261 10th Avenue Ln SE"/>
    <s v="Hickory"/>
    <s v="NC"/>
    <n v="1.6"/>
    <n v="2010"/>
    <n v="8008"/>
    <n v="8008"/>
    <n v="1"/>
    <m/>
    <s v=" "/>
    <n v="115500"/>
    <n v="14.42307692307692"/>
    <m/>
    <d v="2025-06-30T00:00:00"/>
    <d v="2025-06-30T00:00:00"/>
    <n v="3.926027397260274"/>
    <n v="3.926027397260274"/>
    <s v="Full Service"/>
    <s v="None"/>
    <s v="None"/>
    <n v="1387500"/>
    <n v="173.2642357642358"/>
    <n v="0.08324324324324324"/>
    <m/>
    <d v="2021-07-28T00:00:00"/>
    <x v="417"/>
    <s v="M&amp;M"/>
    <x v="295"/>
    <s v="NC"/>
    <s v="Private"/>
    <m/>
    <m/>
    <m/>
    <s v=" "/>
    <s v=" "/>
    <m/>
    <s v=" "/>
    <s v=" "/>
    <s v=" "/>
    <m/>
    <s v=" "/>
  </r>
  <r>
    <s v="LOH18735"/>
    <s v="ICE/NWS/VNA Health"/>
    <s v="Federal"/>
    <s v="Fee Simple"/>
    <s v="925 Keynote Cir"/>
    <s v="Brooklyn Heights"/>
    <s v="OH"/>
    <n v="3.21"/>
    <n v="1982"/>
    <n v="41132"/>
    <n v="61384"/>
    <n v="0.6700768930014336"/>
    <n v="1298040"/>
    <n v="31.55791111543324"/>
    <n v="1546325.134328358"/>
    <n v="25.19101287515245"/>
    <d v="2016-09-01T00:00:00"/>
    <d v="2031-08-31T00:00:00"/>
    <d v="2026-08-31T00:00:00"/>
    <n v="10.1041095890411"/>
    <n v="5.101369863013699"/>
    <s v="Modified Gross"/>
    <s v="None"/>
    <s v="None"/>
    <n v="22450000"/>
    <n v="365.7304835136192"/>
    <n v="0.06887862513712063"/>
    <m/>
    <d v="2021-07-26T00:00:00"/>
    <x v="20"/>
    <m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605 Lincoln St"/>
    <s v="Worcester"/>
    <s v="MA"/>
    <n v="3.41"/>
    <n v="1993"/>
    <n v="29550"/>
    <n v="29550"/>
    <n v="1"/>
    <m/>
    <s v=" "/>
    <m/>
    <s v=" "/>
    <d v="2013-05-01T00:00:00"/>
    <d v="2023-05-01T00:00:00"/>
    <d v="2018-05-01T00:00:00"/>
    <n v="1.764383561643836"/>
    <n v="-3.238356164383561"/>
    <s v="Modified Gross"/>
    <s v="None"/>
    <s v="None"/>
    <n v="6500000"/>
    <n v="219.9661590524535"/>
    <s v=" "/>
    <m/>
    <d v="2021-07-26T00:00:00"/>
    <x v="223"/>
    <s v="KS; Higgins"/>
    <x v="296"/>
    <m/>
    <m/>
    <s v="C&amp;W; Collins"/>
    <m/>
    <m/>
    <s v=" "/>
    <s v=" "/>
    <m/>
    <s v=" "/>
    <s v=" "/>
    <s v=" "/>
    <m/>
    <s v=" "/>
  </r>
  <r>
    <m/>
    <s v="DHCFP/PUC/DHHS"/>
    <s v="State"/>
    <s v="Fee Simple"/>
    <s v="1000-1150 E Williams St"/>
    <s v="Carson City"/>
    <s v="NV"/>
    <n v="6.29"/>
    <m/>
    <n v="101908.8"/>
    <n v="113232"/>
    <n v="0.9"/>
    <m/>
    <s v=" "/>
    <n v="1093300"/>
    <n v="9.655397767415572"/>
    <m/>
    <m/>
    <m/>
    <s v=" "/>
    <s v=" "/>
    <m/>
    <m/>
    <m/>
    <n v="14500000"/>
    <n v="128.0556733078988"/>
    <n v="0.07539999999999999"/>
    <m/>
    <d v="2021-07-21T00:00:00"/>
    <x v="418"/>
    <s v="Logic CRE; Keating"/>
    <x v="1"/>
    <s v="IL"/>
    <s v="Private"/>
    <m/>
    <m/>
    <n v="14500000"/>
    <n v="0.07539999999999999"/>
    <n v="1"/>
    <n v="14500000"/>
    <n v="0.07539999999999999"/>
    <n v="0"/>
    <s v="No"/>
    <d v="2021-02-26T00:00:00"/>
    <n v="145"/>
  </r>
  <r>
    <m/>
    <s v="IRS/DOT"/>
    <s v="State &amp; Federal"/>
    <s v="Fee Simple"/>
    <s v="2062 N US Hwy 1 S"/>
    <s v="Traverse City"/>
    <s v="MI"/>
    <n v="3.8"/>
    <n v="1998"/>
    <n v="15000"/>
    <n v="21669"/>
    <n v="0.6922331441229406"/>
    <m/>
    <s v=" "/>
    <n v="175000"/>
    <n v="8.076053348100974"/>
    <d v="2020-03-01T00:00:00"/>
    <d v="2032-03-31T00:00:00"/>
    <d v="2028-03-31T00:00:00"/>
    <n v="10.7013698630137"/>
    <n v="6.698630136986301"/>
    <s v="Modified Gross"/>
    <s v="None"/>
    <s v="None"/>
    <n v="2500000"/>
    <n v="115.3721906871568"/>
    <n v="0.07000000000000001"/>
    <m/>
    <d v="2021-07-21T00:00:00"/>
    <x v="419"/>
    <s v="Schmuckal Real Estate"/>
    <x v="62"/>
    <s v="IL"/>
    <s v="Private"/>
    <m/>
    <m/>
    <n v="3204600"/>
    <n v="0.054608999563128"/>
    <n v="0.7801285651875429"/>
    <n v="3204600"/>
    <n v="0.054608999563128"/>
    <n v="0.01539100043687201"/>
    <s v="No"/>
    <d v="2021-01-12T00:00:00"/>
    <n v="190"/>
  </r>
  <r>
    <m/>
    <s v="USPS"/>
    <s v="Federal"/>
    <s v="Fee Simple"/>
    <s v="680-684 Lee St"/>
    <s v="Des Plaines"/>
    <s v="IL"/>
    <n v="0.2"/>
    <n v="1921"/>
    <n v="6133"/>
    <n v="6133"/>
    <n v="1"/>
    <n v="145188"/>
    <n v="23.67324311103864"/>
    <n v="95529"/>
    <n v="15.576226968857"/>
    <m/>
    <d v="2026-04-30T00:00:00"/>
    <d v="2026-04-30T00:00:00"/>
    <n v="4.783561643835617"/>
    <n v="4.783561643835617"/>
    <s v="Gross"/>
    <s v="None"/>
    <s v="None"/>
    <m/>
    <s v=" "/>
    <s v=" "/>
    <m/>
    <d v="2021-07-19T00:00:00"/>
    <x v="420"/>
    <s v="TCP; Harrison"/>
    <x v="0"/>
    <m/>
    <m/>
    <m/>
    <m/>
    <n v="1215000"/>
    <n v="0.07862469135802469"/>
    <s v=" "/>
    <n v="1215000"/>
    <n v="0.07862469135802469"/>
    <s v=" "/>
    <s v="No"/>
    <d v="2020-08-24T00:00:00"/>
    <n v="329"/>
  </r>
  <r>
    <m/>
    <s v="AOC"/>
    <s v="Federal"/>
    <s v="Fee Simple"/>
    <s v="7326 College St"/>
    <s v="Irmo"/>
    <s v="SC"/>
    <n v="2"/>
    <n v="2005"/>
    <n v="4858"/>
    <n v="4858"/>
    <n v="1"/>
    <n v="220000"/>
    <n v="45.28612597776863"/>
    <n v="164483"/>
    <n v="33.85817208727872"/>
    <d v="2020-08-10T00:00:00"/>
    <d v="2025-08-31T00:00:00"/>
    <d v="2021-08-31T00:00:00"/>
    <n v="4.134246575342465"/>
    <n v="0.1315068493150685"/>
    <s v="Modified Gross"/>
    <s v="None"/>
    <s v="1, 5 year"/>
    <m/>
    <s v=" "/>
    <s v=" "/>
    <m/>
    <d v="2021-07-14T00:00:00"/>
    <x v="86"/>
    <s v="Colliers: Ficke"/>
    <x v="297"/>
    <s v="MN"/>
    <s v="Private"/>
    <m/>
    <m/>
    <n v="2056000"/>
    <n v="0.08000145914396888"/>
    <s v=" "/>
    <n v="2056000"/>
    <n v="0.08000145914396888"/>
    <s v=" "/>
    <s v="No"/>
    <d v="2020-12-11T00:00:00"/>
    <n v="215"/>
  </r>
  <r>
    <m/>
    <s v="USPS"/>
    <s v="Federal"/>
    <s v="Fee Simple"/>
    <s v="128 S Main St"/>
    <s v="Luck"/>
    <s v="WI"/>
    <n v="0.0956"/>
    <n v="1961"/>
    <n v="1867"/>
    <n v="1867"/>
    <n v="1"/>
    <m/>
    <s v=" "/>
    <m/>
    <s v=" "/>
    <m/>
    <m/>
    <m/>
    <s v=" "/>
    <s v=" "/>
    <m/>
    <m/>
    <m/>
    <n v="145000"/>
    <n v="77.66470273165505"/>
    <s v=" "/>
    <m/>
    <d v="2021-07-14T00:00:00"/>
    <x v="8"/>
    <m/>
    <x v="66"/>
    <s v="CA"/>
    <s v="Private"/>
    <m/>
    <m/>
    <m/>
    <s v=" "/>
    <s v=" "/>
    <m/>
    <s v=" "/>
    <s v=" "/>
    <s v=" "/>
    <m/>
    <s v=" "/>
  </r>
  <r>
    <m/>
    <s v="CW"/>
    <s v="State"/>
    <s v="Fee Simple"/>
    <s v="133 Island Ford Rd"/>
    <s v="Statesville"/>
    <s v="NC"/>
    <n v="1.2"/>
    <n v="2010"/>
    <n v="7241"/>
    <n v="7241"/>
    <n v="1"/>
    <m/>
    <s v=" "/>
    <n v="115500"/>
    <n v="15.95083551995581"/>
    <m/>
    <d v="2025-06-14T00:00:00"/>
    <d v="2025-06-14T00:00:00"/>
    <n v="3.923287671232877"/>
    <n v="3.923287671232877"/>
    <s v="Full Service"/>
    <s v="None"/>
    <s v="None"/>
    <n v="1387500"/>
    <n v="191.6171799475211"/>
    <n v="0.08324324324324324"/>
    <m/>
    <d v="2021-07-13T00:00:00"/>
    <x v="417"/>
    <s v="M&amp;M"/>
    <x v="295"/>
    <s v="NC"/>
    <s v="Private"/>
    <m/>
    <m/>
    <n v="1540000"/>
    <n v="0.075"/>
    <n v="0.900974025974026"/>
    <n v="1540000"/>
    <n v="0.075"/>
    <n v="0.008243243243243242"/>
    <s v="No"/>
    <d v="2020-08-28T00:00:00"/>
    <n v="319"/>
  </r>
  <r>
    <s v="LNM17128"/>
    <s v="AOC"/>
    <s v="Federal"/>
    <s v="Fee Simple"/>
    <s v="111 Lomas Blvd NW"/>
    <s v="Albuquerque"/>
    <s v="NM"/>
    <n v="1.19"/>
    <n v="1970"/>
    <n v="14643"/>
    <n v="102984"/>
    <n v="0.1421871358657656"/>
    <n v="249264.9"/>
    <n v="17.02280270436386"/>
    <m/>
    <s v=" "/>
    <d v="2013-02-25T00:00:00"/>
    <d v="2023-02-24T00:00:00"/>
    <d v="2018-02-25T00:00:00"/>
    <n v="1.627397260273973"/>
    <n v="-3.372602739726027"/>
    <s v="Modified Gross"/>
    <s v="None"/>
    <s v="None"/>
    <n v="4300000"/>
    <n v="41.75405888293327"/>
    <s v=" "/>
    <m/>
    <d v="2021-07-10T00:00:00"/>
    <x v="421"/>
    <m/>
    <x v="298"/>
    <s v="NM"/>
    <s v="Private"/>
    <m/>
    <m/>
    <m/>
    <s v=" "/>
    <s v=" "/>
    <m/>
    <s v=" "/>
    <s v=" "/>
    <s v=" "/>
    <m/>
    <s v=" "/>
  </r>
  <r>
    <s v="LCO00115"/>
    <s v="FS"/>
    <s v="Federal"/>
    <s v="Fee Simple"/>
    <s v="1010-1030 Kimball Ave"/>
    <s v="Grand Junction"/>
    <s v="CO"/>
    <n v="2.11"/>
    <n v="2021"/>
    <n v="7528"/>
    <n v="7528"/>
    <n v="1"/>
    <n v="281045.35"/>
    <n v="37.33333554729011"/>
    <n v="223810.8705"/>
    <n v="29.73045569872476"/>
    <d v="2021-07-09T00:00:00"/>
    <d v="2041-07-08T00:00:00"/>
    <d v="2036-07-08T00:00:00"/>
    <n v="20.01095890410959"/>
    <n v="15.00821917808219"/>
    <s v="Modified Gross"/>
    <s v="None"/>
    <s v="None"/>
    <n v="3365577"/>
    <n v="447.0745217853348"/>
    <n v="0.0665"/>
    <m/>
    <d v="2021-07-09T00:00:00"/>
    <x v="422"/>
    <m/>
    <x v="299"/>
    <s v="CO"/>
    <s v="Private"/>
    <m/>
    <m/>
    <m/>
    <s v=" "/>
    <s v=" "/>
    <m/>
    <s v=" "/>
    <s v=" "/>
    <s v=" "/>
    <m/>
    <s v=" "/>
  </r>
  <r>
    <m/>
    <s v="Multi"/>
    <s v="State"/>
    <s v="Fee Simple"/>
    <s v="32 Bridge St S"/>
    <s v="Martinsville "/>
    <s v="VA"/>
    <n v="1.18"/>
    <n v="1999"/>
    <n v="11270"/>
    <n v="11270"/>
    <n v="1"/>
    <m/>
    <s v=" "/>
    <n v="95780"/>
    <n v="8.498669032830524"/>
    <m/>
    <d v="2024-09-30T00:00:00"/>
    <d v="2024-09-30T00:00:00"/>
    <n v="3.23013698630137"/>
    <n v="3.23013698630137"/>
    <s v="Full Service"/>
    <s v="CPI annually"/>
    <s v="None"/>
    <n v="950000"/>
    <n v="84.29458740017746"/>
    <n v="0.100821052631579"/>
    <m/>
    <d v="2021-07-09T00:00:00"/>
    <x v="423"/>
    <s v="SJC: Hellwig"/>
    <x v="85"/>
    <s v="NC"/>
    <s v="Private"/>
    <m/>
    <m/>
    <n v="950000"/>
    <n v="0.100821052631579"/>
    <n v="1"/>
    <n v="950000"/>
    <n v="0.100821052631579"/>
    <n v="0"/>
    <s v="No"/>
    <m/>
    <s v=" "/>
  </r>
  <r>
    <m/>
    <s v="MEPS &amp; TSA"/>
    <s v="Federal"/>
    <s v="Fee Simple"/>
    <s v="4181 Ruffin Rd"/>
    <s v="San Diego"/>
    <s v="CA"/>
    <n v="10"/>
    <n v="1981"/>
    <n v="70485"/>
    <n v="189909"/>
    <n v="0.3711514462189786"/>
    <n v="2050078"/>
    <n v="29.08530893097822"/>
    <n v="1787500"/>
    <n v="9.412402782385248"/>
    <d v="2016-10-01T00:00:00"/>
    <d v="2026-09-30T00:00:00"/>
    <d v="2021-10-02T00:00:00"/>
    <n v="5.232876712328767"/>
    <n v="0.2356164383561644"/>
    <s v="Modified Gross"/>
    <s v="None"/>
    <s v="None"/>
    <n v="35750000"/>
    <n v="188.2480556477049"/>
    <n v="0.05"/>
    <m/>
    <d v="2021-07-08T00:00:00"/>
    <x v="424"/>
    <s v="CBRE; Alsadek"/>
    <x v="300"/>
    <s v="CA"/>
    <s v="Private"/>
    <m/>
    <m/>
    <m/>
    <s v=" "/>
    <s v=" "/>
    <m/>
    <s v=" "/>
    <s v=" "/>
    <s v=" "/>
    <m/>
    <s v=" "/>
  </r>
  <r>
    <m/>
    <s v="VA"/>
    <s v="Federal"/>
    <s v="Fee Simple"/>
    <s v="Portfolio of Three"/>
    <m/>
    <s v="OH"/>
    <n v="5.53"/>
    <m/>
    <n v="55610"/>
    <n v="55610"/>
    <n v="1"/>
    <m/>
    <s v=" "/>
    <m/>
    <s v=" "/>
    <m/>
    <m/>
    <m/>
    <s v=" "/>
    <s v=" "/>
    <m/>
    <m/>
    <m/>
    <n v="15900000"/>
    <n v="285.9197985973746"/>
    <s v=" "/>
    <m/>
    <d v="2021-07-08T00:00:00"/>
    <x v="405"/>
    <s v="Matthews"/>
    <x v="84"/>
    <s v="IL"/>
    <s v="Private"/>
    <m/>
    <m/>
    <m/>
    <s v=" "/>
    <s v=" "/>
    <m/>
    <s v=" "/>
    <s v=" "/>
    <s v=" "/>
    <m/>
    <s v=" "/>
  </r>
  <r>
    <m/>
    <s v="USDA"/>
    <s v="Federal"/>
    <s v="Fee Simple"/>
    <s v="13915 Boydton Plank Rd"/>
    <s v="Dinwiddie"/>
    <s v="VA"/>
    <n v="1.54"/>
    <n v="1970"/>
    <n v="11616"/>
    <n v="11616"/>
    <n v="1"/>
    <m/>
    <s v=" "/>
    <n v="89550"/>
    <n v="7.709194214876033"/>
    <d v="2013-07-01T00:00:00"/>
    <d v="2023-06-30T00:00:00"/>
    <d v="2018-06-30T00:00:00"/>
    <n v="1.980821917808219"/>
    <n v="-3.021917808219178"/>
    <s v="Modified Gross"/>
    <s v="None"/>
    <s v="None"/>
    <n v="900000"/>
    <n v="77.47933884297521"/>
    <n v="0.09950000000000001"/>
    <m/>
    <d v="2021-07-07T00:00:00"/>
    <x v="425"/>
    <s v="JJ Schwartz"/>
    <x v="301"/>
    <s v="VA"/>
    <s v="Private"/>
    <m/>
    <m/>
    <n v="995000"/>
    <n v="0.09"/>
    <n v="0.9045226130653267"/>
    <n v="995000"/>
    <n v="0.09"/>
    <n v="0.009500000000000008"/>
    <s v="No"/>
    <d v="2020-08-03T00:00:00"/>
    <n v="338"/>
  </r>
  <r>
    <m/>
    <s v="VA"/>
    <s v="Federal"/>
    <s v="Fee Simple"/>
    <s v="15145 Lakeshore Dr"/>
    <s v="Clearlake"/>
    <s v="CA"/>
    <n v="1.5"/>
    <n v="2010"/>
    <n v="10000"/>
    <n v="10000"/>
    <n v="1"/>
    <m/>
    <s v=" "/>
    <n v="239600"/>
    <n v="23.96"/>
    <d v="2021-04-01T00:00:00"/>
    <d v="2024-03-31T00:00:00"/>
    <d v="2021-04-01T00:00:00"/>
    <n v="2.747945205479452"/>
    <n v="-0.252054794520548"/>
    <s v="Modified Gross"/>
    <s v="None"/>
    <s v="None"/>
    <n v="2995000"/>
    <n v="299.5"/>
    <n v="0.08"/>
    <m/>
    <d v="2021-07-02T00:00:00"/>
    <x v="426"/>
    <s v="ReMax; Kent"/>
    <x v="302"/>
    <m/>
    <m/>
    <s v="Doug Cain"/>
    <m/>
    <n v="2995000"/>
    <n v="0.08"/>
    <n v="1"/>
    <n v="2995000"/>
    <n v="0.08"/>
    <n v="0"/>
    <s v="No"/>
    <d v="2021-01-28T00:00:00"/>
    <n v="155"/>
  </r>
  <r>
    <m/>
    <m/>
    <s v="Federal"/>
    <s v="Fee Simple"/>
    <s v="7800 W IH-10"/>
    <s v="San Antonio"/>
    <s v="TX"/>
    <n v="4.18"/>
    <n v="1984"/>
    <n v="63933"/>
    <n v="157933"/>
    <n v="0.4048109008250334"/>
    <m/>
    <s v=" "/>
    <m/>
    <s v=" "/>
    <d v="2011-09-01T00:00:00"/>
    <d v="2021-08-31T00:00:00"/>
    <d v="2016-08-31T00:00:00"/>
    <n v="0.1643835616438356"/>
    <n v="-4.838356164383562"/>
    <s v="Modified Gross"/>
    <s v="None"/>
    <s v="None"/>
    <m/>
    <s v=" "/>
    <s v=" "/>
    <m/>
    <d v="2021-07-02T00:00:00"/>
    <x v="427"/>
    <s v="C&amp;W; Mill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215 Ayer Rd"/>
    <s v="Harvard"/>
    <s v="MA"/>
    <n v="3.06"/>
    <n v="1999"/>
    <n v="6793"/>
    <n v="6793"/>
    <n v="1"/>
    <n v="125606.25"/>
    <n v="18.49054173413808"/>
    <n v="125606.25"/>
    <n v="18.49054173413808"/>
    <d v="1999-12-01T00:00:00"/>
    <d v="2024-11-30T00:00:00"/>
    <m/>
    <n v="3.419178082191781"/>
    <s v=" "/>
    <s v="Rider"/>
    <s v="Options"/>
    <s v="3, 5 year"/>
    <n v="2040000"/>
    <n v="300.3091417635802"/>
    <n v="0.06157169117647059"/>
    <m/>
    <d v="2021-07-01T00:00:00"/>
    <x v="42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8200 Corporate Dr"/>
    <s v="Landover"/>
    <s v="MD"/>
    <n v="0.48"/>
    <n v="1984"/>
    <n v="10450"/>
    <n v="10450"/>
    <n v="1"/>
    <m/>
    <s v=" "/>
    <n v="176232"/>
    <n v="16.8643062200957"/>
    <m/>
    <d v="2026-09-30T00:00:00"/>
    <d v="2026-09-30T00:00:00"/>
    <n v="5.254794520547946"/>
    <n v="5.254794520547946"/>
    <s v="Rider"/>
    <s v="None"/>
    <s v="None"/>
    <n v="2286600"/>
    <n v="218.8133971291866"/>
    <n v="0.07707163474153765"/>
    <m/>
    <d v="2021-06-30T00:00:00"/>
    <x v="429"/>
    <s v="Edge; Friedman"/>
    <x v="303"/>
    <s v="MD"/>
    <s v="Private"/>
    <m/>
    <m/>
    <m/>
    <s v=" "/>
    <s v=" "/>
    <m/>
    <s v=" "/>
    <s v=" "/>
    <s v=" "/>
    <d v="2021-04-07T00:00:00"/>
    <n v="84"/>
  </r>
  <r>
    <m/>
    <s v="BLM"/>
    <s v="Federal"/>
    <s v="Fee Simple"/>
    <s v="22835 Calle San Juan De Los Lagos"/>
    <s v="Moreno Valley"/>
    <s v="CA"/>
    <n v="1.21"/>
    <n v="1990"/>
    <n v="16180"/>
    <n v="16180"/>
    <n v="1"/>
    <n v="285355"/>
    <n v="17.63627935723115"/>
    <n v="181425"/>
    <n v="11.21291718170581"/>
    <d v="2020-07-01T00:00:00"/>
    <d v="2030-06-30T00:00:00"/>
    <d v="2025-06-30T00:00:00"/>
    <n v="9.005479452054795"/>
    <n v="4.002739726027397"/>
    <s v="Modified Gross"/>
    <s v="None"/>
    <s v="None"/>
    <n v="2950000"/>
    <n v="182.3238566131026"/>
    <n v="0.0615"/>
    <m/>
    <d v="2021-06-30T00:00:00"/>
    <x v="430"/>
    <s v="NAI"/>
    <x v="304"/>
    <s v="CA"/>
    <s v="Private"/>
    <s v="CBRE; Jones"/>
    <m/>
    <n v="2950000"/>
    <n v="0.0615"/>
    <n v="1"/>
    <n v="2950000"/>
    <n v="0.0615"/>
    <n v="0"/>
    <s v="No"/>
    <m/>
    <s v=" "/>
  </r>
  <r>
    <m/>
    <s v="USPS"/>
    <s v="Federal"/>
    <s v="Fee Simple"/>
    <s v="337 Howard Blvd"/>
    <s v="Newport"/>
    <s v="NC"/>
    <n v="3.49"/>
    <n v="1992"/>
    <n v="11876"/>
    <n v="11876"/>
    <n v="1"/>
    <m/>
    <s v=" "/>
    <m/>
    <s v=" "/>
    <m/>
    <m/>
    <m/>
    <s v=" "/>
    <s v=" "/>
    <m/>
    <m/>
    <m/>
    <n v="1635000"/>
    <n v="137.6726170427754"/>
    <s v=" "/>
    <m/>
    <d v="2021-06-30T00:00:00"/>
    <x v="431"/>
    <m/>
    <x v="66"/>
    <s v="CA"/>
    <s v="Private"/>
    <m/>
    <m/>
    <m/>
    <s v=" "/>
    <s v=" "/>
    <m/>
    <s v=" "/>
    <s v=" "/>
    <s v=" "/>
    <m/>
    <s v=" "/>
  </r>
  <r>
    <m/>
    <s v="DOJ"/>
    <s v="State"/>
    <s v="Fee Simple"/>
    <s v="2931 Fallon Dr"/>
    <s v="Sherman"/>
    <s v="TX"/>
    <n v="0.85"/>
    <n v="2015"/>
    <n v="5242"/>
    <n v="5242"/>
    <n v="1"/>
    <n v="90999"/>
    <n v="17.35959557420832"/>
    <n v="61301.04"/>
    <n v="11.69420831743609"/>
    <d v="2014-12-01T00:00:00"/>
    <d v="2025-11-30T00:00:00"/>
    <d v="2014-12-31T00:00:00"/>
    <n v="4.421917808219178"/>
    <n v="-6.501369863013698"/>
    <s v="Full Service"/>
    <s v="25% of CPI annually"/>
    <s v="None"/>
    <n v="766263"/>
    <n v="146.1776039679512"/>
    <n v="0.08"/>
    <m/>
    <d v="2021-06-30T00:00:00"/>
    <x v="432"/>
    <s v="SJC; Corriston"/>
    <x v="206"/>
    <s v="TX"/>
    <s v="Private"/>
    <m/>
    <m/>
    <m/>
    <s v=" "/>
    <s v=" "/>
    <m/>
    <s v=" "/>
    <s v=" "/>
    <s v=" "/>
    <m/>
    <s v=" "/>
  </r>
  <r>
    <s v="LID07446"/>
    <s v="DHS"/>
    <s v="Federal"/>
    <s v="Fee Simple"/>
    <s v="212 Deere St"/>
    <s v="Twin Falls"/>
    <s v="ID"/>
    <n v="1.1"/>
    <n v="2019"/>
    <n v="6554"/>
    <n v="6554"/>
    <n v="1"/>
    <n v="243622.8"/>
    <n v="37.17162038449801"/>
    <n v="193997.28"/>
    <n v="29.59982911199268"/>
    <d v="2019-03-01T00:00:00"/>
    <d v="2034-02-28T00:00:00"/>
    <d v="2034-02-28T00:00:00"/>
    <n v="12.67397260273973"/>
    <n v="12.67397260273973"/>
    <s v="Modified Gross"/>
    <s v="None"/>
    <s v="None"/>
    <n v="3250000"/>
    <n v="495.8803783948733"/>
    <n v="0.05969147076923077"/>
    <m/>
    <d v="2021-06-30T00:00:00"/>
    <x v="433"/>
    <s v="Lee; Mahoney"/>
    <x v="305"/>
    <s v="CA"/>
    <s v="Private"/>
    <m/>
    <m/>
    <n v="3233288"/>
    <n v="0.06"/>
    <n v="1.005168732262638"/>
    <n v="3233288"/>
    <n v="0.06"/>
    <n v="-0.0003085292307692319"/>
    <s v="No"/>
    <m/>
    <s v=" "/>
  </r>
  <r>
    <m/>
    <s v="NPS"/>
    <s v="Federal"/>
    <s v="Fee Simple"/>
    <s v="404 Watercress Dr"/>
    <s v="Van Buren"/>
    <s v="MO"/>
    <n v="8.19"/>
    <n v="1998"/>
    <n v="16000"/>
    <n v="16000"/>
    <n v="1"/>
    <n v="364814.4"/>
    <n v="22.8009"/>
    <n v="231491"/>
    <n v="14.4681875"/>
    <d v="2020-01-22T00:00:00"/>
    <d v="2035-01-25T00:00:00"/>
    <d v="2030-01-21T00:00:00"/>
    <n v="13.58356164383562"/>
    <n v="8.56986301369863"/>
    <s v="Modified Gross"/>
    <s v="Non-Firm"/>
    <s v="None"/>
    <n v="3446000"/>
    <n v="215.375"/>
    <n v="0.06717672663958213"/>
    <m/>
    <d v="2021-06-29T00:00:00"/>
    <x v="20"/>
    <s v="Colliers; Ficke"/>
    <x v="54"/>
    <s v="NC"/>
    <s v="REIT"/>
    <m/>
    <m/>
    <n v="3429000"/>
    <n v="0.06750976961213181"/>
    <n v="1.004957713619131"/>
    <n v="3429000"/>
    <n v="0.06750976961213181"/>
    <n v="-0.0003330429725496853"/>
    <s v="No"/>
    <d v="2020-03-21T00:00:00"/>
    <n v="465"/>
  </r>
  <r>
    <m/>
    <s v="USPS"/>
    <s v="Federal"/>
    <s v="Fee Simple"/>
    <s v="4832 E Highway 27"/>
    <s v="Iron Station"/>
    <s v="NC"/>
    <n v="0.87"/>
    <n v="1975"/>
    <n v="2142"/>
    <n v="2142"/>
    <n v="1"/>
    <m/>
    <s v=" "/>
    <m/>
    <s v=" "/>
    <m/>
    <m/>
    <m/>
    <s v=" "/>
    <s v=" "/>
    <m/>
    <m/>
    <m/>
    <n v="250000"/>
    <n v="116.7133520074697"/>
    <s v=" "/>
    <m/>
    <d v="2021-06-28T00:00:00"/>
    <x v="434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606 E Juneau Ave"/>
    <s v="Milwaukee"/>
    <s v="WI"/>
    <n v="0.89"/>
    <n v="1976"/>
    <n v="36834"/>
    <n v="36834"/>
    <n v="1"/>
    <m/>
    <s v=" "/>
    <n v="199200"/>
    <n v="5.408046913178042"/>
    <d v="2020-11-01T00:00:00"/>
    <d v="2025-10-31T00:00:00"/>
    <d v="2025-10-31T00:00:00"/>
    <n v="4.345205479452055"/>
    <n v="4.345205479452055"/>
    <s v="Rider"/>
    <s v="None"/>
    <s v="None"/>
    <n v="3735000"/>
    <n v="101.4008796220883"/>
    <n v="0.05333333333333334"/>
    <m/>
    <d v="2021-06-28T00:00:00"/>
    <x v="435"/>
    <s v="SJC; Fritz"/>
    <x v="306"/>
    <s v="IL"/>
    <s v="Private"/>
    <m/>
    <m/>
    <m/>
    <s v=" "/>
    <s v=" "/>
    <m/>
    <s v=" "/>
    <s v=" "/>
    <s v=" "/>
    <d v="2021-03-19T00:00:00"/>
    <n v="101"/>
  </r>
  <r>
    <m/>
    <s v="USPS"/>
    <s v="Federal"/>
    <s v="Fee Simple"/>
    <s v="300 Rodoret St S"/>
    <s v="Valdese"/>
    <s v="NC"/>
    <n v="0.47"/>
    <n v="1963"/>
    <n v="5713"/>
    <n v="5713"/>
    <n v="1"/>
    <m/>
    <s v=" "/>
    <m/>
    <s v=" "/>
    <m/>
    <m/>
    <m/>
    <s v=" "/>
    <s v=" "/>
    <m/>
    <m/>
    <m/>
    <n v="735000"/>
    <n v="128.6539471381061"/>
    <s v=" "/>
    <m/>
    <d v="2021-06-28T00:00:00"/>
    <x v="436"/>
    <m/>
    <x v="66"/>
    <s v="CA"/>
    <s v="Private"/>
    <m/>
    <m/>
    <m/>
    <s v=" "/>
    <s v=" "/>
    <m/>
    <s v=" "/>
    <s v=" "/>
    <s v=" "/>
    <m/>
    <s v=" "/>
  </r>
  <r>
    <s v="LFL01193"/>
    <s v="CBP"/>
    <s v="Federal"/>
    <s v="Fee Simple"/>
    <s v="2348 Tradeport Dr"/>
    <s v="Orlando"/>
    <s v="FL"/>
    <n v="2.97"/>
    <n v="2005"/>
    <n v="17697"/>
    <n v="17697"/>
    <n v="1"/>
    <n v="619868"/>
    <n v="35.02672769395943"/>
    <n v="479008"/>
    <n v="27.06718652879019"/>
    <d v="2020-07-15T00:00:00"/>
    <d v="2035-07-15T00:00:00"/>
    <d v="2030-07-15T00:00:00"/>
    <n v="14.06575342465753"/>
    <n v="9.063013698630137"/>
    <s v="Modified Gross"/>
    <s v="$150k drop"/>
    <s v="None"/>
    <n v="5600000"/>
    <n v="316.4378143188111"/>
    <n v="0.08553714285714285"/>
    <m/>
    <d v="2021-06-24T00:00:00"/>
    <x v="437"/>
    <s v="Local"/>
    <x v="307"/>
    <s v="TX"/>
    <s v="Private"/>
    <m/>
    <m/>
    <m/>
    <s v=" "/>
    <s v=" "/>
    <m/>
    <s v=" "/>
    <s v=" "/>
    <s v=" "/>
    <m/>
    <s v=" "/>
  </r>
  <r>
    <m/>
    <s v="TSA/Boeing"/>
    <s v="Federal"/>
    <s v="Fee Simple"/>
    <s v="13651 McLearen Rd"/>
    <s v="Herndon"/>
    <s v="VA"/>
    <n v="10.44"/>
    <n v="1987"/>
    <n v="159664"/>
    <n v="159664"/>
    <n v="1"/>
    <m/>
    <s v=" "/>
    <m/>
    <s v=" "/>
    <m/>
    <m/>
    <m/>
    <s v=" "/>
    <s v=" "/>
    <s v="Modified Gross"/>
    <s v="None"/>
    <s v="None"/>
    <n v="48000000"/>
    <n v="300.6313257841467"/>
    <s v=" "/>
    <m/>
    <d v="2021-06-23T00:00:00"/>
    <x v="438"/>
    <m/>
    <x v="1"/>
    <s v="IL"/>
    <s v="Private"/>
    <m/>
    <m/>
    <m/>
    <s v=" "/>
    <s v=" "/>
    <m/>
    <s v=" "/>
    <s v=" "/>
    <s v=" "/>
    <m/>
    <s v=" "/>
  </r>
  <r>
    <m/>
    <s v="CBP &amp; State"/>
    <s v="Federal"/>
    <s v="Fee Simple"/>
    <s v="Portfolio of Three"/>
    <s v="Chantilly"/>
    <s v="VA"/>
    <n v="16.99"/>
    <m/>
    <n v="63099"/>
    <n v="198242"/>
    <n v="0.3182927936562384"/>
    <m/>
    <s v=" "/>
    <m/>
    <s v=" "/>
    <m/>
    <m/>
    <m/>
    <s v=" "/>
    <s v=" "/>
    <m/>
    <m/>
    <m/>
    <n v="33600000"/>
    <n v="169.4898154780521"/>
    <s v=" "/>
    <m/>
    <d v="2021-06-18T00:00:00"/>
    <x v="439"/>
    <s v="C&amp;W; Berkman"/>
    <x v="308"/>
    <s v="MD"/>
    <s v="Private"/>
    <m/>
    <m/>
    <m/>
    <s v=" "/>
    <s v=" "/>
    <m/>
    <s v=" "/>
    <s v=" "/>
    <s v=" "/>
    <m/>
    <s v=" "/>
  </r>
  <r>
    <m/>
    <s v="USPS"/>
    <s v="Federal"/>
    <s v="Fee Simple"/>
    <s v="609 Water St"/>
    <s v="Union Mills"/>
    <s v="IN"/>
    <n v="0.1449"/>
    <n v="1956"/>
    <n v="3360"/>
    <n v="3360"/>
    <n v="1"/>
    <m/>
    <s v=" "/>
    <m/>
    <s v=" "/>
    <m/>
    <m/>
    <m/>
    <s v=" "/>
    <s v=" "/>
    <m/>
    <m/>
    <m/>
    <n v="164290"/>
    <n v="48.89583333333334"/>
    <s v=" "/>
    <m/>
    <d v="2021-06-17T00:00:00"/>
    <x v="8"/>
    <m/>
    <x v="66"/>
    <s v="CA"/>
    <s v="Private"/>
    <m/>
    <m/>
    <m/>
    <s v=" "/>
    <s v=" "/>
    <m/>
    <s v=" "/>
    <s v=" "/>
    <s v=" "/>
    <m/>
    <s v=" "/>
  </r>
  <r>
    <s v="LVA00575"/>
    <s v="SSA"/>
    <s v="Federal"/>
    <s v="Fee Simple"/>
    <s v="3295 US Highway 29"/>
    <s v="Danville"/>
    <s v="VA"/>
    <s v="-"/>
    <n v="2009"/>
    <n v="9764"/>
    <n v="9764"/>
    <n v="1"/>
    <n v="238490.59"/>
    <n v="24.42550081933634"/>
    <n v="185250"/>
    <n v="18.97275706677591"/>
    <d v="2019-11-01T00:00:00"/>
    <d v="2034-10-31T00:00:00"/>
    <d v="2029-11-01T00:00:00"/>
    <n v="13.38630136986301"/>
    <n v="8.386301369863014"/>
    <s v="Modified Gross"/>
    <s v="Drops After 10"/>
    <s v="None"/>
    <n v="2500000"/>
    <n v="256.0426054895535"/>
    <n v="0.0741"/>
    <m/>
    <d v="2021-06-15T00:00:00"/>
    <x v="440"/>
    <s v="SJC; Hellwig"/>
    <x v="85"/>
    <s v="VA"/>
    <s v="Private"/>
    <m/>
    <m/>
    <m/>
    <s v=" "/>
    <s v=" "/>
    <m/>
    <s v=" "/>
    <s v=" "/>
    <s v=" "/>
    <m/>
    <s v=" "/>
  </r>
  <r>
    <m/>
    <s v="USDA"/>
    <s v="Federal"/>
    <s v="Fee Simple"/>
    <s v="Portfolio of Three"/>
    <m/>
    <s v="WA"/>
    <n v="11.81"/>
    <m/>
    <n v="19789"/>
    <n v="19789"/>
    <n v="1"/>
    <n v="253076.8276607239"/>
    <n v="12.78876283090221"/>
    <n v="250425"/>
    <n v="12.6547576936682"/>
    <d v="2014-01-01T00:00:00"/>
    <d v="2023-12-31T00:00:00"/>
    <d v="2018-12-31T00:00:00"/>
    <n v="2.547945205479452"/>
    <n v="-2.454794520547945"/>
    <s v="Modified Gross"/>
    <s v="None"/>
    <s v="None"/>
    <n v="2598455"/>
    <n v="131.308049926727"/>
    <n v="0.09637457643099458"/>
    <m/>
    <d v="2021-06-14T00:00:00"/>
    <x v="441"/>
    <s v="M&amp;M; Fenn"/>
    <x v="309"/>
    <s v="CA"/>
    <s v="Private"/>
    <s v="Kotje"/>
    <m/>
    <n v="2650000"/>
    <n v="0.0945"/>
    <n v="0.9805490566037736"/>
    <n v="2650000"/>
    <n v="0.0945"/>
    <n v="0.001874576430994576"/>
    <s v="No"/>
    <d v="2021-03-22T00:00:00"/>
    <n v="84"/>
  </r>
  <r>
    <m/>
    <s v="VA"/>
    <s v="Federal"/>
    <s v="Fee Simple"/>
    <s v="600 N Bell Blvd"/>
    <s v="Cedar Park"/>
    <s v="TX"/>
    <n v="2.61"/>
    <n v="1986"/>
    <n v="13794"/>
    <n v="22000"/>
    <n v="0.627"/>
    <m/>
    <s v=" "/>
    <n v="268280"/>
    <n v="12.19454545454546"/>
    <d v="2017-01-15T00:00:00"/>
    <d v="2027-01-14T00:00:00"/>
    <d v="2022-01-14T00:00:00"/>
    <n v="5.6"/>
    <n v="0.5972602739726027"/>
    <s v="Modified Gross"/>
    <s v="None"/>
    <s v="None"/>
    <n v="3800000"/>
    <n v="172.7272727272727"/>
    <n v="0.0706"/>
    <m/>
    <d v="2021-06-10T00:00:00"/>
    <x v="442"/>
    <s v="M&amp;M; Patel"/>
    <x v="310"/>
    <s v="CO"/>
    <s v="Private"/>
    <m/>
    <m/>
    <m/>
    <s v=" "/>
    <s v=" "/>
    <m/>
    <s v=" "/>
    <s v=" "/>
    <s v=" "/>
    <m/>
    <s v=" "/>
  </r>
  <r>
    <s v="LCA01587"/>
    <s v="SSA"/>
    <s v="Federal"/>
    <s v="Fee Simple"/>
    <s v="26051 Acero"/>
    <s v="Mission Viejo"/>
    <s v="CA"/>
    <n v="0.97"/>
    <n v="2005"/>
    <n v="11590"/>
    <n v="11590"/>
    <n v="1"/>
    <n v="529335.08"/>
    <n v="45.67170664365833"/>
    <m/>
    <s v=" "/>
    <d v="2005-12-10T00:00:00"/>
    <d v="2022-02-28T00:00:00"/>
    <d v="2017-12-09T00:00:00"/>
    <n v="0.736986301369863"/>
    <n v="-3.487671232876712"/>
    <s v="Modified Gross"/>
    <s v="None"/>
    <s v="None"/>
    <n v="3461500"/>
    <n v="298.6626402070751"/>
    <s v=" "/>
    <m/>
    <d v="2021-06-04T00:00:00"/>
    <x v="126"/>
    <s v="Stream; Adams"/>
    <x v="311"/>
    <s v="CA"/>
    <s v="Private"/>
    <m/>
    <m/>
    <n v="3824700"/>
    <s v=" "/>
    <n v="0.9050383036578032"/>
    <n v="3824700"/>
    <s v=" "/>
    <s v=" "/>
    <s v="No"/>
    <d v="2021-02-23T00:00:00"/>
    <n v="101"/>
  </r>
  <r>
    <m/>
    <s v="USDA"/>
    <s v="Federal"/>
    <s v="Fee Simple"/>
    <s v="222 Kansas St"/>
    <s v="El Segundo"/>
    <s v="CA"/>
    <n v="3.19"/>
    <n v="2013"/>
    <n v="44000"/>
    <n v="44000"/>
    <n v="1"/>
    <n v="3310849.5"/>
    <n v="75.24657954545455"/>
    <n v="2423520"/>
    <n v="55.08"/>
    <d v="2013-11-01T00:00:00"/>
    <d v="2033-10-31T00:00:00"/>
    <d v="2033-10-31T00:00:00"/>
    <n v="12.41917808219178"/>
    <n v="12.41917808219178"/>
    <s v="NN"/>
    <s v="1.95% annually"/>
    <s v="None"/>
    <n v="47000000"/>
    <n v="1068.181818181818"/>
    <n v="0.05156425531914893"/>
    <m/>
    <d v="2021-06-03T00:00:00"/>
    <x v="351"/>
    <s v="SJC; Briggs"/>
    <x v="1"/>
    <s v="IL"/>
    <s v="Private"/>
    <m/>
    <m/>
    <n v="50353105"/>
    <n v="0.04813049761280858"/>
    <n v="0.9334081781054019"/>
    <n v="50353105"/>
    <n v="0.04813049761280858"/>
    <n v="0.00343375770634035"/>
    <s v="No"/>
    <d v="2020-08-01T00:00:00"/>
    <n v="306"/>
  </r>
  <r>
    <m/>
    <s v="DCR"/>
    <s v="State"/>
    <s v="Fee Simple"/>
    <s v="9825 Goethe Rd"/>
    <s v="Sacramento"/>
    <s v="CA"/>
    <n v="3.92"/>
    <n v="1990"/>
    <n v="28238"/>
    <n v="45500"/>
    <n v="0.6206153846153846"/>
    <m/>
    <s v=" "/>
    <n v="624600"/>
    <n v="13.72747252747253"/>
    <m/>
    <m/>
    <m/>
    <s v=" "/>
    <s v=" "/>
    <m/>
    <m/>
    <m/>
    <n v="8675000"/>
    <n v="190.6593406593407"/>
    <n v="0.07199999999999999"/>
    <m/>
    <d v="2021-06-03T00:00:00"/>
    <x v="443"/>
    <s v="CBRE; Getz"/>
    <x v="312"/>
    <s v="ID"/>
    <s v="Private"/>
    <s v="Jon Allen"/>
    <m/>
    <n v="9033000"/>
    <n v="0.06914646296911325"/>
    <n v="0.9603675412376841"/>
    <n v="9033000"/>
    <n v="0.06914646296911325"/>
    <n v="0.002853537030886741"/>
    <s v="No"/>
    <d v="2020-09-09T00:00:00"/>
    <n v="267"/>
  </r>
  <r>
    <s v="LIL16471"/>
    <s v="SSA"/>
    <s v="Federal"/>
    <s v="Fee Simple"/>
    <s v="1005 Factory Outlet Dr"/>
    <s v="West Frankfort"/>
    <s v="IL"/>
    <n v="1.21"/>
    <n v="2000"/>
    <n v="6527"/>
    <n v="6527"/>
    <n v="1"/>
    <n v="105733"/>
    <n v="16.19932587712578"/>
    <n v="55989"/>
    <n v="8.578060364639191"/>
    <d v="2000-03-23T00:00:00"/>
    <d v="2023-03-22T00:00:00"/>
    <d v="2022-03-22T00:00:00"/>
    <n v="1.8"/>
    <n v="0.8"/>
    <s v="Modified Gross"/>
    <s v="None"/>
    <s v="None"/>
    <m/>
    <s v=" "/>
    <s v=" "/>
    <m/>
    <d v="2021-06-03T00:00:00"/>
    <x v="444"/>
    <s v="Colliers; Ficke"/>
    <x v="313"/>
    <s v="FL"/>
    <s v="Private"/>
    <m/>
    <m/>
    <n v="575000"/>
    <n v="0.09737217391304348"/>
    <s v=" "/>
    <n v="575000"/>
    <n v="0.09737217391304348"/>
    <s v=" "/>
    <s v="No"/>
    <d v="2020-11-18T00:00:00"/>
    <n v="197"/>
  </r>
  <r>
    <m/>
    <s v="Multi"/>
    <s v="State"/>
    <s v="Fee Simple"/>
    <s v="4400 N Congress Ave"/>
    <s v="West Palm Beach"/>
    <s v="FL"/>
    <n v="2.29"/>
    <n v="2001"/>
    <n v="26855"/>
    <n v="41861"/>
    <n v="0.6415279138099902"/>
    <m/>
    <s v=" "/>
    <n v="602350"/>
    <n v="14.38928835909319"/>
    <m/>
    <m/>
    <m/>
    <s v=" "/>
    <s v=" "/>
    <s v="Full Service"/>
    <s v="2% annually"/>
    <s v="None"/>
    <n v="5975000"/>
    <n v="142.7342872841069"/>
    <n v="0.1008117154811715"/>
    <m/>
    <d v="2021-06-03T00:00:00"/>
    <x v="445"/>
    <s v="BR;"/>
    <x v="167"/>
    <s v="TN"/>
    <s v="Private"/>
    <m/>
    <m/>
    <n v="8605000"/>
    <n v="0.07000000000000001"/>
    <n v="0.694363742010459"/>
    <n v="8605000"/>
    <n v="0.07000000000000001"/>
    <n v="0.03081171548117154"/>
    <s v="No"/>
    <d v="2020-12-09T00:00:00"/>
    <n v="176"/>
  </r>
  <r>
    <m/>
    <s v="USPS"/>
    <s v="Federal"/>
    <s v="Fee Simple"/>
    <s v="164 Main St"/>
    <s v="Andover"/>
    <s v="NH"/>
    <n v="1.53"/>
    <n v="2002"/>
    <n v="6030"/>
    <n v="6030"/>
    <n v="1"/>
    <n v="114024"/>
    <n v="18.90945273631841"/>
    <n v="95744"/>
    <n v="15.87794361525705"/>
    <m/>
    <d v="2022-11-30T00:00:00"/>
    <d v="2022-11-30T00:00:00"/>
    <n v="1.495890410958904"/>
    <n v="1.495890410958904"/>
    <s v="Rider"/>
    <s v="None"/>
    <s v="None"/>
    <n v="725000"/>
    <n v="120.2321724709784"/>
    <n v="0.1320606896551724"/>
    <m/>
    <d v="2021-06-02T00:00:00"/>
    <x v="8"/>
    <s v="TCP; Harrison"/>
    <x v="0"/>
    <m/>
    <m/>
    <m/>
    <m/>
    <n v="1050000"/>
    <n v="0.09118476190476191"/>
    <n v="0.6904761904761905"/>
    <n v="885000"/>
    <n v="0.1081853107344633"/>
    <n v="0.02387537892070915"/>
    <s v="Yes"/>
    <d v="2018-12-06T00:00:00"/>
    <n v="909"/>
  </r>
  <r>
    <m/>
    <s v="DOT"/>
    <s v="State"/>
    <s v="Fee Simple"/>
    <s v="711 W Association Dr"/>
    <s v="Appleton"/>
    <s v="WI"/>
    <n v="2.24"/>
    <n v="2007"/>
    <n v="7656"/>
    <n v="7656"/>
    <n v="1"/>
    <m/>
    <s v=" "/>
    <n v="83591.29000000001"/>
    <n v="10.9184025600836"/>
    <m/>
    <d v="2026-03-31T00:00:00"/>
    <d v="2026-03-31T00:00:00"/>
    <n v="4.83013698630137"/>
    <n v="4.83013698630137"/>
    <s v="Full Service"/>
    <s v="None"/>
    <s v="None"/>
    <n v="1025660"/>
    <n v="133.9681295715778"/>
    <n v="0.0815"/>
    <m/>
    <d v="2021-06-02T00:00:00"/>
    <x v="446"/>
    <s v="Bechard Group"/>
    <x v="314"/>
    <s v="WI"/>
    <s v="Private"/>
    <m/>
    <m/>
    <n v="1059000"/>
    <n v="0.07893417374881966"/>
    <n v="0.9685174693106704"/>
    <n v="1059000"/>
    <n v="0.07893417374881966"/>
    <n v="0.002565826251180348"/>
    <s v="No"/>
    <d v="2021-02-03T00:00:00"/>
    <n v="119"/>
  </r>
  <r>
    <m/>
    <s v="SSA"/>
    <s v="Federal"/>
    <s v="Fee Simple"/>
    <s v="1029 Camino La Costa"/>
    <s v="Austin"/>
    <s v="TX"/>
    <n v="3.61"/>
    <n v="2005"/>
    <n v="23859"/>
    <n v="23859"/>
    <n v="1"/>
    <n v="746530.72"/>
    <n v="31.28927113458234"/>
    <n v="450748"/>
    <n v="18.8921580954776"/>
    <d v="2020-12-21T00:00:00"/>
    <d v="2035-12-20T00:00:00"/>
    <d v="2030-12-20T00:00:00"/>
    <n v="14.55890410958904"/>
    <n v="9.556164383561644"/>
    <s v="Modified Gross"/>
    <s v="None"/>
    <s v="None"/>
    <n v="7980000"/>
    <n v="334.4649817678863"/>
    <n v="0.05648471177944862"/>
    <m/>
    <d v="2021-06-02T00:00:00"/>
    <x v="103"/>
    <s v="C&amp;W; Travis Trautvetter"/>
    <x v="315"/>
    <s v="CA"/>
    <s v="Private"/>
    <m/>
    <m/>
    <m/>
    <s v=" "/>
    <s v=" "/>
    <m/>
    <s v=" "/>
    <s v=" "/>
    <s v=" "/>
    <m/>
    <s v=" "/>
  </r>
  <r>
    <m/>
    <s v="VA"/>
    <s v="Federal"/>
    <s v="Fee Simple"/>
    <s v="806 Oakley Seaver Drive"/>
    <s v="Clermont"/>
    <s v="FL"/>
    <n v="0.13"/>
    <n v="2008"/>
    <n v="5636"/>
    <n v="5636"/>
    <n v="1"/>
    <m/>
    <s v=" "/>
    <m/>
    <s v=" "/>
    <m/>
    <m/>
    <m/>
    <s v=" "/>
    <s v=" "/>
    <m/>
    <m/>
    <m/>
    <n v="1800000"/>
    <n v="319.3754435770049"/>
    <s v=" "/>
    <m/>
    <d v="2021-06-02T00:00:00"/>
    <x v="447"/>
    <m/>
    <x v="316"/>
    <m/>
    <s v="Private"/>
    <m/>
    <m/>
    <m/>
    <s v=" "/>
    <s v=" "/>
    <m/>
    <s v=" "/>
    <s v=" "/>
    <s v=" "/>
    <d v="2020-10-24T00:00:00"/>
    <n v="221"/>
  </r>
  <r>
    <m/>
    <s v="SSA"/>
    <s v="Federal"/>
    <s v="Fee Simple"/>
    <s v="1202 E South 11th St"/>
    <s v="Abilene"/>
    <s v="TX"/>
    <n v="1.77"/>
    <n v="2005"/>
    <n v="9667"/>
    <n v="14282"/>
    <n v="0.6768659851561406"/>
    <m/>
    <s v=" "/>
    <n v="239999.7"/>
    <n v="16.80434813051393"/>
    <d v="2020-08-01T00:00:00"/>
    <d v="2035-07-31T00:00:00"/>
    <d v="2030-07-31T00:00:00"/>
    <n v="14.17260273972603"/>
    <n v="9.169863013698631"/>
    <s v="Modified Gross"/>
    <s v="None"/>
    <s v="None"/>
    <m/>
    <s v=" "/>
    <s v=" "/>
    <m/>
    <d v="2021-06-01T00:00:00"/>
    <x v="448"/>
    <s v="Stream;"/>
    <x v="317"/>
    <s v="CA"/>
    <s v="Private"/>
    <m/>
    <m/>
    <n v="3999995"/>
    <n v="0.06"/>
    <s v=" "/>
    <n v="3999995"/>
    <n v="0.06"/>
    <s v=" "/>
    <s v="No"/>
    <d v="2020-07-21T00:00:00"/>
    <n v="315"/>
  </r>
  <r>
    <s v="LFL00574"/>
    <s v="SSA/VA"/>
    <s v="Federal"/>
    <s v="Fee Simple"/>
    <s v="5520-5540 SR 64"/>
    <s v="Bradenton"/>
    <s v="FL"/>
    <n v="11.45"/>
    <m/>
    <n v="29000.88"/>
    <n v="40279"/>
    <n v="0.72"/>
    <n v="693701.0496"/>
    <n v="23.92"/>
    <n v="749250"/>
    <n v="18.60150450607016"/>
    <d v="2019-07-01T00:00:00"/>
    <d v="2034-06-30T00:00:00"/>
    <d v="2029-07-01T00:00:00"/>
    <n v="13.08767123287671"/>
    <n v="8.087671232876712"/>
    <s v="Modified Gross"/>
    <s v="None"/>
    <s v="None"/>
    <n v="11100000"/>
    <n v="275.5778445343727"/>
    <n v="0.0675"/>
    <m/>
    <d v="2021-06-01T00:00:00"/>
    <x v="449"/>
    <s v="Colliers; Carr"/>
    <x v="318"/>
    <s v="FL"/>
    <s v="Private"/>
    <m/>
    <m/>
    <m/>
    <s v=" "/>
    <s v=" "/>
    <m/>
    <s v=" "/>
    <s v=" "/>
    <s v=" "/>
    <m/>
    <s v=" "/>
  </r>
  <r>
    <m/>
    <s v="SSA"/>
    <s v="Federal"/>
    <s v="Fee Simple"/>
    <s v="6100 Wabash Ave"/>
    <s v="Baltimore"/>
    <s v="MD"/>
    <n v="11.3"/>
    <n v="2014"/>
    <n v="540566"/>
    <n v="540566"/>
    <n v="1"/>
    <n v="20924704.1"/>
    <n v="38.70887939678042"/>
    <m/>
    <s v=" "/>
    <d v="2014-01-22T00:00:00"/>
    <d v="2034-01-21T00:00:00"/>
    <d v="2034-01-21T00:00:00"/>
    <n v="12.66027397260274"/>
    <n v="12.66027397260274"/>
    <s v="Modified Gross"/>
    <m/>
    <m/>
    <n v="253000000"/>
    <n v="468.0279558832779"/>
    <s v=" "/>
    <m/>
    <d v="2021-05-28T00:00:00"/>
    <x v="450"/>
    <s v="Eastdil"/>
    <x v="319"/>
    <s v="NH"/>
    <s v="Private"/>
    <m/>
    <m/>
    <m/>
    <s v=" "/>
    <s v=" "/>
    <m/>
    <s v=" "/>
    <s v=" "/>
    <s v=" "/>
    <m/>
    <s v=" "/>
  </r>
  <r>
    <m/>
    <s v="NARA"/>
    <s v="Federal"/>
    <s v="Fee Simple"/>
    <s v="8801 Kingsridge Dr"/>
    <s v="Dayton"/>
    <s v="OH"/>
    <m/>
    <n v="2002"/>
    <n v="217394"/>
    <n v="217394"/>
    <n v="1"/>
    <n v="1980120.93"/>
    <n v="9.108443333302667"/>
    <m/>
    <s v=" "/>
    <d v="2003-02-01T00:00:00"/>
    <d v="2023-01-31T00:00:00"/>
    <d v="2017-07-01T00:00:00"/>
    <n v="1.679452054794521"/>
    <n v="-3.90958904109589"/>
    <m/>
    <m/>
    <m/>
    <n v="23000000"/>
    <n v="105.7986880962676"/>
    <s v=" "/>
    <m/>
    <d v="2021-05-28T00:00:00"/>
    <x v="450"/>
    <s v="Eastdil"/>
    <x v="2"/>
    <s v="VA"/>
    <s v="Private"/>
    <m/>
    <m/>
    <m/>
    <s v=" "/>
    <s v=" "/>
    <m/>
    <s v=" "/>
    <s v=" "/>
    <s v=" "/>
    <m/>
    <s v=" "/>
  </r>
  <r>
    <m/>
    <s v="PR"/>
    <s v="State"/>
    <s v="Fee Simple"/>
    <s v="2601 Blairstone Rd"/>
    <s v="Tallahassee"/>
    <s v="FL"/>
    <n v="3.85"/>
    <n v="1994"/>
    <n v="275000"/>
    <n v="275000"/>
    <n v="1"/>
    <m/>
    <s v=" "/>
    <m/>
    <s v=" "/>
    <m/>
    <d v="2026-08-01T00:00:00"/>
    <d v="2026-08-01T00:00:00"/>
    <n v="5.18082191780822"/>
    <n v="5.18082191780822"/>
    <m/>
    <m/>
    <m/>
    <n v="50000000"/>
    <n v="181.8181818181818"/>
    <s v=" "/>
    <m/>
    <d v="2021-05-28T00:00:00"/>
    <x v="450"/>
    <s v="Eastdil"/>
    <x v="2"/>
    <s v="VA"/>
    <s v="Private"/>
    <m/>
    <m/>
    <m/>
    <s v=" "/>
    <s v=" "/>
    <m/>
    <s v=" "/>
    <s v=" "/>
    <s v=" "/>
    <m/>
    <s v=" "/>
  </r>
  <r>
    <s v="LKY00211"/>
    <s v="MSHA"/>
    <s v="Federal"/>
    <s v="Fee Simple"/>
    <s v="9133 US Highway 60 W"/>
    <s v="Sturgis"/>
    <s v="KY"/>
    <n v="1.89"/>
    <n v="2000"/>
    <n v="3849"/>
    <n v="3849"/>
    <n v="1"/>
    <n v="120914"/>
    <n v="31.4143933489218"/>
    <n v="93316"/>
    <n v="24.24421927773448"/>
    <d v="2016-08-01T00:00:00"/>
    <d v="2026-07-31T00:00:00"/>
    <d v="2021-07-31T00:00:00"/>
    <n v="5.18082191780822"/>
    <n v="0.1780821917808219"/>
    <s v="Modified Gross"/>
    <s v="None"/>
    <s v="None"/>
    <n v="925000"/>
    <n v="240.3221616004157"/>
    <n v="0.1008821621621622"/>
    <m/>
    <d v="2021-05-27T00:00:00"/>
    <x v="451"/>
    <s v="Colliers; Ficke"/>
    <x v="72"/>
    <s v="FL"/>
    <s v="Private"/>
    <m/>
    <m/>
    <n v="1004000"/>
    <n v="0.09294422310756972"/>
    <n v="0.9213147410358565"/>
    <n v="1004000"/>
    <n v="0.09294422310756972"/>
    <n v="0.007937939054592433"/>
    <s v="No"/>
    <d v="2020-09-10T00:00:00"/>
    <n v="259"/>
  </r>
  <r>
    <s v="LMD00267"/>
    <s v="FDA"/>
    <s v="Federal"/>
    <s v="Fee Simple"/>
    <s v="11785 Beltsville Dr"/>
    <s v="Calverton"/>
    <s v="MD"/>
    <n v="9.6"/>
    <n v="1990"/>
    <n v="104796"/>
    <n v="209496"/>
    <n v="0.5002291213197388"/>
    <n v="2587166.08"/>
    <n v="24.68764151303485"/>
    <m/>
    <s v=" "/>
    <d v="2018-10-16T00:00:00"/>
    <d v="2028-10-15T00:00:00"/>
    <d v="2028-10-15T00:00:00"/>
    <n v="7.4"/>
    <n v="7.4"/>
    <s v="Modified Gross"/>
    <s v="None"/>
    <s v="None"/>
    <n v="36000000"/>
    <n v="171.8409898041013"/>
    <s v=" "/>
    <m/>
    <d v="2021-05-24T00:00:00"/>
    <x v="452"/>
    <s v="TW; Trainor"/>
    <x v="1"/>
    <s v="IL"/>
    <s v="Private"/>
    <m/>
    <m/>
    <m/>
    <s v=" "/>
    <s v=" "/>
    <m/>
    <s v=" "/>
    <s v=" "/>
    <s v=" "/>
    <d v="2020-11-12T00:00:00"/>
    <n v="193"/>
  </r>
  <r>
    <m/>
    <s v="DOC"/>
    <s v="State"/>
    <s v="Fee Simple"/>
    <s v="1900-1960 Birkmont Dr"/>
    <s v="Rancho Cordova"/>
    <s v="CA"/>
    <n v="18.91"/>
    <n v="1984"/>
    <n v="96000"/>
    <n v="96000"/>
    <n v="1"/>
    <m/>
    <s v=" "/>
    <n v="1422000"/>
    <n v="14.8125"/>
    <d v="2021-01-01T00:00:00"/>
    <d v="2028-12-31T00:00:00"/>
    <d v="2024-12-31T00:00:00"/>
    <n v="7.610958904109589"/>
    <n v="3.608219178082192"/>
    <s v="Full Service"/>
    <s v="CPI annually"/>
    <s v="None"/>
    <n v="19000000"/>
    <n v="197.9166666666667"/>
    <n v="0.07484210526315789"/>
    <m/>
    <d v="2021-05-24T00:00:00"/>
    <x v="453"/>
    <s v="JLL; Baker"/>
    <x v="1"/>
    <s v="IL"/>
    <s v="Private"/>
    <m/>
    <m/>
    <n v="20325000"/>
    <n v="0.06996309963099631"/>
    <n v="0.9348093480934809"/>
    <n v="20325000"/>
    <n v="0.06996309963099631"/>
    <n v="0.004879005632161579"/>
    <s v="No"/>
    <d v="2020-12-03T00:00:00"/>
    <n v="172"/>
  </r>
  <r>
    <m/>
    <s v="SSA"/>
    <s v="Federal"/>
    <s v="Fee Simple"/>
    <s v="11753 W Florissant Ave"/>
    <s v="Florissant"/>
    <s v="MO"/>
    <n v="2.1"/>
    <n v="2006"/>
    <n v="12616"/>
    <n v="12616"/>
    <n v="1"/>
    <m/>
    <s v=" "/>
    <m/>
    <s v=" "/>
    <m/>
    <m/>
    <m/>
    <s v=" "/>
    <s v=" "/>
    <m/>
    <m/>
    <m/>
    <n v="656250"/>
    <n v="52.01727964489537"/>
    <s v=" "/>
    <m/>
    <d v="2021-05-21T00:00:00"/>
    <x v="395"/>
    <s v="C&amp;W; Bagy"/>
    <x v="320"/>
    <s v="MI"/>
    <s v="Private"/>
    <m/>
    <m/>
    <m/>
    <s v=" "/>
    <s v=" "/>
    <m/>
    <s v=" "/>
    <s v=" "/>
    <s v=" "/>
    <m/>
    <s v=" "/>
  </r>
  <r>
    <m/>
    <s v="WS"/>
    <s v="Federal"/>
    <s v="Fee Simple"/>
    <s v="7220 NW 101st Ter"/>
    <s v="Kansas City"/>
    <s v="MO"/>
    <n v="6.45"/>
    <m/>
    <n v="94378"/>
    <n v="94378"/>
    <n v="1"/>
    <m/>
    <s v=" "/>
    <m/>
    <s v=" "/>
    <m/>
    <d v="2033-12-31T00:00:00"/>
    <d v="2033-12-31T00:00:00"/>
    <n v="12.62191780821918"/>
    <n v="12.62191780821918"/>
    <s v="Modified Gross"/>
    <m/>
    <s v="1, 5 year"/>
    <m/>
    <s v=" "/>
    <s v=" "/>
    <m/>
    <d v="2021-05-21T00:00:00"/>
    <x v="454"/>
    <s v="CBRE; Hutchens"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41810 N Venture Dr"/>
    <s v="Phoenix"/>
    <s v="AZ"/>
    <n v="0.21"/>
    <n v="2008"/>
    <n v="9211"/>
    <n v="9211"/>
    <n v="1"/>
    <n v="200317"/>
    <n v="21.74758440994463"/>
    <n v="108750"/>
    <n v="11.80653566388014"/>
    <d v="2017-01-01T00:00:00"/>
    <d v="2026-12-31T00:00:00"/>
    <d v="2021-12-31T00:00:00"/>
    <n v="5.616438356164384"/>
    <n v="0.6136986301369863"/>
    <s v="Full Service"/>
    <s v="2.5% annually"/>
    <s v="None"/>
    <n v="1740000"/>
    <n v="188.9045706220823"/>
    <n v="0.0625"/>
    <m/>
    <d v="2021-05-21T00:00:00"/>
    <x v="455"/>
    <s v="Colliers; Broyles"/>
    <x v="321"/>
    <s v="AZ"/>
    <s v="Private"/>
    <m/>
    <m/>
    <n v="1785000"/>
    <n v="0.06092436974789916"/>
    <n v="0.9747899159663865"/>
    <n v="1785000"/>
    <n v="0.06092436974789916"/>
    <n v="0.001575630252100842"/>
    <s v="No"/>
    <d v="2021-01-28T00:00:00"/>
    <n v="113"/>
  </r>
  <r>
    <m/>
    <s v="City"/>
    <s v="Municipal"/>
    <s v="Fee Simple"/>
    <s v="12 S Walnut St"/>
    <s v="Milford"/>
    <s v="DE"/>
    <n v="2.27"/>
    <m/>
    <n v="34960"/>
    <n v="34960"/>
    <n v="1"/>
    <m/>
    <s v=" "/>
    <m/>
    <s v=" "/>
    <m/>
    <d v="2030-10-31T00:00:00"/>
    <m/>
    <n v="9.454794520547946"/>
    <s v=" "/>
    <m/>
    <m/>
    <m/>
    <n v="6100000"/>
    <n v="174.4851258581236"/>
    <s v=" "/>
    <m/>
    <d v="2021-05-20T00:00:00"/>
    <x v="456"/>
    <s v="SVN; Cox"/>
    <x v="62"/>
    <s v="IL"/>
    <s v="Private"/>
    <m/>
    <m/>
    <m/>
    <s v=" "/>
    <s v=" "/>
    <m/>
    <s v=" "/>
    <s v=" "/>
    <s v=" "/>
    <m/>
    <s v=" "/>
  </r>
  <r>
    <m/>
    <s v="ICE"/>
    <s v="Federal"/>
    <s v="Fee Simple"/>
    <s v="310 E Knapp St"/>
    <s v="Milwaukee"/>
    <s v="WI"/>
    <n v="0.72"/>
    <n v="2001"/>
    <n v="48249"/>
    <n v="58429"/>
    <n v="0.8257714491091752"/>
    <m/>
    <s v=" "/>
    <n v="807500"/>
    <n v="13.82019202793134"/>
    <m/>
    <d v="2021-04-30T00:00:00"/>
    <d v="2016-04-30T00:00:00"/>
    <n v="-0.0547945205479452"/>
    <n v="-5.057534246575343"/>
    <s v="Modified Gross"/>
    <s v="None"/>
    <s v="None"/>
    <n v="4750000"/>
    <n v="81.2952472231255"/>
    <n v="0.17"/>
    <m/>
    <d v="2021-05-20T00:00:00"/>
    <x v="457"/>
    <s v="Colliers: Fardy"/>
    <x v="322"/>
    <s v="WI"/>
    <s v="Private"/>
    <m/>
    <m/>
    <m/>
    <s v=" "/>
    <s v=" "/>
    <m/>
    <s v=" "/>
    <s v=" "/>
    <s v=" "/>
    <m/>
    <s v=" "/>
  </r>
  <r>
    <s v="LWA07221"/>
    <s v="SSA"/>
    <s v="Federal"/>
    <s v="Fee Simple"/>
    <s v="2608 S 47th St"/>
    <s v="Tacoma"/>
    <s v="WA"/>
    <n v="1.87"/>
    <n v="1986"/>
    <n v="18622"/>
    <n v="20000"/>
    <n v="0.9311"/>
    <n v="564437.38"/>
    <n v="30.31024487165718"/>
    <n v="408594.38"/>
    <n v="20.429719"/>
    <d v="2012-09-17T00:00:00"/>
    <d v="2027-09-16T00:00:00"/>
    <d v="2022-09-16T00:00:00"/>
    <n v="6.334246575342465"/>
    <n v="1.331506849315069"/>
    <s v="Modified Gross"/>
    <s v="None"/>
    <s v="None"/>
    <n v="5900000"/>
    <n v="295"/>
    <n v="0.06925328474576271"/>
    <m/>
    <d v="2021-05-18T00:00:00"/>
    <x v="458"/>
    <s v="BW; Wells"/>
    <x v="1"/>
    <s v="IL"/>
    <s v="Private"/>
    <s v="Lee; Chevallier"/>
    <m/>
    <n v="6100000"/>
    <n v="0.06698268524590165"/>
    <n v="0.9672131147540983"/>
    <n v="6100000"/>
    <n v="0.06698268524590165"/>
    <n v="0.002270599499861067"/>
    <s v="No"/>
    <d v="2021-02-10T00:00:00"/>
    <n v="97"/>
  </r>
  <r>
    <m/>
    <s v="Monroe College"/>
    <s v="State"/>
    <s v="Fee Simple"/>
    <s v="17 Locust Ave"/>
    <s v="New Rochelle"/>
    <s v="NY"/>
    <n v="0.54"/>
    <n v="2018"/>
    <n v="49500"/>
    <n v="49500"/>
    <n v="1"/>
    <m/>
    <s v=" "/>
    <m/>
    <s v=" "/>
    <m/>
    <d v="2033-08-30T00:00:00"/>
    <d v="2033-08-30T00:00:00"/>
    <n v="12.2958904109589"/>
    <n v="12.2958904109589"/>
    <s v="NNN"/>
    <s v="2% annually"/>
    <s v="None"/>
    <n v="26000000"/>
    <n v="525.2525252525253"/>
    <s v=" "/>
    <m/>
    <d v="2021-05-17T00:00:00"/>
    <x v="459"/>
    <m/>
    <x v="323"/>
    <s v="NY"/>
    <s v="REIT"/>
    <m/>
    <m/>
    <m/>
    <s v=" "/>
    <s v=" "/>
    <m/>
    <s v=" "/>
    <s v=" "/>
    <s v=" "/>
    <m/>
    <s v=" "/>
  </r>
  <r>
    <s v="LMD00270"/>
    <s v="NCI"/>
    <s v="Federal"/>
    <s v="Leasehold"/>
    <s v="9615 Medical Center Dr"/>
    <s v="Rockville"/>
    <s v="MD"/>
    <n v="1.12"/>
    <n v="2019"/>
    <n v="65529"/>
    <n v="65529"/>
    <n v="1"/>
    <n v="2547219.75"/>
    <n v="38.87164080025637"/>
    <m/>
    <s v=" "/>
    <d v="2019-10-25T00:00:00"/>
    <d v="2034-10-24T00:00:00"/>
    <d v="2034-10-24T00:00:00"/>
    <n v="13.46301369863014"/>
    <n v="13.46301369863014"/>
    <s v="Modified Gross"/>
    <s v="None"/>
    <s v="None"/>
    <n v="40250000"/>
    <n v="614.2318668070625"/>
    <s v=" "/>
    <m/>
    <d v="2021-05-11T00:00:00"/>
    <x v="460"/>
    <s v="Eastdil"/>
    <x v="242"/>
    <s v="TX"/>
    <s v="Institutional"/>
    <m/>
    <m/>
    <m/>
    <s v=" "/>
    <s v=" "/>
    <m/>
    <s v=" "/>
    <s v=" "/>
    <s v=" "/>
    <m/>
    <s v=" "/>
  </r>
  <r>
    <m/>
    <s v="Raytheon"/>
    <s v="Contractor"/>
    <s v="Fee Simple"/>
    <s v="8985 Town Center Pky"/>
    <s v="Bradenton"/>
    <s v="FL"/>
    <n v="11.85"/>
    <n v="2004"/>
    <n v="106790"/>
    <n v="106790"/>
    <n v="1"/>
    <m/>
    <s v=" "/>
    <m/>
    <s v=" "/>
    <m/>
    <m/>
    <m/>
    <s v=" "/>
    <s v=" "/>
    <m/>
    <m/>
    <m/>
    <n v="21000000"/>
    <n v="196.6476261822268"/>
    <s v=" "/>
    <m/>
    <d v="2021-05-05T00:00:00"/>
    <x v="461"/>
    <m/>
    <x v="214"/>
    <s v="VA"/>
    <s v="Private"/>
    <m/>
    <m/>
    <m/>
    <s v=" "/>
    <s v=" "/>
    <m/>
    <s v=" "/>
    <s v=" "/>
    <s v=" "/>
    <m/>
    <s v=" "/>
  </r>
  <r>
    <m/>
    <s v="USPS"/>
    <s v="Federal"/>
    <s v="Fee Simple"/>
    <s v="8992 1st St"/>
    <s v="Sturgeon Lake"/>
    <s v="MN"/>
    <n v="0.32"/>
    <m/>
    <n v="1168"/>
    <n v="1168"/>
    <n v="1"/>
    <m/>
    <s v=" "/>
    <m/>
    <s v=" "/>
    <m/>
    <m/>
    <m/>
    <s v=" "/>
    <s v=" "/>
    <m/>
    <m/>
    <m/>
    <m/>
    <s v=" "/>
    <s v=" "/>
    <m/>
    <d v="2021-05-04T00:00:00"/>
    <x v="8"/>
    <m/>
    <x v="0"/>
    <m/>
    <m/>
    <m/>
    <m/>
    <m/>
    <s v=" "/>
    <s v=" "/>
    <m/>
    <s v=" "/>
    <s v=" "/>
    <s v=" "/>
    <m/>
    <s v=" "/>
  </r>
  <r>
    <s v="LUT00166"/>
    <s v="FWS"/>
    <s v="Federal"/>
    <s v="Fee Simple"/>
    <s v="1380 S 2350 W"/>
    <s v="Vernal"/>
    <s v="UT"/>
    <n v="1.27"/>
    <n v="2006"/>
    <n v="8324"/>
    <n v="8324"/>
    <n v="1"/>
    <n v="127167.12"/>
    <n v="15.27716482460356"/>
    <n v="95880"/>
    <n v="11.5185007208073"/>
    <d v="2020-03-01T00:00:00"/>
    <d v="2030-02-28T00:00:00"/>
    <d v="2028-02-28T00:00:00"/>
    <n v="8.827397260273973"/>
    <n v="6.824657534246575"/>
    <s v="Modified Gross"/>
    <s v="None"/>
    <s v="None"/>
    <n v="1050000"/>
    <n v="126.1412782316194"/>
    <n v="0.09131428571428571"/>
    <m/>
    <d v="2021-05-04T00:00:00"/>
    <x v="462"/>
    <s v="Colliers; Aders"/>
    <x v="324"/>
    <s v="UT"/>
    <s v="Private"/>
    <m/>
    <m/>
    <n v="1410000"/>
    <n v="0.068"/>
    <n v="0.7446808510638298"/>
    <n v="1350000"/>
    <n v="0.07102222222222222"/>
    <n v="0.02029206349206349"/>
    <s v="Yes"/>
    <m/>
    <s v=" "/>
  </r>
  <r>
    <m/>
    <s v="USPS"/>
    <s v="Federal"/>
    <s v="Fee Simple"/>
    <s v="1538 Tallahassee Blvd"/>
    <s v="Intercession City"/>
    <s v="FL"/>
    <n v="0.33"/>
    <n v="1976"/>
    <n v="2488"/>
    <n v="2488"/>
    <n v="1"/>
    <m/>
    <s v=" "/>
    <m/>
    <s v=" "/>
    <m/>
    <m/>
    <m/>
    <s v=" "/>
    <s v=" "/>
    <m/>
    <m/>
    <m/>
    <n v="417000"/>
    <n v="167.6045016077171"/>
    <s v=" "/>
    <m/>
    <d v="2021-05-03T00:00:00"/>
    <x v="463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1542 16th St W"/>
    <s v="Williston"/>
    <s v="ND"/>
    <n v="1.89"/>
    <n v="1914"/>
    <n v="7779"/>
    <n v="10793"/>
    <n v="0.7207449272676735"/>
    <m/>
    <s v=" "/>
    <m/>
    <s v=" "/>
    <m/>
    <m/>
    <m/>
    <s v=" "/>
    <s v=" "/>
    <m/>
    <m/>
    <m/>
    <m/>
    <s v=" "/>
    <s v=" "/>
    <m/>
    <d v="2021-04-30T00:00:00"/>
    <x v="464"/>
    <s v="Aspen Group"/>
    <x v="325"/>
    <s v="ND"/>
    <s v="Private"/>
    <m/>
    <m/>
    <n v="4250000"/>
    <s v=" "/>
    <s v=" "/>
    <n v="4250000"/>
    <s v=" "/>
    <s v=" "/>
    <s v="No"/>
    <d v="2020-03-23T00:00:00"/>
    <n v="403"/>
  </r>
  <r>
    <m/>
    <s v="USPS"/>
    <s v="Federal"/>
    <s v="Fee Simple"/>
    <s v="12 Cooley Rd"/>
    <s v="Parksville"/>
    <s v="NY"/>
    <n v="1.05"/>
    <n v="1992"/>
    <n v="3999"/>
    <n v="3999"/>
    <n v="1"/>
    <m/>
    <s v=" "/>
    <m/>
    <s v=" "/>
    <m/>
    <m/>
    <m/>
    <s v=" "/>
    <s v=" "/>
    <m/>
    <m/>
    <m/>
    <n v="960000"/>
    <n v="240.0600150037509"/>
    <s v=" "/>
    <m/>
    <d v="2021-04-28T00:00:00"/>
    <x v="465"/>
    <m/>
    <x v="66"/>
    <s v="CA"/>
    <s v="Private"/>
    <m/>
    <m/>
    <m/>
    <s v=" "/>
    <s v=" "/>
    <m/>
    <s v=" "/>
    <s v=" "/>
    <s v=" "/>
    <m/>
    <s v=" "/>
  </r>
  <r>
    <s v="LIL00408"/>
    <s v="USAO"/>
    <s v="Federal"/>
    <s v="Fee Simple"/>
    <s v="318 S 6th St"/>
    <s v="Springfield"/>
    <s v="IL"/>
    <n v="0.5"/>
    <n v="2002"/>
    <n v="43600"/>
    <n v="43600"/>
    <n v="1"/>
    <n v="1347420"/>
    <n v="30.90412844036697"/>
    <n v="1263964"/>
    <n v="28.99"/>
    <d v="2018-04-01T00:00:00"/>
    <d v="2038-03-31T00:00:00"/>
    <d v="2028-03-31T00:00:00"/>
    <n v="16.93698630136986"/>
    <n v="6.931506849315069"/>
    <s v="Modified Gross"/>
    <s v="None"/>
    <s v="None"/>
    <n v="19300000"/>
    <n v="442.6605504587156"/>
    <n v="0.06549036269430052"/>
    <m/>
    <d v="2021-04-27T00:00:00"/>
    <x v="466"/>
    <s v="Bull; Neal"/>
    <x v="3"/>
    <s v="DC"/>
    <s v="REIT"/>
    <m/>
    <m/>
    <m/>
    <s v=" "/>
    <s v=" "/>
    <m/>
    <s v=" "/>
    <s v=" "/>
    <s v=" "/>
    <d v="2021-01-22T00:00:00"/>
    <n v="95"/>
  </r>
  <r>
    <m/>
    <s v="USPS"/>
    <s v="Federal"/>
    <s v="Fee Simple"/>
    <s v="4080 15th Ave SW"/>
    <s v="Naples"/>
    <s v="FL"/>
    <n v="2.04"/>
    <n v="1998"/>
    <n v="13575"/>
    <n v="13575"/>
    <n v="1"/>
    <m/>
    <s v=" "/>
    <m/>
    <s v=" "/>
    <m/>
    <d v="2025-01-31T00:00:00"/>
    <m/>
    <n v="3.780821917808219"/>
    <s v=" "/>
    <s v="Rider"/>
    <m/>
    <m/>
    <n v="2075000"/>
    <n v="152.8545119705341"/>
    <s v=" "/>
    <m/>
    <d v="2021-04-22T00:00:00"/>
    <x v="467"/>
    <m/>
    <x v="66"/>
    <s v="CA"/>
    <s v="Private"/>
    <m/>
    <m/>
    <m/>
    <s v=" "/>
    <s v=" "/>
    <m/>
    <s v=" "/>
    <s v=" "/>
    <s v=" "/>
    <m/>
    <s v=" "/>
  </r>
  <r>
    <m/>
    <m/>
    <s v="State"/>
    <s v="Fee Simple"/>
    <s v="8661 Citizens Dr"/>
    <s v="New Port Richey"/>
    <s v="FL"/>
    <n v="4.87"/>
    <n v="2009"/>
    <n v="50449"/>
    <n v="50449"/>
    <n v="1"/>
    <m/>
    <s v=" "/>
    <m/>
    <s v=" "/>
    <m/>
    <m/>
    <m/>
    <s v=" "/>
    <s v=" "/>
    <m/>
    <m/>
    <m/>
    <n v="14000000"/>
    <n v="277.5079783543777"/>
    <s v=" "/>
    <m/>
    <d v="2021-04-22T00:00:00"/>
    <x v="468"/>
    <s v="Direct"/>
    <x v="326"/>
    <s v="FL"/>
    <s v="User/Owner"/>
    <m/>
    <m/>
    <m/>
    <s v=" "/>
    <s v=" "/>
    <m/>
    <s v=" "/>
    <s v=" "/>
    <s v=" "/>
    <m/>
    <s v=" "/>
  </r>
  <r>
    <m/>
    <s v="DC"/>
    <s v="Federal"/>
    <s v="Fee Simple"/>
    <s v="64 New York Ave NE"/>
    <s v="Washington"/>
    <s v="DC"/>
    <n v="2.97"/>
    <n v="1909"/>
    <n v="339520"/>
    <n v="355034"/>
    <n v="0.9563027766354771"/>
    <m/>
    <s v=" "/>
    <n v="12476429.9595"/>
    <n v="35.14150745984891"/>
    <m/>
    <d v="2026-04-30T00:00:00"/>
    <m/>
    <n v="5.024657534246575"/>
    <s v=" "/>
    <s v="Modified Gross"/>
    <s v="2% annually"/>
    <s v="FMV, 1, 5 year"/>
    <n v="201750000"/>
    <n v="568.2554346907621"/>
    <n v="0.06184104069144981"/>
    <m/>
    <d v="2021-04-22T00:00:00"/>
    <x v="469"/>
    <s v="Direct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930-932 Furman Dr"/>
    <s v="Waupaca"/>
    <s v="WI"/>
    <n v="1.5"/>
    <n v="2000"/>
    <n v="1111"/>
    <n v="6171"/>
    <n v="0.1800356506238859"/>
    <n v="133516"/>
    <n v="120.1764176417642"/>
    <n v="121112"/>
    <n v="19.62599254577864"/>
    <d v="2016-01-01T00:00:00"/>
    <d v="2026-01-28T00:00:00"/>
    <d v="2021-01-28T00:00:00"/>
    <n v="4.778082191780822"/>
    <n v="-0.2246575342465753"/>
    <s v="Modified Gross"/>
    <s v="None; DVA 2% annually"/>
    <s v="3, 5yr"/>
    <n v="1475000"/>
    <n v="239.0212283260412"/>
    <n v="0.08210983050847458"/>
    <m/>
    <d v="2021-04-20T00:00:00"/>
    <x v="470"/>
    <s v="SJC; Harf"/>
    <x v="327"/>
    <m/>
    <m/>
    <m/>
    <m/>
    <n v="1595000"/>
    <n v="0.07593228840125392"/>
    <n v="0.9247648902821317"/>
    <n v="1595000"/>
    <n v="0.07593228840125392"/>
    <n v="0.006177542107220657"/>
    <s v="No"/>
    <d v="2021-01-26T00:00:00"/>
    <n v="84"/>
  </r>
  <r>
    <m/>
    <s v="ATC"/>
    <s v="State"/>
    <s v="Fee Simple"/>
    <s v="601-613 Main St"/>
    <s v="Peoria"/>
    <s v="IL"/>
    <m/>
    <n v="1972"/>
    <n v="40697"/>
    <n v="40697"/>
    <n v="1"/>
    <n v="465500"/>
    <n v="11.43818954714107"/>
    <n v="329979"/>
    <n v="8.108189792859424"/>
    <d v="2019-11-01T00:00:00"/>
    <d v="2024-10-31T00:00:00"/>
    <m/>
    <n v="3.536986301369863"/>
    <s v=" "/>
    <s v="Full Service"/>
    <s v="2% every 2 years"/>
    <s v="1, 5 year"/>
    <n v="2800000"/>
    <n v="68.80114013317935"/>
    <n v="0.1178496428571429"/>
    <m/>
    <d v="2021-04-19T00:00:00"/>
    <x v="471"/>
    <s v="SJC; Corriston"/>
    <x v="328"/>
    <s v="IL"/>
    <s v="Private"/>
    <m/>
    <m/>
    <n v="3240000"/>
    <n v="0.1018453703703704"/>
    <n v="0.8641975308641975"/>
    <n v="3240000"/>
    <n v="0.1018453703703704"/>
    <n v="0.0160042724867725"/>
    <s v="No"/>
    <m/>
    <s v=" "/>
  </r>
  <r>
    <m/>
    <s v="BOCES"/>
    <s v="State"/>
    <s v="Fee Simple"/>
    <s v="900 Watervliet Shaker Rd"/>
    <s v="Albany"/>
    <s v="NY"/>
    <n v="19.7"/>
    <n v="2001"/>
    <n v="115200"/>
    <n v="144000"/>
    <n v="0.8"/>
    <m/>
    <s v=" "/>
    <m/>
    <s v=" "/>
    <m/>
    <d v="2041-06-30T00:00:00"/>
    <m/>
    <n v="20.22191780821918"/>
    <s v=" "/>
    <s v="Full Service"/>
    <s v="2% annually"/>
    <m/>
    <n v="16000000"/>
    <n v="111.1111111111111"/>
    <s v=" "/>
    <m/>
    <d v="2021-04-15T00:00:00"/>
    <x v="472"/>
    <m/>
    <x v="329"/>
    <s v="FL"/>
    <s v="Private"/>
    <m/>
    <m/>
    <m/>
    <s v=" "/>
    <s v=" "/>
    <m/>
    <s v=" "/>
    <s v=" "/>
    <s v=" "/>
    <m/>
    <s v=" "/>
  </r>
  <r>
    <m/>
    <s v="VA"/>
    <s v="Federal"/>
    <s v="Fee Simple"/>
    <s v="6002 N Mayfair St"/>
    <s v="Spokane"/>
    <s v="WA"/>
    <n v="0.86"/>
    <n v="1995"/>
    <n v="13722"/>
    <n v="13722"/>
    <n v="1"/>
    <m/>
    <s v=" "/>
    <n v="500408"/>
    <n v="36.46757032502551"/>
    <m/>
    <d v="2026-03-31T00:00:00"/>
    <d v="2026-03-31T00:00:00"/>
    <n v="4.961643835616439"/>
    <n v="4.961643835616439"/>
    <s v="Modified Gross"/>
    <s v="None"/>
    <s v="2, 5yr"/>
    <n v="6000000"/>
    <n v="437.2540445999126"/>
    <n v="0.08340133333333333"/>
    <m/>
    <d v="2021-04-15T00:00:00"/>
    <x v="473"/>
    <s v="DC; Daines"/>
    <x v="330"/>
    <s v="OR"/>
    <s v="Private"/>
    <s v="CP; Gellner"/>
    <m/>
    <n v="6959777"/>
    <n v="0.07190000484210916"/>
    <n v="0.8620965872900813"/>
    <n v="6959777"/>
    <n v="0.07190000484210916"/>
    <n v="0.01150132849122416"/>
    <s v="No"/>
    <d v="2019-09-30T00:00:00"/>
    <n v="563"/>
  </r>
  <r>
    <m/>
    <s v="ABH"/>
    <s v="State"/>
    <s v="Fee Simple"/>
    <s v="2045 NE Silverton Rd"/>
    <s v="Salem"/>
    <s v="OR"/>
    <n v="3.12"/>
    <n v="2021"/>
    <n v="34390"/>
    <n v="34390"/>
    <n v="1"/>
    <m/>
    <s v=" "/>
    <m/>
    <s v=" "/>
    <m/>
    <m/>
    <m/>
    <s v=" "/>
    <s v=" "/>
    <m/>
    <m/>
    <m/>
    <n v="17700000"/>
    <n v="514.6845013085199"/>
    <s v=" "/>
    <m/>
    <d v="2021-04-13T00:00:00"/>
    <x v="474"/>
    <m/>
    <x v="1"/>
    <s v="IL"/>
    <s v="Private"/>
    <m/>
    <m/>
    <m/>
    <s v=" "/>
    <s v=" "/>
    <m/>
    <s v=" "/>
    <s v=" "/>
    <s v=" "/>
    <m/>
    <s v=" "/>
  </r>
  <r>
    <m/>
    <s v="VA/VMOP"/>
    <s v="Federal"/>
    <s v="Fee Simple"/>
    <s v="3675 E Brittania Dr"/>
    <s v="Tucson"/>
    <s v="AZ"/>
    <n v="5.44"/>
    <n v="2004"/>
    <n v="85588"/>
    <n v="85588"/>
    <n v="1"/>
    <n v="828928"/>
    <n v="9.685096041501145"/>
    <n v="640000"/>
    <n v="7.477683787446838"/>
    <m/>
    <d v="2024-12-31T00:00:00"/>
    <d v="2024-12-31T00:00:00"/>
    <n v="3.720547945205479"/>
    <n v="3.720547945205479"/>
    <s v="NN"/>
    <s v="None"/>
    <s v="None"/>
    <n v="9125378"/>
    <n v="106.6198298826938"/>
    <n v="0.07013408102108208"/>
    <m/>
    <d v="2021-04-13T00:00:00"/>
    <x v="475"/>
    <s v="Terramar"/>
    <x v="331"/>
    <s v="DC"/>
    <s v="User/Owner"/>
    <m/>
    <m/>
    <n v="12800000"/>
    <n v="0.05"/>
    <n v="0.71292015625"/>
    <n v="12800000"/>
    <n v="0.05"/>
    <n v="0.02013408102108208"/>
    <s v="No"/>
    <d v="2020-08-04T00:00:00"/>
    <n v="252"/>
  </r>
  <r>
    <m/>
    <s v="VA"/>
    <s v="Federal"/>
    <s v="Fee Simple"/>
    <s v="13663 Mono Way"/>
    <s v="Sonora"/>
    <s v="CA"/>
    <n v="0.5"/>
    <n v="2009"/>
    <n v="8000"/>
    <n v="8000"/>
    <n v="1"/>
    <m/>
    <s v=" "/>
    <n v="268545"/>
    <n v="33.568125"/>
    <m/>
    <d v="2032-04-30T00:00:00"/>
    <d v="2027-04-30T00:00:00"/>
    <n v="11.06575342465753"/>
    <n v="6.06027397260274"/>
    <s v="Full Service"/>
    <s v="None"/>
    <s v="None"/>
    <n v="4000000"/>
    <n v="500"/>
    <n v="0.06713624999999999"/>
    <m/>
    <d v="2021-04-09T00:00:00"/>
    <x v="476"/>
    <s v="C&amp;W; Trauttvetter"/>
    <x v="332"/>
    <s v="CA"/>
    <s v="Private"/>
    <m/>
    <m/>
    <m/>
    <s v=" "/>
    <s v=" "/>
    <m/>
    <s v=" "/>
    <s v=" "/>
    <s v=" "/>
    <m/>
    <s v=" "/>
  </r>
  <r>
    <m/>
    <s v="USPS"/>
    <s v="Federal"/>
    <s v="Fee Simple"/>
    <s v="9157 Wall Triana Hwy"/>
    <s v="Harvest"/>
    <s v="AL"/>
    <n v="0.98"/>
    <n v="1989"/>
    <n v="3676"/>
    <n v="3676"/>
    <n v="1"/>
    <m/>
    <s v=" "/>
    <m/>
    <s v=" "/>
    <m/>
    <m/>
    <m/>
    <s v=" "/>
    <s v=" "/>
    <m/>
    <m/>
    <m/>
    <n v="527000"/>
    <n v="143.3623503808487"/>
    <s v=" "/>
    <m/>
    <d v="2021-04-07T00:00:00"/>
    <x v="477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95 Sam Ellis Dr"/>
    <s v="Rainsville"/>
    <s v="AL"/>
    <n v="0.79"/>
    <n v="1989"/>
    <n v="4028"/>
    <n v="4028"/>
    <n v="1"/>
    <m/>
    <s v=" "/>
    <m/>
    <s v=" "/>
    <m/>
    <m/>
    <m/>
    <s v=" "/>
    <s v=" "/>
    <m/>
    <m/>
    <m/>
    <n v="353000"/>
    <n v="87.63654419066535"/>
    <s v=" "/>
    <m/>
    <d v="2021-04-07T00:00:00"/>
    <x v="478"/>
    <m/>
    <x v="66"/>
    <s v="CA"/>
    <s v="Private"/>
    <m/>
    <m/>
    <m/>
    <s v=" "/>
    <s v=" "/>
    <m/>
    <s v=" "/>
    <s v=" "/>
    <s v=" "/>
    <m/>
    <s v=" "/>
  </r>
  <r>
    <m/>
    <s v="Community College"/>
    <s v="State"/>
    <s v="Fee Simple"/>
    <s v="2121 Miller Dr"/>
    <s v="Longmont"/>
    <s v="CO"/>
    <n v="7.79"/>
    <n v="1988"/>
    <n v="117106"/>
    <n v="117106"/>
    <n v="1"/>
    <m/>
    <s v=" "/>
    <n v="1293600"/>
    <n v="11.04640240465903"/>
    <m/>
    <d v="2028-10-30T00:00:00"/>
    <d v="2028-10-30T00:00:00"/>
    <n v="7.575342465753424"/>
    <n v="7.575342465753424"/>
    <s v="NNN"/>
    <m/>
    <m/>
    <n v="17600000"/>
    <n v="150.2911891790344"/>
    <n v="0.0735"/>
    <m/>
    <d v="2021-04-05T00:00:00"/>
    <x v="461"/>
    <s v="C&amp;W; Trauttvetter"/>
    <x v="62"/>
    <s v="IL"/>
    <s v="Private"/>
    <m/>
    <m/>
    <m/>
    <s v=" "/>
    <s v=" "/>
    <m/>
    <s v=" "/>
    <s v=" "/>
    <s v=" "/>
    <m/>
    <s v=" "/>
  </r>
  <r>
    <s v="LGA01892"/>
    <s v="CBP"/>
    <s v="Federal"/>
    <s v="Fee Simple"/>
    <s v="139 Southern Blvd"/>
    <s v="Savannah"/>
    <s v="GA"/>
    <n v="3.89"/>
    <n v="2007"/>
    <n v="16211"/>
    <n v="16211"/>
    <n v="1"/>
    <n v="469308.45"/>
    <n v="28.95"/>
    <m/>
    <s v=" "/>
    <d v="2020-09-10T00:00:00"/>
    <d v="2025-09-09T00:00:00"/>
    <d v="2023-09-10T00:00:00"/>
    <n v="4.432876712328767"/>
    <n v="2.432876712328767"/>
    <s v="Modified Gross"/>
    <s v="None"/>
    <s v="None"/>
    <n v="4050000"/>
    <n v="249.8303620998088"/>
    <s v=" "/>
    <m/>
    <d v="2021-04-05T00:00:00"/>
    <x v="479"/>
    <s v="Colliers; Ficke"/>
    <x v="29"/>
    <s v="IL"/>
    <s v="Private"/>
    <m/>
    <m/>
    <m/>
    <s v=" "/>
    <s v=" "/>
    <m/>
    <s v=" "/>
    <s v=" "/>
    <s v=" "/>
    <m/>
    <s v=" "/>
  </r>
  <r>
    <m/>
    <s v="Workforce Services"/>
    <s v="State"/>
    <s v="Fee Simple"/>
    <s v="5221 Yellowstone Rd"/>
    <s v="Cheyenne"/>
    <s v="WY"/>
    <n v="5.88"/>
    <n v="2019"/>
    <n v="77638"/>
    <n v="77638"/>
    <n v="1"/>
    <n v="1425433"/>
    <n v="18.3599912414024"/>
    <n v="1310638.44"/>
    <n v="16.88140395167315"/>
    <d v="2018-02-01T00:00:00"/>
    <d v="2038-01-31T00:00:00"/>
    <d v="2038-01-31T00:00:00"/>
    <n v="16.84383561643835"/>
    <n v="16.84383561643835"/>
    <s v="Full Service"/>
    <s v="2% annually"/>
    <s v="None"/>
    <n v="23500000"/>
    <n v="302.6868286148535"/>
    <n v="0.05577184851063829"/>
    <m/>
    <d v="2021-04-02T00:00:00"/>
    <x v="480"/>
    <s v="Integrated"/>
    <x v="1"/>
    <s v="IL"/>
    <s v="Private"/>
    <s v="C&amp;W; Goodman"/>
    <m/>
    <m/>
    <s v=" "/>
    <s v=" "/>
    <m/>
    <s v=" "/>
    <s v=" "/>
    <s v=" "/>
    <d v="2021-01-12T00:00:00"/>
    <n v="80"/>
  </r>
  <r>
    <m/>
    <s v="USPS"/>
    <s v="Federal"/>
    <s v="Fee Simple"/>
    <s v="2613 Empire Ranch Rd"/>
    <s v="Carson City"/>
    <s v="NV"/>
    <n v="1.38"/>
    <n v="1999"/>
    <n v="8392"/>
    <n v="8392"/>
    <n v="1"/>
    <m/>
    <s v=" "/>
    <n v="158398.8"/>
    <n v="18.87497616777884"/>
    <m/>
    <d v="2024-07-01T00:00:00"/>
    <m/>
    <n v="3.252054794520548"/>
    <s v=" "/>
    <s v="Modified Gross"/>
    <s v="In Options"/>
    <s v="1, 5 year"/>
    <n v="2100000"/>
    <n v="250.2383222116301"/>
    <n v="0.07542800000000001"/>
    <m/>
    <d v="2021-04-01T00:00:00"/>
    <x v="481"/>
    <m/>
    <x v="66"/>
    <s v="CA"/>
    <s v="Private"/>
    <m/>
    <m/>
    <m/>
    <s v=" "/>
    <s v=" "/>
    <m/>
    <s v=" "/>
    <s v=" "/>
    <s v=" "/>
    <m/>
    <s v=" "/>
  </r>
  <r>
    <s v="LCA02990"/>
    <s v="USGS"/>
    <s v="Federal"/>
    <s v="Fee Simple"/>
    <s v="1020 O'Brien Dr"/>
    <s v="Menlo Park"/>
    <s v="CA"/>
    <n v="1.1"/>
    <n v="1993"/>
    <n v="20000"/>
    <n v="20000"/>
    <n v="1"/>
    <n v="270375.47"/>
    <n v="13.5187735"/>
    <m/>
    <s v=" "/>
    <d v="2013-06-01T00:00:00"/>
    <d v="2023-05-31T00:00:00"/>
    <d v="2018-05-31T00:00:00"/>
    <n v="2.164383561643836"/>
    <n v="-2.838356164383562"/>
    <s v="Modified Gross"/>
    <s v="None"/>
    <s v="None"/>
    <n v="9200000"/>
    <n v="460"/>
    <s v=" "/>
    <m/>
    <d v="2021-04-01T00:00:00"/>
    <x v="482"/>
    <m/>
    <x v="333"/>
    <m/>
    <s v="Private"/>
    <m/>
    <m/>
    <m/>
    <s v=" "/>
    <s v=" "/>
    <m/>
    <s v=" "/>
    <s v=" "/>
    <s v=" "/>
    <m/>
    <s v=" "/>
  </r>
  <r>
    <m/>
    <s v="Embassy"/>
    <s v="Federal"/>
    <s v="Fee Simple"/>
    <s v="2230 Gallows Rd"/>
    <s v="Vienna"/>
    <s v="VA"/>
    <n v="2.06"/>
    <n v="1987"/>
    <m/>
    <n v="57687"/>
    <s v=" "/>
    <m/>
    <s v=" "/>
    <m/>
    <s v=" "/>
    <m/>
    <m/>
    <m/>
    <s v=" "/>
    <s v=" "/>
    <m/>
    <m/>
    <m/>
    <n v="16750000"/>
    <n v="290.3600464576074"/>
    <s v=" "/>
    <m/>
    <d v="2021-04-01T00:00:00"/>
    <x v="483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73 US Highway 41a S"/>
    <s v="Dixon"/>
    <s v="KY"/>
    <n v="0.12"/>
    <m/>
    <n v="1325"/>
    <n v="1325"/>
    <n v="1"/>
    <m/>
    <s v=" "/>
    <m/>
    <s v=" "/>
    <m/>
    <m/>
    <m/>
    <s v=" "/>
    <s v=" "/>
    <m/>
    <m/>
    <m/>
    <n v="115000"/>
    <n v="86.79245283018868"/>
    <s v=" "/>
    <m/>
    <d v="2021-03-31T00:00:00"/>
    <x v="8"/>
    <m/>
    <x v="66"/>
    <s v="CA"/>
    <s v="Private"/>
    <m/>
    <m/>
    <m/>
    <s v=" "/>
    <s v=" "/>
    <m/>
    <s v=" "/>
    <s v=" "/>
    <s v=" "/>
    <m/>
    <s v=" "/>
  </r>
  <r>
    <m/>
    <s v="USPS &amp; USDA"/>
    <s v="Federal"/>
    <s v="Fee Simple"/>
    <s v="7519 E Co-86 Hwy"/>
    <s v="Franktown"/>
    <s v="CO"/>
    <n v="1.43"/>
    <n v="1975"/>
    <n v="5998"/>
    <n v="5998"/>
    <n v="1"/>
    <n v="142614"/>
    <n v="23.77692564188063"/>
    <n v="112561"/>
    <n v="18.76642214071357"/>
    <d v="2019-01-01T00:00:00"/>
    <d v="2024-12-31T00:00:00"/>
    <d v="2024-12-31T00:00:00"/>
    <n v="3.756164383561644"/>
    <n v="3.756164383561644"/>
    <s v="Rider"/>
    <s v="None"/>
    <s v="None"/>
    <n v="1325000"/>
    <n v="220.9069689896632"/>
    <n v="0.08495169811320755"/>
    <m/>
    <d v="2021-03-31T00:00:00"/>
    <x v="484"/>
    <s v="TCP; Harrison"/>
    <x v="334"/>
    <s v="CA"/>
    <s v="Private"/>
    <m/>
    <m/>
    <n v="1400000"/>
    <n v="0.08040071428571428"/>
    <n v="0.9464285714285714"/>
    <n v="1400000"/>
    <n v="0.08040071428571428"/>
    <n v="0.004550983827493263"/>
    <s v="No"/>
    <d v="2020-08-17T00:00:00"/>
    <n v="226"/>
  </r>
  <r>
    <m/>
    <s v="USPS"/>
    <s v="Federal"/>
    <s v="Fee Simple"/>
    <s v="455 Concord Pky N"/>
    <s v="Concord"/>
    <s v="NC"/>
    <n v="3.1546"/>
    <n v="1998"/>
    <n v="18430"/>
    <n v="18430"/>
    <n v="1"/>
    <m/>
    <s v=" "/>
    <m/>
    <s v=" "/>
    <m/>
    <m/>
    <m/>
    <s v=" "/>
    <s v=" "/>
    <m/>
    <m/>
    <m/>
    <n v="2390000"/>
    <n v="129.6798697775366"/>
    <s v=" "/>
    <m/>
    <d v="2021-03-30T00:00:00"/>
    <x v="485"/>
    <m/>
    <x v="66"/>
    <s v="CA"/>
    <s v="Private"/>
    <m/>
    <m/>
    <m/>
    <s v=" "/>
    <s v=" "/>
    <m/>
    <s v=" "/>
    <s v=" "/>
    <s v=" "/>
    <m/>
    <s v=" "/>
  </r>
  <r>
    <s v="LGA60375"/>
    <s v="SSA"/>
    <s v="Federal"/>
    <s v="Fee Simple"/>
    <s v="2565 NW Thompson Bridge Rd"/>
    <s v="Gainesville"/>
    <s v="GA"/>
    <n v="4.6"/>
    <n v="2001"/>
    <n v="17844"/>
    <n v="49830"/>
    <n v="0.3580975316074654"/>
    <n v="569783"/>
    <n v="31.93134947321228"/>
    <n v="497620"/>
    <n v="9.986353602247641"/>
    <d v="2019-03-01T00:00:00"/>
    <d v="2029-02-28T00:00:00"/>
    <d v="2023-04-01T00:00:00"/>
    <n v="7.923287671232877"/>
    <n v="2.005479452054795"/>
    <s v="Modified Gross"/>
    <s v="None"/>
    <s v="None"/>
    <n v="6500000"/>
    <n v="130.4435079269516"/>
    <n v="0.07655692307692308"/>
    <m/>
    <d v="2021-03-30T00:00:00"/>
    <x v="486"/>
    <s v="AY; Joyner"/>
    <x v="335"/>
    <s v="GA"/>
    <s v="Private"/>
    <s v="PLM; Allen"/>
    <m/>
    <n v="6950000"/>
    <n v="0.0716"/>
    <n v="0.935251798561151"/>
    <n v="6950000"/>
    <n v="0.0716"/>
    <n v="0.004956923076923081"/>
    <s v="No"/>
    <d v="2020-12-31T00:00:00"/>
    <n v="89"/>
  </r>
  <r>
    <m/>
    <s v="USPS"/>
    <s v="Federal"/>
    <s v="Fee Simple"/>
    <s v="113 High St"/>
    <s v="Hogansville"/>
    <s v="GA"/>
    <n v="1.17"/>
    <m/>
    <n v="5016"/>
    <n v="5016"/>
    <n v="1"/>
    <m/>
    <s v=" "/>
    <m/>
    <s v=" "/>
    <m/>
    <d v="2023-08-31T00:00:00"/>
    <m/>
    <n v="2.421917808219178"/>
    <s v=" "/>
    <s v="Rider"/>
    <m/>
    <m/>
    <n v="513000"/>
    <n v="102.2727272727273"/>
    <s v=" "/>
    <m/>
    <d v="2021-03-30T00:00:00"/>
    <x v="478"/>
    <m/>
    <x v="66"/>
    <s v="CA"/>
    <s v="Private"/>
    <m/>
    <m/>
    <m/>
    <s v=" "/>
    <s v=" "/>
    <m/>
    <s v=" "/>
    <s v=" "/>
    <s v=" "/>
    <m/>
    <s v=" "/>
  </r>
  <r>
    <m/>
    <s v="Behavior Health"/>
    <s v="Municipal"/>
    <s v="Fee Simple"/>
    <s v="6302 13th Ave"/>
    <s v="Lucerne"/>
    <s v="CA"/>
    <n v="0.09"/>
    <n v="2011"/>
    <n v="11157"/>
    <n v="11157"/>
    <n v="1"/>
    <n v="263357"/>
    <n v="23.6046428251322"/>
    <n v="222669"/>
    <n v="19.95778435063189"/>
    <d v="2011-12-15T00:00:00"/>
    <d v="2031-12-14T00:00:00"/>
    <m/>
    <n v="10.71780821917808"/>
    <s v=" "/>
    <s v="NN"/>
    <s v="5% every 5"/>
    <s v="None"/>
    <n v="2800000"/>
    <n v="250.9635206596755"/>
    <n v="0.07952464285714286"/>
    <m/>
    <d v="2021-03-29T00:00:00"/>
    <x v="487"/>
    <s v="CP; Lucas"/>
    <x v="336"/>
    <m/>
    <m/>
    <m/>
    <m/>
    <n v="3091965"/>
    <n v="0.07201536886737075"/>
    <n v="0.9055729932259906"/>
    <n v="2922170"/>
    <n v="0.07619987885715068"/>
    <n v="0.003324763999992181"/>
    <s v="Yes"/>
    <d v="2020-10-07T00:00:00"/>
    <n v="173"/>
  </r>
  <r>
    <m/>
    <s v="SSA"/>
    <s v="Federal"/>
    <s v="Fee Simple"/>
    <s v="19501 E 8 Mile Rd"/>
    <s v="St. Clair Shores"/>
    <s v="MI"/>
    <n v="1.34"/>
    <n v="1979"/>
    <n v="8820"/>
    <n v="8820"/>
    <n v="1"/>
    <n v="305033"/>
    <n v="34.58424036281179"/>
    <n v="213325"/>
    <n v="24.18650793650794"/>
    <d v="2020-05-01T00:00:00"/>
    <d v="2030-04-30T00:00:00"/>
    <d v="2030-04-30T00:00:00"/>
    <n v="9.093150684931507"/>
    <n v="9.093150684931507"/>
    <s v="Modified Gross"/>
    <s v="TI Bleeds Off"/>
    <s v="None"/>
    <n v="2533400"/>
    <n v="287.233560090703"/>
    <n v="0.0842050209205021"/>
    <m/>
    <d v="2021-03-29T00:00:00"/>
    <x v="488"/>
    <s v="SJC; Hellwig"/>
    <x v="337"/>
    <s v="OH"/>
    <s v="Private"/>
    <s v="John Hoty"/>
    <m/>
    <n v="2700000"/>
    <n v="0.07900925925925927"/>
    <n v="0.9382962962962963"/>
    <n v="3100000"/>
    <n v="0.06881451612903226"/>
    <n v="0.01539050479146983"/>
    <s v="Yes"/>
    <m/>
    <s v=" "/>
  </r>
  <r>
    <m/>
    <s v="USPS"/>
    <s v="Federal"/>
    <s v="Fee Simple"/>
    <s v="1900 N Us Highway 129"/>
    <s v="Bell"/>
    <s v="FL"/>
    <n v="2.016"/>
    <n v="1999"/>
    <n v="6541"/>
    <n v="6541"/>
    <n v="1"/>
    <m/>
    <s v=" "/>
    <m/>
    <s v=" "/>
    <m/>
    <m/>
    <m/>
    <s v=" "/>
    <s v=" "/>
    <m/>
    <m/>
    <m/>
    <m/>
    <s v=" "/>
    <s v=" "/>
    <m/>
    <d v="2021-03-27T00:00:00"/>
    <x v="8"/>
    <m/>
    <x v="66"/>
    <s v="CA"/>
    <s v="Private"/>
    <m/>
    <m/>
    <m/>
    <s v=" "/>
    <s v=" "/>
    <m/>
    <s v=" "/>
    <s v=" "/>
    <s v=" "/>
    <m/>
    <s v=" "/>
  </r>
  <r>
    <s v="LTX17502"/>
    <s v="DEA"/>
    <s v="Federal"/>
    <s v="Fee Simple"/>
    <s v="1111 Southern Minerials Rd"/>
    <s v="Corpus Christi"/>
    <s v="TX"/>
    <n v="4.86"/>
    <n v="2019"/>
    <n v="28100"/>
    <n v="28100"/>
    <n v="1"/>
    <n v="1086512"/>
    <n v="38.66590747330961"/>
    <n v="929000"/>
    <n v="33.06049822064057"/>
    <d v="2019-09-01T00:00:00"/>
    <d v="2034-08-31T00:00:00"/>
    <d v="2034-08-31T00:00:00"/>
    <n v="13.44109589041096"/>
    <n v="13.44109589041096"/>
    <s v="Modified Gross"/>
    <s v="None"/>
    <s v="None"/>
    <n v="16000000"/>
    <n v="569.3950177935943"/>
    <n v="0.0580625"/>
    <m/>
    <d v="2021-03-26T00:00:00"/>
    <x v="489"/>
    <s v="Genesis; Barton"/>
    <x v="307"/>
    <s v="TX"/>
    <s v="Private"/>
    <s v="John Bailey"/>
    <m/>
    <m/>
    <s v=" "/>
    <s v=" "/>
    <m/>
    <s v=" "/>
    <s v=" "/>
    <s v=" "/>
    <d v="2020-05-17T00:00:00"/>
    <n v="313"/>
  </r>
  <r>
    <s v="LMI17891"/>
    <s v="FBI"/>
    <s v="Federal"/>
    <s v="Fee Simple"/>
    <s v="1025 Commerce Dr"/>
    <s v="Marquette"/>
    <s v="MI"/>
    <n v="1.2"/>
    <n v="2008"/>
    <n v="5175"/>
    <n v="8112"/>
    <n v="0.6379437869822485"/>
    <n v="155503.32"/>
    <n v="30.04895072463768"/>
    <m/>
    <s v=" "/>
    <d v="2011-05-25T00:00:00"/>
    <d v="2026-05-24T00:00:00"/>
    <d v="2021-05-24T00:00:00"/>
    <n v="5.167123287671233"/>
    <n v="0.1643835616438356"/>
    <s v="Modified Gross"/>
    <s v="None"/>
    <s v="None"/>
    <n v="887500"/>
    <n v="109.4058185404339"/>
    <s v=" "/>
    <m/>
    <d v="2021-03-25T00:00:00"/>
    <x v="490"/>
    <m/>
    <x v="338"/>
    <s v="MI"/>
    <s v="Private"/>
    <m/>
    <m/>
    <m/>
    <s v=" "/>
    <s v=" "/>
    <m/>
    <s v=" "/>
    <s v=" "/>
    <s v=" "/>
    <m/>
    <s v=" "/>
  </r>
  <r>
    <m/>
    <s v="USPS"/>
    <s v="Federal"/>
    <s v="Fee Simple"/>
    <s v="455 Concord Pky N"/>
    <s v="Concord"/>
    <s v="NC"/>
    <n v="3.15"/>
    <n v="1998"/>
    <n v="18430"/>
    <n v="18430"/>
    <n v="1"/>
    <m/>
    <s v=" "/>
    <m/>
    <s v=" "/>
    <m/>
    <m/>
    <m/>
    <s v=" "/>
    <s v=" "/>
    <m/>
    <m/>
    <m/>
    <n v="2390000"/>
    <n v="129.6798697775366"/>
    <s v=" "/>
    <m/>
    <d v="2021-03-20T00:00:00"/>
    <x v="8"/>
    <m/>
    <x v="0"/>
    <m/>
    <m/>
    <m/>
    <m/>
    <m/>
    <s v=" "/>
    <s v=" "/>
    <m/>
    <s v=" "/>
    <s v=" "/>
    <s v=" "/>
    <m/>
    <s v=" "/>
  </r>
  <r>
    <s v="LKY62015"/>
    <s v="USDA"/>
    <s v="Federal"/>
    <s v="Fee Simple"/>
    <s v="771 Corporate Dr"/>
    <s v="Lexington"/>
    <s v="KY"/>
    <n v="5.65"/>
    <n v="1982"/>
    <n v="39235"/>
    <n v="120866"/>
    <n v="0.3246156901030894"/>
    <n v="737514.7"/>
    <n v="18.79736714668026"/>
    <n v="1252241"/>
    <n v="10.36057286581834"/>
    <d v="2016-08-01T00:00:00"/>
    <d v="2026-07-31T00:00:00"/>
    <d v="2021-07-31T00:00:00"/>
    <n v="5.36986301369863"/>
    <n v="0.3671232876712329"/>
    <s v="Modified Gross"/>
    <s v="None"/>
    <s v="None"/>
    <n v="13200000"/>
    <n v="109.2118544503831"/>
    <n v="0.09486674242424242"/>
    <m/>
    <d v="2021-03-19T00:00:00"/>
    <x v="491"/>
    <s v="NAI Isaac"/>
    <x v="339"/>
    <s v="NY"/>
    <s v="Private"/>
    <m/>
    <m/>
    <m/>
    <s v=" "/>
    <s v=" "/>
    <m/>
    <s v=" "/>
    <s v=" "/>
    <s v=" "/>
    <m/>
    <s v=" "/>
  </r>
  <r>
    <m/>
    <s v="USPS"/>
    <s v="Federal"/>
    <s v="Fee Simple"/>
    <s v="5410 W Main St"/>
    <s v="Monee"/>
    <s v="IL"/>
    <n v="0.2473"/>
    <n v="1959"/>
    <n v="2400"/>
    <n v="2400"/>
    <n v="1"/>
    <m/>
    <s v=" "/>
    <m/>
    <s v=" "/>
    <m/>
    <m/>
    <m/>
    <s v=" "/>
    <s v=" "/>
    <m/>
    <m/>
    <m/>
    <n v="390000"/>
    <n v="162.5"/>
    <s v=" "/>
    <m/>
    <d v="2021-03-17T00:00:00"/>
    <x v="8"/>
    <m/>
    <x v="66"/>
    <s v="CA"/>
    <s v="Private"/>
    <m/>
    <m/>
    <m/>
    <s v=" "/>
    <s v=" "/>
    <m/>
    <s v=" "/>
    <s v=" "/>
    <s v=" "/>
    <m/>
    <s v=" "/>
  </r>
  <r>
    <m/>
    <s v="FBI, ICE, USAO"/>
    <s v="Federal"/>
    <s v="Fee Simple"/>
    <m/>
    <s v="Portfolio of Three"/>
    <m/>
    <n v="10.3"/>
    <m/>
    <n v="176550"/>
    <n v="176550"/>
    <n v="1"/>
    <m/>
    <s v=" "/>
    <n v="4628456"/>
    <n v="26.21612007929765"/>
    <m/>
    <d v="2031-12-21T00:00:00"/>
    <d v="2026-12-21T00:00:00"/>
    <n v="10.76986301369863"/>
    <n v="5.767123287671233"/>
    <s v="Modified Gross"/>
    <s v="None"/>
    <s v="None"/>
    <n v="63800000"/>
    <n v="361.3707165109034"/>
    <n v="0.07254633228840125"/>
    <m/>
    <d v="2021-03-17T00:00:00"/>
    <x v="492"/>
    <m/>
    <x v="3"/>
    <s v="DC"/>
    <s v="REIT"/>
    <m/>
    <m/>
    <m/>
    <s v=" "/>
    <s v=" "/>
    <m/>
    <s v=" "/>
    <s v=" "/>
    <s v=" "/>
    <m/>
    <s v=" "/>
  </r>
  <r>
    <m/>
    <s v="City of San Antonio"/>
    <s v="Municipal"/>
    <s v="Fee Simple"/>
    <s v="4402 W Piedras Dr"/>
    <s v="San Antonio"/>
    <s v="TX"/>
    <n v="2.29"/>
    <n v="1980"/>
    <n v="28600"/>
    <n v="36400"/>
    <n v="0.7857142857142857"/>
    <m/>
    <s v=" "/>
    <m/>
    <s v=" "/>
    <m/>
    <m/>
    <m/>
    <s v=" "/>
    <s v=" "/>
    <m/>
    <m/>
    <m/>
    <m/>
    <s v=" "/>
    <s v=" "/>
    <m/>
    <d v="2021-03-15T00:00:00"/>
    <x v="493"/>
    <m/>
    <x v="1"/>
    <s v="IL"/>
    <s v="Private"/>
    <m/>
    <m/>
    <m/>
    <s v=" "/>
    <s v=" "/>
    <m/>
    <s v=" "/>
    <s v=" "/>
    <s v=" "/>
    <m/>
    <s v=" "/>
  </r>
  <r>
    <m/>
    <s v="VA Clinic"/>
    <s v="Federal"/>
    <s v="Fee Simple"/>
    <s v="1201 N Parrott Ave"/>
    <s v="Okeechobee"/>
    <s v="FL"/>
    <n v="1.5"/>
    <n v="1984"/>
    <n v="6000"/>
    <n v="6000"/>
    <n v="1"/>
    <m/>
    <s v=" "/>
    <n v="135000"/>
    <n v="22.5"/>
    <m/>
    <d v="2027-10-31T00:00:00"/>
    <d v="2022-10-31T00:00:00"/>
    <n v="6.643835616438357"/>
    <n v="1.641095890410959"/>
    <s v="Full Service"/>
    <s v="None"/>
    <s v="None"/>
    <n v="1350000"/>
    <n v="225"/>
    <n v="0.1"/>
    <m/>
    <d v="2021-03-11T00:00:00"/>
    <x v="494"/>
    <s v="Florida Commercial Enterprises: Lauren Vinaya"/>
    <x v="340"/>
    <m/>
    <s v="Private"/>
    <m/>
    <m/>
    <n v="1350000"/>
    <n v="0.1"/>
    <n v="1"/>
    <n v="1350000"/>
    <n v="0.1"/>
    <n v="0"/>
    <s v="No"/>
    <d v="2020-02-09T00:00:00"/>
    <n v="396"/>
  </r>
  <r>
    <m/>
    <s v="HHS"/>
    <s v="State"/>
    <s v="Fee Simple"/>
    <s v="702 Henson St"/>
    <s v="Albemarle"/>
    <s v="NC"/>
    <n v="2.9"/>
    <n v="1998"/>
    <n v="5492"/>
    <n v="5492"/>
    <n v="1"/>
    <n v="74275"/>
    <n v="13.52421704297159"/>
    <n v="58398.3875"/>
    <n v="10.63335533503277"/>
    <d v="2008-04-01T00:00:00"/>
    <d v="2023-03-31T00:00:00"/>
    <d v="2018-03-31T00:00:00"/>
    <n v="2.06027397260274"/>
    <n v="-2.942465753424658"/>
    <s v="Full Service"/>
    <s v="None"/>
    <s v="None"/>
    <n v="745000"/>
    <n v="135.6518572469046"/>
    <n v="0.07838709731543624"/>
    <m/>
    <d v="2021-03-09T00:00:00"/>
    <x v="495"/>
    <s v="David Hampton"/>
    <x v="341"/>
    <s v="NC"/>
    <s v="Private"/>
    <m/>
    <m/>
    <n v="805495"/>
    <n v="0.0725"/>
    <n v="0.9248971129553877"/>
    <n v="805495"/>
    <n v="0.0725"/>
    <n v="0.00588709731543624"/>
    <s v="No"/>
    <d v="2020-11-13T00:00:00"/>
    <n v="116"/>
  </r>
  <r>
    <m/>
    <s v="VA"/>
    <s v="Federal"/>
    <s v="Fee Simple"/>
    <s v="1330 Waterloo Ln"/>
    <s v="Gardnerville"/>
    <s v="NV"/>
    <n v="13.77"/>
    <n v="2009"/>
    <n v="10736"/>
    <n v="55736"/>
    <n v="0.1926223625663844"/>
    <m/>
    <s v=" "/>
    <n v="624600"/>
    <n v="11.20640160757858"/>
    <m/>
    <m/>
    <m/>
    <s v=" "/>
    <s v=" "/>
    <m/>
    <m/>
    <m/>
    <n v="9000000"/>
    <n v="161.4755274867231"/>
    <n v="0.0694"/>
    <m/>
    <d v="2021-03-08T00:00:00"/>
    <x v="496"/>
    <m/>
    <x v="342"/>
    <s v="CA"/>
    <s v="Private"/>
    <m/>
    <m/>
    <n v="9475000"/>
    <n v="0.06592084432717678"/>
    <n v="0.9498680738786279"/>
    <n v="9475000"/>
    <n v="0.06592084432717678"/>
    <n v="0.003479155672823225"/>
    <s v="No"/>
    <d v="2019-11-11T00:00:00"/>
    <n v="483"/>
  </r>
  <r>
    <m/>
    <s v="USPS"/>
    <s v="Federal"/>
    <s v="Ground Lease"/>
    <s v="8821 Aviation Blvd"/>
    <s v="Inglewood"/>
    <s v="CA"/>
    <n v="2.5"/>
    <n v="2021"/>
    <n v="22000"/>
    <n v="22000"/>
    <n v="1"/>
    <m/>
    <s v=" "/>
    <n v="789600"/>
    <n v="35.89090909090909"/>
    <d v="2020-03-01T00:00:00"/>
    <d v="2034-02-28T00:00:00"/>
    <d v="2034-02-28T00:00:00"/>
    <n v="12.98630136986301"/>
    <n v="12.98630136986301"/>
    <s v="Absolute NNN"/>
    <s v="3% annually"/>
    <s v="7, 5 year"/>
    <n v="16800000"/>
    <n v="763.6363636363636"/>
    <n v="0.047"/>
    <m/>
    <d v="2021-03-08T00:00:00"/>
    <x v="497"/>
    <s v="Bob Safai"/>
    <x v="343"/>
    <s v="CA"/>
    <s v="Private"/>
    <m/>
    <m/>
    <m/>
    <s v=" "/>
    <s v=" "/>
    <m/>
    <s v=" "/>
    <s v=" "/>
    <s v=" "/>
    <d v="2021-02-03T00:00:00"/>
    <n v="33"/>
  </r>
  <r>
    <m/>
    <s v="Homeless Service Authority"/>
    <s v="Municipal"/>
    <s v="Fee Simple"/>
    <s v="400 W Rosecrans Ave"/>
    <s v="Gardena"/>
    <s v="CA"/>
    <n v="1.1"/>
    <n v="1967"/>
    <n v="24698"/>
    <n v="24698"/>
    <n v="1"/>
    <m/>
    <s v=" "/>
    <n v="280800"/>
    <n v="11.36934164709693"/>
    <d v="2019-08-26T00:00:00"/>
    <d v="2026-09-30T00:00:00"/>
    <d v="2026-09-30T00:00:00"/>
    <n v="5.580821917808219"/>
    <n v="5.580821917808219"/>
    <s v="NNN"/>
    <s v="3% annually"/>
    <s v="None"/>
    <n v="5850000"/>
    <n v="236.8612843145194"/>
    <n v="0.048"/>
    <m/>
    <d v="2021-03-03T00:00:00"/>
    <x v="498"/>
    <s v="TC Macker"/>
    <x v="344"/>
    <s v="CA"/>
    <s v="Private"/>
    <m/>
    <m/>
    <n v="5912544"/>
    <n v="0.04749224699215769"/>
    <n v="0.9894218123366185"/>
    <n v="5912544"/>
    <n v="0.04749224699215769"/>
    <n v="0.0005077530078423098"/>
    <s v="No"/>
    <m/>
    <s v=" "/>
  </r>
  <r>
    <s v="LGA60413"/>
    <s v="SSA"/>
    <s v="Federal"/>
    <s v="Fee Simple"/>
    <s v="134 Juniper Ct"/>
    <s v="Brunswick"/>
    <s v="GA"/>
    <n v="1.45"/>
    <n v="2005"/>
    <n v="9856"/>
    <n v="9856"/>
    <n v="1"/>
    <n v="272460.8"/>
    <n v="27.64415584415584"/>
    <m/>
    <s v=" "/>
    <d v="2017-05-01T00:00:00"/>
    <d v="2027-04-30T00:00:00"/>
    <d v="2022-05-01T00:00:00"/>
    <n v="6.164383561643835"/>
    <n v="1.164383561643836"/>
    <s v="Modified Gross"/>
    <s v="None"/>
    <s v="None"/>
    <n v="1800000"/>
    <n v="182.6298701298701"/>
    <s v=" "/>
    <m/>
    <d v="2021-03-02T00:00:00"/>
    <x v="499"/>
    <m/>
    <x v="345"/>
    <s v="TN"/>
    <s v="Private"/>
    <m/>
    <m/>
    <m/>
    <s v=" "/>
    <s v=" "/>
    <m/>
    <s v=" "/>
    <s v=" "/>
    <s v=" "/>
    <m/>
    <s v=" "/>
  </r>
  <r>
    <m/>
    <s v="DCFS"/>
    <s v="State"/>
    <s v="Fee Simple"/>
    <s v="1720 Ellis St"/>
    <s v="Bellingham"/>
    <s v="WA"/>
    <n v="1.92"/>
    <n v="1995"/>
    <n v="30879"/>
    <n v="30879"/>
    <n v="1"/>
    <n v="659378"/>
    <n v="21.35360601055734"/>
    <n v="402977"/>
    <n v="13.05019592603387"/>
    <m/>
    <d v="2025-12-31T00:00:00"/>
    <d v="2025-12-31T00:00:00"/>
    <n v="4.838356164383562"/>
    <n v="4.838356164383562"/>
    <s v="Full Service"/>
    <s v="None"/>
    <s v="None"/>
    <n v="5327000"/>
    <n v="172.5120632144823"/>
    <n v="0.07564801952318378"/>
    <m/>
    <d v="2021-03-01T00:00:00"/>
    <x v="500"/>
    <s v="CP; Gellner"/>
    <x v="346"/>
    <m/>
    <m/>
    <m/>
    <m/>
    <n v="5560000"/>
    <n v="0.07247787769784172"/>
    <n v="0.9580935251798561"/>
    <n v="5560000"/>
    <n v="0.07247787769784172"/>
    <n v="0.00317014182534206"/>
    <s v="No"/>
    <d v="2020-12-14T00:00:00"/>
    <n v="77"/>
  </r>
  <r>
    <m/>
    <s v="Los Angeles County"/>
    <s v="Municipal"/>
    <s v="Fee Simple"/>
    <s v="9320 Telstar Ave"/>
    <s v="El Monte"/>
    <s v="CA"/>
    <n v="7.95"/>
    <n v="1975"/>
    <n v="178776"/>
    <n v="246912"/>
    <n v="0.724047433903577"/>
    <m/>
    <s v=" "/>
    <m/>
    <s v=" "/>
    <m/>
    <d v="2029-09-30T00:00:00"/>
    <d v="2029-09-30T00:00:00"/>
    <n v="8.597260273972603"/>
    <n v="8.597260273972603"/>
    <s v="Full Service"/>
    <s v="2% annually"/>
    <s v="None"/>
    <n v="41047000"/>
    <n v="166.2414139450493"/>
    <s v=" "/>
    <m/>
    <d v="2021-02-26T00:00:00"/>
    <x v="501"/>
    <s v="Jim Abbott"/>
    <x v="347"/>
    <s v="CA"/>
    <s v="Private"/>
    <m/>
    <m/>
    <m/>
    <s v=" "/>
    <s v=" "/>
    <m/>
    <s v=" "/>
    <s v=" "/>
    <s v=" "/>
    <m/>
    <s v=" "/>
  </r>
  <r>
    <m/>
    <s v="BLM"/>
    <s v="Federal"/>
    <s v="Fee Simple"/>
    <s v="21605 N 7th Ave"/>
    <s v="Phoenix"/>
    <s v="AZ"/>
    <n v="3.44"/>
    <n v="2001"/>
    <n v="25480"/>
    <n v="25480"/>
    <n v="1"/>
    <n v="427944.29"/>
    <n v="16.79530180533752"/>
    <n v="249432"/>
    <n v="9.789324960753532"/>
    <m/>
    <d v="2021-10-03T00:00:00"/>
    <d v="2020-04-04T00:00:00"/>
    <n v="0.6"/>
    <n v="-0.8986301369863013"/>
    <s v="Modified Gross"/>
    <s v="None"/>
    <s v="None"/>
    <n v="3100000"/>
    <n v="121.6640502354788"/>
    <n v="0.08046193548387097"/>
    <m/>
    <d v="2021-02-26T00:00:00"/>
    <x v="502"/>
    <s v="Colliers; Keeley"/>
    <x v="348"/>
    <s v="AZ"/>
    <s v="Private"/>
    <m/>
    <m/>
    <n v="3300000"/>
    <n v="0.07558545454545454"/>
    <n v="0.9393939393939394"/>
    <n v="3300000"/>
    <n v="0.07558545454545454"/>
    <n v="0.00487648093841643"/>
    <s v="No"/>
    <d v="2019-11-06T00:00:00"/>
    <n v="478"/>
  </r>
  <r>
    <m/>
    <s v="ACoE"/>
    <s v="Federal"/>
    <s v="Fee Simple"/>
    <s v="1325 &quot;J&quot; St"/>
    <s v="Sacramento"/>
    <s v="CA"/>
    <n v="0.89"/>
    <n v="1989"/>
    <n v="227490"/>
    <n v="363723"/>
    <n v="0.6254484868979966"/>
    <m/>
    <s v=" "/>
    <m/>
    <s v=" "/>
    <m/>
    <m/>
    <m/>
    <s v=" "/>
    <s v=" "/>
    <m/>
    <m/>
    <m/>
    <m/>
    <s v=" "/>
    <s v=" "/>
    <m/>
    <d v="2021-02-22T00:00:00"/>
    <x v="503"/>
    <m/>
    <x v="1"/>
    <s v="IL"/>
    <s v="Private"/>
    <m/>
    <m/>
    <m/>
    <s v=" "/>
    <s v=" "/>
    <m/>
    <s v=" "/>
    <s v=" "/>
    <s v=" "/>
    <m/>
    <s v=" "/>
  </r>
  <r>
    <s v="LCA03106"/>
    <s v="VA"/>
    <s v="Federal"/>
    <s v="Fee Simple"/>
    <s v="8810 Rio San Diego Dr"/>
    <s v="San Diego"/>
    <s v="CA"/>
    <n v="5"/>
    <n v="1998"/>
    <n v="131986"/>
    <n v="131986"/>
    <n v="1"/>
    <n v="3976725.12"/>
    <n v="30.12990105011137"/>
    <m/>
    <s v=" "/>
    <d v="2013-10-01T00:00:00"/>
    <d v="2023-09-30T00:00:00"/>
    <d v="2023-09-30T00:00:00"/>
    <n v="2.602739726027397"/>
    <n v="2.602739726027397"/>
    <s v="Modified Gross"/>
    <s v="None"/>
    <s v="None"/>
    <m/>
    <s v=" "/>
    <s v=" "/>
    <m/>
    <d v="2021-02-22T00:00:00"/>
    <x v="503"/>
    <m/>
    <x v="1"/>
    <s v="IL"/>
    <s v="Private"/>
    <m/>
    <m/>
    <m/>
    <s v=" "/>
    <s v=" "/>
    <m/>
    <s v=" "/>
    <s v=" "/>
    <s v=" "/>
    <m/>
    <s v=" "/>
  </r>
  <r>
    <s v="LCA00439"/>
    <s v="VA"/>
    <s v="Federal"/>
    <s v="Fee Simple"/>
    <s v="8808 Rio San Diego Dr"/>
    <s v="San Diego"/>
    <s v="CA"/>
    <n v="1.98"/>
    <n v="1988"/>
    <n v="12341"/>
    <n v="12341"/>
    <n v="1"/>
    <n v="463281.14"/>
    <n v="37.54"/>
    <m/>
    <s v=" "/>
    <d v="2018-10-09T00:00:00"/>
    <d v="2023-09-30T00:00:00"/>
    <d v="2023-09-30T00:00:00"/>
    <n v="2.602739726027397"/>
    <n v="2.602739726027397"/>
    <s v="Modified Gross"/>
    <s v="None"/>
    <s v="None"/>
    <m/>
    <s v=" "/>
    <s v=" "/>
    <m/>
    <d v="2021-02-22T00:00:00"/>
    <x v="503"/>
    <m/>
    <x v="1"/>
    <s v="IL"/>
    <s v="Private"/>
    <m/>
    <m/>
    <m/>
    <s v=" "/>
    <s v=" "/>
    <m/>
    <s v=" "/>
    <s v=" "/>
    <s v=" "/>
    <m/>
    <s v=" "/>
  </r>
  <r>
    <m/>
    <s v="Election Board"/>
    <s v="State"/>
    <s v="Fee Simple"/>
    <s v="2990 Apalachee Pky"/>
    <s v="Tallahassee"/>
    <s v="FL"/>
    <n v="1.48"/>
    <n v="1980"/>
    <n v="10000"/>
    <n v="62320"/>
    <n v="0.1604621309370989"/>
    <m/>
    <s v=" "/>
    <n v="302400"/>
    <n v="4.852374839537869"/>
    <m/>
    <m/>
    <m/>
    <s v=" "/>
    <s v=" "/>
    <m/>
    <m/>
    <m/>
    <n v="3325000"/>
    <n v="53.35365853658536"/>
    <n v="0.09094736842105264"/>
    <m/>
    <d v="2021-02-19T00:00:00"/>
    <x v="504"/>
    <s v="NAI; Langston"/>
    <x v="349"/>
    <s v="FL"/>
    <s v="User/Owner"/>
    <m/>
    <m/>
    <n v="4200000"/>
    <n v="0.07199999999999999"/>
    <n v="0.7916666666666666"/>
    <n v="4200000"/>
    <n v="0.07199999999999999"/>
    <n v="0.01894736842105264"/>
    <s v="No"/>
    <d v="2019-08-06T00:00:00"/>
    <n v="563"/>
  </r>
  <r>
    <m/>
    <s v="VA/Vet Center"/>
    <s v="Federal"/>
    <s v="Fee Simple"/>
    <s v="6330 W 71st St"/>
    <s v="Indianapolis"/>
    <s v="IN"/>
    <n v="1.39"/>
    <n v="2002"/>
    <n v="5296"/>
    <n v="5296"/>
    <n v="1"/>
    <m/>
    <s v=" "/>
    <n v="118706"/>
    <n v="22.4142749244713"/>
    <d v="2021-02-01T00:00:00"/>
    <d v="2036-01-31T00:00:00"/>
    <d v="2036-01-31T00:00:00"/>
    <n v="14.96712328767123"/>
    <n v="14.96712328767123"/>
    <s v="Modified Gross"/>
    <s v="1$/sf in Year 6 &amp; 11"/>
    <s v="None"/>
    <n v="2100000"/>
    <n v="396.5256797583082"/>
    <n v="0.05652666666666667"/>
    <m/>
    <d v="2021-02-15T00:00:00"/>
    <x v="505"/>
    <s v="Luttner"/>
    <x v="350"/>
    <m/>
    <m/>
    <m/>
    <m/>
    <n v="2200000"/>
    <n v="0.05395727272727273"/>
    <n v="0.9545454545454546"/>
    <n v="2200000"/>
    <n v="0.05395727272727273"/>
    <n v="0.002569393939393941"/>
    <s v="No"/>
    <d v="2020-09-03T00:00:00"/>
    <n v="165"/>
  </r>
  <r>
    <s v="LNC00949"/>
    <s v="SSA"/>
    <s v="Federal"/>
    <s v="Fee Simple"/>
    <s v="202 Charter St"/>
    <s v="Albemarle"/>
    <s v="NC"/>
    <n v="1.27"/>
    <n v="1989"/>
    <n v="5950"/>
    <n v="5950"/>
    <n v="1"/>
    <n v="111205.5"/>
    <n v="18.69"/>
    <n v="70348.5"/>
    <n v="11.82327731092437"/>
    <d v="2020-11-01T00:00:00"/>
    <d v="2030-10-31T00:00:00"/>
    <d v="2025-10-31T00:00:00"/>
    <n v="9.72054794520548"/>
    <n v="4.717808219178083"/>
    <s v="Modified Gross"/>
    <s v="None"/>
    <s v="None"/>
    <n v="965000"/>
    <n v="162.1848739495798"/>
    <n v="0.07290000000000001"/>
    <m/>
    <d v="2021-02-12T00:00:00"/>
    <x v="237"/>
    <s v="M&amp;M; Fenn"/>
    <x v="85"/>
    <s v="NC"/>
    <s v="Private"/>
    <m/>
    <m/>
    <m/>
    <s v=" "/>
    <s v=" "/>
    <m/>
    <s v=" "/>
    <s v=" "/>
    <s v=" "/>
    <m/>
    <s v=" "/>
  </r>
  <r>
    <m/>
    <s v="DPH"/>
    <s v="State"/>
    <s v="Fee Simple"/>
    <s v="4300 Cherry Creek Dr S"/>
    <s v="Denver"/>
    <s v="CO"/>
    <n v="12.26"/>
    <n v="1962"/>
    <n v="355687"/>
    <n v="355687"/>
    <n v="1"/>
    <m/>
    <s v=" "/>
    <n v="5890000"/>
    <n v="16.55950315867603"/>
    <m/>
    <d v="2026-01-31T00:00:00"/>
    <m/>
    <n v="4.975342465753425"/>
    <s v=" "/>
    <s v="Full Service"/>
    <s v="None"/>
    <s v="None"/>
    <n v="95000000"/>
    <n v="267.0887606238069"/>
    <n v="0.062"/>
    <m/>
    <d v="2021-02-10T00:00:00"/>
    <x v="506"/>
    <s v="Newmark; Gallas"/>
    <x v="1"/>
    <s v="IL"/>
    <s v="Private"/>
    <m/>
    <m/>
    <n v="101551724.137931"/>
    <n v="0.058"/>
    <n v="0.935483870967742"/>
    <n v="101551724.137931"/>
    <n v="0.058"/>
    <n v="0.003999999999999997"/>
    <s v="No"/>
    <m/>
    <s v=" "/>
  </r>
  <r>
    <m/>
    <s v="VA"/>
    <s v="Federal"/>
    <s v="Fee Simple"/>
    <s v="1301 N Turner St"/>
    <s v="Hobbs"/>
    <s v="NM"/>
    <n v="2.4"/>
    <n v="1974"/>
    <n v="11765"/>
    <n v="23280"/>
    <n v="0.5053694158075601"/>
    <m/>
    <s v=" "/>
    <n v="204523"/>
    <n v="8.785352233676976"/>
    <m/>
    <d v="2021-10-31T00:00:00"/>
    <m/>
    <n v="0.7287671232876712"/>
    <s v=" "/>
    <s v="Modified Gross"/>
    <s v="None"/>
    <s v="None"/>
    <n v="2000000"/>
    <n v="85.91065292096219"/>
    <n v="0.1022615"/>
    <m/>
    <d v="2021-02-07T00:00:00"/>
    <x v="507"/>
    <s v="Donnie Roberts"/>
    <x v="351"/>
    <s v="WY"/>
    <s v="Private"/>
    <m/>
    <m/>
    <n v="2500000"/>
    <n v="0.0818092"/>
    <n v="0.8"/>
    <n v="2500000"/>
    <n v="0.0818092"/>
    <n v="0.02045230000000001"/>
    <s v="No"/>
    <d v="2020-06-30T00:00:00"/>
    <n v="222"/>
  </r>
  <r>
    <s v="LVA05388"/>
    <s v="USAF"/>
    <s v="Federal"/>
    <s v="Fee Simple"/>
    <s v="100-300 Exploration Wy"/>
    <s v="Hampton"/>
    <s v="VA"/>
    <n v="3.21"/>
    <m/>
    <n v="157421"/>
    <n v="157421"/>
    <n v="1"/>
    <n v="3463262"/>
    <n v="22"/>
    <n v="1846610"/>
    <n v="11.73039175205341"/>
    <d v="2017-12-01T00:00:00"/>
    <d v="2027-11-30T00:00:00"/>
    <d v="2022-11-30T00:00:00"/>
    <n v="6.821917808219178"/>
    <n v="1.819178082191781"/>
    <s v="Modified Gross"/>
    <s v="None"/>
    <s v="None"/>
    <n v="22810000"/>
    <n v="144.8980758602728"/>
    <n v="0.08095615957913196"/>
    <m/>
    <d v="2021-02-04T00:00:00"/>
    <x v="508"/>
    <s v="CBRE; Rampulla"/>
    <x v="352"/>
    <s v="IL"/>
    <s v="Private"/>
    <m/>
    <m/>
    <m/>
    <s v=" "/>
    <s v=" "/>
    <m/>
    <s v=" "/>
    <s v=" "/>
    <s v=" "/>
    <d v="2020-07-14T00:00:00"/>
    <n v="205"/>
  </r>
  <r>
    <m/>
    <s v="VA"/>
    <s v="Federal"/>
    <s v="Fee Simple"/>
    <s v="3204 Raasch Dr"/>
    <s v="Norfolk"/>
    <s v="NE"/>
    <n v="1.7"/>
    <n v="2019"/>
    <n v="13860"/>
    <n v="13860"/>
    <n v="1"/>
    <n v="450427"/>
    <n v="32.49834054834055"/>
    <n v="356971.875"/>
    <n v="25.75554653679654"/>
    <d v="2019-11-01T00:00:00"/>
    <d v="2039-10-31T00:00:00"/>
    <d v="2029-10-31T00:00:00"/>
    <n v="18.74794520547945"/>
    <n v="8.742465753424657"/>
    <s v="Full Service"/>
    <s v="1.0% to OpEx"/>
    <s v="None"/>
    <n v="5250000"/>
    <n v="378.7878787878788"/>
    <n v="0.06799464285714285"/>
    <m/>
    <d v="2021-02-04T00:00:00"/>
    <x v="108"/>
    <s v="Newmark; Gallas"/>
    <x v="72"/>
    <s v="FL"/>
    <s v="Private"/>
    <m/>
    <m/>
    <n v="5655000"/>
    <n v="0.063125"/>
    <n v="0.9283819628647215"/>
    <n v="5437000"/>
    <n v="0.0656560373367666"/>
    <n v="0.00233860552037625"/>
    <s v="Yes"/>
    <d v="2019-06-10T00:00:00"/>
    <n v="605"/>
  </r>
  <r>
    <m/>
    <s v="USPS"/>
    <s v="Federal"/>
    <s v="Fee Simple"/>
    <s v="2630 Jean Lafitte Blvd"/>
    <s v="Lafitte"/>
    <s v="LA"/>
    <n v="1.08"/>
    <n v="1998"/>
    <n v="2583"/>
    <n v="2583"/>
    <n v="1"/>
    <n v="52382"/>
    <n v="20.27951993805652"/>
    <n v="45000"/>
    <n v="17.42160278745645"/>
    <d v="1998-05-11T00:00:00"/>
    <d v="2024-07-07T00:00:00"/>
    <d v="2019-07-07T00:00:00"/>
    <n v="3.43013698630137"/>
    <n v="-1.575342465753425"/>
    <s v="Full Service"/>
    <s v="Per Option"/>
    <s v="1, 5 year"/>
    <n v="750000"/>
    <n v="290.3600464576074"/>
    <n v="0.06"/>
    <m/>
    <d v="2021-02-01T00:00:00"/>
    <x v="509"/>
    <s v="Jack Stumpf"/>
    <x v="353"/>
    <s v="IL"/>
    <s v="Private"/>
    <m/>
    <m/>
    <n v="800000"/>
    <n v="0.05625"/>
    <n v="0.9375"/>
    <n v="800000"/>
    <n v="0.05625"/>
    <n v="0.003749999999999996"/>
    <s v="No"/>
    <d v="2020-08-26T00:00:00"/>
    <n v="159"/>
  </r>
  <r>
    <s v="LNC00226"/>
    <s v="FBI"/>
    <s v="Federal"/>
    <s v="Condominium"/>
    <s v="7000-7002 Maritime Woods Business Park"/>
    <s v="Manteo"/>
    <s v="NC"/>
    <n v="1.06"/>
    <n v="2006"/>
    <n v="7543"/>
    <n v="8400"/>
    <n v="0.8979761904761905"/>
    <n v="161346.4"/>
    <n v="21.39021609439215"/>
    <n v="128928"/>
    <n v="15.34857142857143"/>
    <d v="2019-02-21T00:00:00"/>
    <d v="2034-02-20T00:00:00"/>
    <d v="2029-02-20T00:00:00"/>
    <n v="13.06027397260274"/>
    <n v="8.057534246575342"/>
    <s v="Modified Gross"/>
    <s v="9% in Feb 2024"/>
    <s v="None"/>
    <n v="1700000"/>
    <n v="202.3809523809524"/>
    <n v="0.07584"/>
    <m/>
    <d v="2021-02-01T00:00:00"/>
    <x v="510"/>
    <m/>
    <x v="354"/>
    <s v="DC"/>
    <s v="REIT"/>
    <m/>
    <m/>
    <m/>
    <s v=" "/>
    <s v=" "/>
    <m/>
    <s v=" "/>
    <s v=" "/>
    <s v=" "/>
    <m/>
    <s v=" "/>
  </r>
  <r>
    <m/>
    <s v="Multi"/>
    <s v="Federal"/>
    <s v="Fee Simple"/>
    <m/>
    <s v="Portfolio of Six"/>
    <m/>
    <m/>
    <m/>
    <n v="174260"/>
    <n v="174260"/>
    <n v="1"/>
    <m/>
    <s v=" "/>
    <n v="6525050.5"/>
    <n v="37.44433891885688"/>
    <m/>
    <m/>
    <m/>
    <s v=" "/>
    <s v=" "/>
    <m/>
    <m/>
    <m/>
    <n v="97800000"/>
    <n v="561.2303454608057"/>
    <n v="0.06671830777096115"/>
    <m/>
    <d v="2021-02-01T00:00:00"/>
    <x v="461"/>
    <s v="Eastdil"/>
    <x v="119"/>
    <s v="NH"/>
    <s v="Private"/>
    <m/>
    <m/>
    <m/>
    <s v=" "/>
    <s v=" "/>
    <m/>
    <s v=" "/>
    <s v=" "/>
    <s v=" "/>
    <m/>
    <s v=" "/>
  </r>
  <r>
    <s v="LMS00193"/>
    <s v="SSA"/>
    <s v="Federal"/>
    <s v="Fee Simple"/>
    <s v="9394 Three Rivers Rd"/>
    <s v="Gulfport"/>
    <s v="MS"/>
    <n v="1.75"/>
    <n v="2003"/>
    <n v="16388"/>
    <n v="19440"/>
    <n v="0.8430041152263374"/>
    <n v="521381"/>
    <n v="31.8148035147669"/>
    <n v="286108.36"/>
    <n v="14.71750823045267"/>
    <d v="2019-09-01T00:00:00"/>
    <d v="2034-08-31T00:00:00"/>
    <d v="2029-08-31T00:00:00"/>
    <n v="13.5945205479452"/>
    <n v="8.591780821917808"/>
    <s v="Modified Gross"/>
    <s v="Yes, 2% in Non-Firm"/>
    <s v="None"/>
    <n v="3950000"/>
    <n v="203.1893004115226"/>
    <n v="0.07243249620253164"/>
    <m/>
    <d v="2021-01-29T00:00:00"/>
    <x v="511"/>
    <s v="SJC; Corriston"/>
    <x v="72"/>
    <s v="FL"/>
    <s v="Private"/>
    <m/>
    <m/>
    <n v="4238637"/>
    <n v="0.06750008552277537"/>
    <n v="0.9319033453442699"/>
    <n v="4238637"/>
    <n v="0.06750008552277537"/>
    <n v="0.004932410679756277"/>
    <s v="No"/>
    <d v="2020-07-20T00:00:00"/>
    <n v="193"/>
  </r>
  <r>
    <m/>
    <s v="VA"/>
    <s v="Federal"/>
    <s v="Fee Simple"/>
    <s v="1201 N Sycamore St"/>
    <s v="Fort Stockton"/>
    <s v="TX"/>
    <n v="0.5"/>
    <n v="2018"/>
    <n v="4490"/>
    <n v="4490"/>
    <n v="1"/>
    <n v="134296"/>
    <n v="29.91002227171492"/>
    <n v="84641.28"/>
    <n v="18.85106458797327"/>
    <d v="2019-10-10T00:00:00"/>
    <d v="2029-01-09T00:00:00"/>
    <d v="2029-01-09T00:00:00"/>
    <n v="7.953424657534247"/>
    <n v="7.953424657534247"/>
    <s v="Full Service"/>
    <s v="10% in Year 6"/>
    <s v="None"/>
    <n v="1500000"/>
    <n v="334.0757238307349"/>
    <n v="0.05642752"/>
    <m/>
    <d v="2021-01-28T00:00:00"/>
    <x v="38"/>
    <s v="SJC; Briggs"/>
    <x v="355"/>
    <s v="WY"/>
    <s v="Private"/>
    <s v="BW; Wells"/>
    <m/>
    <n v="1598875"/>
    <n v="0.05293802204675162"/>
    <n v="0.9381596434993354"/>
    <n v="1598875"/>
    <n v="0.05293802204675162"/>
    <n v="0.003489497953248377"/>
    <s v="No"/>
    <d v="2020-10-12T00:00:00"/>
    <n v="108"/>
  </r>
  <r>
    <m/>
    <s v="Department for Children and Families"/>
    <s v="State"/>
    <s v="Fee Simple"/>
    <s v="2601 S Oliver"/>
    <s v="Wichita"/>
    <s v="KS"/>
    <n v="16.56"/>
    <n v="1961"/>
    <n v="97532"/>
    <n v="97532"/>
    <n v="1"/>
    <n v="859471.8"/>
    <n v="8.81220317434278"/>
    <n v="795776"/>
    <n v="8.159127260796456"/>
    <d v="2015-07-01T00:00:00"/>
    <d v="2035-06-30T00:00:00"/>
    <m/>
    <n v="14.42739726027397"/>
    <s v=" "/>
    <s v="NN"/>
    <s v="16% every 5 but $196k TI bleed"/>
    <s v="None"/>
    <n v="11000000"/>
    <n v="112.7834966985195"/>
    <n v="0.07234327272727273"/>
    <m/>
    <d v="2021-01-28T00:00:00"/>
    <x v="512"/>
    <m/>
    <x v="62"/>
    <s v="IL"/>
    <s v="Private"/>
    <m/>
    <m/>
    <m/>
    <s v=" "/>
    <s v=" "/>
    <m/>
    <s v=" "/>
    <s v=" "/>
    <s v=" "/>
    <m/>
    <s v=" "/>
  </r>
  <r>
    <s v="LUT14669"/>
    <s v="NPS"/>
    <s v="Federal"/>
    <s v="Fee Simple"/>
    <s v="2390 W Hwy 56"/>
    <s v="Cedar City"/>
    <s v="UT"/>
    <n v="0.98"/>
    <n v="1996"/>
    <n v="5533"/>
    <n v="9410"/>
    <n v="0.5879914984059511"/>
    <n v="86499"/>
    <n v="15.6332911621182"/>
    <m/>
    <s v=" "/>
    <d v="2014-02-01T00:00:00"/>
    <d v="2024-01-31T00:00:00"/>
    <d v="2019-01-31T00:00:00"/>
    <n v="3.013698630136986"/>
    <n v="-1.989041095890411"/>
    <s v="Modified Gross"/>
    <s v="None"/>
    <s v="None"/>
    <m/>
    <s v=" "/>
    <s v=" "/>
    <m/>
    <d v="2021-01-26T00:00:00"/>
    <x v="513"/>
    <m/>
    <x v="356"/>
    <s v="UT"/>
    <s v="Private"/>
    <m/>
    <m/>
    <m/>
    <s v=" "/>
    <s v=" "/>
    <m/>
    <s v=" "/>
    <s v=" "/>
    <s v=" "/>
    <m/>
    <s v=" "/>
  </r>
  <r>
    <m/>
    <s v="USPS"/>
    <s v="Federal"/>
    <s v="Fee Simple"/>
    <s v="4500 1st Ave S"/>
    <s v="Birmingham"/>
    <s v="AL"/>
    <n v="14.2"/>
    <n v="1970"/>
    <n v="175000"/>
    <n v="175000"/>
    <n v="1"/>
    <m/>
    <s v=" "/>
    <m/>
    <s v=" "/>
    <m/>
    <m/>
    <m/>
    <s v=" "/>
    <s v=" "/>
    <m/>
    <m/>
    <m/>
    <n v="7650000"/>
    <n v="43.71428571428572"/>
    <s v=" "/>
    <m/>
    <d v="2021-01-25T00:00:00"/>
    <x v="514"/>
    <s v="CBRE; Rampula"/>
    <x v="7"/>
    <s v="NY"/>
    <s v="Private"/>
    <m/>
    <m/>
    <m/>
    <s v=" "/>
    <s v=" "/>
    <m/>
    <s v=" "/>
    <s v=" "/>
    <s v=" "/>
    <m/>
    <s v=" "/>
  </r>
  <r>
    <m/>
    <s v="USPS"/>
    <s v="Federal"/>
    <s v="Fee Simple"/>
    <s v="110 Thomas St"/>
    <s v="Stamps"/>
    <s v="AR"/>
    <n v="0.4329"/>
    <m/>
    <n v="2480"/>
    <n v="2480"/>
    <n v="1"/>
    <m/>
    <s v=" "/>
    <m/>
    <s v=" "/>
    <m/>
    <m/>
    <m/>
    <s v=" "/>
    <s v=" "/>
    <m/>
    <m/>
    <m/>
    <n v="180000"/>
    <n v="72.58064516129032"/>
    <s v=" "/>
    <m/>
    <d v="2021-01-25T00:00:00"/>
    <x v="515"/>
    <m/>
    <x v="66"/>
    <s v="CA"/>
    <s v="Private"/>
    <m/>
    <m/>
    <m/>
    <s v=" "/>
    <s v=" "/>
    <m/>
    <s v=" "/>
    <s v=" "/>
    <s v=" "/>
    <m/>
    <s v=" "/>
  </r>
  <r>
    <s v="LCA02311"/>
    <s v="SSA"/>
    <s v="Federal"/>
    <s v="Fee Simple"/>
    <s v="6140-50 Cottle Rd"/>
    <s v="San Jose"/>
    <s v="CA"/>
    <n v="1.58"/>
    <n v="2001"/>
    <n v="9668"/>
    <n v="20867"/>
    <n v="0.4633152825034744"/>
    <n v="300797"/>
    <n v="31.11263963591229"/>
    <m/>
    <s v=" "/>
    <d v="2011-03-01T00:00:00"/>
    <d v="2026-02-28T00:00:00"/>
    <d v="2021-03-01T00:00:00"/>
    <n v="5.104109589041096"/>
    <n v="0.1041095890410959"/>
    <s v="Modified Gross"/>
    <s v="None"/>
    <s v="None"/>
    <n v="4800000"/>
    <n v="230.0282743087171"/>
    <s v=" "/>
    <m/>
    <d v="2021-01-22T00:00:00"/>
    <x v="516"/>
    <m/>
    <x v="357"/>
    <s v="CA"/>
    <s v="User/Owner"/>
    <m/>
    <m/>
    <m/>
    <s v=" "/>
    <s v=" "/>
    <m/>
    <s v=" "/>
    <s v=" "/>
    <s v=" "/>
    <m/>
    <s v=" "/>
  </r>
  <r>
    <s v="LVA00027"/>
    <m/>
    <s v="Federal"/>
    <s v="Fee Simple"/>
    <s v="11844-11846 Rock Landing Dr"/>
    <s v="Newport News"/>
    <s v="VA"/>
    <n v="5.15"/>
    <n v="1989"/>
    <n v="9010"/>
    <n v="36695"/>
    <n v="0.2455375391742744"/>
    <n v="159520.79"/>
    <n v="17.70486015538291"/>
    <m/>
    <s v=" "/>
    <d v="2016-09-17T00:00:00"/>
    <d v="2026-09-16T00:00:00"/>
    <d v="2021-09-17T00:00:00"/>
    <n v="5.654794520547945"/>
    <n v="0.6547945205479452"/>
    <s v="Modified Gross"/>
    <s v="None"/>
    <s v="None"/>
    <n v="3000000"/>
    <n v="81.75500749420902"/>
    <s v=" "/>
    <m/>
    <d v="2021-01-21T00:00:00"/>
    <x v="517"/>
    <m/>
    <x v="358"/>
    <s v="VA"/>
    <s v="Private"/>
    <m/>
    <m/>
    <m/>
    <s v=" "/>
    <s v=" "/>
    <m/>
    <s v=" "/>
    <s v=" "/>
    <s v=" "/>
    <m/>
    <s v=" "/>
  </r>
  <r>
    <m/>
    <s v="USGS"/>
    <s v="Federal"/>
    <s v="Fee Simple"/>
    <s v="11075 Black Marble Way"/>
    <s v="Redding"/>
    <s v="CA"/>
    <n v="0.45"/>
    <n v="1987"/>
    <n v="2076"/>
    <n v="2076"/>
    <n v="1"/>
    <n v="56571"/>
    <n v="27.25"/>
    <n v="36095.865"/>
    <n v="17.38721820809248"/>
    <d v="2020-07-01T00:00:00"/>
    <d v="2035-06-30T00:00:00"/>
    <d v="2030-06-30T00:00:00"/>
    <n v="14.44931506849315"/>
    <n v="9.446575342465753"/>
    <s v="Modified Gross"/>
    <s v="Yes, non-firm"/>
    <s v="None"/>
    <n v="527500"/>
    <n v="254.0944123314065"/>
    <n v="0.06842818009478673"/>
    <m/>
    <d v="2021-01-20T00:00:00"/>
    <x v="518"/>
    <s v="Gettner"/>
    <x v="359"/>
    <s v="CA"/>
    <s v="Private"/>
    <m/>
    <m/>
    <n v="555321"/>
    <n v="0.065"/>
    <n v="0.9499010482225596"/>
    <n v="555321"/>
    <n v="0.065"/>
    <n v="0.003428180094786723"/>
    <s v="No"/>
    <d v="2020-07-20T00:00:00"/>
    <n v="184"/>
  </r>
  <r>
    <s v="LCO14796"/>
    <s v="SSA"/>
    <s v="Federal"/>
    <s v="Condominium"/>
    <s v="120 Midland Ave, Ste 130"/>
    <s v="Glenwood Springs"/>
    <s v="CO"/>
    <n v="2"/>
    <n v="2004"/>
    <n v="4350"/>
    <n v="4350"/>
    <n v="1"/>
    <m/>
    <s v=" "/>
    <n v="117086.4"/>
    <n v="26.91641379310345"/>
    <d v="2017-11-01T00:00:00"/>
    <d v="2027-10-31T00:00:00"/>
    <d v="2025-11-01T00:00:00"/>
    <n v="6.783561643835617"/>
    <n v="4.786301369863014"/>
    <s v="Modified Gross"/>
    <s v="None"/>
    <s v="None"/>
    <n v="1200000"/>
    <n v="275.8620689655173"/>
    <n v="0.09757200000000001"/>
    <m/>
    <d v="2021-01-19T00:00:00"/>
    <x v="519"/>
    <m/>
    <x v="360"/>
    <s v="FL"/>
    <s v="Private"/>
    <m/>
    <m/>
    <m/>
    <s v=" "/>
    <s v=" "/>
    <m/>
    <s v=" "/>
    <s v=" "/>
    <s v=" "/>
    <m/>
    <s v=" "/>
  </r>
  <r>
    <m/>
    <s v="SBA"/>
    <s v="Federal"/>
    <s v="Fee Simple"/>
    <s v="14951 Kingsport Rd"/>
    <s v="Fort Worth"/>
    <s v="TX"/>
    <n v="18.6"/>
    <n v="2001"/>
    <n v="177244"/>
    <n v="177244"/>
    <n v="1"/>
    <n v="3551230"/>
    <n v="20.03582631852136"/>
    <n v="3651183"/>
    <n v="20.59975513980727"/>
    <d v="2020-05-01T00:00:00"/>
    <d v="2035-04-30T00:00:00"/>
    <d v="2033-05-01T00:00:00"/>
    <n v="14.2958904109589"/>
    <n v="12.2986301369863"/>
    <s v="Modified Gross"/>
    <s v="TI Bleeds Off; Flat"/>
    <s v="None"/>
    <n v="62000000"/>
    <n v="349.8002753266683"/>
    <n v="0.05889004838709677"/>
    <m/>
    <d v="2021-01-15T00:00:00"/>
    <x v="520"/>
    <s v="Colliers"/>
    <x v="1"/>
    <s v="IL"/>
    <s v="Private"/>
    <m/>
    <m/>
    <m/>
    <s v=" "/>
    <s v=" "/>
    <m/>
    <s v=" "/>
    <s v=" "/>
    <s v=" "/>
    <m/>
    <s v=" "/>
  </r>
  <r>
    <m/>
    <s v="FAA"/>
    <s v="Federal"/>
    <s v="Fee Simple"/>
    <s v="107 Charles W. Grant Pkwy"/>
    <s v="Hapeville"/>
    <s v="GA"/>
    <n v="8.9"/>
    <n v="2009"/>
    <n v="99992"/>
    <n v="99992"/>
    <n v="1"/>
    <m/>
    <s v=" "/>
    <n v="2400000"/>
    <n v="24.00192015361229"/>
    <d v="2009-04-01T00:00:00"/>
    <d v="2029-03-31T00:00:00"/>
    <d v="2024-03-31T00:00:00"/>
    <n v="8.210958904109589"/>
    <n v="3.208219178082192"/>
    <m/>
    <m/>
    <m/>
    <n v="30700000"/>
    <n v="307.0245619649572"/>
    <n v="0.07817589576547231"/>
    <m/>
    <d v="2021-01-15T00:00:00"/>
    <x v="220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 Highland Rd"/>
    <s v="North Truro"/>
    <s v="MA"/>
    <n v="0.5"/>
    <n v="2010"/>
    <n v="2226"/>
    <n v="2226"/>
    <n v="1"/>
    <n v="96500"/>
    <n v="43.35130278526505"/>
    <n v="94289"/>
    <n v="42.35804132973944"/>
    <d v="2010-06-01T00:00:00"/>
    <d v="2030-05-31T00:00:00"/>
    <m/>
    <n v="9.38082191780822"/>
    <s v=" "/>
    <s v="NN"/>
    <s v="Per Option"/>
    <s v="2, 5 year"/>
    <n v="1438000"/>
    <n v="646.0017969451932"/>
    <n v="0.06556954102920723"/>
    <m/>
    <d v="2021-01-14T00:00:00"/>
    <x v="521"/>
    <s v="Horvath &amp; Tremblay"/>
    <x v="361"/>
    <s v="NH"/>
    <s v="Private"/>
    <m/>
    <m/>
    <n v="1446000"/>
    <n v="0.06520677731673583"/>
    <n v="0.9944674965421854"/>
    <n v="1446000"/>
    <n v="0.06520677731673583"/>
    <n v="0.0003627637124714034"/>
    <s v="No"/>
    <d v="2020-09-30T00:00:00"/>
    <n v="106"/>
  </r>
  <r>
    <s v="LCA03146"/>
    <s v="ATF"/>
    <s v="Federal"/>
    <s v="Fee Simple"/>
    <s v="5601 Arnold Rd"/>
    <s v="Dublin"/>
    <s v="CA"/>
    <n v="11.47"/>
    <n v="2000"/>
    <n v="31250"/>
    <n v="120199"/>
    <n v="0.2599855240060234"/>
    <n v="1009981.62"/>
    <n v="32.31941184"/>
    <n v="2342250"/>
    <n v="19.48643499529946"/>
    <d v="2014-01-01T00:00:00"/>
    <d v="2023-12-31T00:00:00"/>
    <d v="2019-01-01T00:00:00"/>
    <n v="2.967123287671233"/>
    <n v="-2.032876712328767"/>
    <s v="Modified Gross"/>
    <s v="None"/>
    <s v="None"/>
    <n v="34700000"/>
    <n v="288.6879258562883"/>
    <n v="0.0675"/>
    <m/>
    <d v="2021-01-12T00:00:00"/>
    <x v="522"/>
    <s v="Colliers; Lagomarisino"/>
    <x v="362"/>
    <m/>
    <s v="Cross-Border"/>
    <m/>
    <m/>
    <m/>
    <s v=" "/>
    <s v=" "/>
    <m/>
    <s v=" "/>
    <s v=" "/>
    <s v=" "/>
    <m/>
    <s v=" "/>
  </r>
  <r>
    <s v="LIN19430"/>
    <s v="ACOE"/>
    <s v="Federal"/>
    <s v="Fee Simple"/>
    <s v="906 N Griffith Blvd"/>
    <s v="Griffith"/>
    <s v="IN"/>
    <n v="0.7"/>
    <n v="1992"/>
    <n v="3170"/>
    <n v="3600"/>
    <n v="0.8805555555555555"/>
    <n v="78901.3"/>
    <n v="24.89"/>
    <m/>
    <s v=" "/>
    <d v="2020-01-01T00:00:00"/>
    <d v="2029-12-31T00:00:00"/>
    <d v="2024-12-31T00:00:00"/>
    <n v="8.972602739726028"/>
    <n v="3.96986301369863"/>
    <s v="Modified Gross"/>
    <s v="None"/>
    <s v="None"/>
    <n v="580000"/>
    <n v="161.1111111111111"/>
    <s v=" "/>
    <m/>
    <d v="2021-01-12T00:00:00"/>
    <x v="523"/>
    <m/>
    <x v="363"/>
    <s v="IN"/>
    <s v="Private"/>
    <m/>
    <m/>
    <m/>
    <s v=" "/>
    <s v=" "/>
    <m/>
    <s v=" "/>
    <s v=" "/>
    <s v=" "/>
    <m/>
    <s v=" "/>
  </r>
  <r>
    <m/>
    <s v="USPS"/>
    <s v="Federal"/>
    <s v="Fee Simple"/>
    <s v="1538 Tallahassee Blvd"/>
    <s v="Intercession City"/>
    <s v="FL"/>
    <n v="0.33"/>
    <n v="1976"/>
    <n v="2488"/>
    <n v="2488"/>
    <n v="1"/>
    <m/>
    <s v=" "/>
    <m/>
    <s v=" "/>
    <m/>
    <m/>
    <m/>
    <s v=" "/>
    <s v=" "/>
    <m/>
    <m/>
    <m/>
    <n v="245000"/>
    <n v="98.47266881028939"/>
    <s v=" "/>
    <m/>
    <d v="2021-01-08T00:00:00"/>
    <x v="524"/>
    <m/>
    <x v="364"/>
    <s v="FL"/>
    <s v="Private"/>
    <m/>
    <m/>
    <m/>
    <s v=" "/>
    <s v=" "/>
    <m/>
    <s v=" "/>
    <s v=" "/>
    <s v=" "/>
    <m/>
    <s v=" "/>
  </r>
  <r>
    <m/>
    <s v="Northern Virginia Community College"/>
    <s v="State"/>
    <s v="Fee Simple"/>
    <s v="9371 Innovation Dr "/>
    <s v="Manassas"/>
    <s v="VA"/>
    <n v="11"/>
    <n v="2006"/>
    <m/>
    <n v="32893"/>
    <s v=" "/>
    <m/>
    <s v=" "/>
    <m/>
    <s v=" "/>
    <m/>
    <m/>
    <m/>
    <s v=" "/>
    <s v=" "/>
    <m/>
    <m/>
    <m/>
    <n v="8117117"/>
    <n v="246.7733864348038"/>
    <s v=" "/>
    <m/>
    <d v="2021-01-08T00:00:00"/>
    <x v="525"/>
    <m/>
    <x v="365"/>
    <s v="VA"/>
    <s v="Private"/>
    <m/>
    <m/>
    <m/>
    <s v=" "/>
    <s v=" "/>
    <m/>
    <s v=" "/>
    <s v=" "/>
    <s v=" "/>
    <m/>
    <s v=" "/>
  </r>
  <r>
    <m/>
    <s v="VA"/>
    <s v="Federal"/>
    <s v="Fee Simple"/>
    <s v="2569 W Woodland Drive"/>
    <s v="Anaheim"/>
    <s v="CA"/>
    <n v="0.45"/>
    <n v="1980"/>
    <n v="6625"/>
    <n v="6625"/>
    <n v="1"/>
    <m/>
    <s v=" "/>
    <n v="111150"/>
    <n v="16.77735849056604"/>
    <m/>
    <d v="2022-02-01T00:00:00"/>
    <d v="2022-02-01T00:00:00"/>
    <n v="1.068493150684932"/>
    <n v="1.068493150684932"/>
    <s v="Full Service"/>
    <s v="None"/>
    <s v="None"/>
    <n v="1900000"/>
    <n v="286.7924528301887"/>
    <n v="0.0585"/>
    <m/>
    <d v="2021-01-07T00:00:00"/>
    <x v="526"/>
    <m/>
    <x v="366"/>
    <m/>
    <s v="Private"/>
    <m/>
    <m/>
    <m/>
    <s v=" "/>
    <s v=" "/>
    <m/>
    <s v=" "/>
    <s v=" "/>
    <s v=" "/>
    <d v="2020-09-02T00:00:00"/>
    <n v="127"/>
  </r>
  <r>
    <m/>
    <s v="USPS"/>
    <s v="Federal"/>
    <s v="Fee Simple"/>
    <s v="9 Salisbury St"/>
    <s v="Randolph"/>
    <s v="VT"/>
    <m/>
    <m/>
    <n v="3335"/>
    <n v="3335"/>
    <n v="1"/>
    <m/>
    <s v=" "/>
    <m/>
    <s v=" "/>
    <m/>
    <m/>
    <m/>
    <s v=" "/>
    <s v=" "/>
    <m/>
    <m/>
    <m/>
    <n v="718000"/>
    <n v="215.2923538230885"/>
    <s v=" "/>
    <m/>
    <d v="2021-01-06T00:00:00"/>
    <x v="527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0 Carolina Ave"/>
    <s v="Fort Myers Beach"/>
    <s v="FL"/>
    <n v="1.63"/>
    <n v="1977"/>
    <n v="14518"/>
    <n v="14518"/>
    <n v="1"/>
    <m/>
    <s v=" "/>
    <n v="237940.5"/>
    <n v="16.38934426229508"/>
    <m/>
    <d v="2030-03-31T00:00:00"/>
    <m/>
    <n v="9.238356164383562"/>
    <s v=" "/>
    <m/>
    <m/>
    <m/>
    <n v="3655000"/>
    <n v="251.7564402810305"/>
    <n v="0.06510000000000001"/>
    <m/>
    <d v="2021-01-05T00:00:00"/>
    <x v="528"/>
    <s v="M&amp;M; Medefind"/>
    <x v="367"/>
    <s v="FL"/>
    <s v="Private"/>
    <m/>
    <m/>
    <m/>
    <s v=" "/>
    <s v=" "/>
    <m/>
    <s v=" "/>
    <s v=" "/>
    <s v=" "/>
    <m/>
    <s v=" "/>
  </r>
  <r>
    <m/>
    <s v="VA"/>
    <s v="Federal"/>
    <s v="Fee Simple"/>
    <s v="340 E Yosemite Ave"/>
    <s v="Merced"/>
    <s v="CA"/>
    <n v="0.64"/>
    <n v="2010"/>
    <n v="8620"/>
    <n v="8620"/>
    <n v="1"/>
    <m/>
    <s v=" "/>
    <n v="298517"/>
    <n v="34.63074245939675"/>
    <m/>
    <d v="2021-02-15T00:00:00"/>
    <d v="2021-02-15T00:00:00"/>
    <n v="0.1123287671232877"/>
    <n v="0.1123287671232877"/>
    <s v="Modified Gross"/>
    <s v="2.5% annually"/>
    <s v="None"/>
    <n v="2900000"/>
    <n v="336.4269141531323"/>
    <n v="0.1029368965517241"/>
    <m/>
    <d v="2021-01-05T00:00:00"/>
    <x v="529"/>
    <m/>
    <x v="368"/>
    <s v="CA"/>
    <s v="Private"/>
    <m/>
    <m/>
    <m/>
    <s v=" "/>
    <s v=" "/>
    <m/>
    <s v=" "/>
    <s v=" "/>
    <s v=" "/>
    <m/>
    <s v=" "/>
  </r>
  <r>
    <m/>
    <s v="USPS"/>
    <s v="Federal"/>
    <s v="Fee Simple"/>
    <s v="1518 Randolph Rd"/>
    <s v="Janesville"/>
    <s v="WI"/>
    <n v="5.06"/>
    <n v="1973"/>
    <n v="38333"/>
    <n v="38333"/>
    <n v="1"/>
    <m/>
    <s v=" "/>
    <m/>
    <s v=" "/>
    <m/>
    <d v="2021-07-31T00:00:00"/>
    <m/>
    <n v="0.5698630136986301"/>
    <s v=" "/>
    <m/>
    <m/>
    <m/>
    <n v="2650000"/>
    <n v="69.1310359220515"/>
    <s v=" "/>
    <m/>
    <d v="2021-01-04T00:00:00"/>
    <x v="530"/>
    <m/>
    <x v="66"/>
    <s v="CA"/>
    <s v="Private"/>
    <m/>
    <m/>
    <m/>
    <s v=" "/>
    <s v=" "/>
    <m/>
    <s v=" "/>
    <s v=" "/>
    <s v=" "/>
    <m/>
    <s v=" "/>
  </r>
  <r>
    <m/>
    <s v="DFCS"/>
    <s v="State"/>
    <s v="Fee Simple"/>
    <s v="2300 Parklake Dr. NE"/>
    <s v="Atlanta"/>
    <s v="GA"/>
    <n v="8.02"/>
    <n v="1980"/>
    <n v="119089"/>
    <n v="119089"/>
    <n v="1"/>
    <m/>
    <s v=" "/>
    <n v="2600000"/>
    <n v="21.83241105391766"/>
    <d v="2018-12-01T00:00:00"/>
    <d v="2038-11-30T00:00:00"/>
    <d v="2028-11-30T00:00:00"/>
    <n v="17.92328767123288"/>
    <n v="7.917808219178082"/>
    <s v="Full Service"/>
    <s v="2% annually"/>
    <s v="None"/>
    <n v="40000000"/>
    <n v="335.8832469833486"/>
    <n v="0.065"/>
    <m/>
    <d v="2021-01-01T00:00:00"/>
    <x v="531"/>
    <m/>
    <x v="0"/>
    <m/>
    <m/>
    <m/>
    <m/>
    <m/>
    <s v=" "/>
    <s v=" "/>
    <m/>
    <s v=" "/>
    <s v=" "/>
    <s v=" "/>
    <m/>
    <s v=" "/>
  </r>
  <r>
    <m/>
    <s v="Multi"/>
    <s v="Federal &amp; State"/>
    <s v="Fee Simple"/>
    <s v="3401 Village Dr"/>
    <s v="Fayetteville"/>
    <s v="NC"/>
    <n v="1.29"/>
    <n v="2017"/>
    <n v="15000"/>
    <n v="28343"/>
    <n v="0.5292312034717567"/>
    <m/>
    <s v=" "/>
    <n v="481129"/>
    <n v="16.97523197967752"/>
    <m/>
    <d v="2035-09-01T00:00:00"/>
    <d v="2030-09-01T00:00:00"/>
    <n v="14.67671232876712"/>
    <n v="9.673972602739726"/>
    <m/>
    <m/>
    <m/>
    <n v="9550000"/>
    <n v="336.9438662103518"/>
    <n v="0.05038"/>
    <m/>
    <d v="2020-12-31T00:00:00"/>
    <x v="532"/>
    <s v="SJC; Briggs"/>
    <x v="1"/>
    <s v="IL"/>
    <s v="Private"/>
    <m/>
    <m/>
    <m/>
    <s v=" "/>
    <s v=" "/>
    <m/>
    <s v=" "/>
    <s v=" "/>
    <s v=" "/>
    <m/>
    <s v=" "/>
  </r>
  <r>
    <m/>
    <m/>
    <s v="Federal"/>
    <s v="Fee Simple"/>
    <s v="124 Technology Park Way"/>
    <s v="South Burlington"/>
    <s v="VT"/>
    <n v="5"/>
    <n v="2008"/>
    <n v="54500"/>
    <n v="54500"/>
    <n v="1"/>
    <n v="2021906.98"/>
    <n v="37.09921064220183"/>
    <m/>
    <s v=" "/>
    <d v="2020-10-19T00:00:00"/>
    <d v="2035-10-18T00:00:00"/>
    <d v="2030-10-19T00:00:00"/>
    <n v="14.80547945205479"/>
    <n v="9.805479452054794"/>
    <m/>
    <m/>
    <m/>
    <n v="20300000"/>
    <n v="372.4770642201835"/>
    <s v=" "/>
    <m/>
    <d v="2020-12-31T00:00:00"/>
    <x v="533"/>
    <s v="Direct"/>
    <x v="1"/>
    <s v="IL"/>
    <s v="Private"/>
    <m/>
    <m/>
    <m/>
    <s v=" "/>
    <s v=" "/>
    <m/>
    <s v=" "/>
    <s v=" "/>
    <s v=" "/>
    <m/>
    <s v=" "/>
  </r>
  <r>
    <m/>
    <s v="USF Health"/>
    <s v="State"/>
    <s v="Fee Simple"/>
    <s v="509 S Armenia Ave"/>
    <s v="Tampa"/>
    <s v="FL"/>
    <n v="1.19"/>
    <n v="2004"/>
    <n v="31939"/>
    <n v="31939"/>
    <n v="1"/>
    <m/>
    <s v=" "/>
    <m/>
    <s v=" "/>
    <d v="2012-12-01T00:00:00"/>
    <d v="2027-12-31T00:00:00"/>
    <d v="2027-12-31T00:00:00"/>
    <n v="7.002739726027397"/>
    <n v="7.002739726027397"/>
    <s v="Full Service"/>
    <s v="2.5% annually"/>
    <s v="1, 5 yr"/>
    <n v="6300000"/>
    <n v="197.2510097373118"/>
    <s v=" "/>
    <m/>
    <d v="2020-12-31T00:00:00"/>
    <x v="534"/>
    <s v="TMC Commercial"/>
    <x v="369"/>
    <s v="FL"/>
    <s v="Private"/>
    <m/>
    <m/>
    <m/>
    <s v=" "/>
    <s v=" "/>
    <m/>
    <s v=" "/>
    <s v=" "/>
    <s v=" "/>
    <d v="2020-06-21T00:00:00"/>
    <n v="193"/>
  </r>
  <r>
    <s v="LCO14485"/>
    <s v="Army"/>
    <s v="Federal"/>
    <s v="Leasehold"/>
    <s v="1670 N Newport Rd"/>
    <s v="Colorado Springs"/>
    <s v="CO"/>
    <n v="5.12"/>
    <n v="1986"/>
    <n v="36910"/>
    <n v="67640"/>
    <n v="0.5456830277942046"/>
    <n v="927942.54"/>
    <n v="25.14068111622867"/>
    <n v="880760"/>
    <n v="13.02128917800118"/>
    <d v="2010-06-01T00:00:00"/>
    <d v="2023-05-31T00:00:00"/>
    <d v="2015-06-01T00:00:00"/>
    <n v="2.416438356164384"/>
    <n v="-5.586301369863014"/>
    <s v="Modified Gross"/>
    <s v="None"/>
    <s v="None"/>
    <n v="11009500"/>
    <n v="162.7661147250148"/>
    <n v="0.08"/>
    <m/>
    <d v="2020-12-30T00:00:00"/>
    <x v="94"/>
    <s v="C&amp;W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764 Unita Way"/>
    <s v="Park City"/>
    <s v="UT"/>
    <n v="0.13"/>
    <n v="1997"/>
    <n v="5863"/>
    <n v="5863"/>
    <n v="1"/>
    <n v="158788"/>
    <n v="27.08306327818523"/>
    <n v="151295"/>
    <n v="25.80504860992666"/>
    <d v="2021-04-01T00:00:00"/>
    <d v="2026-03-31T00:00:00"/>
    <m/>
    <n v="5.252054794520548"/>
    <s v=" "/>
    <s v="NN"/>
    <s v="Per Option"/>
    <s v="2, 5 year"/>
    <n v="2729695"/>
    <n v="465.5799078969811"/>
    <n v="0.05542560615746448"/>
    <m/>
    <d v="2020-12-30T00:00:00"/>
    <x v="8"/>
    <m/>
    <x v="0"/>
    <m/>
    <m/>
    <m/>
    <m/>
    <n v="2800000"/>
    <n v="0.05403392857142857"/>
    <n v="0.9748910714285715"/>
    <n v="2800000"/>
    <n v="0.05403392857142857"/>
    <n v="0.001391677586035908"/>
    <s v="No"/>
    <m/>
    <s v=" "/>
  </r>
  <r>
    <s v="LKY00231"/>
    <m/>
    <s v="Federal"/>
    <s v="Fee Simple"/>
    <s v="990 Wilkinson Trace"/>
    <s v="Bowling Green"/>
    <s v="OH"/>
    <n v="2.58"/>
    <n v="1995"/>
    <n v="5301"/>
    <n v="25440"/>
    <n v="0.208372641509434"/>
    <n v="151078.5"/>
    <n v="28.5"/>
    <m/>
    <s v=" "/>
    <d v="2016-08-24T00:00:00"/>
    <d v="2026-08-23T00:00:00"/>
    <d v="2023-08-24T00:00:00"/>
    <n v="5.652054794520548"/>
    <n v="2.652054794520548"/>
    <s v="Modified Gross"/>
    <s v="None"/>
    <s v="None"/>
    <n v="2800000"/>
    <n v="110.062893081761"/>
    <s v=" "/>
    <m/>
    <d v="2020-12-29T00:00:00"/>
    <x v="535"/>
    <m/>
    <x v="370"/>
    <s v="KY"/>
    <s v="Private"/>
    <m/>
    <m/>
    <m/>
    <s v=" "/>
    <s v=" "/>
    <m/>
    <s v=" "/>
    <s v=" "/>
    <s v=" "/>
    <m/>
    <s v=" "/>
  </r>
  <r>
    <s v="LFL00171"/>
    <s v="USCIS"/>
    <s v="Federal"/>
    <s v="Condominium"/>
    <s v="4220 Executive Cir"/>
    <s v="Fort Myers"/>
    <s v="FL"/>
    <n v="5.44"/>
    <n v="2008"/>
    <n v="35630"/>
    <n v="50460"/>
    <n v="0.7061038446294094"/>
    <n v="1109898"/>
    <n v="31.15065955655347"/>
    <m/>
    <s v=" "/>
    <d v="2020-12-19T00:00:00"/>
    <d v="2035-12-18T00:00:00"/>
    <d v="2030-12-19T00:00:00"/>
    <n v="14.97808219178082"/>
    <n v="9.978082191780821"/>
    <s v="Modified Gross"/>
    <s v="None"/>
    <s v="None"/>
    <n v="10900000"/>
    <n v="216.0126833135157"/>
    <s v=" "/>
    <m/>
    <d v="2020-12-29T00:00:00"/>
    <x v="536"/>
    <s v="Direct"/>
    <x v="54"/>
    <s v="NC"/>
    <s v="REIT"/>
    <m/>
    <m/>
    <m/>
    <s v=" "/>
    <s v=" "/>
    <m/>
    <s v=" "/>
    <s v=" "/>
    <s v=" "/>
    <m/>
    <s v=" "/>
  </r>
  <r>
    <m/>
    <s v="VA"/>
    <s v="Federal"/>
    <s v="Condominium"/>
    <s v="3551 Commercial Dr SW"/>
    <s v="Rochester"/>
    <s v="MN"/>
    <m/>
    <n v="1979"/>
    <n v="18338"/>
    <n v="18338"/>
    <n v="1"/>
    <m/>
    <s v=" "/>
    <n v="272930"/>
    <n v="14.88330243210819"/>
    <d v="2019-07-01T00:00:00"/>
    <d v="2039-06-30T00:00:00"/>
    <d v="2034-06-30T00:00:00"/>
    <n v="18.51232876712329"/>
    <n v="13.50958904109589"/>
    <s v="Modified Gross"/>
    <s v="Every 3"/>
    <s v="None"/>
    <n v="4600000"/>
    <n v="250.8452393936089"/>
    <n v="0.05933260869565218"/>
    <m/>
    <d v="2020-12-29T00:00:00"/>
    <x v="111"/>
    <s v="C&amp;W; Trautvetter"/>
    <x v="371"/>
    <s v="MN"/>
    <s v="Private"/>
    <m/>
    <m/>
    <m/>
    <s v=" "/>
    <s v=" "/>
    <m/>
    <s v=" "/>
    <s v=" "/>
    <s v=" "/>
    <d v="2020-08-03T00:00:00"/>
    <n v="148"/>
  </r>
  <r>
    <m/>
    <s v="AG"/>
    <s v="State"/>
    <s v="Fee Simple"/>
    <s v="1031 W 4th Ave"/>
    <s v="Anchorage"/>
    <s v="AK"/>
    <n v="0.79"/>
    <n v="1982"/>
    <n v="62068.95"/>
    <n v="89955"/>
    <n v="0.6899999999999999"/>
    <m/>
    <s v=" "/>
    <n v="1739500"/>
    <n v="19.33744650102829"/>
    <m/>
    <m/>
    <m/>
    <s v=" "/>
    <s v=" "/>
    <m/>
    <m/>
    <m/>
    <n v="19060000"/>
    <n v="211.8837196375966"/>
    <n v="0.09126442812172088"/>
    <m/>
    <d v="2020-12-28T00:00:00"/>
    <x v="537"/>
    <s v="Jack White"/>
    <x v="1"/>
    <s v="IL"/>
    <s v="Private"/>
    <m/>
    <m/>
    <n v="24850000"/>
    <n v="0.07000000000000001"/>
    <n v="0.7670020120724346"/>
    <n v="24850000"/>
    <n v="0.07000000000000001"/>
    <n v="0.02126442812172087"/>
    <s v="No"/>
    <d v="2020-03-11T00:00:00"/>
    <n v="292"/>
  </r>
  <r>
    <s v="LOH19519"/>
    <s v="SSA"/>
    <s v="Federal"/>
    <s v="Fee Simple"/>
    <s v="4035 Jefferson St"/>
    <s v="Medina"/>
    <s v="OH"/>
    <n v="0.84"/>
    <n v="2007"/>
    <n v="5105"/>
    <n v="5700"/>
    <n v="0.8956140350877193"/>
    <n v="213583"/>
    <n v="41.83800195886386"/>
    <n v="116561"/>
    <n v="20.44929824561403"/>
    <d v="2020-08-01T00:00:00"/>
    <d v="2030-07-31T00:00:00"/>
    <d v="2025-07-31T00:00:00"/>
    <n v="9.605479452054794"/>
    <n v="4.602739726027397"/>
    <s v="Modified Gross"/>
    <s v="None"/>
    <s v="None"/>
    <n v="1480000"/>
    <n v="259.6491228070175"/>
    <n v="0.07875743243243244"/>
    <m/>
    <d v="2020-12-24T00:00:00"/>
    <x v="538"/>
    <s v="SJC; Briggs"/>
    <x v="124"/>
    <s v="CA"/>
    <s v="Private"/>
    <m/>
    <m/>
    <n v="1665153"/>
    <n v="0.07000017415817045"/>
    <n v="0.8888072147124018"/>
    <n v="1665153"/>
    <n v="0.07000017415817045"/>
    <n v="0.008757258274261992"/>
    <s v="No"/>
    <m/>
    <s v=" "/>
  </r>
  <r>
    <m/>
    <s v="USPS"/>
    <s v="Federal"/>
    <s v="Fee Simple"/>
    <s v="1425 Battlefield Blvd N"/>
    <s v="Chesapeake"/>
    <s v="VA"/>
    <n v="2.44"/>
    <m/>
    <n v="19426"/>
    <n v="19426"/>
    <n v="1"/>
    <m/>
    <s v=" "/>
    <n v="262730"/>
    <n v="13.52465767528055"/>
    <m/>
    <m/>
    <m/>
    <s v=" "/>
    <s v=" "/>
    <s v="Rider"/>
    <s v="Options"/>
    <s v="2, 5 year"/>
    <n v="4300000"/>
    <n v="221.352826109338"/>
    <n v="0.0611"/>
    <m/>
    <d v="2020-12-23T00:00:00"/>
    <x v="539"/>
    <s v="M&amp;M; Zang"/>
    <x v="6"/>
    <s v="DC"/>
    <s v="User/Owner"/>
    <m/>
    <m/>
    <m/>
    <s v=" "/>
    <s v=" "/>
    <m/>
    <s v=" "/>
    <s v=" "/>
    <s v=" "/>
    <m/>
    <s v=" "/>
  </r>
  <r>
    <s v="LAZ01846"/>
    <s v="SSA"/>
    <s v="Federal"/>
    <s v="Fee Simple"/>
    <s v="2715 S Woodland Village Blvd"/>
    <s v="Flagstaff"/>
    <s v="AZ"/>
    <n v="1.13"/>
    <n v="2011"/>
    <n v="7480"/>
    <n v="7480"/>
    <n v="1"/>
    <n v="313129.82"/>
    <n v="41.86227540106952"/>
    <m/>
    <s v=" "/>
    <d v="2011-04-21T00:00:00"/>
    <d v="2026-04-20T00:00:00"/>
    <d v="2021-04-21T00:00:00"/>
    <n v="5.326027397260274"/>
    <n v="0.326027397260274"/>
    <s v="Modified Gross"/>
    <s v="None"/>
    <s v="None"/>
    <n v="3450000"/>
    <n v="461.2299465240642"/>
    <s v=" "/>
    <m/>
    <d v="2020-12-23T00:00:00"/>
    <x v="540"/>
    <s v="C&amp;W; Trautvetter"/>
    <x v="1"/>
    <s v="IL"/>
    <s v="Private"/>
    <m/>
    <m/>
    <m/>
    <s v=" "/>
    <s v=" "/>
    <m/>
    <s v=" "/>
    <s v=" "/>
    <s v=" "/>
    <m/>
    <s v=" "/>
  </r>
  <r>
    <m/>
    <m/>
    <s v="Federal"/>
    <s v="Fee Simple"/>
    <m/>
    <s v="Portfolio of 42"/>
    <m/>
    <m/>
    <m/>
    <n v="573000"/>
    <n v="573000"/>
    <n v="1"/>
    <m/>
    <s v=" "/>
    <m/>
    <s v=" "/>
    <m/>
    <m/>
    <m/>
    <s v=" "/>
    <s v=" "/>
    <m/>
    <m/>
    <m/>
    <n v="106500000"/>
    <n v="185.8638743455497"/>
    <s v=" "/>
    <m/>
    <d v="2020-12-23T00:00:00"/>
    <x v="450"/>
    <s v="Eastdil"/>
    <x v="46"/>
    <s v="OK"/>
    <s v="Private"/>
    <s v="Colliers; Ficke"/>
    <m/>
    <m/>
    <s v=" "/>
    <s v=" "/>
    <m/>
    <s v=" "/>
    <s v=" "/>
    <s v=" "/>
    <m/>
    <s v=" "/>
  </r>
  <r>
    <m/>
    <m/>
    <s v="Federal"/>
    <s v="Fee Simple"/>
    <m/>
    <s v="Portfolio of Five"/>
    <m/>
    <m/>
    <m/>
    <m/>
    <n v="86498"/>
    <s v=" "/>
    <m/>
    <s v=" "/>
    <m/>
    <s v=" "/>
    <m/>
    <m/>
    <m/>
    <s v=" "/>
    <s v=" "/>
    <m/>
    <m/>
    <m/>
    <n v="26000000"/>
    <n v="300.584984623922"/>
    <s v=" "/>
    <m/>
    <d v="2020-12-23T00:00:00"/>
    <x v="540"/>
    <s v="C&amp;W; Trautvetter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5571 Gretna Rd"/>
    <s v="Branson"/>
    <s v="MO"/>
    <n v="2.49"/>
    <n v="2006"/>
    <n v="22962"/>
    <n v="37708"/>
    <n v="0.6089423994908242"/>
    <n v="712820"/>
    <n v="31.04346311296925"/>
    <n v="382538.8700000001"/>
    <n v="10.14476689296701"/>
    <d v="2019-08-13T00:00:00"/>
    <d v="2029-08-13T00:00:00"/>
    <d v="2024-08-13T00:00:00"/>
    <n v="8.646575342465754"/>
    <n v="3.643835616438356"/>
    <s v="Modified Gross"/>
    <s v="None"/>
    <s v="None"/>
    <n v="5150000"/>
    <n v="136.5757929351862"/>
    <n v="0.07427939223300972"/>
    <m/>
    <d v="2020-12-22T00:00:00"/>
    <x v="541"/>
    <s v="SJC; Muller"/>
    <x v="372"/>
    <s v="WA"/>
    <s v="Private"/>
    <s v="Windermere; Kotje"/>
    <m/>
    <n v="5464841"/>
    <n v="0.07000000000000001"/>
    <n v="0.9423878938106341"/>
    <n v="5464841"/>
    <n v="0.07000000000000001"/>
    <n v="0.004279392233009716"/>
    <s v="No"/>
    <d v="2019-12-02T00:00:00"/>
    <n v="386"/>
  </r>
  <r>
    <m/>
    <s v="DofMed."/>
    <s v="State"/>
    <s v="Fee Simple"/>
    <s v="1385 Johnny Johnson Dr"/>
    <s v="Brookhaven"/>
    <s v="MS"/>
    <n v="0.602"/>
    <n v="2000"/>
    <n v="8000"/>
    <n v="8000"/>
    <n v="1"/>
    <m/>
    <s v=" "/>
    <n v="88443"/>
    <n v="11.055375"/>
    <d v="2016-08-01T00:00:00"/>
    <d v="2026-07-31T00:00:00"/>
    <m/>
    <n v="5.608219178082192"/>
    <s v=" "/>
    <s v="Full Service"/>
    <s v="None"/>
    <s v="None"/>
    <n v="1020000"/>
    <n v="127.5"/>
    <n v="0.08670882352941177"/>
    <m/>
    <d v="2020-12-22T00:00:00"/>
    <x v="8"/>
    <m/>
    <x v="0"/>
    <m/>
    <m/>
    <m/>
    <m/>
    <n v="1140500"/>
    <n v="0.07754756685664183"/>
    <n v="0.8943445857080228"/>
    <n v="1100000"/>
    <n v="0.08040272727272728"/>
    <n v="0.00630609625668449"/>
    <s v="Yes"/>
    <d v="2020-08-28T00:00:00"/>
    <n v="116"/>
  </r>
  <r>
    <s v="LTX17363"/>
    <m/>
    <s v="Federal"/>
    <s v="Fee Simple"/>
    <s v="7501 Esters Blvd"/>
    <s v="Irving"/>
    <s v="TX"/>
    <n v="14.1"/>
    <n v="1984"/>
    <n v="26772"/>
    <n v="176700"/>
    <n v="0.1515110356536503"/>
    <n v="528686.4399999999"/>
    <n v="19.74773793515613"/>
    <m/>
    <s v=" "/>
    <d v="2015-06-01T00:00:00"/>
    <d v="2025-05-31T00:00:00"/>
    <d v="2020-06-01T00:00:00"/>
    <n v="4.441095890410959"/>
    <n v="-0.5589041095890411"/>
    <s v="Modified Gross"/>
    <s v="None"/>
    <s v="None"/>
    <m/>
    <s v=" "/>
    <s v=" "/>
    <m/>
    <d v="2020-12-22T00:00:00"/>
    <x v="542"/>
    <s v="Newmark; Murphy"/>
    <x v="373"/>
    <s v="CA"/>
    <s v="Private"/>
    <m/>
    <m/>
    <m/>
    <s v=" "/>
    <s v=" "/>
    <m/>
    <s v=" "/>
    <s v=" "/>
    <s v=" "/>
    <m/>
    <s v=" "/>
  </r>
  <r>
    <m/>
    <s v="County Office of Education"/>
    <s v="State"/>
    <s v="Fee Simple"/>
    <s v="Portfolio of Two"/>
    <s v="Mather"/>
    <s v="CA"/>
    <n v="7.47"/>
    <n v="2008"/>
    <n v="155125"/>
    <n v="176000"/>
    <n v="0.8813920454545454"/>
    <m/>
    <s v=" "/>
    <n v="2966925"/>
    <n v="16.85752840909091"/>
    <m/>
    <d v="2026-12-31T00:00:00"/>
    <m/>
    <n v="6.027397260273973"/>
    <s v=" "/>
    <s v="Full Service"/>
    <s v="2% annually"/>
    <s v="None"/>
    <n v="44750000"/>
    <n v="254.2613636363636"/>
    <n v="0.0663"/>
    <m/>
    <d v="2020-12-22T00:00:00"/>
    <x v="543"/>
    <s v="Palmer Capital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66 Leland Ave"/>
    <s v="San Francisco"/>
    <s v="CA"/>
    <n v="0.11"/>
    <n v="1950"/>
    <n v="3750"/>
    <n v="3750"/>
    <n v="1"/>
    <n v="58442"/>
    <n v="15.58453333333333"/>
    <n v="39726"/>
    <n v="10.5936"/>
    <d v="2021-02-01T00:00:00"/>
    <d v="2026-01-31T00:00:00"/>
    <m/>
    <n v="5.112328767123287"/>
    <s v=" "/>
    <s v="Full Service"/>
    <s v="None"/>
    <s v="1, 5 year"/>
    <n v="1045000"/>
    <n v="278.6666666666667"/>
    <n v="0.03801531100478469"/>
    <m/>
    <d v="2020-12-22T00:00:00"/>
    <x v="544"/>
    <s v="TCP; Harrison"/>
    <x v="374"/>
    <s v="CA"/>
    <s v="Private"/>
    <s v="M&amp;M; Ho"/>
    <m/>
    <n v="1175000"/>
    <n v="0.03380936170212766"/>
    <n v="0.8893617021276595"/>
    <n v="1075000"/>
    <n v="0.03695441860465117"/>
    <n v="0.001060892400133524"/>
    <s v="Yes"/>
    <d v="2020-06-30T00:00:00"/>
    <n v="175"/>
  </r>
  <r>
    <m/>
    <s v="USPS"/>
    <s v="Federal"/>
    <s v="Fee Simple"/>
    <s v="565 Torrance Rd"/>
    <s v="Torrance"/>
    <s v="PA"/>
    <m/>
    <m/>
    <n v="1000"/>
    <n v="1000"/>
    <n v="1"/>
    <m/>
    <s v=" "/>
    <m/>
    <s v=" "/>
    <m/>
    <m/>
    <m/>
    <s v=" "/>
    <s v=" "/>
    <m/>
    <m/>
    <m/>
    <n v="100000"/>
    <n v="100"/>
    <s v=" "/>
    <m/>
    <d v="2020-12-22T00:00:00"/>
    <x v="8"/>
    <m/>
    <x v="66"/>
    <s v="CA"/>
    <s v="Private"/>
    <m/>
    <m/>
    <m/>
    <s v=" "/>
    <s v=" "/>
    <m/>
    <s v=" "/>
    <s v=" "/>
    <s v=" "/>
    <m/>
    <s v=" "/>
  </r>
  <r>
    <s v="LIA80014"/>
    <s v="SSA"/>
    <s v="Federal"/>
    <s v="Condominium"/>
    <s v="1100 6th St"/>
    <s v="Coralville"/>
    <s v="IA"/>
    <n v="0.36"/>
    <n v="2000"/>
    <n v="5912"/>
    <n v="5912"/>
    <n v="1"/>
    <n v="174112.84"/>
    <n v="29.45075101488498"/>
    <m/>
    <s v=" "/>
    <d v="2012-10-01T00:00:00"/>
    <d v="2027-09-30T00:00:00"/>
    <d v="2022-09-20T00:00:00"/>
    <n v="6.786301369863014"/>
    <n v="1.756164383561644"/>
    <s v="Modified Gross"/>
    <s v="None"/>
    <s v="None"/>
    <n v="900000"/>
    <n v="152.232746955345"/>
    <s v=" "/>
    <m/>
    <d v="2020-12-18T00:00:00"/>
    <x v="545"/>
    <m/>
    <x v="375"/>
    <s v="IA"/>
    <m/>
    <m/>
    <m/>
    <m/>
    <s v=" "/>
    <s v=" "/>
    <m/>
    <s v=" "/>
    <s v=" "/>
    <s v=" "/>
    <m/>
    <s v=" "/>
  </r>
  <r>
    <s v="LMO00153"/>
    <s v="SSA/OHO"/>
    <s v="Federal"/>
    <s v="Fee Simple"/>
    <s v="155 Forest Dr"/>
    <s v="Hannibal"/>
    <s v="MO"/>
    <n v="1.8"/>
    <n v="2009"/>
    <n v="7648"/>
    <n v="7648"/>
    <n v="1"/>
    <n v="210847"/>
    <n v="27.56890690376569"/>
    <n v="139978"/>
    <n v="18.30256276150628"/>
    <d v="2019-10-15T00:00:00"/>
    <d v="2029-10-14T00:00:00"/>
    <d v="2027-10-14T00:00:00"/>
    <n v="8.827397260273973"/>
    <n v="6.824657534246575"/>
    <s v="Modified Gross"/>
    <s v="None"/>
    <s v="None"/>
    <n v="2069000"/>
    <n v="270.5282426778243"/>
    <n v="0.06765490575157081"/>
    <m/>
    <d v="2020-12-18T00:00:00"/>
    <x v="546"/>
    <s v="Colliers; Ficke"/>
    <x v="376"/>
    <m/>
    <s v="Private"/>
    <m/>
    <m/>
    <n v="2137500"/>
    <n v="0.06548678362573099"/>
    <n v="0.967953216374269"/>
    <n v="2137500"/>
    <n v="0.06548678362573099"/>
    <n v="0.002168122125839819"/>
    <s v="No"/>
    <d v="2020-02-25T00:00:00"/>
    <n v="297"/>
  </r>
  <r>
    <s v="LMD00253"/>
    <s v="BEP"/>
    <s v="Federal"/>
    <s v="Fee Simple"/>
    <s v="3201-3301 Pennsy Dr"/>
    <s v="Landover"/>
    <s v="MD"/>
    <n v="13.41"/>
    <m/>
    <n v="265000"/>
    <n v="340825"/>
    <n v="0.7775251228636397"/>
    <n v="2853555.09"/>
    <n v="10.76813241509434"/>
    <n v="3435000"/>
    <n v="10.07848602655322"/>
    <d v="2002-01-18T00:00:00"/>
    <d v="2022-03-17T00:00:00"/>
    <d v="2022-03-17T00:00:00"/>
    <n v="1.243835616438356"/>
    <n v="1.243835616438356"/>
    <s v="Modified Gross"/>
    <s v="None"/>
    <s v="None"/>
    <n v="59500000"/>
    <n v="174.5763955108927"/>
    <n v="0.05773109243697479"/>
    <m/>
    <d v="2020-12-18T00:00:00"/>
    <x v="547"/>
    <s v="CBRE; Cashman"/>
    <x v="377"/>
    <s v="NJ"/>
    <s v="Private"/>
    <m/>
    <m/>
    <m/>
    <s v=" "/>
    <s v=" "/>
    <m/>
    <s v=" "/>
    <s v=" "/>
    <s v=" "/>
    <m/>
    <s v=" "/>
  </r>
  <r>
    <s v="LMI17891"/>
    <s v="FBI"/>
    <s v="Federal"/>
    <s v="Fee Simple"/>
    <s v="1025 Commerce Dr"/>
    <s v="Marquette"/>
    <s v="MI"/>
    <n v="1.2"/>
    <n v="2008"/>
    <n v="5175"/>
    <n v="8112"/>
    <n v="0.6379437869822485"/>
    <n v="155503.32"/>
    <n v="30.04895072463768"/>
    <m/>
    <s v=" "/>
    <d v="2011-05-25T00:00:00"/>
    <d v="2026-05-24T00:00:00"/>
    <d v="2021-05-24T00:00:00"/>
    <n v="5.432876712328767"/>
    <n v="0.4301369863013699"/>
    <s v="Modified Gross"/>
    <s v="None"/>
    <s v="None"/>
    <n v="1180000"/>
    <n v="145.4635108481262"/>
    <s v=" "/>
    <m/>
    <d v="2020-12-18T00:00:00"/>
    <x v="490"/>
    <m/>
    <x v="338"/>
    <s v="MI"/>
    <s v="Private"/>
    <m/>
    <m/>
    <m/>
    <s v=" "/>
    <s v=" "/>
    <m/>
    <s v=" "/>
    <s v=" "/>
    <s v=" "/>
    <m/>
    <s v=" "/>
  </r>
  <r>
    <m/>
    <s v="City of Richmond"/>
    <s v="Municipal"/>
    <s v="Fee Simple"/>
    <s v="2134 W Laburnum Ave"/>
    <s v="Richmond"/>
    <s v="VA"/>
    <n v="4.84"/>
    <n v="1976"/>
    <n v="38400"/>
    <n v="38400"/>
    <n v="1"/>
    <m/>
    <s v=" "/>
    <n v="609650"/>
    <n v="15.87630208333333"/>
    <m/>
    <d v="2030-08-31T00:00:00"/>
    <d v="2030-08-31T00:00:00"/>
    <n v="9.706849315068494"/>
    <n v="9.706849315068494"/>
    <m/>
    <m/>
    <m/>
    <n v="8900000"/>
    <n v="231.7708333333333"/>
    <n v="0.06850000000000001"/>
    <m/>
    <d v="2020-12-18T00:00:00"/>
    <x v="548"/>
    <s v="Direct"/>
    <x v="1"/>
    <s v="IL"/>
    <s v="Private"/>
    <m/>
    <m/>
    <m/>
    <s v=" "/>
    <s v=" "/>
    <m/>
    <s v=" "/>
    <s v=" "/>
    <s v=" "/>
    <m/>
    <s v=" "/>
  </r>
  <r>
    <s v="LMO21003"/>
    <s v="USDA"/>
    <s v="Federal"/>
    <s v="Fee Simple"/>
    <s v="12819 Country Pl"/>
    <s v="Saint Joseph"/>
    <s v="MO"/>
    <n v="1.2"/>
    <n v="2001"/>
    <n v="8000"/>
    <n v="8000"/>
    <n v="1"/>
    <n v="146001"/>
    <n v="18.250125"/>
    <n v="110686"/>
    <n v="13.83575"/>
    <d v="2013-02-01T00:00:00"/>
    <d v="2023-01-31T00:00:00"/>
    <d v="2018-01-31T00:00:00"/>
    <n v="2.120547945205479"/>
    <n v="-2.882191780821918"/>
    <s v="Modified Gross"/>
    <s v="None"/>
    <s v="None"/>
    <m/>
    <s v=" "/>
    <s v=" "/>
    <m/>
    <d v="2020-12-18T00:00:00"/>
    <x v="549"/>
    <s v="Colliers; Ficke"/>
    <x v="84"/>
    <s v="IL"/>
    <s v="Private"/>
    <m/>
    <m/>
    <n v="1230000"/>
    <n v="0.08998861788617886"/>
    <s v=" "/>
    <n v="1230000"/>
    <n v="0.08998861788617886"/>
    <s v=" "/>
    <s v="No"/>
    <d v="2020-11-13T00:00:00"/>
    <n v="35"/>
  </r>
  <r>
    <m/>
    <s v="Armed Services Recr"/>
    <s v="Federal"/>
    <s v="Fee Simple"/>
    <s v="6747 E Thomas Rd"/>
    <s v="Scottsdale"/>
    <s v="AZ"/>
    <n v="0.8"/>
    <n v="2008"/>
    <n v="8005"/>
    <n v="8005"/>
    <n v="1"/>
    <m/>
    <s v=" "/>
    <n v="184000"/>
    <n v="22.98563397876327"/>
    <m/>
    <d v="2023-12-31T00:00:00"/>
    <m/>
    <n v="3.035616438356164"/>
    <s v=" "/>
    <s v="Full Service"/>
    <s v="None"/>
    <s v="None"/>
    <n v="2550000"/>
    <n v="318.5509056839475"/>
    <n v="0.07215686274509804"/>
    <m/>
    <d v="2020-12-18T00:00:00"/>
    <x v="550"/>
    <s v="Palo Enterprises"/>
    <x v="378"/>
    <s v="CA"/>
    <s v="Private"/>
    <m/>
    <m/>
    <n v="2834000"/>
    <n v="0.06492589978828511"/>
    <n v="0.899788285109386"/>
    <n v="2734000"/>
    <n v="0.06730065837600585"/>
    <n v="0.00485620436909219"/>
    <s v="Yes"/>
    <d v="2020-10-06T00:00:00"/>
    <n v="73"/>
  </r>
  <r>
    <s v="LPA00388"/>
    <s v="ICE"/>
    <s v="Federal"/>
    <s v="Fee Simple"/>
    <s v="1605 Clugston Rd"/>
    <s v="York"/>
    <s v="PA"/>
    <n v="6.01"/>
    <n v="1992"/>
    <n v="16660"/>
    <n v="16660"/>
    <n v="1"/>
    <n v="899640"/>
    <n v="54"/>
    <m/>
    <s v=" "/>
    <d v="2020-09-01T00:00:00"/>
    <d v="2035-08-31T00:00:00"/>
    <d v="2035-08-31T00:00:00"/>
    <n v="14.70958904109589"/>
    <n v="14.70958904109589"/>
    <s v="Modified Gross"/>
    <s v="None"/>
    <s v="None"/>
    <n v="10214285.71428571"/>
    <n v="613.1023838106671"/>
    <s v=" "/>
    <m/>
    <d v="2020-12-18T00:00:00"/>
    <x v="531"/>
    <s v="C&amp;W; Trautvetter"/>
    <x v="379"/>
    <s v="DC"/>
    <s v="Private"/>
    <m/>
    <m/>
    <m/>
    <s v=" "/>
    <s v=" "/>
    <m/>
    <s v=" "/>
    <s v=" "/>
    <s v=" "/>
    <m/>
    <s v=" "/>
  </r>
  <r>
    <s v="LWA00127"/>
    <s v="HSI"/>
    <s v="Federal"/>
    <s v="Fee Simple"/>
    <s v="12811 Pacific Hwy SW"/>
    <s v="Lakewood"/>
    <s v="WA"/>
    <n v="0.6"/>
    <n v="2005"/>
    <n v="9567"/>
    <n v="9567"/>
    <n v="1"/>
    <m/>
    <s v=" "/>
    <n v="364142"/>
    <n v="38.06229748092401"/>
    <d v="2019-02-01T00:00:00"/>
    <d v="2034-01-31T00:00:00"/>
    <d v="2029-01-31T00:00:00"/>
    <n v="13.13150684931507"/>
    <n v="8.128767123287671"/>
    <s v="Modified Gross"/>
    <s v="None"/>
    <s v="None"/>
    <n v="5573000"/>
    <n v="582.5232570293718"/>
    <n v="0.0653403911717208"/>
    <m/>
    <d v="2020-12-17T00:00:00"/>
    <x v="111"/>
    <s v="C&amp;W; Trauttvetter"/>
    <x v="54"/>
    <s v="NC"/>
    <s v="REIT"/>
    <m/>
    <m/>
    <n v="6225000"/>
    <n v="0.05849670682730924"/>
    <n v="0.8952610441767068"/>
    <n v="6225000"/>
    <n v="0.05849670682730924"/>
    <n v="0.006843684344411564"/>
    <s v="No"/>
    <d v="2020-06-23T00:00:00"/>
    <n v="177"/>
  </r>
  <r>
    <m/>
    <s v="ACoE"/>
    <s v="Federal"/>
    <s v="Fee Simple"/>
    <s v="915 Wilshire Blvd"/>
    <s v="Los Angeles"/>
    <s v="CA"/>
    <n v="1.11"/>
    <n v="1980"/>
    <n v="153057"/>
    <n v="390312"/>
    <n v="0.3921401340466089"/>
    <m/>
    <s v=" "/>
    <m/>
    <s v=" "/>
    <d v="2020-05-01T00:00:00"/>
    <d v="2035-05-01T00:00:00"/>
    <d v="2030-05-01T00:00:00"/>
    <n v="14.37808219178082"/>
    <n v="9.375342465753425"/>
    <s v="Modified Gross"/>
    <s v="None"/>
    <s v="None"/>
    <n v="196000000"/>
    <n v="502.1623726659698"/>
    <s v=" "/>
    <m/>
    <d v="2020-12-17T00:00:00"/>
    <x v="551"/>
    <s v="Newmark; Kevin Shannon"/>
    <x v="380"/>
    <m/>
    <s v="Cross-Border"/>
    <m/>
    <m/>
    <m/>
    <s v=" "/>
    <s v=" "/>
    <m/>
    <s v=" "/>
    <s v=" "/>
    <s v=" "/>
    <m/>
    <s v=" "/>
  </r>
  <r>
    <m/>
    <s v="USPS"/>
    <s v="Federal"/>
    <s v="Fee Simple"/>
    <s v="21 S Main St"/>
    <s v="Moosup"/>
    <s v="CT"/>
    <n v="0.59"/>
    <n v="1958"/>
    <n v="3520"/>
    <n v="3520"/>
    <n v="1"/>
    <m/>
    <s v=" "/>
    <m/>
    <s v=" "/>
    <m/>
    <m/>
    <m/>
    <s v=" "/>
    <s v=" "/>
    <m/>
    <m/>
    <m/>
    <n v="598960"/>
    <n v="170.1590909090909"/>
    <s v=" "/>
    <m/>
    <d v="2020-12-17T00:00:00"/>
    <x v="552"/>
    <m/>
    <x v="66"/>
    <s v="CA"/>
    <s v="Private"/>
    <m/>
    <m/>
    <m/>
    <s v=" "/>
    <s v=" "/>
    <m/>
    <s v=" "/>
    <s v=" "/>
    <s v=" "/>
    <m/>
    <s v=" "/>
  </r>
  <r>
    <m/>
    <m/>
    <s v="Federal"/>
    <s v="Fee Simple"/>
    <s v="499 S Capitol St SW"/>
    <s v="Washington"/>
    <s v="DC"/>
    <m/>
    <n v="1978"/>
    <m/>
    <n v="188375"/>
    <s v=" "/>
    <m/>
    <s v=" "/>
    <n v="4753650"/>
    <n v="25.23503649635036"/>
    <m/>
    <m/>
    <m/>
    <s v=" "/>
    <s v=" "/>
    <m/>
    <m/>
    <m/>
    <n v="86430000"/>
    <n v="458.8188453881884"/>
    <n v="0.055"/>
    <m/>
    <d v="2020-12-17T00:00:00"/>
    <x v="553"/>
    <s v="C&amp;W; Collins"/>
    <x v="1"/>
    <s v="IL"/>
    <s v="Private"/>
    <m/>
    <m/>
    <m/>
    <s v=" "/>
    <s v=" "/>
    <m/>
    <s v=" "/>
    <s v=" "/>
    <s v=" "/>
    <m/>
    <s v=" "/>
  </r>
  <r>
    <s v="LCO14786"/>
    <m/>
    <s v="Federal"/>
    <s v="Fee Simple"/>
    <s v="5046 W 58th Ave"/>
    <s v="Arvada"/>
    <s v="CO"/>
    <n v="0.88"/>
    <n v="2008"/>
    <n v="11540"/>
    <n v="11540"/>
    <n v="1"/>
    <n v="387149.67"/>
    <n v="33.54849826689775"/>
    <m/>
    <s v=" "/>
    <d v="2015-11-02T00:00:00"/>
    <d v="2035-11-01T00:00:00"/>
    <d v="2030-11-02T00:00:00"/>
    <n v="14.88493150684931"/>
    <n v="9.884931506849314"/>
    <s v="Modified Gross"/>
    <s v="None"/>
    <s v="None"/>
    <n v="4670000"/>
    <n v="404.6793760831889"/>
    <s v=" "/>
    <m/>
    <d v="2020-12-16T00:00:00"/>
    <x v="540"/>
    <s v="Direct"/>
    <x v="1"/>
    <s v="IL"/>
    <s v="Private"/>
    <m/>
    <m/>
    <m/>
    <s v=" "/>
    <s v=" "/>
    <m/>
    <s v=" "/>
    <s v=" "/>
    <s v=" "/>
    <m/>
    <s v=" "/>
  </r>
  <r>
    <s v="LMT13222"/>
    <s v="DOI"/>
    <s v="Federal"/>
    <s v="Fee Simple"/>
    <s v="2900 4th Ave N"/>
    <s v="Billings"/>
    <s v="MT"/>
    <n v="0.59"/>
    <n v="1995"/>
    <n v="106628"/>
    <n v="122618"/>
    <n v="0.8695950023650687"/>
    <n v="2486105"/>
    <n v="23.31568631128784"/>
    <n v="1610427"/>
    <n v="13.13369162765662"/>
    <d v="2013-05-01T00:00:00"/>
    <d v="2033-04-30T00:00:00"/>
    <d v="2033-04-30T00:00:00"/>
    <n v="12.37808219178082"/>
    <n v="12.37808219178082"/>
    <s v="Modified Gross"/>
    <s v="None"/>
    <s v="None"/>
    <n v="28000000"/>
    <n v="228.3514655270841"/>
    <n v="0.05751525"/>
    <m/>
    <d v="2020-12-16T00:00:00"/>
    <x v="554"/>
    <s v="Colliers; Bradley"/>
    <x v="1"/>
    <s v="IL"/>
    <s v="Private"/>
    <m/>
    <m/>
    <m/>
    <s v=" "/>
    <s v=" "/>
    <m/>
    <s v=" "/>
    <s v=" "/>
    <s v=" "/>
    <m/>
    <s v=" "/>
  </r>
  <r>
    <s v="LMT14743"/>
    <s v="USCIS"/>
    <s v="Federal"/>
    <s v="Fee Simple"/>
    <s v="754 River Rock"/>
    <s v="Helena"/>
    <s v="MT"/>
    <n v="2.35"/>
    <n v="2005"/>
    <n v="12775"/>
    <n v="32676"/>
    <n v="0.3909597257926307"/>
    <n v="405350.75"/>
    <n v="31.73"/>
    <m/>
    <s v=" "/>
    <d v="2018-01-11T00:00:00"/>
    <d v="2033-01-10T00:00:00"/>
    <d v="2028-01-11T00:00:00"/>
    <n v="12.07671232876712"/>
    <n v="7.073972602739726"/>
    <s v="Modified Gross"/>
    <s v="None"/>
    <s v="None"/>
    <m/>
    <s v=" "/>
    <s v=" "/>
    <m/>
    <d v="2020-12-16T00:00:00"/>
    <x v="540"/>
    <m/>
    <x v="1"/>
    <s v="IL"/>
    <s v="Private"/>
    <m/>
    <m/>
    <m/>
    <s v=" "/>
    <s v=" "/>
    <m/>
    <s v=" "/>
    <s v=" "/>
    <s v=" "/>
    <m/>
    <s v=" "/>
  </r>
  <r>
    <s v="LSD00136"/>
    <s v="FBI"/>
    <s v="Federal"/>
    <s v="Fee Simple"/>
    <s v="3600 Jet Dr"/>
    <s v="Rapid City"/>
    <s v="SD"/>
    <n v="6"/>
    <n v="1982"/>
    <n v="13709"/>
    <n v="20250"/>
    <n v="0.6769876543209876"/>
    <n v="484143.4"/>
    <n v="35.31573418921877"/>
    <m/>
    <s v=" "/>
    <d v="2019-07-01T00:00:00"/>
    <d v="2034-06-30T00:00:00"/>
    <d v="2034-06-30T00:00:00"/>
    <n v="13.54520547945205"/>
    <n v="13.54520547945205"/>
    <s v="Modified Gross"/>
    <s v="None"/>
    <s v="None"/>
    <n v="5625000"/>
    <n v="277.7777777777778"/>
    <s v=" "/>
    <m/>
    <d v="2020-12-16T00:00:00"/>
    <x v="555"/>
    <m/>
    <x v="1"/>
    <s v="IL"/>
    <s v="Private"/>
    <m/>
    <m/>
    <m/>
    <s v=" "/>
    <s v=" "/>
    <m/>
    <s v=" "/>
    <s v=" "/>
    <s v=" "/>
    <m/>
    <s v=" "/>
  </r>
  <r>
    <m/>
    <s v="FWS"/>
    <s v="Federal"/>
    <s v="Fee Simple"/>
    <s v="334 Parsley Blvd"/>
    <s v="Cheyenne"/>
    <s v="WY"/>
    <n v="0.83"/>
    <n v="2016"/>
    <n v="4752"/>
    <n v="4752"/>
    <n v="1"/>
    <n v="95029.21000000001"/>
    <n v="19.99772937710438"/>
    <n v="78375"/>
    <n v="16.49305555555556"/>
    <d v="2019-07-19T00:00:00"/>
    <d v="2039-07-18T00:00:00"/>
    <d v="2029-07-19T00:00:00"/>
    <n v="18.6"/>
    <n v="8.597260273972603"/>
    <m/>
    <m/>
    <m/>
    <n v="1100000"/>
    <n v="231.4814814814815"/>
    <n v="0.07124999999999999"/>
    <m/>
    <d v="2020-12-15T00:00:00"/>
    <x v="556"/>
    <s v="C&amp;W"/>
    <x v="381"/>
    <s v="WY"/>
    <s v="Private"/>
    <m/>
    <m/>
    <n v="1250000"/>
    <n v="0.06270000000000001"/>
    <n v="0.88"/>
    <n v="1250000"/>
    <n v="0.06270000000000001"/>
    <n v="0.008549999999999988"/>
    <s v="No"/>
    <d v="2019-09-05T00:00:00"/>
    <n v="467"/>
  </r>
  <r>
    <s v="LDE12239"/>
    <m/>
    <s v="Federal"/>
    <s v="Fee Simple"/>
    <s v="1006-1012 W State College Rd"/>
    <s v="Dover"/>
    <s v="DE"/>
    <n v="2.4"/>
    <m/>
    <n v="4080"/>
    <n v="16010"/>
    <n v="0.254840724547158"/>
    <n v="101975.29"/>
    <n v="24.99394362745098"/>
    <n v="216000"/>
    <n v="13.49156777014366"/>
    <d v="2016-11-15T00:00:00"/>
    <d v="2026-11-14T00:00:00"/>
    <d v="2021-11-15T00:00:00"/>
    <n v="5.917808219178082"/>
    <n v="0.9178082191780822"/>
    <s v="Modified Gross"/>
    <s v="None"/>
    <s v="None"/>
    <n v="2400000"/>
    <n v="149.9063085571518"/>
    <n v="0.09"/>
    <m/>
    <d v="2020-12-15T00:00:00"/>
    <x v="557"/>
    <s v="CMERD"/>
    <x v="382"/>
    <s v="DE"/>
    <s v="Private"/>
    <m/>
    <m/>
    <m/>
    <s v=" "/>
    <s v=" "/>
    <m/>
    <s v=" "/>
    <s v=" "/>
    <s v=" "/>
    <m/>
    <s v=" "/>
  </r>
  <r>
    <s v="LTN35084"/>
    <s v="AOC"/>
    <s v="Federal"/>
    <s v="Fee Simple"/>
    <s v="111 S Highland St"/>
    <s v="Jackson"/>
    <s v="TN"/>
    <n v="1.27"/>
    <n v="1998"/>
    <n v="73397"/>
    <n v="73397"/>
    <n v="1"/>
    <n v="1968049"/>
    <n v="26.81375260569233"/>
    <m/>
    <s v=" "/>
    <m/>
    <d v="2023-08-31T00:00:00"/>
    <d v="2018-08-31T00:00:00"/>
    <n v="2.70958904109589"/>
    <n v="-2.293150684931507"/>
    <s v="Modified Gross"/>
    <s v="None"/>
    <s v="None"/>
    <n v="25980000"/>
    <n v="353.9654209300107"/>
    <s v=" "/>
    <m/>
    <d v="2020-12-15T00:00:00"/>
    <x v="558"/>
    <m/>
    <x v="3"/>
    <s v="DC"/>
    <s v="REIT"/>
    <m/>
    <m/>
    <m/>
    <s v=" "/>
    <s v=" "/>
    <m/>
    <s v=" "/>
    <s v=" "/>
    <s v=" "/>
    <m/>
    <s v=" "/>
  </r>
  <r>
    <m/>
    <s v="ICE"/>
    <s v="Federal"/>
    <s v="Fee Simple"/>
    <s v="8300 Dow Cir"/>
    <s v="Strongsville"/>
    <s v="OH"/>
    <n v="3.26"/>
    <n v="1983"/>
    <n v="8142"/>
    <n v="35000"/>
    <n v="0.2326285714285714"/>
    <m/>
    <s v=" "/>
    <n v="242000"/>
    <n v="6.914285714285715"/>
    <m/>
    <m/>
    <m/>
    <s v=" "/>
    <s v=" "/>
    <m/>
    <m/>
    <m/>
    <n v="2200000"/>
    <n v="62.85714285714285"/>
    <n v="0.11"/>
    <m/>
    <d v="2020-12-15T00:00:00"/>
    <x v="559"/>
    <s v="Pinnacle; Rudy"/>
    <x v="383"/>
    <s v="OH"/>
    <s v="Private"/>
    <m/>
    <m/>
    <n v="2600000"/>
    <n v="0.09307692307692307"/>
    <n v="0.8461538461538461"/>
    <n v="2600000"/>
    <n v="0.09307692307692307"/>
    <n v="0.01692307692307693"/>
    <s v="No"/>
    <m/>
    <s v=" "/>
  </r>
  <r>
    <s v="LCA03444"/>
    <s v="DHS"/>
    <s v="Federal"/>
    <s v="Fee Simple"/>
    <s v="6321 Alondra Blvd"/>
    <s v="Paramount"/>
    <s v="CA"/>
    <n v="3.3"/>
    <n v="1985"/>
    <n v="17029"/>
    <n v="63214"/>
    <n v="0.2693865283006929"/>
    <n v="290273.98"/>
    <n v="17.04586176522403"/>
    <n v="969900"/>
    <n v="15.34312019489354"/>
    <d v="2016-02-29T00:00:00"/>
    <d v="2036-02-29T00:00:00"/>
    <d v="2031-03-01T00:00:00"/>
    <n v="15.21917808219178"/>
    <n v="10.21643835616438"/>
    <s v="Modified Gross"/>
    <s v="None"/>
    <s v="None"/>
    <n v="15900000"/>
    <n v="251.5265605720252"/>
    <n v="0.061"/>
    <m/>
    <d v="2020-12-14T00:00:00"/>
    <x v="560"/>
    <s v="Newmark; Fulp"/>
    <x v="384"/>
    <s v="CA"/>
    <s v="Private"/>
    <m/>
    <m/>
    <m/>
    <s v=" "/>
    <s v=" "/>
    <m/>
    <s v=" "/>
    <s v=" "/>
    <s v=" "/>
    <d v="2020-06-09T00:00:00"/>
    <n v="188"/>
  </r>
  <r>
    <m/>
    <s v="Infant &amp; Toddler Connection"/>
    <s v="State"/>
    <s v="Fee Simple"/>
    <s v="9711 Farrar Ct"/>
    <s v="Richmond"/>
    <s v="VA"/>
    <n v="6.63"/>
    <n v="2001"/>
    <n v="50000"/>
    <n v="50000"/>
    <n v="1"/>
    <m/>
    <s v=" "/>
    <m/>
    <s v=" "/>
    <m/>
    <m/>
    <m/>
    <s v=" "/>
    <s v=" "/>
    <m/>
    <m/>
    <m/>
    <n v="8200000"/>
    <n v="164"/>
    <s v=" "/>
    <m/>
    <d v="2020-12-14T00:00:00"/>
    <x v="561"/>
    <s v="Direct"/>
    <x v="1"/>
    <s v="IL"/>
    <s v="Private"/>
    <m/>
    <m/>
    <m/>
    <s v=" "/>
    <s v=" "/>
    <m/>
    <s v=" "/>
    <s v=" "/>
    <s v=" "/>
    <m/>
    <s v=" "/>
  </r>
  <r>
    <s v="LIA90124"/>
    <m/>
    <s v="Federal"/>
    <s v="Fee Simple"/>
    <s v="4300 Westown Pky"/>
    <s v="West Des Moines"/>
    <s v="IA"/>
    <n v="8.94"/>
    <n v="1973"/>
    <n v="34524"/>
    <n v="107068"/>
    <n v="0.3224492845668174"/>
    <n v="772858.77"/>
    <n v="22.38613051790059"/>
    <m/>
    <s v=" "/>
    <d v="2010-06-01T00:00:00"/>
    <d v="2020-05-31T00:00:00"/>
    <d v="2015-05-31T00:00:00"/>
    <n v="-0.5397260273972603"/>
    <n v="-5.545205479452055"/>
    <s v="Modified Gross"/>
    <s v="None"/>
    <s v="None"/>
    <n v="13850000"/>
    <n v="129.3570441214929"/>
    <s v=" "/>
    <m/>
    <d v="2020-12-14T00:00:00"/>
    <x v="562"/>
    <s v="Signature; Hodges"/>
    <x v="385"/>
    <s v="IA"/>
    <s v="Private"/>
    <m/>
    <m/>
    <m/>
    <s v=" "/>
    <s v=" "/>
    <m/>
    <s v=" "/>
    <s v=" "/>
    <s v=" "/>
    <m/>
    <s v=" "/>
  </r>
  <r>
    <s v="LIN19505"/>
    <s v="SSA"/>
    <s v="Federal"/>
    <s v="Fee Simple"/>
    <s v="1515 S Grant St"/>
    <s v="Crawfordsville"/>
    <s v="IN"/>
    <n v="0.62"/>
    <n v="2008"/>
    <n v="5512"/>
    <n v="5512"/>
    <n v="1"/>
    <n v="160879.49"/>
    <n v="29.18713534107402"/>
    <n v="101307"/>
    <n v="18.37935413642961"/>
    <d v="2020-03-23T00:00:00"/>
    <d v="2035-03-22T00:00:00"/>
    <d v="2030-03-23T00:00:00"/>
    <n v="14.28493150684931"/>
    <n v="9.284931506849315"/>
    <s v="Modified Gross"/>
    <s v="None"/>
    <s v="None"/>
    <n v="1460000"/>
    <n v="264.8766328011611"/>
    <n v="0.06938835616438356"/>
    <m/>
    <d v="2020-12-11T00:00:00"/>
    <x v="563"/>
    <s v="Colliers; Ficke"/>
    <x v="386"/>
    <s v="WY"/>
    <s v="Private"/>
    <s v="BW; Wells"/>
    <m/>
    <n v="1599000"/>
    <n v="0.06335647279549718"/>
    <n v="0.9130706691682301"/>
    <n v="1599000"/>
    <n v="0.06335647279549718"/>
    <n v="0.006031883368886382"/>
    <s v="No"/>
    <d v="2020-03-19T00:00:00"/>
    <n v="267"/>
  </r>
  <r>
    <m/>
    <s v="County"/>
    <s v="State"/>
    <s v="Fee Simple"/>
    <s v="2144 Oakland Rd"/>
    <s v="San Jose"/>
    <s v="CA"/>
    <n v="4.79"/>
    <n v="2020"/>
    <n v="82900"/>
    <n v="82900"/>
    <n v="1"/>
    <m/>
    <s v=" "/>
    <m/>
    <s v=" "/>
    <m/>
    <d v="2032-11-30T00:00:00"/>
    <d v="2032-11-30T00:00:00"/>
    <n v="11.97808219178082"/>
    <n v="11.97808219178082"/>
    <s v="Full Service"/>
    <s v="2% annually"/>
    <s v="None"/>
    <n v="26600000"/>
    <n v="320.8685162846803"/>
    <s v=" "/>
    <m/>
    <d v="2020-12-11T00:00:00"/>
    <x v="564"/>
    <s v="Newmark; Golubchick"/>
    <x v="387"/>
    <s v="CA"/>
    <s v="Institutional"/>
    <m/>
    <m/>
    <m/>
    <s v=" "/>
    <s v=" "/>
    <m/>
    <s v=" "/>
    <s v=" "/>
    <s v=" "/>
    <m/>
    <s v=" "/>
  </r>
  <r>
    <m/>
    <s v="State Engineer Office"/>
    <s v="State"/>
    <s v="Fee Simple"/>
    <s v="5600 San Antonio Dr NE"/>
    <s v="Albuquerque"/>
    <s v="NM"/>
    <n v="2.7299"/>
    <n v="2009"/>
    <n v="31061"/>
    <n v="31061"/>
    <n v="1"/>
    <n v="513758"/>
    <n v="16.54029168410547"/>
    <n v="294872"/>
    <n v="9.493319596922186"/>
    <d v="2009-12-01T00:00:00"/>
    <d v="2029-11-30T00:00:00"/>
    <m/>
    <n v="8.986301369863014"/>
    <s v=" "/>
    <s v="Full Service"/>
    <s v="Annually"/>
    <s v="None"/>
    <n v="3850000"/>
    <n v="123.9496474678858"/>
    <n v="0.07659012987012986"/>
    <m/>
    <d v="2020-12-07T00:00:00"/>
    <x v="223"/>
    <s v="CP;"/>
    <x v="388"/>
    <s v="WY"/>
    <s v="Private"/>
    <m/>
    <m/>
    <n v="3900000"/>
    <n v="0.07560820512820512"/>
    <n v="0.9871794871794872"/>
    <n v="3900000"/>
    <n v="0.07560820512820512"/>
    <n v="0.000981924741924739"/>
    <s v="No"/>
    <d v="2020-02-04T00:00:00"/>
    <n v="307"/>
  </r>
  <r>
    <m/>
    <s v="Fairbanks North Star Borough School District"/>
    <s v="Municipal"/>
    <s v="Fee Simple"/>
    <s v="2945 Monk Ct"/>
    <s v="North Pole"/>
    <s v="AK"/>
    <n v="0.93"/>
    <n v="2004"/>
    <n v="7200"/>
    <n v="7200"/>
    <n v="1"/>
    <n v="176664"/>
    <n v="24.53666666666667"/>
    <m/>
    <s v=" "/>
    <m/>
    <m/>
    <m/>
    <s v=" "/>
    <s v=" "/>
    <m/>
    <m/>
    <m/>
    <m/>
    <s v=" "/>
    <s v=" "/>
    <m/>
    <d v="2020-12-07T00:00:00"/>
    <x v="565"/>
    <s v="M&amp;M; Nicholes"/>
    <x v="389"/>
    <s v="AK"/>
    <s v="Private"/>
    <m/>
    <m/>
    <n v="2050000"/>
    <s v=" "/>
    <s v=" "/>
    <n v="2050000"/>
    <s v=" "/>
    <s v=" "/>
    <s v="No"/>
    <d v="2020-05-04T00:00:00"/>
    <n v="217"/>
  </r>
  <r>
    <s v="LTN00690"/>
    <s v="SSA"/>
    <s v="Federal"/>
    <s v="Fee Simple"/>
    <s v="2401-2405 S Wilcox Dr"/>
    <s v="Kingsport"/>
    <s v="TN"/>
    <n v="2.33"/>
    <n v="1999"/>
    <n v="22848"/>
    <n v="22848"/>
    <n v="1"/>
    <n v="778958.24"/>
    <n v="34.09306022408963"/>
    <n v="406025"/>
    <n v="17.77070203081232"/>
    <d v="2018-05-01T00:00:00"/>
    <d v="2028-04-30T00:00:00"/>
    <d v="2023-05-01T00:00:00"/>
    <n v="7.408219178082192"/>
    <n v="2.405479452054795"/>
    <s v="Modified Gross"/>
    <s v="None"/>
    <s v="None"/>
    <n v="5450000"/>
    <n v="238.5329131652661"/>
    <n v="0.0745"/>
    <m/>
    <d v="2020-12-04T00:00:00"/>
    <x v="566"/>
    <s v="Colliers; Ficke"/>
    <x v="62"/>
    <s v="IL"/>
    <s v="Private"/>
    <m/>
    <s v="Sterling Development"/>
    <m/>
    <s v=" "/>
    <s v=" "/>
    <m/>
    <s v=" "/>
    <s v=" "/>
    <s v=" "/>
    <d v="2020-05-12T00:00:00"/>
    <n v="206"/>
  </r>
  <r>
    <m/>
    <s v="USPS"/>
    <s v="Federal"/>
    <s v="Fee Simple"/>
    <s v="125 Glenridge Ave"/>
    <s v="Montclair"/>
    <s v="NJ"/>
    <n v="1.11"/>
    <n v="1966"/>
    <n v="26361"/>
    <n v="26391"/>
    <n v="0.99886324883483"/>
    <m/>
    <s v=" "/>
    <n v="378466.6"/>
    <n v="14.34074495093024"/>
    <d v="1966-03-01T00:00:00"/>
    <d v="2024-08-31T00:00:00"/>
    <m/>
    <n v="3.745205479452055"/>
    <s v=" "/>
    <s v="Absolute NNN"/>
    <m/>
    <m/>
    <n v="6000000"/>
    <n v="227.3502330339889"/>
    <n v="0.06307776666666666"/>
    <m/>
    <d v="2020-12-03T00:00:00"/>
    <x v="567"/>
    <s v="SJC; Butler"/>
    <x v="390"/>
    <s v="NJ"/>
    <s v="Private"/>
    <m/>
    <m/>
    <m/>
    <s v=" "/>
    <s v=" "/>
    <m/>
    <s v=" "/>
    <s v=" "/>
    <s v=" "/>
    <m/>
    <s v=" "/>
  </r>
  <r>
    <s v="LLA00630"/>
    <s v="HRSA"/>
    <s v="Federal"/>
    <s v="Fee Simple"/>
    <s v="9181 Interline Ave"/>
    <s v="Baton Rouge"/>
    <s v="LA"/>
    <n v="1.52"/>
    <n v="2020"/>
    <n v="24828.6414"/>
    <n v="27569"/>
    <n v="0.9006000000000001"/>
    <n v="852664.96"/>
    <n v="34.34199021457533"/>
    <n v="656734"/>
    <n v="23.82146613950452"/>
    <d v="2020-07-22T00:00:00"/>
    <d v="2040-07-21T00:00:00"/>
    <d v="2035-07-21T00:00:00"/>
    <n v="19.64931506849315"/>
    <n v="14.64383561643836"/>
    <s v="Modified Gross"/>
    <s v="Flat into Soft Term"/>
    <s v="None"/>
    <n v="10489000"/>
    <n v="380.4635641481374"/>
    <n v="0.06261168843550387"/>
    <m/>
    <d v="2020-12-01T00:00:00"/>
    <x v="111"/>
    <s v="C&amp;W; Trautvetter"/>
    <x v="3"/>
    <s v="DC"/>
    <s v="REIT"/>
    <m/>
    <m/>
    <m/>
    <s v=" "/>
    <s v=" "/>
    <m/>
    <s v=" "/>
    <s v=" "/>
    <s v=" "/>
    <m/>
    <s v=" "/>
  </r>
  <r>
    <s v="LAL00578"/>
    <s v="SSA"/>
    <s v="Federal"/>
    <s v="Fee Simple"/>
    <s v="406 Martling Rd"/>
    <s v="Albertville"/>
    <s v="AL"/>
    <n v="1.03"/>
    <n v="2020"/>
    <n v="7890"/>
    <n v="7890"/>
    <n v="1"/>
    <n v="214599.06"/>
    <n v="27.19886692015209"/>
    <m/>
    <s v=" "/>
    <d v="2020-01-16T00:00:00"/>
    <d v="2035-01-15T00:00:00"/>
    <d v="2030-01-16T00:00:00"/>
    <n v="14.13424657534247"/>
    <n v="9.134246575342466"/>
    <s v="Modified Gross"/>
    <s v="None"/>
    <s v="None"/>
    <n v="2144532.03"/>
    <n v="271.8038060836502"/>
    <s v=" "/>
    <m/>
    <d v="2020-11-30T00:00:00"/>
    <x v="568"/>
    <s v="C&amp;W; Trautvetter"/>
    <x v="391"/>
    <s v="MT"/>
    <s v="Private"/>
    <s v="BW; Wells"/>
    <m/>
    <m/>
    <s v=" "/>
    <s v=" "/>
    <m/>
    <s v=" "/>
    <s v=" "/>
    <s v=" "/>
    <m/>
    <s v=" "/>
  </r>
  <r>
    <s v="LTX17121"/>
    <s v="DEA"/>
    <s v="Federal"/>
    <s v="Fee Simple"/>
    <s v="1433 W Loop S"/>
    <s v="Houston"/>
    <s v="TX"/>
    <n v="1.48"/>
    <n v="1972"/>
    <n v="132995"/>
    <n v="132995"/>
    <n v="1"/>
    <n v="2995916.56"/>
    <n v="22.52653528328133"/>
    <n v="1902970"/>
    <n v="14.3085830294372"/>
    <d v="2012-06-01T00:00:00"/>
    <d v="2027-05-31T00:00:00"/>
    <d v="2022-06-01T00:00:00"/>
    <n v="6.501369863013698"/>
    <n v="1.501369863013699"/>
    <s v="Modified Gross"/>
    <s v="None"/>
    <s v="None"/>
    <n v="26500000"/>
    <n v="199.2556111131997"/>
    <n v="0.07181018867924528"/>
    <m/>
    <d v="2020-11-30T00:00:00"/>
    <x v="569"/>
    <m/>
    <x v="1"/>
    <s v="IL"/>
    <s v="Private"/>
    <m/>
    <m/>
    <m/>
    <s v=" "/>
    <s v=" "/>
    <m/>
    <s v=" "/>
    <s v=" "/>
    <s v=" "/>
    <m/>
    <s v=" "/>
  </r>
  <r>
    <m/>
    <s v="ORSC"/>
    <s v="State"/>
    <s v="Fee Simple"/>
    <s v="5241 Southwyck Blvd"/>
    <s v="Toledo"/>
    <s v="OH"/>
    <n v="1.49"/>
    <s v="1973 | 2007"/>
    <n v="12719"/>
    <n v="25088"/>
    <n v="0.5069754464285714"/>
    <m/>
    <s v=" "/>
    <m/>
    <s v=" "/>
    <m/>
    <m/>
    <m/>
    <s v=" "/>
    <s v=" "/>
    <m/>
    <m/>
    <m/>
    <n v="875000"/>
    <n v="34.87723214285715"/>
    <s v=" "/>
    <m/>
    <d v="2020-11-29T00:00:00"/>
    <x v="570"/>
    <m/>
    <x v="392"/>
    <s v="OH"/>
    <s v="Private"/>
    <m/>
    <m/>
    <m/>
    <s v=" "/>
    <s v=" "/>
    <m/>
    <s v=" "/>
    <s v=" "/>
    <s v=" "/>
    <m/>
    <s v=" "/>
  </r>
  <r>
    <s v="LIN19504"/>
    <s v="SSA"/>
    <s v="Federal"/>
    <s v="Fee Simple"/>
    <s v="353 W Alto Rd"/>
    <s v="Kokomo"/>
    <s v="IN"/>
    <n v="1.2"/>
    <n v="2008"/>
    <n v="9684"/>
    <n v="9684"/>
    <n v="1"/>
    <n v="305000"/>
    <n v="31.49524989673689"/>
    <n v="230191.23"/>
    <n v="23.77026332094176"/>
    <d v="2021-05-01T00:00:00"/>
    <d v="2031-04-30T00:00:00"/>
    <d v="2026-05-01T00:00:00"/>
    <n v="10.43835616438356"/>
    <n v="5.438356164383562"/>
    <s v="Modified Gross"/>
    <s v="None"/>
    <s v="None"/>
    <n v="2666667"/>
    <n v="275.3683395291202"/>
    <n v="0.08632170045978743"/>
    <m/>
    <d v="2020-11-23T00:00:00"/>
    <x v="571"/>
    <m/>
    <x v="393"/>
    <s v="IN"/>
    <s v="Private"/>
    <m/>
    <m/>
    <m/>
    <s v=" "/>
    <s v=" "/>
    <m/>
    <s v=" "/>
    <s v=" "/>
    <s v=" "/>
    <m/>
    <s v=" "/>
  </r>
  <r>
    <s v="LFL60498"/>
    <m/>
    <s v="Federal"/>
    <s v="Fee Simple"/>
    <s v="210 S Washington Ave"/>
    <s v="Titusville"/>
    <s v="FL"/>
    <n v="0.48"/>
    <n v="1959"/>
    <n v="4956"/>
    <n v="4956"/>
    <n v="1"/>
    <n v="88613.28"/>
    <n v="17.88"/>
    <n v="66906"/>
    <n v="13.5"/>
    <d v="2017-07-09T00:00:00"/>
    <d v="2032-07-08T00:00:00"/>
    <d v="2027-07-08T00:00:00"/>
    <n v="11.64931506849315"/>
    <n v="6.643835616438357"/>
    <s v="Modified Gross"/>
    <s v="None"/>
    <s v="None"/>
    <n v="900000"/>
    <n v="181.5980629539952"/>
    <n v="0.07434"/>
    <m/>
    <d v="2020-11-16T00:00:00"/>
    <x v="572"/>
    <s v="SJC; Rutonno"/>
    <x v="394"/>
    <s v="NY"/>
    <s v="Private"/>
    <m/>
    <m/>
    <n v="1175000"/>
    <n v="0.05694127659574468"/>
    <n v="0.7659574468085106"/>
    <n v="1175000"/>
    <n v="0.05694127659574468"/>
    <n v="0.01739872340425532"/>
    <s v="No"/>
    <d v="2020-08-13T00:00:00"/>
    <n v="95"/>
  </r>
  <r>
    <m/>
    <s v="VA"/>
    <s v="Federal"/>
    <s v="Fee Simple"/>
    <s v="2035 Mesquite Ave"/>
    <s v="Lake Havasu City"/>
    <s v="AZ"/>
    <n v="1.22"/>
    <n v="1999"/>
    <n v="7635"/>
    <n v="12335"/>
    <n v="0.6189704094041346"/>
    <m/>
    <s v=" "/>
    <m/>
    <s v=" "/>
    <d v="2016-07-04T00:00:00"/>
    <d v="2026-07-04T00:00:00"/>
    <d v="2021-07-04T00:00:00"/>
    <n v="5.641095890410959"/>
    <n v="0.6383561643835617"/>
    <s v="Full Service"/>
    <s v="None"/>
    <s v="None"/>
    <n v="2650000"/>
    <n v="214.8358329955412"/>
    <s v=" "/>
    <m/>
    <d v="2020-11-13T00:00:00"/>
    <x v="573"/>
    <m/>
    <x v="395"/>
    <s v="AZ"/>
    <s v="Private"/>
    <m/>
    <m/>
    <m/>
    <s v=" "/>
    <s v=" "/>
    <m/>
    <s v=" "/>
    <s v=" "/>
    <s v=" "/>
    <m/>
    <s v=" "/>
  </r>
  <r>
    <m/>
    <s v="USCIS"/>
    <s v="Federal"/>
    <s v="Fee Simple"/>
    <s v="4 Lemnah Drive"/>
    <s v="St. Albans City"/>
    <s v="VT"/>
    <n v="1.49"/>
    <n v="1995"/>
    <n v="18511"/>
    <n v="18511"/>
    <n v="1"/>
    <m/>
    <s v=" "/>
    <n v="246790"/>
    <n v="13.33207282156556"/>
    <d v="2018-05-01T00:00:00"/>
    <d v="2028-04-30T00:00:00"/>
    <d v="2023-04-30T00:00:00"/>
    <n v="7.465753424657534"/>
    <n v="2.46027397260274"/>
    <m/>
    <m/>
    <m/>
    <n v="2900000"/>
    <n v="156.6636054238021"/>
    <n v="0.0851"/>
    <m/>
    <d v="2020-11-13T00:00:00"/>
    <x v="8"/>
    <s v="SJC; Hellwig"/>
    <x v="396"/>
    <s v="IA"/>
    <s v="Private"/>
    <m/>
    <m/>
    <m/>
    <s v=" "/>
    <s v=" "/>
    <m/>
    <s v=" "/>
    <s v=" "/>
    <s v=" "/>
    <m/>
    <s v=" "/>
  </r>
  <r>
    <m/>
    <s v="USPS"/>
    <s v="Federal"/>
    <s v="Fee Simple"/>
    <s v="307 E Monroe Ave"/>
    <s v="Magnolia"/>
    <s v="NJ"/>
    <n v="0.2342"/>
    <n v="1960"/>
    <n v="2262"/>
    <n v="2262"/>
    <n v="1"/>
    <m/>
    <s v=" "/>
    <m/>
    <s v=" "/>
    <m/>
    <d v="2025-05-30T00:00:00"/>
    <m/>
    <n v="4.547945205479452"/>
    <s v=" "/>
    <s v="Rider"/>
    <m/>
    <m/>
    <n v="355205"/>
    <n v="157.0313881520778"/>
    <s v=" "/>
    <m/>
    <d v="2020-11-12T00:00:00"/>
    <x v="574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4 S West Ave"/>
    <s v="Wenonah"/>
    <s v="NJ"/>
    <n v="0.1768"/>
    <m/>
    <n v="2655"/>
    <n v="2655"/>
    <n v="1"/>
    <m/>
    <s v=" "/>
    <m/>
    <s v=" "/>
    <m/>
    <d v="2022-07-31T00:00:00"/>
    <m/>
    <n v="1.715068493150685"/>
    <s v=" "/>
    <s v="Rider"/>
    <m/>
    <m/>
    <n v="307295"/>
    <n v="115.7419962335217"/>
    <s v=" "/>
    <m/>
    <d v="2020-11-12T00:00:00"/>
    <x v="574"/>
    <m/>
    <x v="66"/>
    <s v="CA"/>
    <s v="Private"/>
    <m/>
    <m/>
    <m/>
    <s v=" "/>
    <s v=" "/>
    <m/>
    <s v=" "/>
    <s v=" "/>
    <s v=" "/>
    <m/>
    <s v=" "/>
  </r>
  <r>
    <s v="LCA03234"/>
    <s v="SSA"/>
    <s v="Federal"/>
    <s v="Fee Simple"/>
    <s v="56492 Twenty Nine Palms Hwy"/>
    <s v="Yucca Valley"/>
    <s v="CA"/>
    <n v="0.55"/>
    <n v="2003"/>
    <n v="5340"/>
    <n v="5340"/>
    <n v="1"/>
    <n v="167310"/>
    <n v="31.3314606741573"/>
    <n v="108639"/>
    <n v="20.34438202247191"/>
    <d v="2017-08-21T00:00:00"/>
    <d v="2032-08-20T00:00:00"/>
    <d v="2027-08-21T00:00:00"/>
    <n v="11.78082191780822"/>
    <n v="6.778082191780822"/>
    <s v="Modified Gross"/>
    <s v="None"/>
    <s v="None"/>
    <n v="1504000"/>
    <n v="281.6479400749064"/>
    <n v="0.07223337765957447"/>
    <m/>
    <d v="2020-11-11T00:00:00"/>
    <x v="575"/>
    <s v="M&amp;M; Mobin"/>
    <x v="195"/>
    <s v="CA"/>
    <s v="Private"/>
    <s v="M&amp;M; Mobin"/>
    <m/>
    <m/>
    <s v=" "/>
    <s v=" "/>
    <m/>
    <s v=" "/>
    <s v=" "/>
    <s v=" "/>
    <m/>
    <s v=" "/>
  </r>
  <r>
    <s v="LIL17685"/>
    <s v="IRS"/>
    <s v="Federal"/>
    <s v="Fee Simple"/>
    <s v="1201 N Mitsubishi Motorway"/>
    <s v="Bloomington"/>
    <s v="IL"/>
    <n v="9.779999999999999"/>
    <n v="2008"/>
    <n v="135512"/>
    <n v="135512"/>
    <n v="1"/>
    <n v="1893143"/>
    <n v="13.97029783340221"/>
    <n v="1404143"/>
    <n v="10.3617613200307"/>
    <d v="2008-05-19T00:00:00"/>
    <d v="2023-05-19T00:00:00"/>
    <d v="2019-05-19T00:00:00"/>
    <n v="2.520547945205479"/>
    <n v="-1.482191780821918"/>
    <s v="Modified Gross"/>
    <s v="None"/>
    <s v="None"/>
    <n v="13350000"/>
    <n v="98.51526064112403"/>
    <n v="0.1051792509363296"/>
    <m/>
    <d v="2020-11-10T00:00:00"/>
    <x v="576"/>
    <s v="Direct"/>
    <x v="397"/>
    <s v="NY"/>
    <s v="Private"/>
    <m/>
    <m/>
    <m/>
    <s v=" "/>
    <s v=" "/>
    <m/>
    <s v=" "/>
    <s v=" "/>
    <s v=" "/>
    <m/>
    <s v=" "/>
  </r>
  <r>
    <m/>
    <s v="USPS"/>
    <s v="Federal"/>
    <s v="Fee Simple"/>
    <s v="51 Pennwood Pl"/>
    <s v="Warrendale"/>
    <s v="PA"/>
    <n v="39.8"/>
    <n v="1997"/>
    <n v="314630"/>
    <n v="431000"/>
    <n v="0.73"/>
    <m/>
    <s v=" "/>
    <n v="3068720"/>
    <n v="7.12"/>
    <m/>
    <m/>
    <m/>
    <s v=" "/>
    <s v=" "/>
    <m/>
    <m/>
    <m/>
    <n v="47000000"/>
    <n v="109.0487238979118"/>
    <n v="0.06529191489361702"/>
    <m/>
    <d v="2020-11-10T00:00:00"/>
    <x v="577"/>
    <m/>
    <x v="398"/>
    <s v="NC"/>
    <s v="Private"/>
    <m/>
    <m/>
    <m/>
    <s v=" "/>
    <s v=" "/>
    <m/>
    <s v=" "/>
    <s v=" "/>
    <s v=" "/>
    <m/>
    <s v=" "/>
  </r>
  <r>
    <m/>
    <s v="USPS"/>
    <s v="Federal"/>
    <s v="Fee Simple"/>
    <s v="202 E Green St"/>
    <s v="Farmerville"/>
    <s v="LA"/>
    <n v="0.9048"/>
    <n v="1988"/>
    <n v="4630"/>
    <n v="4630"/>
    <n v="1"/>
    <m/>
    <s v=" "/>
    <m/>
    <s v=" "/>
    <m/>
    <d v="2023-02-28T00:00:00"/>
    <m/>
    <n v="2.317808219178082"/>
    <s v=" "/>
    <m/>
    <m/>
    <m/>
    <n v="525000"/>
    <n v="113.3909287257019"/>
    <s v=" "/>
    <m/>
    <d v="2020-11-04T00:00:00"/>
    <x v="578"/>
    <m/>
    <x v="66"/>
    <s v="CA"/>
    <s v="Private"/>
    <m/>
    <m/>
    <m/>
    <s v=" "/>
    <s v=" "/>
    <m/>
    <s v=" "/>
    <s v=" "/>
    <s v=" "/>
    <m/>
    <s v=" "/>
  </r>
  <r>
    <m/>
    <s v="State"/>
    <s v="State"/>
    <s v="Fee Simple"/>
    <m/>
    <s v="Portfolio of Two"/>
    <m/>
    <n v="17.9"/>
    <m/>
    <n v="19683"/>
    <n v="19683"/>
    <n v="1"/>
    <m/>
    <s v=" "/>
    <m/>
    <s v=" "/>
    <m/>
    <m/>
    <m/>
    <s v=" "/>
    <s v=" "/>
    <m/>
    <m/>
    <m/>
    <n v="2403160"/>
    <n v="122.093176853122"/>
    <s v=" "/>
    <m/>
    <d v="2020-11-04T00:00:00"/>
    <x v="579"/>
    <m/>
    <x v="399"/>
    <s v="AL"/>
    <s v="Private"/>
    <m/>
    <m/>
    <m/>
    <s v=" "/>
    <s v=" "/>
    <m/>
    <s v=" "/>
    <s v=" "/>
    <s v=" "/>
    <m/>
    <s v=" "/>
  </r>
  <r>
    <m/>
    <s v="DT"/>
    <s v="State"/>
    <s v="Fee Simple"/>
    <s v="6 Roberts Rd"/>
    <s v="Asheville"/>
    <s v="NC"/>
    <n v="2.21"/>
    <n v="1997"/>
    <n v="20800"/>
    <n v="20800"/>
    <n v="1"/>
    <m/>
    <s v=" "/>
    <m/>
    <s v=" "/>
    <m/>
    <d v="2023-04-30T00:00:00"/>
    <m/>
    <n v="2.487671232876712"/>
    <s v=" "/>
    <s v="Full Service"/>
    <s v="None"/>
    <s v="None"/>
    <n v="1890000"/>
    <n v="90.86538461538461"/>
    <s v=" "/>
    <m/>
    <d v="2020-11-03T00:00:00"/>
    <x v="580"/>
    <m/>
    <x v="400"/>
    <s v="NC"/>
    <s v="Private"/>
    <m/>
    <m/>
    <n v="3100000"/>
    <s v=" "/>
    <n v="0.6096774193548387"/>
    <n v="3100000"/>
    <s v=" "/>
    <s v=" "/>
    <s v="No"/>
    <m/>
    <s v=" "/>
  </r>
  <r>
    <m/>
    <s v="USPS"/>
    <s v="Federal"/>
    <s v="Fee Simple"/>
    <s v="1280 Bard Rd"/>
    <s v="Bard"/>
    <s v="CA"/>
    <n v="2"/>
    <n v="1988"/>
    <n v="3382"/>
    <n v="3382"/>
    <n v="1"/>
    <n v="52999.92"/>
    <n v="15.67117681845062"/>
    <n v="51429.92"/>
    <n v="15.20695446481372"/>
    <d v="2018-07-01T00:00:00"/>
    <d v="2023-06-30T00:00:00"/>
    <m/>
    <n v="2.657534246575342"/>
    <s v=" "/>
    <s v="NN"/>
    <s v="Option"/>
    <s v="1, 5 year"/>
    <n v="600000"/>
    <n v="177.4098166765228"/>
    <n v="0.08571653333333333"/>
    <m/>
    <d v="2020-11-02T00:00:00"/>
    <x v="518"/>
    <s v="Gettner"/>
    <x v="401"/>
    <m/>
    <m/>
    <m/>
    <m/>
    <n v="685733"/>
    <n v="0.07499991979385562"/>
    <n v="0.8749761204433796"/>
    <n v="685733"/>
    <n v="0.07499991979385562"/>
    <n v="0.01071661353947771"/>
    <s v="No"/>
    <d v="2020-07-20T00:00:00"/>
    <n v="105"/>
  </r>
  <r>
    <s v="LIL19263"/>
    <s v="FBI"/>
    <s v="Federal"/>
    <s v="Fee Simple"/>
    <s v="3423 Office Park Dr"/>
    <s v="Marion"/>
    <s v="IL"/>
    <n v="2.98"/>
    <n v="2006"/>
    <n v="4972"/>
    <n v="4972"/>
    <n v="1"/>
    <n v="131309.2"/>
    <n v="26.40973451327434"/>
    <n v="83826.60000000001"/>
    <n v="16.85973451327434"/>
    <d v="2020-08-01T00:00:00"/>
    <d v="2035-07-31T00:00:00"/>
    <d v="2030-07-31T00:00:00"/>
    <n v="14.75068493150685"/>
    <n v="9.747945205479452"/>
    <s v="Modified Gross"/>
    <s v="None"/>
    <s v="None"/>
    <n v="1200000"/>
    <n v="241.3515687851971"/>
    <n v="0.0698555"/>
    <m/>
    <d v="2020-11-02T00:00:00"/>
    <x v="581"/>
    <m/>
    <x v="402"/>
    <s v="IL"/>
    <s v="Private"/>
    <m/>
    <m/>
    <m/>
    <s v=" "/>
    <s v=" "/>
    <m/>
    <s v=" "/>
    <s v=" "/>
    <s v=" "/>
    <m/>
    <s v=" "/>
  </r>
  <r>
    <m/>
    <s v="VA/Vet Center"/>
    <s v="Federal"/>
    <s v="Fee Simple"/>
    <s v="3132 Lynnhurst Blvd"/>
    <s v="Chesapeake"/>
    <s v="VA"/>
    <n v="2.5"/>
    <n v="2004"/>
    <n v="5684"/>
    <n v="5684"/>
    <n v="1"/>
    <n v="165128"/>
    <n v="29.05137227304715"/>
    <n v="97372"/>
    <n v="17.13089373680507"/>
    <d v="2019-03-01T00:00:00"/>
    <d v="2039-02-28T00:00:00"/>
    <d v="2029-02-28T00:00:00"/>
    <n v="18.33698630136986"/>
    <n v="8.331506849315069"/>
    <s v="Modified Gross"/>
    <s v="In Year 11"/>
    <s v="None"/>
    <n v="1325000"/>
    <n v="233.1104855735398"/>
    <n v="0.07348830188679245"/>
    <m/>
    <d v="2020-11-01T00:00:00"/>
    <x v="582"/>
    <s v="Jay Burnell"/>
    <x v="403"/>
    <s v="VA"/>
    <s v="Private"/>
    <m/>
    <m/>
    <n v="1557952"/>
    <n v="0.0625"/>
    <n v="0.8504754960358214"/>
    <n v="1557952"/>
    <n v="0.0625"/>
    <n v="0.01098830188679245"/>
    <s v="No"/>
    <d v="2019-09-03T00:00:00"/>
    <n v="425"/>
  </r>
  <r>
    <s v="LMO21028"/>
    <s v="FWS"/>
    <s v="Federal"/>
    <s v="Fee Simple"/>
    <s v="101 Park DeVille Dr"/>
    <s v="Columbia"/>
    <s v="MO"/>
    <n v="5.71"/>
    <n v="1987"/>
    <n v="15011"/>
    <n v="30576"/>
    <n v="0.4909406070120356"/>
    <n v="231163"/>
    <n v="15.39957364599294"/>
    <m/>
    <s v=" "/>
    <d v="2013-11-21T00:00:00"/>
    <d v="2023-11-20T00:00:00"/>
    <d v="2020-11-21T00:00:00"/>
    <n v="3.057534246575342"/>
    <n v="0.06027397260273973"/>
    <s v="Modified Gross"/>
    <s v="None"/>
    <s v="None"/>
    <n v="3281300"/>
    <n v="107.3161957090528"/>
    <s v=" "/>
    <m/>
    <d v="2020-10-30T00:00:00"/>
    <x v="583"/>
    <m/>
    <x v="404"/>
    <s v="MO"/>
    <s v="Private"/>
    <m/>
    <m/>
    <m/>
    <s v=" "/>
    <s v=" "/>
    <m/>
    <s v=" "/>
    <s v=" "/>
    <s v=" "/>
    <m/>
    <s v=" "/>
  </r>
  <r>
    <m/>
    <s v="VA/CMOP"/>
    <s v="Federal"/>
    <s v="Fee Simple"/>
    <s v="4136 Carolina Commerce Pky"/>
    <s v="Ladson"/>
    <s v="SC"/>
    <n v="8.279999999999999"/>
    <n v="2018"/>
    <n v="97718"/>
    <n v="117000"/>
    <n v="0.8351965811965812"/>
    <n v="1383687"/>
    <n v="14.1600012280235"/>
    <m/>
    <s v=" "/>
    <d v="2020-10-01T00:00:00"/>
    <d v="2040-09-30T00:00:00"/>
    <d v="2040-09-30T00:00:00"/>
    <n v="19.93150684931507"/>
    <n v="19.93150684931507"/>
    <s v="Modified Gross"/>
    <m/>
    <m/>
    <n v="17000000"/>
    <n v="145.2991452991453"/>
    <s v=" "/>
    <m/>
    <d v="2020-10-30T00:00:00"/>
    <x v="584"/>
    <s v="Lee; Thomas"/>
    <x v="3"/>
    <s v="DC"/>
    <s v="REIT"/>
    <m/>
    <m/>
    <m/>
    <s v=" "/>
    <s v=" "/>
    <m/>
    <s v=" "/>
    <s v=" "/>
    <s v=" "/>
    <m/>
    <s v=" "/>
  </r>
  <r>
    <m/>
    <s v="VA"/>
    <s v="Federal"/>
    <s v="Fee Simple"/>
    <s v="12929 Summerfield Crossing Boulevard"/>
    <s v="Riverview"/>
    <s v="FL"/>
    <n v="15"/>
    <n v="2018"/>
    <n v="63737"/>
    <n v="63737"/>
    <n v="1"/>
    <n v="2822544"/>
    <n v="44.284230509751"/>
    <m/>
    <s v=" "/>
    <d v="2018-09-01T00:00:00"/>
    <d v="2033-08-31T00:00:00"/>
    <d v="2033-08-31T00:00:00"/>
    <n v="12.84383561643836"/>
    <n v="12.84383561643836"/>
    <s v="Modified Gross"/>
    <s v="None"/>
    <s v="None"/>
    <n v="29472000"/>
    <n v="462.400175722108"/>
    <s v=" "/>
    <n v="0.201"/>
    <d v="2020-10-30T00:00:00"/>
    <x v="585"/>
    <s v="SJC; Briggs"/>
    <x v="319"/>
    <s v="NH"/>
    <s v="Private"/>
    <m/>
    <m/>
    <m/>
    <s v=" "/>
    <s v=" "/>
    <m/>
    <s v=" "/>
    <s v=" "/>
    <s v=" "/>
    <m/>
    <s v=" "/>
  </r>
  <r>
    <m/>
    <s v="County of San Bernardino"/>
    <s v="State"/>
    <s v="Fee Simple"/>
    <s v="2740 N Little Mountain Dr"/>
    <s v="San Bernardino"/>
    <s v="CA"/>
    <n v="4.18"/>
    <n v="2020"/>
    <n v="38150"/>
    <n v="38150"/>
    <n v="1"/>
    <n v="1281840"/>
    <n v="33.6"/>
    <n v="878999"/>
    <n v="23.04060288335518"/>
    <d v="2020-06-01T00:00:00"/>
    <d v="2030-04-30T00:00:00"/>
    <d v="2030-04-30T00:00:00"/>
    <n v="9.504109589041096"/>
    <n v="9.504109589041096"/>
    <s v="NN"/>
    <s v="2% annually"/>
    <m/>
    <n v="14500000"/>
    <n v="380.0786369593709"/>
    <n v="0.06062062068965517"/>
    <m/>
    <d v="2020-10-30T00:00:00"/>
    <x v="586"/>
    <s v="Hanley"/>
    <x v="1"/>
    <s v="IL"/>
    <s v="Private"/>
    <m/>
    <m/>
    <n v="15098000"/>
    <n v="0.05821956550536495"/>
    <n v="0.9603921049145582"/>
    <n v="14858758"/>
    <n v="0.05915696318629054"/>
    <n v="0.001463657503364635"/>
    <s v="Yes"/>
    <d v="2020-06-25T00:00:00"/>
    <n v="127"/>
  </r>
  <r>
    <m/>
    <s v="SSA"/>
    <s v="Federal"/>
    <s v="Fee Simple"/>
    <s v="2383 Sunset Dr"/>
    <s v="Grenada"/>
    <s v="MS"/>
    <n v="1"/>
    <n v="2009"/>
    <n v="8946"/>
    <n v="8946"/>
    <n v="1"/>
    <n v="240457"/>
    <n v="26.87871674491393"/>
    <n v="176554"/>
    <n v="19.73552425665102"/>
    <d v="2010-12-01T00:00:00"/>
    <d v="2025-11-30T00:00:00"/>
    <d v="2020-11-30T00:00:00"/>
    <n v="5.090410958904109"/>
    <n v="0.08767123287671233"/>
    <s v="Modified Gross"/>
    <s v="None"/>
    <s v="None"/>
    <n v="1800000"/>
    <n v="201.2072434607646"/>
    <n v="0.09808555555555555"/>
    <m/>
    <d v="2020-10-29T00:00:00"/>
    <x v="587"/>
    <s v="M&amp;M; Davis"/>
    <x v="405"/>
    <s v="TN"/>
    <s v="Private"/>
    <s v="M&amp;M; Mobin"/>
    <m/>
    <m/>
    <s v=" "/>
    <s v=" "/>
    <m/>
    <s v=" "/>
    <s v=" "/>
    <s v=" "/>
    <m/>
    <s v=" "/>
  </r>
  <r>
    <m/>
    <s v="USPS"/>
    <s v="Federal"/>
    <s v="Fee Simple"/>
    <s v="801 11th St"/>
    <s v="Menominee"/>
    <s v="MI"/>
    <n v="0.9"/>
    <m/>
    <n v="9083"/>
    <n v="9083"/>
    <n v="1"/>
    <m/>
    <s v=" "/>
    <m/>
    <s v=" "/>
    <m/>
    <m/>
    <m/>
    <s v=" "/>
    <s v=" "/>
    <m/>
    <m/>
    <m/>
    <n v="843000"/>
    <n v="92.81074534845315"/>
    <s v=" "/>
    <m/>
    <d v="2020-10-29T00:00:00"/>
    <x v="58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2206 N John Reddit Dr"/>
    <s v="Lufkin"/>
    <s v="TX"/>
    <n v="6.88"/>
    <n v="2009"/>
    <n v="46059"/>
    <n v="46059"/>
    <n v="1"/>
    <n v="694917"/>
    <n v="15.08753989448316"/>
    <n v="625878"/>
    <n v="13.58861460300918"/>
    <d v="2009-08-01T00:00:00"/>
    <d v="2029-07-31T00:00:00"/>
    <d v="2029-07-31T00:00:00"/>
    <n v="8.767123287671232"/>
    <n v="8.767123287671232"/>
    <s v="Full Service"/>
    <s v="1.25% to OpEx"/>
    <s v="None"/>
    <n v="10100000"/>
    <n v="219.2839618749864"/>
    <n v="0.06196811881188119"/>
    <m/>
    <d v="2020-10-26T00:00:00"/>
    <x v="589"/>
    <s v="SJC; Briggs"/>
    <x v="214"/>
    <s v="VA"/>
    <s v="Private"/>
    <s v="SJC; Rotunno"/>
    <m/>
    <n v="10563983"/>
    <n v="0.05924640355820338"/>
    <n v="0.9560787820275742"/>
    <n v="10563983"/>
    <n v="0.05924640355820338"/>
    <n v="0.002721715253677814"/>
    <s v="No"/>
    <d v="2020-01-13T00:00:00"/>
    <n v="287"/>
  </r>
  <r>
    <m/>
    <s v="USPS"/>
    <s v="Federal"/>
    <s v="Fee Simple"/>
    <s v="408 San Benito Ave"/>
    <s v="Gerber"/>
    <s v="CA"/>
    <n v="0.07000000000000001"/>
    <n v="1955"/>
    <n v="1788"/>
    <n v="1788"/>
    <n v="1"/>
    <n v="18300"/>
    <n v="10.23489932885906"/>
    <n v="13507"/>
    <n v="7.554250559284116"/>
    <d v="2018-11-01T00:00:00"/>
    <d v="2022-02-28T00:00:00"/>
    <d v="2019-01-30T00:00:00"/>
    <n v="1.353424657534247"/>
    <n v="-1.728767123287671"/>
    <s v="Rider"/>
    <s v="Option"/>
    <s v="Option"/>
    <n v="175000"/>
    <n v="97.87472035794184"/>
    <n v="0.07718285714285714"/>
    <m/>
    <d v="2020-10-22T00:00:00"/>
    <x v="590"/>
    <s v="TCP; Harrison"/>
    <x v="406"/>
    <s v="CA"/>
    <s v="Private"/>
    <m/>
    <m/>
    <n v="185000"/>
    <n v="0.07301081081081082"/>
    <n v="0.9459459459459459"/>
    <n v="185000"/>
    <n v="0.07301081081081082"/>
    <n v="0.00417204633204632"/>
    <s v="No"/>
    <d v="2020-05-13T00:00:00"/>
    <n v="162"/>
  </r>
  <r>
    <m/>
    <s v="Multi"/>
    <s v="State"/>
    <s v="Fee Simple"/>
    <s v="5712 Main St SW"/>
    <s v="Lakewood"/>
    <s v="WA"/>
    <m/>
    <n v="2008"/>
    <m/>
    <n v="40000"/>
    <s v=" "/>
    <m/>
    <s v=" "/>
    <n v="760450"/>
    <n v="19.01125"/>
    <m/>
    <d v="2032-12-31T00:00:00"/>
    <d v="2032-12-31T00:00:00"/>
    <n v="12.2"/>
    <n v="12.2"/>
    <m/>
    <m/>
    <m/>
    <n v="11350000"/>
    <n v="283.75"/>
    <n v="0.067"/>
    <m/>
    <d v="2020-10-22T00:00:00"/>
    <x v="591"/>
    <s v="KM"/>
    <x v="1"/>
    <s v="IL"/>
    <s v="Private"/>
    <m/>
    <m/>
    <m/>
    <s v=" "/>
    <s v=" "/>
    <m/>
    <s v=" "/>
    <s v=" "/>
    <s v=" "/>
    <m/>
    <s v=" "/>
  </r>
  <r>
    <m/>
    <s v="USCIS"/>
    <s v="Federal"/>
    <s v="Fee Simple"/>
    <s v="207 Gannett Dr"/>
    <s v="Portland"/>
    <s v="ME"/>
    <n v="4.3"/>
    <n v="1999"/>
    <n v="15500"/>
    <n v="15500"/>
    <n v="1"/>
    <n v="494941"/>
    <n v="31.93167741935484"/>
    <m/>
    <s v=" "/>
    <d v="2021-06-08T00:00:00"/>
    <d v="2036-06-07T00:00:00"/>
    <d v="2031-06-08T00:00:00"/>
    <n v="15.63561643835616"/>
    <n v="10.63287671232877"/>
    <s v="Modified Gross"/>
    <s v="None"/>
    <s v="None"/>
    <m/>
    <s v=" "/>
    <s v=" "/>
    <m/>
    <d v="2020-10-22T00:00:00"/>
    <x v="8"/>
    <m/>
    <x v="54"/>
    <s v="NC"/>
    <s v="REIT"/>
    <m/>
    <m/>
    <m/>
    <s v=" "/>
    <s v=" "/>
    <m/>
    <s v=" "/>
    <s v=" "/>
    <s v=" "/>
    <m/>
    <s v=" "/>
  </r>
  <r>
    <m/>
    <s v="CBP"/>
    <s v="Federal"/>
    <s v="Leasehold"/>
    <s v="396 N Camino Mercado"/>
    <s v="Casa Grande"/>
    <s v="AZ"/>
    <n v="3.33"/>
    <n v="1999"/>
    <n v="16843"/>
    <n v="16843"/>
    <n v="1"/>
    <n v="492489"/>
    <n v="29.23998100100932"/>
    <n v="393224"/>
    <n v="23.34643472065547"/>
    <m/>
    <d v="2024-05-14T00:00:00"/>
    <d v="2019-05-14T00:00:00"/>
    <n v="3.578082191780822"/>
    <n v="-1.427397260273973"/>
    <s v="Modified Gross"/>
    <s v="None"/>
    <s v="None"/>
    <n v="4000000"/>
    <n v="237.4873834827525"/>
    <n v="0.098306"/>
    <m/>
    <d v="2020-10-16T00:00:00"/>
    <x v="592"/>
    <s v="M&amp;M; Ficke"/>
    <x v="62"/>
    <s v="IL"/>
    <s v="Private"/>
    <m/>
    <m/>
    <n v="4874000"/>
    <n v="0.08067788264259335"/>
    <n v="0.8206811653672548"/>
    <n v="4874000"/>
    <n v="0.08067788264259335"/>
    <n v="0.01762811735740666"/>
    <s v="No"/>
    <d v="2019-11-06T00:00:00"/>
    <n v="345"/>
  </r>
  <r>
    <m/>
    <s v="North Virginia Community College"/>
    <s v="State"/>
    <s v="Fee Simple"/>
    <s v="3922-3928 Pender Dr"/>
    <s v="Fairfax"/>
    <s v="VA"/>
    <n v="13.78"/>
    <m/>
    <n v="147112.46"/>
    <n v="171061"/>
    <n v="0.86"/>
    <m/>
    <s v=" "/>
    <m/>
    <s v=" "/>
    <m/>
    <m/>
    <m/>
    <s v=" "/>
    <s v=" "/>
    <m/>
    <m/>
    <m/>
    <n v="25100000"/>
    <n v="146.7312829926167"/>
    <s v=" "/>
    <m/>
    <d v="2020-10-13T00:00:00"/>
    <x v="247"/>
    <s v="JLL; Molloy"/>
    <x v="407"/>
    <s v="VA"/>
    <s v="Private"/>
    <s v="Tenant RFP; Peacock"/>
    <m/>
    <n v="25400000"/>
    <s v=" "/>
    <n v="0.9881889763779528"/>
    <n v="25400000"/>
    <s v=" "/>
    <s v=" "/>
    <s v="No"/>
    <d v="2020-07-31T00:00:00"/>
    <n v="74"/>
  </r>
  <r>
    <m/>
    <s v="USPS"/>
    <s v="Federal"/>
    <s v="Fee Simple"/>
    <s v="1818 Milton Ave"/>
    <s v="Janesville"/>
    <s v="WI"/>
    <n v="5.06"/>
    <n v="1973"/>
    <n v="38423"/>
    <n v="38423"/>
    <n v="1"/>
    <m/>
    <s v=" "/>
    <m/>
    <s v=" "/>
    <m/>
    <m/>
    <m/>
    <s v=" "/>
    <s v=" "/>
    <m/>
    <m/>
    <m/>
    <n v="2650000"/>
    <n v="68.96910704525935"/>
    <s v=" "/>
    <m/>
    <d v="2020-10-13T00:00:00"/>
    <x v="530"/>
    <m/>
    <x v="66"/>
    <s v="CA"/>
    <s v="Private"/>
    <m/>
    <m/>
    <n v="3539575"/>
    <s v=" "/>
    <n v="0.7486774542141359"/>
    <n v="3539575"/>
    <s v=" "/>
    <s v=" "/>
    <s v="No"/>
    <m/>
    <s v=" "/>
  </r>
  <r>
    <m/>
    <s v="USPS"/>
    <s v="Federal"/>
    <s v="Fee Simple"/>
    <s v="5139 34th Ave S"/>
    <s v="Minneapolis"/>
    <s v="MN"/>
    <n v="0.26"/>
    <n v="1960"/>
    <n v="11150"/>
    <n v="11150"/>
    <n v="1"/>
    <m/>
    <s v=" "/>
    <m/>
    <s v=" "/>
    <m/>
    <m/>
    <m/>
    <s v=" "/>
    <s v=" "/>
    <m/>
    <m/>
    <m/>
    <n v="610000"/>
    <n v="54.7085201793722"/>
    <s v=" "/>
    <m/>
    <d v="2020-10-13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01 S Bartow St"/>
    <s v="Nashville"/>
    <s v="GA"/>
    <n v="0.07000000000000001"/>
    <n v="1960"/>
    <n v="4710"/>
    <n v="4710"/>
    <n v="1"/>
    <m/>
    <s v=" "/>
    <m/>
    <s v=" "/>
    <m/>
    <m/>
    <m/>
    <s v=" "/>
    <s v=" "/>
    <m/>
    <m/>
    <m/>
    <n v="440000"/>
    <n v="93.41825902335457"/>
    <s v=" "/>
    <m/>
    <d v="2020-10-12T00:00:00"/>
    <x v="8"/>
    <m/>
    <x v="66"/>
    <s v="CA"/>
    <s v="Private"/>
    <m/>
    <m/>
    <m/>
    <s v=" "/>
    <s v=" "/>
    <m/>
    <s v=" "/>
    <s v=" "/>
    <s v=" "/>
    <m/>
    <s v=" "/>
  </r>
  <r>
    <m/>
    <s v="DH"/>
    <s v="State"/>
    <s v="Fee Simple"/>
    <s v="12135 SW 128th Ct"/>
    <s v="Miami"/>
    <s v="FL"/>
    <m/>
    <n v="2007"/>
    <m/>
    <n v="36500"/>
    <s v=" "/>
    <m/>
    <s v=" "/>
    <m/>
    <s v=" "/>
    <m/>
    <m/>
    <m/>
    <s v=" "/>
    <s v=" "/>
    <m/>
    <m/>
    <m/>
    <n v="11700000"/>
    <n v="320.5479452054794"/>
    <s v=" "/>
    <m/>
    <d v="2020-10-08T00:00:00"/>
    <x v="593"/>
    <s v="BR;"/>
    <x v="1"/>
    <s v="IL"/>
    <s v="Private"/>
    <m/>
    <m/>
    <m/>
    <s v=" "/>
    <s v=" "/>
    <m/>
    <s v=" "/>
    <s v=" "/>
    <s v=" "/>
    <m/>
    <s v=" "/>
  </r>
  <r>
    <m/>
    <s v="DHS"/>
    <s v="State"/>
    <s v="Fee Simple"/>
    <s v="3809 Airport Plaza Dr"/>
    <s v="Texarkana"/>
    <s v="AR"/>
    <n v="6.22"/>
    <n v="2001"/>
    <n v="25000"/>
    <n v="25000"/>
    <n v="1"/>
    <m/>
    <s v=" "/>
    <m/>
    <s v=" "/>
    <m/>
    <m/>
    <m/>
    <s v=" "/>
    <s v=" "/>
    <m/>
    <m/>
    <m/>
    <n v="3970000"/>
    <n v="158.8"/>
    <s v=" "/>
    <m/>
    <d v="2020-10-07T00:00:00"/>
    <x v="8"/>
    <s v="Colliers; Huchingson"/>
    <x v="408"/>
    <s v="IL"/>
    <s v="Private"/>
    <s v="Colliers; Ficke"/>
    <m/>
    <m/>
    <s v=" "/>
    <s v=" "/>
    <m/>
    <s v=" "/>
    <s v=" "/>
    <s v=" "/>
    <m/>
    <s v=" "/>
  </r>
  <r>
    <m/>
    <s v="USPS"/>
    <s v="Federal"/>
    <s v="Fee Simple"/>
    <s v="848 Oglethorpe Ave SW"/>
    <s v="Atlanta"/>
    <s v="GA"/>
    <n v="1.8756"/>
    <n v="1960"/>
    <n v="10500"/>
    <n v="10500"/>
    <n v="1"/>
    <m/>
    <s v=" "/>
    <m/>
    <s v=" "/>
    <m/>
    <d v="2025-03-31T00:00:00"/>
    <m/>
    <n v="4.484931506849315"/>
    <s v=" "/>
    <s v="Rider"/>
    <m/>
    <m/>
    <n v="2325000"/>
    <n v="221.4285714285714"/>
    <s v=" "/>
    <m/>
    <d v="2020-10-06T00:00:00"/>
    <x v="594"/>
    <m/>
    <x v="66"/>
    <s v="CA"/>
    <s v="Private"/>
    <m/>
    <m/>
    <m/>
    <s v=" "/>
    <s v=" "/>
    <m/>
    <s v=" "/>
    <s v=" "/>
    <s v=" "/>
    <m/>
    <s v=" "/>
  </r>
  <r>
    <s v="LMN17882"/>
    <s v="SSA"/>
    <s v="Federal"/>
    <s v="Fee Simple"/>
    <s v="2443 Clare Ln NE"/>
    <s v="Rochester"/>
    <s v="MN"/>
    <n v="2.45"/>
    <n v="2008"/>
    <n v="6195"/>
    <n v="21669"/>
    <n v="0.2858922885227745"/>
    <n v="135790.2"/>
    <n v="21.91932203389831"/>
    <m/>
    <s v=" "/>
    <d v="2008-09-12T00:00:00"/>
    <d v="2018-09-11T00:00:00"/>
    <d v="2013-09-11T00:00:00"/>
    <n v="-2.071232876712329"/>
    <n v="-7.073972602739726"/>
    <s v="Modified Gross"/>
    <s v="None"/>
    <s v="None"/>
    <n v="4000000"/>
    <n v="184.5955050994508"/>
    <s v=" "/>
    <m/>
    <d v="2020-10-06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108 Collins Ave"/>
    <s v="South Point"/>
    <s v="OH"/>
    <n v="2.71"/>
    <n v="1997"/>
    <m/>
    <n v="8880"/>
    <s v=" "/>
    <n v="78038"/>
    <s v=" "/>
    <m/>
    <s v=" "/>
    <m/>
    <m/>
    <m/>
    <s v=" "/>
    <s v=" "/>
    <m/>
    <m/>
    <m/>
    <n v="1100000"/>
    <n v="123.8738738738739"/>
    <s v=" "/>
    <m/>
    <d v="2020-10-05T00:00:00"/>
    <x v="8"/>
    <m/>
    <x v="0"/>
    <m/>
    <m/>
    <m/>
    <m/>
    <m/>
    <s v=" "/>
    <s v=" "/>
    <m/>
    <s v=" "/>
    <s v=" "/>
    <s v=" "/>
    <m/>
    <s v=" "/>
  </r>
  <r>
    <m/>
    <s v="GS"/>
    <s v="State"/>
    <s v="Fee Simple"/>
    <s v="6210 Rivercrest Dr"/>
    <s v="Riverside"/>
    <s v="CA"/>
    <n v="0.65"/>
    <n v="2007"/>
    <n v="11532"/>
    <n v="11532"/>
    <n v="1"/>
    <m/>
    <s v=" "/>
    <n v="140015"/>
    <n v="12.14143253555324"/>
    <m/>
    <m/>
    <m/>
    <s v=" "/>
    <s v=" "/>
    <m/>
    <m/>
    <m/>
    <n v="2050000"/>
    <n v="177.7662157474853"/>
    <n v="0.0683"/>
    <m/>
    <d v="2020-10-02T00:00:00"/>
    <x v="595"/>
    <s v="M&amp;M; Mobin"/>
    <x v="409"/>
    <s v="CA"/>
    <s v="Private"/>
    <m/>
    <m/>
    <m/>
    <s v=" "/>
    <s v=" "/>
    <m/>
    <s v=" "/>
    <s v=" "/>
    <s v=" "/>
    <m/>
    <s v=" "/>
  </r>
  <r>
    <s v="LMD12059"/>
    <s v="DEA/AG/IA"/>
    <s v="Federal &amp; State"/>
    <s v="Fee Simple"/>
    <s v="200 Saint Paul St"/>
    <s v="Baltimore"/>
    <s v="MD"/>
    <n v="2.39"/>
    <m/>
    <n v="221871.104"/>
    <n v="266672"/>
    <n v="0.832"/>
    <m/>
    <s v=" "/>
    <n v="3395780"/>
    <n v="12.73392032159357"/>
    <d v="2012-08-10T00:00:00"/>
    <d v="2022-08-09T00:00:00"/>
    <d v="2017-08-10T00:00:00"/>
    <n v="1.854794520547945"/>
    <n v="-3.145205479452055"/>
    <s v="Modified Gross"/>
    <s v="None"/>
    <s v="None"/>
    <n v="44000000"/>
    <n v="164.9967000659987"/>
    <n v="0.07717681818181818"/>
    <m/>
    <d v="2020-10-01T00:00:00"/>
    <x v="596"/>
    <m/>
    <x v="410"/>
    <m/>
    <m/>
    <m/>
    <m/>
    <m/>
    <s v=" "/>
    <s v=" "/>
    <m/>
    <s v=" "/>
    <s v=" "/>
    <s v=" "/>
    <m/>
    <s v=" "/>
  </r>
  <r>
    <m/>
    <s v="DPPS"/>
    <s v="Municipal"/>
    <s v="Fee Simple"/>
    <s v="1283 6th St"/>
    <s v="Coachella"/>
    <s v="CA"/>
    <n v="2.98"/>
    <n v="2019"/>
    <n v="30000"/>
    <n v="30000"/>
    <n v="1"/>
    <m/>
    <s v=" "/>
    <n v="677795"/>
    <n v="22.59316666666667"/>
    <d v="2019-05-01T00:00:00"/>
    <d v="2031-04-30T00:00:00"/>
    <d v="2031-04-30T00:00:00"/>
    <n v="10.58356164383562"/>
    <n v="10.58356164383562"/>
    <s v="Full Service"/>
    <s v="18% in 7"/>
    <s v="2, 5 year"/>
    <n v="11050000"/>
    <n v="368.3333333333333"/>
    <n v="0.06133891402714932"/>
    <m/>
    <d v="2020-10-01T00:00:00"/>
    <x v="597"/>
    <s v="C&amp;W; Trautvetter"/>
    <x v="1"/>
    <s v="IL"/>
    <s v="Private"/>
    <m/>
    <m/>
    <n v="11787740"/>
    <n v="0.05749999575830481"/>
    <n v="0.9374146358844019"/>
    <n v="11787740"/>
    <n v="0.05749999575830481"/>
    <n v="0.003838918268844506"/>
    <s v="No"/>
    <d v="2020-07-27T00:00:00"/>
    <n v="66"/>
  </r>
  <r>
    <s v="LVA00224"/>
    <s v="FBI"/>
    <s v="Federal"/>
    <s v="Fee Simple"/>
    <s v="205-225 Solomon Dr"/>
    <s v="Fredericksburg"/>
    <s v="VA"/>
    <n v="1.28"/>
    <n v="2004"/>
    <n v="20237"/>
    <n v="20237"/>
    <n v="1"/>
    <n v="565920.09"/>
    <n v="27.96462370904778"/>
    <m/>
    <s v=" "/>
    <d v="2019-03-06T00:00:00"/>
    <d v="2029-03-05T00:00:00"/>
    <d v="2024-03-06T00:00:00"/>
    <n v="8.432876712328767"/>
    <n v="3.432876712328767"/>
    <s v="Modified Gross"/>
    <s v="None"/>
    <s v="None"/>
    <n v="4925000"/>
    <n v="243.366111577803"/>
    <s v=" "/>
    <m/>
    <d v="2020-09-30T00:00:00"/>
    <x v="598"/>
    <m/>
    <x v="411"/>
    <s v="NY"/>
    <s v="Private"/>
    <m/>
    <m/>
    <m/>
    <s v=" "/>
    <s v=" "/>
    <m/>
    <s v=" "/>
    <s v=" "/>
    <s v=" "/>
    <m/>
    <s v=" "/>
  </r>
  <r>
    <m/>
    <s v="USPS"/>
    <s v="Federal"/>
    <s v="Fee Simple"/>
    <s v="3540 E 4th St"/>
    <s v="Long Beach"/>
    <s v="CA"/>
    <n v="0.48"/>
    <n v="1961"/>
    <n v="6396"/>
    <n v="6396"/>
    <n v="1"/>
    <m/>
    <s v=" "/>
    <n v="111168"/>
    <n v="17.38086303939962"/>
    <d v="2019-04-01T00:00:00"/>
    <d v="2024-03-31T00:00:00"/>
    <m/>
    <n v="3.501369863013699"/>
    <s v=" "/>
    <s v="NN"/>
    <s v="Option"/>
    <s v="1, 5 year"/>
    <n v="2500000"/>
    <n v="390.8692933083177"/>
    <n v="0.0444672"/>
    <m/>
    <d v="2020-09-30T00:00:00"/>
    <x v="599"/>
    <s v="Sage; Huizar"/>
    <x v="412"/>
    <s v="CA"/>
    <s v="Private"/>
    <m/>
    <m/>
    <n v="2500000"/>
    <n v="0.0444672"/>
    <n v="1"/>
    <n v="2500000"/>
    <n v="0.0444672"/>
    <n v="0"/>
    <s v="No"/>
    <d v="2020-07-20T00:00:00"/>
    <n v="72"/>
  </r>
  <r>
    <m/>
    <s v="AOC/Courthouse"/>
    <s v="Federal"/>
    <s v="Fee Simple"/>
    <s v="222 John Q. Hammons Pkwy"/>
    <s v="Springfield"/>
    <s v="MO"/>
    <n v="2.0352"/>
    <n v="1988"/>
    <n v="46024"/>
    <n v="46024"/>
    <n v="1"/>
    <n v="1290798.35"/>
    <n v="28.04620089518512"/>
    <m/>
    <s v=" "/>
    <d v="2015-06-01T00:00:00"/>
    <d v="2030-05-31T00:00:00"/>
    <d v="2025-06-01T00:00:00"/>
    <n v="9.671232876712329"/>
    <n v="4.671232876712328"/>
    <s v="Modified Gross"/>
    <s v="None"/>
    <s v="None"/>
    <m/>
    <s v=" "/>
    <s v=" "/>
    <m/>
    <d v="2020-09-30T00:00:00"/>
    <x v="600"/>
    <s v="C&amp;W; Truatvetter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17 Main St S"/>
    <s v="Clearbrook"/>
    <s v="MN"/>
    <n v="0.1492"/>
    <m/>
    <n v="1547"/>
    <n v="1547"/>
    <n v="1"/>
    <m/>
    <s v=" "/>
    <m/>
    <s v=" "/>
    <m/>
    <m/>
    <m/>
    <s v=" "/>
    <s v=" "/>
    <m/>
    <m/>
    <m/>
    <n v="121587"/>
    <n v="78.59534583063994"/>
    <s v=" "/>
    <m/>
    <d v="2020-09-25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07 Main St S"/>
    <s v="Karlstad"/>
    <s v="MN"/>
    <m/>
    <m/>
    <n v="1716"/>
    <n v="1716"/>
    <n v="1"/>
    <m/>
    <s v=" "/>
    <m/>
    <s v=" "/>
    <m/>
    <m/>
    <m/>
    <s v=" "/>
    <s v=" "/>
    <m/>
    <m/>
    <m/>
    <n v="111407"/>
    <n v="64.92249417249417"/>
    <s v=" "/>
    <m/>
    <d v="2020-09-25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45 Grosse Rd"/>
    <s v="Little Suamico"/>
    <s v="WI"/>
    <n v="0.23"/>
    <m/>
    <n v="2090"/>
    <n v="2090"/>
    <n v="1"/>
    <m/>
    <s v=" "/>
    <m/>
    <s v=" "/>
    <m/>
    <m/>
    <m/>
    <s v=" "/>
    <s v=" "/>
    <m/>
    <m/>
    <m/>
    <n v="120000"/>
    <n v="57.41626794258373"/>
    <s v=" "/>
    <m/>
    <d v="2020-09-25T00:00:00"/>
    <x v="8"/>
    <m/>
    <x v="66"/>
    <s v="CA"/>
    <s v="Private"/>
    <m/>
    <m/>
    <m/>
    <s v=" "/>
    <s v=" "/>
    <m/>
    <s v=" "/>
    <s v=" "/>
    <s v=" "/>
    <m/>
    <s v=" "/>
  </r>
  <r>
    <m/>
    <s v="SSA"/>
    <s v="Federal"/>
    <s v="Fee Simple"/>
    <s v="2502 S 2nd St"/>
    <s v="Marshalltown"/>
    <s v="IA"/>
    <n v="0.58"/>
    <n v="2005"/>
    <n v="4936"/>
    <n v="4936"/>
    <n v="1"/>
    <n v="143654.41"/>
    <n v="29.10340559157212"/>
    <n v="97159"/>
    <n v="19.68375202593193"/>
    <d v="2020-10-01T00:00:00"/>
    <d v="2030-09-30T00:00:00"/>
    <d v="2025-10-01T00:00:00"/>
    <n v="10.01917808219178"/>
    <n v="5.019178082191781"/>
    <s v="Modified Gross"/>
    <s v="None"/>
    <s v="None"/>
    <n v="1100000"/>
    <n v="222.8525121555916"/>
    <n v="0.08832636363636363"/>
    <m/>
    <d v="2020-09-25T00:00:00"/>
    <x v="601"/>
    <s v="M&amp;M; Ficke"/>
    <x v="413"/>
    <s v="SD"/>
    <s v="Private"/>
    <s v="Nick Gustafson"/>
    <m/>
    <n v="1161000"/>
    <n v="0.08368561584840654"/>
    <n v="0.9474590869939707"/>
    <n v="1161000"/>
    <n v="0.08368561584840654"/>
    <n v="0.004640747787957089"/>
    <s v="No"/>
    <d v="2020-02-06T00:00:00"/>
    <n v="232"/>
  </r>
  <r>
    <m/>
    <s v="USPS"/>
    <s v="Federal"/>
    <s v="Fee Simple"/>
    <s v="100 N Main St"/>
    <s v="Dexter"/>
    <s v="MN"/>
    <n v="0.073"/>
    <n v="1973"/>
    <n v="1500"/>
    <n v="1500"/>
    <n v="1"/>
    <m/>
    <s v=" "/>
    <m/>
    <s v=" "/>
    <m/>
    <m/>
    <m/>
    <s v=" "/>
    <s v=" "/>
    <m/>
    <m/>
    <m/>
    <n v="104752"/>
    <n v="69.83466666666666"/>
    <s v=" "/>
    <m/>
    <d v="2020-09-24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00 3rd Ave NW"/>
    <s v="Perham"/>
    <s v="MN"/>
    <n v="0.2232"/>
    <n v="1955"/>
    <n v="3148"/>
    <n v="3148"/>
    <n v="1"/>
    <m/>
    <s v=" "/>
    <m/>
    <s v=" "/>
    <m/>
    <m/>
    <m/>
    <s v=" "/>
    <s v=" "/>
    <m/>
    <m/>
    <m/>
    <n v="360221"/>
    <n v="114.4285260482846"/>
    <s v=" "/>
    <m/>
    <d v="2020-09-24T00:00:00"/>
    <x v="8"/>
    <m/>
    <x v="66"/>
    <s v="CA"/>
    <s v="Private"/>
    <m/>
    <m/>
    <m/>
    <s v=" "/>
    <s v=" "/>
    <m/>
    <s v=" "/>
    <s v=" "/>
    <s v=" "/>
    <m/>
    <s v=" "/>
  </r>
  <r>
    <m/>
    <s v="Multi"/>
    <s v="Federal"/>
    <s v="Fee Simple"/>
    <s v="Portfolio of Three"/>
    <s v="Reston"/>
    <s v="VA"/>
    <m/>
    <m/>
    <m/>
    <n v="705905"/>
    <s v=" "/>
    <m/>
    <s v=" "/>
    <m/>
    <s v=" "/>
    <m/>
    <m/>
    <m/>
    <s v=" "/>
    <s v=" "/>
    <m/>
    <m/>
    <m/>
    <n v="325000000"/>
    <n v="460.401895439188"/>
    <s v=" "/>
    <m/>
    <d v="2020-09-24T00:00:00"/>
    <x v="602"/>
    <m/>
    <x v="1"/>
    <s v="IL"/>
    <s v="Private"/>
    <m/>
    <m/>
    <m/>
    <s v=" "/>
    <s v=" "/>
    <m/>
    <s v=" "/>
    <s v=" "/>
    <s v=" "/>
    <m/>
    <s v=" "/>
  </r>
  <r>
    <s v="LAL60312"/>
    <s v="FBI"/>
    <s v="Federal"/>
    <s v="Fee Simple"/>
    <s v="200 N Royal St"/>
    <s v="Mobile"/>
    <s v="AL"/>
    <n v="3.74"/>
    <n v="2001"/>
    <n v="92760"/>
    <n v="92760"/>
    <n v="1"/>
    <n v="2526352"/>
    <n v="27.23536006899526"/>
    <n v="1759226.8"/>
    <n v="18.96536006899526"/>
    <d v="2019-12-01T00:00:00"/>
    <d v="2029-11-30T00:00:00"/>
    <d v="2024-12-01T00:00:00"/>
    <n v="9.205479452054794"/>
    <n v="4.205479452054795"/>
    <s v="Modified Gross"/>
    <s v="None"/>
    <s v="None"/>
    <n v="24700000"/>
    <n v="266.2785683484261"/>
    <n v="0.07122375708502024"/>
    <m/>
    <d v="2020-09-18T00:00:00"/>
    <x v="603"/>
    <s v="Direct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37 Valley Farm Rd"/>
    <s v="Pottersville"/>
    <s v="NY"/>
    <n v="1.03"/>
    <n v="1980"/>
    <m/>
    <n v="1104"/>
    <s v=" "/>
    <n v="8650"/>
    <s v=" "/>
    <m/>
    <s v=" "/>
    <m/>
    <m/>
    <m/>
    <s v=" "/>
    <s v=" "/>
    <m/>
    <m/>
    <m/>
    <n v="86000"/>
    <n v="77.89855072463769"/>
    <s v=" "/>
    <m/>
    <d v="2020-09-18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320 State Route 8"/>
    <s v="Bridgewater"/>
    <s v="NY"/>
    <n v="0.214"/>
    <m/>
    <n v="1612"/>
    <n v="1612"/>
    <n v="1"/>
    <m/>
    <s v=" "/>
    <m/>
    <s v=" "/>
    <m/>
    <m/>
    <m/>
    <s v=" "/>
    <s v=" "/>
    <m/>
    <m/>
    <m/>
    <n v="365000"/>
    <n v="226.4267990074442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6785 County Route 119"/>
    <s v="Cameron Mills"/>
    <s v="NY"/>
    <n v="2.9"/>
    <m/>
    <n v="1906"/>
    <n v="1906"/>
    <n v="1"/>
    <m/>
    <s v=" "/>
    <m/>
    <s v=" "/>
    <m/>
    <m/>
    <m/>
    <s v=" "/>
    <s v=" "/>
    <m/>
    <m/>
    <m/>
    <n v="365000"/>
    <n v="191.5005246589717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961 State Route 295"/>
    <s v="Canaan"/>
    <s v="NY"/>
    <n v="2.09"/>
    <m/>
    <n v="1560"/>
    <n v="1560"/>
    <n v="1"/>
    <m/>
    <s v=" "/>
    <m/>
    <s v=" "/>
    <m/>
    <m/>
    <m/>
    <s v=" "/>
    <s v=" "/>
    <m/>
    <m/>
    <m/>
    <n v="360000"/>
    <n v="230.7692307692308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11 State Route 295"/>
    <s v="East Chatham"/>
    <s v="NY"/>
    <n v="1.96"/>
    <m/>
    <n v="3776"/>
    <n v="3776"/>
    <n v="1"/>
    <m/>
    <s v=" "/>
    <m/>
    <s v=" "/>
    <m/>
    <m/>
    <m/>
    <s v=" "/>
    <s v=" "/>
    <m/>
    <m/>
    <m/>
    <n v="675000"/>
    <n v="178.760593220339"/>
    <s v=" "/>
    <m/>
    <d v="2020-09-17T00:00:00"/>
    <x v="604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2085 Vaughn St"/>
    <s v="East Concord"/>
    <s v="NY"/>
    <n v="2.1"/>
    <m/>
    <n v="2828"/>
    <n v="2828"/>
    <n v="1"/>
    <m/>
    <s v=" "/>
    <m/>
    <s v=" "/>
    <m/>
    <m/>
    <m/>
    <s v=" "/>
    <s v=" "/>
    <m/>
    <m/>
    <m/>
    <n v="430000"/>
    <n v="152.0509193776521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 W Main St"/>
    <s v="Fonda"/>
    <s v="NY"/>
    <n v="0.5"/>
    <m/>
    <n v="3168"/>
    <n v="3168"/>
    <n v="1"/>
    <m/>
    <s v=" "/>
    <m/>
    <s v=" "/>
    <m/>
    <m/>
    <m/>
    <s v=" "/>
    <s v=" "/>
    <m/>
    <m/>
    <m/>
    <n v="785000"/>
    <n v="247.790404040404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6000 Edward Ave"/>
    <s v="Newfane"/>
    <s v="NY"/>
    <n v="1.8"/>
    <n v="2000"/>
    <n v="2640"/>
    <n v="2640"/>
    <n v="1"/>
    <m/>
    <s v=" "/>
    <m/>
    <s v=" "/>
    <m/>
    <m/>
    <m/>
    <s v=" "/>
    <s v=" "/>
    <m/>
    <m/>
    <m/>
    <m/>
    <s v=" "/>
    <s v=" "/>
    <m/>
    <d v="2020-09-17T00:00:00"/>
    <x v="605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7 W Main St"/>
    <s v="Ripley"/>
    <s v="NY"/>
    <n v="0.1636"/>
    <m/>
    <n v="4000"/>
    <n v="4000"/>
    <n v="1"/>
    <m/>
    <s v=" "/>
    <m/>
    <s v=" "/>
    <m/>
    <m/>
    <m/>
    <s v=" "/>
    <s v=" "/>
    <m/>
    <m/>
    <m/>
    <n v="800000"/>
    <n v="200"/>
    <s v=" "/>
    <m/>
    <d v="2020-09-17T00:00:00"/>
    <x v="606"/>
    <m/>
    <x v="66"/>
    <s v="CA"/>
    <s v="Private"/>
    <m/>
    <m/>
    <m/>
    <s v=" "/>
    <s v=" "/>
    <m/>
    <s v=" "/>
    <s v=" "/>
    <s v=" "/>
    <m/>
    <s v=" "/>
  </r>
  <r>
    <m/>
    <s v="California Department of Business Oversight"/>
    <s v="State"/>
    <s v="Fee Simple"/>
    <s v="2101 Arena Blvd"/>
    <s v="Sacramento"/>
    <s v="CA"/>
    <n v="5.3"/>
    <n v="1999"/>
    <m/>
    <n v="78400"/>
    <s v=" "/>
    <n v="786500"/>
    <s v=" "/>
    <m/>
    <s v=" "/>
    <m/>
    <m/>
    <m/>
    <s v=" "/>
    <s v=" "/>
    <m/>
    <m/>
    <m/>
    <n v="12100000"/>
    <n v="154.3367346938776"/>
    <s v=" "/>
    <m/>
    <d v="2020-09-17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420 Main St"/>
    <s v="Schoharie"/>
    <s v="NY"/>
    <n v="1.46"/>
    <m/>
    <n v="3192"/>
    <n v="3192"/>
    <n v="1"/>
    <m/>
    <s v=" "/>
    <m/>
    <s v=" "/>
    <m/>
    <m/>
    <m/>
    <s v=" "/>
    <s v=" "/>
    <m/>
    <m/>
    <m/>
    <m/>
    <s v=" "/>
    <s v=" "/>
    <m/>
    <d v="2020-09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5 S Washington St"/>
    <s v="Eau Claire"/>
    <s v="PA"/>
    <n v="0.19"/>
    <m/>
    <n v="1008"/>
    <n v="1008"/>
    <n v="1"/>
    <m/>
    <s v=" "/>
    <m/>
    <s v=" "/>
    <m/>
    <m/>
    <m/>
    <s v=" "/>
    <s v=" "/>
    <m/>
    <m/>
    <m/>
    <n v="100000"/>
    <n v="99.2063492063492"/>
    <s v=" "/>
    <m/>
    <d v="2020-09-10T00:00:00"/>
    <x v="8"/>
    <m/>
    <x v="66"/>
    <s v="CA"/>
    <s v="Private"/>
    <m/>
    <m/>
    <m/>
    <s v=" "/>
    <s v=" "/>
    <m/>
    <s v=" "/>
    <s v=" "/>
    <s v=" "/>
    <m/>
    <s v=" "/>
  </r>
  <r>
    <m/>
    <s v="Children's National Prince Georges County"/>
    <s v="Municipal"/>
    <s v="Fee Simple"/>
    <s v="2900 Campus Way N"/>
    <s v="Lanham"/>
    <s v="MD"/>
    <n v="1.402"/>
    <n v="2020"/>
    <n v="60000"/>
    <n v="60000"/>
    <n v="1"/>
    <m/>
    <s v=" "/>
    <m/>
    <s v=" "/>
    <m/>
    <m/>
    <m/>
    <s v=" "/>
    <s v=" "/>
    <m/>
    <m/>
    <m/>
    <n v="59000000"/>
    <n v="983.3333333333334"/>
    <s v=" "/>
    <m/>
    <d v="2020-09-09T00:00:00"/>
    <x v="607"/>
    <s v="AY; Hipp"/>
    <x v="414"/>
    <s v="MA"/>
    <s v="Private"/>
    <m/>
    <s v="Petrie Richardson Ventures"/>
    <m/>
    <s v=" "/>
    <s v=" "/>
    <m/>
    <s v=" "/>
    <s v=" "/>
    <s v=" "/>
    <d v="2020-05-21T00:00:00"/>
    <n v="111"/>
  </r>
  <r>
    <m/>
    <s v="State of Colorado"/>
    <s v="State"/>
    <s v="Fee Simple"/>
    <s v="703 23 2/10 Rd"/>
    <s v="Grand Junction"/>
    <s v="CO"/>
    <n v="1.29"/>
    <n v="2005"/>
    <n v="10500"/>
    <n v="10500"/>
    <n v="1"/>
    <m/>
    <s v=" "/>
    <n v="131430"/>
    <n v="12.51714285714286"/>
    <m/>
    <m/>
    <m/>
    <s v=" "/>
    <s v=" "/>
    <m/>
    <m/>
    <m/>
    <n v="1685000"/>
    <n v="160.4761904761905"/>
    <n v="0.078"/>
    <m/>
    <d v="2020-09-04T00:00:00"/>
    <x v="608"/>
    <s v="Bray"/>
    <x v="0"/>
    <m/>
    <m/>
    <m/>
    <m/>
    <n v="1790000"/>
    <n v="0.07342458100558659"/>
    <n v="0.9413407821229051"/>
    <n v="1790000"/>
    <n v="0.07342458100558659"/>
    <n v="0.00457541899441341"/>
    <s v="No"/>
    <d v="2019-05-01T00:00:00"/>
    <n v="492"/>
  </r>
  <r>
    <m/>
    <s v="E&amp;HS"/>
    <s v="State"/>
    <s v="Fee Simple"/>
    <s v="300-500 Ellinwood Way"/>
    <s v="Pleasant Hill"/>
    <s v="CA"/>
    <n v="9.5"/>
    <n v="1985"/>
    <n v="131378"/>
    <n v="131378"/>
    <n v="1"/>
    <m/>
    <s v=" "/>
    <m/>
    <s v=" "/>
    <m/>
    <m/>
    <m/>
    <s v=" "/>
    <s v=" "/>
    <m/>
    <m/>
    <m/>
    <n v="23070000"/>
    <n v="175.6001765896878"/>
    <s v=" "/>
    <m/>
    <d v="2020-09-03T00:00:00"/>
    <x v="609"/>
    <s v="TRI Com"/>
    <x v="1"/>
    <s v="IL"/>
    <s v="Private"/>
    <m/>
    <m/>
    <m/>
    <s v=" "/>
    <s v=" "/>
    <m/>
    <s v=" "/>
    <s v=" "/>
    <s v=" "/>
    <m/>
    <s v=" "/>
  </r>
  <r>
    <m/>
    <s v="Caltrans"/>
    <s v="State"/>
    <s v="Fee Simple"/>
    <s v="1515 River Park Dr"/>
    <s v="Sacramento"/>
    <s v="CA"/>
    <n v="2.01"/>
    <n v="1978"/>
    <n v="7789"/>
    <n v="36320"/>
    <n v="0.214454845814978"/>
    <n v="735012"/>
    <n v="94.36538708434972"/>
    <n v="437633"/>
    <n v="12.04936674008811"/>
    <m/>
    <d v="2027-11-30T00:00:00"/>
    <m/>
    <n v="7.243835616438356"/>
    <s v=" "/>
    <s v="Full Service"/>
    <s v="None"/>
    <s v="None"/>
    <n v="5890000"/>
    <n v="162.1696035242291"/>
    <n v="0.07430101867572156"/>
    <m/>
    <d v="2020-09-03T00:00:00"/>
    <x v="610"/>
    <s v="CP; Lucas"/>
    <x v="415"/>
    <s v="CA"/>
    <s v="Private"/>
    <m/>
    <m/>
    <m/>
    <s v=" "/>
    <s v=" "/>
    <m/>
    <s v=" "/>
    <s v=" "/>
    <s v=" "/>
    <d v="2020-01-22T00:00:00"/>
    <n v="225"/>
  </r>
  <r>
    <m/>
    <s v="USPS"/>
    <s v="Federal"/>
    <s v="Fee Simple"/>
    <s v="37 Valley Farm Rd"/>
    <s v="Pottersville"/>
    <s v="NY"/>
    <n v="1.03"/>
    <n v="1980"/>
    <m/>
    <n v="1104"/>
    <s v=" "/>
    <n v="8650"/>
    <s v=" "/>
    <m/>
    <s v=" "/>
    <m/>
    <m/>
    <m/>
    <s v=" "/>
    <s v=" "/>
    <m/>
    <m/>
    <m/>
    <n v="82500"/>
    <n v="74.72826086956522"/>
    <s v=" "/>
    <m/>
    <d v="2020-09-02T00:00:00"/>
    <x v="8"/>
    <m/>
    <x v="0"/>
    <m/>
    <m/>
    <m/>
    <m/>
    <m/>
    <s v=" "/>
    <s v=" "/>
    <m/>
    <s v=" "/>
    <s v=" "/>
    <s v=" "/>
    <m/>
    <s v=" "/>
  </r>
  <r>
    <s v="LAL60055"/>
    <s v="ACOE"/>
    <s v="Federal"/>
    <s v="Fee Simple"/>
    <s v="4820 University Sq"/>
    <s v="Huntsville"/>
    <s v="AL"/>
    <n v="5.95"/>
    <n v="2005"/>
    <n v="135746"/>
    <n v="135746"/>
    <n v="1"/>
    <n v="2708542.24"/>
    <n v="19.95301695814241"/>
    <m/>
    <s v=" "/>
    <d v="2014-10-07T00:00:00"/>
    <d v="2024-10-06T00:00:00"/>
    <d v="2022-10-06T00:00:00"/>
    <n v="4.098630136986301"/>
    <n v="2.095890410958904"/>
    <s v="Modified Gross"/>
    <s v="None"/>
    <s v="None"/>
    <n v="3500000"/>
    <n v="25.7834484994033"/>
    <s v=" "/>
    <m/>
    <d v="2020-09-01T00:00:00"/>
    <x v="611"/>
    <m/>
    <x v="416"/>
    <s v="NY"/>
    <s v="Private"/>
    <m/>
    <m/>
    <m/>
    <s v=" "/>
    <s v=" "/>
    <m/>
    <s v=" "/>
    <s v=" "/>
    <s v=" "/>
    <m/>
    <s v=" "/>
  </r>
  <r>
    <m/>
    <s v="SSA/VA"/>
    <s v="Federal"/>
    <s v="Fee Simple"/>
    <s v="228-252 West St"/>
    <s v="Rutland"/>
    <s v="VT"/>
    <n v="2.59"/>
    <n v="2012"/>
    <n v="12961"/>
    <n v="22000"/>
    <n v="0.5891363636363637"/>
    <n v="490945"/>
    <n v="37.87863590772317"/>
    <n v="335841"/>
    <n v="15.2655"/>
    <m/>
    <m/>
    <m/>
    <s v=" "/>
    <s v=" "/>
    <s v="Full Service"/>
    <s v="TI Bleeds Off"/>
    <s v="None"/>
    <n v="4000000"/>
    <n v="181.8181818181818"/>
    <n v="0.08396025"/>
    <m/>
    <d v="2020-09-01T00:00:00"/>
    <x v="612"/>
    <s v="SJC; Briggs"/>
    <x v="84"/>
    <s v="IL"/>
    <s v="Private"/>
    <m/>
    <m/>
    <m/>
    <s v=" "/>
    <s v=" "/>
    <m/>
    <s v=" "/>
    <s v=" "/>
    <s v=" "/>
    <m/>
    <s v=" "/>
  </r>
  <r>
    <m/>
    <s v="USDA"/>
    <s v="Federal"/>
    <s v="Fee Simple"/>
    <s v="105 Ponderosa Dr"/>
    <s v="Christiansburg"/>
    <s v="VA"/>
    <n v="0.45"/>
    <n v="1999"/>
    <n v="5000"/>
    <n v="5000"/>
    <n v="1"/>
    <m/>
    <s v=" "/>
    <m/>
    <s v=" "/>
    <d v="2018-10-01T00:00:00"/>
    <d v="2033-09-30T00:00:00"/>
    <m/>
    <n v="13.0986301369863"/>
    <s v=" "/>
    <s v="Modified Gross"/>
    <m/>
    <m/>
    <n v="800000"/>
    <n v="160"/>
    <s v=" "/>
    <m/>
    <d v="2020-08-28T00:00:00"/>
    <x v="613"/>
    <m/>
    <x v="417"/>
    <s v="VA"/>
    <s v="Private"/>
    <m/>
    <m/>
    <m/>
    <s v=" "/>
    <s v=" "/>
    <m/>
    <s v=" "/>
    <s v=" "/>
    <s v=" "/>
    <m/>
    <s v=" "/>
  </r>
  <r>
    <m/>
    <s v="USPS"/>
    <s v="Federal"/>
    <s v="Fee Simple"/>
    <s v="560 3rd St NW"/>
    <s v="Elk River"/>
    <s v="MN"/>
    <n v="0.78"/>
    <n v="1973"/>
    <n v="6356"/>
    <n v="6356"/>
    <n v="1"/>
    <n v="95874"/>
    <n v="15.08401510383889"/>
    <n v="75779"/>
    <n v="11.9224354940214"/>
    <d v="2018-06-01T00:00:00"/>
    <d v="2023-05-31T00:00:00"/>
    <m/>
    <n v="2.756164383561644"/>
    <s v=" "/>
    <s v="NN"/>
    <s v="Option"/>
    <s v="1, 5yr"/>
    <n v="966379"/>
    <n v="152.0420075519195"/>
    <n v="0.07841540430824759"/>
    <m/>
    <d v="2020-08-28T00:00:00"/>
    <x v="614"/>
    <s v="M&amp;M; McDonald"/>
    <x v="66"/>
    <s v="CA"/>
    <s v="Private"/>
    <m/>
    <m/>
    <n v="1030000"/>
    <n v="0.07357184466019417"/>
    <n v="0.9382320388349514"/>
    <n v="1030000"/>
    <n v="0.07357184466019417"/>
    <n v="0.004843559648053414"/>
    <s v="No"/>
    <d v="2020-02-03T00:00:00"/>
    <n v="207"/>
  </r>
  <r>
    <m/>
    <s v="USPS"/>
    <s v="Federal"/>
    <s v="Fee Simple"/>
    <s v="510 Meyers St"/>
    <s v="Kettle Falls"/>
    <s v="WA"/>
    <n v="0.19"/>
    <n v="1961"/>
    <n v="2089"/>
    <m/>
    <s v=" "/>
    <m/>
    <s v=" "/>
    <m/>
    <s v=" "/>
    <m/>
    <m/>
    <m/>
    <s v=" "/>
    <s v=" "/>
    <m/>
    <m/>
    <m/>
    <n v="218184"/>
    <s v=" "/>
    <s v=" "/>
    <m/>
    <d v="2020-08-28T00:00:00"/>
    <x v="614"/>
    <m/>
    <x v="66"/>
    <s v="CA"/>
    <s v="Private"/>
    <m/>
    <m/>
    <n v="235000"/>
    <s v=" "/>
    <n v="0.9284425531914894"/>
    <n v="235000"/>
    <s v=" "/>
    <s v=" "/>
    <s v="No"/>
    <m/>
    <s v=" "/>
  </r>
  <r>
    <m/>
    <s v="USPS"/>
    <s v="Federal"/>
    <s v="Fee Simple"/>
    <s v="117 S 4th St"/>
    <s v="Mccleary"/>
    <s v="WA"/>
    <n v="0.17"/>
    <n v="1962"/>
    <n v="2329"/>
    <n v="2329"/>
    <n v="1"/>
    <n v="22798"/>
    <n v="9.788750536711035"/>
    <n v="20818"/>
    <n v="8.938600257621296"/>
    <d v="2019-06-05T00:00:00"/>
    <d v="2024-06-04T00:00:00"/>
    <m/>
    <n v="3.76986301369863"/>
    <s v=" "/>
    <s v="NN"/>
    <s v="Option"/>
    <s v="1, 5 year"/>
    <n v="263420"/>
    <n v="113.104336625161"/>
    <n v="0.07902968643231341"/>
    <m/>
    <d v="2020-08-28T00:00:00"/>
    <x v="614"/>
    <s v="M&amp;M; McDonald"/>
    <x v="66"/>
    <s v="CA"/>
    <s v="Private"/>
    <m/>
    <m/>
    <n v="283000"/>
    <n v="0.07356183745583039"/>
    <n v="0.9308127208480566"/>
    <n v="283000"/>
    <n v="0.07356183745583039"/>
    <n v="0.005467848976483017"/>
    <s v="No"/>
    <d v="2020-02-03T00:00:00"/>
    <n v="207"/>
  </r>
  <r>
    <m/>
    <s v="USDA"/>
    <s v="Federal"/>
    <s v="Fee Simple"/>
    <s v="4407 Bland Rd"/>
    <s v="Raleigh"/>
    <s v="NC"/>
    <m/>
    <m/>
    <m/>
    <n v="205872"/>
    <s v=" "/>
    <m/>
    <s v=" "/>
    <m/>
    <s v=" "/>
    <m/>
    <m/>
    <m/>
    <s v=" "/>
    <s v=" "/>
    <m/>
    <m/>
    <m/>
    <n v="41600000"/>
    <n v="202.0673039558561"/>
    <s v=" "/>
    <m/>
    <d v="2020-08-28T00:00:00"/>
    <x v="615"/>
    <s v="Trinity"/>
    <x v="1"/>
    <s v="IL"/>
    <s v="Private"/>
    <m/>
    <m/>
    <m/>
    <s v=" "/>
    <s v=" "/>
    <m/>
    <s v=" "/>
    <s v=" "/>
    <s v=" "/>
    <m/>
    <s v=" "/>
  </r>
  <r>
    <m/>
    <s v="USPS"/>
    <s v="Federal"/>
    <s v="Ground Lease"/>
    <s v="1107 Austin Hwy"/>
    <s v="San Antonio"/>
    <s v="TX"/>
    <n v="0.76"/>
    <n v="2020"/>
    <n v="5741"/>
    <n v="5741"/>
    <n v="1"/>
    <m/>
    <s v=" "/>
    <n v="120000"/>
    <n v="20.90228183243337"/>
    <d v="2019-09-01T00:00:00"/>
    <d v="2034-08-31T00:00:00"/>
    <d v="2034-08-31T00:00:00"/>
    <n v="14.01917808219178"/>
    <n v="14.01917808219178"/>
    <s v="Absolute NNN"/>
    <s v="In Year 11 &amp; Options"/>
    <s v="6, 5 year"/>
    <n v="2515000"/>
    <n v="438.0769900714161"/>
    <n v="0.04771371769383698"/>
    <m/>
    <d v="2020-08-27T00:00:00"/>
    <x v="616"/>
    <s v="CP; Sanner"/>
    <x v="418"/>
    <s v="TX"/>
    <s v="Private"/>
    <m/>
    <m/>
    <n v="2824000"/>
    <n v="0.0424929178470255"/>
    <n v="0.8905807365439093"/>
    <n v="2824000"/>
    <n v="0.0424929178470255"/>
    <n v="0.00522079984681148"/>
    <s v="No"/>
    <d v="2020-05-06T00:00:00"/>
    <n v="113"/>
  </r>
  <r>
    <m/>
    <s v="911/DDS"/>
    <s v="State"/>
    <s v="Fee Simple"/>
    <s v="151 Campanelli Dr"/>
    <s v="Middleboro"/>
    <s v="MA"/>
    <n v="7.22"/>
    <s v="1989 | 1996"/>
    <n v="58510"/>
    <n v="58510"/>
    <n v="1"/>
    <m/>
    <s v=" "/>
    <n v="1149570"/>
    <n v="19.64741069902581"/>
    <m/>
    <d v="2026-02-28T00:00:00"/>
    <m/>
    <n v="5.515068493150685"/>
    <s v=" "/>
    <s v="Full Service"/>
    <s v="CPI annually"/>
    <s v="None"/>
    <n v="15900000"/>
    <n v="271.7484190736626"/>
    <n v="0.0723"/>
    <m/>
    <d v="2020-08-25T00:00:00"/>
    <x v="295"/>
    <s v="Newmark"/>
    <x v="1"/>
    <s v="IL"/>
    <s v="Private"/>
    <m/>
    <m/>
    <m/>
    <s v=" "/>
    <s v=" "/>
    <m/>
    <s v=" "/>
    <s v=" "/>
    <s v=" "/>
    <m/>
    <s v=" "/>
  </r>
  <r>
    <m/>
    <s v="MEPS"/>
    <s v="Federal"/>
    <s v="Fee Simple"/>
    <s v="1100 S Fillmore St"/>
    <s v="Amarillo"/>
    <s v="TX"/>
    <n v="1.66"/>
    <n v="1982"/>
    <m/>
    <n v="31870"/>
    <s v=" "/>
    <n v="418316"/>
    <s v=" "/>
    <n v="203450"/>
    <n v="6.383746470034515"/>
    <m/>
    <d v="2029-10-28T00:00:00"/>
    <d v="2027-10-28T00:00:00"/>
    <n v="9.183561643835617"/>
    <n v="7.18082191780822"/>
    <m/>
    <m/>
    <m/>
    <n v="3500000"/>
    <n v="109.8211484154377"/>
    <n v="0.05812857142857143"/>
    <m/>
    <d v="2020-08-24T00:00:00"/>
    <x v="8"/>
    <s v="SJC; Briggs"/>
    <x v="0"/>
    <m/>
    <m/>
    <m/>
    <m/>
    <m/>
    <s v=" "/>
    <s v=" "/>
    <m/>
    <s v=" "/>
    <s v=" "/>
    <s v=" "/>
    <m/>
    <s v=" "/>
  </r>
  <r>
    <s v="LOH17084"/>
    <s v="SSA"/>
    <s v="Federal"/>
    <s v="Fee Simple"/>
    <s v="4815 State Rd"/>
    <s v="Ashtabula"/>
    <s v="OH"/>
    <n v="1.17"/>
    <n v="2004"/>
    <n v="6276"/>
    <n v="6276"/>
    <n v="1"/>
    <n v="146468"/>
    <n v="23.33779477374124"/>
    <m/>
    <s v=" "/>
    <d v="2005-03-21T00:00:00"/>
    <d v="2025-03-20T00:00:00"/>
    <d v="2015-03-20T00:00:00"/>
    <n v="4.589041095890411"/>
    <n v="-5.419178082191781"/>
    <s v="Modified Gross"/>
    <s v="None"/>
    <s v="None"/>
    <n v="1525000"/>
    <n v="242.9891650732951"/>
    <s v=" "/>
    <m/>
    <d v="2020-08-18T00:00:00"/>
    <x v="617"/>
    <m/>
    <x v="419"/>
    <s v="OH"/>
    <s v="User/Owner"/>
    <m/>
    <m/>
    <m/>
    <s v=" "/>
    <s v=" "/>
    <m/>
    <s v=" "/>
    <s v=" "/>
    <s v=" "/>
    <m/>
    <s v=" "/>
  </r>
  <r>
    <s v="LAL62175"/>
    <s v="SSA"/>
    <s v="Federal"/>
    <s v="Fee Simple"/>
    <s v="24467 Al Highway 55"/>
    <s v="Andalusia"/>
    <s v="AL"/>
    <n v="1.1"/>
    <n v="2000"/>
    <n v="7224"/>
    <n v="7224"/>
    <n v="1"/>
    <n v="199909.57"/>
    <n v="27.67297480620155"/>
    <m/>
    <s v=" "/>
    <d v="2012-05-06T00:00:00"/>
    <d v="2022-05-05T00:00:00"/>
    <d v="2017-05-06T00:00:00"/>
    <n v="1.715068493150685"/>
    <n v="-3.284931506849315"/>
    <s v="Modified Gross"/>
    <s v="None"/>
    <s v="None"/>
    <m/>
    <s v=" "/>
    <s v=" "/>
    <m/>
    <d v="2020-08-17T00:00:00"/>
    <x v="618"/>
    <m/>
    <x v="420"/>
    <s v="FL"/>
    <s v="Private"/>
    <m/>
    <m/>
    <m/>
    <s v=" "/>
    <s v=" "/>
    <m/>
    <s v=" "/>
    <s v=" "/>
    <s v=" "/>
    <m/>
    <s v=" "/>
  </r>
  <r>
    <m/>
    <s v="USPS"/>
    <s v="Federal"/>
    <s v="Fee Simple"/>
    <s v="107 N Main St"/>
    <s v="Flasher"/>
    <s v="ND"/>
    <n v="0.1477"/>
    <m/>
    <n v="2265"/>
    <n v="2265"/>
    <n v="1"/>
    <m/>
    <s v=" "/>
    <m/>
    <s v=" "/>
    <m/>
    <m/>
    <m/>
    <s v=" "/>
    <s v=" "/>
    <m/>
    <m/>
    <m/>
    <m/>
    <s v=" "/>
    <s v=" "/>
    <m/>
    <d v="2020-08-17T00:00:00"/>
    <x v="8"/>
    <m/>
    <x v="66"/>
    <s v="CA"/>
    <s v="Private"/>
    <m/>
    <m/>
    <m/>
    <s v=" "/>
    <s v=" "/>
    <m/>
    <s v=" "/>
    <s v=" "/>
    <s v=" "/>
    <m/>
    <s v=" "/>
  </r>
  <r>
    <s v="LIL19378"/>
    <s v="SSA"/>
    <s v="Federal"/>
    <s v="Fee Simple"/>
    <s v="230 W Lake St"/>
    <s v="Bloomingdale"/>
    <s v="IL"/>
    <n v="1.25"/>
    <n v="2000"/>
    <n v="10844"/>
    <n v="10844"/>
    <n v="1"/>
    <n v="263325"/>
    <n v="24.28301364810033"/>
    <n v="281625"/>
    <n v="25.97058281077093"/>
    <d v="2020-06-01T00:00:00"/>
    <d v="2030-05-31T00:00:00"/>
    <d v="2025-05-31T00:00:00"/>
    <n v="9.794520547945206"/>
    <n v="4.791780821917809"/>
    <s v="Modified Gross"/>
    <s v="None"/>
    <s v="None"/>
    <n v="3450000"/>
    <n v="318.1482847657691"/>
    <n v="0.0816304347826087"/>
    <m/>
    <d v="2020-08-16T00:00:00"/>
    <x v="619"/>
    <s v="M&amp;M; Roti"/>
    <x v="421"/>
    <s v="WI"/>
    <s v="Private"/>
    <m/>
    <m/>
    <n v="3755000"/>
    <n v="0.075"/>
    <n v="0.918774966711052"/>
    <n v="3755000"/>
    <n v="0.075"/>
    <n v="0.006630434782608705"/>
    <s v="No"/>
    <d v="2019-02-19T00:00:00"/>
    <n v="544"/>
  </r>
  <r>
    <m/>
    <s v="Multi"/>
    <s v="Federal"/>
    <s v="Fee Simple"/>
    <s v="1441 Crossways Blvd"/>
    <s v="Chesapeake"/>
    <s v="VA"/>
    <m/>
    <n v="1988"/>
    <m/>
    <n v="206504"/>
    <s v=" "/>
    <m/>
    <s v=" "/>
    <m/>
    <s v=" "/>
    <m/>
    <m/>
    <m/>
    <s v=" "/>
    <s v=" "/>
    <m/>
    <m/>
    <m/>
    <n v="41150000"/>
    <n v="199.2697478014954"/>
    <s v=" "/>
    <m/>
    <d v="2020-08-13T00:00:00"/>
    <x v="620"/>
    <s v="CBRE; Rampula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325 Bacon St"/>
    <s v="Edgefield"/>
    <s v="SC"/>
    <n v="0.47"/>
    <m/>
    <n v="6109"/>
    <n v="6109"/>
    <n v="1"/>
    <m/>
    <s v=" "/>
    <m/>
    <s v=" "/>
    <m/>
    <m/>
    <m/>
    <s v=" "/>
    <s v=" "/>
    <m/>
    <m/>
    <m/>
    <n v="668000"/>
    <n v="109.3468652807333"/>
    <s v=" "/>
    <m/>
    <d v="2020-08-13T00:00:00"/>
    <x v="621"/>
    <m/>
    <x v="66"/>
    <s v="CA"/>
    <s v="Private"/>
    <m/>
    <m/>
    <m/>
    <s v=" "/>
    <s v=" "/>
    <m/>
    <s v=" "/>
    <s v=" "/>
    <s v=" "/>
    <m/>
    <s v=" "/>
  </r>
  <r>
    <s v="LNC62605"/>
    <s v="SSA"/>
    <s v="Federal"/>
    <s v="Fee Simple"/>
    <s v="4430 Kahn Dr"/>
    <s v="Lumberton"/>
    <s v="NC"/>
    <n v="1.51"/>
    <n v="2003"/>
    <n v="12000"/>
    <n v="12000"/>
    <n v="1"/>
    <n v="390676.82"/>
    <n v="32.55640166666667"/>
    <n v="183209.00025"/>
    <n v="15.2674166875"/>
    <d v="2018-06-04T00:00:00"/>
    <d v="2028-06-03T00:00:00"/>
    <d v="2023-06-03T00:00:00"/>
    <n v="7.810958904109589"/>
    <n v="2.805479452054795"/>
    <s v="Modified Gross"/>
    <s v="None"/>
    <s v="None"/>
    <n v="2442786.67"/>
    <n v="203.5655558333333"/>
    <n v="0.075"/>
    <m/>
    <d v="2020-08-13T00:00:00"/>
    <x v="622"/>
    <s v="SJC; Hellwig"/>
    <x v="85"/>
    <s v="NC"/>
    <s v="Private"/>
    <m/>
    <m/>
    <m/>
    <s v=" "/>
    <s v=" "/>
    <m/>
    <s v=" "/>
    <s v=" "/>
    <s v=" "/>
    <m/>
    <s v=" "/>
  </r>
  <r>
    <m/>
    <s v="USPS"/>
    <s v="Federal"/>
    <s v="Fee Simple"/>
    <s v="847 S Main St"/>
    <s v="Plantsville"/>
    <s v="CT"/>
    <n v="0.43"/>
    <n v="1964"/>
    <n v="3721"/>
    <n v="3721"/>
    <n v="1"/>
    <m/>
    <s v=" "/>
    <m/>
    <s v=" "/>
    <m/>
    <m/>
    <m/>
    <s v=" "/>
    <s v=" "/>
    <m/>
    <m/>
    <m/>
    <n v="580000"/>
    <n v="155.8720773985488"/>
    <s v=" "/>
    <m/>
    <d v="2020-08-10T00:00:00"/>
    <x v="623"/>
    <m/>
    <x v="66"/>
    <s v="CA"/>
    <s v="Private"/>
    <m/>
    <m/>
    <m/>
    <s v=" "/>
    <s v=" "/>
    <m/>
    <s v=" "/>
    <s v=" "/>
    <s v=" "/>
    <m/>
    <s v=" "/>
  </r>
  <r>
    <s v="LCA03359"/>
    <s v="FBI"/>
    <s v="Federal"/>
    <s v="Fee Simple"/>
    <s v="3480 Vine St"/>
    <s v="Riverside"/>
    <s v="CA"/>
    <n v="2.36"/>
    <n v="2004"/>
    <n v="24519"/>
    <n v="46190"/>
    <n v="0.5308291838060186"/>
    <n v="702714.54"/>
    <n v="28.66"/>
    <n v="1212780"/>
    <n v="26.25633253951072"/>
    <d v="2016-07-23T00:00:00"/>
    <d v="2031-07-22T00:00:00"/>
    <d v="2026-07-23T00:00:00"/>
    <n v="10.96712328767123"/>
    <n v="5.967123287671233"/>
    <s v="Modified Gross"/>
    <s v="None"/>
    <s v="None"/>
    <n v="16000000"/>
    <n v="346.3953236631306"/>
    <n v="0.07579875"/>
    <m/>
    <d v="2020-08-05T00:00:00"/>
    <x v="624"/>
    <s v="CBRE; Cemo"/>
    <x v="1"/>
    <s v="IL"/>
    <s v="Private"/>
    <m/>
    <m/>
    <n v="20213000"/>
    <n v="0.06"/>
    <n v="0.7915697818235788"/>
    <n v="20213000"/>
    <n v="0.06"/>
    <n v="0.01579875"/>
    <s v="No"/>
    <d v="2020-04-28T00:00:00"/>
    <n v="99"/>
  </r>
  <r>
    <m/>
    <s v="USPS"/>
    <s v="Federal"/>
    <s v="Fee Simple"/>
    <s v="6886 Tri County Rd"/>
    <s v="Seaman"/>
    <s v="OH"/>
    <n v="0.27"/>
    <n v="1968"/>
    <n v="1924"/>
    <n v="1924"/>
    <n v="1"/>
    <n v="25974"/>
    <n v="13.5"/>
    <n v="21864"/>
    <n v="11.36382536382536"/>
    <d v="2018-02-01T00:00:00"/>
    <d v="2023-01-31T00:00:00"/>
    <d v="2023-01-31T00:00:00"/>
    <n v="2.49041095890411"/>
    <n v="2.49041095890411"/>
    <s v="LL Maintenance Rider"/>
    <s v="None"/>
    <s v="None"/>
    <n v="255000"/>
    <n v="132.5363825363825"/>
    <n v="0.08574117647058824"/>
    <m/>
    <d v="2020-08-05T00:00:00"/>
    <x v="625"/>
    <s v="TCP; Harrison"/>
    <x v="0"/>
    <s v="PA"/>
    <s v="Private"/>
    <m/>
    <m/>
    <n v="282000"/>
    <n v="0.07753191489361702"/>
    <n v="0.9042553191489362"/>
    <n v="282000"/>
    <n v="0.07753191489361702"/>
    <n v="0.008209261576971216"/>
    <s v="No"/>
    <d v="2020-06-02T00:00:00"/>
    <n v="64"/>
  </r>
  <r>
    <m/>
    <s v="USPS"/>
    <s v="Federal"/>
    <s v="Fee Simple"/>
    <s v="4299 Horseshoe Rd N"/>
    <s v="Little River"/>
    <s v="SC"/>
    <n v="2.92"/>
    <n v="2002"/>
    <n v="8012"/>
    <n v="8012"/>
    <n v="1"/>
    <m/>
    <s v=" "/>
    <m/>
    <s v=" "/>
    <m/>
    <m/>
    <m/>
    <s v=" "/>
    <s v=" "/>
    <m/>
    <m/>
    <m/>
    <n v="2600000"/>
    <n v="324.5132301547678"/>
    <s v=" "/>
    <m/>
    <d v="2020-08-04T00:00:00"/>
    <x v="626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1830 Hillandale Rd"/>
    <s v="Durham"/>
    <s v="NC"/>
    <n v="1.612"/>
    <n v="1970"/>
    <n v="26871"/>
    <n v="26871"/>
    <n v="1"/>
    <m/>
    <s v=" "/>
    <n v="525000"/>
    <n v="19.53779167131852"/>
    <d v="2020-06-01T00:00:00"/>
    <d v="2025-05-31T00:00:00"/>
    <d v="2020-06-01T00:00:00"/>
    <n v="4.827397260273973"/>
    <n v="-0.1726027397260274"/>
    <s v="Modified Gross"/>
    <s v="None"/>
    <s v="None"/>
    <n v="7050000"/>
    <n v="262.3646310148487"/>
    <n v="0.07446808510638298"/>
    <m/>
    <d v="2020-08-03T00:00:00"/>
    <x v="8"/>
    <s v="SIG; Sheridan"/>
    <x v="186"/>
    <s v="GA"/>
    <s v="Private"/>
    <s v="Colliers"/>
    <m/>
    <n v="7500000"/>
    <n v="0.07000000000000001"/>
    <n v="0.9399999999999999"/>
    <n v="7500000"/>
    <n v="0.07000000000000001"/>
    <n v="0.004468085106382969"/>
    <s v="No"/>
    <d v="2020-03-04T00:00:00"/>
    <n v="152"/>
  </r>
  <r>
    <m/>
    <s v="Tuscaloosa County"/>
    <s v="State"/>
    <s v="Fee Simple"/>
    <s v="6050 Mimosa Cir"/>
    <s v="Tuscaloosa"/>
    <s v="AL"/>
    <m/>
    <n v="2006"/>
    <n v="8000"/>
    <n v="8000"/>
    <n v="1"/>
    <m/>
    <s v=" "/>
    <n v="102804"/>
    <n v="12.8505"/>
    <m/>
    <d v="2026-02-28T00:00:00"/>
    <m/>
    <n v="5.583561643835616"/>
    <s v=" "/>
    <m/>
    <m/>
    <m/>
    <n v="1200000"/>
    <n v="150"/>
    <n v="0.08567"/>
    <m/>
    <d v="2020-07-31T00:00:00"/>
    <x v="627"/>
    <s v="Colliers; Ficke"/>
    <x v="422"/>
    <s v="AL"/>
    <s v="Private"/>
    <m/>
    <m/>
    <m/>
    <s v=" "/>
    <s v=" "/>
    <m/>
    <s v=" "/>
    <s v=" "/>
    <s v=" "/>
    <m/>
    <s v=" "/>
  </r>
  <r>
    <m/>
    <s v="DFPS"/>
    <s v="State"/>
    <s v="Fee Simple"/>
    <s v="4201 Greenwood Dr"/>
    <s v="Corpus Christi"/>
    <s v="TX"/>
    <n v="4.27"/>
    <n v="1995"/>
    <n v="51307"/>
    <n v="51307"/>
    <n v="1"/>
    <n v="734388"/>
    <n v="14.31360243241663"/>
    <n v="829632"/>
    <n v="16.16995731576588"/>
    <d v="2020-03-01T00:00:00"/>
    <d v="2025-03-31T00:00:00"/>
    <d v="2025-03-31T00:00:00"/>
    <n v="4.676712328767123"/>
    <n v="4.676712328767123"/>
    <s v="Full Service"/>
    <s v="Annual 50% of CPI"/>
    <s v="None"/>
    <n v="8675000"/>
    <n v="169.0802424620422"/>
    <n v="0.09563481268011527"/>
    <m/>
    <d v="2020-07-28T00:00:00"/>
    <x v="20"/>
    <s v="M&amp;M; Ficke &amp; Newmark; Gallas"/>
    <x v="408"/>
    <s v="IL"/>
    <s v="Private"/>
    <m/>
    <m/>
    <n v="8969000"/>
    <n v="0.09249994425242503"/>
    <n v="0.9672204259114728"/>
    <n v="8969000"/>
    <n v="0.09249994425242503"/>
    <n v="0.003134868427690243"/>
    <s v="No"/>
    <d v="2020-03-10T00:00:00"/>
    <n v="140"/>
  </r>
  <r>
    <m/>
    <s v="MSHA"/>
    <s v="Federal"/>
    <s v="Fee Simple"/>
    <s v="4499 Appalachian Hwy"/>
    <s v="Rock View"/>
    <s v="WV"/>
    <n v="7.03"/>
    <n v="2016"/>
    <n v="20781"/>
    <n v="20781"/>
    <n v="1"/>
    <n v="535098"/>
    <n v="25.74938645878447"/>
    <n v="434880"/>
    <n v="20.92680814205284"/>
    <d v="2016-04-01T00:00:00"/>
    <d v="2026-03-31T00:00:00"/>
    <d v="2026-03-31T00:00:00"/>
    <n v="5.676712328767123"/>
    <n v="5.676712328767123"/>
    <s v="Modified Gross"/>
    <s v="None"/>
    <s v="1, 5 year"/>
    <n v="4650000"/>
    <n v="223.762090371012"/>
    <n v="0.09352258064516129"/>
    <s v=" "/>
    <d v="2020-07-28T00:00:00"/>
    <x v="218"/>
    <s v="M&amp;M; Ficke"/>
    <x v="46"/>
    <s v="OK"/>
    <s v="Private"/>
    <s v="M&amp;M; Ficke"/>
    <m/>
    <n v="5611361"/>
    <n v="0.07749991490477978"/>
    <n v="0.828675966490126"/>
    <n v="5611361"/>
    <n v="0.07749991490477978"/>
    <n v="0.01602266574038151"/>
    <s v="No"/>
    <d v="2020-01-07T00:00:00"/>
    <n v="203"/>
  </r>
  <r>
    <s v="LCA00147"/>
    <s v="SSA"/>
    <s v="Federal"/>
    <s v="Fee Simple"/>
    <s v="2160 El Camino Real"/>
    <s v="Oceanside"/>
    <s v="CA"/>
    <n v="1.6"/>
    <n v="2004"/>
    <n v="13500"/>
    <n v="13500"/>
    <n v="1"/>
    <n v="506822.41"/>
    <n v="37.54240074074074"/>
    <n v="372950"/>
    <n v="27.62592592592593"/>
    <d v="2017-12-26T00:00:00"/>
    <d v="2032-12-31T00:00:00"/>
    <d v="2027-12-31T00:00:00"/>
    <n v="12.43835616438356"/>
    <n v="7.432876712328767"/>
    <s v="Modified Gross"/>
    <s v="None"/>
    <s v="None"/>
    <n v="6650000"/>
    <n v="492.5925925925926"/>
    <n v="0.0560827067669173"/>
    <m/>
    <d v="2020-07-27T00:00:00"/>
    <x v="628"/>
    <s v="CBRE"/>
    <x v="423"/>
    <s v="CA"/>
    <s v="Private"/>
    <m/>
    <m/>
    <n v="6783000"/>
    <n v="0.05498304584991891"/>
    <n v="0.9803921568627451"/>
    <n v="6783000"/>
    <n v="0.05498304584991891"/>
    <n v="0.001099660916998382"/>
    <s v="No"/>
    <d v="2020-04-01T00:00:00"/>
    <n v="117"/>
  </r>
  <r>
    <m/>
    <s v="USDA"/>
    <s v="Federal"/>
    <s v="Fee Simple"/>
    <m/>
    <s v="Sedalia"/>
    <s v="MO"/>
    <n v="0.9"/>
    <m/>
    <m/>
    <n v="7819"/>
    <s v=" "/>
    <m/>
    <s v=" "/>
    <n v="88362.40000000001"/>
    <n v="11.30098478066249"/>
    <m/>
    <m/>
    <m/>
    <s v=" "/>
    <s v=" "/>
    <m/>
    <m/>
    <m/>
    <n v="1018000"/>
    <n v="130.1956771965725"/>
    <n v="0.0868"/>
    <m/>
    <d v="2020-07-27T00:00:00"/>
    <x v="629"/>
    <s v="SJC; Powell"/>
    <x v="424"/>
    <s v="WA"/>
    <s v="Private"/>
    <m/>
    <m/>
    <m/>
    <s v=" "/>
    <s v=" "/>
    <m/>
    <s v=" "/>
    <s v=" "/>
    <s v=" "/>
    <m/>
    <s v=" "/>
  </r>
  <r>
    <m/>
    <s v="USPS"/>
    <s v="Federal"/>
    <s v="Fee Simple"/>
    <s v="508 Main Street"/>
    <s v="Tower"/>
    <s v="MN"/>
    <n v="0.16"/>
    <n v="1970"/>
    <n v="2160"/>
    <n v="2160"/>
    <n v="1"/>
    <n v="19008"/>
    <n v="8.800000000000001"/>
    <n v="16194"/>
    <n v="7.497222222222222"/>
    <d v="2019-11-01T00:00:00"/>
    <d v="2024-10-31T00:00:00"/>
    <d v="2020-04-29T00:00:00"/>
    <n v="4.276712328767124"/>
    <n v="-0.2328767123287671"/>
    <s v="Rider"/>
    <s v="Option"/>
    <s v="2, 5yr"/>
    <n v="208000"/>
    <n v="96.29629629629629"/>
    <n v="0.07785576923076923"/>
    <m/>
    <d v="2020-07-23T00:00:00"/>
    <x v="8"/>
    <s v="TCP; Harrison"/>
    <x v="0"/>
    <m/>
    <m/>
    <m/>
    <m/>
    <n v="215000"/>
    <n v="0.07532093023255813"/>
    <n v="0.9674418604651163"/>
    <n v="215000"/>
    <n v="0.07532093023255813"/>
    <n v="0.002534838998211095"/>
    <s v="No"/>
    <d v="2020-06-02T00:00:00"/>
    <n v="51"/>
  </r>
  <r>
    <m/>
    <s v="Multi"/>
    <s v="State"/>
    <s v="Fee Simple"/>
    <s v="1171 S Cameron St"/>
    <s v="Harrisburg"/>
    <s v="PA"/>
    <n v="4.51"/>
    <m/>
    <n v="121518"/>
    <n v="121518"/>
    <n v="1"/>
    <m/>
    <s v=" "/>
    <n v="1716875"/>
    <n v="14.12856531542652"/>
    <m/>
    <m/>
    <m/>
    <s v=" "/>
    <s v=" "/>
    <m/>
    <m/>
    <m/>
    <n v="20500000"/>
    <n v="168.6992873483764"/>
    <n v="0.08375"/>
    <m/>
    <d v="2020-07-22T00:00:00"/>
    <x v="630"/>
    <s v="CBRE; Gorman"/>
    <x v="1"/>
    <s v="IL"/>
    <s v="Private"/>
    <m/>
    <m/>
    <m/>
    <s v=" "/>
    <s v=" "/>
    <m/>
    <s v=" "/>
    <s v=" "/>
    <s v=" "/>
    <m/>
    <s v=" "/>
  </r>
  <r>
    <m/>
    <s v="FS"/>
    <s v="Federal"/>
    <s v="Fee Simple"/>
    <s v="3502 Hwy 30"/>
    <s v="La Grande"/>
    <s v="OR"/>
    <n v="1.76"/>
    <n v="1983"/>
    <n v="22560"/>
    <n v="22560"/>
    <n v="1"/>
    <m/>
    <s v=" "/>
    <m/>
    <s v=" "/>
    <m/>
    <m/>
    <m/>
    <s v=" "/>
    <s v=" "/>
    <m/>
    <m/>
    <m/>
    <n v="1850000"/>
    <n v="82.00354609929079"/>
    <s v=" "/>
    <m/>
    <d v="2020-07-21T00:00:00"/>
    <x v="631"/>
    <m/>
    <x v="425"/>
    <s v="OR"/>
    <s v="Private"/>
    <m/>
    <m/>
    <m/>
    <s v=" "/>
    <s v=" "/>
    <m/>
    <s v=" "/>
    <s v=" "/>
    <s v=" "/>
    <m/>
    <s v=" "/>
  </r>
  <r>
    <m/>
    <s v="USPS"/>
    <s v="Federal"/>
    <s v="Fee Simple"/>
    <s v="2442 State Route 67"/>
    <s v="Johnsonville"/>
    <s v="NY"/>
    <n v="0.41"/>
    <n v="1981"/>
    <n v="1120"/>
    <n v="1120"/>
    <n v="1"/>
    <m/>
    <s v=" "/>
    <m/>
    <s v=" "/>
    <m/>
    <m/>
    <m/>
    <s v=" "/>
    <s v=" "/>
    <m/>
    <m/>
    <m/>
    <n v="147000"/>
    <n v="131.25"/>
    <s v=" "/>
    <m/>
    <d v="2020-07-20T00:00:00"/>
    <x v="8"/>
    <m/>
    <x v="66"/>
    <s v="CA"/>
    <s v="Private"/>
    <m/>
    <m/>
    <m/>
    <s v=" "/>
    <s v=" "/>
    <m/>
    <s v=" "/>
    <s v=" "/>
    <s v=" "/>
    <m/>
    <s v=" "/>
  </r>
  <r>
    <m/>
    <s v="Nevada Division of Parole and Probation"/>
    <s v="State"/>
    <s v="Fee Simple"/>
    <s v="714 S 4th St"/>
    <s v="Las Vegas"/>
    <s v="NV"/>
    <n v="0.33"/>
    <n v="1970"/>
    <m/>
    <n v="7496"/>
    <s v=" "/>
    <m/>
    <s v=" "/>
    <m/>
    <s v=" "/>
    <m/>
    <m/>
    <m/>
    <s v=" "/>
    <s v=" "/>
    <m/>
    <m/>
    <m/>
    <n v="1300000"/>
    <n v="173.4258271077908"/>
    <s v=" "/>
    <m/>
    <d v="2020-07-16T00:00:00"/>
    <x v="8"/>
    <m/>
    <x v="0"/>
    <m/>
    <m/>
    <m/>
    <m/>
    <m/>
    <s v=" "/>
    <s v=" "/>
    <m/>
    <s v=" "/>
    <s v=" "/>
    <s v=" "/>
    <m/>
    <s v=" "/>
  </r>
  <r>
    <m/>
    <s v="VA/CBOC"/>
    <s v="Federal"/>
    <s v="Fee Simple"/>
    <s v="844 Waterbury Falls Dr"/>
    <s v="O'Fallon"/>
    <s v="MO"/>
    <n v="1.38"/>
    <n v="2007"/>
    <n v="15616"/>
    <n v="19984"/>
    <n v="0.7814251401120896"/>
    <m/>
    <s v=" "/>
    <n v="138920"/>
    <n v="6.951561248999199"/>
    <m/>
    <d v="2022-04-30T00:00:00"/>
    <d v="2017-04-30T00:00:00"/>
    <n v="1.791780821917808"/>
    <n v="-3.210958904109589"/>
    <s v="Full Service"/>
    <s v="None"/>
    <s v="None"/>
    <n v="1840000"/>
    <n v="92.07365892714171"/>
    <n v="0.0755"/>
    <m/>
    <d v="2020-07-15T00:00:00"/>
    <x v="632"/>
    <s v="Direct"/>
    <x v="426"/>
    <s v="MO"/>
    <s v="Private"/>
    <m/>
    <m/>
    <m/>
    <s v=" "/>
    <s v=" "/>
    <m/>
    <s v=" "/>
    <s v=" "/>
    <s v=" "/>
    <m/>
    <s v=" "/>
  </r>
  <r>
    <m/>
    <s v="DHS"/>
    <s v="State"/>
    <s v="Fee Simple"/>
    <s v="1642 W 59th St"/>
    <s v="Chicago"/>
    <s v="IL"/>
    <n v="1.1"/>
    <n v="2004"/>
    <n v="40000"/>
    <n v="40000"/>
    <n v="1"/>
    <m/>
    <s v=" "/>
    <n v="340000"/>
    <n v="8.5"/>
    <d v="2018-08-06T00:00:00"/>
    <d v="2021-10-31T00:00:00"/>
    <m/>
    <n v="1.301369863013699"/>
    <s v=" "/>
    <m/>
    <m/>
    <m/>
    <n v="3450000"/>
    <n v="86.25"/>
    <n v="0.09855072463768116"/>
    <m/>
    <d v="2020-07-13T00:00:00"/>
    <x v="633"/>
    <s v="Malek Massad"/>
    <x v="427"/>
    <s v="IL"/>
    <s v="Private"/>
    <s v="Andrian Mendoza"/>
    <m/>
    <m/>
    <s v=" "/>
    <s v=" "/>
    <m/>
    <s v=" "/>
    <s v=" "/>
    <s v=" "/>
    <m/>
    <s v=" "/>
  </r>
  <r>
    <m/>
    <s v="USPS"/>
    <s v="Federal"/>
    <s v="Fee Simple"/>
    <s v="575 Pinetown Rd"/>
    <s v="Fort Washington"/>
    <s v="PA"/>
    <n v="3.04"/>
    <n v="1977"/>
    <m/>
    <n v="28800"/>
    <s v=" "/>
    <m/>
    <s v=" "/>
    <m/>
    <s v=" "/>
    <m/>
    <d v="2023-08-31T00:00:00"/>
    <m/>
    <n v="3.142465753424657"/>
    <s v=" "/>
    <s v="Rider"/>
    <m/>
    <m/>
    <n v="3100000"/>
    <n v="107.6388888888889"/>
    <s v=" "/>
    <m/>
    <d v="2020-07-10T00:00:00"/>
    <x v="634"/>
    <m/>
    <x v="7"/>
    <s v="NY"/>
    <s v="Private"/>
    <m/>
    <m/>
    <m/>
    <s v=" "/>
    <s v=" "/>
    <m/>
    <s v=" "/>
    <s v=" "/>
    <s v=" "/>
    <m/>
    <s v=" "/>
  </r>
  <r>
    <s v="LGA50121"/>
    <s v="CBP"/>
    <s v="Federal"/>
    <s v="Fee Simple"/>
    <s v="157 Tradeport Dr or 4221 International Pky"/>
    <s v="Atlanta"/>
    <s v="GA"/>
    <n v="8.31"/>
    <n v="1999"/>
    <n v="60005"/>
    <n v="60005"/>
    <n v="1"/>
    <n v="1566433.088"/>
    <n v="26.10504271310725"/>
    <n v="1235652"/>
    <n v="20.59248395967003"/>
    <d v="2011-10-14T00:00:00"/>
    <d v="2026-10-13T00:00:00"/>
    <d v="2026-10-13T00:00:00"/>
    <n v="6.265753424657534"/>
    <n v="6.265753424657534"/>
    <s v="Modified Gross"/>
    <s v="None"/>
    <s v="None"/>
    <n v="20250000"/>
    <n v="337.4718773435547"/>
    <n v="0.06101985185185185"/>
    <m/>
    <d v="2020-07-09T00:00:00"/>
    <x v="56"/>
    <s v="C&amp;W; Trautvetter"/>
    <x v="42"/>
    <s v="VA"/>
    <s v="Private"/>
    <m/>
    <m/>
    <m/>
    <s v=" "/>
    <s v=" "/>
    <m/>
    <s v=" "/>
    <s v=" "/>
    <s v=" "/>
    <m/>
    <s v=" "/>
  </r>
  <r>
    <m/>
    <s v="USPS"/>
    <s v="Federal"/>
    <s v="Fee Simple"/>
    <s v="3751 W 6th St"/>
    <s v="Los Angeles"/>
    <s v="CA"/>
    <n v="0.79"/>
    <n v="1959"/>
    <n v="16854"/>
    <n v="16854"/>
    <n v="1"/>
    <m/>
    <s v=" "/>
    <m/>
    <s v=" "/>
    <m/>
    <m/>
    <m/>
    <s v=" "/>
    <s v=" "/>
    <m/>
    <m/>
    <m/>
    <n v="12500000"/>
    <n v="741.6637000118666"/>
    <s v=" "/>
    <m/>
    <d v="2020-07-01T00:00:00"/>
    <x v="635"/>
    <m/>
    <x v="428"/>
    <s v="CA"/>
    <s v="Private"/>
    <m/>
    <m/>
    <m/>
    <s v=" "/>
    <s v=" "/>
    <m/>
    <s v=" "/>
    <s v=" "/>
    <s v=" "/>
    <m/>
    <s v=" "/>
  </r>
  <r>
    <m/>
    <s v="Office of General Services"/>
    <s v="State"/>
    <s v="Fee Simple"/>
    <s v="93 Broadway"/>
    <s v="Albany"/>
    <s v="NY"/>
    <n v="1.5"/>
    <n v="1978"/>
    <n v="67000"/>
    <n v="67000"/>
    <n v="1"/>
    <m/>
    <s v=" "/>
    <m/>
    <s v=" "/>
    <d v="2017-11-01T00:00:00"/>
    <d v="2027-10-31T00:00:00"/>
    <m/>
    <n v="7.33972602739726"/>
    <s v=" "/>
    <s v="Full Service"/>
    <s v="None"/>
    <s v="None"/>
    <n v="4050000"/>
    <n v="60.44776119402985"/>
    <s v=" "/>
    <m/>
    <d v="2020-06-30T00:00:00"/>
    <x v="636"/>
    <s v="CBRE; Sperry"/>
    <x v="429"/>
    <s v="NY"/>
    <s v="Private"/>
    <s v="Jim DeFalco"/>
    <m/>
    <n v="4150000"/>
    <s v=" "/>
    <n v="0.9759036144578314"/>
    <n v="4150000"/>
    <s v=" "/>
    <s v=" "/>
    <s v="No"/>
    <d v="2019-05-22T00:00:00"/>
    <n v="405"/>
  </r>
  <r>
    <s v="LLA17180"/>
    <s v="SSA"/>
    <s v="Federal"/>
    <s v="Fee Simple"/>
    <s v="4332 Harding Blvd"/>
    <s v="Baton Rouge"/>
    <s v="LA"/>
    <n v="0.95"/>
    <n v="1998"/>
    <n v="9279"/>
    <n v="9279"/>
    <n v="1"/>
    <n v="248398.37"/>
    <n v="26.76995042569243"/>
    <n v="118000"/>
    <n v="12.71688759564608"/>
    <d v="2017-10-04T00:00:00"/>
    <d v="2027-10-03T00:00:00"/>
    <d v="2027-10-03T00:00:00"/>
    <n v="7.263013698630137"/>
    <n v="7.263013698630137"/>
    <s v="Modified Gross"/>
    <s v="TI Burns Off"/>
    <s v="None"/>
    <n v="1475000"/>
    <n v="158.961094945576"/>
    <n v="0.08"/>
    <m/>
    <d v="2020-06-30T00:00:00"/>
    <x v="511"/>
    <s v="SJC; Corriston"/>
    <x v="430"/>
    <s v="TX"/>
    <s v="Private"/>
    <m/>
    <s v="Welsh Properties"/>
    <n v="1671531"/>
    <n v="0.07059396445534065"/>
    <n v="0.882424555691758"/>
    <n v="1671561"/>
    <n v="0.07059269748456683"/>
    <n v="0.009407302515433175"/>
    <s v="Yes"/>
    <d v="2019-12-18T00:00:00"/>
    <n v="195"/>
  </r>
  <r>
    <m/>
    <s v="San Bernardino County Department of Human Services"/>
    <s v="Municipal"/>
    <s v="Fee Simple"/>
    <s v="265 E 4th St"/>
    <s v="San Bernardino"/>
    <s v="CA"/>
    <n v="4.62"/>
    <n v="2009"/>
    <m/>
    <n v="50082"/>
    <s v=" "/>
    <n v="880537"/>
    <s v=" "/>
    <n v="893080"/>
    <n v="17.83235493790184"/>
    <m/>
    <d v="2031-06-30T00:00:00"/>
    <d v="2031-06-30T00:00:00"/>
    <n v="11.01643835616438"/>
    <n v="11.01643835616438"/>
    <m/>
    <m/>
    <m/>
    <n v="13450000"/>
    <n v="268.5595623177988"/>
    <n v="0.0664"/>
    <m/>
    <d v="2020-06-26T00:00:00"/>
    <x v="230"/>
    <s v="Hanley"/>
    <x v="431"/>
    <s v="CA"/>
    <s v="Private"/>
    <m/>
    <m/>
    <m/>
    <s v=" "/>
    <s v=" "/>
    <m/>
    <s v=" "/>
    <s v=" "/>
    <s v=" "/>
    <m/>
    <s v=" "/>
  </r>
  <r>
    <m/>
    <s v="VA"/>
    <s v="Federal"/>
    <s v="Fee Simple"/>
    <s v="1009 Pennsylvania Ave"/>
    <s v="Ottumwa"/>
    <s v="IA"/>
    <m/>
    <n v="2009"/>
    <n v="7681"/>
    <n v="7681"/>
    <n v="1"/>
    <m/>
    <s v=" "/>
    <m/>
    <s v=" "/>
    <m/>
    <m/>
    <m/>
    <s v=" "/>
    <s v=" "/>
    <m/>
    <m/>
    <m/>
    <m/>
    <s v=" "/>
    <s v=" "/>
    <m/>
    <d v="2020-06-24T00:00:00"/>
    <x v="266"/>
    <s v="M&amp;M; Ficke"/>
    <x v="432"/>
    <s v="IA"/>
    <s v="Private"/>
    <m/>
    <m/>
    <m/>
    <s v=" "/>
    <s v=" "/>
    <m/>
    <s v=" "/>
    <s v=" "/>
    <s v=" "/>
    <d v="2020-01-06T00:00:00"/>
    <n v="170"/>
  </r>
  <r>
    <m/>
    <s v="VA"/>
    <s v="Federal"/>
    <s v="Fee Simple"/>
    <s v="500 Markaview Rd NW"/>
    <s v="Huntsville"/>
    <s v="AL"/>
    <m/>
    <n v="2013"/>
    <n v="55856"/>
    <n v="55856"/>
    <n v="1"/>
    <n v="2581716"/>
    <n v="46.22092523632197"/>
    <m/>
    <s v=" "/>
    <d v="2015-03-01T00:00:00"/>
    <d v="2035-02-28T00:00:00"/>
    <d v="2035-02-28T00:00:00"/>
    <n v="14.69315068493151"/>
    <n v="14.69315068493151"/>
    <s v="Modified Gross"/>
    <s v="Drops After 10"/>
    <s v="None"/>
    <n v="21839536"/>
    <n v="390.9971354912632"/>
    <s v=" "/>
    <n v="0.125"/>
    <d v="2020-06-23T00:00:00"/>
    <x v="637"/>
    <s v="CBRE;"/>
    <x v="433"/>
    <s v="MD"/>
    <s v="Private"/>
    <m/>
    <m/>
    <m/>
    <s v=" "/>
    <s v=" "/>
    <m/>
    <s v=" "/>
    <s v=" "/>
    <s v=" "/>
    <m/>
    <s v=" "/>
  </r>
  <r>
    <m/>
    <s v="VA"/>
    <s v="Federal"/>
    <s v="Fee Simple"/>
    <s v="15 Kingslan Ct"/>
    <s v="Savannah"/>
    <s v="GA"/>
    <m/>
    <n v="2016"/>
    <n v="69000"/>
    <n v="69000"/>
    <n v="1"/>
    <n v="2237920"/>
    <n v="32.4336231884058"/>
    <m/>
    <s v=" "/>
    <d v="2016-07-01T00:00:00"/>
    <d v="2036-06-30T00:00:00"/>
    <d v="2036-06-30T00:00:00"/>
    <n v="16.03013698630137"/>
    <n v="16.03013698630137"/>
    <s v="Modified Gross"/>
    <s v="Drops After 10"/>
    <s v="None"/>
    <n v="25577461"/>
    <n v="370.6878405797102"/>
    <s v=" "/>
    <n v="0.125"/>
    <d v="2020-06-23T00:00:00"/>
    <x v="637"/>
    <m/>
    <x v="433"/>
    <s v="MD"/>
    <s v="Private"/>
    <m/>
    <m/>
    <m/>
    <s v=" "/>
    <s v=" "/>
    <m/>
    <s v=" "/>
    <s v=" "/>
    <s v=" "/>
    <m/>
    <s v=" "/>
  </r>
  <r>
    <m/>
    <s v="VA/Vet Center"/>
    <s v="Federal"/>
    <s v="Condominium"/>
    <s v="1645 Downtown West Blvd"/>
    <s v="Knoxville"/>
    <s v="TN"/>
    <n v="8.66"/>
    <n v="1979"/>
    <n v="4198"/>
    <n v="4198"/>
    <n v="1"/>
    <m/>
    <s v=" "/>
    <n v="100050"/>
    <n v="23.83277751310148"/>
    <d v="2019-06-01T00:00:00"/>
    <d v="2029-05-31T00:00:00"/>
    <d v="2029-05-31T00:00:00"/>
    <n v="8.953424657534246"/>
    <n v="8.953424657534246"/>
    <s v="Modified Gross"/>
    <s v="None"/>
    <s v="None"/>
    <n v="1450000"/>
    <n v="345.4025726536446"/>
    <n v="0.06900000000000001"/>
    <m/>
    <d v="2020-06-19T00:00:00"/>
    <x v="638"/>
    <s v="M&amp;M; Mobin"/>
    <x v="116"/>
    <s v="KY"/>
    <s v="Private"/>
    <m/>
    <m/>
    <m/>
    <s v=" "/>
    <s v=" "/>
    <m/>
    <s v=" "/>
    <s v=" "/>
    <s v=" "/>
    <m/>
    <s v=" "/>
  </r>
  <r>
    <m/>
    <s v="Employment Security Commission of NC"/>
    <s v="State"/>
    <s v="Fee Simple"/>
    <s v="1900-1904 S Main St"/>
    <s v="Salisbury"/>
    <s v="NC"/>
    <n v="1.23"/>
    <n v="1988"/>
    <m/>
    <n v="10080"/>
    <s v=" "/>
    <n v="99112"/>
    <s v=" "/>
    <m/>
    <s v=" "/>
    <m/>
    <m/>
    <m/>
    <s v=" "/>
    <s v=" "/>
    <m/>
    <m/>
    <m/>
    <n v="925000"/>
    <n v="91.76587301587301"/>
    <s v=" "/>
    <m/>
    <d v="2020-06-19T00:00:00"/>
    <x v="8"/>
    <m/>
    <x v="0"/>
    <m/>
    <m/>
    <m/>
    <m/>
    <m/>
    <s v=" "/>
    <s v=" "/>
    <m/>
    <s v=" "/>
    <s v=" "/>
    <s v=" "/>
    <m/>
    <s v=" "/>
  </r>
  <r>
    <m/>
    <s v="Pardons"/>
    <s v="State"/>
    <s v="Fee Simple"/>
    <s v="2902 NE Loop 410"/>
    <s v="San Antonio"/>
    <s v="TX"/>
    <n v="2.61"/>
    <n v="1979"/>
    <n v="39688"/>
    <n v="39688"/>
    <n v="1"/>
    <m/>
    <s v=" "/>
    <m/>
    <s v=" "/>
    <m/>
    <m/>
    <m/>
    <s v=" "/>
    <s v=" "/>
    <m/>
    <m/>
    <m/>
    <n v="4850000"/>
    <n v="122.2031848417658"/>
    <s v=" "/>
    <m/>
    <d v="2020-06-16T00:00:00"/>
    <x v="639"/>
    <m/>
    <x v="434"/>
    <s v="TX"/>
    <s v="Private"/>
    <m/>
    <m/>
    <m/>
    <s v=" "/>
    <s v=" "/>
    <m/>
    <s v=" "/>
    <s v=" "/>
    <s v=" "/>
    <m/>
    <s v=" "/>
  </r>
  <r>
    <s v="LTN60243"/>
    <s v="SSA/Multi"/>
    <s v="Federal"/>
    <s v="Fee Simple"/>
    <s v="215-275 Cumberland Bend"/>
    <s v="Nashville"/>
    <s v="TN"/>
    <n v="8.199999999999999"/>
    <n v="1980"/>
    <n v="20692"/>
    <n v="96960"/>
    <n v="0.2134075907590759"/>
    <n v="383675.98"/>
    <n v="18.54223757974096"/>
    <m/>
    <s v=" "/>
    <d v="2020-04-30T00:00:00"/>
    <d v="2032-04-30T00:00:00"/>
    <d v="2030-04-30T00:00:00"/>
    <n v="11.9013698630137"/>
    <n v="9.898630136986302"/>
    <s v="Modified Gross"/>
    <s v="None"/>
    <s v="None"/>
    <n v="10850000"/>
    <n v="111.9018151815181"/>
    <s v=" "/>
    <m/>
    <d v="2020-06-08T00:00:00"/>
    <x v="640"/>
    <s v="The Stanton Group"/>
    <x v="435"/>
    <s v="TN"/>
    <s v="User/Owner"/>
    <s v="Anderson Co."/>
    <m/>
    <m/>
    <s v=" "/>
    <s v=" "/>
    <m/>
    <s v=" "/>
    <s v=" "/>
    <s v=" "/>
    <m/>
    <s v=" "/>
  </r>
  <r>
    <m/>
    <s v="Multi"/>
    <s v="State"/>
    <s v="Fee Simple"/>
    <s v="15313 SE 37th St"/>
    <s v="Bellevue"/>
    <s v="WA"/>
    <n v="1.71"/>
    <n v="1982"/>
    <n v="4756"/>
    <n v="4756"/>
    <n v="1"/>
    <m/>
    <s v=" "/>
    <m/>
    <s v=" "/>
    <m/>
    <m/>
    <m/>
    <s v=" "/>
    <s v=" "/>
    <m/>
    <m/>
    <m/>
    <n v="6100000"/>
    <n v="1282.590412111018"/>
    <s v=" "/>
    <m/>
    <d v="2020-06-04T00:00:00"/>
    <x v="8"/>
    <m/>
    <x v="436"/>
    <s v="WA"/>
    <s v="Private"/>
    <m/>
    <m/>
    <m/>
    <s v=" "/>
    <s v=" "/>
    <m/>
    <s v=" "/>
    <s v=" "/>
    <s v=" "/>
    <m/>
    <s v=" "/>
  </r>
  <r>
    <m/>
    <s v="OFS"/>
    <s v="State"/>
    <s v="Fee Simple"/>
    <s v="607 Tunica Dr W"/>
    <s v="Marksville"/>
    <s v="LA"/>
    <n v="1.33"/>
    <n v="2013"/>
    <n v="10976"/>
    <n v="10976"/>
    <n v="1"/>
    <m/>
    <s v=" "/>
    <n v="129775"/>
    <n v="11.82352405247813"/>
    <m/>
    <m/>
    <m/>
    <s v=" "/>
    <s v=" "/>
    <m/>
    <m/>
    <m/>
    <n v="1336180"/>
    <n v="121.7365160349854"/>
    <n v="0.09712389049379574"/>
    <m/>
    <d v="2020-06-04T00:00:00"/>
    <x v="579"/>
    <s v="Colliers; Ficke"/>
    <x v="399"/>
    <s v="AL"/>
    <s v="Private"/>
    <m/>
    <m/>
    <n v="1450000"/>
    <n v="0.0895"/>
    <n v="0.9215034482758621"/>
    <n v="1450000"/>
    <n v="0.0895"/>
    <n v="0.007623890493795749"/>
    <s v="No"/>
    <d v="2019-07-30T00:00:00"/>
    <n v="310"/>
  </r>
  <r>
    <m/>
    <s v="EQD"/>
    <s v="State"/>
    <s v="Fee Simple"/>
    <s v="508 Downing Pines Rd"/>
    <s v="West Monroe"/>
    <s v="LA"/>
    <n v="1.02"/>
    <n v="2014"/>
    <n v="7426"/>
    <n v="7426"/>
    <n v="1"/>
    <m/>
    <s v=" "/>
    <m/>
    <s v=" "/>
    <m/>
    <m/>
    <m/>
    <s v=" "/>
    <s v=" "/>
    <m/>
    <m/>
    <m/>
    <n v="1000700"/>
    <n v="134.7562617829249"/>
    <s v=" "/>
    <m/>
    <d v="2020-06-04T00:00:00"/>
    <x v="641"/>
    <m/>
    <x v="399"/>
    <s v="AL"/>
    <s v="Private"/>
    <m/>
    <m/>
    <m/>
    <s v=" "/>
    <s v=" "/>
    <m/>
    <s v=" "/>
    <s v=" "/>
    <s v=" "/>
    <m/>
    <s v=" "/>
  </r>
  <r>
    <m/>
    <s v="USPS"/>
    <s v="Federal"/>
    <s v="Fee Simple"/>
    <s v="2106 State Route 3"/>
    <s v="Cadyville"/>
    <s v="NY"/>
    <n v="0.368"/>
    <m/>
    <n v="1435"/>
    <n v="1435"/>
    <n v="1"/>
    <m/>
    <s v=" "/>
    <m/>
    <s v=" "/>
    <m/>
    <m/>
    <m/>
    <s v=" "/>
    <s v=" "/>
    <m/>
    <m/>
    <m/>
    <n v="206000"/>
    <n v="143.5540069686411"/>
    <s v=" "/>
    <m/>
    <d v="2020-06-03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4 Vaughn Main St E"/>
    <s v="Goodridge"/>
    <s v="MN"/>
    <n v="0.05"/>
    <n v="1988"/>
    <m/>
    <n v="1168"/>
    <s v=" "/>
    <n v="13000"/>
    <s v=" "/>
    <m/>
    <s v=" "/>
    <m/>
    <m/>
    <m/>
    <s v=" "/>
    <s v=" "/>
    <m/>
    <m/>
    <m/>
    <n v="143000"/>
    <n v="122.4315068493151"/>
    <s v=" "/>
    <m/>
    <d v="2020-06-03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204 Vaughn Main St E"/>
    <s v="Goodridge"/>
    <s v="MN"/>
    <n v="0.05"/>
    <n v="1988"/>
    <n v="1168"/>
    <n v="1168"/>
    <n v="1"/>
    <n v="13000"/>
    <n v="11.13013698630137"/>
    <n v="12626"/>
    <n v="10.80993150684932"/>
    <d v="2018-07-01T00:00:00"/>
    <d v="2023-06-30T00:00:00"/>
    <d v="2023-06-30T00:00:00"/>
    <n v="3.073972602739726"/>
    <n v="3.073972602739726"/>
    <s v="Rider"/>
    <s v="Option"/>
    <s v="1, 5 year"/>
    <n v="143000"/>
    <n v="122.4315068493151"/>
    <n v="0.08829370629370629"/>
    <m/>
    <d v="2020-06-03T00:00:00"/>
    <x v="642"/>
    <m/>
    <x v="0"/>
    <m/>
    <m/>
    <m/>
    <m/>
    <n v="155000"/>
    <n v="0.08145806451612904"/>
    <n v="0.9225806451612903"/>
    <n v="155000"/>
    <n v="0.08145806451612904"/>
    <n v="0.006835641777577256"/>
    <s v="No"/>
    <d v="2020-05-02T00:00:00"/>
    <n v="32"/>
  </r>
  <r>
    <m/>
    <s v="DCSS"/>
    <s v="State"/>
    <s v="Fee Simple"/>
    <s v="11120 International Dr"/>
    <s v="Rancho Cordova"/>
    <s v="CA"/>
    <n v="6.61"/>
    <n v="1999"/>
    <n v="90000"/>
    <n v="90000"/>
    <n v="1"/>
    <m/>
    <s v=" "/>
    <m/>
    <s v=" "/>
    <m/>
    <m/>
    <m/>
    <s v=" "/>
    <s v=" "/>
    <m/>
    <m/>
    <m/>
    <n v="18750000"/>
    <n v="208.3333333333333"/>
    <s v=" "/>
    <m/>
    <d v="2020-06-03T00:00:00"/>
    <x v="643"/>
    <s v="C&amp;W"/>
    <x v="437"/>
    <s v="CA"/>
    <s v="Private"/>
    <m/>
    <m/>
    <m/>
    <s v=" "/>
    <s v=" "/>
    <m/>
    <s v=" "/>
    <s v=" "/>
    <s v=" "/>
    <m/>
    <s v=" "/>
  </r>
  <r>
    <m/>
    <s v="VA"/>
    <s v="Federal"/>
    <s v="Fee Simple"/>
    <s v="2440 Century Pl SE"/>
    <s v="Hickory"/>
    <s v="NC"/>
    <n v="5.38"/>
    <n v="2009"/>
    <n v="25290"/>
    <n v="31290"/>
    <n v="0.8082454458293384"/>
    <m/>
    <s v=" "/>
    <n v="595063"/>
    <n v="19.01767337807606"/>
    <m/>
    <d v="2029-08-30T00:00:00"/>
    <d v="2024-08-30T00:00:00"/>
    <n v="9.252054794520548"/>
    <n v="4.249315068493151"/>
    <s v="Modified Gross"/>
    <s v="None"/>
    <s v="None"/>
    <n v="9185000"/>
    <n v="293.5442633429211"/>
    <n v="0.06478639085465433"/>
    <m/>
    <d v="2020-06-01T00:00:00"/>
    <x v="644"/>
    <m/>
    <x v="438"/>
    <s v="NC"/>
    <s v="Private"/>
    <m/>
    <m/>
    <m/>
    <s v=" "/>
    <s v=" "/>
    <m/>
    <s v=" "/>
    <s v=" "/>
    <s v=" "/>
    <m/>
    <s v=" "/>
  </r>
  <r>
    <m/>
    <s v="AntiTerrorism"/>
    <s v="State &amp; Federal"/>
    <s v="Fee Simple"/>
    <s v="16212 N 28th Ave"/>
    <s v="Phoenix"/>
    <s v="AZ"/>
    <n v="3.76"/>
    <n v="1980"/>
    <n v="61304"/>
    <n v="61304"/>
    <n v="1"/>
    <m/>
    <s v=" "/>
    <m/>
    <s v=" "/>
    <m/>
    <m/>
    <m/>
    <s v=" "/>
    <s v=" "/>
    <m/>
    <m/>
    <m/>
    <n v="7650000"/>
    <n v="124.7879420592457"/>
    <s v=" "/>
    <m/>
    <d v="2020-06-01T00:00:00"/>
    <x v="645"/>
    <s v="CBRE"/>
    <x v="1"/>
    <s v="IL"/>
    <s v="Private"/>
    <m/>
    <m/>
    <m/>
    <s v=" "/>
    <s v=" "/>
    <m/>
    <s v=" "/>
    <s v=" "/>
    <s v=" "/>
    <m/>
    <s v=" "/>
  </r>
  <r>
    <m/>
    <s v="BOCES"/>
    <s v="State"/>
    <s v="Fee Simple"/>
    <s v="175 Maple Ave "/>
    <s v="Cassadaga"/>
    <s v="NY"/>
    <n v="8"/>
    <n v="1959"/>
    <n v="43613"/>
    <n v="43613"/>
    <n v="1"/>
    <m/>
    <s v=" "/>
    <n v="202259"/>
    <n v="4.637585123701649"/>
    <m/>
    <d v="2029-06-30T00:00:00"/>
    <m/>
    <n v="9.093150684931507"/>
    <s v=" "/>
    <s v="NNN"/>
    <s v="2.70% every other year"/>
    <s v="2, 5yr"/>
    <n v="2400000"/>
    <n v="55.02946369201843"/>
    <n v="0.08427458333333333"/>
    <m/>
    <d v="2020-05-29T00:00:00"/>
    <x v="646"/>
    <s v="SJC; Ullrich "/>
    <x v="439"/>
    <m/>
    <s v="Private"/>
    <s v="SJC; Ullrich "/>
    <m/>
    <n v="2700000"/>
    <n v="0.07491074074074074"/>
    <n v="0.8888888888888888"/>
    <n v="2700000"/>
    <n v="0.07491074074074074"/>
    <n v="0.009363842592592597"/>
    <s v="No"/>
    <d v="2019-09-11T00:00:00"/>
    <n v="261"/>
  </r>
  <r>
    <m/>
    <s v="VA"/>
    <s v="Federal"/>
    <s v="Fee Simple"/>
    <s v="9625 N Thorneydale Rd"/>
    <s v="Tucson"/>
    <s v="AZ"/>
    <n v="2"/>
    <n v="2020"/>
    <n v="13988"/>
    <n v="13988"/>
    <n v="1"/>
    <m/>
    <s v=" "/>
    <m/>
    <s v=" "/>
    <m/>
    <m/>
    <m/>
    <s v=" "/>
    <s v=" "/>
    <m/>
    <m/>
    <m/>
    <n v="2007000"/>
    <n v="143.4801258221333"/>
    <s v=" "/>
    <m/>
    <d v="2020-05-29T00:00:00"/>
    <x v="8"/>
    <m/>
    <x v="440"/>
    <s v="CA"/>
    <s v="Private"/>
    <m/>
    <m/>
    <m/>
    <s v=" "/>
    <s v=" "/>
    <m/>
    <s v=" "/>
    <s v=" "/>
    <s v=" "/>
    <m/>
    <s v=" "/>
  </r>
  <r>
    <s v="LSC00520"/>
    <s v="DEA"/>
    <s v="Federal"/>
    <s v="Fee Simple"/>
    <s v="223 Stoneridge Dr"/>
    <s v="Columbia"/>
    <s v="SC"/>
    <n v="1.85"/>
    <n v="1981"/>
    <n v="19638"/>
    <n v="19638"/>
    <n v="1"/>
    <n v="587475.26"/>
    <n v="29.91522863835421"/>
    <m/>
    <s v=" "/>
    <d v="2020-08-05T00:00:00"/>
    <d v="2035-08-04T00:00:00"/>
    <d v="2030-08-05T00:00:00"/>
    <n v="15.19452054794521"/>
    <n v="10.19452054794521"/>
    <s v="Modified Gross"/>
    <s v="None"/>
    <s v="None"/>
    <m/>
    <s v=" "/>
    <s v=" "/>
    <m/>
    <d v="2020-05-28T00:00:00"/>
    <x v="103"/>
    <m/>
    <x v="54"/>
    <s v="NC"/>
    <s v="REIT"/>
    <m/>
    <m/>
    <m/>
    <s v=" "/>
    <s v=" "/>
    <m/>
    <s v=" "/>
    <s v=" "/>
    <s v=" "/>
    <m/>
    <s v=" "/>
  </r>
  <r>
    <m/>
    <s v="USPS"/>
    <s v="Federal"/>
    <s v="Fee Simple"/>
    <s v="25150 W Channon Dr"/>
    <s v="Channahon"/>
    <s v="IL"/>
    <n v="0.89"/>
    <m/>
    <n v="5663"/>
    <n v="5663"/>
    <n v="1"/>
    <m/>
    <s v=" "/>
    <m/>
    <s v=" "/>
    <m/>
    <m/>
    <m/>
    <s v=" "/>
    <s v=" "/>
    <m/>
    <m/>
    <m/>
    <n v="1510000"/>
    <n v="266.6431220201306"/>
    <s v=" "/>
    <m/>
    <d v="2020-05-26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727 Clinton Hwy"/>
    <s v="Knoxville"/>
    <s v="TN"/>
    <n v="1.86"/>
    <n v="1998"/>
    <n v="7125"/>
    <n v="7125"/>
    <n v="1"/>
    <m/>
    <s v=" "/>
    <m/>
    <s v=" "/>
    <m/>
    <m/>
    <m/>
    <s v=" "/>
    <s v=" "/>
    <m/>
    <m/>
    <m/>
    <n v="730000"/>
    <n v="102.4561403508772"/>
    <s v=" "/>
    <m/>
    <d v="2020-05-26T00:00:00"/>
    <x v="647"/>
    <m/>
    <x v="66"/>
    <s v="CA"/>
    <s v="Private"/>
    <m/>
    <m/>
    <m/>
    <s v=" "/>
    <s v=" "/>
    <m/>
    <s v=" "/>
    <s v=" "/>
    <s v=" "/>
    <m/>
    <s v=" "/>
  </r>
  <r>
    <s v="LWA06382"/>
    <s v="SSA"/>
    <s v="Federal"/>
    <s v="Fee Simple"/>
    <s v="9594 Mickelberry Rd NW"/>
    <s v="Silverdale"/>
    <s v="WA"/>
    <n v="0.93"/>
    <n v="2003"/>
    <n v="11644"/>
    <n v="11644"/>
    <n v="1"/>
    <n v="306990.04"/>
    <n v="26.36465475781518"/>
    <n v="208000"/>
    <n v="17.86327722432154"/>
    <d v="2019-03-17T00:00:00"/>
    <d v="2024-03-15T00:00:00"/>
    <d v="2024-03-15T00:00:00"/>
    <n v="3.805479452054795"/>
    <n v="3.805479452054795"/>
    <s v="Modified Gross"/>
    <s v="None"/>
    <s v="None"/>
    <n v="3140000"/>
    <n v="269.666781174854"/>
    <n v="0.06624203821656051"/>
    <m/>
    <d v="2020-05-26T00:00:00"/>
    <x v="648"/>
    <s v="KM; Schuler"/>
    <x v="441"/>
    <s v="WA"/>
    <s v="Private"/>
    <s v="KM; Liddell"/>
    <m/>
    <n v="3250000"/>
    <n v="0.064"/>
    <n v="0.9661538461538461"/>
    <n v="3250000"/>
    <n v="0.064"/>
    <n v="0.002242038216560507"/>
    <s v="No"/>
    <d v="2020-02-11T00:00:00"/>
    <n v="105"/>
  </r>
  <r>
    <s v="LMN16918"/>
    <s v="SSA"/>
    <s v="Federal"/>
    <s v="Fee Simple"/>
    <s v="3800 8th St N"/>
    <s v="Saint Cloud"/>
    <s v="MN"/>
    <n v="1.97"/>
    <n v="2003"/>
    <n v="11810"/>
    <n v="19145"/>
    <n v="0.6168712457560721"/>
    <n v="304994.35"/>
    <n v="25.82509314140558"/>
    <n v="184500"/>
    <n v="9.636980934969966"/>
    <d v="2003-08-04T00:00:00"/>
    <d v="2023-08-03T00:00:00"/>
    <d v="2013-08-04T00:00:00"/>
    <n v="3.2"/>
    <n v="-6.802739726027397"/>
    <s v="Modified Gross"/>
    <s v="None"/>
    <s v="None"/>
    <n v="2050000"/>
    <n v="107.0775659441107"/>
    <n v="0.09"/>
    <m/>
    <d v="2020-05-22T00:00:00"/>
    <x v="649"/>
    <m/>
    <x v="245"/>
    <s v="MN"/>
    <s v="Private"/>
    <m/>
    <m/>
    <m/>
    <s v=" "/>
    <s v=" "/>
    <m/>
    <s v=" "/>
    <s v=" "/>
    <s v=" "/>
    <m/>
    <s v=" "/>
  </r>
  <r>
    <m/>
    <s v="USDA"/>
    <s v="Federal"/>
    <s v="Fee Simple"/>
    <s v="8 Thatcher Ln"/>
    <s v="Wareham"/>
    <s v="MA"/>
    <n v="3.42"/>
    <n v="2018"/>
    <n v="8835"/>
    <n v="8835"/>
    <n v="1"/>
    <n v="220586"/>
    <n v="24.96728919071873"/>
    <n v="158464"/>
    <n v="17.93593661573288"/>
    <d v="2018-10-01T00:00:00"/>
    <d v="2028-09-30T00:00:00"/>
    <d v="2023-09-30T00:00:00"/>
    <n v="8.364383561643836"/>
    <n v="3.358904109589041"/>
    <s v="Modified Gross"/>
    <s v="10% shell every 5"/>
    <s v="2, 5 year"/>
    <n v="2058000"/>
    <n v="232.937181663837"/>
    <n v="0.07699902818270166"/>
    <m/>
    <d v="2020-05-22T00:00:00"/>
    <x v="308"/>
    <s v="Colliers; Ficke"/>
    <x v="442"/>
    <s v="CA"/>
    <s v="Private"/>
    <m/>
    <s v="Bob Clarke"/>
    <n v="2200000"/>
    <n v="0.0720290909090909"/>
    <n v="0.9354545454545454"/>
    <n v="2200000"/>
    <n v="0.0720290909090909"/>
    <n v="0.004969937273610753"/>
    <s v="No"/>
    <d v="2018-04-13T00:00:00"/>
    <n v="770"/>
  </r>
  <r>
    <m/>
    <s v="USPS"/>
    <s v="Federal"/>
    <s v="Fee Simple"/>
    <s v="205 E Glade St"/>
    <s v="Glade Spring"/>
    <s v="VA"/>
    <n v="0.248"/>
    <n v="1966"/>
    <n v="3112"/>
    <n v="3112"/>
    <n v="1"/>
    <m/>
    <s v=" "/>
    <m/>
    <s v=" "/>
    <m/>
    <m/>
    <m/>
    <s v=" "/>
    <s v=" "/>
    <m/>
    <m/>
    <m/>
    <n v="203000"/>
    <n v="65.23136246786632"/>
    <s v=" "/>
    <m/>
    <d v="2020-05-1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5-2859-2859 Pahoa Village Rd"/>
    <s v="Pahoa"/>
    <s v="HI"/>
    <n v="0.5242"/>
    <n v="1969"/>
    <n v="2536"/>
    <n v="2536"/>
    <n v="1"/>
    <m/>
    <s v=" "/>
    <m/>
    <s v=" "/>
    <m/>
    <m/>
    <m/>
    <s v=" "/>
    <s v=" "/>
    <m/>
    <m/>
    <m/>
    <n v="830000"/>
    <n v="327.2870662460568"/>
    <s v=" "/>
    <m/>
    <d v="2020-05-15T00:00:00"/>
    <x v="650"/>
    <m/>
    <x v="66"/>
    <s v="CA"/>
    <s v="Private"/>
    <m/>
    <m/>
    <m/>
    <s v=" "/>
    <s v=" "/>
    <m/>
    <s v=" "/>
    <s v=" "/>
    <s v=" "/>
    <m/>
    <s v=" "/>
  </r>
  <r>
    <s v="LNV02148"/>
    <s v="USCIS"/>
    <s v="Federal"/>
    <s v="Fee Simple"/>
    <s v="790 Sandhill Rd"/>
    <s v="Reno"/>
    <s v="NV"/>
    <n v="1.74"/>
    <n v="2010"/>
    <n v="18254"/>
    <n v="18254"/>
    <n v="1"/>
    <n v="899991.72"/>
    <n v="49.30380848033307"/>
    <n v="763200"/>
    <n v="41.81001424345349"/>
    <d v="2010-10-06T00:00:00"/>
    <d v="2025-10-05T00:00:00"/>
    <d v="2020-10-05T00:00:00"/>
    <n v="5.394520547945206"/>
    <n v="0.3917808219178082"/>
    <s v="Modified Gross"/>
    <s v="None"/>
    <s v="None"/>
    <n v="9100000"/>
    <n v="498.5208721376137"/>
    <n v="0.08386813186813187"/>
    <m/>
    <d v="2020-05-15T00:00:00"/>
    <x v="651"/>
    <s v="SVN; Prostinak"/>
    <x v="443"/>
    <s v="CA"/>
    <s v="Private"/>
    <m/>
    <m/>
    <n v="10600000"/>
    <n v="0.07199999999999999"/>
    <n v="0.8584905660377359"/>
    <n v="10600000"/>
    <n v="0.07199999999999999"/>
    <n v="0.01186813186813188"/>
    <s v="No"/>
    <d v="2019-06-10T00:00:00"/>
    <n v="340"/>
  </r>
  <r>
    <m/>
    <s v="USPS"/>
    <s v="Federal"/>
    <s v="Fee Simple"/>
    <s v="3900 Broadview Rd"/>
    <s v="Richfield"/>
    <s v="OH"/>
    <n v="0.64"/>
    <n v="1962"/>
    <n v="3028"/>
    <n v="3028"/>
    <n v="1"/>
    <n v="39364"/>
    <n v="13"/>
    <n v="33877"/>
    <n v="11.18791281373844"/>
    <d v="2017-12-01T00:00:00"/>
    <d v="2022-11-30T00:00:00"/>
    <d v="2022-11-30T00:00:00"/>
    <n v="2.545205479452055"/>
    <n v="2.545205479452055"/>
    <s v="Rider"/>
    <s v="Option"/>
    <s v="1, 5yr"/>
    <n v="420000"/>
    <n v="138.7054161162484"/>
    <n v="0.08065952380952381"/>
    <m/>
    <d v="2020-05-15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4006 Wellington St"/>
    <s v="Greenville"/>
    <s v="TX"/>
    <n v="2.76"/>
    <n v="2006"/>
    <n v="12000"/>
    <n v="12000"/>
    <n v="1"/>
    <m/>
    <s v=" "/>
    <m/>
    <s v=" "/>
    <m/>
    <m/>
    <m/>
    <s v=" "/>
    <s v=" "/>
    <m/>
    <m/>
    <m/>
    <m/>
    <s v=" "/>
    <s v=" "/>
    <m/>
    <d v="2020-05-14T00:00:00"/>
    <x v="652"/>
    <s v="Edge; Cobb"/>
    <x v="444"/>
    <s v="TX"/>
    <s v="Private"/>
    <m/>
    <m/>
    <n v="3200000"/>
    <s v=" "/>
    <s v=" "/>
    <n v="3200000"/>
    <s v=" "/>
    <s v=" "/>
    <s v="No"/>
    <d v="2020-02-01T00:00:00"/>
    <n v="103"/>
  </r>
  <r>
    <m/>
    <s v="USPS"/>
    <s v="Federal"/>
    <s v="Fee Simple"/>
    <s v="408 S Main St"/>
    <s v="Mc Gregor"/>
    <s v="TX"/>
    <n v="0.2321"/>
    <n v="1956"/>
    <n v="4174"/>
    <n v="4174"/>
    <n v="1"/>
    <m/>
    <s v=" "/>
    <m/>
    <s v=" "/>
    <m/>
    <m/>
    <m/>
    <s v=" "/>
    <s v=" "/>
    <m/>
    <m/>
    <m/>
    <m/>
    <s v=" "/>
    <s v=" "/>
    <m/>
    <d v="2020-05-14T00:00:00"/>
    <x v="8"/>
    <m/>
    <x v="66"/>
    <s v="CA"/>
    <s v="Private"/>
    <m/>
    <m/>
    <m/>
    <s v=" "/>
    <s v=" "/>
    <m/>
    <s v=" "/>
    <s v=" "/>
    <s v=" "/>
    <m/>
    <s v=" "/>
  </r>
  <r>
    <m/>
    <s v="WRCD"/>
    <s v="State/Federal"/>
    <s v="Fee Simple"/>
    <s v="3310 El Camino Ave"/>
    <s v="Sacramento"/>
    <s v="CA"/>
    <n v="5.31"/>
    <n v="1990"/>
    <n v="128285"/>
    <n v="128285"/>
    <n v="1"/>
    <m/>
    <s v=" "/>
    <n v="1416000"/>
    <n v="11.03792337373816"/>
    <m/>
    <d v="2025-05-31T00:00:00"/>
    <m/>
    <n v="5.049315068493151"/>
    <s v=" "/>
    <m/>
    <m/>
    <m/>
    <n v="17700000"/>
    <n v="137.974042171727"/>
    <n v="0.08"/>
    <m/>
    <d v="2020-05-14T00:00:00"/>
    <x v="653"/>
    <s v="Palmer Capital"/>
    <x v="445"/>
    <s v="CA"/>
    <s v="Private"/>
    <m/>
    <m/>
    <m/>
    <s v=" "/>
    <s v=" "/>
    <m/>
    <s v=" "/>
    <s v=" "/>
    <s v=" "/>
    <m/>
    <s v=" "/>
  </r>
  <r>
    <m/>
    <s v="DFCS"/>
    <s v="State"/>
    <s v="Fee Simple"/>
    <s v="6435 Shiloh Rd"/>
    <s v="Alpharetta"/>
    <s v="GA"/>
    <m/>
    <n v="1998"/>
    <n v="18425"/>
    <n v="54491"/>
    <n v="0.3381292323502964"/>
    <m/>
    <s v=" "/>
    <n v="658201"/>
    <n v="12.07907727881669"/>
    <m/>
    <d v="2029-12-31T00:00:00"/>
    <d v="2024-12-31T00:00:00"/>
    <n v="9.641095890410959"/>
    <n v="4.638356164383562"/>
    <s v="Full Service"/>
    <s v="Annually"/>
    <s v="None"/>
    <n v="7325000"/>
    <n v="134.4258684920446"/>
    <n v="0.08985679180887372"/>
    <m/>
    <d v="2020-05-13T00:00:00"/>
    <x v="654"/>
    <s v="NAI; Beak"/>
    <x v="446"/>
    <s v="MN"/>
    <s v="Private"/>
    <m/>
    <m/>
    <m/>
    <s v=" "/>
    <s v=" "/>
    <m/>
    <s v=" "/>
    <s v=" "/>
    <s v=" "/>
    <m/>
    <s v=" "/>
  </r>
  <r>
    <m/>
    <s v="FS"/>
    <s v="Federal"/>
    <s v="Fee Simple"/>
    <s v="11 Forest Ln"/>
    <s v="Santa Fe"/>
    <s v="NM"/>
    <n v="5"/>
    <n v="2009"/>
    <n v="24150"/>
    <n v="24150"/>
    <n v="1"/>
    <n v="519418"/>
    <n v="21.5079917184265"/>
    <n v="341241"/>
    <n v="14.13006211180124"/>
    <d v="2020-01-01T00:00:00"/>
    <d v="2025-01-01T00:00:00"/>
    <d v="2015-02-01T00:00:00"/>
    <n v="4.643835616438357"/>
    <n v="-5.279452054794521"/>
    <s v="Modified Gross"/>
    <s v="None"/>
    <s v="None"/>
    <n v="5166666.666666667"/>
    <n v="213.9406487232574"/>
    <n v="0.06604664516129032"/>
    <m/>
    <d v="2020-05-12T00:00:00"/>
    <x v="223"/>
    <s v="Direct"/>
    <x v="447"/>
    <s v="NY"/>
    <s v="Private"/>
    <m/>
    <m/>
    <n v="4875000"/>
    <n v="0.06999815384615385"/>
    <n v="1.05982905982906"/>
    <n v="4875000"/>
    <n v="0.06999815384615385"/>
    <n v="-0.003951508684863533"/>
    <s v="No"/>
    <m/>
    <s v=" "/>
  </r>
  <r>
    <s v="LSC36022"/>
    <s v="FBI"/>
    <s v="Federal"/>
    <s v="Fee Simple"/>
    <s v="151 Westpark Blvd"/>
    <s v="Columbia"/>
    <s v="SC"/>
    <n v="5.27"/>
    <n v="1997"/>
    <n v="49540"/>
    <n v="49540"/>
    <n v="1"/>
    <n v="447572.49"/>
    <n v="9.034567823980622"/>
    <n v="325000"/>
    <n v="6.560355268469923"/>
    <d v="1998-12-03T00:00:00"/>
    <d v="2018-12-02T00:00:00"/>
    <d v="2008-12-02T00:00:00"/>
    <n v="-1.441095890410959"/>
    <n v="-11.44657534246575"/>
    <s v="Modified Gross"/>
    <s v="None"/>
    <s v="None"/>
    <n v="3125000"/>
    <n v="63.08033911990311"/>
    <n v="0.104"/>
    <m/>
    <d v="2020-05-11T00:00:00"/>
    <x v="655"/>
    <s v="Colliers; Keenan"/>
    <x v="448"/>
    <s v="SC"/>
    <s v="Private"/>
    <s v="McGee"/>
    <m/>
    <n v="3250000"/>
    <n v="0.1"/>
    <n v="0.9615384615384616"/>
    <n v="3250000"/>
    <n v="0.1"/>
    <n v="0.00399999999999999"/>
    <s v="No"/>
    <d v="2020-02-10T00:00:00"/>
    <n v="91"/>
  </r>
  <r>
    <m/>
    <s v="USPS"/>
    <s v="Federal"/>
    <s v="Fee Simple"/>
    <s v="29 Main St"/>
    <s v="Bemus Point"/>
    <s v="NY"/>
    <n v="0.2676"/>
    <n v="1960"/>
    <n v="1957"/>
    <n v="1957"/>
    <n v="1"/>
    <m/>
    <s v=" "/>
    <m/>
    <s v=" "/>
    <m/>
    <m/>
    <m/>
    <s v=" "/>
    <s v=" "/>
    <m/>
    <m/>
    <m/>
    <n v="375000"/>
    <n v="191.6198262646909"/>
    <s v=" "/>
    <m/>
    <d v="2020-05-08T00:00:00"/>
    <x v="8"/>
    <m/>
    <x v="66"/>
    <s v="CA"/>
    <s v="Private"/>
    <m/>
    <m/>
    <m/>
    <s v=" "/>
    <s v=" "/>
    <m/>
    <s v=" "/>
    <s v=" "/>
    <s v=" "/>
    <m/>
    <s v=" "/>
  </r>
  <r>
    <s v="LIL16382"/>
    <s v="SSA"/>
    <s v="Federal"/>
    <s v="Fee Simple"/>
    <s v="104 S Halsted St"/>
    <s v="Chicago Heights"/>
    <s v="IL"/>
    <n v="0.52"/>
    <n v="2000"/>
    <n v="15283"/>
    <n v="15283"/>
    <n v="1"/>
    <n v="365093.56"/>
    <n v="23.88886736897206"/>
    <n v="262395"/>
    <n v="17.16907675194661"/>
    <d v="2000-06-01T00:00:00"/>
    <d v="2020-05-31T00:00:00"/>
    <d v="2010-05-31T00:00:00"/>
    <n v="0.0684931506849315"/>
    <n v="-9.93972602739726"/>
    <s v="Modified Gross"/>
    <s v="None"/>
    <s v="None"/>
    <n v="1575000"/>
    <n v="103.0556827847936"/>
    <n v="0.1666"/>
    <m/>
    <d v="2020-05-06T00:00:00"/>
    <x v="656"/>
    <m/>
    <x v="449"/>
    <s v="CA"/>
    <s v="Private"/>
    <m/>
    <m/>
    <m/>
    <s v=" "/>
    <s v=" "/>
    <m/>
    <s v=" "/>
    <s v=" "/>
    <s v=" "/>
    <m/>
    <s v=" "/>
  </r>
  <r>
    <m/>
    <s v="Health"/>
    <s v="State"/>
    <s v="Fee Simple"/>
    <s v="900 N University Blvd"/>
    <s v="Jacksonville"/>
    <s v="FL"/>
    <n v="3.4"/>
    <n v="1982"/>
    <n v="78500"/>
    <n v="78500"/>
    <n v="1"/>
    <m/>
    <s v=" "/>
    <m/>
    <s v=" "/>
    <m/>
    <m/>
    <m/>
    <s v=" "/>
    <s v=" "/>
    <m/>
    <m/>
    <m/>
    <n v="5800000"/>
    <n v="73.88535031847134"/>
    <s v=" "/>
    <m/>
    <d v="2020-05-06T00:00:00"/>
    <x v="657"/>
    <m/>
    <x v="62"/>
    <s v="IL"/>
    <s v="Private"/>
    <m/>
    <m/>
    <m/>
    <s v=" "/>
    <s v=" "/>
    <m/>
    <s v=" "/>
    <s v=" "/>
    <s v=" "/>
    <m/>
    <s v=" "/>
  </r>
  <r>
    <m/>
    <s v="FBI"/>
    <s v="Federal"/>
    <s v="Fee Simple"/>
    <s v="151 Westpark Blvd"/>
    <s v="Saint Andrews"/>
    <s v="SC"/>
    <n v="5.27"/>
    <n v="1998"/>
    <n v="49450"/>
    <n v="49450"/>
    <n v="1"/>
    <m/>
    <s v=" "/>
    <m/>
    <s v=" "/>
    <m/>
    <d v="2022-03-31T00:00:00"/>
    <d v="2017-03-31T00:00:00"/>
    <n v="1.901369863013699"/>
    <n v="-3.101369863013699"/>
    <s v="Modified Gross"/>
    <m/>
    <m/>
    <n v="3125000"/>
    <n v="63.19514661274014"/>
    <s v=" "/>
    <m/>
    <d v="2020-05-06T00:00:00"/>
    <x v="658"/>
    <s v="Colliers"/>
    <x v="450"/>
    <s v="NC"/>
    <s v="Private"/>
    <m/>
    <m/>
    <n v="3250000"/>
    <s v=" "/>
    <n v="0.9615384615384616"/>
    <n v="3250000"/>
    <s v=" "/>
    <s v=" "/>
    <s v="No"/>
    <d v="2020-02-05T00:00:00"/>
    <n v="91"/>
  </r>
  <r>
    <m/>
    <s v="USPS"/>
    <s v="Federal"/>
    <s v="Fee Simple"/>
    <s v="1340 S Port Ave"/>
    <s v="Corpus Christi"/>
    <s v="TX"/>
    <n v="0.59"/>
    <n v="1962"/>
    <n v="29706"/>
    <n v="29706"/>
    <n v="1"/>
    <m/>
    <s v=" "/>
    <m/>
    <s v=" "/>
    <m/>
    <m/>
    <m/>
    <s v=" "/>
    <s v=" "/>
    <m/>
    <m/>
    <m/>
    <n v="1250000"/>
    <n v="42.07904127112368"/>
    <s v=" "/>
    <m/>
    <d v="2020-05-05T00:00:00"/>
    <x v="8"/>
    <s v="Matthews"/>
    <x v="451"/>
    <s v="CA"/>
    <s v="Private"/>
    <m/>
    <m/>
    <m/>
    <s v=" "/>
    <s v=" "/>
    <m/>
    <s v=" "/>
    <s v=" "/>
    <s v=" "/>
    <m/>
    <s v=" "/>
  </r>
  <r>
    <m/>
    <s v="USPS"/>
    <s v="Federal"/>
    <s v="Fee Simple"/>
    <s v="100 Sooner Dr"/>
    <s v="Burns Flat"/>
    <s v="OK"/>
    <n v="0.5600000000000001"/>
    <n v="1981"/>
    <n v="3360"/>
    <n v="3360"/>
    <n v="1"/>
    <n v="42500"/>
    <n v="12.64880952380952"/>
    <n v="37896"/>
    <n v="11.27857142857143"/>
    <d v="2019-02-01T00:00:00"/>
    <d v="2024-01-31T00:00:00"/>
    <d v="2024-01-31T00:00:00"/>
    <n v="3.745205479452055"/>
    <n v="3.745205479452055"/>
    <s v="Rider"/>
    <s v="None"/>
    <s v="None"/>
    <n v="492155.8441558442"/>
    <n v="146.4749536178108"/>
    <n v="0.077"/>
    <m/>
    <d v="2020-05-04T00:00:00"/>
    <x v="659"/>
    <s v="TCP; Harrison"/>
    <x v="0"/>
    <m/>
    <m/>
    <m/>
    <m/>
    <n v="495000"/>
    <n v="0.07655757575757575"/>
    <n v="0.994254230617867"/>
    <n v="495000"/>
    <n v="0.07655757575757575"/>
    <n v="0.0004424242424242442"/>
    <s v="No"/>
    <d v="2020-02-27T00:00:00"/>
    <n v="67"/>
  </r>
  <r>
    <m/>
    <s v="Indiana American Water"/>
    <s v="State"/>
    <s v="Fee Simple"/>
    <s v="153 N Emerson Ave"/>
    <s v="Greenwood"/>
    <s v="IN"/>
    <n v="5.4"/>
    <n v="2017"/>
    <n v="23625"/>
    <n v="23625"/>
    <n v="1"/>
    <m/>
    <s v=" "/>
    <m/>
    <s v=" "/>
    <d v="2017-02-01T00:00:00"/>
    <d v="2032-01-31T00:00:00"/>
    <d v="2032-01-31T00:00:00"/>
    <n v="11.75068493150685"/>
    <n v="11.75068493150685"/>
    <s v="NNN"/>
    <s v="2% annually"/>
    <s v="None"/>
    <n v="7150000"/>
    <n v="302.6455026455026"/>
    <s v=" "/>
    <m/>
    <d v="2020-05-04T00:00:00"/>
    <x v="660"/>
    <s v="Lee; Beals"/>
    <x v="452"/>
    <s v="IN"/>
    <s v="Private"/>
    <s v="M&amp;M; Klink"/>
    <m/>
    <m/>
    <s v=" "/>
    <s v=" "/>
    <m/>
    <s v=" "/>
    <s v=" "/>
    <s v=" "/>
    <d v="2019-11-07T00:00:00"/>
    <n v="179"/>
  </r>
  <r>
    <s v="LIN17944"/>
    <s v="FBI"/>
    <s v="Federal"/>
    <s v="Fee Simple"/>
    <s v="21 Wabash Ave"/>
    <s v="Terre Haute"/>
    <s v="IN"/>
    <n v="0.8100000000000001"/>
    <n v="2009"/>
    <n v="3575"/>
    <n v="3575"/>
    <n v="1"/>
    <n v="150778"/>
    <n v="42.17566433566434"/>
    <n v="115994"/>
    <n v="32.44587412587413"/>
    <d v="2009-06-01T00:00:00"/>
    <d v="2024-05-31T00:00:00"/>
    <d v="2019-05-31T00:00:00"/>
    <n v="4.076712328767123"/>
    <n v="-0.9287671232876712"/>
    <s v="Modified Gross"/>
    <s v="None"/>
    <s v="None"/>
    <n v="1340000"/>
    <n v="374.8251748251748"/>
    <n v="0.08656268656716418"/>
    <m/>
    <d v="2020-05-04T00:00:00"/>
    <x v="661"/>
    <s v="SJC; Briggs"/>
    <x v="453"/>
    <s v="MT"/>
    <s v="Private"/>
    <s v="BW; Wells"/>
    <s v="TCT Construction"/>
    <n v="1496695"/>
    <n v="0.07750009186908488"/>
    <n v="0.8953059908665426"/>
    <n v="1496695"/>
    <n v="0.07750009186908488"/>
    <n v="0.009062594698079296"/>
    <s v="No"/>
    <d v="2019-11-16T00:00:00"/>
    <n v="170"/>
  </r>
  <r>
    <m/>
    <s v="USPS"/>
    <s v="Federal"/>
    <s v="Fee Simple"/>
    <s v="200 S Benton St"/>
    <s v="New Athens"/>
    <s v="IL"/>
    <n v="0.1912"/>
    <n v="1965"/>
    <n v="2173"/>
    <n v="2173"/>
    <n v="1"/>
    <m/>
    <s v=" "/>
    <m/>
    <s v=" "/>
    <m/>
    <m/>
    <m/>
    <s v=" "/>
    <s v=" "/>
    <m/>
    <m/>
    <m/>
    <n v="300000"/>
    <n v="138.0579843534285"/>
    <s v=" "/>
    <m/>
    <d v="2020-05-03T00:00:00"/>
    <x v="8"/>
    <m/>
    <x v="66"/>
    <s v="CA"/>
    <s v="Private"/>
    <m/>
    <m/>
    <m/>
    <s v=" "/>
    <s v=" "/>
    <m/>
    <s v=" "/>
    <s v=" "/>
    <s v=" "/>
    <m/>
    <s v=" "/>
  </r>
  <r>
    <s v="LMT14554"/>
    <s v="USDA"/>
    <s v="Federal"/>
    <s v="Fee Simple"/>
    <s v="3550 Mullan Rd"/>
    <s v="Missoula"/>
    <s v="MT"/>
    <n v="1.86"/>
    <n v="1977"/>
    <n v="8310"/>
    <n v="13300"/>
    <n v="0.6248120300751879"/>
    <n v="218280"/>
    <n v="26.26714801444043"/>
    <m/>
    <s v=" "/>
    <d v="2012-11-01T00:00:00"/>
    <d v="2022-10-31T00:00:00"/>
    <d v="2017-10-31T00:00:00"/>
    <n v="2.501369863013699"/>
    <n v="-2.501369863013699"/>
    <s v="Modified Gross"/>
    <s v="None"/>
    <s v="None"/>
    <n v="3025750"/>
    <n v="227.5"/>
    <s v=" "/>
    <m/>
    <d v="2020-05-01T00:00:00"/>
    <x v="662"/>
    <m/>
    <x v="454"/>
    <s v="MT"/>
    <s v="Private"/>
    <m/>
    <m/>
    <m/>
    <s v=" "/>
    <s v=" "/>
    <m/>
    <s v=" "/>
    <s v=" "/>
    <s v=" "/>
    <m/>
    <s v=" "/>
  </r>
  <r>
    <m/>
    <s v="VA"/>
    <s v="Federal"/>
    <s v="Fee Simple"/>
    <s v="1601 Concord Ave"/>
    <s v="Chico"/>
    <s v="CA"/>
    <n v="7.08"/>
    <n v="2019"/>
    <n v="51647"/>
    <n v="51647"/>
    <n v="1"/>
    <n v="3172357"/>
    <n v="61.42383875152478"/>
    <m/>
    <s v=" "/>
    <d v="2019-07-01T00:00:00"/>
    <d v="2034-06-30T00:00:00"/>
    <d v="2034-06-30T00:00:00"/>
    <n v="14.17260273972603"/>
    <n v="14.17260273972603"/>
    <s v="Modified Gross"/>
    <s v="None"/>
    <s v="None"/>
    <n v="33080000"/>
    <n v="640.5018684531532"/>
    <s v=" "/>
    <m/>
    <d v="2020-05-01T00:00:00"/>
    <x v="663"/>
    <s v="C&amp;W; Truatvetter"/>
    <x v="3"/>
    <s v="DC"/>
    <s v="REIT"/>
    <m/>
    <m/>
    <m/>
    <s v=" "/>
    <s v=" "/>
    <m/>
    <s v=" "/>
    <s v=" "/>
    <s v=" "/>
    <m/>
    <s v=" "/>
  </r>
  <r>
    <m/>
    <s v="DSD"/>
    <s v="Federal"/>
    <s v="Fee Simple"/>
    <s v="651 Foxcroft Ave"/>
    <s v="Martinsburg"/>
    <s v="WV"/>
    <n v="1.48"/>
    <m/>
    <n v="3498"/>
    <n v="9684"/>
    <n v="0.3612143742255267"/>
    <m/>
    <s v=" "/>
    <m/>
    <s v=" "/>
    <d v="2020-02-01T00:00:00"/>
    <d v="2035-02-28T00:00:00"/>
    <d v="2030-02-28T00:00:00"/>
    <n v="14.83835616438356"/>
    <n v="9.835616438356164"/>
    <s v="Modified Gross"/>
    <s v="None"/>
    <s v="None"/>
    <n v="1400000"/>
    <n v="144.5683601817431"/>
    <s v=" "/>
    <m/>
    <d v="2020-05-01T00:00:00"/>
    <x v="664"/>
    <m/>
    <x v="455"/>
    <s v="WV"/>
    <s v="User/Owner"/>
    <m/>
    <m/>
    <m/>
    <s v=" "/>
    <s v=" "/>
    <m/>
    <s v=" "/>
    <s v=" "/>
    <s v=" "/>
    <m/>
    <s v=" "/>
  </r>
  <r>
    <s v="LAL00550"/>
    <s v="DHS"/>
    <s v="Federal"/>
    <s v="Fee Simple"/>
    <s v="107 Frankfurt Cir"/>
    <s v="Birmingham"/>
    <s v="AL"/>
    <n v="2.84"/>
    <s v="2007 | 2019"/>
    <n v="12470"/>
    <n v="12470"/>
    <n v="1"/>
    <n v="446997"/>
    <n v="35.8457898957498"/>
    <n v="369114"/>
    <n v="29.60016038492382"/>
    <d v="2019-11-01T00:00:00"/>
    <d v="2039-10-31T00:00:00"/>
    <d v="2034-11-01T00:00:00"/>
    <n v="19.51506849315069"/>
    <n v="14.51506849315068"/>
    <s v="Modified Gross"/>
    <s v="$138k TI Burnoff"/>
    <s v="None"/>
    <n v="5213612"/>
    <n v="418.0923817161187"/>
    <n v="0.07079813380819286"/>
    <m/>
    <d v="2020-04-30T00:00:00"/>
    <x v="665"/>
    <m/>
    <x v="54"/>
    <s v="NC"/>
    <s v="REIT"/>
    <m/>
    <m/>
    <m/>
    <s v=" "/>
    <s v=" "/>
    <m/>
    <s v=" "/>
    <s v=" "/>
    <s v=" "/>
    <m/>
    <s v=" "/>
  </r>
  <r>
    <s v="LCA03054"/>
    <s v="SSA"/>
    <s v="Federal"/>
    <s v="Fee Simple"/>
    <s v="1521 N Carpenter Rd"/>
    <s v="Modesto"/>
    <s v="CA"/>
    <n v="2.29"/>
    <n v="2003"/>
    <n v="22352"/>
    <n v="24587"/>
    <n v="0.909098303981779"/>
    <n v="556379.48"/>
    <n v="24.89170901932713"/>
    <n v="282100.98"/>
    <n v="11.47358278765201"/>
    <d v="2013-11-06T00:00:00"/>
    <d v="2028-11-05T00:00:00"/>
    <d v="2023-11-06T00:00:00"/>
    <n v="8.531506849315068"/>
    <n v="3.528767123287671"/>
    <s v="Modified Gross"/>
    <s v="None"/>
    <s v="None"/>
    <n v="3975000"/>
    <n v="161.6708016431448"/>
    <n v="0.07096880000000001"/>
    <m/>
    <d v="2020-04-27T00:00:00"/>
    <x v="666"/>
    <s v="Colliers; Bradley"/>
    <x v="456"/>
    <s v="CA"/>
    <s v="Private"/>
    <m/>
    <m/>
    <m/>
    <s v=" "/>
    <s v=" "/>
    <m/>
    <s v=" "/>
    <s v=" "/>
    <s v=" "/>
    <d v="2020-01-06T00:00:00"/>
    <n v="112"/>
  </r>
  <r>
    <m/>
    <s v="DCSS"/>
    <s v="State"/>
    <s v="Fee Simple"/>
    <s v="11150 International Dr"/>
    <s v="Rancho Cordova"/>
    <s v="CA"/>
    <n v="6.62"/>
    <n v="1999"/>
    <n v="90111"/>
    <n v="90111"/>
    <n v="1"/>
    <m/>
    <s v=" "/>
    <n v="1557118.08"/>
    <n v="17.28"/>
    <m/>
    <d v="2022-03-31T00:00:00"/>
    <m/>
    <n v="1.931506849315068"/>
    <s v=" "/>
    <s v="Full Service"/>
    <s v="$0.60 per SF annually"/>
    <s v="None"/>
    <n v="21650000"/>
    <n v="240.2592358313636"/>
    <n v="0.0719223131639723"/>
    <m/>
    <d v="2020-04-25T00:00:00"/>
    <x v="667"/>
    <s v="C&amp;W; Partington &amp; Thomas"/>
    <x v="437"/>
    <s v="CA"/>
    <s v="Private"/>
    <m/>
    <m/>
    <m/>
    <s v=" "/>
    <s v=" "/>
    <m/>
    <s v=" "/>
    <s v=" "/>
    <s v=" "/>
    <m/>
    <s v=" "/>
  </r>
  <r>
    <m/>
    <s v="Alabama Department of Human Resources"/>
    <s v="State"/>
    <s v="Fee Simple"/>
    <s v="202 Dean Buttram Senior Ave"/>
    <s v="Centre"/>
    <s v="AL"/>
    <n v="1.45"/>
    <n v="2005"/>
    <m/>
    <n v="10360"/>
    <s v=" "/>
    <n v="56325"/>
    <s v=" "/>
    <m/>
    <s v=" "/>
    <m/>
    <m/>
    <m/>
    <s v=" "/>
    <s v=" "/>
    <m/>
    <m/>
    <m/>
    <m/>
    <s v=" "/>
    <s v=" "/>
    <m/>
    <d v="2020-04-22T00:00:00"/>
    <x v="8"/>
    <m/>
    <x v="0"/>
    <m/>
    <m/>
    <m/>
    <m/>
    <m/>
    <s v=" "/>
    <s v=" "/>
    <m/>
    <s v=" "/>
    <s v=" "/>
    <s v=" "/>
    <m/>
    <s v=" "/>
  </r>
  <r>
    <m/>
    <s v="Army"/>
    <s v="Federal"/>
    <s v="Fee Simple"/>
    <s v="24 Vardy St"/>
    <s v="Greenville"/>
    <s v="SC"/>
    <n v="2.04"/>
    <n v="1960"/>
    <n v="30000"/>
    <n v="30000"/>
    <n v="1"/>
    <m/>
    <s v=" "/>
    <m/>
    <s v=" "/>
    <m/>
    <m/>
    <m/>
    <s v=" "/>
    <s v=" "/>
    <m/>
    <m/>
    <m/>
    <n v="6257930"/>
    <n v="208.5976666666667"/>
    <s v=" "/>
    <m/>
    <d v="2020-04-21T00:00:00"/>
    <x v="8"/>
    <m/>
    <x v="457"/>
    <s v="VA"/>
    <s v="Private"/>
    <m/>
    <m/>
    <m/>
    <s v=" "/>
    <s v=" "/>
    <m/>
    <s v=" "/>
    <s v=" "/>
    <s v=" "/>
    <m/>
    <s v=" "/>
  </r>
  <r>
    <m/>
    <s v="USPS"/>
    <s v="Federal"/>
    <s v="Fee Simple"/>
    <s v="303 Holly Cir"/>
    <s v="Clarksville"/>
    <s v="TN"/>
    <n v="0.74"/>
    <n v="1979"/>
    <n v="5270"/>
    <n v="5270"/>
    <n v="1"/>
    <m/>
    <s v=" "/>
    <m/>
    <s v=" "/>
    <d v="2019-05-01T00:00:00"/>
    <d v="2024-04-30T00:00:00"/>
    <d v="2024-04-30T00:00:00"/>
    <n v="4.03013698630137"/>
    <n v="4.03013698630137"/>
    <s v="Rider"/>
    <s v="None"/>
    <s v="None"/>
    <n v="480000"/>
    <n v="91.08159392789373"/>
    <s v=" "/>
    <m/>
    <d v="2020-04-20T00:00:00"/>
    <x v="668"/>
    <s v="M&amp;M; Johnson"/>
    <x v="66"/>
    <s v="CA"/>
    <s v="Private"/>
    <m/>
    <m/>
    <n v="500000"/>
    <s v=" "/>
    <n v="0.96"/>
    <n v="500000"/>
    <s v=" "/>
    <s v=" "/>
    <s v="No"/>
    <d v="2020-01-03T00:00:00"/>
    <n v="108"/>
  </r>
  <r>
    <m/>
    <s v="Multi"/>
    <s v="State"/>
    <s v="Fee Simple"/>
    <s v="2970 Cottage Hill Rd"/>
    <s v="Mobile"/>
    <s v="AL"/>
    <m/>
    <n v="1978"/>
    <m/>
    <n v="123192"/>
    <s v=" "/>
    <m/>
    <s v=" "/>
    <n v="866875"/>
    <n v="7.036779985713358"/>
    <m/>
    <d v="2029-07-31T00:00:00"/>
    <m/>
    <n v="9.293150684931506"/>
    <s v=" "/>
    <m/>
    <m/>
    <m/>
    <n v="9165000"/>
    <n v="74.39606467952464"/>
    <n v="0.09458537915984724"/>
    <m/>
    <d v="2020-04-17T00:00:00"/>
    <x v="669"/>
    <s v="Stirling"/>
    <x v="62"/>
    <s v="IL"/>
    <s v="Private"/>
    <m/>
    <m/>
    <m/>
    <s v=" "/>
    <s v=" "/>
    <m/>
    <s v=" "/>
    <s v=" "/>
    <s v=" "/>
    <m/>
    <s v=" "/>
  </r>
  <r>
    <s v="LAZ00492"/>
    <s v="FBI"/>
    <s v="Federal"/>
    <s v="Fee Simple"/>
    <s v="94 S Acoma Blvd"/>
    <s v="Lake Havasu City"/>
    <s v="AZ"/>
    <n v="1.72"/>
    <n v="2002"/>
    <n v="5137"/>
    <n v="24210"/>
    <n v="0.2121850475010326"/>
    <n v="200753.96"/>
    <n v="39.08"/>
    <n v="315971"/>
    <n v="13.05125980999587"/>
    <d v="2019-11-10T00:00:00"/>
    <d v="2034-11-09T00:00:00"/>
    <d v="2029-11-10T00:00:00"/>
    <n v="14.57808219178082"/>
    <n v="9.578082191780823"/>
    <s v="Modified Gross"/>
    <s v="None"/>
    <s v="None"/>
    <n v="5325000"/>
    <n v="219.9504337050805"/>
    <n v="0.05933727699530517"/>
    <m/>
    <d v="2020-04-15T00:00:00"/>
    <x v="670"/>
    <s v="Tapscott"/>
    <x v="458"/>
    <s v="AZ"/>
    <s v="Private"/>
    <s v="Shuffler"/>
    <m/>
    <n v="5650000"/>
    <n v="0.05592407079646017"/>
    <n v="0.9424778761061947"/>
    <n v="5650000"/>
    <n v="0.05592407079646017"/>
    <n v="0.003413206198844991"/>
    <s v="No"/>
    <d v="2019-12-10T00:00:00"/>
    <n v="127"/>
  </r>
  <r>
    <m/>
    <s v="D' of Ed."/>
    <s v="State"/>
    <s v="Condominium"/>
    <s v="200 E 95th St"/>
    <s v="New York"/>
    <s v="NY"/>
    <m/>
    <m/>
    <n v="23000"/>
    <n v="23000"/>
    <n v="1"/>
    <m/>
    <s v=" "/>
    <m/>
    <s v=" "/>
    <m/>
    <d v="2033-12-31T00:00:00"/>
    <m/>
    <n v="13.72054794520548"/>
    <s v=" "/>
    <m/>
    <m/>
    <m/>
    <n v="28708000"/>
    <n v="1248.173913043478"/>
    <s v=" "/>
    <m/>
    <d v="2020-04-15T00:00:00"/>
    <x v="8"/>
    <m/>
    <x v="459"/>
    <m/>
    <s v="Cross-Border"/>
    <m/>
    <m/>
    <m/>
    <s v=" "/>
    <s v=" "/>
    <m/>
    <s v=" "/>
    <s v=" "/>
    <s v=" "/>
    <m/>
    <s v=" "/>
  </r>
  <r>
    <m/>
    <s v="SS/AOC"/>
    <s v="Federal"/>
    <s v="Fee Simple"/>
    <s v="325 S 1st Ave"/>
    <s v="Sioux Falls"/>
    <s v="SD"/>
    <n v="0.98"/>
    <n v="2006"/>
    <m/>
    <n v="65129"/>
    <s v=" "/>
    <n v="1931279"/>
    <s v=" "/>
    <n v="1491696"/>
    <n v="22.90371416726804"/>
    <m/>
    <d v="2022-06-30T00:00:00"/>
    <d v="2022-06-30T00:00:00"/>
    <n v="2.208219178082192"/>
    <n v="2.208219178082192"/>
    <s v="Modified Gross"/>
    <s v="None"/>
    <s v="None"/>
    <n v="21625000"/>
    <n v="332.0333491992814"/>
    <n v="0.06898016184971098"/>
    <m/>
    <d v="2020-04-15T00:00:00"/>
    <x v="671"/>
    <s v="Newmark;"/>
    <x v="1"/>
    <s v="IL"/>
    <s v="Private"/>
    <m/>
    <m/>
    <m/>
    <s v=" "/>
    <s v=" "/>
    <m/>
    <s v=" "/>
    <s v=" "/>
    <s v=" "/>
    <m/>
    <s v=" "/>
  </r>
  <r>
    <m/>
    <s v="San Diego State Univ. Research Foundation"/>
    <s v="State"/>
    <s v="Fee Simple"/>
    <s v="4275-4283 El Cajon Blvd"/>
    <s v="San Diego"/>
    <s v="CA"/>
    <n v="1.54"/>
    <n v="1948"/>
    <m/>
    <n v="54688"/>
    <s v=" "/>
    <m/>
    <s v=" "/>
    <m/>
    <s v=" "/>
    <m/>
    <d v="2025-04-30T00:00:00"/>
    <m/>
    <n v="5.049315068493151"/>
    <s v=" "/>
    <m/>
    <m/>
    <m/>
    <n v="14500000"/>
    <n v="265.1404330017554"/>
    <s v=" "/>
    <m/>
    <d v="2020-04-13T00:00:00"/>
    <x v="8"/>
    <m/>
    <x v="460"/>
    <s v="CA"/>
    <s v="Private"/>
    <m/>
    <m/>
    <m/>
    <s v=" "/>
    <s v=" "/>
    <m/>
    <s v=" "/>
    <s v=" "/>
    <s v=" "/>
    <m/>
    <s v=" "/>
  </r>
  <r>
    <m/>
    <s v="Multi"/>
    <s v="Federal"/>
    <s v="Fee Simple"/>
    <s v="50 Tech Pky"/>
    <s v="Stafford"/>
    <s v="VA"/>
    <n v="7.08"/>
    <n v="2006"/>
    <m/>
    <n v="94064"/>
    <s v=" "/>
    <m/>
    <s v=" "/>
    <m/>
    <s v=" "/>
    <m/>
    <m/>
    <m/>
    <s v=" "/>
    <s v=" "/>
    <m/>
    <m/>
    <m/>
    <n v="14725000"/>
    <n v="156.5423541418609"/>
    <s v=" "/>
    <m/>
    <d v="2020-04-13T00:00:00"/>
    <x v="672"/>
    <s v="Colliers"/>
    <x v="1"/>
    <s v="IL"/>
    <s v="Private"/>
    <m/>
    <m/>
    <m/>
    <s v=" "/>
    <s v=" "/>
    <m/>
    <s v=" "/>
    <s v=" "/>
    <s v=" "/>
    <m/>
    <s v=" "/>
  </r>
  <r>
    <m/>
    <s v="Gaston County Career Center"/>
    <s v="Municipal"/>
    <s v="Fee Simple"/>
    <s v="1391 Bessemer City Rd"/>
    <s v="Gastonia"/>
    <s v="NC"/>
    <n v="1.19"/>
    <n v="1994"/>
    <m/>
    <n v="9764"/>
    <s v=" "/>
    <n v="101264"/>
    <s v=" "/>
    <n v="108160"/>
    <n v="11.07742728390004"/>
    <m/>
    <m/>
    <m/>
    <s v=" "/>
    <s v=" "/>
    <m/>
    <m/>
    <m/>
    <n v="1217000"/>
    <n v="124.6415403523146"/>
    <n v="0.08887428101889894"/>
    <m/>
    <d v="2020-04-12T00:00:00"/>
    <x v="673"/>
    <s v="David Hampton"/>
    <x v="461"/>
    <s v="NC"/>
    <s v="Private"/>
    <m/>
    <m/>
    <n v="1352000"/>
    <n v="0.08"/>
    <n v="0.9001479289940828"/>
    <n v="1352000"/>
    <n v="0.08"/>
    <n v="0.008874281018898936"/>
    <s v="No"/>
    <d v="2018-12-26T00:00:00"/>
    <n v="473"/>
  </r>
  <r>
    <m/>
    <m/>
    <s v="Federal"/>
    <s v="Fee Simple"/>
    <s v="300 E Mallard Dr"/>
    <s v="Boise"/>
    <s v="ID"/>
    <n v="3.1"/>
    <n v="1987"/>
    <n v="32015"/>
    <n v="64030"/>
    <n v="0.5"/>
    <n v="551000"/>
    <n v="17.2106824925816"/>
    <m/>
    <s v=" "/>
    <m/>
    <d v="2022-10-31T00:00:00"/>
    <d v="2017-10-31T00:00:00"/>
    <n v="2.561643835616438"/>
    <n v="-2.441095890410959"/>
    <s v="Modified Gross"/>
    <s v="None"/>
    <s v="None"/>
    <m/>
    <s v=" "/>
    <s v=" "/>
    <m/>
    <d v="2020-04-09T00:00:00"/>
    <x v="674"/>
    <m/>
    <x v="462"/>
    <s v="OR"/>
    <s v="Private"/>
    <m/>
    <m/>
    <m/>
    <s v=" "/>
    <s v=" "/>
    <m/>
    <s v=" "/>
    <s v=" "/>
    <s v=" "/>
    <m/>
    <s v=" "/>
  </r>
  <r>
    <m/>
    <s v="DHS"/>
    <s v="State"/>
    <s v="Fee Simple"/>
    <s v="4619 Sheraton Dr"/>
    <s v="Macon"/>
    <s v="GA"/>
    <n v="2.33"/>
    <n v="1999"/>
    <n v="25829"/>
    <n v="25829"/>
    <n v="1"/>
    <m/>
    <s v=" "/>
    <n v="281435"/>
    <n v="10.89608579503659"/>
    <m/>
    <d v="2022-09-01T00:00:00"/>
    <d v="2020-09-01T00:00:00"/>
    <n v="2.397260273972603"/>
    <n v="0.3972602739726027"/>
    <s v="FS"/>
    <s v="2% annually"/>
    <s v="None"/>
    <n v="3311000"/>
    <n v="128.1892446474893"/>
    <n v="0.08500000000000001"/>
    <m/>
    <d v="2020-04-09T00:00:00"/>
    <x v="675"/>
    <s v="Summit"/>
    <x v="62"/>
    <s v="IL"/>
    <s v="Private"/>
    <m/>
    <m/>
    <m/>
    <s v=" "/>
    <s v=" "/>
    <m/>
    <s v=" "/>
    <s v=" "/>
    <s v=" "/>
    <m/>
    <s v=" "/>
  </r>
  <r>
    <m/>
    <s v="Multi"/>
    <s v="Federal"/>
    <s v="Fee Simple"/>
    <s v="824 N Market St"/>
    <s v="Wilmington"/>
    <s v="DE"/>
    <m/>
    <m/>
    <m/>
    <n v="65941"/>
    <s v=" "/>
    <m/>
    <s v=" "/>
    <n v="1299175"/>
    <n v="19.70208216435905"/>
    <m/>
    <m/>
    <m/>
    <s v=" "/>
    <s v=" "/>
    <m/>
    <m/>
    <m/>
    <n v="16550000"/>
    <n v="250.9819383994783"/>
    <n v="0.0785"/>
    <m/>
    <d v="2020-04-08T00:00:00"/>
    <x v="676"/>
    <m/>
    <x v="463"/>
    <s v="NJ"/>
    <s v="Private"/>
    <m/>
    <m/>
    <m/>
    <s v=" "/>
    <s v=" "/>
    <m/>
    <s v=" "/>
    <s v=" "/>
    <s v=" "/>
    <m/>
    <s v=" "/>
  </r>
  <r>
    <s v="LCA02395"/>
    <s v="SSA"/>
    <s v="Federal"/>
    <s v="Fee Simple"/>
    <s v="11885 Edgewood"/>
    <s v="Auburn"/>
    <s v="CA"/>
    <n v="1.8"/>
    <n v="1991"/>
    <n v="7291"/>
    <n v="9223"/>
    <n v="0.7905236907730673"/>
    <n v="166441.85"/>
    <n v="22.82839802496228"/>
    <n v="58560"/>
    <n v="6.349344031226282"/>
    <d v="2011-05-21T00:00:00"/>
    <d v="2026-05-20T00:00:00"/>
    <d v="2021-05-21T00:00:00"/>
    <n v="6.120547945205479"/>
    <n v="1.120547945205479"/>
    <s v="Modified Gross"/>
    <s v="None"/>
    <s v="None"/>
    <n v="1150000"/>
    <n v="124.6882793017456"/>
    <n v="0.05092173913043478"/>
    <m/>
    <d v="2020-04-07T00:00:00"/>
    <x v="677"/>
    <s v="KM; Boyd"/>
    <x v="464"/>
    <s v="CA"/>
    <s v="Private"/>
    <s v="TC; Osborne"/>
    <m/>
    <n v="1250000"/>
    <n v="0.046848"/>
    <n v="0.92"/>
    <n v="1250000"/>
    <n v="0.046848"/>
    <n v="0.004073739130434781"/>
    <s v="No"/>
    <m/>
    <s v=" "/>
  </r>
  <r>
    <m/>
    <s v="USPS"/>
    <s v="Federal"/>
    <s v="Fee Simple"/>
    <s v="223 N 14th St"/>
    <s v="Nederland"/>
    <s v="TX"/>
    <n v="0.5600000000000001"/>
    <n v="1968"/>
    <n v="7046"/>
    <n v="7046"/>
    <n v="1"/>
    <m/>
    <s v=" "/>
    <m/>
    <s v=" "/>
    <m/>
    <m/>
    <m/>
    <s v=" "/>
    <s v=" "/>
    <m/>
    <m/>
    <m/>
    <m/>
    <s v=" "/>
    <s v=" "/>
    <m/>
    <d v="2020-04-04T00:00:00"/>
    <x v="678"/>
    <s v="TCP; Harrison"/>
    <x v="465"/>
    <s v="CA"/>
    <s v="Private"/>
    <m/>
    <m/>
    <m/>
    <s v=" "/>
    <s v=" "/>
    <m/>
    <s v=" "/>
    <s v=" "/>
    <s v=" "/>
    <m/>
    <s v=" "/>
  </r>
  <r>
    <m/>
    <s v="USPS"/>
    <s v="Federal"/>
    <s v="Fee Simple"/>
    <s v="451 E Locke St"/>
    <s v="Ashdown"/>
    <s v="AR"/>
    <n v="0.8035"/>
    <n v="1980"/>
    <n v="4400"/>
    <n v="4400"/>
    <n v="1"/>
    <m/>
    <s v=" "/>
    <m/>
    <s v=" "/>
    <m/>
    <m/>
    <m/>
    <s v=" "/>
    <s v=" "/>
    <m/>
    <m/>
    <m/>
    <n v="490000"/>
    <n v="111.3636363636364"/>
    <s v=" "/>
    <m/>
    <d v="2020-04-03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21 S 2nd St"/>
    <s v="Comanche"/>
    <s v="OK"/>
    <m/>
    <n v="1962"/>
    <n v="3446"/>
    <n v="3446"/>
    <n v="1"/>
    <m/>
    <s v=" "/>
    <m/>
    <s v=" "/>
    <m/>
    <m/>
    <m/>
    <s v=" "/>
    <s v=" "/>
    <m/>
    <m/>
    <m/>
    <n v="330000"/>
    <n v="95.76320371445154"/>
    <s v=" "/>
    <m/>
    <d v="2020-04-03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333 Cedar Grove Rd"/>
    <s v="Conley"/>
    <s v="GA"/>
    <n v="1.3944"/>
    <n v="2000"/>
    <n v="5003"/>
    <n v="5003"/>
    <n v="1"/>
    <m/>
    <s v=" "/>
    <m/>
    <s v=" "/>
    <m/>
    <m/>
    <m/>
    <s v=" "/>
    <s v=" "/>
    <m/>
    <m/>
    <m/>
    <n v="883800"/>
    <n v="176.6540075954427"/>
    <s v=" "/>
    <m/>
    <d v="2020-04-03T00:00:00"/>
    <x v="679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907 4th Ave"/>
    <s v="Lake Odessa"/>
    <s v="MI"/>
    <n v="0.125"/>
    <m/>
    <n v="2079"/>
    <n v="2079"/>
    <n v="1"/>
    <m/>
    <s v=" "/>
    <m/>
    <s v=" "/>
    <m/>
    <m/>
    <m/>
    <s v=" "/>
    <s v=" "/>
    <m/>
    <m/>
    <m/>
    <n v="180000"/>
    <n v="86.58008658008659"/>
    <s v=" "/>
    <m/>
    <d v="2020-04-03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4444 Demetropolis Rd"/>
    <s v="Mobile"/>
    <s v="AL"/>
    <n v="13.24"/>
    <n v="2018"/>
    <n v="79212"/>
    <n v="79212"/>
    <n v="1"/>
    <n v="3778352"/>
    <n v="47.6992374892693"/>
    <m/>
    <s v=" "/>
    <d v="2019-01-01T00:00:00"/>
    <d v="2033-12-31T00:00:00"/>
    <d v="2033-12-31T00:00:00"/>
    <n v="13.75342465753425"/>
    <n v="13.75342465753425"/>
    <s v="Modified Gross"/>
    <s v="None"/>
    <s v="None"/>
    <n v="39500000"/>
    <n v="498.6618189163258"/>
    <s v=" "/>
    <m/>
    <d v="2020-04-03T00:00:00"/>
    <x v="44"/>
    <m/>
    <x v="3"/>
    <s v="DC"/>
    <s v="REIT"/>
    <m/>
    <m/>
    <m/>
    <s v=" "/>
    <s v=" "/>
    <m/>
    <s v=" "/>
    <s v=" "/>
    <s v=" "/>
    <m/>
    <s v=" "/>
  </r>
  <r>
    <m/>
    <s v="Howard County"/>
    <s v="Municipal"/>
    <s v="Fee Simple"/>
    <s v="2850 N Ridge Rd"/>
    <s v="Ellicott City"/>
    <s v="MD"/>
    <n v="5.3"/>
    <n v="1986"/>
    <m/>
    <n v="42333"/>
    <s v=" "/>
    <m/>
    <s v=" "/>
    <n v="584375"/>
    <n v="13.80424255309097"/>
    <m/>
    <m/>
    <m/>
    <s v=" "/>
    <s v=" "/>
    <m/>
    <m/>
    <m/>
    <n v="9350000"/>
    <n v="220.8678808494555"/>
    <n v="0.0625"/>
    <m/>
    <d v="2020-04-02T00:00:00"/>
    <x v="8"/>
    <m/>
    <x v="466"/>
    <s v="TN"/>
    <s v="Private"/>
    <m/>
    <m/>
    <m/>
    <s v=" "/>
    <s v=" "/>
    <m/>
    <s v=" "/>
    <s v=" "/>
    <s v=" "/>
    <m/>
    <s v=" "/>
  </r>
  <r>
    <m/>
    <s v="USPS"/>
    <s v="Federal"/>
    <s v="Fee Simple"/>
    <s v="712 E White Mountain Blvd"/>
    <s v="Pinetop"/>
    <s v="AZ"/>
    <n v="0.2036"/>
    <n v="1974"/>
    <n v="3132"/>
    <n v="3132"/>
    <n v="1"/>
    <m/>
    <s v=" "/>
    <m/>
    <s v=" "/>
    <m/>
    <m/>
    <m/>
    <s v=" "/>
    <s v=" "/>
    <m/>
    <m/>
    <m/>
    <n v="535000"/>
    <n v="170.8173690932312"/>
    <s v=" "/>
    <m/>
    <d v="2020-04-02T00:00:00"/>
    <x v="8"/>
    <m/>
    <x v="66"/>
    <s v="CA"/>
    <s v="Private"/>
    <m/>
    <m/>
    <m/>
    <s v=" "/>
    <s v=" "/>
    <m/>
    <s v=" "/>
    <s v=" "/>
    <s v=" "/>
    <m/>
    <s v=" "/>
  </r>
  <r>
    <s v="LKY60550"/>
    <s v="DEA"/>
    <s v="Federal"/>
    <s v="Leasehold"/>
    <s v="150 Hal Rogers Dr"/>
    <s v="London"/>
    <s v="KY"/>
    <n v="1.88"/>
    <n v="2003"/>
    <n v="9038"/>
    <n v="9038"/>
    <n v="1"/>
    <n v="298809"/>
    <n v="33.06140739101571"/>
    <n v="168096"/>
    <n v="18.59880504536402"/>
    <d v="2018-04-01T00:00:00"/>
    <d v="2028-03-31T00:00:00"/>
    <d v="2028-03-31T00:00:00"/>
    <n v="8.002739726027396"/>
    <n v="8.002739726027396"/>
    <s v="Modified Gross"/>
    <s v="None"/>
    <s v="None"/>
    <n v="1632000"/>
    <n v="180.5709227705244"/>
    <n v="0.103"/>
    <m/>
    <d v="2020-04-01T00:00:00"/>
    <x v="680"/>
    <s v="M&amp;M; Fenn"/>
    <x v="467"/>
    <s v="KY"/>
    <s v="Private"/>
    <m/>
    <m/>
    <n v="1687050"/>
    <n v="0.09963901484840403"/>
    <n v="0.9673690761980973"/>
    <n v="1687050"/>
    <n v="0.09963901484840403"/>
    <n v="0.003360985151595969"/>
    <s v="No"/>
    <m/>
    <s v=" "/>
  </r>
  <r>
    <m/>
    <s v="USPS"/>
    <s v="Federal"/>
    <s v="Fee Simple"/>
    <s v="801 Saint Clair River Dr"/>
    <s v="Algonac"/>
    <s v="MI"/>
    <n v="0.46"/>
    <n v="1976"/>
    <n v="3966"/>
    <n v="3966"/>
    <n v="1"/>
    <m/>
    <s v=" "/>
    <m/>
    <s v=" "/>
    <m/>
    <m/>
    <m/>
    <s v=" "/>
    <s v=" "/>
    <m/>
    <m/>
    <m/>
    <n v="455000"/>
    <n v="114.7251638930913"/>
    <s v=" "/>
    <m/>
    <d v="2020-03-31T00:00:00"/>
    <x v="8"/>
    <s v="Keith O'Leary"/>
    <x v="468"/>
    <m/>
    <m/>
    <m/>
    <m/>
    <m/>
    <s v=" "/>
    <s v=" "/>
    <m/>
    <s v=" "/>
    <s v=" "/>
    <s v=" "/>
    <d v="2019-12-01T00:00:00"/>
    <n v="121"/>
  </r>
  <r>
    <s v="LCA00304"/>
    <s v="SSA"/>
    <s v="Federal"/>
    <s v="Fee Simple"/>
    <s v="10000 Magnolia Ave"/>
    <s v="Riverside"/>
    <s v="CA"/>
    <n v="1.22"/>
    <n v="2018"/>
    <n v="21950"/>
    <n v="21950"/>
    <n v="1"/>
    <n v="900012.99"/>
    <n v="41.00286970387243"/>
    <m/>
    <s v=" "/>
    <d v="2020-07-07T00:00:00"/>
    <d v="2035-07-06T00:00:00"/>
    <d v="2030-07-07T00:00:00"/>
    <n v="15.27671232876712"/>
    <n v="10.27671232876712"/>
    <s v="Modified Gross"/>
    <s v="None"/>
    <s v="None"/>
    <m/>
    <s v=" "/>
    <s v=" "/>
    <m/>
    <d v="2020-03-30T00:00:00"/>
    <x v="681"/>
    <s v="C&amp;W; Trautvetter"/>
    <x v="469"/>
    <s v="CA"/>
    <s v="Private"/>
    <m/>
    <m/>
    <m/>
    <s v=" "/>
    <s v=" "/>
    <m/>
    <s v=" "/>
    <s v=" "/>
    <s v=" "/>
    <m/>
    <s v=" "/>
  </r>
  <r>
    <m/>
    <s v="Michigan Department of Health &amp; Human Services"/>
    <s v="State"/>
    <s v="Fee Simple"/>
    <s v="3709 Deep River Rd"/>
    <s v="Standish"/>
    <s v="MI"/>
    <n v="12.6"/>
    <n v="1987"/>
    <m/>
    <n v="9600"/>
    <s v=" "/>
    <m/>
    <s v=" "/>
    <m/>
    <s v=" "/>
    <m/>
    <m/>
    <m/>
    <s v=" "/>
    <s v=" "/>
    <m/>
    <m/>
    <m/>
    <n v="846000"/>
    <n v="88.125"/>
    <s v=" "/>
    <m/>
    <d v="2020-03-30T00:00:00"/>
    <x v="8"/>
    <m/>
    <x v="0"/>
    <m/>
    <m/>
    <m/>
    <m/>
    <m/>
    <s v=" "/>
    <s v=" "/>
    <m/>
    <s v=" "/>
    <s v=" "/>
    <s v=" "/>
    <m/>
    <s v=" "/>
  </r>
  <r>
    <m/>
    <s v="Kern County Superintendent of Schools"/>
    <s v="Municipal"/>
    <s v="Fee Simple"/>
    <s v="3700 Auburn St"/>
    <s v="Bakersfield"/>
    <s v="CA"/>
    <n v="2.47"/>
    <n v="1997"/>
    <m/>
    <n v="10700"/>
    <s v=" "/>
    <m/>
    <s v=" "/>
    <n v="132000"/>
    <n v="12.33644859813084"/>
    <m/>
    <m/>
    <m/>
    <s v=" "/>
    <s v=" "/>
    <m/>
    <m/>
    <m/>
    <n v="1590000"/>
    <n v="148.5981308411215"/>
    <n v="0.0830188679245283"/>
    <m/>
    <d v="2020-03-27T00:00:00"/>
    <x v="8"/>
    <m/>
    <x v="0"/>
    <m/>
    <m/>
    <m/>
    <m/>
    <m/>
    <s v=" "/>
    <s v=" "/>
    <m/>
    <s v=" "/>
    <s v=" "/>
    <s v=" "/>
    <m/>
    <s v=" "/>
  </r>
  <r>
    <m/>
    <s v="USDA"/>
    <s v="Federal"/>
    <s v="Leasehold"/>
    <s v="920 Main Campus  Dr"/>
    <s v="Raleigh"/>
    <s v="NC"/>
    <n v="32.97"/>
    <n v="1999"/>
    <n v="90650"/>
    <n v="466564"/>
    <n v="0.1942927444037688"/>
    <n v="3399407"/>
    <n v="37.50035300606729"/>
    <m/>
    <s v=" "/>
    <d v="1999-05-01T00:00:00"/>
    <d v="2021-04-30T00:00:00"/>
    <d v="2021-04-30T00:00:00"/>
    <n v="1.093150684931507"/>
    <n v="1.093150684931507"/>
    <s v="Modified Gross"/>
    <s v="None"/>
    <s v="None"/>
    <n v="231450000"/>
    <n v="496.0734218670965"/>
    <s v=" "/>
    <m/>
    <d v="2020-03-27T00:00:00"/>
    <x v="682"/>
    <m/>
    <x v="127"/>
    <s v="TX"/>
    <s v="Institutional"/>
    <m/>
    <m/>
    <m/>
    <s v=" "/>
    <s v=" "/>
    <m/>
    <s v=" "/>
    <s v=" "/>
    <s v=" "/>
    <m/>
    <s v=" "/>
  </r>
  <r>
    <m/>
    <s v="State Dep't"/>
    <s v="Federal"/>
    <s v="Fee Simple"/>
    <s v="2800 S 192nd St"/>
    <s v="SeaTac"/>
    <s v="WA"/>
    <n v="0.98"/>
    <n v="1991"/>
    <n v="1868"/>
    <n v="23023"/>
    <n v="0.08113625504929853"/>
    <m/>
    <s v=" "/>
    <m/>
    <s v=" "/>
    <d v="2019-01-01T00:00:00"/>
    <m/>
    <m/>
    <s v=" "/>
    <s v=" "/>
    <m/>
    <m/>
    <m/>
    <n v="4000000"/>
    <n v="173.7393041740868"/>
    <s v=" "/>
    <m/>
    <d v="2020-03-27T00:00:00"/>
    <x v="8"/>
    <m/>
    <x v="470"/>
    <s v="WA"/>
    <s v="Individual"/>
    <m/>
    <m/>
    <m/>
    <s v=" "/>
    <s v=" "/>
    <m/>
    <s v=" "/>
    <s v=" "/>
    <s v=" "/>
    <m/>
    <s v=" "/>
  </r>
  <r>
    <s v="LNM17099"/>
    <s v="USDA"/>
    <s v="Federal"/>
    <s v="Fee Simple"/>
    <s v="918 Parkland Dr"/>
    <s v="Clovis"/>
    <s v="NM"/>
    <n v="0.83"/>
    <n v="2002"/>
    <n v="6590"/>
    <n v="6590"/>
    <n v="1"/>
    <n v="134612.39"/>
    <n v="20.42676631259484"/>
    <m/>
    <s v=" "/>
    <d v="2012-02-01T00:00:00"/>
    <d v="2032-01-31T00:00:00"/>
    <d v="2023-02-01T00:00:00"/>
    <n v="11.85753424657534"/>
    <n v="2.854794520547945"/>
    <s v="Modified Gross"/>
    <s v="None"/>
    <s v="None"/>
    <m/>
    <s v=" "/>
    <s v=" "/>
    <m/>
    <d v="2020-03-26T00:00:00"/>
    <x v="683"/>
    <m/>
    <x v="471"/>
    <s v="NM"/>
    <s v="Private"/>
    <m/>
    <m/>
    <m/>
    <s v=" "/>
    <s v=" "/>
    <m/>
    <s v=" "/>
    <s v=" "/>
    <s v=" "/>
    <m/>
    <s v=" "/>
  </r>
  <r>
    <m/>
    <s v="Multi"/>
    <s v="Federal"/>
    <s v="Fee Simple"/>
    <s v="660 S Mesa Hills Drive"/>
    <s v="El Paso"/>
    <s v="TX"/>
    <n v="6.83"/>
    <s v="1998 | 2005"/>
    <n v="203269"/>
    <n v="203269"/>
    <n v="1"/>
    <n v="3596870"/>
    <n v="17.69512321111434"/>
    <m/>
    <s v=" "/>
    <m/>
    <m/>
    <m/>
    <s v=" "/>
    <s v=" "/>
    <m/>
    <m/>
    <m/>
    <m/>
    <s v=" "/>
    <s v=" "/>
    <m/>
    <d v="2020-03-26T00:00:00"/>
    <x v="684"/>
    <m/>
    <x v="3"/>
    <s v="DC"/>
    <s v="REIT"/>
    <m/>
    <m/>
    <m/>
    <s v=" "/>
    <s v=" "/>
    <m/>
    <s v=" "/>
    <s v=" "/>
    <s v=" "/>
    <m/>
    <s v=" "/>
  </r>
  <r>
    <m/>
    <s v="Multi"/>
    <s v="Federal"/>
    <s v="Fee Simple"/>
    <s v="11410 NW 20th St"/>
    <s v="Miami"/>
    <s v="FL"/>
    <m/>
    <n v="2008"/>
    <m/>
    <n v="82373"/>
    <s v=" "/>
    <m/>
    <s v=" "/>
    <m/>
    <s v=" "/>
    <m/>
    <m/>
    <m/>
    <s v=" "/>
    <s v=" "/>
    <m/>
    <m/>
    <m/>
    <n v="29420000"/>
    <n v="357.1558641787964"/>
    <s v=" "/>
    <m/>
    <d v="2020-03-25T00:00:00"/>
    <x v="3"/>
    <m/>
    <x v="472"/>
    <s v="NY"/>
    <s v="Private"/>
    <m/>
    <m/>
    <m/>
    <s v=" "/>
    <s v=" "/>
    <m/>
    <s v=" "/>
    <s v=" "/>
    <s v=" "/>
    <m/>
    <s v=" "/>
  </r>
  <r>
    <m/>
    <s v="Texas Health and Human Services"/>
    <s v="State"/>
    <s v="Fee Simple"/>
    <s v="1328 Oakhurst Dr"/>
    <s v="Wichita Falls"/>
    <s v="TX"/>
    <n v="1.38"/>
    <n v="1991"/>
    <n v="16200"/>
    <n v="16200"/>
    <n v="1"/>
    <m/>
    <s v=" "/>
    <m/>
    <s v=" "/>
    <m/>
    <d v="2027-02-28T00:00:00"/>
    <m/>
    <n v="6.934246575342466"/>
    <s v=" "/>
    <s v="Full Service"/>
    <m/>
    <m/>
    <m/>
    <s v=" "/>
    <s v=" "/>
    <m/>
    <d v="2020-03-25T00:00:00"/>
    <x v="685"/>
    <m/>
    <x v="0"/>
    <m/>
    <m/>
    <m/>
    <m/>
    <m/>
    <s v=" "/>
    <s v=" "/>
    <m/>
    <s v=" "/>
    <s v=" "/>
    <s v=" "/>
    <m/>
    <s v=" "/>
  </r>
  <r>
    <m/>
    <s v="Multi"/>
    <s v="State"/>
    <s v="Fee Simple"/>
    <s v="324 Clark St"/>
    <s v="Worcester"/>
    <s v="MA"/>
    <n v="6"/>
    <n v="1975"/>
    <m/>
    <n v="86200"/>
    <s v=" "/>
    <m/>
    <s v=" "/>
    <m/>
    <s v=" "/>
    <m/>
    <m/>
    <m/>
    <s v=" "/>
    <s v=" "/>
    <m/>
    <m/>
    <m/>
    <n v="13000000"/>
    <n v="150.8120649651972"/>
    <s v=" "/>
    <m/>
    <d v="2020-03-23T00:00:00"/>
    <x v="8"/>
    <m/>
    <x v="473"/>
    <s v="MA"/>
    <s v="Private"/>
    <m/>
    <m/>
    <m/>
    <s v=" "/>
    <s v=" "/>
    <m/>
    <s v=" "/>
    <s v=" "/>
    <s v=" "/>
    <m/>
    <s v=" "/>
  </r>
  <r>
    <m/>
    <s v="Dep't of State"/>
    <s v="Federal"/>
    <s v="Fee Simple"/>
    <s v="3920 Pender Dr"/>
    <s v="Fairfax"/>
    <s v="VA"/>
    <n v="6"/>
    <n v="1981"/>
    <n v="83130"/>
    <n v="83130"/>
    <n v="1"/>
    <m/>
    <s v=" "/>
    <m/>
    <s v=" "/>
    <d v="2017-04-01T00:00:00"/>
    <d v="2026-03-31T00:00:00"/>
    <m/>
    <n v="6.032876712328767"/>
    <s v=" "/>
    <s v="Modified Gross"/>
    <s v="None"/>
    <s v="None"/>
    <n v="22200000"/>
    <n v="267.051605918441"/>
    <s v=" "/>
    <m/>
    <d v="2020-03-20T00:00:00"/>
    <x v="247"/>
    <s v="JLL; Molloy"/>
    <x v="474"/>
    <s v="PA"/>
    <s v="Private"/>
    <m/>
    <m/>
    <m/>
    <s v=" "/>
    <s v=" "/>
    <m/>
    <s v=" "/>
    <s v=" "/>
    <s v=" "/>
    <m/>
    <s v=" "/>
  </r>
  <r>
    <m/>
    <s v="Multi"/>
    <s v="Federal"/>
    <s v="Fee Simple"/>
    <s v="8111 Gatehouse Rd"/>
    <s v="Falls Church"/>
    <s v="VA"/>
    <n v="3.05"/>
    <n v="1973"/>
    <m/>
    <n v="274609"/>
    <s v=" "/>
    <m/>
    <s v=" "/>
    <m/>
    <s v=" "/>
    <m/>
    <m/>
    <m/>
    <s v=" "/>
    <s v=" "/>
    <m/>
    <m/>
    <m/>
    <n v="51733333"/>
    <n v="188.389065908255"/>
    <s v=" "/>
    <m/>
    <d v="2020-03-20T00:00:00"/>
    <x v="8"/>
    <m/>
    <x v="0"/>
    <s v="NY"/>
    <s v="Private"/>
    <m/>
    <m/>
    <m/>
    <s v=" "/>
    <s v=" "/>
    <m/>
    <s v=" "/>
    <s v=" "/>
    <s v=" "/>
    <m/>
    <s v=" "/>
  </r>
  <r>
    <m/>
    <m/>
    <s v="Federal"/>
    <s v="Fee Simple"/>
    <s v="1953 Gallows Rd &amp; 1951 Kidwell Dr"/>
    <s v="Vienna"/>
    <s v="VA"/>
    <n v="8.359999999999999"/>
    <m/>
    <m/>
    <n v="434997"/>
    <s v=" "/>
    <m/>
    <s v=" "/>
    <m/>
    <s v=" "/>
    <m/>
    <m/>
    <m/>
    <s v=" "/>
    <s v=" "/>
    <m/>
    <m/>
    <m/>
    <n v="58250000"/>
    <n v="133.9089694871459"/>
    <s v=" "/>
    <m/>
    <d v="2020-03-20T00:00:00"/>
    <x v="686"/>
    <s v="Eastdil"/>
    <x v="475"/>
    <s v="MD"/>
    <s v="Private"/>
    <m/>
    <m/>
    <m/>
    <s v=" "/>
    <s v=" "/>
    <m/>
    <s v=" "/>
    <s v=" "/>
    <s v=" "/>
    <m/>
    <s v=" "/>
  </r>
  <r>
    <m/>
    <m/>
    <s v="Federal"/>
    <s v="Fee Simple"/>
    <s v="535 Huntmar Park Dr"/>
    <s v="Herndon"/>
    <s v="VA"/>
    <m/>
    <n v="1999"/>
    <n v="60421"/>
    <n v="60421"/>
    <n v="1"/>
    <m/>
    <s v=" "/>
    <n v="1705650"/>
    <n v="28.22942354479403"/>
    <m/>
    <d v="2029-11-30T00:00:00"/>
    <d v="2024-11-30T00:00:00"/>
    <n v="9.706849315068494"/>
    <n v="4.704109589041096"/>
    <m/>
    <m/>
    <m/>
    <n v="24900000"/>
    <n v="412.1083729167012"/>
    <n v="0.06850000000000001"/>
    <m/>
    <d v="2020-03-19T00:00:00"/>
    <x v="687"/>
    <s v="Chriss Orr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5770 Heber Springs Rd W"/>
    <s v="Quitman"/>
    <s v="AR"/>
    <n v="1.9"/>
    <n v="1998"/>
    <n v="6337"/>
    <n v="6337"/>
    <n v="1"/>
    <n v="78959"/>
    <n v="12.45999684393246"/>
    <n v="70470"/>
    <n v="11.1204039766451"/>
    <d v="2018-11-05T00:00:00"/>
    <d v="2023-11-04T00:00:00"/>
    <d v="2018-11-04T00:00:00"/>
    <n v="3.632876712328767"/>
    <n v="-1.36986301369863"/>
    <s v="Rider"/>
    <s v="Option"/>
    <s v="1, 5 year"/>
    <n v="760000"/>
    <n v="119.9305665141234"/>
    <n v="0.09272368421052632"/>
    <m/>
    <d v="2020-03-18T00:00:00"/>
    <x v="688"/>
    <s v="TCP; Harrison"/>
    <x v="476"/>
    <s v="MN"/>
    <s v="Private"/>
    <m/>
    <m/>
    <n v="860000"/>
    <n v="0.08194186046511628"/>
    <n v="0.8837209302325582"/>
    <n v="860000"/>
    <n v="0.08194186046511628"/>
    <n v="0.01078182374541004"/>
    <s v="No"/>
    <d v="2019-02-14T00:00:00"/>
    <n v="398"/>
  </r>
  <r>
    <m/>
    <s v="P&amp;PO"/>
    <s v="Federal"/>
    <s v="Fee Simple"/>
    <s v="5500 Telegraph Rd"/>
    <s v="Ventura"/>
    <s v="CA"/>
    <n v="0.92"/>
    <n v="1991"/>
    <n v="3574"/>
    <n v="19829"/>
    <n v="0.180241061072167"/>
    <m/>
    <s v=" "/>
    <m/>
    <s v=" "/>
    <m/>
    <d v="2020-06-01T00:00:00"/>
    <d v="2015-06-01T00:00:00"/>
    <n v="0.2082191780821918"/>
    <n v="-4.797260273972602"/>
    <s v="Modified Gross"/>
    <s v="None"/>
    <s v="None"/>
    <n v="4550000"/>
    <n v="229.4618992384891"/>
    <s v=" "/>
    <m/>
    <d v="2020-03-17T00:00:00"/>
    <x v="689"/>
    <s v="Becker Group"/>
    <x v="477"/>
    <s v="CA"/>
    <s v="Private"/>
    <m/>
    <m/>
    <m/>
    <s v=" "/>
    <s v=" "/>
    <m/>
    <s v=" "/>
    <s v=" "/>
    <s v=" "/>
    <m/>
    <s v=" "/>
  </r>
  <r>
    <m/>
    <s v="Multi"/>
    <s v="State &amp; Federal"/>
    <s v="Fee Simple"/>
    <s v="400 N Congress Ave"/>
    <s v="West Palm Beach"/>
    <s v="FL"/>
    <n v="4.56"/>
    <n v="1972"/>
    <m/>
    <n v="73137"/>
    <s v=" "/>
    <m/>
    <s v=" "/>
    <n v="546000"/>
    <n v="7.465441568563108"/>
    <m/>
    <m/>
    <m/>
    <s v=" "/>
    <s v=" "/>
    <m/>
    <m/>
    <m/>
    <n v="9100000"/>
    <n v="124.4240261427185"/>
    <n v="0.06"/>
    <m/>
    <d v="2020-03-17T00:00:00"/>
    <x v="445"/>
    <s v="BR;"/>
    <x v="1"/>
    <s v="IL"/>
    <s v="Private"/>
    <m/>
    <m/>
    <m/>
    <s v=" "/>
    <s v=" "/>
    <m/>
    <s v=" "/>
    <s v=" "/>
    <s v=" "/>
    <m/>
    <s v=" "/>
  </r>
  <r>
    <m/>
    <s v="ACoE"/>
    <s v="Federal"/>
    <s v="Fee Simple"/>
    <s v="12596 W Bayaud Ave"/>
    <s v="Lakewood"/>
    <s v="CO"/>
    <m/>
    <n v="1982"/>
    <n v="21015"/>
    <n v="84145"/>
    <n v="0.2497474597421118"/>
    <m/>
    <s v=" "/>
    <n v="772850"/>
    <n v="9.18474062629984"/>
    <d v="2012-12-07T00:00:00"/>
    <d v="2027-12-06T00:00:00"/>
    <d v="2022-10-01T00:00:00"/>
    <n v="7.728767123287671"/>
    <n v="2.545205479452055"/>
    <s v="Modified Gross"/>
    <s v="None"/>
    <s v="None"/>
    <n v="11327200"/>
    <n v="134.6152474894527"/>
    <n v="0.068229571297408"/>
    <m/>
    <d v="2020-03-16T00:00:00"/>
    <x v="690"/>
    <s v="CBRE; Denver"/>
    <x v="478"/>
    <s v="CA"/>
    <s v="Private"/>
    <m/>
    <m/>
    <m/>
    <s v=" "/>
    <s v=" "/>
    <m/>
    <s v=" "/>
    <s v=" "/>
    <s v=" "/>
    <m/>
    <s v=" "/>
  </r>
  <r>
    <m/>
    <s v="USPS"/>
    <s v="Federal"/>
    <s v="Fee Simple"/>
    <s v="104 W State St"/>
    <s v="Blakesburg"/>
    <s v="IA"/>
    <m/>
    <m/>
    <n v="936"/>
    <n v="936"/>
    <n v="1"/>
    <m/>
    <s v=" "/>
    <m/>
    <s v=" "/>
    <m/>
    <m/>
    <m/>
    <s v=" "/>
    <s v=" "/>
    <m/>
    <m/>
    <m/>
    <n v="139500"/>
    <n v="149.0384615384615"/>
    <s v=" "/>
    <m/>
    <d v="2020-03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11 Main St"/>
    <s v="Danbury"/>
    <s v="IA"/>
    <n v="0.177847"/>
    <n v="1960"/>
    <n v="2216"/>
    <n v="2216"/>
    <n v="1"/>
    <m/>
    <s v=" "/>
    <m/>
    <s v=" "/>
    <m/>
    <m/>
    <m/>
    <s v=" "/>
    <s v=" "/>
    <m/>
    <m/>
    <m/>
    <n v="163500"/>
    <n v="73.78158844765343"/>
    <s v=" "/>
    <m/>
    <d v="2020-03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20 S Broadway St"/>
    <s v="Middleville"/>
    <s v="MI"/>
    <m/>
    <m/>
    <n v="3168"/>
    <n v="3168"/>
    <n v="1"/>
    <m/>
    <s v=" "/>
    <m/>
    <s v=" "/>
    <m/>
    <m/>
    <m/>
    <s v=" "/>
    <s v=" "/>
    <m/>
    <m/>
    <m/>
    <n v="421071"/>
    <n v="132.9138257575758"/>
    <s v=" "/>
    <m/>
    <d v="2020-03-12T00:00:00"/>
    <x v="8"/>
    <m/>
    <x v="66"/>
    <s v="CA"/>
    <s v="Private"/>
    <m/>
    <m/>
    <m/>
    <s v=" "/>
    <s v=" "/>
    <m/>
    <s v=" "/>
    <s v=" "/>
    <s v=" "/>
    <m/>
    <s v=" "/>
  </r>
  <r>
    <m/>
    <s v="Multi"/>
    <s v="State &amp; Federal"/>
    <s v="Fee Simple"/>
    <s v="1 State Street Sq"/>
    <s v="Trenton"/>
    <s v="NJ"/>
    <m/>
    <m/>
    <n v="285428.64"/>
    <n v="339796"/>
    <n v="0.8400000000000001"/>
    <m/>
    <s v=" "/>
    <n v="2663850"/>
    <n v="7.83955667518158"/>
    <m/>
    <m/>
    <m/>
    <s v=" "/>
    <s v=" "/>
    <m/>
    <m/>
    <m/>
    <n v="30100000"/>
    <n v="88.58256130148678"/>
    <n v="0.0885"/>
    <m/>
    <d v="2020-03-11T00:00:00"/>
    <x v="247"/>
    <s v="JLL; Rodio"/>
    <x v="479"/>
    <s v="NY"/>
    <s v="Private"/>
    <m/>
    <m/>
    <m/>
    <s v=" "/>
    <s v=" "/>
    <m/>
    <s v=" "/>
    <s v=" "/>
    <s v=" "/>
    <d v="2019-08-14T00:00:00"/>
    <n v="210"/>
  </r>
  <r>
    <m/>
    <s v="USPS"/>
    <s v="Federal"/>
    <s v="Fee Simple"/>
    <s v="6599 Center St"/>
    <s v="Unionville"/>
    <s v="MI"/>
    <m/>
    <m/>
    <n v="1392"/>
    <n v="1392"/>
    <n v="1"/>
    <m/>
    <s v=" "/>
    <m/>
    <s v=" "/>
    <m/>
    <m/>
    <m/>
    <s v=" "/>
    <s v=" "/>
    <m/>
    <m/>
    <m/>
    <n v="106980"/>
    <n v="76.85344827586206"/>
    <s v=" "/>
    <m/>
    <d v="2020-03-09T00:00:00"/>
    <x v="8"/>
    <m/>
    <x v="66"/>
    <s v="CA"/>
    <s v="Private"/>
    <m/>
    <m/>
    <m/>
    <s v=" "/>
    <s v=" "/>
    <m/>
    <s v=" "/>
    <s v=" "/>
    <s v=" "/>
    <m/>
    <s v=" "/>
  </r>
  <r>
    <m/>
    <s v="County of Riverside"/>
    <s v="Municipal"/>
    <s v="Fee Simple"/>
    <s v="2300 Market St"/>
    <s v="Riverside"/>
    <s v="CA"/>
    <n v="3.45"/>
    <n v="2006"/>
    <m/>
    <n v="63760"/>
    <s v=" "/>
    <m/>
    <s v=" "/>
    <n v="1160775"/>
    <n v="18.20537954830615"/>
    <m/>
    <m/>
    <m/>
    <s v=" "/>
    <s v=" "/>
    <m/>
    <m/>
    <m/>
    <n v="17325000"/>
    <n v="271.7220828105395"/>
    <n v="0.067"/>
    <m/>
    <d v="2020-03-06T00:00:00"/>
    <x v="8"/>
    <m/>
    <x v="480"/>
    <s v="CA"/>
    <s v="Private"/>
    <m/>
    <m/>
    <m/>
    <s v=" "/>
    <s v=" "/>
    <m/>
    <s v=" "/>
    <s v=" "/>
    <s v=" "/>
    <m/>
    <s v=" "/>
  </r>
  <r>
    <m/>
    <s v="BLM"/>
    <s v="Federal"/>
    <s v="Fee Simple"/>
    <s v="4701 N Torrey Pines Dr"/>
    <s v="Las Vegas"/>
    <s v="NV"/>
    <n v="5.09"/>
    <n v="2002"/>
    <n v="43245"/>
    <n v="43245"/>
    <n v="1"/>
    <n v="833621"/>
    <n v="19.27670250896058"/>
    <n v="672089"/>
    <n v="15.5414267545381"/>
    <d v="2002-01-24T00:00:00"/>
    <d v="2022-01-23T00:00:00"/>
    <d v="2017-01-24T00:00:00"/>
    <n v="1.89041095890411"/>
    <n v="-3.10958904109589"/>
    <s v="Modified Gross"/>
    <s v="None"/>
    <s v="None"/>
    <n v="7950000"/>
    <n v="183.8362816510579"/>
    <n v="0.08453949685534591"/>
    <m/>
    <d v="2020-03-04T00:00:00"/>
    <x v="691"/>
    <s v="NAI"/>
    <x v="62"/>
    <s v="IL"/>
    <s v="Private"/>
    <m/>
    <m/>
    <n v="9200000"/>
    <n v="0.07305315217391305"/>
    <n v="0.8641304347826086"/>
    <n v="9200000"/>
    <n v="0.07305315217391305"/>
    <n v="0.01148634468143286"/>
    <s v="No"/>
    <d v="2019-09-18T00:00:00"/>
    <n v="168"/>
  </r>
  <r>
    <m/>
    <s v="VA"/>
    <s v="Federal"/>
    <s v="Fee Simple"/>
    <s v="3355 Chad Dr"/>
    <s v="Eugene"/>
    <s v="OR"/>
    <n v="14.39"/>
    <n v="2015"/>
    <n v="128554"/>
    <n v="128554"/>
    <n v="1"/>
    <m/>
    <s v=" "/>
    <n v="3766119"/>
    <n v="29.29600790329356"/>
    <d v="2015-02-01T00:00:00"/>
    <d v="2035-01-31T00:00:00"/>
    <d v="2035-01-31T00:00:00"/>
    <n v="14.92328767123288"/>
    <n v="14.92328767123288"/>
    <s v="Modified Gross"/>
    <s v="None"/>
    <s v="None"/>
    <n v="59642714"/>
    <n v="463.9506666459231"/>
    <n v="0.06314466172682887"/>
    <m/>
    <d v="2020-03-03T00:00:00"/>
    <x v="692"/>
    <m/>
    <x v="119"/>
    <s v="NH"/>
    <s v="Private"/>
    <m/>
    <m/>
    <n v="63402685"/>
    <n v="0.05939999228739288"/>
    <n v="0.940696975214851"/>
    <n v="63402685"/>
    <n v="0.05939999228739288"/>
    <n v="0.003744669439435987"/>
    <s v="No"/>
    <m/>
    <s v=" "/>
  </r>
  <r>
    <m/>
    <s v="DOT"/>
    <s v="Federal"/>
    <s v="Fee Simple"/>
    <s v="1200 New Jersey Ave SE"/>
    <s v="Washington"/>
    <s v="DC"/>
    <m/>
    <m/>
    <n v="1470000"/>
    <n v="1470000"/>
    <n v="1"/>
    <m/>
    <s v=" "/>
    <m/>
    <s v=" "/>
    <m/>
    <m/>
    <m/>
    <s v=" "/>
    <s v=" "/>
    <m/>
    <m/>
    <m/>
    <n v="760000000"/>
    <n v="517.0068027210884"/>
    <s v=" "/>
    <m/>
    <d v="2020-03-02T00:00:00"/>
    <x v="693"/>
    <m/>
    <x v="481"/>
    <s v="DC"/>
    <s v="Other"/>
    <m/>
    <m/>
    <m/>
    <s v=" "/>
    <s v=" "/>
    <m/>
    <s v=" "/>
    <s v=" "/>
    <s v=" "/>
    <m/>
    <s v=" "/>
  </r>
  <r>
    <m/>
    <s v="CYFPS"/>
    <s v="State"/>
    <s v="Fee Simple"/>
    <s v="2805 N Roadrunner Pky"/>
    <s v="Las Cruces"/>
    <s v="NM"/>
    <n v="3.47"/>
    <n v="2018"/>
    <n v="29306"/>
    <n v="29306"/>
    <n v="1"/>
    <m/>
    <s v=" "/>
    <n v="507702.0000000001"/>
    <n v="17.32416569985669"/>
    <d v="2018-07-01T00:00:00"/>
    <d v="2036-06-30T00:00:00"/>
    <m/>
    <n v="16.34794520547945"/>
    <s v=" "/>
    <s v="Full Service"/>
    <s v="None"/>
    <s v="None"/>
    <n v="7358000"/>
    <n v="251.0748652153143"/>
    <n v="0.06900000000000001"/>
    <m/>
    <d v="2020-02-28T00:00:00"/>
    <x v="694"/>
    <s v="NAI"/>
    <x v="1"/>
    <s v="IL"/>
    <s v="Private"/>
    <m/>
    <m/>
    <m/>
    <s v=" "/>
    <s v=" "/>
    <m/>
    <s v=" "/>
    <s v=" "/>
    <s v=" "/>
    <m/>
    <s v=" "/>
  </r>
  <r>
    <m/>
    <s v="BLM"/>
    <s v="Federal"/>
    <s v="Fee Simple"/>
    <s v="2987 Prospector Dr"/>
    <s v="Casper"/>
    <s v="WY"/>
    <n v="5.09"/>
    <n v="2001"/>
    <n v="38983"/>
    <n v="38983"/>
    <n v="1"/>
    <m/>
    <s v=" "/>
    <n v="366843.75"/>
    <n v="9.41035194828515"/>
    <d v="2011-01-01T00:00:00"/>
    <d v="2020-12-31T00:00:00"/>
    <d v="2015-12-31T00:00:00"/>
    <n v="0.8465753424657534"/>
    <n v="-4.158904109589041"/>
    <s v="Modified Gross"/>
    <s v="None"/>
    <s v="None"/>
    <n v="4265600"/>
    <n v="109.4220557678988"/>
    <n v="0.08600050403225806"/>
    <m/>
    <d v="2020-02-26T00:00:00"/>
    <x v="691"/>
    <s v="NAI"/>
    <x v="62"/>
    <s v="IL"/>
    <s v="Private"/>
    <m/>
    <m/>
    <m/>
    <s v=" "/>
    <s v=" "/>
    <m/>
    <s v=" "/>
    <s v=" "/>
    <s v=" "/>
    <m/>
    <s v=" "/>
  </r>
  <r>
    <s v="LOH19520"/>
    <s v="SSA"/>
    <s v="Federal"/>
    <s v="Fee Simple"/>
    <s v="3823 James Ct"/>
    <s v="Zanesville"/>
    <s v="OH"/>
    <n v="2.17"/>
    <n v="2007"/>
    <n v="10920"/>
    <n v="11488"/>
    <n v="0.9505571030640668"/>
    <n v="250558.13"/>
    <n v="22.9448836996337"/>
    <n v="160000"/>
    <n v="13.92757660167131"/>
    <d v="2020-12-07T00:00:00"/>
    <d v="2030-12-06T00:00:00"/>
    <d v="2025-12-07T00:00:00"/>
    <n v="10.78356164383562"/>
    <n v="5.783561643835617"/>
    <s v="Modified Gross"/>
    <s v="None"/>
    <s v="None"/>
    <n v="1900000"/>
    <n v="165.3899721448468"/>
    <n v="0.08421052631578947"/>
    <m/>
    <d v="2020-02-26T00:00:00"/>
    <x v="695"/>
    <m/>
    <x v="482"/>
    <s v="OH"/>
    <s v="Private"/>
    <m/>
    <m/>
    <m/>
    <s v=" "/>
    <s v=" "/>
    <m/>
    <s v=" "/>
    <s v=" "/>
    <s v=" "/>
    <m/>
    <s v=" "/>
  </r>
  <r>
    <m/>
    <s v="USPS"/>
    <s v="Federal"/>
    <s v="Fee Simple"/>
    <s v="1000 Progress Dr"/>
    <s v="Liberty"/>
    <s v="MO"/>
    <n v="3.47"/>
    <n v="1990"/>
    <n v="50000"/>
    <n v="50000"/>
    <n v="1"/>
    <m/>
    <s v=" "/>
    <m/>
    <s v=" "/>
    <m/>
    <m/>
    <m/>
    <s v=" "/>
    <s v=" "/>
    <m/>
    <m/>
    <m/>
    <m/>
    <s v=" "/>
    <s v=" "/>
    <m/>
    <d v="2020-02-24T00:00:00"/>
    <x v="8"/>
    <m/>
    <x v="66"/>
    <s v="CA"/>
    <s v="Private"/>
    <m/>
    <m/>
    <m/>
    <s v=" "/>
    <s v=" "/>
    <m/>
    <s v=" "/>
    <s v=" "/>
    <s v=" "/>
    <m/>
    <s v=" "/>
  </r>
  <r>
    <m/>
    <s v="DAAS"/>
    <s v="State"/>
    <s v="Fee Simple"/>
    <s v="686 E Mill St"/>
    <s v="San Bernardino"/>
    <s v="CA"/>
    <n v="2.9"/>
    <n v="1967"/>
    <n v="20148"/>
    <n v="33580"/>
    <n v="0.6"/>
    <m/>
    <s v=" "/>
    <m/>
    <s v=" "/>
    <m/>
    <m/>
    <m/>
    <s v=" "/>
    <s v=" "/>
    <m/>
    <m/>
    <m/>
    <n v="4600000"/>
    <n v="136.986301369863"/>
    <s v=" "/>
    <m/>
    <d v="2020-02-24T00:00:00"/>
    <x v="696"/>
    <m/>
    <x v="483"/>
    <s v="CA"/>
    <s v="User/Owner"/>
    <m/>
    <m/>
    <m/>
    <s v=" "/>
    <s v=" "/>
    <m/>
    <s v=" "/>
    <s v=" "/>
    <s v=" "/>
    <m/>
    <s v=" "/>
  </r>
  <r>
    <m/>
    <s v="National Counterterrorism Center"/>
    <s v="Federal"/>
    <s v="Fee Simple"/>
    <s v="499 Grove St"/>
    <s v="Herndon"/>
    <s v="VA"/>
    <n v="13.5"/>
    <n v="2004"/>
    <n v="492601"/>
    <n v="492601"/>
    <n v="1"/>
    <m/>
    <s v=" "/>
    <m/>
    <s v=" "/>
    <d v="2004-07-01T00:00:00"/>
    <d v="2034-06-30T00:00:00"/>
    <d v="2034-06-30T00:00:00"/>
    <n v="14.36712328767123"/>
    <n v="14.36712328767123"/>
    <s v="Modified Gross"/>
    <s v="None"/>
    <s v="None"/>
    <n v="256000000"/>
    <n v="519.690378216853"/>
    <s v=" "/>
    <m/>
    <d v="2020-02-20T00:00:00"/>
    <x v="697"/>
    <s v="Direct"/>
    <x v="242"/>
    <s v="TX"/>
    <s v="Institutional"/>
    <m/>
    <m/>
    <m/>
    <s v=" "/>
    <s v=" "/>
    <m/>
    <s v=" "/>
    <s v=" "/>
    <s v=" "/>
    <m/>
    <s v=" "/>
  </r>
  <r>
    <m/>
    <s v="State of CT"/>
    <s v="State"/>
    <s v="Fee Simple"/>
    <s v="38 Wellington Rd"/>
    <s v="Milford"/>
    <s v="CT"/>
    <n v="4.67"/>
    <n v="1981"/>
    <m/>
    <n v="39907"/>
    <s v=" "/>
    <m/>
    <s v=" "/>
    <m/>
    <s v=" "/>
    <m/>
    <m/>
    <m/>
    <s v=" "/>
    <s v=" "/>
    <m/>
    <m/>
    <m/>
    <n v="4575000"/>
    <n v="114.6415415841832"/>
    <s v=" "/>
    <m/>
    <d v="2020-02-20T00:00:00"/>
    <x v="8"/>
    <m/>
    <x v="484"/>
    <s v="CT"/>
    <s v="Private"/>
    <m/>
    <m/>
    <m/>
    <s v=" "/>
    <s v=" "/>
    <m/>
    <s v=" "/>
    <s v=" "/>
    <s v=" "/>
    <m/>
    <s v=" "/>
  </r>
  <r>
    <m/>
    <s v="USPS"/>
    <s v="Federal"/>
    <s v="Fee Simple"/>
    <s v="22 Country Road 391 E"/>
    <s v="Sweet Home"/>
    <s v="TX"/>
    <m/>
    <n v="1945"/>
    <m/>
    <n v="511"/>
    <s v=" "/>
    <n v="3680"/>
    <s v=" "/>
    <m/>
    <s v=" "/>
    <m/>
    <m/>
    <m/>
    <s v=" "/>
    <s v=" "/>
    <m/>
    <m/>
    <m/>
    <m/>
    <s v=" "/>
    <s v=" "/>
    <m/>
    <d v="2020-02-20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8494 W Stockton St"/>
    <s v="Thornton"/>
    <s v="CA"/>
    <n v="0.32"/>
    <n v="1968"/>
    <n v="1500"/>
    <n v="1500"/>
    <n v="1"/>
    <n v="23250"/>
    <n v="15.5"/>
    <n v="18625"/>
    <n v="12.41666666666667"/>
    <d v="2019-10-23T00:00:00"/>
    <d v="2024-09-30T00:00:00"/>
    <d v="2019-11-10T00:00:00"/>
    <n v="4.613698630136986"/>
    <n v="-0.2794520547945206"/>
    <s v="Rider"/>
    <s v="Option"/>
    <s v="2, 5 year"/>
    <n v="262800"/>
    <n v="175.2"/>
    <n v="0.07087138508371385"/>
    <m/>
    <d v="2020-02-20T00:00:00"/>
    <x v="8"/>
    <s v="TCP; Harrison"/>
    <x v="0"/>
    <m/>
    <m/>
    <m/>
    <m/>
    <n v="270000"/>
    <n v="0.06898148148148148"/>
    <n v="0.9733333333333334"/>
    <n v="270000"/>
    <n v="0.06898148148148148"/>
    <n v="0.001889903602232373"/>
    <s v="No"/>
    <d v="2020-01-13T00:00:00"/>
    <n v="38"/>
  </r>
  <r>
    <m/>
    <s v="DOJ"/>
    <s v="Federal"/>
    <s v="Fee Simple"/>
    <s v="808 Nashville Hwy"/>
    <s v="Columbia"/>
    <s v="TN"/>
    <n v="0.52"/>
    <n v="1960"/>
    <n v="3190"/>
    <n v="3190"/>
    <n v="1"/>
    <n v="77828"/>
    <n v="24.3974921630094"/>
    <n v="57461"/>
    <n v="18.0128526645768"/>
    <m/>
    <d v="2031-06-30T00:00:00"/>
    <d v="2031-06-30T00:00:00"/>
    <n v="11.36712328767123"/>
    <n v="11.36712328767123"/>
    <m/>
    <m/>
    <m/>
    <n v="843264"/>
    <n v="264.3460815047022"/>
    <n v="0.06814117524286582"/>
    <m/>
    <d v="2020-02-19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8283 S State Rd"/>
    <s v="Goodrich"/>
    <s v="MI"/>
    <m/>
    <m/>
    <n v="7145"/>
    <n v="7145"/>
    <n v="1"/>
    <m/>
    <s v=" "/>
    <m/>
    <s v=" "/>
    <m/>
    <m/>
    <m/>
    <s v=" "/>
    <s v=" "/>
    <m/>
    <m/>
    <m/>
    <n v="690276"/>
    <n v="96.60965710286914"/>
    <s v=" "/>
    <m/>
    <d v="2020-02-1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103 State Route 322"/>
    <s v="Windsor"/>
    <s v="OH"/>
    <m/>
    <m/>
    <n v="816"/>
    <n v="816"/>
    <n v="1"/>
    <m/>
    <s v=" "/>
    <m/>
    <s v=" "/>
    <m/>
    <m/>
    <m/>
    <s v=" "/>
    <s v=" "/>
    <m/>
    <m/>
    <m/>
    <n v="106339"/>
    <n v="130.3174019607843"/>
    <s v=" "/>
    <m/>
    <d v="2020-02-19T00:00:00"/>
    <x v="8"/>
    <m/>
    <x v="66"/>
    <s v="CA"/>
    <s v="Private"/>
    <m/>
    <m/>
    <m/>
    <s v=" "/>
    <s v=" "/>
    <m/>
    <s v=" "/>
    <s v=" "/>
    <s v=" "/>
    <m/>
    <s v=" "/>
  </r>
  <r>
    <m/>
    <s v="SSA"/>
    <s v="Federal"/>
    <s v="Fee Simple"/>
    <s v="332 Main St"/>
    <s v="Poughkeepsie"/>
    <s v="NY"/>
    <n v="0.8100000000000001"/>
    <n v="1950"/>
    <m/>
    <n v="164776"/>
    <s v=" "/>
    <m/>
    <s v=" "/>
    <m/>
    <s v=" "/>
    <m/>
    <m/>
    <m/>
    <s v=" "/>
    <s v=" "/>
    <m/>
    <m/>
    <m/>
    <n v="20000000"/>
    <n v="121.3768995484779"/>
    <s v=" "/>
    <m/>
    <d v="2020-02-18T00:00:00"/>
    <x v="8"/>
    <m/>
    <x v="485"/>
    <s v="NY"/>
    <s v="Private"/>
    <m/>
    <m/>
    <m/>
    <s v=" "/>
    <s v=" "/>
    <m/>
    <s v=" "/>
    <s v=" "/>
    <s v=" "/>
    <m/>
    <s v=" "/>
  </r>
  <r>
    <m/>
    <s v="PA DOL"/>
    <s v="State"/>
    <s v="Fee Simple"/>
    <s v="241 E Market St"/>
    <s v="Clearfield"/>
    <s v="PA"/>
    <n v="0.21"/>
    <n v="1929"/>
    <n v="3800"/>
    <n v="24810"/>
    <n v="0.1531640467553406"/>
    <m/>
    <s v=" "/>
    <m/>
    <s v=" "/>
    <d v="2009-03-01T00:00:00"/>
    <d v="2024-02-01T00:00:00"/>
    <m/>
    <n v="3.967123287671233"/>
    <s v=" "/>
    <s v="Full Service"/>
    <s v="None"/>
    <s v="None"/>
    <n v="390000"/>
    <n v="15.71946795646917"/>
    <s v=" "/>
    <m/>
    <d v="2020-02-14T00:00:00"/>
    <x v="698"/>
    <s v="M&amp;M; Fenn"/>
    <x v="486"/>
    <s v="PA"/>
    <s v="Private"/>
    <m/>
    <m/>
    <n v="505500"/>
    <s v=" "/>
    <n v="0.771513353115727"/>
    <n v="399000"/>
    <s v=" "/>
    <s v=" "/>
    <s v="Yes"/>
    <d v="2019-02-21T00:00:00"/>
    <n v="358"/>
  </r>
  <r>
    <m/>
    <s v="USPS"/>
    <s v="Federal"/>
    <s v="Fee Simple"/>
    <s v="35 Washington Ave"/>
    <s v="LaBelle"/>
    <s v="FL"/>
    <n v="1.59"/>
    <n v="1984"/>
    <m/>
    <n v="4440"/>
    <s v=" "/>
    <m/>
    <s v=" "/>
    <n v="43531"/>
    <n v="9.80427927927928"/>
    <d v="2020-01-01T00:00:00"/>
    <d v="2024-12-31T00:00:00"/>
    <m/>
    <n v="4.884931506849315"/>
    <s v=" "/>
    <m/>
    <m/>
    <m/>
    <n v="580000"/>
    <n v="130.6306306306306"/>
    <n v="0.07505344827586206"/>
    <m/>
    <d v="2020-02-13T00:00:00"/>
    <x v="668"/>
    <s v="M&amp;M; Johnson"/>
    <x v="0"/>
    <m/>
    <m/>
    <m/>
    <m/>
    <n v="642050"/>
    <n v="0.06780001557511098"/>
    <n v="0.9033564364146095"/>
    <n v="642050"/>
    <n v="0.06780001557511098"/>
    <n v="0.007253432700751086"/>
    <s v="No"/>
    <d v="2019-09-24T00:00:00"/>
    <n v="142"/>
  </r>
  <r>
    <m/>
    <s v="Multi"/>
    <s v="State"/>
    <s v="Fee Simple"/>
    <s v="445-485 Atlanta South Pkwy"/>
    <s v="Atlanta"/>
    <s v="GA"/>
    <n v="7.7"/>
    <n v="1987"/>
    <n v="50254"/>
    <n v="84309"/>
    <n v="0.5960692215540453"/>
    <n v="1034327"/>
    <n v="20.58198352369961"/>
    <n v="644745"/>
    <n v="7.647404191723304"/>
    <m/>
    <d v="2028-12-30T00:00:00"/>
    <d v="2020-12-31T00:00:00"/>
    <n v="8.887671232876713"/>
    <n v="0.8849315068493151"/>
    <s v="FS"/>
    <s v="2% annually"/>
    <s v="None"/>
    <n v="7950000"/>
    <n v="94.29598263530583"/>
    <n v="0.08110000000000001"/>
    <m/>
    <d v="2020-02-12T00:00:00"/>
    <x v="699"/>
    <s v="SJC; Briggs"/>
    <x v="62"/>
    <s v="IL"/>
    <s v="Private"/>
    <m/>
    <m/>
    <m/>
    <s v=" "/>
    <s v=" "/>
    <m/>
    <s v=" "/>
    <s v=" "/>
    <s v=" "/>
    <m/>
    <s v=" "/>
  </r>
  <r>
    <s v="LTX17131"/>
    <s v="CBP"/>
    <s v="Federal"/>
    <s v="Fee Simple"/>
    <s v="7141 Office City Dr"/>
    <s v="Houston"/>
    <s v="TX"/>
    <n v="1.79"/>
    <n v="1976"/>
    <n v="17852"/>
    <n v="23850"/>
    <n v="0.7485115303983229"/>
    <n v="274511.06"/>
    <n v="15.37704794980955"/>
    <n v="179212.5"/>
    <n v="7.514150943396227"/>
    <d v="2012-11-26T00:00:00"/>
    <d v="2022-11-25T00:00:00"/>
    <d v="2014-11-25T00:00:00"/>
    <n v="2.8"/>
    <n v="-5.205479452054795"/>
    <s v="Modified Gross"/>
    <s v="None"/>
    <s v="None"/>
    <n v="1960000"/>
    <n v="82.18029350104821"/>
    <n v="0.09143494897959184"/>
    <m/>
    <d v="2020-02-07T00:00:00"/>
    <x v="700"/>
    <s v="M&amp;M; Fenn"/>
    <x v="487"/>
    <s v="TX"/>
    <s v="Private"/>
    <m/>
    <m/>
    <n v="2025000"/>
    <n v="0.0885"/>
    <n v="0.9679012345679012"/>
    <n v="2025000"/>
    <n v="0.0885"/>
    <n v="0.002934948979591845"/>
    <s v="No"/>
    <d v="2018-11-28T00:00:00"/>
    <n v="436"/>
  </r>
  <r>
    <m/>
    <s v="USPS"/>
    <s v="Federal"/>
    <s v="Fee Simple"/>
    <s v="45 N Union Ave"/>
    <s v="Lansdowne"/>
    <s v="PA"/>
    <n v="2.2"/>
    <n v="1950"/>
    <m/>
    <n v="26500"/>
    <s v=" "/>
    <n v="192000"/>
    <s v=" "/>
    <m/>
    <s v=" "/>
    <m/>
    <m/>
    <m/>
    <s v=" "/>
    <s v=" "/>
    <m/>
    <m/>
    <m/>
    <n v="2400000"/>
    <n v="90.56603773584905"/>
    <s v=" "/>
    <m/>
    <d v="2020-02-07T00:00:00"/>
    <x v="8"/>
    <m/>
    <x v="0"/>
    <m/>
    <m/>
    <m/>
    <m/>
    <m/>
    <s v=" "/>
    <s v=" "/>
    <m/>
    <s v=" "/>
    <s v=" "/>
    <s v=" "/>
    <m/>
    <s v=" "/>
  </r>
  <r>
    <m/>
    <s v="Multi"/>
    <s v="State &amp; Federal"/>
    <s v="Fee Simple"/>
    <s v="5 Executive Campus"/>
    <s v="Cherry Hill"/>
    <s v="NJ"/>
    <n v="13.54"/>
    <n v="1970"/>
    <m/>
    <n v="167017"/>
    <s v=" "/>
    <m/>
    <s v=" "/>
    <m/>
    <s v=" "/>
    <m/>
    <m/>
    <m/>
    <s v=" "/>
    <s v=" "/>
    <m/>
    <m/>
    <m/>
    <n v="28374518"/>
    <n v="169.8899992216361"/>
    <s v=" "/>
    <m/>
    <d v="2020-02-03T00:00:00"/>
    <x v="8"/>
    <m/>
    <x v="0"/>
    <m/>
    <m/>
    <m/>
    <m/>
    <m/>
    <s v=" "/>
    <s v=" "/>
    <m/>
    <s v=" "/>
    <s v=" "/>
    <s v=" "/>
    <m/>
    <s v=" "/>
  </r>
  <r>
    <m/>
    <s v="BHSS"/>
    <s v="County"/>
    <s v="Fee Simple"/>
    <s v="229 Main St"/>
    <s v="Brawley"/>
    <s v="CA"/>
    <n v="0.34"/>
    <n v="2020"/>
    <n v="6475"/>
    <n v="6475"/>
    <n v="1"/>
    <m/>
    <s v=" "/>
    <n v="145090"/>
    <n v="22.40772200772201"/>
    <d v="2019-09-25T00:00:00"/>
    <d v="2029-09-24T00:00:00"/>
    <m/>
    <n v="9.654794520547945"/>
    <s v=" "/>
    <m/>
    <s v="Lessor of CPI or 3% annually"/>
    <s v="None"/>
    <n v="2072727"/>
    <n v="320.112277992278"/>
    <n v="0.06999957061397859"/>
    <m/>
    <d v="2020-01-31T00:00:00"/>
    <x v="701"/>
    <s v="Patrick Luther; SRS"/>
    <x v="488"/>
    <s v="CA"/>
    <s v="Private"/>
    <m/>
    <s v="Elevate Commercial"/>
    <n v="2073000"/>
    <n v="0.06999035214664737"/>
    <n v="0.9998683068017367"/>
    <n v="2073000"/>
    <n v="0.06999035214664737"/>
    <n v="9.21846733122067e-06"/>
    <s v="No"/>
    <d v="2019-09-09T00:00:00"/>
    <n v="144"/>
  </r>
  <r>
    <m/>
    <s v="CHD Work Net"/>
    <s v="State"/>
    <s v="Fee Simple"/>
    <s v="631 E Oak St"/>
    <s v="Lodi"/>
    <s v="CA"/>
    <m/>
    <n v="1985"/>
    <n v="8051"/>
    <n v="8051"/>
    <n v="1"/>
    <m/>
    <s v=" "/>
    <n v="66314"/>
    <n v="8.236740777543162"/>
    <m/>
    <m/>
    <m/>
    <s v=" "/>
    <s v=" "/>
    <m/>
    <m/>
    <m/>
    <n v="710000"/>
    <n v="88.18780275742144"/>
    <n v="0.0934"/>
    <m/>
    <d v="2020-01-31T00:00:00"/>
    <x v="702"/>
    <s v="CP; Lucas"/>
    <x v="489"/>
    <s v="CA"/>
    <s v="Private"/>
    <m/>
    <m/>
    <n v="775928"/>
    <n v="0.08546411522718603"/>
    <n v="0.9150333536101288"/>
    <n v="775928"/>
    <n v="0.08546411522718603"/>
    <n v="0.00793588477281397"/>
    <s v="No"/>
    <d v="2019-09-03T00:00:00"/>
    <n v="150"/>
  </r>
  <r>
    <m/>
    <s v="BLM"/>
    <s v="Federal"/>
    <s v="Fee Simple"/>
    <s v="1340 Financial Blvd"/>
    <s v="Reno"/>
    <s v="NV"/>
    <n v="4.5"/>
    <n v="1997"/>
    <n v="57042"/>
    <n v="57042"/>
    <n v="1"/>
    <n v="944045"/>
    <n v="16.54999824690579"/>
    <n v="807617"/>
    <n v="14.15828687633674"/>
    <d v="1997-09-01T00:00:00"/>
    <d v="2024-03-26T00:00:00"/>
    <d v="2020-03-26T00:00:00"/>
    <n v="4.156164383561644"/>
    <n v="0.1534246575342466"/>
    <s v="Modified Gross"/>
    <s v="None"/>
    <s v="None"/>
    <n v="11200000"/>
    <n v="196.3465516636864"/>
    <n v="0.07210866071428572"/>
    <m/>
    <d v="2020-01-30T00:00:00"/>
    <x v="691"/>
    <s v="NAI"/>
    <x v="490"/>
    <s v="CA"/>
    <s v="Private"/>
    <m/>
    <m/>
    <n v="11500000"/>
    <n v="0.07022756521739131"/>
    <n v="0.9739130434782609"/>
    <n v="11500000"/>
    <n v="0.07022756521739131"/>
    <n v="0.001881095496894414"/>
    <s v="No"/>
    <d v="2019-09-18T00:00:00"/>
    <n v="134"/>
  </r>
  <r>
    <m/>
    <s v="Multi "/>
    <s v="State"/>
    <s v="Fee Simple"/>
    <s v="1800 SW 1st Ave"/>
    <s v="Portland"/>
    <s v="OR"/>
    <n v="1.37"/>
    <s v="1973 | 1992"/>
    <m/>
    <n v="187199"/>
    <s v=" "/>
    <m/>
    <s v=" "/>
    <m/>
    <s v=" "/>
    <m/>
    <m/>
    <m/>
    <s v=" "/>
    <s v=" "/>
    <m/>
    <m/>
    <m/>
    <n v="52800000"/>
    <n v="282.0527887435296"/>
    <s v=" "/>
    <m/>
    <d v="2020-01-24T00:00:00"/>
    <x v="703"/>
    <s v="Jll: Davidson"/>
    <x v="491"/>
    <m/>
    <s v="Private"/>
    <m/>
    <m/>
    <m/>
    <s v=" "/>
    <s v=" "/>
    <m/>
    <s v=" "/>
    <s v=" "/>
    <s v=" "/>
    <m/>
    <s v=" "/>
  </r>
  <r>
    <s v="LMO00179"/>
    <s v="SSA"/>
    <s v="Federal"/>
    <s v="Fee Simple"/>
    <s v="2445 Cape Centre Dr"/>
    <s v="Cape Girardeau"/>
    <s v="MO"/>
    <n v="1.7"/>
    <n v="2011"/>
    <n v="9738"/>
    <n v="9738"/>
    <n v="1"/>
    <n v="240556.37"/>
    <n v="24.7028517149312"/>
    <m/>
    <s v=" "/>
    <d v="2021-04-08T00:00:00"/>
    <d v="2036-04-07T00:00:00"/>
    <d v="2031-04-08T00:00:00"/>
    <n v="16.23287671232877"/>
    <n v="11.23013698630137"/>
    <s v="Modified Gross"/>
    <s v="None"/>
    <s v="None"/>
    <n v="2600000"/>
    <n v="266.9952762374204"/>
    <s v=" "/>
    <m/>
    <d v="2020-01-17T00:00:00"/>
    <x v="31"/>
    <m/>
    <x v="453"/>
    <s v="SD"/>
    <s v="Private"/>
    <s v="BW; Wells"/>
    <m/>
    <m/>
    <s v=" "/>
    <s v=" "/>
    <m/>
    <s v=" "/>
    <s v=" "/>
    <s v=" "/>
    <m/>
    <s v=" "/>
  </r>
  <r>
    <m/>
    <s v="USPS"/>
    <s v="Federal"/>
    <s v="Fee Simple"/>
    <s v="606 Frio St"/>
    <s v="George West"/>
    <s v="TX"/>
    <m/>
    <m/>
    <n v="4210"/>
    <n v="4210"/>
    <n v="1"/>
    <m/>
    <s v=" "/>
    <m/>
    <s v=" "/>
    <m/>
    <m/>
    <m/>
    <s v=" "/>
    <s v=" "/>
    <m/>
    <m/>
    <m/>
    <m/>
    <s v=" "/>
    <s v=" "/>
    <m/>
    <d v="2020-01-16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404 E Wall St"/>
    <s v="Karnes City"/>
    <s v="TX"/>
    <n v="0.5620000000000001"/>
    <m/>
    <n v="4250"/>
    <n v="4250"/>
    <n v="1"/>
    <m/>
    <s v=" "/>
    <m/>
    <s v=" "/>
    <m/>
    <m/>
    <m/>
    <s v=" "/>
    <s v=" "/>
    <m/>
    <m/>
    <m/>
    <m/>
    <s v=" "/>
    <s v=" "/>
    <m/>
    <d v="2020-01-16T00:00:00"/>
    <x v="8"/>
    <m/>
    <x v="66"/>
    <s v="CA"/>
    <s v="Private"/>
    <m/>
    <m/>
    <m/>
    <s v=" "/>
    <s v=" "/>
    <m/>
    <s v=" "/>
    <s v=" "/>
    <s v=" "/>
    <m/>
    <s v=" "/>
  </r>
  <r>
    <s v="LCA00267"/>
    <s v="SSA"/>
    <s v="Federal"/>
    <s v="Fee Simple"/>
    <s v="19851 - 19853 Nordhoff St"/>
    <s v="Northridge"/>
    <s v="CA"/>
    <n v="7.37"/>
    <n v="2006"/>
    <n v="22237"/>
    <n v="22237"/>
    <n v="1"/>
    <n v="753167.1899999999"/>
    <n v="33.87"/>
    <n v="565875"/>
    <n v="25.44745244412466"/>
    <d v="2018-03-09T00:00:00"/>
    <d v="2033-03-08T00:00:00"/>
    <d v="2033-03-08T00:00:00"/>
    <n v="13.15068493150685"/>
    <n v="13.15068493150685"/>
    <s v="Modified Gross"/>
    <s v="None"/>
    <s v="None"/>
    <n v="10500000"/>
    <n v="472.1859963124522"/>
    <n v="0.05389285714285715"/>
    <m/>
    <d v="2020-01-16T00:00:00"/>
    <x v="704"/>
    <s v="Newmark"/>
    <x v="343"/>
    <s v="CA"/>
    <s v="Private"/>
    <m/>
    <m/>
    <n v="11250000"/>
    <n v="0.0503"/>
    <n v="0.9333333333333333"/>
    <n v="11250000"/>
    <n v="0.0503"/>
    <n v="0.003592857142857148"/>
    <s v="No"/>
    <d v="2019-10-09T00:00:00"/>
    <n v="99"/>
  </r>
  <r>
    <m/>
    <s v="USPS"/>
    <s v="Federal"/>
    <s v="Fee Simple"/>
    <s v="301 E Hayes St"/>
    <s v="Savoy"/>
    <s v="TX"/>
    <n v="0.0712"/>
    <m/>
    <n v="2846"/>
    <n v="2846"/>
    <n v="1"/>
    <m/>
    <s v=" "/>
    <m/>
    <s v=" "/>
    <m/>
    <m/>
    <m/>
    <s v=" "/>
    <s v=" "/>
    <m/>
    <m/>
    <m/>
    <m/>
    <s v=" "/>
    <s v=" "/>
    <m/>
    <d v="2020-01-16T00:00:00"/>
    <x v="8"/>
    <m/>
    <x v="66"/>
    <s v="CA"/>
    <s v="Private"/>
    <m/>
    <m/>
    <m/>
    <s v=" "/>
    <s v=" "/>
    <m/>
    <s v=" "/>
    <s v=" "/>
    <s v=" "/>
    <m/>
    <s v=" "/>
  </r>
  <r>
    <m/>
    <s v="Technical College System of Georgia"/>
    <s v="State"/>
    <s v="Fee Simple"/>
    <s v="1800 Century Pl NE"/>
    <s v="Atlanta"/>
    <s v="GA"/>
    <n v="4"/>
    <n v="1984"/>
    <n v="90440"/>
    <n v="93754"/>
    <n v="0.9646521748405401"/>
    <n v="1903728.19"/>
    <n v="21.04962616099071"/>
    <m/>
    <s v=" "/>
    <d v="2019-01-01T00:00:00"/>
    <d v="2031-06-30T00:00:00"/>
    <m/>
    <n v="11.46301369863014"/>
    <s v=" "/>
    <s v="Full Service"/>
    <m/>
    <m/>
    <n v="16300000"/>
    <n v="173.8592486720567"/>
    <s v=" "/>
    <m/>
    <d v="2020-01-15T00:00:00"/>
    <x v="705"/>
    <m/>
    <x v="492"/>
    <s v="GA"/>
    <s v="Private"/>
    <m/>
    <m/>
    <m/>
    <s v=" "/>
    <s v=" "/>
    <m/>
    <s v=" "/>
    <s v=" "/>
    <s v=" "/>
    <m/>
    <s v=" "/>
  </r>
  <r>
    <m/>
    <s v="DOL"/>
    <s v="Federal"/>
    <s v="Fee Simple"/>
    <s v="1881-1885 Dixie Hwy"/>
    <s v="Fort Wright"/>
    <s v="KY"/>
    <n v="2.38"/>
    <m/>
    <n v="16041"/>
    <n v="63000"/>
    <n v="0.2546190476190476"/>
    <m/>
    <s v=" "/>
    <n v="510625"/>
    <n v="8.105158730158729"/>
    <d v="2018-08-01T00:00:00"/>
    <d v="2033-07-31T00:00:00"/>
    <d v="2028-08-01T00:00:00"/>
    <n v="13.55068493150685"/>
    <n v="8.550684931506849"/>
    <s v="Modified Gross"/>
    <s v="None"/>
    <s v="None"/>
    <n v="5375000"/>
    <n v="85.31746031746032"/>
    <n v="0.095"/>
    <m/>
    <d v="2020-01-15T00:00:00"/>
    <x v="706"/>
    <s v="M&amp;M; DiSalvo"/>
    <x v="493"/>
    <s v="OH"/>
    <s v="Private"/>
    <m/>
    <m/>
    <m/>
    <s v=" "/>
    <s v=" "/>
    <m/>
    <s v=" "/>
    <s v=" "/>
    <s v=" "/>
    <m/>
    <s v=" "/>
  </r>
  <r>
    <m/>
    <s v="USPS"/>
    <s v="Federal"/>
    <s v="Fee Simple"/>
    <s v="310 E 3rd St"/>
    <s v="Imlay City"/>
    <s v="MI"/>
    <n v="2.85"/>
    <n v="1956"/>
    <n v="2611"/>
    <n v="2611"/>
    <n v="1"/>
    <m/>
    <s v=" "/>
    <m/>
    <s v=" "/>
    <m/>
    <m/>
    <m/>
    <s v=" "/>
    <s v=" "/>
    <m/>
    <m/>
    <m/>
    <n v="342500"/>
    <n v="131.1757947146687"/>
    <s v=" "/>
    <m/>
    <d v="2020-01-15T00:00:00"/>
    <x v="8"/>
    <m/>
    <x v="66"/>
    <s v="CA"/>
    <s v="Private"/>
    <m/>
    <m/>
    <m/>
    <s v=" "/>
    <s v=" "/>
    <m/>
    <s v=" "/>
    <s v=" "/>
    <s v=" "/>
    <m/>
    <s v=" "/>
  </r>
  <r>
    <m/>
    <s v="DOT/FW/R"/>
    <s v="State"/>
    <s v="Fee Simple"/>
    <s v="3185 Blairstone Rd"/>
    <s v="Tallahassee"/>
    <s v="FL"/>
    <n v="31.77"/>
    <n v="2019"/>
    <n v="160920"/>
    <n v="160920"/>
    <n v="1"/>
    <m/>
    <s v=" "/>
    <n v="3133530"/>
    <n v="19.47259507829978"/>
    <d v="2019-07-01T00:00:00"/>
    <d v="2034-06-30T00:00:00"/>
    <m/>
    <n v="14.46575342465753"/>
    <s v=" "/>
    <s v="Full Service"/>
    <s v="2% annually"/>
    <s v="None"/>
    <n v="47050000"/>
    <n v="292.3813074819786"/>
    <n v="0.06660000000000001"/>
    <m/>
    <d v="2020-01-15T00:00:00"/>
    <x v="406"/>
    <s v="Newmark; Galla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9241 Old State Hwy"/>
    <s v="Newcastle"/>
    <s v="CA"/>
    <n v="1.194903581267218"/>
    <n v="1965"/>
    <n v="4178"/>
    <n v="4178"/>
    <n v="1"/>
    <n v="58556"/>
    <n v="14.01531833413116"/>
    <n v="56330.75"/>
    <n v="13.48270703685974"/>
    <d v="2015-08-01T00:00:00"/>
    <d v="2025-08-04T00:00:00"/>
    <d v="2025-08-04T00:00:00"/>
    <n v="5.572602739726028"/>
    <n v="5.572602739726028"/>
    <s v="Rider"/>
    <s v="Option"/>
    <s v="1, 5 year"/>
    <n v="850000"/>
    <n v="203.4466251795117"/>
    <n v="0.06627147058823529"/>
    <m/>
    <d v="2020-01-09T00:00:00"/>
    <x v="707"/>
    <s v="TCP; Harrison"/>
    <x v="494"/>
    <s v="CA"/>
    <s v="Private"/>
    <m/>
    <m/>
    <m/>
    <s v=" "/>
    <s v=" "/>
    <m/>
    <s v=" "/>
    <s v=" "/>
    <s v=" "/>
    <d v="2019-10-01T00:00:00"/>
    <n v="100"/>
  </r>
  <r>
    <m/>
    <s v="FBI"/>
    <s v="Federal"/>
    <s v="Fee Simple"/>
    <s v="2721 Jefferson Davis Hwy"/>
    <s v="Stafford"/>
    <s v="VA"/>
    <n v="3.43"/>
    <n v="1989"/>
    <n v="64488"/>
    <n v="64448"/>
    <n v="1.000620655412115"/>
    <m/>
    <s v=" "/>
    <n v="1125040"/>
    <n v="17.45655412115194"/>
    <m/>
    <d v="2023-12-31T00:00:00"/>
    <d v="2018-12-31T00:00:00"/>
    <n v="3.980821917808219"/>
    <n v="-1.021917808219178"/>
    <s v="Modified Gross"/>
    <s v="None"/>
    <s v="None"/>
    <n v="14063000"/>
    <n v="218.2069265143992"/>
    <n v="0.08"/>
    <m/>
    <d v="2020-01-08T00:00:00"/>
    <x v="247"/>
    <s v="JLL; Molloy"/>
    <x v="429"/>
    <s v="NY"/>
    <s v="Private"/>
    <m/>
    <m/>
    <m/>
    <s v=" "/>
    <s v=" "/>
    <m/>
    <s v=" "/>
    <s v=" "/>
    <s v=" "/>
    <m/>
    <s v=" "/>
  </r>
  <r>
    <m/>
    <s v="DHA"/>
    <s v="Federal"/>
    <s v="Fee Simple"/>
    <s v="16401 E Centretech Pky"/>
    <s v="Aurora"/>
    <s v="CO"/>
    <n v="7.32"/>
    <n v="1998"/>
    <n v="116500"/>
    <n v="116500"/>
    <n v="1"/>
    <m/>
    <s v=" "/>
    <n v="797500"/>
    <n v="6.84549356223176"/>
    <m/>
    <d v="2034-04-30T00:00:00"/>
    <d v="2029-05-30T00:00:00"/>
    <n v="14.32054794520548"/>
    <n v="9.4"/>
    <s v="Modified Gross"/>
    <m/>
    <m/>
    <n v="14500000"/>
    <n v="124.4635193133047"/>
    <n v="0.055"/>
    <m/>
    <d v="2020-01-07T00:00:00"/>
    <x v="611"/>
    <s v="C&amp;W; Hendrickson"/>
    <x v="3"/>
    <s v="DC"/>
    <s v="REIT"/>
    <m/>
    <m/>
    <m/>
    <s v=" "/>
    <s v=" "/>
    <m/>
    <s v=" "/>
    <s v=" "/>
    <s v=" "/>
    <m/>
    <s v=" "/>
  </r>
  <r>
    <m/>
    <s v="FDA"/>
    <s v="Federal"/>
    <s v="Fee Simple"/>
    <s v="7500 Standish Pl"/>
    <s v="Rockville"/>
    <s v="MD"/>
    <n v="5.63"/>
    <n v="1990"/>
    <n v="113730"/>
    <n v="113730"/>
    <n v="1"/>
    <m/>
    <s v=" "/>
    <m/>
    <s v=" "/>
    <m/>
    <d v="2025-11-30T00:00:00"/>
    <d v="2020-11-30T00:00:00"/>
    <n v="5.901369863013699"/>
    <n v="0.8986301369863013"/>
    <m/>
    <m/>
    <m/>
    <n v="30000000"/>
    <n v="263.7826431020839"/>
    <s v=" "/>
    <m/>
    <d v="2020-01-07T00:00:00"/>
    <x v="439"/>
    <s v="Direct"/>
    <x v="1"/>
    <s v="IL"/>
    <s v="Private"/>
    <m/>
    <m/>
    <m/>
    <s v=" "/>
    <s v=" "/>
    <m/>
    <s v=" "/>
    <s v=" "/>
    <s v=" "/>
    <m/>
    <s v=" "/>
  </r>
  <r>
    <m/>
    <s v="FEMA"/>
    <s v="Federal"/>
    <s v="Fee Simple"/>
    <s v="3005 Chamblee Tucker Road"/>
    <s v="Atlanta"/>
    <s v="GA"/>
    <n v="6.86"/>
    <n v="1990"/>
    <m/>
    <n v="113902"/>
    <s v=" "/>
    <m/>
    <s v=" "/>
    <m/>
    <s v=" "/>
    <m/>
    <m/>
    <m/>
    <s v=" "/>
    <s v=" "/>
    <m/>
    <m/>
    <m/>
    <n v="3725000"/>
    <n v="32.70355217643237"/>
    <s v=" "/>
    <m/>
    <d v="2020-01-06T00:00:00"/>
    <x v="8"/>
    <m/>
    <x v="0"/>
    <m/>
    <m/>
    <m/>
    <m/>
    <m/>
    <s v=" "/>
    <s v=" "/>
    <m/>
    <s v=" "/>
    <s v=" "/>
    <s v=" "/>
    <m/>
    <s v=" "/>
  </r>
  <r>
    <m/>
    <s v="SSA"/>
    <s v="Federal"/>
    <s v="Fee Simple"/>
    <s v="456 San Fernando Mission Blvd"/>
    <s v="San Fernando"/>
    <s v="CA"/>
    <n v="0.52"/>
    <n v="1960"/>
    <n v="7622"/>
    <n v="9622"/>
    <n v="0.7921430056121388"/>
    <n v="321125.84"/>
    <n v="42.13144056678038"/>
    <n v="257241"/>
    <n v="26.7346705466639"/>
    <d v="2018-03-01T00:00:00"/>
    <d v="2033-02-28T00:00:00"/>
    <d v="2028-03-01T00:00:00"/>
    <n v="13.15616438356164"/>
    <n v="8.156164383561643"/>
    <s v="Modified Gross"/>
    <s v="None"/>
    <s v="None"/>
    <n v="4035000"/>
    <n v="419.3514861775099"/>
    <n v="0.06375241635687733"/>
    <m/>
    <d v="2020-01-06T00:00:00"/>
    <x v="708"/>
    <s v="CBRE"/>
    <x v="495"/>
    <s v="CA"/>
    <s v="Private"/>
    <s v="CRS; Joshi"/>
    <m/>
    <n v="4200000"/>
    <n v="0.06124785714285715"/>
    <n v="0.9607142857142857"/>
    <n v="4200000"/>
    <n v="0.06124785714285715"/>
    <n v="0.00250455921402018"/>
    <s v="No"/>
    <d v="2019-06-21T00:00:00"/>
    <n v="199"/>
  </r>
  <r>
    <s v="LKS50038"/>
    <s v="SSA"/>
    <s v="Federal"/>
    <s v="Fee Simple"/>
    <s v="600 SW Commerce Pl"/>
    <s v="Topeka"/>
    <s v="KS"/>
    <n v="2.06"/>
    <n v="2006"/>
    <n v="13286"/>
    <n v="13286"/>
    <n v="1"/>
    <n v="311446.97"/>
    <n v="23.44174093030257"/>
    <n v="130226"/>
    <n v="9.801746199006473"/>
    <d v="2007-01-16T00:00:00"/>
    <d v="2021-01-15T00:00:00"/>
    <d v="2015-01-15T00:00:00"/>
    <n v="1.027397260273973"/>
    <n v="-4.978082191780822"/>
    <s v="Modified Gross"/>
    <s v="None"/>
    <s v="None"/>
    <m/>
    <s v=" "/>
    <s v=" "/>
    <m/>
    <d v="2020-01-06T00:00:00"/>
    <x v="709"/>
    <m/>
    <x v="496"/>
    <s v="MT"/>
    <s v="Private"/>
    <s v="BW; Wells"/>
    <m/>
    <m/>
    <s v=" "/>
    <s v=" "/>
    <m/>
    <s v=" "/>
    <s v=" "/>
    <s v=" "/>
    <m/>
    <s v=" "/>
  </r>
  <r>
    <m/>
    <m/>
    <s v="Federal"/>
    <m/>
    <s v="Portfolio of 28"/>
    <m/>
    <m/>
    <m/>
    <m/>
    <n v="445000"/>
    <n v="445000"/>
    <n v="1"/>
    <m/>
    <s v=" "/>
    <m/>
    <s v=" "/>
    <m/>
    <m/>
    <m/>
    <s v=" "/>
    <s v=" "/>
    <m/>
    <m/>
    <m/>
    <n v="83200000"/>
    <n v="186.9662921348315"/>
    <s v=" "/>
    <m/>
    <d v="2020-01-06T00:00:00"/>
    <x v="397"/>
    <s v="Colliers; Rossi-Campton"/>
    <x v="497"/>
    <s v="TN"/>
    <s v="REIT"/>
    <m/>
    <m/>
    <m/>
    <s v=" "/>
    <s v=" "/>
    <m/>
    <s v=" "/>
    <s v=" "/>
    <s v=" "/>
    <m/>
    <s v=" "/>
  </r>
  <r>
    <m/>
    <s v="Multi"/>
    <s v="Federal"/>
    <s v="Fee Simple"/>
    <s v="1133 New Hanover"/>
    <s v="Hanover Township"/>
    <s v="PA"/>
    <n v="4.2231"/>
    <n v="2016"/>
    <m/>
    <m/>
    <s v=" "/>
    <m/>
    <s v=" "/>
    <m/>
    <s v=" "/>
    <m/>
    <m/>
    <m/>
    <s v=" "/>
    <s v=" "/>
    <m/>
    <m/>
    <m/>
    <n v="4125000"/>
    <s v=" "/>
    <s v=" "/>
    <m/>
    <d v="2020-01-03T00:00:00"/>
    <x v="223"/>
    <m/>
    <x v="498"/>
    <s v="NY"/>
    <s v="Private"/>
    <m/>
    <m/>
    <m/>
    <s v=" "/>
    <s v=" "/>
    <m/>
    <s v=" "/>
    <s v=" "/>
    <s v=" "/>
    <m/>
    <s v=" "/>
  </r>
  <r>
    <m/>
    <s v="Texas Health and Human Services"/>
    <s v="State"/>
    <s v="Fee Simple"/>
    <s v="2220 Forum Dr"/>
    <s v="Arlington"/>
    <s v="TX"/>
    <n v="2.99"/>
    <n v="2018"/>
    <n v="25536"/>
    <n v="25536"/>
    <n v="1"/>
    <m/>
    <s v=" "/>
    <m/>
    <s v=" "/>
    <m/>
    <d v="2027-12-31T00:00:00"/>
    <m/>
    <n v="8.005479452054795"/>
    <s v=" "/>
    <m/>
    <m/>
    <m/>
    <n v="3600000"/>
    <n v="140.9774436090225"/>
    <s v=" "/>
    <m/>
    <d v="2019-12-31T00:00:00"/>
    <x v="710"/>
    <m/>
    <x v="499"/>
    <s v="TX"/>
    <s v="Private"/>
    <m/>
    <m/>
    <m/>
    <s v=" "/>
    <s v=" "/>
    <m/>
    <s v=" "/>
    <s v=" "/>
    <s v=" "/>
    <m/>
    <s v=" "/>
  </r>
  <r>
    <s v="LMN00385"/>
    <s v="NWS"/>
    <s v="Federal"/>
    <s v="Fee Simple"/>
    <s v="1733 Lake Dr W"/>
    <s v="Chanhassen"/>
    <s v="MN"/>
    <n v="9.74"/>
    <m/>
    <n v="18151"/>
    <n v="18151"/>
    <n v="1"/>
    <n v="737282.78"/>
    <n v="40.61940278772519"/>
    <n v="545184"/>
    <n v="30.03603107266817"/>
    <d v="2019-07-24T00:00:00"/>
    <d v="2034-07-31T00:00:00"/>
    <d v="2034-07-31T00:00:00"/>
    <n v="14.59178082191781"/>
    <n v="14.59178082191781"/>
    <s v="Modified Gross"/>
    <s v="None"/>
    <s v="None"/>
    <n v="8640000"/>
    <n v="476.0068315795273"/>
    <n v="0.0631"/>
    <m/>
    <d v="2019-12-31T00:00:00"/>
    <x v="711"/>
    <s v="SJC; Briggs"/>
    <x v="500"/>
    <s v="MN"/>
    <s v="Private"/>
    <m/>
    <m/>
    <m/>
    <s v=" "/>
    <s v=" "/>
    <m/>
    <s v=" "/>
    <s v=" "/>
    <s v=" "/>
    <m/>
    <s v=" "/>
  </r>
  <r>
    <m/>
    <s v="DHS"/>
    <s v="State"/>
    <s v="Fee Simple"/>
    <s v="94145 5th Pl"/>
    <s v="Gold Beach"/>
    <s v="OR"/>
    <n v="0.77"/>
    <n v="1992"/>
    <n v="11250"/>
    <n v="11250"/>
    <n v="1"/>
    <m/>
    <s v=" "/>
    <n v="160355"/>
    <n v="14.25377777777778"/>
    <d v="2018-05-01T00:00:00"/>
    <d v="2022-04-30T00:00:00"/>
    <d v="2018-05-01T00:00:00"/>
    <n v="2.331506849315069"/>
    <n v="-1.668493150684931"/>
    <s v="Full Service"/>
    <s v="2.5% annually"/>
    <s v="None"/>
    <n v="1765000"/>
    <n v="156.8888888888889"/>
    <n v="0.0908526912181303"/>
    <m/>
    <d v="2019-12-31T00:00:00"/>
    <x v="712"/>
    <s v="M&amp;M; Fenn"/>
    <x v="501"/>
    <s v="OR"/>
    <s v="Private"/>
    <m/>
    <m/>
    <n v="1886529"/>
    <n v="0.0850000185525905"/>
    <n v="0.9355806351240824"/>
    <n v="1800000"/>
    <n v="0.08908611111111112"/>
    <n v="0.001766580107019189"/>
    <s v="Yes"/>
    <d v="2019-04-16T00:00:00"/>
    <n v="259"/>
  </r>
  <r>
    <m/>
    <s v="DOE"/>
    <s v="State"/>
    <s v="Fee Simple"/>
    <s v="3190 160th Ave SE"/>
    <s v="Bellevue"/>
    <s v="WA"/>
    <n v="3.66"/>
    <n v="1982"/>
    <n v="60423"/>
    <n v="60423"/>
    <n v="1"/>
    <n v="1631421"/>
    <n v="27"/>
    <n v="1284478"/>
    <n v="21.2580970822369"/>
    <m/>
    <d v="2021-06-30T00:00:00"/>
    <d v="2021-06-30T00:00:00"/>
    <n v="1.501369863013699"/>
    <n v="1.501369863013699"/>
    <s v="Modified Gross"/>
    <s v="CPI annually"/>
    <s v="None"/>
    <n v="16300000"/>
    <n v="269.764824652864"/>
    <n v="0.07880233128834356"/>
    <m/>
    <d v="2019-12-30T00:00:00"/>
    <x v="713"/>
    <s v="Colliers; Mutzel"/>
    <x v="502"/>
    <s v="WA"/>
    <s v="Private"/>
    <m/>
    <m/>
    <n v="17000000"/>
    <n v="0.0755575294117647"/>
    <n v="0.9588235294117647"/>
    <n v="17000000"/>
    <n v="0.0755575294117647"/>
    <n v="0.003244801876578857"/>
    <s v="No"/>
    <d v="2018-10-08T00:00:00"/>
    <n v="448"/>
  </r>
  <r>
    <m/>
    <s v="Multi"/>
    <s v="Federal"/>
    <s v="Fee Simple"/>
    <s v="90 K St NE"/>
    <s v="Washington "/>
    <s v="DC"/>
    <n v="1.04"/>
    <n v="2010"/>
    <n v="404207"/>
    <n v="412661"/>
    <n v="0.9795134505078018"/>
    <n v="17085054"/>
    <n v="42.2680804637228"/>
    <m/>
    <s v=" "/>
    <d v="2012-12-09T00:00:00"/>
    <d v="2022-04-25T00:00:00"/>
    <d v="2021-01-23T00:00:00"/>
    <n v="2.32054794520548"/>
    <n v="1.068493150684932"/>
    <s v="Modified Gross"/>
    <m/>
    <m/>
    <n v="174900000"/>
    <n v="423.8345760806085"/>
    <s v=" "/>
    <m/>
    <d v="2019-12-30T00:00:00"/>
    <x v="714"/>
    <s v="C&amp;W; Collins"/>
    <x v="1"/>
    <s v="IL"/>
    <s v="Private"/>
    <m/>
    <m/>
    <m/>
    <s v=" "/>
    <s v=" "/>
    <m/>
    <s v=" "/>
    <s v=" "/>
    <s v=" "/>
    <m/>
    <s v=" "/>
  </r>
  <r>
    <m/>
    <s v="Multi"/>
    <s v="Federal &amp; State"/>
    <s v="Fee Simple"/>
    <s v="400 State Ave"/>
    <s v="Kansas City"/>
    <s v="KS"/>
    <n v="5.3"/>
    <n v="1971"/>
    <n v="141778.11"/>
    <n v="170817"/>
    <n v="0.83"/>
    <n v="2219727"/>
    <n v="15.65634497455214"/>
    <n v="1008647"/>
    <n v="5.904839682233033"/>
    <m/>
    <m/>
    <m/>
    <s v=" "/>
    <s v=" "/>
    <s v="Full Service"/>
    <s v="None"/>
    <s v="None"/>
    <n v="12400000"/>
    <n v="72.5923063863667"/>
    <n v="0.0813425"/>
    <m/>
    <d v="2019-12-27T00:00:00"/>
    <x v="247"/>
    <s v="CBRE; Anderson"/>
    <x v="503"/>
    <s v="NY"/>
    <s v="Private"/>
    <m/>
    <m/>
    <m/>
    <s v=" "/>
    <s v=" "/>
    <m/>
    <s v=" "/>
    <s v=" "/>
    <s v=" "/>
    <m/>
    <s v=" "/>
  </r>
  <r>
    <m/>
    <s v="USPS"/>
    <s v="Federal"/>
    <s v="Fee Simple"/>
    <s v="325 Reno Dr"/>
    <s v="Wayland"/>
    <s v="MI"/>
    <n v="1.87"/>
    <n v="2001"/>
    <n v="7378"/>
    <n v="7378"/>
    <n v="1"/>
    <m/>
    <s v=" "/>
    <m/>
    <s v=" "/>
    <m/>
    <m/>
    <m/>
    <s v=" "/>
    <s v=" "/>
    <m/>
    <m/>
    <m/>
    <n v="185465"/>
    <n v="25.13757115749526"/>
    <s v=" "/>
    <m/>
    <d v="2019-12-26T00:00:00"/>
    <x v="8"/>
    <m/>
    <x v="66"/>
    <s v="CA"/>
    <s v="Private"/>
    <m/>
    <m/>
    <m/>
    <s v=" "/>
    <s v=" "/>
    <m/>
    <s v=" "/>
    <s v=" "/>
    <s v=" "/>
    <m/>
    <s v=" "/>
  </r>
  <r>
    <m/>
    <s v="County of Santa Clara"/>
    <s v="State"/>
    <s v="Fee Simple"/>
    <s v="614 Tully Rd"/>
    <s v="San Jose"/>
    <s v="CA"/>
    <n v="2.08"/>
    <n v="1979"/>
    <n v="25632"/>
    <n v="25632"/>
    <n v="1"/>
    <m/>
    <s v=" "/>
    <m/>
    <s v=" "/>
    <m/>
    <m/>
    <m/>
    <s v=" "/>
    <s v=" "/>
    <m/>
    <m/>
    <m/>
    <n v="9500000"/>
    <n v="370.6304619225967"/>
    <s v=" "/>
    <m/>
    <d v="2019-12-22T00:00:00"/>
    <x v="715"/>
    <s v="Tri Commercial"/>
    <x v="504"/>
    <s v="CA"/>
    <s v="Private"/>
    <m/>
    <m/>
    <m/>
    <s v=" "/>
    <s v=" "/>
    <m/>
    <s v=" "/>
    <s v=" "/>
    <s v=" "/>
    <m/>
    <s v=" "/>
  </r>
  <r>
    <m/>
    <s v="FPD/BBH"/>
    <s v="Federal &amp; Municipal"/>
    <s v="Leasehold"/>
    <s v="100 S Charles St"/>
    <s v="Baltimore"/>
    <s v="MD"/>
    <n v="5.79"/>
    <n v="1988"/>
    <n v="89066"/>
    <n v="160754"/>
    <n v="0.5540515321547209"/>
    <m/>
    <s v=" "/>
    <n v="827000"/>
    <n v="5.144506513057218"/>
    <m/>
    <m/>
    <m/>
    <s v=" "/>
    <s v=" "/>
    <m/>
    <m/>
    <m/>
    <n v="14000000"/>
    <n v="87.08959030568447"/>
    <n v="0.05907142857142857"/>
    <m/>
    <d v="2019-12-20T00:00:00"/>
    <x v="716"/>
    <s v="JLL; Wellschlager"/>
    <x v="505"/>
    <s v="TX"/>
    <s v="Private"/>
    <m/>
    <m/>
    <m/>
    <s v=" "/>
    <s v=" "/>
    <m/>
    <s v=" "/>
    <s v=" "/>
    <s v=" "/>
    <m/>
    <s v=" "/>
  </r>
  <r>
    <m/>
    <s v="DOC"/>
    <s v="State"/>
    <s v="Fee Simple"/>
    <s v="362 Carriage House Dr"/>
    <s v="Jackson"/>
    <s v="TN"/>
    <n v="2"/>
    <n v="1995"/>
    <n v="15200"/>
    <n v="15200"/>
    <n v="1"/>
    <m/>
    <s v=" "/>
    <n v="94300"/>
    <n v="6.203947368421052"/>
    <m/>
    <d v="2028-06-30T00:00:00"/>
    <m/>
    <n v="8.534246575342467"/>
    <s v=" "/>
    <s v="Full Service"/>
    <s v="None"/>
    <s v="None"/>
    <n v="1150000"/>
    <n v="75.65789473684211"/>
    <n v="0.082"/>
    <m/>
    <d v="2019-12-20T00:00:00"/>
    <x v="717"/>
    <s v="Hickman"/>
    <x v="506"/>
    <s v="TN"/>
    <s v="Private"/>
    <m/>
    <m/>
    <m/>
    <s v=" "/>
    <s v=" "/>
    <m/>
    <s v=" "/>
    <s v=" "/>
    <s v=" "/>
    <m/>
    <s v=" "/>
  </r>
  <r>
    <m/>
    <s v="State of NJ"/>
    <s v="State"/>
    <s v="Fee Simple"/>
    <s v="100 Hamilton Plz"/>
    <s v="Paterson"/>
    <s v="NJ"/>
    <n v="1.7"/>
    <n v="1976"/>
    <m/>
    <n v="182441"/>
    <s v=" "/>
    <m/>
    <s v=" "/>
    <m/>
    <s v=" "/>
    <m/>
    <m/>
    <m/>
    <s v=" "/>
    <s v=" "/>
    <m/>
    <m/>
    <m/>
    <n v="15250000"/>
    <n v="83.58866702111915"/>
    <s v=" "/>
    <m/>
    <d v="2019-12-20T00:00:00"/>
    <x v="8"/>
    <m/>
    <x v="0"/>
    <s v="NY"/>
    <s v="Private"/>
    <m/>
    <m/>
    <m/>
    <s v=" "/>
    <s v=" "/>
    <m/>
    <s v=" "/>
    <s v=" "/>
    <s v=" "/>
    <m/>
    <s v=" "/>
  </r>
  <r>
    <m/>
    <s v="Police"/>
    <s v="State"/>
    <s v="Fee Simple"/>
    <s v="101 N Main St"/>
    <s v="York"/>
    <s v="PA"/>
    <m/>
    <n v="2019"/>
    <n v="15540"/>
    <n v="15540"/>
    <n v="1"/>
    <n v="420585.6"/>
    <n v="27.06471042471042"/>
    <n v="372400"/>
    <n v="23.96396396396396"/>
    <d v="2016-05-24T00:00:00"/>
    <d v="2031-05-23T00:00:00"/>
    <d v="2031-05-23T00:00:00"/>
    <n v="11.43013698630137"/>
    <n v="11.43013698630137"/>
    <s v="Modified Gross"/>
    <m/>
    <m/>
    <n v="4825000"/>
    <n v="310.4890604890605"/>
    <n v="0.07718134715025907"/>
    <m/>
    <d v="2019-12-20T00:00:00"/>
    <x v="8"/>
    <m/>
    <x v="0"/>
    <m/>
    <m/>
    <m/>
    <m/>
    <m/>
    <s v=" "/>
    <s v=" "/>
    <m/>
    <s v=" "/>
    <s v=" "/>
    <s v=" "/>
    <m/>
    <s v=" "/>
  </r>
  <r>
    <m/>
    <s v="SSA"/>
    <s v="Federal"/>
    <s v="Fee Simple"/>
    <s v="600 Turner St"/>
    <s v="Auburn"/>
    <s v="ME"/>
    <n v="6.34"/>
    <n v="2007"/>
    <n v="9528"/>
    <n v="24000"/>
    <n v="0.397"/>
    <n v="257952"/>
    <n v="27.07304785894206"/>
    <m/>
    <s v=" "/>
    <d v="2009-03-01T00:00:00"/>
    <d v="2024-02-28T00:00:00"/>
    <d v="2019-02-28T00:00:00"/>
    <n v="4.197260273972603"/>
    <n v="-0.8054794520547945"/>
    <s v="Modified Gross"/>
    <s v="None"/>
    <s v="None"/>
    <n v="4375000"/>
    <n v="182.2916666666667"/>
    <s v=" "/>
    <m/>
    <d v="2019-12-19T00:00:00"/>
    <x v="718"/>
    <m/>
    <x v="507"/>
    <s v="ME"/>
    <s v="Private"/>
    <m/>
    <m/>
    <m/>
    <s v=" "/>
    <s v=" "/>
    <m/>
    <s v=" "/>
    <s v=" "/>
    <s v=" "/>
    <m/>
    <s v=" "/>
  </r>
  <r>
    <m/>
    <s v="USPS"/>
    <s v="Federal"/>
    <s v="Fee Simple"/>
    <s v="2945 US-501 Hwy E"/>
    <s v="Aynor"/>
    <s v="SC"/>
    <n v="1.99"/>
    <n v="1996"/>
    <n v="5280"/>
    <n v="5280"/>
    <n v="1"/>
    <m/>
    <s v=" "/>
    <m/>
    <s v=" "/>
    <m/>
    <m/>
    <m/>
    <s v=" "/>
    <s v=" "/>
    <m/>
    <m/>
    <m/>
    <n v="725000"/>
    <n v="137.3106060606061"/>
    <s v=" "/>
    <m/>
    <d v="2019-12-19T00:00:00"/>
    <x v="8"/>
    <s v="TCP; Harrison"/>
    <x v="0"/>
    <m/>
    <m/>
    <m/>
    <m/>
    <m/>
    <s v=" "/>
    <s v=" "/>
    <m/>
    <s v=" "/>
    <s v=" "/>
    <s v=" "/>
    <m/>
    <s v=" "/>
  </r>
  <r>
    <m/>
    <s v="SBA"/>
    <s v="Federal"/>
    <s v="Fee Simple"/>
    <s v="13221 Woodland Park Rd"/>
    <s v="Herndon"/>
    <s v="VA"/>
    <n v="6.27"/>
    <n v="1988"/>
    <n v="55620"/>
    <n v="127585"/>
    <n v="0.4359446643414194"/>
    <m/>
    <s v=" "/>
    <n v="1757850"/>
    <n v="13.77787357447976"/>
    <m/>
    <d v="2021-01-31T00:00:00"/>
    <d v="2016-01-31T00:00:00"/>
    <n v="1.120547945205479"/>
    <n v="-3.884931506849315"/>
    <s v="Modified Gross"/>
    <s v="None"/>
    <s v="None"/>
    <n v="18750000"/>
    <n v="146.9608496296587"/>
    <n v="0.093752"/>
    <m/>
    <d v="2019-12-19T00:00:00"/>
    <x v="719"/>
    <s v="C&amp;W; Flood"/>
    <x v="508"/>
    <s v="DC"/>
    <s v="Private"/>
    <m/>
    <m/>
    <m/>
    <s v=" "/>
    <s v=" "/>
    <m/>
    <s v=" "/>
    <s v=" "/>
    <s v=" "/>
    <m/>
    <s v=" "/>
  </r>
  <r>
    <m/>
    <s v="Department of Children and Families"/>
    <s v="State"/>
    <s v="Fee Simple"/>
    <s v="3150 Route 9"/>
    <s v="Rio Grande"/>
    <s v="NJ"/>
    <n v="13.4"/>
    <n v="2017"/>
    <n v="19293"/>
    <n v="19293"/>
    <n v="1"/>
    <m/>
    <s v=" "/>
    <n v="385746"/>
    <n v="19.99409112113202"/>
    <m/>
    <d v="2027-01-31T00:00:00"/>
    <m/>
    <n v="7.123287671232877"/>
    <s v=" "/>
    <m/>
    <m/>
    <m/>
    <n v="5514762"/>
    <n v="285.8426372259369"/>
    <n v="0.06994789621020817"/>
    <m/>
    <d v="2019-12-19T00:00:00"/>
    <x v="720"/>
    <s v="Newmark; Berres"/>
    <x v="509"/>
    <s v="CA"/>
    <s v="Private"/>
    <m/>
    <m/>
    <n v="5714762"/>
    <n v="0.06749992388134449"/>
    <n v="0.9650029170068675"/>
    <n v="5714762"/>
    <n v="0.06749992388134449"/>
    <n v="0.002447972328863679"/>
    <s v="No"/>
    <d v="2019-08-27T00:00:00"/>
    <n v="114"/>
  </r>
  <r>
    <m/>
    <s v="County"/>
    <s v="Municipal"/>
    <s v="Fee Simple"/>
    <s v="955 Tacoma Ave S"/>
    <s v="Tacoma"/>
    <s v="WA"/>
    <n v="0.32"/>
    <n v="1968"/>
    <n v="31477"/>
    <n v="31447"/>
    <n v="1.000953986071803"/>
    <m/>
    <s v=" "/>
    <n v="354000"/>
    <n v="11.25703564727955"/>
    <m/>
    <m/>
    <m/>
    <s v=" "/>
    <s v=" "/>
    <s v="Full Service"/>
    <m/>
    <m/>
    <n v="5550000"/>
    <n v="176.48742328362"/>
    <n v="0.06378378378378378"/>
    <m/>
    <d v="2019-12-19T00:00:00"/>
    <x v="721"/>
    <s v="KW; Vilvandre"/>
    <x v="510"/>
    <s v="WA"/>
    <s v="Private"/>
    <m/>
    <m/>
    <n v="6175000"/>
    <n v="0.05732793522267206"/>
    <n v="0.8987854251012146"/>
    <n v="5900000"/>
    <n v="0.06"/>
    <n v="0.003783783783783787"/>
    <s v="Yes"/>
    <d v="2018-09-12T00:00:00"/>
    <n v="463"/>
  </r>
  <r>
    <s v="LPA09466"/>
    <s v="MSHA"/>
    <s v="Federal"/>
    <s v="Fee Simple"/>
    <s v="178 Thorn Hill Rd"/>
    <s v="Warrendale"/>
    <s v="PA"/>
    <n v="5.69"/>
    <n v="1987"/>
    <n v="11380"/>
    <n v="29475"/>
    <n v="0.3860899067005937"/>
    <n v="392089.73"/>
    <n v="34.45428207381371"/>
    <m/>
    <s v=" "/>
    <d v="2011-07-11T00:00:00"/>
    <d v="2021-07-10T00:00:00"/>
    <d v="2016-07-11T00:00:00"/>
    <n v="1.558904109589041"/>
    <n v="-3.441095890410959"/>
    <s v="Modified Gross"/>
    <s v="None"/>
    <s v="None"/>
    <n v="2470000"/>
    <n v="83.79983036471586"/>
    <s v=" "/>
    <m/>
    <d v="2019-12-19T00:00:00"/>
    <x v="722"/>
    <s v="NMRK; MacDonald"/>
    <x v="511"/>
    <s v="FL"/>
    <s v="Private"/>
    <s v="Rise; Martz"/>
    <m/>
    <m/>
    <s v=" "/>
    <s v=" "/>
    <m/>
    <s v=" "/>
    <s v=" "/>
    <s v=" "/>
    <d v="2018-10-16T00:00:00"/>
    <n v="429"/>
  </r>
  <r>
    <m/>
    <s v="FBI"/>
    <s v="Federal"/>
    <s v="Fee Simple"/>
    <s v="480 S Keller Rd"/>
    <s v="Orlando"/>
    <s v="FL"/>
    <n v="3.21"/>
    <n v="2003"/>
    <n v="36650"/>
    <n v="36650"/>
    <n v="1"/>
    <n v="1154926.01"/>
    <n v="31.51230586630286"/>
    <n v="810000"/>
    <n v="22.10095497953615"/>
    <d v="2020-05-01T00:00:00"/>
    <d v="2035-05-01T00:00:00"/>
    <d v="2030-05-01T00:00:00"/>
    <n v="15.37808219178082"/>
    <n v="10.37534246575343"/>
    <s v="Modified Gross"/>
    <s v="None"/>
    <s v="None"/>
    <n v="12325000"/>
    <n v="336.2892223738063"/>
    <n v="0.06572008113590264"/>
    <m/>
    <d v="2019-12-18T00:00:00"/>
    <x v="723"/>
    <s v="Kyle Wood"/>
    <x v="1"/>
    <s v="IL"/>
    <s v="Private"/>
    <m/>
    <m/>
    <n v="13500000"/>
    <n v="0.06"/>
    <n v="0.912962962962963"/>
    <n v="13500000"/>
    <n v="0.06"/>
    <n v="0.005720081135902638"/>
    <s v="No"/>
    <d v="2019-05-03T00:00:00"/>
    <n v="229"/>
  </r>
  <r>
    <m/>
    <s v="County"/>
    <s v="Municipal"/>
    <s v="Fee Simple"/>
    <s v="3341 Power Inn Rd"/>
    <s v="Sacramento"/>
    <s v="CA"/>
    <n v="3.95"/>
    <n v="1999"/>
    <m/>
    <n v="164981"/>
    <s v=" "/>
    <m/>
    <s v=" "/>
    <m/>
    <s v=" "/>
    <m/>
    <m/>
    <m/>
    <s v=" "/>
    <s v=" "/>
    <m/>
    <m/>
    <m/>
    <n v="40500000"/>
    <n v="245.4828131724259"/>
    <s v=" "/>
    <m/>
    <d v="2019-12-18T00:00:00"/>
    <x v="724"/>
    <m/>
    <x v="1"/>
    <s v="IL"/>
    <s v="Private"/>
    <m/>
    <m/>
    <m/>
    <s v=" "/>
    <s v=" "/>
    <m/>
    <s v=" "/>
    <s v=" "/>
    <s v=" "/>
    <m/>
    <s v=" "/>
  </r>
  <r>
    <m/>
    <s v="DCFS"/>
    <s v="State"/>
    <s v="Fee Simple"/>
    <s v="20 Lee St"/>
    <s v="Winder"/>
    <s v="GA"/>
    <n v="0.6"/>
    <n v="1986"/>
    <n v="4000"/>
    <n v="12000"/>
    <n v="0.3333333333333333"/>
    <m/>
    <s v=" "/>
    <n v="16000"/>
    <n v="1.333333333333333"/>
    <m/>
    <d v="2020-10-31T00:00:00"/>
    <d v="2020-10-31T00:00:00"/>
    <n v="0.8712328767123287"/>
    <n v="0.8712328767123287"/>
    <s v="FS"/>
    <m/>
    <s v="None"/>
    <n v="275000"/>
    <n v="22.91666666666667"/>
    <n v="0.05818181818181818"/>
    <m/>
    <d v="2019-12-18T00:00:00"/>
    <x v="8"/>
    <m/>
    <x v="0"/>
    <m/>
    <m/>
    <m/>
    <m/>
    <m/>
    <s v=" "/>
    <s v=" "/>
    <m/>
    <s v=" "/>
    <s v=" "/>
    <s v=" "/>
    <m/>
    <s v=" "/>
  </r>
  <r>
    <m/>
    <s v="Multi"/>
    <s v="State"/>
    <s v="Fee Simple"/>
    <s v="Portfolio of Two"/>
    <s v="Anchorage"/>
    <s v="AK"/>
    <n v="0.84"/>
    <n v="1930"/>
    <n v="82352"/>
    <n v="82352"/>
    <n v="1"/>
    <m/>
    <s v=" "/>
    <m/>
    <s v=" "/>
    <m/>
    <m/>
    <m/>
    <s v=" "/>
    <s v=" "/>
    <m/>
    <m/>
    <m/>
    <m/>
    <s v=" "/>
    <s v=" "/>
    <m/>
    <d v="2019-12-17T00:00:00"/>
    <x v="725"/>
    <m/>
    <x v="1"/>
    <s v="IL"/>
    <s v="Private"/>
    <m/>
    <m/>
    <m/>
    <s v=" "/>
    <s v=" "/>
    <m/>
    <s v=" "/>
    <s v=" "/>
    <s v=" "/>
    <m/>
    <s v=" "/>
  </r>
  <r>
    <m/>
    <s v="USDA"/>
    <s v="Federal"/>
    <s v="Fee Simple"/>
    <s v="4920 W Bob Billings Pky"/>
    <s v="Lawrence"/>
    <s v="KS"/>
    <m/>
    <n v="1990"/>
    <n v="9425"/>
    <n v="11517"/>
    <n v="0.8183554745159329"/>
    <m/>
    <s v=" "/>
    <m/>
    <s v=" "/>
    <d v="2011-05-01T00:00:00"/>
    <d v="2026-04-30T00:00:00"/>
    <d v="2018-05-01T00:00:00"/>
    <n v="6.372602739726028"/>
    <n v="-1.63013698630137"/>
    <m/>
    <m/>
    <m/>
    <n v="1032428"/>
    <n v="89.64383085873057"/>
    <s v=" "/>
    <m/>
    <d v="2019-12-17T00:00:00"/>
    <x v="726"/>
    <m/>
    <x v="512"/>
    <s v="KS"/>
    <s v="Private"/>
    <m/>
    <m/>
    <m/>
    <s v=" "/>
    <s v=" "/>
    <m/>
    <s v=" "/>
    <s v=" "/>
    <s v=" "/>
    <m/>
    <s v=" "/>
  </r>
  <r>
    <m/>
    <s v="MEPS &amp; TSA"/>
    <s v="Federal"/>
    <s v="Fee Simple"/>
    <s v="4181 Ruffin Rd"/>
    <s v="San Diego"/>
    <s v="CA"/>
    <n v="10"/>
    <n v="1981"/>
    <n v="70485"/>
    <n v="189909"/>
    <n v="0.3711514462189786"/>
    <n v="2050078"/>
    <n v="29.08530893097822"/>
    <n v="1710000"/>
    <n v="9.004312591820293"/>
    <d v="2016-10-01T00:00:00"/>
    <d v="2026-09-30T00:00:00"/>
    <d v="2021-10-02T00:00:00"/>
    <n v="6.794520547945205"/>
    <n v="1.797260273972603"/>
    <s v="Modified Gross"/>
    <s v="None"/>
    <s v="None"/>
    <n v="23750000"/>
    <n v="125.0598971086152"/>
    <n v="0.07199999999999999"/>
    <m/>
    <d v="2019-12-16T00:00:00"/>
    <x v="247"/>
    <s v="CBRE; Rowe"/>
    <x v="513"/>
    <s v="CA"/>
    <s v="Private"/>
    <m/>
    <m/>
    <m/>
    <s v=" "/>
    <s v=" "/>
    <m/>
    <s v=" "/>
    <s v=" "/>
    <s v=" "/>
    <m/>
    <s v=" "/>
  </r>
  <r>
    <s v="LCA02539"/>
    <s v="SSA"/>
    <s v="Federal"/>
    <s v="Fee Simple"/>
    <s v="700 Main St"/>
    <s v="Suisun City"/>
    <s v="CA"/>
    <n v="0.59"/>
    <n v="2009"/>
    <n v="10842"/>
    <n v="38699"/>
    <n v="0.2801622780950412"/>
    <n v="295709.52"/>
    <n v="27.27444382955175"/>
    <n v="530000"/>
    <n v="13.69544432672679"/>
    <d v="2011-01-19T00:00:00"/>
    <d v="2026-01-18T00:00:00"/>
    <d v="2021-01-18T00:00:00"/>
    <n v="6.104109589041096"/>
    <n v="1.101369863013699"/>
    <s v="Modified Gross"/>
    <s v="None"/>
    <s v="None"/>
    <n v="6700000"/>
    <n v="173.1310886586217"/>
    <n v="0.0791044776119403"/>
    <m/>
    <d v="2019-12-13T00:00:00"/>
    <x v="727"/>
    <s v="JLL"/>
    <x v="514"/>
    <s v="CA"/>
    <s v="Private"/>
    <m/>
    <m/>
    <m/>
    <s v=" "/>
    <s v=" "/>
    <m/>
    <s v=" "/>
    <s v=" "/>
    <s v=" "/>
    <d v="2018-05-08T00:00:00"/>
    <n v="584"/>
  </r>
  <r>
    <m/>
    <s v="VA"/>
    <s v="Federal"/>
    <s v="Fee Simple"/>
    <s v="3305 Sungate Blvd"/>
    <s v="Raleigh"/>
    <s v="NC"/>
    <n v="1.84"/>
    <n v="2006"/>
    <n v="14016"/>
    <n v="14016"/>
    <n v="1"/>
    <m/>
    <s v=" "/>
    <n v="264125"/>
    <n v="18.8445348173516"/>
    <d v="2019-01-01T00:00:00"/>
    <d v="2022-12-31T00:00:00"/>
    <d v="2017-12-31T00:00:00"/>
    <n v="3.054794520547945"/>
    <n v="-1.947945205479452"/>
    <s v="Full Service"/>
    <s v="None"/>
    <s v="None"/>
    <n v="3025000"/>
    <n v="215.8247716894977"/>
    <n v="0.08731404958677685"/>
    <m/>
    <d v="2019-12-12T00:00:00"/>
    <x v="728"/>
    <s v="Tim Peters"/>
    <x v="515"/>
    <s v="NJ"/>
    <s v="Private"/>
    <m/>
    <m/>
    <n v="3500000"/>
    <n v="0.07546428571428572"/>
    <n v="0.8642857142857143"/>
    <n v="3500000"/>
    <n v="0.07546428571428572"/>
    <n v="0.01184976387249113"/>
    <s v="No"/>
    <m/>
    <s v=" "/>
  </r>
  <r>
    <m/>
    <s v="USPS"/>
    <s v="Federal"/>
    <s v="Fee Simple"/>
    <s v="1770 N US Hwy 60"/>
    <s v="Globe"/>
    <s v="AZ"/>
    <n v="1.41"/>
    <n v="1999"/>
    <n v="6840"/>
    <n v="6840"/>
    <n v="1"/>
    <m/>
    <s v=" "/>
    <m/>
    <s v=" "/>
    <m/>
    <m/>
    <m/>
    <s v=" "/>
    <s v=" "/>
    <m/>
    <m/>
    <m/>
    <n v="856910"/>
    <n v="125.2792397660819"/>
    <s v=" "/>
    <m/>
    <d v="2019-12-11T00:00:00"/>
    <x v="8"/>
    <m/>
    <x v="66"/>
    <s v="CA"/>
    <s v="Private"/>
    <m/>
    <m/>
    <m/>
    <s v=" "/>
    <s v=" "/>
    <m/>
    <s v=" "/>
    <s v=" "/>
    <s v=" "/>
    <m/>
    <s v=" "/>
  </r>
  <r>
    <m/>
    <s v="DOD/TSA"/>
    <s v="Federal"/>
    <s v="Fee Simple"/>
    <s v="3110-3200 E Guasti Rd"/>
    <s v="Ontario"/>
    <s v="CA"/>
    <n v="7.21"/>
    <n v="2007"/>
    <n v="24861"/>
    <n v="161860"/>
    <n v="0.1535956999876436"/>
    <m/>
    <s v=" "/>
    <n v="2605500"/>
    <n v="16.09724453231187"/>
    <d v="2012-10-10T00:00:00"/>
    <d v="2022-10-09T00:00:00"/>
    <d v="2017-10-10T00:00:00"/>
    <n v="2.832876712328767"/>
    <n v="-2.167123287671233"/>
    <s v="Modified Gross"/>
    <s v="None"/>
    <s v="None"/>
    <n v="38600000"/>
    <n v="238.4776967749907"/>
    <n v="0.0675"/>
    <m/>
    <d v="2019-12-10T00:00:00"/>
    <x v="729"/>
    <s v="Newmark; Shannon"/>
    <x v="516"/>
    <s v="CA"/>
    <s v="Private"/>
    <m/>
    <m/>
    <m/>
    <s v=" "/>
    <s v=" "/>
    <m/>
    <s v=" "/>
    <s v=" "/>
    <s v=" "/>
    <d v="2019-06-19T00:00:00"/>
    <n v="174"/>
  </r>
  <r>
    <s v="LWI19493"/>
    <s v="SSA"/>
    <s v="Federal"/>
    <s v="Fee Simple"/>
    <s v="4221 Tower Ave"/>
    <s v="Superior"/>
    <s v="WI"/>
    <n v="1.01"/>
    <n v="2006"/>
    <n v="6867"/>
    <n v="7344"/>
    <n v="0.9350490196078431"/>
    <n v="137537.46"/>
    <n v="20.02875491480996"/>
    <n v="78495"/>
    <n v="10.68831699346405"/>
    <d v="2018-06-20T00:00:00"/>
    <d v="2028-06-19T00:00:00"/>
    <d v="2023-06-19T00:00:00"/>
    <n v="8.531506849315068"/>
    <n v="3.526027397260274"/>
    <s v="Modified Gross"/>
    <s v="Year 6"/>
    <s v="None"/>
    <n v="975000"/>
    <n v="132.7614379084967"/>
    <n v="0.08050769230769231"/>
    <m/>
    <d v="2019-12-10T00:00:00"/>
    <x v="730"/>
    <s v="M&amp;M; Mobin"/>
    <x v="517"/>
    <s v="MN"/>
    <s v="Private"/>
    <m/>
    <m/>
    <n v="1100000"/>
    <n v="0.07135909090909091"/>
    <n v="0.8863636363636364"/>
    <n v="1000000"/>
    <n v="0.078495"/>
    <n v="0.002012692307692313"/>
    <s v="Yes"/>
    <d v="2019-06-05T00:00:00"/>
    <n v="188"/>
  </r>
  <r>
    <s v="LCA03336"/>
    <s v="SSA"/>
    <s v="Federal"/>
    <s v="Fee Simple"/>
    <s v="42225 W 10th St"/>
    <s v="Lancaster"/>
    <s v="CA"/>
    <n v="1.95"/>
    <n v="2004"/>
    <n v="15846"/>
    <n v="22000"/>
    <n v="0.7202727272727273"/>
    <n v="461826.09"/>
    <n v="29.14464786065884"/>
    <n v="390000"/>
    <n v="17.72727272727273"/>
    <d v="2017-10-23T00:00:00"/>
    <d v="2032-10-22T00:00:00"/>
    <d v="2027-10-23T00:00:00"/>
    <n v="12.87945205479452"/>
    <n v="7.876712328767123"/>
    <s v="Modified Gross"/>
    <s v="None"/>
    <s v="None"/>
    <n v="6150000"/>
    <n v="279.5454545454546"/>
    <n v="0.06341463414634146"/>
    <m/>
    <d v="2019-12-09T00:00:00"/>
    <x v="731"/>
    <s v="NAI; Greenleaf"/>
    <x v="317"/>
    <s v="CA"/>
    <s v="Private"/>
    <m/>
    <m/>
    <n v="6500000"/>
    <n v="0.06"/>
    <n v="0.9461538461538461"/>
    <n v="6500000"/>
    <n v="0.06"/>
    <n v="0.003414634146341466"/>
    <s v="No"/>
    <d v="2018-08-26T00:00:00"/>
    <n v="470"/>
  </r>
  <r>
    <m/>
    <m/>
    <s v="State"/>
    <s v="Fee Simple"/>
    <s v="7718 Warwick Blvd"/>
    <s v="Newport News"/>
    <s v="VA"/>
    <n v="2.05"/>
    <n v="1950"/>
    <n v="10259"/>
    <n v="10259"/>
    <n v="1"/>
    <m/>
    <s v=" "/>
    <m/>
    <s v=" "/>
    <m/>
    <m/>
    <m/>
    <s v=" "/>
    <s v=" "/>
    <m/>
    <m/>
    <m/>
    <n v="1200000"/>
    <n v="116.9704649575982"/>
    <s v=" "/>
    <m/>
    <d v="2019-12-09T00:00:00"/>
    <x v="8"/>
    <m/>
    <x v="497"/>
    <s v="TN"/>
    <s v="REIT"/>
    <m/>
    <m/>
    <m/>
    <s v=" "/>
    <s v=" "/>
    <m/>
    <s v=" "/>
    <s v=" "/>
    <s v=" "/>
    <m/>
    <s v=" "/>
  </r>
  <r>
    <m/>
    <s v="USPS"/>
    <s v="Federal"/>
    <s v="Fee Simple"/>
    <s v="4115 Catlett Rd"/>
    <s v="Calverton"/>
    <s v="VA"/>
    <n v="0.33"/>
    <n v="1973"/>
    <n v="684"/>
    <n v="684"/>
    <n v="1"/>
    <m/>
    <s v=" "/>
    <m/>
    <s v=" "/>
    <m/>
    <m/>
    <m/>
    <s v=" "/>
    <s v=" "/>
    <m/>
    <m/>
    <m/>
    <m/>
    <s v=" "/>
    <s v=" "/>
    <m/>
    <d v="2019-12-05T00:00:00"/>
    <x v="8"/>
    <m/>
    <x v="0"/>
    <m/>
    <m/>
    <m/>
    <m/>
    <n v="127500"/>
    <s v=" "/>
    <s v=" "/>
    <n v="127500"/>
    <s v=" "/>
    <s v=" "/>
    <s v="No"/>
    <d v="2017-03-10T00:00:00"/>
    <n v="1000"/>
  </r>
  <r>
    <m/>
    <s v="VA"/>
    <s v="Federal"/>
    <s v="Fee Simple"/>
    <s v="7347 Ridge Rd"/>
    <s v="Port Richey"/>
    <s v="FL"/>
    <n v="1.33"/>
    <n v="2004"/>
    <n v="6270"/>
    <n v="6270"/>
    <n v="1"/>
    <n v="230190"/>
    <n v="36.71291866028708"/>
    <n v="157159"/>
    <n v="25.0652312599681"/>
    <m/>
    <d v="2021-04-30T00:00:00"/>
    <d v="2021-04-30T00:00:00"/>
    <n v="1.402739726027397"/>
    <n v="1.402739726027397"/>
    <s v="Modified Gross"/>
    <s v="None"/>
    <s v="None"/>
    <n v="1300000"/>
    <n v="207.3365231259968"/>
    <n v="0.1208915384615385"/>
    <m/>
    <d v="2019-12-05T00:00:00"/>
    <x v="8"/>
    <m/>
    <x v="0"/>
    <m/>
    <m/>
    <m/>
    <m/>
    <n v="1400000"/>
    <n v="0.1122564285714286"/>
    <n v="0.9285714285714286"/>
    <n v="1400000"/>
    <n v="0.1122564285714286"/>
    <n v="0.00863510989010989"/>
    <s v="No"/>
    <d v="2018-12-25T00:00:00"/>
    <n v="345"/>
  </r>
  <r>
    <m/>
    <s v="USDA"/>
    <s v="Federal"/>
    <s v="Fee Simple"/>
    <s v="5709 NW 13th St"/>
    <s v="Gainesville"/>
    <s v="FL"/>
    <n v="0.43"/>
    <n v="1984"/>
    <n v="3916"/>
    <n v="3916"/>
    <n v="1"/>
    <m/>
    <s v=" "/>
    <m/>
    <s v=" "/>
    <m/>
    <m/>
    <m/>
    <s v=" "/>
    <s v=" "/>
    <m/>
    <m/>
    <m/>
    <n v="445000"/>
    <n v="113.6363636363636"/>
    <s v=" "/>
    <m/>
    <d v="2019-12-03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9427 Main St"/>
    <s v="Taylorsville"/>
    <s v="IN"/>
    <n v="0.17"/>
    <n v="1974"/>
    <n v="768"/>
    <n v="768"/>
    <n v="1"/>
    <m/>
    <s v=" "/>
    <n v="5399"/>
    <n v="7.029947916666667"/>
    <m/>
    <m/>
    <m/>
    <s v=" "/>
    <s v=" "/>
    <m/>
    <m/>
    <m/>
    <n v="64900"/>
    <n v="84.50520833333333"/>
    <n v="0.08318952234206471"/>
    <m/>
    <d v="2019-11-27T00:00:00"/>
    <x v="8"/>
    <s v="Tara James"/>
    <x v="0"/>
    <m/>
    <m/>
    <m/>
    <m/>
    <n v="64900"/>
    <n v="0.08318952234206471"/>
    <n v="1"/>
    <n v="64900"/>
    <n v="0.08318952234206471"/>
    <n v="0"/>
    <s v="No"/>
    <d v="2019-10-11T00:00:00"/>
    <n v="47"/>
  </r>
  <r>
    <m/>
    <s v="USPS"/>
    <s v="Federal"/>
    <s v="Fee Simple"/>
    <s v="9114 Waukegan Rd"/>
    <s v="Morton Grove"/>
    <s v="IL"/>
    <n v="1.38"/>
    <n v="1964"/>
    <m/>
    <n v="16241"/>
    <s v=" "/>
    <m/>
    <s v=" "/>
    <n v="186000"/>
    <n v="11.45249676744043"/>
    <m/>
    <m/>
    <m/>
    <s v=" "/>
    <s v=" "/>
    <m/>
    <m/>
    <m/>
    <n v="2200000"/>
    <n v="135.4596391847793"/>
    <n v="0.08454545454545455"/>
    <m/>
    <d v="2019-11-26T00:00:00"/>
    <x v="8"/>
    <m/>
    <x v="0"/>
    <m/>
    <m/>
    <m/>
    <m/>
    <m/>
    <s v=" "/>
    <s v=" "/>
    <m/>
    <s v=" "/>
    <s v=" "/>
    <s v=" "/>
    <m/>
    <s v=" "/>
  </r>
  <r>
    <m/>
    <s v="CA FWS"/>
    <s v="State"/>
    <s v="Fee Simple"/>
    <s v="1812 9th St"/>
    <s v="Sacramento"/>
    <s v="CA"/>
    <n v="0.62"/>
    <n v="1979"/>
    <n v="27798"/>
    <n v="27797"/>
    <n v="1.000035975105227"/>
    <m/>
    <s v=" "/>
    <m/>
    <s v=" "/>
    <m/>
    <m/>
    <m/>
    <s v=" "/>
    <s v=" "/>
    <m/>
    <m/>
    <m/>
    <n v="3800000"/>
    <n v="136.7053998632946"/>
    <s v=" "/>
    <m/>
    <d v="2019-11-26T00:00:00"/>
    <x v="732"/>
    <s v="CBRE"/>
    <x v="518"/>
    <s v="CA"/>
    <s v="Private"/>
    <m/>
    <m/>
    <m/>
    <s v=" "/>
    <s v=" "/>
    <m/>
    <s v=" "/>
    <s v=" "/>
    <s v=" "/>
    <m/>
    <s v=" "/>
  </r>
  <r>
    <m/>
    <s v="Army"/>
    <s v="Federal"/>
    <s v="Leasehold"/>
    <s v="1670 N Newport Rd"/>
    <s v="Colorado Springs"/>
    <s v="CO"/>
    <m/>
    <m/>
    <n v="36910"/>
    <n v="191946"/>
    <n v="0.1922936659268753"/>
    <m/>
    <s v=" "/>
    <n v="1914625"/>
    <n v="9.974810623821282"/>
    <d v="2010-06-01T00:00:00"/>
    <d v="2023-05-31T00:00:00"/>
    <d v="2015-06-01T00:00:00"/>
    <n v="3.515068493150685"/>
    <n v="-4.487671232876712"/>
    <s v="Modified Gross"/>
    <s v="None"/>
    <s v="None"/>
    <n v="28300000"/>
    <n v="147.4373000739791"/>
    <n v="0.06765459363957597"/>
    <m/>
    <d v="2019-11-25T00:00:00"/>
    <x v="135"/>
    <s v="C&amp;W; Hendrickson"/>
    <x v="519"/>
    <s v="CO"/>
    <s v="Private"/>
    <m/>
    <m/>
    <m/>
    <s v=" "/>
    <s v=" "/>
    <m/>
    <s v=" "/>
    <s v=" "/>
    <s v=" "/>
    <m/>
    <s v=" "/>
  </r>
  <r>
    <m/>
    <s v="USPS"/>
    <s v="Federal"/>
    <s v="Fee Simple"/>
    <s v="3607 Poplar St"/>
    <s v="Erie"/>
    <s v="PA"/>
    <n v="0.66"/>
    <n v="1959"/>
    <n v="9390"/>
    <n v="9390"/>
    <n v="1"/>
    <m/>
    <s v=" "/>
    <n v="62190"/>
    <n v="6.623003194888179"/>
    <m/>
    <m/>
    <m/>
    <s v=" "/>
    <s v=" "/>
    <m/>
    <m/>
    <m/>
    <m/>
    <s v=" "/>
    <s v=" "/>
    <m/>
    <d v="2019-11-25T00:00:00"/>
    <x v="8"/>
    <m/>
    <x v="0"/>
    <m/>
    <m/>
    <m/>
    <m/>
    <n v="691000"/>
    <n v="0.09"/>
    <s v=" "/>
    <n v="691000"/>
    <n v="0.09"/>
    <s v=" "/>
    <s v="No"/>
    <d v="2019-07-23T00:00:00"/>
    <n v="125"/>
  </r>
  <r>
    <m/>
    <s v="USPS"/>
    <s v="Federal"/>
    <s v="Fee Simple"/>
    <s v="4160 Logan Dr"/>
    <s v="Loganville"/>
    <s v="GA"/>
    <n v="7.17"/>
    <n v="2001"/>
    <m/>
    <n v="18280"/>
    <s v=" "/>
    <m/>
    <s v=" "/>
    <m/>
    <s v=" "/>
    <m/>
    <m/>
    <m/>
    <s v=" "/>
    <s v=" "/>
    <m/>
    <m/>
    <m/>
    <n v="4030500"/>
    <n v="220.4868708971554"/>
    <s v=" "/>
    <m/>
    <d v="2019-11-25T00:00:00"/>
    <x v="8"/>
    <m/>
    <x v="0"/>
    <m/>
    <m/>
    <m/>
    <m/>
    <m/>
    <s v=" "/>
    <s v=" "/>
    <m/>
    <s v=" "/>
    <s v=" "/>
    <s v=" "/>
    <m/>
    <s v=" "/>
  </r>
  <r>
    <s v="LLA00054"/>
    <s v="INS"/>
    <s v="Federal"/>
    <s v="Fee Simple"/>
    <s v="1010 E Whatley Rd"/>
    <s v="Oakdale"/>
    <s v="LA"/>
    <m/>
    <n v="1998"/>
    <n v="23021"/>
    <n v="24107"/>
    <n v="0.9549508441531506"/>
    <n v="623001"/>
    <n v="27.06229095173972"/>
    <m/>
    <s v=" "/>
    <d v="2019-11-20T00:00:00"/>
    <d v="2034-11-19T00:00:00"/>
    <d v="2029-11-20T00:00:00"/>
    <n v="14.99452054794521"/>
    <n v="9.994520547945205"/>
    <s v="Modified Gross"/>
    <s v="None"/>
    <s v="None"/>
    <m/>
    <s v=" "/>
    <s v=" "/>
    <m/>
    <d v="2019-11-25T00:00:00"/>
    <x v="733"/>
    <m/>
    <x v="42"/>
    <s v="VA"/>
    <s v="Private"/>
    <m/>
    <m/>
    <m/>
    <s v=" "/>
    <s v=" "/>
    <m/>
    <s v=" "/>
    <s v=" "/>
    <s v=" "/>
    <m/>
    <s v=" "/>
  </r>
  <r>
    <m/>
    <s v="DA - City of San Francisco"/>
    <s v="Municipal"/>
    <s v="Fee Simple"/>
    <s v="350 Rhode Island St"/>
    <s v="San Francisco"/>
    <s v="CA"/>
    <n v="1.84"/>
    <n v="2002"/>
    <n v="127100"/>
    <n v="127100"/>
    <n v="1"/>
    <m/>
    <s v=" "/>
    <m/>
    <s v=" "/>
    <m/>
    <d v="2033-01-31T00:00:00"/>
    <d v="2033-01-31T00:00:00"/>
    <n v="13.19452054794521"/>
    <n v="13.19452054794521"/>
    <s v="Full Service"/>
    <s v="2% annually"/>
    <s v="None"/>
    <n v="134250000"/>
    <n v="1056.254917387884"/>
    <s v=" "/>
    <m/>
    <d v="2019-11-25T00:00:00"/>
    <x v="734"/>
    <m/>
    <x v="520"/>
    <s v="DC"/>
    <s v="Institutional"/>
    <m/>
    <m/>
    <m/>
    <s v=" "/>
    <s v=" "/>
    <m/>
    <s v=" "/>
    <s v=" "/>
    <s v=" "/>
    <m/>
    <s v=" "/>
  </r>
  <r>
    <m/>
    <s v="USPS"/>
    <s v="Federal"/>
    <s v="Fee Simple"/>
    <s v="2629 Liberty Hill Rd"/>
    <s v="Camden"/>
    <s v="SC"/>
    <m/>
    <m/>
    <n v="8515"/>
    <n v="8515"/>
    <n v="1"/>
    <m/>
    <s v=" "/>
    <m/>
    <s v=" "/>
    <m/>
    <m/>
    <m/>
    <s v=" "/>
    <s v=" "/>
    <m/>
    <m/>
    <m/>
    <n v="1524088"/>
    <n v="178.9886083382267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0 S Main St "/>
    <s v="Campobello"/>
    <s v="SC"/>
    <m/>
    <m/>
    <n v="5392"/>
    <n v="5392"/>
    <n v="1"/>
    <m/>
    <s v=" "/>
    <m/>
    <s v=" "/>
    <m/>
    <m/>
    <m/>
    <s v=" "/>
    <s v=" "/>
    <m/>
    <m/>
    <m/>
    <n v="849708"/>
    <n v="157.5867952522255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205 W Main St"/>
    <s v="Central"/>
    <s v="SC"/>
    <m/>
    <m/>
    <n v="6821"/>
    <n v="6821"/>
    <n v="1"/>
    <m/>
    <s v=" "/>
    <m/>
    <s v=" "/>
    <m/>
    <m/>
    <m/>
    <s v=" "/>
    <s v=" "/>
    <m/>
    <m/>
    <m/>
    <n v="1425000"/>
    <n v="208.9136490250696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82 Elm St "/>
    <s v="Lincolnton"/>
    <s v="GA"/>
    <n v="1.41"/>
    <n v="2001"/>
    <n v="6840"/>
    <n v="6840"/>
    <n v="1"/>
    <m/>
    <s v=" "/>
    <m/>
    <s v=" "/>
    <m/>
    <m/>
    <m/>
    <s v=" "/>
    <s v=" "/>
    <m/>
    <m/>
    <m/>
    <n v="925000"/>
    <n v="135.233918128655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4160 Logan Dr"/>
    <s v="Loganville"/>
    <s v="GA"/>
    <m/>
    <m/>
    <n v="18280"/>
    <n v="18280"/>
    <n v="1"/>
    <m/>
    <s v=" "/>
    <m/>
    <s v=" "/>
    <m/>
    <m/>
    <m/>
    <s v=" "/>
    <s v=" "/>
    <m/>
    <m/>
    <m/>
    <n v="4030500"/>
    <n v="220.4868708971554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7 N Us-52 Hwy"/>
    <s v="Moncks Corner"/>
    <s v="SC"/>
    <m/>
    <m/>
    <n v="10625"/>
    <n v="10625"/>
    <n v="1"/>
    <m/>
    <s v=" "/>
    <m/>
    <s v=" "/>
    <m/>
    <m/>
    <m/>
    <s v=" "/>
    <s v=" "/>
    <m/>
    <m/>
    <m/>
    <n v="1509550"/>
    <n v="142.075294117647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98 Ledford St "/>
    <s v="Pembroke"/>
    <s v="GA"/>
    <m/>
    <m/>
    <n v="5340"/>
    <n v="5340"/>
    <n v="1"/>
    <m/>
    <s v=" "/>
    <m/>
    <s v=" "/>
    <m/>
    <m/>
    <m/>
    <s v=" "/>
    <s v=" "/>
    <m/>
    <m/>
    <m/>
    <n v="695000"/>
    <n v="130.1498127340824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891 S Mechanic St"/>
    <s v="Pendleton"/>
    <s v="SC"/>
    <n v="3.82"/>
    <n v="1997"/>
    <n v="2640"/>
    <n v="2640"/>
    <n v="1"/>
    <m/>
    <s v=" "/>
    <m/>
    <s v=" "/>
    <m/>
    <m/>
    <m/>
    <s v=" "/>
    <s v=" "/>
    <m/>
    <m/>
    <m/>
    <n v="1552551"/>
    <n v="588.0875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6450 Evans Dr"/>
    <s v="Rex"/>
    <s v="GA"/>
    <n v="2.421"/>
    <n v="1999"/>
    <n v="8640"/>
    <n v="8640"/>
    <n v="1"/>
    <m/>
    <s v=" "/>
    <m/>
    <s v=" "/>
    <m/>
    <m/>
    <m/>
    <s v=" "/>
    <s v=" "/>
    <m/>
    <m/>
    <m/>
    <n v="1138653"/>
    <n v="131.7885416666667"/>
    <s v=" "/>
    <m/>
    <d v="2019-11-22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200 Edison Rd"/>
    <s v="Orange"/>
    <s v="CT"/>
    <n v="8.25"/>
    <n v="2019"/>
    <n v="56350"/>
    <n v="56350"/>
    <n v="1"/>
    <n v="2685326"/>
    <n v="47.6544099378882"/>
    <m/>
    <s v=" "/>
    <m/>
    <d v="2034-08-30T00:00:00"/>
    <d v="2034-08-30T00:00:00"/>
    <n v="14.78356164383562"/>
    <n v="14.78356164383562"/>
    <s v="Modified Gross"/>
    <s v="None"/>
    <s v="None"/>
    <n v="27750000"/>
    <n v="492.4578527062999"/>
    <s v=" "/>
    <m/>
    <d v="2019-11-21T00:00:00"/>
    <x v="111"/>
    <m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797 Lakewood Rd"/>
    <s v="Waterbury"/>
    <s v="CT"/>
    <m/>
    <m/>
    <n v="11338"/>
    <n v="11338"/>
    <n v="1"/>
    <m/>
    <s v=" "/>
    <m/>
    <s v=" "/>
    <m/>
    <m/>
    <m/>
    <s v=" "/>
    <s v=" "/>
    <m/>
    <m/>
    <m/>
    <n v="1250000"/>
    <n v="110.2487211148351"/>
    <s v=" "/>
    <m/>
    <d v="2019-11-20T00:00:00"/>
    <x v="8"/>
    <m/>
    <x v="66"/>
    <s v="CA"/>
    <s v="Private"/>
    <m/>
    <m/>
    <m/>
    <s v=" "/>
    <s v=" "/>
    <m/>
    <s v=" "/>
    <s v=" "/>
    <s v=" "/>
    <m/>
    <s v=" "/>
  </r>
  <r>
    <m/>
    <s v="Multi"/>
    <s v="State"/>
    <s v="Fee Simple"/>
    <m/>
    <s v="Portfolio of Four"/>
    <m/>
    <m/>
    <m/>
    <m/>
    <n v="686953"/>
    <s v=" "/>
    <m/>
    <s v=" "/>
    <n v="5265000"/>
    <n v="7.664279797890103"/>
    <m/>
    <m/>
    <m/>
    <s v=" "/>
    <s v=" "/>
    <m/>
    <m/>
    <m/>
    <n v="58500000"/>
    <n v="85.15866442100115"/>
    <n v="0.09"/>
    <m/>
    <d v="2019-11-19T00:00:00"/>
    <x v="735"/>
    <s v="C&amp;W; Pergola"/>
    <x v="521"/>
    <s v="MA"/>
    <s v="Institutional"/>
    <m/>
    <m/>
    <m/>
    <s v=" "/>
    <s v=" "/>
    <m/>
    <s v=" "/>
    <s v=" "/>
    <s v=" "/>
    <m/>
    <s v=" "/>
  </r>
  <r>
    <m/>
    <s v="Assessor"/>
    <s v="Municipal"/>
    <s v="Fee Simple"/>
    <s v="2314 S Mountain Ave"/>
    <s v="Ontario"/>
    <s v="CA"/>
    <n v="3.5"/>
    <n v="1980"/>
    <n v="43663"/>
    <n v="43663"/>
    <n v="1"/>
    <m/>
    <s v=" "/>
    <m/>
    <s v=" "/>
    <m/>
    <m/>
    <m/>
    <s v=" "/>
    <s v=" "/>
    <m/>
    <m/>
    <m/>
    <n v="3500000"/>
    <n v="80.15940269793647"/>
    <s v=" "/>
    <m/>
    <d v="2019-11-18T00:00:00"/>
    <x v="736"/>
    <s v="CBRE"/>
    <x v="522"/>
    <s v="CA"/>
    <s v="Private"/>
    <m/>
    <m/>
    <m/>
    <s v=" "/>
    <s v=" "/>
    <m/>
    <s v=" "/>
    <s v=" "/>
    <s v=" "/>
    <m/>
    <s v=" "/>
  </r>
  <r>
    <m/>
    <s v="Multi"/>
    <s v="Federal"/>
    <s v="Fee Simple"/>
    <s v="149 S Ridgewood Ave"/>
    <s v="Daytonoa Beach"/>
    <s v="FL"/>
    <m/>
    <m/>
    <m/>
    <m/>
    <s v=" "/>
    <m/>
    <s v=" "/>
    <m/>
    <s v=" "/>
    <m/>
    <m/>
    <m/>
    <s v=" "/>
    <s v=" "/>
    <m/>
    <m/>
    <m/>
    <n v="3700000"/>
    <s v=" "/>
    <s v=" "/>
    <m/>
    <d v="2019-11-15T00:00:00"/>
    <x v="737"/>
    <m/>
    <x v="523"/>
    <s v="FL"/>
    <s v="Private"/>
    <m/>
    <m/>
    <m/>
    <s v=" "/>
    <s v=" "/>
    <m/>
    <s v=" "/>
    <s v=" "/>
    <s v=" "/>
    <m/>
    <s v=" "/>
  </r>
  <r>
    <m/>
    <s v="SSA"/>
    <s v="Federal"/>
    <s v="Fee Simple"/>
    <s v="Portfolio of Four"/>
    <s v="Rockville"/>
    <s v="MD"/>
    <n v="2.38"/>
    <n v="1986"/>
    <n v="372605"/>
    <n v="372605"/>
    <n v="1"/>
    <m/>
    <s v=" "/>
    <m/>
    <s v=" "/>
    <d v="2020-02-01T00:00:00"/>
    <d v="2035-01-31T00:00:00"/>
    <d v="2030-01-31T00:00:00"/>
    <n v="15.22191780821918"/>
    <n v="10.21917808219178"/>
    <s v="Modified Gross"/>
    <s v="None"/>
    <s v="None"/>
    <n v="61937919"/>
    <n v="166.2294359979066"/>
    <s v=" "/>
    <m/>
    <d v="2019-11-15T00:00:00"/>
    <x v="247"/>
    <s v="JLL; Molloy"/>
    <x v="1"/>
    <s v="IL"/>
    <s v="Private"/>
    <m/>
    <m/>
    <m/>
    <s v=" "/>
    <s v=" "/>
    <m/>
    <s v=" "/>
    <s v=" "/>
    <s v=" "/>
    <m/>
    <s v=" "/>
  </r>
  <r>
    <m/>
    <s v="United Nations"/>
    <s v="Intergovernmental"/>
    <s v="Fee Simple"/>
    <s v="305 E 46th St"/>
    <s v="New York"/>
    <s v="NY"/>
    <n v="0.23"/>
    <n v="1971"/>
    <n v="187060"/>
    <n v="187060"/>
    <n v="1"/>
    <m/>
    <s v=" "/>
    <n v="7584800"/>
    <n v="40.54741794076767"/>
    <m/>
    <m/>
    <m/>
    <s v=" "/>
    <s v=" "/>
    <m/>
    <m/>
    <m/>
    <n v="152000000"/>
    <n v="812.5735058270074"/>
    <n v="0.0499"/>
    <m/>
    <d v="2019-11-14T00:00:00"/>
    <x v="738"/>
    <s v="Eastdil"/>
    <x v="524"/>
    <s v="NY"/>
    <s v="Private"/>
    <m/>
    <m/>
    <m/>
    <s v=" "/>
    <s v=" "/>
    <m/>
    <s v=" "/>
    <s v=" "/>
    <s v=" "/>
    <m/>
    <s v=" "/>
  </r>
  <r>
    <m/>
    <s v="SSA"/>
    <s v="Federal"/>
    <s v="Fee Simple"/>
    <s v="93 N 9th St"/>
    <s v="Brooklyn"/>
    <s v="NY"/>
    <n v="0.5600000000000001"/>
    <n v="1960"/>
    <n v="7207"/>
    <n v="12000"/>
    <n v="0.6005833333333334"/>
    <m/>
    <s v=" "/>
    <m/>
    <s v=" "/>
    <m/>
    <m/>
    <m/>
    <s v=" "/>
    <s v=" "/>
    <m/>
    <m/>
    <m/>
    <n v="17000000"/>
    <n v="1416.666666666667"/>
    <s v=" "/>
    <m/>
    <d v="2019-11-13T00:00:00"/>
    <x v="8"/>
    <m/>
    <x v="0"/>
    <m/>
    <m/>
    <m/>
    <m/>
    <n v="19500000"/>
    <s v=" "/>
    <n v="0.8717948717948718"/>
    <n v="19500000"/>
    <s v=" "/>
    <s v=" "/>
    <s v="No"/>
    <d v="2017-03-17T00:00:00"/>
    <n v="971"/>
  </r>
  <r>
    <m/>
    <s v="USPS"/>
    <s v="Federal"/>
    <s v="Fee Simple"/>
    <s v="9596 Blue Pond Blvd W"/>
    <s v="Sylvania"/>
    <s v="AL"/>
    <n v="1.44"/>
    <n v="1995"/>
    <n v="2236"/>
    <n v="2236"/>
    <n v="1"/>
    <m/>
    <s v=" "/>
    <n v="23800"/>
    <n v="10.64400715563506"/>
    <m/>
    <m/>
    <m/>
    <s v=" "/>
    <s v=" "/>
    <m/>
    <m/>
    <m/>
    <n v="245000"/>
    <n v="109.5706618962433"/>
    <n v="0.09714285714285714"/>
    <m/>
    <d v="2019-11-13T00:00:00"/>
    <x v="739"/>
    <s v="Hardiman"/>
    <x v="0"/>
    <m/>
    <m/>
    <m/>
    <m/>
    <n v="340000"/>
    <n v="0.07000000000000001"/>
    <n v="0.7205882352941176"/>
    <n v="340000"/>
    <n v="0.07000000000000001"/>
    <n v="0.02714285714285714"/>
    <s v="No"/>
    <d v="2019-03-08T00:00:00"/>
    <n v="250"/>
  </r>
  <r>
    <m/>
    <s v="DHS"/>
    <s v="State"/>
    <s v="Fee Simple"/>
    <s v="1060 N Des Bee Dove Rd"/>
    <s v="Castle Dale"/>
    <s v="UT"/>
    <n v="1.19"/>
    <n v="2003"/>
    <n v="5400"/>
    <n v="5400"/>
    <n v="1"/>
    <m/>
    <s v=" "/>
    <n v="62999.65"/>
    <n v="11.66660185185185"/>
    <m/>
    <d v="2028-06-30T00:00:00"/>
    <m/>
    <n v="8.652054794520549"/>
    <s v=" "/>
    <s v="Full Service"/>
    <s v="None"/>
    <s v="None"/>
    <n v="840000"/>
    <n v="155.5555555555555"/>
    <n v="0.07499958333333334"/>
    <m/>
    <d v="2019-11-07T00:00:00"/>
    <x v="740"/>
    <s v="Realty Advantage"/>
    <x v="525"/>
    <s v="UT"/>
    <s v="Private"/>
    <s v="Bruce Armstrong"/>
    <m/>
    <n v="899995"/>
    <n v="0.07000000000000001"/>
    <n v="0.9333385185473253"/>
    <n v="850000"/>
    <n v="0.07411723529411765"/>
    <n v="0.0008823480392156913"/>
    <s v="Yes"/>
    <d v="2018-02-15T00:00:00"/>
    <n v="630"/>
  </r>
  <r>
    <m/>
    <m/>
    <s v="State"/>
    <s v="Fee Simple"/>
    <s v="4110 Pa-286 W"/>
    <s v="Indiana"/>
    <s v="PA"/>
    <n v="19.34"/>
    <m/>
    <m/>
    <m/>
    <s v=" "/>
    <m/>
    <s v=" "/>
    <m/>
    <s v=" "/>
    <m/>
    <m/>
    <m/>
    <s v=" "/>
    <s v=" "/>
    <m/>
    <m/>
    <m/>
    <n v="6250000"/>
    <s v=" "/>
    <s v=" "/>
    <m/>
    <d v="2019-11-07T00:00:00"/>
    <x v="741"/>
    <m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2515 Termini St"/>
    <s v="Dickinson"/>
    <s v="TX"/>
    <n v="1.02"/>
    <n v="1970"/>
    <n v="7427"/>
    <n v="7427"/>
    <n v="1"/>
    <n v="79750"/>
    <n v="10.73784839100579"/>
    <n v="69616"/>
    <n v="9.373367443112967"/>
    <d v="2015-03-01T00:00:00"/>
    <d v="2020-02-28T00:00:00"/>
    <d v="2020-02-28T00:00:00"/>
    <n v="0.326027397260274"/>
    <n v="0.326027397260274"/>
    <s v="Rider"/>
    <s v="Option"/>
    <s v="1, 5 year"/>
    <n v="939000"/>
    <n v="126.430591086576"/>
    <n v="0.0741384451544196"/>
    <m/>
    <d v="2019-11-01T00:00:00"/>
    <x v="742"/>
    <s v="TCP; Harrison"/>
    <x v="526"/>
    <s v="TX"/>
    <s v="Private"/>
    <m/>
    <m/>
    <n v="995000"/>
    <n v="0.06996582914572864"/>
    <n v="0.9437185929648241"/>
    <n v="960000"/>
    <n v="0.07251666666666666"/>
    <n v="0.00162177848775294"/>
    <s v="Yes"/>
    <d v="2019-06-25T00:00:00"/>
    <n v="129"/>
  </r>
  <r>
    <m/>
    <s v="USPS"/>
    <s v="Federal"/>
    <s v="Fee Simple"/>
    <s v="333 Main St S"/>
    <s v="Forman"/>
    <s v="ND"/>
    <n v="0.14"/>
    <m/>
    <n v="1653"/>
    <n v="1653"/>
    <n v="1"/>
    <m/>
    <s v=" "/>
    <n v="16359"/>
    <n v="9.896551724137931"/>
    <m/>
    <m/>
    <m/>
    <s v=" "/>
    <s v=" "/>
    <m/>
    <m/>
    <m/>
    <n v="215000"/>
    <n v="130.0665456745311"/>
    <n v="0.07608837209302326"/>
    <m/>
    <d v="2019-11-01T00:00:00"/>
    <x v="8"/>
    <s v="Upland"/>
    <x v="0"/>
    <m/>
    <m/>
    <m/>
    <m/>
    <n v="218120"/>
    <n v="0.075"/>
    <n v="0.9856959471850357"/>
    <n v="218120"/>
    <n v="0.075"/>
    <n v="0.00108837209302326"/>
    <s v="No"/>
    <d v="2017-07-18T00:00:00"/>
    <n v="836"/>
  </r>
  <r>
    <m/>
    <s v="USPS"/>
    <s v="Federal"/>
    <s v="Fee Simple"/>
    <s v="300 Cypress St"/>
    <s v="Liverpool"/>
    <s v="NY"/>
    <n v="0.8100000000000001"/>
    <n v="1961"/>
    <n v="8600"/>
    <n v="8600"/>
    <n v="1"/>
    <n v="137360"/>
    <n v="15.97209302325581"/>
    <n v="132924"/>
    <n v="15.45627906976744"/>
    <d v="2016-12-01T00:00:00"/>
    <d v="2021-11-30T00:00:00"/>
    <d v="2018-12-01T00:00:00"/>
    <n v="2.082191780821918"/>
    <n v="-0.9178082191780822"/>
    <s v="Rider"/>
    <s v="Options"/>
    <s v="2, 5 year"/>
    <n v="1650000"/>
    <n v="191.8604651162791"/>
    <n v="0.08056000000000001"/>
    <m/>
    <d v="2019-11-01T00:00:00"/>
    <x v="743"/>
    <s v="TCP; Harrison"/>
    <x v="527"/>
    <s v="NY"/>
    <s v="Private"/>
    <m/>
    <m/>
    <n v="1800000"/>
    <n v="0.07384666666666667"/>
    <n v="0.9166666666666666"/>
    <n v="1750000"/>
    <n v="0.07595657142857143"/>
    <n v="0.004603428571428578"/>
    <s v="Yes"/>
    <d v="2018-11-07T00:00:00"/>
    <n v="359"/>
  </r>
  <r>
    <m/>
    <s v="Multi"/>
    <s v="State"/>
    <s v="Fee Simple"/>
    <s v="101-111 Executive Center Dr"/>
    <s v="Columbia"/>
    <s v="SC"/>
    <n v="11.52"/>
    <m/>
    <m/>
    <n v="180703"/>
    <s v=" "/>
    <m/>
    <s v=" "/>
    <m/>
    <s v=" "/>
    <m/>
    <m/>
    <m/>
    <s v=" "/>
    <s v=" "/>
    <m/>
    <m/>
    <m/>
    <n v="10750000"/>
    <n v="59.4898811862559"/>
    <s v=" "/>
    <m/>
    <d v="2019-10-31T00:00:00"/>
    <x v="247"/>
    <s v="C&amp;W: Cochran"/>
    <x v="528"/>
    <s v="IL"/>
    <s v="Private"/>
    <m/>
    <m/>
    <m/>
    <s v=" "/>
    <s v=" "/>
    <m/>
    <s v=" "/>
    <s v=" "/>
    <s v=" "/>
    <m/>
    <s v=" "/>
  </r>
  <r>
    <m/>
    <s v="Multi"/>
    <s v="State"/>
    <s v="Fee Simple"/>
    <s v="1300 Evergreen Park Dr SW"/>
    <s v="Olympia"/>
    <s v="WA"/>
    <n v="5.43"/>
    <n v="1986"/>
    <n v="88588"/>
    <n v="88588"/>
    <n v="1"/>
    <m/>
    <s v=" "/>
    <m/>
    <s v=" "/>
    <m/>
    <m/>
    <m/>
    <s v=" "/>
    <s v=" "/>
    <m/>
    <m/>
    <m/>
    <n v="18595000"/>
    <n v="209.9042759741726"/>
    <s v=" "/>
    <m/>
    <d v="2019-10-28T00:00:00"/>
    <x v="223"/>
    <m/>
    <x v="529"/>
    <s v="WA"/>
    <s v="Private"/>
    <m/>
    <m/>
    <m/>
    <s v=" "/>
    <s v=" "/>
    <m/>
    <s v=" "/>
    <s v=" "/>
    <s v=" "/>
    <m/>
    <s v=" "/>
  </r>
  <r>
    <s v="LMD02293"/>
    <s v="HHS"/>
    <s v="Federal"/>
    <s v="Fee Simple"/>
    <s v="5600 Fishers Ln"/>
    <s v="Rockville"/>
    <s v="MD"/>
    <n v="12.03"/>
    <s v="1970 | 2014"/>
    <n v="935386"/>
    <n v="1283646"/>
    <n v="0.7286946712722978"/>
    <n v="29695152"/>
    <n v="31.74641484905697"/>
    <n v="25437810"/>
    <n v="19.81684202654003"/>
    <d v="2015-08-01T00:00:00"/>
    <d v="2030-07-31T00:00:00"/>
    <d v="2030-07-31T00:00:00"/>
    <n v="10.77260273972603"/>
    <n v="10.77260273972603"/>
    <s v="Modified Gross"/>
    <s v="None"/>
    <s v="None"/>
    <n v="436000000"/>
    <n v="339.6575068204162"/>
    <n v="0.0583436009174312"/>
    <m/>
    <d v="2019-10-25T00:00:00"/>
    <x v="744"/>
    <s v="JLL; Duffy"/>
    <x v="1"/>
    <s v="IL"/>
    <s v="Private"/>
    <m/>
    <m/>
    <m/>
    <s v=" "/>
    <s v=" "/>
    <m/>
    <s v=" "/>
    <s v=" "/>
    <s v=" "/>
    <d v="2019-02-12T00:00:00"/>
    <n v="255"/>
  </r>
  <r>
    <m/>
    <s v="VA"/>
    <s v="Federal"/>
    <s v="Fee Simple"/>
    <s v="3841 Brickway Blvd"/>
    <s v="Santa Rosa"/>
    <s v="CA"/>
    <n v="7.26"/>
    <n v="2011"/>
    <n v="29498"/>
    <n v="39540"/>
    <n v="0.7460293373798685"/>
    <m/>
    <s v=" "/>
    <n v="690000"/>
    <n v="17.45068285280728"/>
    <d v="2016-05-01T00:00:00"/>
    <d v="2026-04-30T00:00:00"/>
    <d v="2026-04-30T00:00:00"/>
    <n v="6.52054794520548"/>
    <n v="6.52054794520548"/>
    <s v="Modified Gross"/>
    <s v="None"/>
    <s v="None"/>
    <n v="10900000"/>
    <n v="275.6702073849266"/>
    <n v="0.06330275229357799"/>
    <m/>
    <d v="2019-10-24T00:00:00"/>
    <x v="745"/>
    <s v="JLL; Dowling"/>
    <x v="62"/>
    <s v="IL"/>
    <s v="Private"/>
    <m/>
    <m/>
    <m/>
    <s v=" "/>
    <s v=" "/>
    <m/>
    <s v=" "/>
    <s v=" "/>
    <s v=" "/>
    <m/>
    <s v=" "/>
  </r>
  <r>
    <m/>
    <s v="DHS"/>
    <s v="State"/>
    <s v="Fee Simple"/>
    <s v="2655 S Lake Erie Dr"/>
    <s v="Salt Lake City"/>
    <s v="UT"/>
    <n v="3.32"/>
    <n v="1995"/>
    <n v="18717.3"/>
    <n v="26739"/>
    <n v="0.7"/>
    <m/>
    <s v=" "/>
    <n v="382000"/>
    <n v="14.28624855080594"/>
    <m/>
    <d v="2026-06-30T00:00:00"/>
    <d v="2026-06-30T00:00:00"/>
    <n v="6.69041095890411"/>
    <n v="6.69041095890411"/>
    <s v="Full Service"/>
    <s v="None"/>
    <s v="None"/>
    <n v="4300000"/>
    <n v="160.8137925876061"/>
    <n v="0.08883720930232558"/>
    <m/>
    <d v="2019-10-23T00:00:00"/>
    <x v="746"/>
    <s v="CBRE; Smith"/>
    <x v="530"/>
    <s v="UT"/>
    <s v="Private"/>
    <s v="CBRE; Mecham"/>
    <m/>
    <n v="4750000"/>
    <n v="0.08042105263157895"/>
    <n v="0.9052631578947369"/>
    <n v="4750000"/>
    <n v="0.08042105263157895"/>
    <n v="0.008416156670746633"/>
    <s v="No"/>
    <d v="2017-12-14T00:00:00"/>
    <n v="678"/>
  </r>
  <r>
    <m/>
    <s v="USCIS"/>
    <s v="Federal"/>
    <s v="Fee Simple"/>
    <s v="14101 Myford Rd"/>
    <s v="Tustin"/>
    <s v="CA"/>
    <n v="4.6"/>
    <n v="1979"/>
    <n v="66818"/>
    <n v="66818"/>
    <n v="1"/>
    <m/>
    <s v=" "/>
    <n v="2380666"/>
    <n v="35.62911191595079"/>
    <m/>
    <d v="2034-07-31T00:00:00"/>
    <d v="2034-07-31T00:00:00"/>
    <n v="14.78082191780822"/>
    <n v="14.78082191780822"/>
    <m/>
    <m/>
    <m/>
    <n v="36200000"/>
    <n v="541.7701816875692"/>
    <n v="0.06576425414364641"/>
    <m/>
    <d v="2019-10-23T00:00:00"/>
    <x v="747"/>
    <s v="JLL; Leggett"/>
    <x v="3"/>
    <s v="DC"/>
    <s v="REIT"/>
    <m/>
    <m/>
    <m/>
    <s v=" "/>
    <s v=" "/>
    <m/>
    <s v=" "/>
    <s v=" "/>
    <s v=" "/>
    <m/>
    <s v=" "/>
  </r>
  <r>
    <s v="LIN17635"/>
    <s v="ATF"/>
    <s v="Federal"/>
    <s v="Fee Simple"/>
    <s v="4330 S High School Rd"/>
    <s v="Indianapolis"/>
    <s v="IN"/>
    <n v="6.04"/>
    <n v="2007"/>
    <n v="4207"/>
    <n v="7200"/>
    <n v="0.5843055555555555"/>
    <n v="47618"/>
    <n v="11.31875445685762"/>
    <m/>
    <s v=" "/>
    <d v="2006-12-11T00:00:00"/>
    <d v="2021-12-10T00:00:00"/>
    <d v="2016-12-10T00:00:00"/>
    <n v="2.147945205479452"/>
    <n v="-2.854794520547945"/>
    <m/>
    <m/>
    <m/>
    <n v="1340000"/>
    <n v="186.1111111111111"/>
    <s v=" "/>
    <m/>
    <d v="2019-10-18T00:00:00"/>
    <x v="748"/>
    <m/>
    <x v="531"/>
    <s v="IN"/>
    <s v="Private"/>
    <m/>
    <m/>
    <m/>
    <s v=" "/>
    <s v=" "/>
    <m/>
    <s v=" "/>
    <s v=" "/>
    <s v=" "/>
    <m/>
    <s v=" "/>
  </r>
  <r>
    <m/>
    <s v="Justice"/>
    <s v="State"/>
    <s v="Fee Simple"/>
    <s v="3068 Kilgore Rd"/>
    <s v="Rancho Cordova"/>
    <s v="CA"/>
    <n v="7.06"/>
    <n v="1988"/>
    <n v="104042"/>
    <n v="104042"/>
    <n v="1"/>
    <m/>
    <s v=" "/>
    <n v="1688400"/>
    <n v="16.22806174429557"/>
    <d v="2019-09-01T00:00:00"/>
    <d v="2029-08-30T00:00:00"/>
    <d v="2029-08-30T00:00:00"/>
    <n v="9.87945205479452"/>
    <n v="9.87945205479452"/>
    <s v="Full Service"/>
    <s v="2% annually"/>
    <s v="None"/>
    <n v="25200000"/>
    <n v="242.2098767805309"/>
    <n v="0.067"/>
    <m/>
    <d v="2019-10-16T00:00:00"/>
    <x v="749"/>
    <s v="JLL; Rawlings"/>
    <x v="1"/>
    <s v="IL"/>
    <s v="Private"/>
    <s v="Dan Macke"/>
    <m/>
    <m/>
    <s v=" "/>
    <s v=" "/>
    <m/>
    <s v=" "/>
    <s v=" "/>
    <s v=" "/>
    <d v="2018-10-23T00:00:00"/>
    <n v="358"/>
  </r>
  <r>
    <s v="LKS11002"/>
    <s v="FDA"/>
    <s v="Federal"/>
    <s v="Fee Simple"/>
    <s v="8050 Marshall Dr"/>
    <s v="Lenexa"/>
    <s v="KS"/>
    <n v="6.24"/>
    <n v="2001"/>
    <n v="18099"/>
    <n v="98507"/>
    <n v="0.1837331357162435"/>
    <n v="447082.77"/>
    <n v="24.70207028012598"/>
    <m/>
    <s v=" "/>
    <d v="2012-05-01T00:00:00"/>
    <d v="2022-04-30T00:00:00"/>
    <d v="2017-05-01T00:00:00"/>
    <n v="2.542465753424658"/>
    <n v="-2.457534246575342"/>
    <s v="Modified Gross"/>
    <s v="None"/>
    <s v="None"/>
    <n v="15300000"/>
    <n v="155.3189113464018"/>
    <s v=" "/>
    <m/>
    <d v="2019-10-15T00:00:00"/>
    <x v="750"/>
    <s v="JLL"/>
    <x v="167"/>
    <s v="TN"/>
    <s v="Private"/>
    <m/>
    <m/>
    <m/>
    <s v=" "/>
    <s v=" "/>
    <m/>
    <s v=" "/>
    <s v=" "/>
    <s v=" "/>
    <m/>
    <s v=" "/>
  </r>
  <r>
    <m/>
    <s v="Public Defenders"/>
    <s v="State"/>
    <s v="Fee Simple"/>
    <s v="420 6th St"/>
    <s v="Racine"/>
    <s v="WI"/>
    <n v="0.25"/>
    <n v="1990"/>
    <n v="5810"/>
    <n v="5810"/>
    <n v="1"/>
    <m/>
    <s v=" "/>
    <n v="72600"/>
    <n v="12.49569707401033"/>
    <m/>
    <d v="2022-02-28T00:00:00"/>
    <m/>
    <n v="2.378082191780822"/>
    <s v=" "/>
    <m/>
    <m/>
    <m/>
    <n v="770000"/>
    <n v="132.5301204819277"/>
    <n v="0.09428571428571429"/>
    <m/>
    <d v="2019-10-14T00:00:00"/>
    <x v="730"/>
    <s v="M&amp;M; Mobin"/>
    <x v="532"/>
    <s v="CA"/>
    <s v="Private"/>
    <m/>
    <m/>
    <m/>
    <s v=" "/>
    <s v=" "/>
    <m/>
    <s v=" "/>
    <s v=" "/>
    <s v=" "/>
    <m/>
    <s v=" "/>
  </r>
  <r>
    <m/>
    <s v="DEA, ATF"/>
    <s v="Federal"/>
    <s v="Fee Simple"/>
    <s v="901 NE 122nd"/>
    <s v="Oklahoma City"/>
    <s v="OK"/>
    <n v="2"/>
    <n v="2015"/>
    <n v="30000"/>
    <n v="30000"/>
    <n v="1"/>
    <n v="934527.35"/>
    <n v="31.15091166666667"/>
    <n v="656250"/>
    <n v="21.875"/>
    <d v="2016-03-10T00:00:00"/>
    <d v="2031-03-09T00:00:00"/>
    <d v="2026-03-09T00:00:00"/>
    <n v="11.41643835616438"/>
    <n v="6.413698630136986"/>
    <s v="Modified Gross"/>
    <s v="None"/>
    <s v="None"/>
    <n v="8750000"/>
    <n v="291.6666666666667"/>
    <n v="0.075"/>
    <m/>
    <d v="2019-10-11T00:00:00"/>
    <x v="1"/>
    <s v="SJC; Tomlinson"/>
    <x v="1"/>
    <s v="IL"/>
    <s v="Private"/>
    <m/>
    <m/>
    <m/>
    <s v=" "/>
    <s v=" "/>
    <m/>
    <s v=" "/>
    <s v=" "/>
    <s v=" "/>
    <m/>
    <s v=" "/>
  </r>
  <r>
    <m/>
    <s v="Mississippi Department of Health"/>
    <s v="State"/>
    <s v="Fee Simple"/>
    <s v="7220 Highway 45 N"/>
    <s v="Columbus"/>
    <s v="MS"/>
    <n v="1.8"/>
    <n v="2006"/>
    <m/>
    <n v="4800"/>
    <s v=" "/>
    <m/>
    <s v=" "/>
    <m/>
    <s v=" "/>
    <m/>
    <m/>
    <m/>
    <s v=" "/>
    <s v=" "/>
    <m/>
    <m/>
    <m/>
    <n v="260000"/>
    <n v="54.16666666666666"/>
    <s v=" "/>
    <m/>
    <d v="2019-10-09T00:00:00"/>
    <x v="8"/>
    <m/>
    <x v="0"/>
    <m/>
    <m/>
    <m/>
    <m/>
    <m/>
    <s v=" "/>
    <s v=" "/>
    <m/>
    <s v=" "/>
    <s v=" "/>
    <s v=" "/>
    <m/>
    <s v=" "/>
  </r>
  <r>
    <m/>
    <s v="Columbia Gas of Virginia"/>
    <s v="State"/>
    <s v="Fee Simple"/>
    <s v="4167 Bladau Dr"/>
    <s v="Warrenton"/>
    <s v="VA"/>
    <n v="4.63"/>
    <n v="1952"/>
    <n v="21225"/>
    <n v="21225"/>
    <n v="1"/>
    <m/>
    <s v=" "/>
    <n v="402520"/>
    <n v="18.96442873969376"/>
    <m/>
    <d v="2029-01-31T00:00:00"/>
    <d v="2029-01-31T00:00:00"/>
    <n v="9.326027397260274"/>
    <n v="9.326027397260274"/>
    <s v="Full Service"/>
    <s v="2% annually"/>
    <s v="None"/>
    <n v="5800000"/>
    <n v="273.2626619552415"/>
    <n v="0.0694"/>
    <m/>
    <d v="2019-10-07T00:00:00"/>
    <x v="751"/>
    <m/>
    <x v="173"/>
    <s v="MD"/>
    <s v="Private"/>
    <m/>
    <m/>
    <m/>
    <s v=" "/>
    <s v=" "/>
    <m/>
    <s v=" "/>
    <s v=" "/>
    <s v=" "/>
    <m/>
    <s v=" "/>
  </r>
  <r>
    <m/>
    <s v="SSA"/>
    <s v="Federal"/>
    <s v="Fee Simple"/>
    <s v="9031 Cross Park Dr"/>
    <s v="Knoxville"/>
    <s v="TN"/>
    <n v="2.13"/>
    <n v="1992"/>
    <n v="22270"/>
    <n v="22270"/>
    <n v="1"/>
    <n v="583082.38"/>
    <n v="26.18241490794791"/>
    <m/>
    <s v=" "/>
    <d v="2019-06-17T00:00:00"/>
    <d v="2029-06-16T00:00:00"/>
    <d v="2026-06-16T00:00:00"/>
    <n v="9.706849315068494"/>
    <n v="6.704109589041096"/>
    <m/>
    <m/>
    <m/>
    <m/>
    <s v=" "/>
    <s v=" "/>
    <m/>
    <d v="2019-10-04T00:00:00"/>
    <x v="8"/>
    <m/>
    <x v="533"/>
    <s v="FL"/>
    <s v="Private"/>
    <m/>
    <m/>
    <m/>
    <s v=" "/>
    <s v=" "/>
    <m/>
    <s v=" "/>
    <s v=" "/>
    <s v=" "/>
    <m/>
    <s v=" "/>
  </r>
  <r>
    <s v="LMS00027"/>
    <s v="SSA"/>
    <s v="Federal"/>
    <s v="Fee Simple"/>
    <s v="1050 S Harper Rd"/>
    <s v="Corinth"/>
    <s v="MS"/>
    <n v="2.6"/>
    <n v="2008"/>
    <n v="8395"/>
    <n v="8395"/>
    <n v="1"/>
    <n v="246275.36"/>
    <n v="29.33595711733174"/>
    <m/>
    <s v=" "/>
    <d v="2018-05-01T00:00:00"/>
    <d v="2028-04-30T00:00:00"/>
    <d v="2023-05-01T00:00:00"/>
    <n v="8.580821917808219"/>
    <n v="3.578082191780822"/>
    <s v="Modified Gross"/>
    <s v="None"/>
    <s v="None"/>
    <m/>
    <s v=" "/>
    <s v=" "/>
    <m/>
    <d v="2019-10-03T00:00:00"/>
    <x v="752"/>
    <m/>
    <x v="421"/>
    <s v="WI"/>
    <s v="Private"/>
    <m/>
    <m/>
    <m/>
    <s v=" "/>
    <s v=" "/>
    <m/>
    <s v=" "/>
    <s v=" "/>
    <s v=" "/>
    <m/>
    <s v=" "/>
  </r>
  <r>
    <m/>
    <s v="Multi"/>
    <s v="State"/>
    <s v="Fee Simple"/>
    <s v="Portfolio of Two"/>
    <s v="Santa Ana"/>
    <s v="CA"/>
    <n v="6.39"/>
    <n v="1986"/>
    <n v="287815"/>
    <n v="287815"/>
    <n v="1"/>
    <m/>
    <s v=" "/>
    <m/>
    <s v=" "/>
    <m/>
    <m/>
    <m/>
    <s v=" "/>
    <s v=" "/>
    <m/>
    <m/>
    <m/>
    <n v="62100000"/>
    <n v="215.7635981446415"/>
    <s v=" "/>
    <m/>
    <d v="2019-10-02T00:00:00"/>
    <x v="753"/>
    <s v="CBRE; Mack"/>
    <x v="1"/>
    <s v="IL"/>
    <s v="Private"/>
    <m/>
    <m/>
    <m/>
    <s v=" "/>
    <s v=" "/>
    <m/>
    <s v=" "/>
    <s v=" "/>
    <s v=" "/>
    <m/>
    <s v=" "/>
  </r>
  <r>
    <s v="LOK17546"/>
    <s v="ICE"/>
    <s v="Federal"/>
    <s v="Fee Simple"/>
    <s v="1220 Sovereign Row"/>
    <s v="Oklahoma City"/>
    <s v="OK"/>
    <n v="1.435"/>
    <n v="1981"/>
    <n v="16991"/>
    <n v="16991"/>
    <n v="1"/>
    <n v="483642.38"/>
    <n v="28.46462127008416"/>
    <m/>
    <s v=" "/>
    <d v="2018-12-28T00:00:00"/>
    <d v="2033-12-27T00:00:00"/>
    <d v="2028-12-27T00:00:00"/>
    <n v="14.24931506849315"/>
    <n v="9.246575342465754"/>
    <s v="Modified Gross"/>
    <s v="None"/>
    <s v="None"/>
    <m/>
    <s v=" "/>
    <s v=" "/>
    <m/>
    <d v="2019-10-01T00:00:00"/>
    <x v="103"/>
    <s v="C&amp;W; Trautvetter"/>
    <x v="54"/>
    <s v="NC"/>
    <s v="REIT"/>
    <m/>
    <s v="Rooker"/>
    <m/>
    <s v=" "/>
    <s v=" "/>
    <m/>
    <s v=" "/>
    <s v=" "/>
    <s v=" "/>
    <d v="2019-04-23T00:00:00"/>
    <n v="161"/>
  </r>
  <r>
    <m/>
    <s v="Soc. Ser."/>
    <s v="State"/>
    <s v="Fee Simple"/>
    <s v="9835 Goethe Rd"/>
    <s v="Sacramento"/>
    <s v="CA"/>
    <n v="3.78"/>
    <n v="1988"/>
    <n v="50215"/>
    <n v="50215"/>
    <n v="1"/>
    <n v="1119626"/>
    <n v="22.29664442895549"/>
    <n v="750827"/>
    <n v="14.95224534501643"/>
    <d v="2016-12-01T00:00:00"/>
    <d v="2026-11-30T00:00:00"/>
    <d v="2022-11-30T00:00:00"/>
    <n v="7.16986301369863"/>
    <n v="3.167123287671233"/>
    <s v="Full Service"/>
    <s v="2% annually"/>
    <s v="None"/>
    <n v="10800000"/>
    <n v="215.0751767400179"/>
    <n v="0.06952101851851852"/>
    <m/>
    <d v="2019-10-01T00:00:00"/>
    <x v="754"/>
    <s v="CBRE; Getz"/>
    <x v="1"/>
    <s v="IL"/>
    <s v="Private"/>
    <m/>
    <m/>
    <n v="10895000"/>
    <n v="0.06891482331344653"/>
    <n v="0.9912804038549794"/>
    <n v="10895000"/>
    <n v="0.06891482331344653"/>
    <n v="0.000606195205071991"/>
    <s v="No"/>
    <m/>
    <s v=" "/>
  </r>
  <r>
    <m/>
    <s v="Multi"/>
    <s v="State"/>
    <s v="Fee Simple"/>
    <s v="4900 Alameda Blvd NE"/>
    <s v="Albuquerque"/>
    <s v="NM"/>
    <n v="1.6883"/>
    <n v="2005"/>
    <n v="28000"/>
    <n v="28000"/>
    <n v="1"/>
    <m/>
    <s v=" "/>
    <n v="510000.0000000001"/>
    <n v="18.21428571428572"/>
    <m/>
    <m/>
    <m/>
    <s v=" "/>
    <s v=" "/>
    <m/>
    <m/>
    <m/>
    <n v="6000000"/>
    <n v="214.2857142857143"/>
    <n v="0.08500000000000001"/>
    <m/>
    <d v="2019-09-30T00:00:00"/>
    <x v="755"/>
    <m/>
    <x v="1"/>
    <s v="IL"/>
    <s v="Private"/>
    <m/>
    <m/>
    <m/>
    <s v=" "/>
    <s v=" "/>
    <m/>
    <s v=" "/>
    <s v=" "/>
    <s v=" "/>
    <m/>
    <s v=" "/>
  </r>
  <r>
    <m/>
    <s v="SHS"/>
    <s v="State"/>
    <s v="Fee Simple"/>
    <s v="4710 Auto Center Blvd"/>
    <s v="Bremerton"/>
    <s v="WA"/>
    <n v="4.63"/>
    <n v="1971"/>
    <n v="30320"/>
    <n v="30320"/>
    <n v="1"/>
    <m/>
    <s v=" "/>
    <n v="401592"/>
    <n v="13.24511873350924"/>
    <m/>
    <m/>
    <m/>
    <s v=" "/>
    <s v=" "/>
    <m/>
    <m/>
    <m/>
    <n v="5500000"/>
    <n v="181.3984168865435"/>
    <n v="0.07301672727272727"/>
    <m/>
    <d v="2019-09-30T00:00:00"/>
    <x v="756"/>
    <s v="KW; Dorenbush"/>
    <x v="1"/>
    <s v="IL"/>
    <s v="Private"/>
    <m/>
    <m/>
    <m/>
    <s v=" "/>
    <s v=" "/>
    <m/>
    <s v=" "/>
    <s v=" "/>
    <s v=" "/>
    <m/>
    <s v=" "/>
  </r>
  <r>
    <s v="LVA12093"/>
    <s v="Multi"/>
    <s v="Federal"/>
    <s v="Fee Simple"/>
    <s v="2510 Walmer Ave"/>
    <s v="Norfolk"/>
    <s v="VA"/>
    <n v="6.57"/>
    <n v="1988"/>
    <n v="49902"/>
    <n v="71774"/>
    <n v="0.6952656950985037"/>
    <n v="882476"/>
    <n v="17.68418099474971"/>
    <n v="813316"/>
    <n v="11.3316242650542"/>
    <d v="2013-09-17T00:00:00"/>
    <d v="2023-09-16T00:00:00"/>
    <m/>
    <n v="3.964383561643836"/>
    <s v=" "/>
    <s v="Modified Gross"/>
    <m/>
    <m/>
    <n v="11800000"/>
    <n v="164.4049377211804"/>
    <n v="0.06892508474576271"/>
    <m/>
    <d v="2019-09-30T00:00:00"/>
    <x v="561"/>
    <s v="Colliers; Adams"/>
    <x v="354"/>
    <s v="FL"/>
    <s v="REIT"/>
    <m/>
    <m/>
    <m/>
    <s v=" "/>
    <s v=" "/>
    <m/>
    <s v=" "/>
    <s v=" "/>
    <s v=" "/>
    <m/>
    <s v=" "/>
  </r>
  <r>
    <m/>
    <s v="USPS"/>
    <s v="Federal"/>
    <s v="Fee Simple"/>
    <s v="2551 Augustine Herman Hwy"/>
    <s v="Chesapeake City"/>
    <s v="MD"/>
    <n v="0.16"/>
    <n v="1962"/>
    <n v="2500"/>
    <n v="5500"/>
    <n v="0.4545454545454545"/>
    <n v="30025"/>
    <n v="12.01"/>
    <n v="29400"/>
    <n v="5.345454545454546"/>
    <d v="2018-04-01T00:00:00"/>
    <d v="2023-03-31T00:00:00"/>
    <d v="2018-06-30T00:00:00"/>
    <n v="3.50958904109589"/>
    <n v="-1.243835616438356"/>
    <s v="Rider"/>
    <s v="None"/>
    <s v="None"/>
    <n v="395000"/>
    <n v="71.81818181818181"/>
    <n v="0.07443037974683545"/>
    <m/>
    <d v="2019-09-27T00:00:00"/>
    <x v="757"/>
    <s v="TCP; Harrison"/>
    <x v="534"/>
    <s v="MD"/>
    <s v="Private"/>
    <m/>
    <m/>
    <n v="405000"/>
    <n v="0.0725925925925926"/>
    <n v="0.9753086419753086"/>
    <n v="395000"/>
    <n v="0.07443037974683545"/>
    <n v="0"/>
    <s v="Yes"/>
    <d v="2019-03-21T00:00:00"/>
    <n v="190"/>
  </r>
  <r>
    <m/>
    <s v="County of Riverside Department of Public Social Services (DPSS)"/>
    <s v="State"/>
    <s v="Fee Simple"/>
    <s v="65753 Pierson Blvd"/>
    <s v="Desert Hot Springs"/>
    <s v="CA"/>
    <n v="3.8"/>
    <n v="2017"/>
    <n v="38084"/>
    <n v="38084"/>
    <n v="1"/>
    <n v="860690"/>
    <n v="22.59977943493331"/>
    <n v="676800"/>
    <n v="17.77124251654238"/>
    <m/>
    <d v="2027-03-01T00:00:00"/>
    <d v="2027-03-01T00:00:00"/>
    <n v="7.43013698630137"/>
    <n v="7.43013698630137"/>
    <m/>
    <m/>
    <m/>
    <n v="11300000"/>
    <n v="296.712530196408"/>
    <n v="0.05989380530973451"/>
    <m/>
    <d v="2019-09-27T00:00:00"/>
    <x v="8"/>
    <m/>
    <x v="535"/>
    <m/>
    <s v="Private"/>
    <m/>
    <m/>
    <m/>
    <s v=" "/>
    <s v=" "/>
    <m/>
    <s v=" "/>
    <s v=" "/>
    <s v=" "/>
    <m/>
    <s v=" "/>
  </r>
  <r>
    <m/>
    <s v="Northrup Grumman"/>
    <s v="Federal"/>
    <s v="Fee Simple"/>
    <s v="14119 Sullyfield Cir"/>
    <s v="Chantilly"/>
    <s v="VA"/>
    <n v="4.8"/>
    <n v="1988"/>
    <n v="80564"/>
    <n v="88388"/>
    <n v="0.9114811965425171"/>
    <m/>
    <s v=" "/>
    <m/>
    <s v=" "/>
    <m/>
    <d v="2025-10-31T00:00:00"/>
    <d v="2025-10-31T00:00:00"/>
    <n v="6.101369863013699"/>
    <n v="6.101369863013699"/>
    <m/>
    <m/>
    <m/>
    <n v="16000000"/>
    <n v="181.0200479703127"/>
    <s v=" "/>
    <m/>
    <d v="2019-09-26T00:00:00"/>
    <x v="758"/>
    <s v="AY; Harrell"/>
    <x v="474"/>
    <s v="PA"/>
    <s v="Private"/>
    <m/>
    <m/>
    <m/>
    <s v=" "/>
    <s v=" "/>
    <m/>
    <s v=" "/>
    <s v=" "/>
    <s v=" "/>
    <d v="2018-10-15T00:00:00"/>
    <n v="346"/>
  </r>
  <r>
    <m/>
    <s v="CSP"/>
    <s v="State"/>
    <s v="Fee Simple"/>
    <s v="2127 Grand Blvd"/>
    <s v="Holiday"/>
    <s v="FL"/>
    <n v="4.77"/>
    <n v="1972"/>
    <n v="22814"/>
    <n v="22814"/>
    <n v="1"/>
    <m/>
    <s v=" "/>
    <n v="189750"/>
    <n v="8.317261330761813"/>
    <m/>
    <d v="2024-03-31T00:00:00"/>
    <m/>
    <n v="4.515068493150685"/>
    <s v=" "/>
    <s v="Full Service"/>
    <s v="None"/>
    <s v="None"/>
    <n v="1825000"/>
    <n v="79.99474007188569"/>
    <n v="0.103972602739726"/>
    <m/>
    <d v="2019-09-26T00:00:00"/>
    <x v="759"/>
    <s v="Direct"/>
    <x v="62"/>
    <s v="IL"/>
    <s v="Private"/>
    <m/>
    <m/>
    <m/>
    <s v=" "/>
    <s v=" "/>
    <m/>
    <s v=" "/>
    <s v=" "/>
    <s v=" "/>
    <m/>
    <s v=" "/>
  </r>
  <r>
    <m/>
    <s v="CSE/CIC/PB"/>
    <s v="State"/>
    <s v="Fee Simple"/>
    <s v="322 Main St"/>
    <s v="Little Rock"/>
    <s v="AR"/>
    <n v="1.2"/>
    <n v="1912"/>
    <n v="98476"/>
    <n v="112000"/>
    <n v="0.87925"/>
    <m/>
    <s v=" "/>
    <n v="1168200"/>
    <n v="10.43035714285714"/>
    <d v="2013-08-01T00:00:00"/>
    <d v="2026-09-30T00:00:00"/>
    <m/>
    <n v="7.016438356164383"/>
    <s v=" "/>
    <s v="Full Service"/>
    <s v="2% annually"/>
    <s v="None"/>
    <n v="16500000"/>
    <n v="147.3214285714286"/>
    <n v="0.0708"/>
    <m/>
    <d v="2019-09-26T00:00:00"/>
    <x v="760"/>
    <s v="Newmark; Gallas"/>
    <x v="1"/>
    <s v="IL"/>
    <s v="Private"/>
    <m/>
    <m/>
    <m/>
    <s v=" "/>
    <s v=" "/>
    <m/>
    <s v=" "/>
    <s v=" "/>
    <s v=" "/>
    <m/>
    <s v=" "/>
  </r>
  <r>
    <m/>
    <s v="Multi"/>
    <s v="Federal"/>
    <s v="Fee Simple"/>
    <s v="Portfolio of 31"/>
    <s v="Jacksonville"/>
    <s v="FL"/>
    <m/>
    <m/>
    <n v="82600"/>
    <n v="760793"/>
    <n v="0.1085709253371153"/>
    <m/>
    <s v=" "/>
    <m/>
    <s v=" "/>
    <m/>
    <m/>
    <m/>
    <s v=" "/>
    <s v=" "/>
    <m/>
    <m/>
    <m/>
    <n v="31500000"/>
    <n v="41.40416644212026"/>
    <s v=" "/>
    <m/>
    <d v="2019-09-25T00:00:00"/>
    <x v="288"/>
    <m/>
    <x v="536"/>
    <s v="NC"/>
    <s v="Private"/>
    <m/>
    <m/>
    <m/>
    <s v=" "/>
    <s v=" "/>
    <m/>
    <s v=" "/>
    <s v=" "/>
    <s v=" "/>
    <m/>
    <s v=" "/>
  </r>
  <r>
    <s v="LKS31037"/>
    <s v="USGS"/>
    <s v="Federal"/>
    <s v="Fee Simple"/>
    <s v="1217 Biltmore Dr"/>
    <s v="Lawrence"/>
    <s v="KS"/>
    <n v="2.42"/>
    <n v="2018"/>
    <n v="16000"/>
    <n v="16000"/>
    <n v="1"/>
    <n v="594584.08"/>
    <n v="37.161505"/>
    <m/>
    <s v=" "/>
    <d v="2018-03-01T00:00:00"/>
    <d v="2033-02-28T00:00:00"/>
    <d v="2033-02-28T00:00:00"/>
    <n v="13.43835616438356"/>
    <n v="13.43835616438356"/>
    <s v="Modified Gross"/>
    <m/>
    <m/>
    <m/>
    <s v=" "/>
    <s v=" "/>
    <m/>
    <d v="2019-09-25T00:00:00"/>
    <x v="103"/>
    <s v="C&amp;W; Trautvetter"/>
    <x v="54"/>
    <s v="NC"/>
    <s v="REIT"/>
    <m/>
    <m/>
    <m/>
    <s v=" "/>
    <s v=" "/>
    <m/>
    <s v=" "/>
    <s v=" "/>
    <s v=" "/>
    <d v="2019-01-18T00:00:00"/>
    <n v="250"/>
  </r>
  <r>
    <s v="LFL60236"/>
    <s v="DHS"/>
    <s v="Federal"/>
    <s v="Fee Simple"/>
    <s v="1750 NW 40th Ave"/>
    <s v="Lauderhill"/>
    <s v="FL"/>
    <n v="1.86"/>
    <n v="1983"/>
    <n v="16000"/>
    <n v="16000"/>
    <n v="1"/>
    <n v="704295.21"/>
    <n v="44.018450625"/>
    <n v="441819.328"/>
    <n v="27.613708"/>
    <d v="2018-04-10T00:00:00"/>
    <d v="2033-04-09T00:00:00"/>
    <d v="2028-04-09T00:00:00"/>
    <n v="13.55068493150685"/>
    <n v="8.547945205479452"/>
    <s v="Modified Gross"/>
    <s v="None"/>
    <s v="None"/>
    <n v="6903427"/>
    <n v="431.4641875"/>
    <n v="0.064"/>
    <m/>
    <d v="2019-09-24T00:00:00"/>
    <x v="103"/>
    <s v="C&amp;W; Trautvetter"/>
    <x v="54"/>
    <s v="NC"/>
    <s v="REIT"/>
    <m/>
    <m/>
    <n v="7363656"/>
    <n v="0.05999999565433258"/>
    <n v="0.9374999320989466"/>
    <n v="7363656"/>
    <n v="0.05999999565433258"/>
    <n v="0.00400000434566742"/>
    <s v="No"/>
    <d v="2019-01-17T00:00:00"/>
    <n v="250"/>
  </r>
  <r>
    <m/>
    <s v="USPS"/>
    <s v="Federal"/>
    <s v="Fee Simple"/>
    <s v="301 S Walnut St"/>
    <s v="Ridgeville"/>
    <s v="IN"/>
    <n v="0.2424"/>
    <n v="1961"/>
    <n v="2280"/>
    <n v="2280"/>
    <n v="1"/>
    <m/>
    <s v=" "/>
    <m/>
    <s v=" "/>
    <m/>
    <m/>
    <m/>
    <s v=" "/>
    <s v=" "/>
    <m/>
    <m/>
    <m/>
    <m/>
    <s v=" "/>
    <s v=" "/>
    <m/>
    <d v="2019-09-24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 N Chestnut St"/>
    <s v="Tamaroa"/>
    <s v="IL"/>
    <m/>
    <m/>
    <n v="1688"/>
    <n v="1688"/>
    <n v="1"/>
    <m/>
    <s v=" "/>
    <m/>
    <s v=" "/>
    <m/>
    <m/>
    <m/>
    <s v=" "/>
    <s v=" "/>
    <m/>
    <m/>
    <m/>
    <n v="114470"/>
    <n v="67.81398104265404"/>
    <s v=" "/>
    <m/>
    <d v="2019-09-24T00:00:00"/>
    <x v="8"/>
    <m/>
    <x v="66"/>
    <s v="CA"/>
    <s v="Private"/>
    <m/>
    <m/>
    <m/>
    <s v=" "/>
    <s v=" "/>
    <m/>
    <s v=" "/>
    <s v=" "/>
    <s v=" "/>
    <m/>
    <s v=" "/>
  </r>
  <r>
    <m/>
    <s v="DCMA"/>
    <s v="Federal"/>
    <s v="Fee Simple"/>
    <s v="9174 Sky Park Ct"/>
    <s v="San Diego"/>
    <s v="CA"/>
    <m/>
    <m/>
    <n v="31030"/>
    <n v="43918"/>
    <n v="0.706544013843982"/>
    <n v="929927.35"/>
    <n v="29.96865452787625"/>
    <n v="537000"/>
    <n v="12.22733275650075"/>
    <d v="2015-11-01T00:00:00"/>
    <d v="2025-10-31T00:00:00"/>
    <d v="2020-11-01T00:00:00"/>
    <n v="6.109589041095891"/>
    <n v="1.10958904109589"/>
    <m/>
    <m/>
    <m/>
    <n v="8950000"/>
    <n v="203.7888792750125"/>
    <n v="0.06"/>
    <m/>
    <d v="2019-09-23T00:00:00"/>
    <x v="247"/>
    <m/>
    <x v="537"/>
    <s v="CA"/>
    <s v="Private"/>
    <m/>
    <m/>
    <m/>
    <s v=" "/>
    <s v=" "/>
    <m/>
    <s v=" "/>
    <s v=" "/>
    <s v=" "/>
    <m/>
    <s v=" "/>
  </r>
  <r>
    <m/>
    <s v="Lottery"/>
    <s v="State"/>
    <s v="Fee Simple"/>
    <s v="250 Marriott Dr"/>
    <s v="Tallahassee"/>
    <s v="FL"/>
    <n v="6.85"/>
    <n v="1988"/>
    <n v="164000"/>
    <n v="164000"/>
    <n v="1"/>
    <m/>
    <s v=" "/>
    <m/>
    <s v=" "/>
    <m/>
    <m/>
    <m/>
    <s v=" "/>
    <s v=" "/>
    <m/>
    <m/>
    <m/>
    <n v="21946940"/>
    <n v="133.8228048780488"/>
    <s v=" "/>
    <m/>
    <d v="2019-09-23T00:00:00"/>
    <x v="761"/>
    <s v="Direct"/>
    <x v="1"/>
    <s v="IL"/>
    <s v="Private"/>
    <m/>
    <m/>
    <m/>
    <s v=" "/>
    <s v=" "/>
    <m/>
    <s v=" "/>
    <s v=" "/>
    <s v=" "/>
    <m/>
    <s v=" "/>
  </r>
  <r>
    <m/>
    <s v="Texas Department of Family and Protective Services"/>
    <s v="State"/>
    <s v="Fee Simple"/>
    <s v="3521 15th Ave"/>
    <s v="Amarillo"/>
    <s v="TX"/>
    <n v="2.9"/>
    <n v="2007"/>
    <n v="29547"/>
    <n v="29547"/>
    <n v="1"/>
    <n v="516217"/>
    <n v="17.47104612989475"/>
    <n v="401240"/>
    <n v="13.57972044539209"/>
    <d v="2017-10-01T00:00:00"/>
    <d v="2028-10-31T00:00:00"/>
    <m/>
    <n v="9.12054794520548"/>
    <s v=" "/>
    <s v="Full Service"/>
    <s v="CPI annually"/>
    <s v="1, 5 year"/>
    <n v="4450000"/>
    <n v="150.6075066842658"/>
    <n v="0.09016629213483146"/>
    <m/>
    <d v="2019-09-20T00:00:00"/>
    <x v="762"/>
    <s v="SJC; Gibson"/>
    <x v="430"/>
    <s v="TX"/>
    <s v="Private"/>
    <m/>
    <m/>
    <n v="5015500"/>
    <n v="0.08"/>
    <n v="0.8872495264679494"/>
    <n v="5015500"/>
    <n v="0.08"/>
    <n v="0.01016629213483146"/>
    <s v="No"/>
    <d v="2019-02-08T00:00:00"/>
    <n v="224"/>
  </r>
  <r>
    <m/>
    <s v="USPS"/>
    <s v="Federal"/>
    <s v="Fee Simple"/>
    <s v="6370 Kobmagergade"/>
    <s v="Askov"/>
    <s v="MN"/>
    <n v="0.36"/>
    <n v="1988"/>
    <n v="1362"/>
    <n v="1362"/>
    <n v="1"/>
    <n v="19340"/>
    <n v="14.19970631424376"/>
    <n v="18557"/>
    <n v="13.62481644640235"/>
    <d v="2018-02-01T00:00:00"/>
    <d v="2023-01-31T00:00:00"/>
    <d v="2023-01-31T00:00:00"/>
    <n v="3.36986301369863"/>
    <n v="3.36986301369863"/>
    <s v="Rider"/>
    <s v="Option"/>
    <s v="1, 5 year"/>
    <n v="215000"/>
    <n v="157.856093979442"/>
    <n v="0.08631162790697675"/>
    <m/>
    <d v="2019-09-19T00:00:00"/>
    <x v="763"/>
    <s v="TCP; Harrison"/>
    <x v="538"/>
    <s v="MN"/>
    <s v="Private"/>
    <m/>
    <m/>
    <n v="231975"/>
    <n v="0.07999568919064555"/>
    <n v="0.9268240112081043"/>
    <n v="231975"/>
    <n v="0.07999568919064555"/>
    <n v="0.006315938716331196"/>
    <s v="No"/>
    <d v="2019-02-06T00:00:00"/>
    <n v="225"/>
  </r>
  <r>
    <m/>
    <s v="USPS"/>
    <s v="Federal"/>
    <s v="Fee Simple"/>
    <s v="104 W Pike St"/>
    <s v="Vevay"/>
    <s v="IN"/>
    <n v="0.14"/>
    <n v="1985"/>
    <n v="2343"/>
    <n v="2343"/>
    <n v="1"/>
    <n v="17640"/>
    <n v="7.528809218950064"/>
    <n v="14488"/>
    <n v="6.183525394793"/>
    <d v="2018-01-01T00:00:00"/>
    <d v="2022-12-31T00:00:00"/>
    <d v="2018-01-31T00:00:00"/>
    <n v="3.284931506849315"/>
    <n v="-1.632876712328767"/>
    <s v="Rider"/>
    <s v="None"/>
    <s v="1, 5 year"/>
    <m/>
    <s v=" "/>
    <s v=" "/>
    <m/>
    <d v="2019-09-19T00:00:00"/>
    <x v="764"/>
    <s v="TCP; Harrison"/>
    <x v="539"/>
    <s v="IN"/>
    <s v="Private"/>
    <m/>
    <m/>
    <n v="193173"/>
    <n v="0.07500012941767224"/>
    <s v=" "/>
    <n v="193173"/>
    <n v="0.07500012941767224"/>
    <s v=" "/>
    <s v="No"/>
    <d v="2019-07-18T00:00:00"/>
    <n v="63"/>
  </r>
  <r>
    <m/>
    <s v="Multi"/>
    <s v="Federal"/>
    <s v="Fee Simple"/>
    <s v="950 L'Enfant Plz SW"/>
    <s v="Washington"/>
    <s v="DC"/>
    <n v="1.54"/>
    <n v="1967"/>
    <n v="265209.84"/>
    <n v="315726"/>
    <n v="0.8399999999999999"/>
    <m/>
    <s v=" "/>
    <n v="7196342"/>
    <n v="22.79299772587623"/>
    <m/>
    <m/>
    <m/>
    <s v=" "/>
    <s v=" "/>
    <m/>
    <m/>
    <m/>
    <n v="104598000"/>
    <n v="331.2935900115924"/>
    <n v="0.0687999961758351"/>
    <m/>
    <d v="2019-09-19T00:00:00"/>
    <x v="765"/>
    <s v="JLL; Nicholson"/>
    <x v="1"/>
    <s v="IL"/>
    <s v="Private"/>
    <m/>
    <m/>
    <m/>
    <s v=" "/>
    <s v=" "/>
    <m/>
    <s v=" "/>
    <s v=" "/>
    <s v=" "/>
    <m/>
    <s v=" "/>
  </r>
  <r>
    <m/>
    <s v="DC &amp; Peace Corp."/>
    <s v="Federal"/>
    <s v="Fee Simple"/>
    <s v="1275 1st St NE"/>
    <s v="Washington"/>
    <s v="DC"/>
    <n v="0.8506"/>
    <n v="2010"/>
    <n v="176200"/>
    <n v="338645"/>
    <n v="0.520308878028614"/>
    <m/>
    <s v=" "/>
    <m/>
    <s v=" "/>
    <d v="2019-10-01T00:00:00"/>
    <d v="2034-03-31T00:00:00"/>
    <d v="2034-03-31T00:00:00"/>
    <n v="14.54246575342466"/>
    <n v="14.54246575342466"/>
    <m/>
    <m/>
    <m/>
    <n v="141771984"/>
    <n v="418.6448463730455"/>
    <s v=" "/>
    <m/>
    <d v="2019-09-18T00:00:00"/>
    <x v="766"/>
    <s v="C&amp;W; Collin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1575 Lusby Ln"/>
    <s v="Lusby"/>
    <s v="MD"/>
    <n v="2.87"/>
    <n v="1999"/>
    <n v="12603"/>
    <n v="12603"/>
    <n v="1"/>
    <m/>
    <s v=" "/>
    <m/>
    <s v=" "/>
    <m/>
    <m/>
    <m/>
    <s v=" "/>
    <s v=" "/>
    <m/>
    <m/>
    <m/>
    <n v="1756250"/>
    <n v="139.3517416488138"/>
    <s v=" "/>
    <m/>
    <d v="2019-09-17T00:00:00"/>
    <x v="767"/>
    <s v="Direct"/>
    <x v="6"/>
    <m/>
    <s v="User/Owner"/>
    <m/>
    <m/>
    <m/>
    <s v=" "/>
    <s v=" "/>
    <m/>
    <s v=" "/>
    <s v=" "/>
    <s v=" "/>
    <m/>
    <s v=" "/>
  </r>
  <r>
    <m/>
    <s v="USPS"/>
    <s v="Federal"/>
    <s v="Fee Simple"/>
    <s v="4041 Bingham Ave"/>
    <s v="Saint Louis"/>
    <s v="MO"/>
    <n v="2.23"/>
    <n v="1962"/>
    <n v="34000"/>
    <n v="34000"/>
    <n v="1"/>
    <m/>
    <s v=" "/>
    <m/>
    <s v=" "/>
    <m/>
    <m/>
    <m/>
    <s v=" "/>
    <s v=" "/>
    <m/>
    <m/>
    <m/>
    <m/>
    <s v=" "/>
    <s v=" "/>
    <m/>
    <d v="2019-09-16T00:00:00"/>
    <x v="8"/>
    <m/>
    <x v="66"/>
    <s v="CA"/>
    <s v="Private"/>
    <m/>
    <m/>
    <m/>
    <s v=" "/>
    <s v=" "/>
    <m/>
    <s v=" "/>
    <s v=" "/>
    <s v=" "/>
    <m/>
    <s v=" "/>
  </r>
  <r>
    <m/>
    <s v="VA"/>
    <s v="Federal"/>
    <s v="Fee Simple"/>
    <s v="1970 Riverside Pky"/>
    <s v="Lawernceville"/>
    <s v="GA"/>
    <n v="3.14"/>
    <n v="1995"/>
    <n v="16010"/>
    <n v="16010"/>
    <n v="1"/>
    <m/>
    <s v=" "/>
    <n v="284375"/>
    <n v="17.76233603997501"/>
    <d v="2015-05-01T00:00:00"/>
    <d v="2025-04-30T00:00:00"/>
    <d v="2020-04-30T00:00:00"/>
    <n v="5.632876712328767"/>
    <n v="0.6301369863013698"/>
    <s v="Modified Gross"/>
    <s v="None"/>
    <s v="None"/>
    <n v="3200000"/>
    <n v="199.8750780762024"/>
    <n v="0.0888671875"/>
    <m/>
    <d v="2019-09-13T00:00:00"/>
    <x v="768"/>
    <s v="Phil Ryan"/>
    <x v="540"/>
    <s v="CA"/>
    <s v="Private"/>
    <m/>
    <m/>
    <n v="3500000"/>
    <n v="0.08125"/>
    <n v="0.9142857142857143"/>
    <n v="3250000"/>
    <n v="0.08749999999999999"/>
    <n v="0.001367187500000006"/>
    <s v="Yes"/>
    <m/>
    <s v=" "/>
  </r>
  <r>
    <m/>
    <s v="VA"/>
    <s v="Federal"/>
    <s v="Fee Simple"/>
    <s v="1970 Riverside Pky"/>
    <s v="Lawrenceville"/>
    <s v="GA"/>
    <n v="3.14"/>
    <n v="1995"/>
    <n v="9790"/>
    <n v="16010"/>
    <n v="0.6114928169893816"/>
    <m/>
    <s v=" "/>
    <n v="280312.5"/>
    <n v="17.50858838226109"/>
    <d v="2018-03-01T00:00:00"/>
    <d v="2028-02-28T00:00:00"/>
    <d v="2023-02-28T00:00:00"/>
    <n v="8.465753424657533"/>
    <n v="3.463013698630137"/>
    <s v="Full Service"/>
    <s v="None"/>
    <s v="None"/>
    <n v="3200000"/>
    <n v="199.8750780762024"/>
    <n v="0.08759765625"/>
    <m/>
    <d v="2019-09-13T00:00:00"/>
    <x v="768"/>
    <s v="Lavista; Ryan"/>
    <x v="541"/>
    <s v="CA"/>
    <s v="Private"/>
    <m/>
    <m/>
    <n v="3250000"/>
    <n v="0.08624999999999999"/>
    <n v="0.9846153846153847"/>
    <n v="3250000"/>
    <n v="0.08624999999999999"/>
    <n v="0.001347656250000009"/>
    <s v="No"/>
    <d v="2019-05-03T00:00:00"/>
    <n v="133"/>
  </r>
  <r>
    <m/>
    <s v="USDA"/>
    <s v="Federal"/>
    <s v="Fee Simple"/>
    <s v="711 Pointe Basse Dr"/>
    <s v="Sainte Genevieve"/>
    <s v="MO"/>
    <n v="0.7"/>
    <n v="1980"/>
    <n v="4000"/>
    <n v="4000"/>
    <n v="1"/>
    <m/>
    <s v=" "/>
    <m/>
    <s v=" "/>
    <m/>
    <m/>
    <m/>
    <s v=" "/>
    <s v=" "/>
    <m/>
    <m/>
    <m/>
    <n v="350000"/>
    <n v="87.5"/>
    <s v=" "/>
    <m/>
    <d v="2019-09-13T00:00:00"/>
    <x v="769"/>
    <m/>
    <x v="542"/>
    <m/>
    <s v="Private"/>
    <m/>
    <m/>
    <m/>
    <s v=" "/>
    <s v=" "/>
    <m/>
    <s v=" "/>
    <s v=" "/>
    <s v=" "/>
    <m/>
    <s v=" "/>
  </r>
  <r>
    <s v="LAL62170"/>
    <s v="SSA"/>
    <s v="Federal"/>
    <s v="Fee Simple"/>
    <s v="717 McGlathery Ln SE"/>
    <s v="Decatur"/>
    <s v="AL"/>
    <n v="1.5"/>
    <n v="2001"/>
    <n v="9768"/>
    <n v="9768"/>
    <n v="1"/>
    <n v="304995.44"/>
    <n v="31.22393939393939"/>
    <n v="107751"/>
    <n v="11.03101965601966"/>
    <d v="2013-03-16T00:00:00"/>
    <d v="2023-03-15T00:00:00"/>
    <d v="2018-03-16T00:00:00"/>
    <n v="3.506849315068493"/>
    <n v="-1.493150684931507"/>
    <s v="Modified Gross"/>
    <s v="None"/>
    <s v="None"/>
    <n v="1137500"/>
    <n v="116.451678951679"/>
    <n v="0.09472615384615385"/>
    <m/>
    <d v="2019-09-12T00:00:00"/>
    <x v="770"/>
    <s v="Gateway CRE"/>
    <x v="399"/>
    <s v="AL"/>
    <s v="Private"/>
    <m/>
    <m/>
    <n v="1295000"/>
    <n v="0.0832054054054054"/>
    <n v="0.8783783783783784"/>
    <n v="1295000"/>
    <n v="0.0832054054054054"/>
    <n v="0.01152074844074845"/>
    <s v="No"/>
    <m/>
    <s v=" "/>
  </r>
  <r>
    <s v="LOK16395"/>
    <m/>
    <s v="Federal"/>
    <s v="Fee Simple"/>
    <s v="3201 W Tecumseh Rd"/>
    <s v="Norman"/>
    <s v="OK"/>
    <n v="1.3"/>
    <n v="2007"/>
    <n v="4324"/>
    <n v="19868"/>
    <n v="0.2176364002415945"/>
    <n v="153438.39"/>
    <n v="35.48528908418132"/>
    <m/>
    <s v=" "/>
    <d v="2009-07-01T00:00:00"/>
    <d v="2024-06-30T00:00:00"/>
    <d v="2019-07-01T00:00:00"/>
    <n v="4.802739726027397"/>
    <n v="-0.2"/>
    <s v="Modified Gross"/>
    <s v="None"/>
    <s v="None"/>
    <n v="4588500"/>
    <n v="230.9492651499899"/>
    <s v=" "/>
    <m/>
    <d v="2019-09-12T00:00:00"/>
    <x v="771"/>
    <s v="Aria Commercial"/>
    <x v="543"/>
    <s v="OK"/>
    <s v="User/Owner"/>
    <m/>
    <m/>
    <m/>
    <s v=" "/>
    <s v=" "/>
    <m/>
    <s v=" "/>
    <s v=" "/>
    <s v=" "/>
    <m/>
    <s v=" "/>
  </r>
  <r>
    <m/>
    <s v="VA"/>
    <s v="Federal"/>
    <s v="Fee Simple"/>
    <s v="1800 Royal Ave"/>
    <s v="Spirit Lake"/>
    <s v="IA"/>
    <n v="3.75"/>
    <n v="2018"/>
    <n v="10208"/>
    <n v="10208"/>
    <n v="1"/>
    <n v="375100"/>
    <n v="36.74568965517241"/>
    <n v="237250"/>
    <n v="23.24157523510972"/>
    <d v="2018-10-01T00:00:00"/>
    <d v="2033-08-31T00:00:00"/>
    <d v="2028-08-31T00:00:00"/>
    <n v="13.97808219178082"/>
    <n v="8.975342465753425"/>
    <s v="Modified Gross"/>
    <s v="None"/>
    <s v="None"/>
    <n v="3650000"/>
    <n v="357.5626959247649"/>
    <n v="0.065"/>
    <m/>
    <d v="2019-09-12T00:00:00"/>
    <x v="108"/>
    <s v="Newmark; Gallas"/>
    <x v="544"/>
    <s v="NJ"/>
    <s v="Private"/>
    <m/>
    <m/>
    <m/>
    <s v=" "/>
    <s v=" "/>
    <m/>
    <s v=" "/>
    <s v=" "/>
    <s v=" "/>
    <d v="2018-05-07T00:00:00"/>
    <n v="493"/>
  </r>
  <r>
    <m/>
    <s v="VA"/>
    <s v="Federal"/>
    <s v="Fee Simple"/>
    <s v="901 E Hackberry Ave"/>
    <s v="McAllen"/>
    <s v="TX"/>
    <n v="11.3199"/>
    <n v="2013"/>
    <n v="79039"/>
    <n v="79039"/>
    <n v="1"/>
    <m/>
    <s v=" "/>
    <n v="2519100"/>
    <n v="31.87160768734422"/>
    <d v="2015-08-01T00:00:00"/>
    <d v="2035-07-31T00:00:00"/>
    <d v="2030-07-31T00:00:00"/>
    <n v="15.8958904109589"/>
    <n v="10.89315068493151"/>
    <s v="Modified Gross"/>
    <s v="None"/>
    <s v="None"/>
    <n v="40500000"/>
    <n v="512.4052682852769"/>
    <n v="0.0622"/>
    <m/>
    <d v="2019-09-11T00:00:00"/>
    <x v="772"/>
    <s v="C&amp;W; Trautvetter"/>
    <x v="2"/>
    <s v="VA"/>
    <s v="Private"/>
    <m/>
    <m/>
    <m/>
    <s v=" "/>
    <s v=" "/>
    <m/>
    <s v=" "/>
    <s v=" "/>
    <s v=" "/>
    <m/>
    <s v=" "/>
  </r>
  <r>
    <m/>
    <s v="USPS"/>
    <s v="Federal"/>
    <s v="Fee Simple"/>
    <s v="315 Augusta Hwy"/>
    <s v="Allendale"/>
    <s v="SC"/>
    <m/>
    <m/>
    <n v="4000"/>
    <n v="4000"/>
    <n v="1"/>
    <m/>
    <s v=" "/>
    <m/>
    <s v=" "/>
    <m/>
    <m/>
    <m/>
    <s v=" "/>
    <s v=" "/>
    <m/>
    <m/>
    <m/>
    <n v="3975000"/>
    <n v="993.75"/>
    <s v=" "/>
    <m/>
    <d v="2019-09-0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25 E 1st St"/>
    <s v="Earlham"/>
    <s v="IA"/>
    <n v="0.110652"/>
    <n v="1966"/>
    <n v="1840"/>
    <n v="1840"/>
    <n v="1"/>
    <m/>
    <s v=" "/>
    <m/>
    <s v=" "/>
    <m/>
    <m/>
    <m/>
    <s v=" "/>
    <s v=" "/>
    <m/>
    <m/>
    <m/>
    <n v="141000"/>
    <n v="76.6304347826087"/>
    <s v=" "/>
    <m/>
    <d v="2019-09-0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0982 Main St"/>
    <s v="Honor"/>
    <s v="MI"/>
    <n v="0.2024"/>
    <m/>
    <n v="1479"/>
    <n v="1479"/>
    <n v="1"/>
    <m/>
    <s v=" "/>
    <m/>
    <s v=" "/>
    <m/>
    <m/>
    <m/>
    <s v=" "/>
    <s v=" "/>
    <m/>
    <m/>
    <m/>
    <n v="135873"/>
    <n v="91.86815415821501"/>
    <s v=" "/>
    <m/>
    <d v="2019-09-09T00:00:00"/>
    <x v="8"/>
    <m/>
    <x v="66"/>
    <s v="CA"/>
    <s v="Private"/>
    <m/>
    <m/>
    <m/>
    <s v=" "/>
    <s v=" "/>
    <m/>
    <s v=" "/>
    <s v=" "/>
    <s v=" "/>
    <m/>
    <s v=" "/>
  </r>
  <r>
    <m/>
    <s v="ADES"/>
    <s v="State"/>
    <s v="Fee Simple"/>
    <s v="8990 W Peoria Ave"/>
    <s v="Peoria"/>
    <s v="AZ"/>
    <n v="4.13"/>
    <n v="2009"/>
    <n v="51082"/>
    <n v="51082"/>
    <n v="1"/>
    <n v="996099"/>
    <n v="19.5"/>
    <n v="568800"/>
    <n v="11.1350377823891"/>
    <d v="2019-07-01T00:00:00"/>
    <d v="2029-06-30T00:00:00"/>
    <m/>
    <n v="9.813698630136987"/>
    <s v=" "/>
    <s v="Modified Gross"/>
    <m/>
    <m/>
    <n v="7900000"/>
    <n v="154.6533025331819"/>
    <n v="0.07199999999999999"/>
    <m/>
    <d v="2019-09-09T00:00:00"/>
    <x v="773"/>
    <s v="SJC; Tomlinson"/>
    <x v="1"/>
    <s v="IL"/>
    <s v="Private"/>
    <m/>
    <m/>
    <n v="8130000"/>
    <n v="0.06996309963099631"/>
    <n v="0.971709717097171"/>
    <n v="8130000"/>
    <n v="0.06996309963099631"/>
    <n v="0.002036900369003683"/>
    <s v="No"/>
    <d v="2019-05-15T00:00:00"/>
    <n v="117"/>
  </r>
  <r>
    <m/>
    <s v="USPS"/>
    <s v="Federal"/>
    <s v="Fee Simple"/>
    <s v="199 Walworth Dr"/>
    <s v="Sharon"/>
    <s v="WI"/>
    <m/>
    <m/>
    <n v="1836"/>
    <n v="1836"/>
    <n v="1"/>
    <m/>
    <s v=" "/>
    <m/>
    <s v=" "/>
    <m/>
    <m/>
    <m/>
    <s v=" "/>
    <s v=" "/>
    <m/>
    <m/>
    <m/>
    <n v="114000"/>
    <n v="62.09150326797386"/>
    <s v=" "/>
    <m/>
    <d v="2019-09-09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42 W Pleasant St"/>
    <s v="Watervliet"/>
    <s v="MI"/>
    <n v="0.4253"/>
    <m/>
    <n v="3878"/>
    <n v="3878"/>
    <n v="1"/>
    <m/>
    <s v=" "/>
    <m/>
    <s v=" "/>
    <m/>
    <m/>
    <m/>
    <s v=" "/>
    <s v=" "/>
    <m/>
    <m/>
    <m/>
    <n v="217939"/>
    <n v="56.1988138215575"/>
    <s v=" "/>
    <m/>
    <d v="2019-09-09T00:00:00"/>
    <x v="8"/>
    <m/>
    <x v="66"/>
    <s v="CA"/>
    <s v="Private"/>
    <m/>
    <m/>
    <m/>
    <s v=" "/>
    <s v=" "/>
    <m/>
    <s v=" "/>
    <s v=" "/>
    <s v=" "/>
    <m/>
    <s v=" "/>
  </r>
  <r>
    <m/>
    <s v="FDA"/>
    <s v="Federal"/>
    <s v="Fee Simple"/>
    <s v="1777 Hardee Ave"/>
    <s v="Atlanta"/>
    <s v="GA"/>
    <n v="9.4"/>
    <n v="1987"/>
    <n v="362000"/>
    <n v="362000"/>
    <n v="1"/>
    <m/>
    <s v=" "/>
    <m/>
    <s v=" "/>
    <m/>
    <m/>
    <m/>
    <s v=" "/>
    <s v=" "/>
    <m/>
    <m/>
    <m/>
    <n v="17000000"/>
    <n v="46.96132596685083"/>
    <s v=" "/>
    <m/>
    <d v="2019-09-05T00:00:00"/>
    <x v="8"/>
    <m/>
    <x v="0"/>
    <m/>
    <m/>
    <m/>
    <m/>
    <m/>
    <s v=" "/>
    <s v=" "/>
    <m/>
    <s v=" "/>
    <s v=" "/>
    <s v=" "/>
    <m/>
    <s v=" "/>
  </r>
  <r>
    <s v="LIN18651"/>
    <s v="MSHA"/>
    <s v="Federal"/>
    <s v="Fee Simple"/>
    <s v="100 Town Center Rd"/>
    <s v="Mooresville"/>
    <s v="IN"/>
    <n v="1.53"/>
    <n v="2000"/>
    <n v="3081"/>
    <n v="12025"/>
    <n v="0.2562162162162162"/>
    <n v="58043.95"/>
    <n v="18.83932164881532"/>
    <n v="167520"/>
    <n v="13.93097713097713"/>
    <d v="2014-09-30T00:00:00"/>
    <d v="2024-09-29T00:00:00"/>
    <d v="2019-09-29T00:00:00"/>
    <n v="5.084931506849315"/>
    <n v="0.07945205479452055"/>
    <s v="Modified Gross"/>
    <s v="None"/>
    <s v="None"/>
    <n v="1865000"/>
    <n v="155.0935550935551"/>
    <n v="0.0898230563002681"/>
    <m/>
    <d v="2019-08-31T00:00:00"/>
    <x v="8"/>
    <s v="M&amp;M; Roti"/>
    <x v="0"/>
    <m/>
    <m/>
    <m/>
    <m/>
    <n v="1963860"/>
    <n v="0.08530139622987382"/>
    <n v="0.9496603627549826"/>
    <n v="1963860"/>
    <n v="0.08530139622987382"/>
    <n v="0.004521660070394284"/>
    <s v="No"/>
    <d v="2019-03-12T00:00:00"/>
    <n v="172"/>
  </r>
  <r>
    <s v="LNC62440"/>
    <s v="SSA/OHO"/>
    <s v="Federal"/>
    <s v="Fee Simple"/>
    <s v="2201 Coronation Blvd"/>
    <s v="Charlotte"/>
    <s v="NC"/>
    <n v="3.23"/>
    <n v="1989"/>
    <n v="40923"/>
    <n v="40923"/>
    <n v="1"/>
    <n v="1015045.44"/>
    <n v="24.80378857854996"/>
    <n v="736560"/>
    <n v="17.99868044864746"/>
    <d v="2014-03-01T00:00:00"/>
    <d v="2029-02-28T00:00:00"/>
    <d v="2025-01-31T00:00:00"/>
    <n v="9.517808219178082"/>
    <n v="5.438356164383562"/>
    <s v="Modified Gross"/>
    <s v="None"/>
    <s v="None"/>
    <n v="10800000"/>
    <n v="263.9102705080273"/>
    <n v="0.0682"/>
    <m/>
    <d v="2019-08-26T00:00:00"/>
    <x v="774"/>
    <s v="Bekerley; Brendes"/>
    <x v="1"/>
    <s v="IL"/>
    <s v="Private"/>
    <m/>
    <m/>
    <n v="11337662"/>
    <n v="0.06496577513071038"/>
    <n v="0.95257734795763"/>
    <n v="11337662"/>
    <n v="0.06496577513071038"/>
    <n v="0.00323422486928962"/>
    <s v="No"/>
    <d v="2019-05-28T00:00:00"/>
    <n v="90"/>
  </r>
  <r>
    <m/>
    <s v="DOJ/SBI"/>
    <s v="State"/>
    <s v="Fee Simple"/>
    <s v="501 Industrial Ave"/>
    <s v="Greensboro"/>
    <s v="NC"/>
    <n v="2.08"/>
    <n v="2002"/>
    <n v="9400"/>
    <n v="9400"/>
    <n v="1"/>
    <m/>
    <s v=" "/>
    <n v="82016"/>
    <n v="8.725106382978723"/>
    <m/>
    <d v="2026-05-31T00:00:00"/>
    <m/>
    <n v="6.767123287671233"/>
    <s v=" "/>
    <s v="Full Service"/>
    <m/>
    <m/>
    <n v="975000"/>
    <n v="103.7234042553192"/>
    <n v="0.08411897435897436"/>
    <m/>
    <d v="2019-08-26T00:00:00"/>
    <x v="495"/>
    <s v="David Hampton"/>
    <x v="545"/>
    <s v="NC"/>
    <s v="Private"/>
    <m/>
    <m/>
    <n v="1095000"/>
    <n v="0.07490045662100457"/>
    <n v="0.8904109589041096"/>
    <n v="1095000"/>
    <n v="0.07490045662100457"/>
    <n v="0.009218517737969792"/>
    <s v="No"/>
    <d v="2018-12-24T00:00:00"/>
    <n v="245"/>
  </r>
  <r>
    <s v="LKS90059"/>
    <s v="EPA"/>
    <s v="Federal"/>
    <s v="Fee Simple"/>
    <s v="11201 Renner Blvd"/>
    <s v="Lenexa"/>
    <s v="KS"/>
    <n v="30.5677"/>
    <n v="2007"/>
    <n v="169585"/>
    <n v="169585"/>
    <n v="1"/>
    <n v="5301502"/>
    <n v="31.26162101600967"/>
    <n v="3341000"/>
    <n v="19.70103487926409"/>
    <d v="2012-11-01T00:00:00"/>
    <d v="2027-10-31T00:00:00"/>
    <d v="2027-10-31T00:00:00"/>
    <n v="8.197260273972603"/>
    <n v="8.197260273972603"/>
    <s v="Modified Gross"/>
    <s v="None"/>
    <s v="None"/>
    <n v="53300000"/>
    <n v="314.296665389038"/>
    <n v="0.06268292682926829"/>
    <m/>
    <d v="2019-08-22T00:00:00"/>
    <x v="438"/>
    <s v="Direct"/>
    <x v="3"/>
    <s v="DC"/>
    <s v="REIT"/>
    <m/>
    <m/>
    <m/>
    <s v=" "/>
    <s v=" "/>
    <m/>
    <s v=" "/>
    <s v=" "/>
    <s v=" "/>
    <m/>
    <s v=" "/>
  </r>
  <r>
    <m/>
    <s v="Multi"/>
    <s v="Federal"/>
    <s v="Fee Simple"/>
    <s v="10715 David Taylor Dr"/>
    <s v="Charlotte"/>
    <s v="NC"/>
    <n v="12.17"/>
    <n v="2001"/>
    <n v="52365"/>
    <n v="152452"/>
    <n v="0.3434851625429644"/>
    <m/>
    <s v=" "/>
    <n v="4331875"/>
    <n v="28.41468134232414"/>
    <d v="2017-10-17T00:00:00"/>
    <d v="2027-10-16T00:00:00"/>
    <d v="2022-10-17T00:00:00"/>
    <n v="8.158904109589042"/>
    <n v="3.158904109589041"/>
    <m/>
    <m/>
    <m/>
    <n v="59750000"/>
    <n v="391.9266392044709"/>
    <n v="0.0725"/>
    <m/>
    <d v="2019-08-21T00:00:00"/>
    <x v="775"/>
    <s v="CBRE; "/>
    <x v="546"/>
    <s v="FL"/>
    <s v="Institutional"/>
    <m/>
    <m/>
    <m/>
    <s v=" "/>
    <s v=" "/>
    <m/>
    <s v=" "/>
    <s v=" "/>
    <s v=" "/>
    <m/>
    <s v=" "/>
  </r>
  <r>
    <m/>
    <s v="California Highway Patrol"/>
    <s v="State"/>
    <s v="Fee Simple"/>
    <s v="385 W Grant Line Rd"/>
    <s v="Tracy"/>
    <s v="CA"/>
    <n v="0.89"/>
    <n v="2000"/>
    <n v="4312"/>
    <n v="4312"/>
    <n v="1"/>
    <n v="141802"/>
    <n v="32.88543599257885"/>
    <n v="144807"/>
    <n v="33.58232838589981"/>
    <m/>
    <d v="2021-11-30T00:00:00"/>
    <m/>
    <n v="2.279452054794521"/>
    <s v=" "/>
    <s v="Modified Gross"/>
    <m/>
    <m/>
    <n v="1410000"/>
    <n v="326.9944341372913"/>
    <n v="0.1027"/>
    <m/>
    <d v="2019-08-21T00:00:00"/>
    <x v="8"/>
    <s v="Xavier Santana"/>
    <x v="547"/>
    <s v="CA"/>
    <s v="Private"/>
    <m/>
    <m/>
    <n v="1825000"/>
    <n v="0.07934630136986301"/>
    <n v="0.7726027397260274"/>
    <n v="1825000"/>
    <n v="0.07934630136986301"/>
    <n v="0.02335369863013699"/>
    <s v="No"/>
    <d v="2019-05-17T00:00:00"/>
    <n v="96"/>
  </r>
  <r>
    <m/>
    <s v="Multi"/>
    <s v="Federal"/>
    <s v="Fee Simple"/>
    <s v="1801 N Beauregard St"/>
    <s v="Alexandria"/>
    <s v="VA"/>
    <n v="3.73"/>
    <n v="1982"/>
    <n v="92807"/>
    <n v="123856"/>
    <n v="0.7493137191577316"/>
    <n v="2625498"/>
    <n v="28.28987037615697"/>
    <m/>
    <s v=" "/>
    <d v="2015-08-02T00:00:00"/>
    <d v="2020-08-01T00:00:00"/>
    <d v="2020-08-01T00:00:00"/>
    <n v="0.9506849315068493"/>
    <n v="0.9506849315068493"/>
    <m/>
    <m/>
    <m/>
    <n v="16080000"/>
    <n v="129.828187572665"/>
    <s v=" "/>
    <m/>
    <d v="2019-08-20T00:00:00"/>
    <x v="776"/>
    <s v="Direct"/>
    <x v="548"/>
    <s v="NC"/>
    <s v="Private"/>
    <m/>
    <m/>
    <m/>
    <s v=" "/>
    <s v=" "/>
    <m/>
    <s v=" "/>
    <s v=" "/>
    <s v=" "/>
    <m/>
    <s v=" "/>
  </r>
  <r>
    <m/>
    <s v="USPS"/>
    <s v="Federal"/>
    <s v="Fee Simple"/>
    <s v="101 Palafox Pl"/>
    <s v="Pensacola"/>
    <s v="FL"/>
    <n v="0.8"/>
    <n v="1900"/>
    <n v="7884"/>
    <n v="7884"/>
    <n v="1"/>
    <m/>
    <s v=" "/>
    <m/>
    <s v=" "/>
    <m/>
    <m/>
    <m/>
    <s v=" "/>
    <s v=" "/>
    <m/>
    <m/>
    <m/>
    <n v="2500000"/>
    <n v="317.0979198376459"/>
    <s v=" "/>
    <m/>
    <d v="2019-08-19T00:00:00"/>
    <x v="777"/>
    <m/>
    <x v="549"/>
    <s v="FL"/>
    <s v="Private"/>
    <m/>
    <m/>
    <m/>
    <s v=" "/>
    <s v=" "/>
    <m/>
    <s v=" "/>
    <s v=" "/>
    <s v=" "/>
    <m/>
    <s v=" "/>
  </r>
  <r>
    <m/>
    <s v="NPS"/>
    <s v="Federal"/>
    <s v="Fee Simple"/>
    <s v="37705 Roys Point Blvd"/>
    <s v="Bayfield"/>
    <s v="WI"/>
    <n v="3.62"/>
    <s v="1992 | 2018"/>
    <n v="26640"/>
    <n v="26640"/>
    <n v="1"/>
    <n v="664970"/>
    <n v="24.96133633633634"/>
    <n v="513562.9275"/>
    <n v="19.27788766891892"/>
    <d v="2019-06-01T00:00:00"/>
    <d v="2034-05-31T00:00:00"/>
    <d v="2031-05-31T00:00:00"/>
    <n v="14.8"/>
    <n v="11.7972602739726"/>
    <s v="Modified Gross"/>
    <s v="TI Drop"/>
    <s v="None"/>
    <n v="7750000"/>
    <n v="290.9159159159159"/>
    <n v="0.06626618419354839"/>
    <m/>
    <d v="2019-08-16T00:00:00"/>
    <x v="778"/>
    <s v="SJC; Briggs"/>
    <x v="1"/>
    <s v="IL"/>
    <s v="Private"/>
    <m/>
    <m/>
    <n v="8541673"/>
    <n v="0.06012439571264318"/>
    <n v="0.9073164004288153"/>
    <n v="8541673"/>
    <n v="0.06012439571264318"/>
    <n v="0.006141788480905214"/>
    <s v="No"/>
    <d v="2019-02-11T00:00:00"/>
    <n v="186"/>
  </r>
  <r>
    <s v="LNC00160"/>
    <s v="AOC"/>
    <s v="Federal"/>
    <s v="Fee Simple"/>
    <s v="455 W Market St"/>
    <s v="Greensboro"/>
    <s v="NC"/>
    <n v="0.92"/>
    <n v="1995"/>
    <n v="163346"/>
    <n v="163346"/>
    <n v="1"/>
    <n v="2930990.48"/>
    <n v="17.94344814075643"/>
    <n v="2637250"/>
    <n v="16.1451764965166"/>
    <d v="2016-08-15T00:00:00"/>
    <d v="2031-08-14T00:00:00"/>
    <d v="2026-08-15T00:00:00"/>
    <n v="12.00547945205479"/>
    <n v="7.005479452054795"/>
    <s v="Modified Gross"/>
    <s v="None"/>
    <s v="None"/>
    <n v="38500000"/>
    <n v="235.6960072484175"/>
    <n v="0.06850000000000001"/>
    <m/>
    <d v="2019-08-15T00:00:00"/>
    <x v="89"/>
    <s v="Colliers; Bradley"/>
    <x v="2"/>
    <s v="VA"/>
    <s v="Private"/>
    <m/>
    <m/>
    <m/>
    <s v=" "/>
    <s v=" "/>
    <m/>
    <s v=" "/>
    <s v=" "/>
    <s v=" "/>
    <m/>
    <s v=" "/>
  </r>
  <r>
    <m/>
    <s v="USPS"/>
    <s v="Federal"/>
    <s v="Fee Simple"/>
    <s v="2181 N Maple Ave"/>
    <s v="Ashville"/>
    <s v="NY"/>
    <n v="0.24"/>
    <n v="1962"/>
    <n v="2368"/>
    <n v="2368"/>
    <n v="1"/>
    <n v="32028"/>
    <n v="13.52533783783784"/>
    <n v="28915"/>
    <n v="12.21072635135135"/>
    <d v="2016-08-01T00:00:00"/>
    <d v="2021-07-31T00:00:00"/>
    <d v="2016-08-31T00:00:00"/>
    <n v="1.967123287671233"/>
    <n v="-2.950684931506849"/>
    <s v="Rider"/>
    <s v="Option"/>
    <s v="1, 5 year"/>
    <n v="328000"/>
    <n v="138.5135135135135"/>
    <n v="0.08815548780487804"/>
    <m/>
    <d v="2019-08-13T00:00:00"/>
    <x v="779"/>
    <s v="TCP; Harrison"/>
    <x v="66"/>
    <s v="CA"/>
    <s v="Private"/>
    <m/>
    <m/>
    <n v="340000"/>
    <n v="0.08504411764705883"/>
    <n v="0.9647058823529412"/>
    <n v="340000"/>
    <n v="0.08504411764705883"/>
    <n v="0.003111370157819218"/>
    <s v="No"/>
    <d v="2019-06-06T00:00:00"/>
    <n v="68"/>
  </r>
  <r>
    <s v="LCA01870"/>
    <s v="SSA"/>
    <s v="Federal"/>
    <s v="Fee Simple"/>
    <s v="626 L St"/>
    <s v="Chula Vista"/>
    <s v="CA"/>
    <n v="1.25"/>
    <n v="1994"/>
    <n v="13359"/>
    <n v="22626"/>
    <n v="0.590426942455582"/>
    <n v="432831.6"/>
    <n v="32.4"/>
    <n v="441720"/>
    <n v="19.52267303102625"/>
    <d v="2019-11-16T00:00:00"/>
    <d v="2034-11-15T00:00:00"/>
    <d v="2029-11-16T00:00:00"/>
    <n v="15.26849315068493"/>
    <n v="10.26849315068493"/>
    <s v="Modified Gross"/>
    <s v="None"/>
    <s v="None"/>
    <n v="8180000"/>
    <n v="361.5309820560417"/>
    <n v="0.054"/>
    <m/>
    <d v="2019-08-13T00:00:00"/>
    <x v="448"/>
    <s v="Stream; Mantzuranis"/>
    <x v="550"/>
    <s v="CA"/>
    <s v="Private"/>
    <m/>
    <m/>
    <m/>
    <s v=" "/>
    <s v=" "/>
    <m/>
    <s v=" "/>
    <s v=" "/>
    <s v=" "/>
    <m/>
    <s v=" "/>
  </r>
  <r>
    <m/>
    <s v="USPS"/>
    <s v="Federal"/>
    <s v="Fee Simple"/>
    <s v="2040 Merrick Rd"/>
    <s v="Merrick"/>
    <s v="NY"/>
    <n v="0.68"/>
    <s v="1963 | 2018"/>
    <n v="10742"/>
    <n v="10742"/>
    <n v="1"/>
    <n v="265000"/>
    <n v="24.66952150437535"/>
    <n v="265000"/>
    <n v="24.66952150437535"/>
    <d v="2018-05-01T00:00:00"/>
    <d v="2028-04-30T00:00:00"/>
    <d v="2028-04-30T00:00:00"/>
    <n v="8.72054794520548"/>
    <n v="8.72054794520548"/>
    <s v="NN"/>
    <s v="6% year 6"/>
    <s v="None"/>
    <n v="5100000"/>
    <n v="474.771923291752"/>
    <n v="0.05196078431372549"/>
    <m/>
    <d v="2019-08-13T00:00:00"/>
    <x v="780"/>
    <s v="Asher Wenig"/>
    <x v="551"/>
    <s v="NY"/>
    <s v="Private"/>
    <m/>
    <m/>
    <n v="5578947"/>
    <n v="0.04750000313679266"/>
    <n v="0.9141510037646889"/>
    <n v="5500000"/>
    <n v="0.04818181818181818"/>
    <n v="0.003778966131907313"/>
    <s v="Yes"/>
    <d v="2018-08-06T00:00:00"/>
    <n v="372"/>
  </r>
  <r>
    <m/>
    <s v="VA"/>
    <s v="Federal"/>
    <s v="Fee Simple"/>
    <s v="80 Great Oaks Blvd"/>
    <s v="San Jose"/>
    <s v="CA"/>
    <n v="5.35"/>
    <n v="1996"/>
    <n v="71830"/>
    <n v="71830"/>
    <n v="1"/>
    <m/>
    <s v=" "/>
    <m/>
    <s v=" "/>
    <m/>
    <m/>
    <m/>
    <s v=" "/>
    <s v=" "/>
    <m/>
    <m/>
    <m/>
    <n v="25140500"/>
    <n v="350"/>
    <s v=" "/>
    <m/>
    <d v="2019-08-13T00:00:00"/>
    <x v="781"/>
    <m/>
    <x v="552"/>
    <s v="CA"/>
    <s v="User/Owner"/>
    <m/>
    <m/>
    <m/>
    <s v=" "/>
    <s v=" "/>
    <m/>
    <s v=" "/>
    <s v=" "/>
    <s v=" "/>
    <m/>
    <s v=" "/>
  </r>
  <r>
    <m/>
    <s v="University of Illinois"/>
    <s v="State"/>
    <s v="Fee Simple"/>
    <s v="1650 Commerce Dr"/>
    <s v="Bourbonnais"/>
    <s v="IL"/>
    <n v="2.52"/>
    <n v="1998"/>
    <n v="6000"/>
    <n v="6000"/>
    <n v="1"/>
    <m/>
    <s v=" "/>
    <n v="65552"/>
    <n v="10.92533333333333"/>
    <m/>
    <m/>
    <m/>
    <s v=" "/>
    <s v=" "/>
    <m/>
    <m/>
    <m/>
    <n v="710000"/>
    <n v="118.3333333333333"/>
    <n v="0.09232676056338028"/>
    <m/>
    <d v="2019-08-12T00:00:00"/>
    <x v="782"/>
    <m/>
    <x v="553"/>
    <m/>
    <m/>
    <m/>
    <m/>
    <m/>
    <s v=" "/>
    <s v=" "/>
    <m/>
    <s v=" "/>
    <s v=" "/>
    <s v=" "/>
    <m/>
    <s v=" "/>
  </r>
  <r>
    <s v="LCA02991"/>
    <m/>
    <s v="Federal"/>
    <s v="Fee Simple"/>
    <s v="1030-1050 O'Brien Dr"/>
    <s v="Menlo Park"/>
    <s v="CA"/>
    <n v="1.01"/>
    <m/>
    <n v="18000"/>
    <n v="18000"/>
    <n v="1"/>
    <n v="245662.35"/>
    <n v="13.64790833333333"/>
    <m/>
    <s v=" "/>
    <d v="2013-06-18T00:00:00"/>
    <d v="2023-06-17T00:00:00"/>
    <d v="2018-06-18T00:00:00"/>
    <n v="3.857534246575343"/>
    <n v="-1.142465753424658"/>
    <s v="Modified Gross"/>
    <s v="None"/>
    <s v="None"/>
    <n v="6200000"/>
    <n v="344.4444444444445"/>
    <s v=" "/>
    <m/>
    <d v="2019-08-09T00:00:00"/>
    <x v="783"/>
    <m/>
    <x v="333"/>
    <s v="CA"/>
    <s v="Private"/>
    <m/>
    <m/>
    <m/>
    <s v=" "/>
    <s v=" "/>
    <m/>
    <s v=" "/>
    <s v=" "/>
    <s v=" "/>
    <m/>
    <s v=" "/>
  </r>
  <r>
    <m/>
    <s v="USPS"/>
    <s v="Federal"/>
    <s v="Fee Simple"/>
    <s v="570 Knight Valley Dr"/>
    <s v="Nashville"/>
    <s v="TN"/>
    <n v="87.76000000000001"/>
    <n v="2018"/>
    <n v="450000"/>
    <n v="450000"/>
    <n v="1"/>
    <m/>
    <s v=" "/>
    <m/>
    <s v=" "/>
    <m/>
    <m/>
    <m/>
    <s v=" "/>
    <s v=" "/>
    <m/>
    <m/>
    <m/>
    <n v="44200000"/>
    <n v="98.22222222222223"/>
    <s v=" "/>
    <m/>
    <d v="2019-08-08T00:00:00"/>
    <x v="784"/>
    <m/>
    <x v="6"/>
    <m/>
    <s v="User/Owner"/>
    <m/>
    <m/>
    <m/>
    <s v=" "/>
    <s v=" "/>
    <m/>
    <s v=" "/>
    <s v=" "/>
    <s v=" "/>
    <m/>
    <s v=" "/>
  </r>
  <r>
    <m/>
    <s v="DSFS"/>
    <s v="State"/>
    <s v="Fee Simple"/>
    <s v="508 S Race St"/>
    <s v="Urbana"/>
    <s v="IL"/>
    <n v="0.48"/>
    <n v="1989"/>
    <n v="10800"/>
    <n v="10800"/>
    <n v="1"/>
    <m/>
    <s v=" "/>
    <n v="95836"/>
    <n v="8.873703703703704"/>
    <m/>
    <m/>
    <m/>
    <s v=" "/>
    <s v=" "/>
    <m/>
    <m/>
    <m/>
    <n v="950000"/>
    <n v="87.96296296296296"/>
    <n v="0.10088"/>
    <m/>
    <d v="2019-08-08T00:00:00"/>
    <x v="785"/>
    <s v="M&amp;M; Ficke"/>
    <x v="554"/>
    <s v="CA"/>
    <s v="Private"/>
    <s v="Quentin McNew"/>
    <m/>
    <m/>
    <s v=" "/>
    <s v=" "/>
    <m/>
    <s v=" "/>
    <s v=" "/>
    <s v=" "/>
    <m/>
    <s v=" "/>
  </r>
  <r>
    <s v="LTX16367"/>
    <s v="SSA"/>
    <s v="Federal"/>
    <s v="Fee Simple"/>
    <s v="600 Sargent Ed Holcomb"/>
    <s v="Conroe"/>
    <s v="TX"/>
    <n v="3"/>
    <n v="2008"/>
    <n v="21525"/>
    <n v="21525"/>
    <n v="1"/>
    <n v="713067.6899999999"/>
    <n v="33.127418815331"/>
    <n v="428510"/>
    <n v="19.9075493612079"/>
    <d v="2009-06-30T00:00:00"/>
    <d v="2024-06-29T00:00:00"/>
    <d v="2019-06-30T00:00:00"/>
    <n v="4.901369863013699"/>
    <n v="-0.1013698630136986"/>
    <s v="Modified Gross"/>
    <s v="None"/>
    <s v="None"/>
    <n v="5225000"/>
    <n v="242.7409988385598"/>
    <n v="0.08201148325358852"/>
    <m/>
    <d v="2019-08-06T00:00:00"/>
    <x v="786"/>
    <s v="Newmark; Phillips"/>
    <x v="1"/>
    <s v="IL"/>
    <s v="Private"/>
    <m/>
    <m/>
    <m/>
    <s v=" "/>
    <s v=" "/>
    <m/>
    <s v=" "/>
    <s v=" "/>
    <s v=" "/>
    <m/>
    <s v=" "/>
  </r>
  <r>
    <m/>
    <s v="Courts"/>
    <s v="State"/>
    <s v="Fee Simple"/>
    <s v="2056 Galisteo St"/>
    <s v="Santa Fe"/>
    <s v="NM"/>
    <n v="1.16"/>
    <m/>
    <n v="14500"/>
    <n v="14500"/>
    <n v="1"/>
    <m/>
    <s v=" "/>
    <n v="276768"/>
    <n v="19.08744827586207"/>
    <d v="2002-01-01T00:00:00"/>
    <d v="2022-12-31T00:00:00"/>
    <m/>
    <n v="3.405479452054795"/>
    <s v=" "/>
    <m/>
    <m/>
    <m/>
    <m/>
    <s v=" "/>
    <s v=" "/>
    <m/>
    <d v="2019-08-06T00:00:00"/>
    <x v="787"/>
    <s v="Colliers; With"/>
    <x v="555"/>
    <s v="CA"/>
    <s v="Private"/>
    <m/>
    <m/>
    <n v="2743000"/>
    <n v="0.1008997448049581"/>
    <s v=" "/>
    <n v="2743000"/>
    <n v="0.1008997448049581"/>
    <s v=" "/>
    <s v="No"/>
    <d v="2019-01-28T00:00:00"/>
    <n v="190"/>
  </r>
  <r>
    <m/>
    <s v="Court"/>
    <s v="State"/>
    <s v="Fee Simple"/>
    <s v="123 S Liberty St"/>
    <s v="Cumberland"/>
    <s v="MD"/>
    <n v="1.456"/>
    <n v="1972"/>
    <n v="31866.96"/>
    <n v="34638"/>
    <n v="0.92"/>
    <m/>
    <s v=" "/>
    <n v="732250"/>
    <n v="21.14007737167273"/>
    <d v="2019-05-01T00:00:00"/>
    <d v="2029-04-30T00:00:00"/>
    <m/>
    <n v="9.753424657534246"/>
    <s v=" "/>
    <s v="Full Service"/>
    <s v="None"/>
    <s v="None"/>
    <n v="10100000"/>
    <n v="291.5872740920377"/>
    <n v="0.0725"/>
    <m/>
    <d v="2019-08-01T00:00:00"/>
    <x v="788"/>
    <s v="Newmark; Gallas"/>
    <x v="1"/>
    <s v="IL"/>
    <s v="Private"/>
    <m/>
    <m/>
    <m/>
    <s v=" "/>
    <s v=" "/>
    <m/>
    <s v=" "/>
    <s v=" "/>
    <s v=" "/>
    <m/>
    <s v=" "/>
  </r>
  <r>
    <m/>
    <s v="Multi"/>
    <s v="Federal &amp; State"/>
    <s v="Fee Simple"/>
    <s v="20415-20435 72nd Ave S"/>
    <s v="Kent"/>
    <s v="WA"/>
    <n v="21.05"/>
    <m/>
    <n v="50593"/>
    <n v="218426"/>
    <n v="0.2316253559557928"/>
    <m/>
    <s v=" "/>
    <n v="2223000"/>
    <n v="10.17735983811451"/>
    <m/>
    <m/>
    <m/>
    <s v=" "/>
    <s v=" "/>
    <s v="Full Service"/>
    <m/>
    <m/>
    <n v="39000000"/>
    <n v="178.5501725985002"/>
    <n v="0.057"/>
    <m/>
    <d v="2019-08-01T00:00:00"/>
    <x v="789"/>
    <s v="HFF; Leggett"/>
    <x v="556"/>
    <s v="WA"/>
    <s v="Private"/>
    <s v="NAI; Sulman"/>
    <m/>
    <m/>
    <s v=" "/>
    <s v=" "/>
    <m/>
    <s v=" "/>
    <s v=" "/>
    <s v=" "/>
    <m/>
    <s v=" "/>
  </r>
  <r>
    <m/>
    <s v="Eastern Kentucky University"/>
    <s v="State"/>
    <s v="Leasehold"/>
    <m/>
    <s v="Richmond"/>
    <s v="KY"/>
    <n v="16"/>
    <m/>
    <m/>
    <m/>
    <s v=" "/>
    <m/>
    <s v=" "/>
    <m/>
    <s v=" "/>
    <m/>
    <m/>
    <m/>
    <s v=" "/>
    <s v=" "/>
    <m/>
    <m/>
    <m/>
    <n v="46125000"/>
    <s v=" "/>
    <s v=" "/>
    <m/>
    <d v="2019-08-01T00:00:00"/>
    <x v="790"/>
    <m/>
    <x v="414"/>
    <s v="MA"/>
    <s v="Private"/>
    <m/>
    <m/>
    <m/>
    <s v=" "/>
    <s v=" "/>
    <m/>
    <s v=" "/>
    <s v=" "/>
    <s v=" "/>
    <m/>
    <s v=" "/>
  </r>
  <r>
    <s v="LPA07333"/>
    <s v="OPM"/>
    <s v="Federal"/>
    <s v="Fee Simple"/>
    <s v="202-206 Spruce Dr"/>
    <s v="Slippery Rock"/>
    <s v="PA"/>
    <n v="1.04"/>
    <n v="2004"/>
    <n v="2581"/>
    <n v="6681"/>
    <n v="0.3863194132614878"/>
    <n v="36868.09"/>
    <n v="14.28442076714452"/>
    <n v="65855"/>
    <n v="9.857057326747492"/>
    <d v="2007-12-13T00:00:00"/>
    <d v="2017-12-12T00:00:00"/>
    <d v="2012-12-13T00:00:00"/>
    <n v="-1.632876712328767"/>
    <n v="-6.632876712328767"/>
    <s v="Modified Gross"/>
    <s v="None"/>
    <s v="None"/>
    <n v="599000"/>
    <n v="89.65723694057776"/>
    <n v="0.1099415692821369"/>
    <m/>
    <d v="2019-07-31T00:00:00"/>
    <x v="791"/>
    <s v="HH; Nianouris"/>
    <x v="557"/>
    <s v="NY"/>
    <s v="Private"/>
    <m/>
    <m/>
    <n v="600000"/>
    <n v="0.1097583333333333"/>
    <n v="0.9983333333333333"/>
    <n v="600000"/>
    <n v="0.1097583333333333"/>
    <n v="0.0001832359488035673"/>
    <s v="No"/>
    <d v="2019-03-29T00:00:00"/>
    <n v="124"/>
  </r>
  <r>
    <m/>
    <s v="Multi"/>
    <s v="Federal"/>
    <s v="Fee Simple"/>
    <s v="899 N Capitol St NE"/>
    <s v="Washington"/>
    <s v="DC"/>
    <m/>
    <m/>
    <n v="100500"/>
    <n v="636916"/>
    <n v="0.1577916083125561"/>
    <m/>
    <s v=" "/>
    <n v="14787700"/>
    <n v="23.21766135565757"/>
    <d v="2011-12-23T00:00:00"/>
    <d v="2021-12-22T00:00:00"/>
    <d v="2021-12-22T00:00:00"/>
    <n v="2.4"/>
    <n v="2.4"/>
    <m/>
    <m/>
    <m/>
    <n v="181000000"/>
    <n v="284.1819015380364"/>
    <n v="0.08169999999999999"/>
    <m/>
    <d v="2019-07-30T00:00:00"/>
    <x v="792"/>
    <m/>
    <x v="242"/>
    <s v="TX"/>
    <s v="Institutional"/>
    <m/>
    <m/>
    <m/>
    <s v=" "/>
    <s v=" "/>
    <m/>
    <s v=" "/>
    <s v=" "/>
    <s v=" "/>
    <m/>
    <s v=" "/>
  </r>
  <r>
    <m/>
    <s v="Department of Public Works"/>
    <s v="Municipal"/>
    <s v="Fee Simple"/>
    <s v="3800 Charlotte Ave"/>
    <s v="Nashville"/>
    <s v="TN"/>
    <n v="4.38"/>
    <n v="1965"/>
    <n v="34500"/>
    <n v="35400"/>
    <n v="0.9745762711864406"/>
    <m/>
    <s v=" "/>
    <m/>
    <s v=" "/>
    <m/>
    <m/>
    <m/>
    <s v=" "/>
    <s v=" "/>
    <m/>
    <m/>
    <m/>
    <n v="7450000"/>
    <n v="210.4519774011299"/>
    <s v=" "/>
    <m/>
    <d v="2019-07-27T00:00:00"/>
    <x v="793"/>
    <m/>
    <x v="558"/>
    <s v="TX"/>
    <s v="Private"/>
    <m/>
    <m/>
    <m/>
    <s v=" "/>
    <s v=" "/>
    <m/>
    <s v=" "/>
    <s v=" "/>
    <s v=" "/>
    <m/>
    <s v=" "/>
  </r>
  <r>
    <s v="LAZ02196"/>
    <s v="FBI"/>
    <s v="Federal"/>
    <s v="Fee Simple"/>
    <s v="21711 N 7th St"/>
    <s v="Phoenix"/>
    <s v="AZ"/>
    <n v="12.29"/>
    <n v="2012"/>
    <n v="210202"/>
    <n v="210202"/>
    <n v="1"/>
    <n v="7746703.09"/>
    <n v="36.85361266781477"/>
    <n v="5625000"/>
    <n v="26.75997373954577"/>
    <d v="2012-02-01T00:00:00"/>
    <d v="2032-01-31T00:00:00"/>
    <d v="2027-01-31T00:00:00"/>
    <n v="12.52602739726027"/>
    <n v="7.523287671232877"/>
    <s v="Modified Gross"/>
    <s v="None"/>
    <s v="None"/>
    <n v="92250000"/>
    <n v="438.8635693285506"/>
    <n v="0.06097560975609756"/>
    <m/>
    <d v="2019-07-26T00:00:00"/>
    <x v="794"/>
    <s v="C&amp;W; Trautvetter"/>
    <x v="2"/>
    <s v="VA"/>
    <s v="Private"/>
    <m/>
    <m/>
    <m/>
    <s v=" "/>
    <s v=" "/>
    <m/>
    <s v=" "/>
    <s v=" "/>
    <s v=" "/>
    <m/>
    <s v=" "/>
  </r>
  <r>
    <m/>
    <s v="City of Phenix City"/>
    <s v="Municipal"/>
    <s v="Fee Simple"/>
    <s v="3482 Crosswinds Dr"/>
    <s v="Phenix City"/>
    <s v="AL"/>
    <n v="4.51"/>
    <n v="2019"/>
    <n v="40702"/>
    <n v="40702"/>
    <n v="1"/>
    <m/>
    <s v=" "/>
    <n v="488424"/>
    <n v="12"/>
    <d v="2019-01-01T00:00:00"/>
    <d v="2043-12-31T00:00:00"/>
    <d v="2043-12-31T00:00:00"/>
    <n v="24.45205479452055"/>
    <n v="24.45205479452055"/>
    <s v="Abs NNN"/>
    <m/>
    <m/>
    <n v="8738000"/>
    <n v="214.6823251928652"/>
    <n v="0.0558965438315404"/>
    <n v="0.1795"/>
    <d v="2019-07-25T00:00:00"/>
    <x v="795"/>
    <s v="SJC; Clary"/>
    <x v="559"/>
    <s v="CA"/>
    <s v="Private"/>
    <m/>
    <m/>
    <n v="8950000"/>
    <n v="0.05457251396648045"/>
    <n v="0.9763128491620112"/>
    <n v="8950000"/>
    <n v="0.05457251396648045"/>
    <n v="0.001324029865059952"/>
    <s v="No"/>
    <d v="2019-01-07T00:00:00"/>
    <n v="199"/>
  </r>
  <r>
    <m/>
    <s v="ATF"/>
    <s v="Federal"/>
    <s v="Fee Simple"/>
    <s v="16009 N 81st St"/>
    <s v="Scottsdale"/>
    <s v="AZ"/>
    <m/>
    <m/>
    <n v="8897"/>
    <n v="16904"/>
    <n v="0.5263251301467108"/>
    <n v="213480.22"/>
    <n v="23.99462965044397"/>
    <n v="214370"/>
    <n v="12.68161381921439"/>
    <d v="2012-07-01T00:00:00"/>
    <d v="2022-06-30T00:00:00"/>
    <d v="2017-07-01T00:00:00"/>
    <n v="2.950684931506849"/>
    <n v="-2.049315068493151"/>
    <m/>
    <m/>
    <m/>
    <n v="3298000"/>
    <n v="195.1017510648367"/>
    <n v="0.065"/>
    <m/>
    <d v="2019-07-19T00:00:00"/>
    <x v="796"/>
    <s v="Duam"/>
    <x v="560"/>
    <s v="AZ"/>
    <s v="Private"/>
    <m/>
    <m/>
    <m/>
    <s v=" "/>
    <s v=" "/>
    <m/>
    <s v=" "/>
    <s v=" "/>
    <s v=" "/>
    <m/>
    <s v=" "/>
  </r>
  <r>
    <m/>
    <s v="Sutter County Probation"/>
    <s v="State"/>
    <s v="Fee Simple"/>
    <s v="430 Center St"/>
    <s v="Yuba City"/>
    <s v="CA"/>
    <n v="0.28"/>
    <n v="2000"/>
    <n v="8576"/>
    <n v="8576"/>
    <n v="1"/>
    <m/>
    <s v=" "/>
    <n v="74375"/>
    <n v="8.67245802238806"/>
    <m/>
    <m/>
    <m/>
    <s v=" "/>
    <s v=" "/>
    <m/>
    <m/>
    <m/>
    <n v="800000"/>
    <n v="93.28358208955224"/>
    <n v="0.09296875"/>
    <m/>
    <d v="2019-07-19T00:00:00"/>
    <x v="797"/>
    <s v="M&amp;M; Sergunin"/>
    <x v="561"/>
    <s v="CA"/>
    <s v="Private"/>
    <s v="Richard Hong"/>
    <m/>
    <n v="875000"/>
    <n v="0.08500000000000001"/>
    <n v="0.9142857142857143"/>
    <n v="875000"/>
    <n v="0.08500000000000001"/>
    <n v="0.007968749999999997"/>
    <s v="No"/>
    <d v="2019-05-16T00:00:00"/>
    <n v="64"/>
  </r>
  <r>
    <s v="LNC00276"/>
    <s v="USCIS"/>
    <s v="Federal"/>
    <s v="Fee Simple"/>
    <s v="201 Regency Executive Park Dr"/>
    <s v="Charlotte"/>
    <s v="NC"/>
    <n v="3.4"/>
    <n v="1994"/>
    <n v="31600"/>
    <n v="31600"/>
    <n v="1"/>
    <n v="743042.26"/>
    <n v="23.51399556962025"/>
    <n v="470675"/>
    <n v="14.89477848101266"/>
    <d v="2019-06-03T00:00:00"/>
    <d v="2034-06-02T00:00:00"/>
    <d v="2029-06-03T00:00:00"/>
    <n v="14.88493150684931"/>
    <n v="9.884931506849314"/>
    <s v="Modified Gross"/>
    <m/>
    <m/>
    <n v="7025000"/>
    <n v="222.3101265822785"/>
    <n v="0.067"/>
    <m/>
    <d v="2019-07-18T00:00:00"/>
    <x v="798"/>
    <s v="CBRE"/>
    <x v="562"/>
    <s v="FL"/>
    <s v="Private"/>
    <m/>
    <m/>
    <m/>
    <s v=" "/>
    <s v=" "/>
    <m/>
    <s v=" "/>
    <s v=" "/>
    <s v=" "/>
    <m/>
    <s v=" "/>
  </r>
  <r>
    <s v="LVA00652"/>
    <s v="NOAA"/>
    <s v="Federal"/>
    <s v="Fee Simple"/>
    <s v="672 Independence Pkwy"/>
    <s v="Chesapeake"/>
    <s v="VA"/>
    <n v="3.3"/>
    <n v="2008"/>
    <n v="37871"/>
    <n v="37871"/>
    <n v="1"/>
    <n v="914565"/>
    <n v="24.14948113332101"/>
    <n v="600188"/>
    <n v="15.8482215943598"/>
    <m/>
    <d v="2021-10-08T00:00:00"/>
    <d v="2016-10-08T00:00:00"/>
    <n v="2.227397260273972"/>
    <n v="-2.775342465753424"/>
    <s v="Modified Gross"/>
    <s v="None"/>
    <s v="None"/>
    <n v="6750000"/>
    <n v="178.2366454543054"/>
    <n v="0.08891674074074074"/>
    <m/>
    <d v="2019-07-18T00:00:00"/>
    <x v="799"/>
    <s v="Kase; Bracco"/>
    <x v="42"/>
    <s v="VA"/>
    <s v="Private"/>
    <m/>
    <m/>
    <n v="7275000"/>
    <n v="0.08250006872852234"/>
    <n v="0.9278350515463918"/>
    <n v="7275000"/>
    <n v="0.08250006872852234"/>
    <n v="0.006416672012218405"/>
    <s v="No"/>
    <d v="2019-05-05T00:00:00"/>
    <n v="74"/>
  </r>
  <r>
    <m/>
    <s v="BLM"/>
    <s v="Federal"/>
    <s v="Fee Simple"/>
    <s v="5152 Hillsdale Circle"/>
    <s v="El Dorado Hills"/>
    <s v="CA"/>
    <n v="4"/>
    <n v="2009"/>
    <n v="17200"/>
    <n v="17200"/>
    <n v="1"/>
    <n v="466520"/>
    <n v="27.12325581395349"/>
    <n v="384750"/>
    <n v="22.36918604651163"/>
    <d v="2009-10-01T00:00:00"/>
    <d v="2029-09-30T00:00:00"/>
    <d v="2024-09-30T00:00:00"/>
    <n v="10.21095890410959"/>
    <n v="5.208219178082191"/>
    <s v="Modified Gross"/>
    <s v="None"/>
    <s v="None"/>
    <n v="6750000"/>
    <n v="392.4418604651163"/>
    <n v="0.057"/>
    <m/>
    <d v="2019-07-18T00:00:00"/>
    <x v="800"/>
    <s v="SJC; Briggs"/>
    <x v="563"/>
    <s v="CA"/>
    <s v="Private"/>
    <m/>
    <m/>
    <n v="7004417"/>
    <n v="0.05492962512083447"/>
    <n v="0.9636776336988503"/>
    <n v="7004417"/>
    <n v="0.05492962512083447"/>
    <n v="0.002070374879165532"/>
    <s v="No"/>
    <d v="2018-11-01T00:00:00"/>
    <n v="259"/>
  </r>
  <r>
    <s v="LFL00547"/>
    <s v="VA/Sabil Clinic"/>
    <s v="Federal"/>
    <s v="Fee Simple"/>
    <s v="9208-9210 King Palm Dr"/>
    <s v="Tampa"/>
    <s v="FL"/>
    <n v="0.82"/>
    <n v="2019"/>
    <n v="32256"/>
    <n v="44000"/>
    <n v="0.7330909090909091"/>
    <n v="1065827.69"/>
    <n v="33.04277312748016"/>
    <m/>
    <s v=" "/>
    <d v="2019-03-18T00:00:00"/>
    <d v="2034-03-17T00:00:00"/>
    <d v="2034-03-17T00:00:00"/>
    <n v="14.67397260273973"/>
    <n v="14.67397260273973"/>
    <s v="Modified Gross"/>
    <s v="None"/>
    <s v="None"/>
    <n v="12734375"/>
    <n v="289.4176136363636"/>
    <s v=" "/>
    <m/>
    <d v="2019-07-18T00:00:00"/>
    <x v="531"/>
    <s v="Bull Realty"/>
    <x v="440"/>
    <s v="CA"/>
    <s v="Private"/>
    <m/>
    <m/>
    <m/>
    <s v=" "/>
    <s v=" "/>
    <m/>
    <s v=" "/>
    <s v=" "/>
    <s v=" "/>
    <m/>
    <s v=" "/>
  </r>
  <r>
    <m/>
    <s v="USPS"/>
    <s v="Federal"/>
    <s v="Fee Simple"/>
    <s v="12255 Natural Bridge Rd"/>
    <s v="Bridgeton"/>
    <s v="MO"/>
    <n v="0.85"/>
    <n v="1964"/>
    <n v="4598"/>
    <n v="4598"/>
    <n v="1"/>
    <m/>
    <s v=" "/>
    <n v="37553"/>
    <n v="8.167246628969117"/>
    <m/>
    <m/>
    <m/>
    <s v=" "/>
    <s v=" "/>
    <m/>
    <m/>
    <m/>
    <m/>
    <s v=" "/>
    <s v=" "/>
    <m/>
    <d v="2019-07-15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6201 N Highway 17"/>
    <s v="Awendaw"/>
    <s v="SC"/>
    <n v="1.429982"/>
    <m/>
    <n v="2640"/>
    <n v="2640"/>
    <n v="1"/>
    <m/>
    <s v=" "/>
    <m/>
    <s v=" "/>
    <m/>
    <m/>
    <m/>
    <s v=" "/>
    <s v=" "/>
    <m/>
    <m/>
    <m/>
    <n v="395888"/>
    <n v="149.9575757575758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16 E Decherd St"/>
    <s v="Franklin"/>
    <s v="TX"/>
    <n v="0.5165"/>
    <n v="1993"/>
    <n v="3360"/>
    <n v="3360"/>
    <n v="1"/>
    <m/>
    <s v=" "/>
    <m/>
    <s v=" "/>
    <m/>
    <m/>
    <m/>
    <s v=" "/>
    <s v=" "/>
    <m/>
    <m/>
    <m/>
    <m/>
    <s v=" 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093 Java Rd"/>
    <s v="Java"/>
    <s v="VA"/>
    <n v="0.5600000000000001"/>
    <n v="1989"/>
    <n v="1040"/>
    <n v="1040"/>
    <n v="1"/>
    <m/>
    <s v=" "/>
    <m/>
    <s v=" "/>
    <m/>
    <m/>
    <m/>
    <s v=" "/>
    <s v=" "/>
    <m/>
    <m/>
    <m/>
    <n v="105000"/>
    <n v="100.9615384615385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2096 Old Richmond Rd"/>
    <s v="Keeling"/>
    <s v="VA"/>
    <n v="0.97"/>
    <n v="1988"/>
    <n v="1352"/>
    <n v="1352"/>
    <n v="1"/>
    <m/>
    <s v=" "/>
    <m/>
    <s v=" "/>
    <m/>
    <m/>
    <m/>
    <s v=" "/>
    <s v=" "/>
    <m/>
    <m/>
    <m/>
    <n v="135000"/>
    <n v="99.85207100591715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78 Camp Easter Rd"/>
    <s v="Lakeview"/>
    <s v="NC"/>
    <n v="0.41"/>
    <n v="1990"/>
    <n v="1536"/>
    <n v="1536"/>
    <n v="1"/>
    <m/>
    <s v=" "/>
    <m/>
    <s v=" "/>
    <m/>
    <m/>
    <m/>
    <s v=" "/>
    <s v=" "/>
    <m/>
    <m/>
    <m/>
    <n v="207500"/>
    <n v="135.0911458333333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304 W Main St"/>
    <s v="Lebanon"/>
    <s v="VA"/>
    <n v="0.6409319999999999"/>
    <n v="1988"/>
    <n v="6889"/>
    <n v="6889"/>
    <n v="1"/>
    <m/>
    <s v=" "/>
    <m/>
    <s v=" "/>
    <m/>
    <m/>
    <m/>
    <s v=" "/>
    <s v=" "/>
    <m/>
    <m/>
    <m/>
    <n v="518957"/>
    <n v="75.33125272173029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0719 N US Highway 431"/>
    <s v="South Carrollton"/>
    <s v="KY"/>
    <n v="0.15"/>
    <m/>
    <m/>
    <n v="540"/>
    <s v=" "/>
    <m/>
    <s v=" "/>
    <n v="5440"/>
    <n v="10.07407407407407"/>
    <m/>
    <m/>
    <m/>
    <s v=" "/>
    <s v=" "/>
    <m/>
    <m/>
    <m/>
    <n v="60000"/>
    <n v="111.1111111111111"/>
    <n v="0.09066666666666667"/>
    <m/>
    <d v="2019-07-12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190 S Highway 11"/>
    <s v="West Union"/>
    <s v="SC"/>
    <m/>
    <m/>
    <n v="5869"/>
    <n v="5869"/>
    <n v="1"/>
    <m/>
    <s v=" "/>
    <m/>
    <s v=" "/>
    <m/>
    <m/>
    <m/>
    <s v=" "/>
    <s v=" "/>
    <m/>
    <m/>
    <m/>
    <n v="692044"/>
    <n v="117.915147384563"/>
    <s v=" "/>
    <m/>
    <d v="2019-07-12T00:00:00"/>
    <x v="8"/>
    <m/>
    <x v="66"/>
    <s v="CA"/>
    <s v="Private"/>
    <m/>
    <m/>
    <m/>
    <s v=" "/>
    <s v=" "/>
    <m/>
    <s v=" "/>
    <s v=" "/>
    <s v=" "/>
    <m/>
    <s v=" "/>
  </r>
  <r>
    <m/>
    <s v="VA/US Army MEDCOM"/>
    <s v="Federal"/>
    <s v="Fee Simple"/>
    <s v="7400 Helen Of Troy"/>
    <s v="El Paso"/>
    <s v="TX"/>
    <n v="2.07"/>
    <n v="2017"/>
    <n v="14400"/>
    <n v="14400"/>
    <n v="1"/>
    <n v="236800"/>
    <n v="16.44444444444444"/>
    <n v="236800"/>
    <n v="16.44444444444444"/>
    <d v="2018-09-01T00:00:00"/>
    <d v="2028-08-31T00:00:00"/>
    <d v="2023-08-31T00:00:00"/>
    <n v="9.147945205479452"/>
    <n v="4.142465753424657"/>
    <s v="Modified Gross"/>
    <s v="None"/>
    <s v="None"/>
    <n v="3200000"/>
    <n v="222.2222222222222"/>
    <n v="0.074"/>
    <m/>
    <d v="2019-07-11T00:00:00"/>
    <x v="801"/>
    <s v="M&amp;M; Ficke"/>
    <x v="564"/>
    <s v="WA"/>
    <s v="Private"/>
    <m/>
    <m/>
    <m/>
    <s v=" "/>
    <s v=" "/>
    <m/>
    <s v=" "/>
    <s v=" "/>
    <s v=" "/>
    <d v="2017-08-29T00:00:00"/>
    <n v="681"/>
  </r>
  <r>
    <s v="LSD14846"/>
    <s v="AOC/Courthouse"/>
    <s v="Federal"/>
    <s v="Fee Simple"/>
    <s v="102 4th Ave SE"/>
    <s v="Aberdeen"/>
    <s v="SC"/>
    <n v="2.07"/>
    <n v="1937"/>
    <n v="10940"/>
    <n v="53009"/>
    <n v="0.2063800486709804"/>
    <n v="175706.66"/>
    <n v="16.0609378427788"/>
    <m/>
    <s v=" "/>
    <d v="2015-05-05T00:00:00"/>
    <d v="2025-05-04T00:00:00"/>
    <d v="2020-05-04T00:00:00"/>
    <n v="5.821917808219178"/>
    <n v="0.8191780821917808"/>
    <s v="Modified Gross"/>
    <s v="None"/>
    <s v="None"/>
    <n v="850000"/>
    <n v="16.03501292233394"/>
    <s v=" "/>
    <m/>
    <d v="2019-07-10T00:00:00"/>
    <x v="802"/>
    <s v="M&amp;M; Ficke"/>
    <x v="565"/>
    <s v="SD"/>
    <s v="Private"/>
    <s v="Melanie Bobby"/>
    <m/>
    <m/>
    <s v=" "/>
    <s v=" "/>
    <m/>
    <s v=" "/>
    <s v=" "/>
    <s v=" "/>
    <d v="2018-01-03T00:00:00"/>
    <n v="553"/>
  </r>
  <r>
    <m/>
    <s v="MSHA"/>
    <s v="Federal"/>
    <s v="Leasehold"/>
    <s v="8223 Express Dr"/>
    <s v="Marion"/>
    <s v="IL"/>
    <n v="1.27"/>
    <n v="2013"/>
    <n v="8000"/>
    <n v="8000"/>
    <n v="1"/>
    <m/>
    <s v=" "/>
    <n v="102571.5"/>
    <n v="12.8214375"/>
    <m/>
    <d v="2023-07-01T00:00:00"/>
    <d v="2018-07-01T00:00:00"/>
    <n v="3.978082191780822"/>
    <n v="-1.024657534246575"/>
    <s v="Modified Gross"/>
    <s v="None"/>
    <s v="None"/>
    <n v="915000"/>
    <n v="114.375"/>
    <n v="0.1121"/>
    <m/>
    <d v="2019-07-10T00:00:00"/>
    <x v="8"/>
    <m/>
    <x v="62"/>
    <s v="IL"/>
    <s v="Private"/>
    <m/>
    <m/>
    <m/>
    <s v=" "/>
    <s v=" "/>
    <m/>
    <s v=" "/>
    <s v=" "/>
    <s v=" "/>
    <m/>
    <s v=" "/>
  </r>
  <r>
    <m/>
    <s v="SBI"/>
    <s v="State"/>
    <s v="Fee Simple"/>
    <s v="1705 Tyson Park Dr"/>
    <s v="Raleigh"/>
    <s v="NC"/>
    <n v="6.11"/>
    <n v="2010"/>
    <n v="28350"/>
    <n v="28350"/>
    <n v="1"/>
    <m/>
    <s v=" "/>
    <n v="309781.25"/>
    <n v="10.92702821869489"/>
    <m/>
    <d v="2030-04-30T00:00:00"/>
    <m/>
    <n v="10.81917808219178"/>
    <s v=" "/>
    <s v="Full Service"/>
    <s v="2% annually"/>
    <s v="None"/>
    <n v="4956500"/>
    <n v="174.8324514991182"/>
    <n v="0.0625"/>
    <m/>
    <d v="2019-07-08T00:00:00"/>
    <x v="803"/>
    <s v="BR;"/>
    <x v="1"/>
    <s v="IL"/>
    <s v="Private"/>
    <m/>
    <m/>
    <m/>
    <s v=" "/>
    <s v=" "/>
    <m/>
    <s v=" "/>
    <s v=" "/>
    <s v=" "/>
    <m/>
    <s v=" "/>
  </r>
  <r>
    <m/>
    <s v="SBI"/>
    <s v="State"/>
    <s v="Fee Simple"/>
    <s v="1700 Tryon Park Dr"/>
    <s v="Raleigh"/>
    <s v="NC"/>
    <n v="1.2"/>
    <n v="2011"/>
    <n v="9953"/>
    <n v="9953"/>
    <n v="1"/>
    <m/>
    <s v=" "/>
    <n v="108812.5"/>
    <n v="10.93263337687129"/>
    <m/>
    <d v="2030-09-30T00:00:00"/>
    <m/>
    <n v="11.23835616438356"/>
    <s v=" "/>
    <s v="Full Service"/>
    <s v="2% annually"/>
    <s v="None"/>
    <n v="1741000"/>
    <n v="174.9221340299407"/>
    <n v="0.0625"/>
    <m/>
    <d v="2019-07-08T00:00:00"/>
    <x v="803"/>
    <s v="BR;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56 Church St"/>
    <s v="Shaftsbury"/>
    <s v="VT"/>
    <n v="0.16"/>
    <n v="1985"/>
    <n v="1425"/>
    <n v="1425"/>
    <n v="1"/>
    <n v="25600"/>
    <n v="17.96491228070175"/>
    <n v="24619"/>
    <n v="17.27649122807017"/>
    <d v="2015-09-01T00:00:00"/>
    <d v="2020-08-31T00:00:00"/>
    <d v="2020-08-31T00:00:00"/>
    <n v="1.164383561643836"/>
    <n v="1.164383561643836"/>
    <s v="Rider"/>
    <s v="Yes"/>
    <s v="1, 5 year"/>
    <m/>
    <s v=" "/>
    <s v=" "/>
    <m/>
    <d v="2019-07-03T00:00:00"/>
    <x v="8"/>
    <s v="TCP; Harrison"/>
    <x v="0"/>
    <m/>
    <m/>
    <m/>
    <m/>
    <n v="320000"/>
    <n v="0.076934375"/>
    <s v=" "/>
    <n v="295000"/>
    <n v="0.0834542372881356"/>
    <s v=" "/>
    <s v="Yes"/>
    <d v="2019-04-08T00:00:00"/>
    <n v="86"/>
  </r>
  <r>
    <m/>
    <s v="ACOE"/>
    <s v="Federal"/>
    <s v="Fee Simple"/>
    <s v="475 Quality Cir SW"/>
    <s v="Huntsville"/>
    <s v="AL"/>
    <n v="25"/>
    <n v="2007"/>
    <n v="151524"/>
    <n v="151524"/>
    <n v="1"/>
    <n v="2550844"/>
    <n v="16.83458726010401"/>
    <n v="1930000"/>
    <n v="12.73725614424118"/>
    <d v="2019-02-01T00:00:00"/>
    <d v="2029-01-30T00:00:00"/>
    <d v="2024-01-31T00:00:00"/>
    <n v="9.591780821917808"/>
    <n v="4.589041095890411"/>
    <s v="Modified Gross"/>
    <s v="None"/>
    <s v="None"/>
    <n v="27300000"/>
    <n v="180.1694781024788"/>
    <n v="0.07069597069597069"/>
    <m/>
    <d v="2019-07-01T00:00:00"/>
    <x v="804"/>
    <s v="C&amp;W; Trautvetter"/>
    <x v="2"/>
    <s v="VA"/>
    <s v="Private"/>
    <m/>
    <s v="IRA"/>
    <m/>
    <s v=" "/>
    <s v=" "/>
    <m/>
    <s v=" "/>
    <s v=" "/>
    <s v=" "/>
    <m/>
    <s v=" "/>
  </r>
  <r>
    <m/>
    <s v="USPS"/>
    <s v="Federal"/>
    <s v="Fee Simple"/>
    <s v="10-12 Celina Ave"/>
    <s v="Nashua"/>
    <s v="NH"/>
    <n v="22.83"/>
    <n v="1979"/>
    <n v="321800"/>
    <n v="321800"/>
    <n v="1"/>
    <n v="2762871"/>
    <n v="8.585677439403357"/>
    <n v="1601146"/>
    <n v="4.975593536357986"/>
    <d v="2018-03-01T00:00:00"/>
    <d v="2028-02-28T00:00:00"/>
    <d v="2028-02-28T00:00:00"/>
    <n v="8.668493150684931"/>
    <n v="8.668493150684931"/>
    <s v="Rider"/>
    <s v="Options"/>
    <s v="4, 5 year"/>
    <n v="25000000"/>
    <n v="77.68800497203232"/>
    <n v="0.06404584000000001"/>
    <m/>
    <d v="2019-07-01T00:00:00"/>
    <x v="247"/>
    <s v="Direct"/>
    <x v="566"/>
    <s v="CA"/>
    <s v="Private"/>
    <m/>
    <m/>
    <m/>
    <s v=" "/>
    <s v=" "/>
    <m/>
    <s v=" "/>
    <s v=" "/>
    <s v=" "/>
    <m/>
    <s v=" "/>
  </r>
  <r>
    <m/>
    <s v="Multi"/>
    <s v="Federal"/>
    <s v="Fee Simple"/>
    <s v="35 SE 1st Ave"/>
    <s v="Ocala"/>
    <s v="FL"/>
    <m/>
    <m/>
    <m/>
    <n v="27978"/>
    <s v=" "/>
    <n v="193988.82"/>
    <s v=" "/>
    <m/>
    <s v=" "/>
    <d v="2019-12-21T00:00:00"/>
    <d v="2029-12-20T00:00:00"/>
    <d v="2024-12-21T00:00:00"/>
    <n v="10.47945205479452"/>
    <n v="5.47945205479452"/>
    <m/>
    <m/>
    <m/>
    <n v="3300000"/>
    <n v="117.9498177139181"/>
    <s v=" "/>
    <m/>
    <d v="2019-07-01T00:00:00"/>
    <x v="805"/>
    <m/>
    <x v="567"/>
    <s v="FL"/>
    <s v="Private"/>
    <m/>
    <m/>
    <m/>
    <s v=" "/>
    <s v=" "/>
    <m/>
    <s v=" "/>
    <s v=" "/>
    <s v=" "/>
    <m/>
    <s v=" "/>
  </r>
  <r>
    <m/>
    <s v="USPS"/>
    <s v="Federal"/>
    <s v="Fee Simple"/>
    <s v="8390 N Broadway"/>
    <s v="Saint Louis"/>
    <s v="MO"/>
    <n v="1.394"/>
    <n v="1999"/>
    <n v="6866"/>
    <n v="6866"/>
    <n v="1"/>
    <m/>
    <s v=" "/>
    <m/>
    <s v=" "/>
    <m/>
    <m/>
    <m/>
    <s v=" "/>
    <s v=" "/>
    <m/>
    <m/>
    <m/>
    <m/>
    <s v=" "/>
    <s v=" "/>
    <m/>
    <d v="2019-07-01T00:00:00"/>
    <x v="8"/>
    <m/>
    <x v="66"/>
    <s v="CA"/>
    <s v="Private"/>
    <m/>
    <m/>
    <m/>
    <s v=" "/>
    <s v=" "/>
    <m/>
    <s v=" "/>
    <s v=" "/>
    <s v=" "/>
    <m/>
    <s v=" "/>
  </r>
  <r>
    <s v="LDC02286"/>
    <s v="SSA"/>
    <s v="Federal"/>
    <s v="Fee Simple"/>
    <s v="1905 9th St NE"/>
    <s v="Washington"/>
    <s v="DC"/>
    <n v="1.68"/>
    <n v="1965"/>
    <n v="7723"/>
    <n v="21855"/>
    <n v="0.3533745138412263"/>
    <n v="282598.14"/>
    <n v="36.59175708921403"/>
    <m/>
    <s v=" "/>
    <d v="2010-09-01T00:00:00"/>
    <d v="2020-08-31T00:00:00"/>
    <d v="2015-08-31T00:00:00"/>
    <n v="1.16986301369863"/>
    <n v="-3.835616438356164"/>
    <s v="Modified Gross"/>
    <s v="None"/>
    <s v="None"/>
    <n v="8950000"/>
    <n v="409.5172729352551"/>
    <s v=" "/>
    <m/>
    <d v="2019-07-01T00:00:00"/>
    <x v="806"/>
    <s v="NAI; Dimeglio"/>
    <x v="568"/>
    <s v="DC"/>
    <s v="Private"/>
    <m/>
    <m/>
    <m/>
    <s v=" "/>
    <s v=" "/>
    <m/>
    <s v=" "/>
    <s v=" "/>
    <s v=" "/>
    <m/>
    <s v=" "/>
  </r>
  <r>
    <m/>
    <s v="SSA"/>
    <s v="Federal"/>
    <s v="Fee Simple"/>
    <s v="1149 Robert T. Longway Blvd"/>
    <s v="Flint"/>
    <s v="MI"/>
    <n v="1.5"/>
    <n v="2007"/>
    <n v="13582"/>
    <n v="13582"/>
    <n v="1"/>
    <n v="485537"/>
    <n v="35.74856427624798"/>
    <n v="313982"/>
    <n v="23.11750846708879"/>
    <d v="2020-10-01T00:00:00"/>
    <d v="2030-09-30T00:00:00"/>
    <d v="2027-10-01T00:00:00"/>
    <n v="11.26849315068493"/>
    <n v="8.268493150684931"/>
    <s v="Modified Gross"/>
    <s v="None"/>
    <s v="None"/>
    <n v="3600000"/>
    <n v="265.0566926814902"/>
    <n v="0.08721722222222222"/>
    <m/>
    <d v="2019-06-27T00:00:00"/>
    <x v="2"/>
    <s v="WD Schorsch"/>
    <x v="46"/>
    <s v="OK"/>
    <s v="Private"/>
    <s v="M&amp;M; Ficke"/>
    <m/>
    <m/>
    <s v=" "/>
    <s v=" "/>
    <m/>
    <s v=" "/>
    <s v=" "/>
    <s v=" "/>
    <m/>
    <s v=" "/>
  </r>
  <r>
    <m/>
    <s v="ONR"/>
    <s v="Federal"/>
    <s v="Fee Simple"/>
    <s v="875 N Randolph St"/>
    <s v="Arlington"/>
    <s v="VA"/>
    <n v="1.26"/>
    <n v="2005"/>
    <n v="313595"/>
    <n v="319327"/>
    <n v="0.9820497483770555"/>
    <n v="11967801.1"/>
    <n v="38.16323952869146"/>
    <n v="9280000"/>
    <n v="29.06111916624651"/>
    <m/>
    <d v="2027-09-30T00:00:00"/>
    <d v="2027-09-30T00:00:00"/>
    <n v="8.273972602739725"/>
    <n v="8.273972602739725"/>
    <s v="Full Service"/>
    <m/>
    <m/>
    <n v="151200000"/>
    <n v="473.4958208983268"/>
    <n v="0.06137566137566138"/>
    <m/>
    <d v="2019-06-24T00:00:00"/>
    <x v="807"/>
    <s v="JLL; Faust"/>
    <x v="242"/>
    <s v="TX"/>
    <s v="Institutional"/>
    <m/>
    <m/>
    <m/>
    <s v=" "/>
    <s v=" "/>
    <m/>
    <s v=" "/>
    <s v=" "/>
    <s v=" "/>
    <m/>
    <s v=" "/>
  </r>
  <r>
    <m/>
    <s v="DOJ"/>
    <s v="Federal"/>
    <s v="Fee Simple"/>
    <s v="601 D St NW"/>
    <s v="Washington"/>
    <s v="DC"/>
    <n v="1.23"/>
    <s v="1973 | 1997"/>
    <n v="520180"/>
    <n v="520180"/>
    <n v="1"/>
    <m/>
    <s v=" "/>
    <m/>
    <s v=" "/>
    <m/>
    <m/>
    <m/>
    <s v=" "/>
    <s v=" "/>
    <s v="Modified Gross"/>
    <m/>
    <m/>
    <n v="162775000"/>
    <n v="312.9205275097082"/>
    <s v=" "/>
    <m/>
    <d v="2019-06-24T00:00:00"/>
    <x v="808"/>
    <s v="TW"/>
    <x v="569"/>
    <s v="NY"/>
    <s v="Institutional"/>
    <m/>
    <m/>
    <m/>
    <s v=" "/>
    <s v=" "/>
    <m/>
    <s v=" "/>
    <s v=" "/>
    <s v=" "/>
    <m/>
    <s v=" "/>
  </r>
  <r>
    <m/>
    <s v="DFPS"/>
    <s v="State"/>
    <s v="Fee Simple"/>
    <s v="4201 Greenwood Dr"/>
    <s v="Corpus Christi"/>
    <s v="TX"/>
    <n v="4.27"/>
    <n v="1995"/>
    <n v="51307"/>
    <n v="51307"/>
    <n v="1"/>
    <n v="734388"/>
    <n v="14.31360243241663"/>
    <n v="380000"/>
    <n v="7.406396787962656"/>
    <d v="2010-03-01T00:00:00"/>
    <d v="2020-02-29T00:00:00"/>
    <d v="2020-02-29T00:00:00"/>
    <n v="0.6931506849315069"/>
    <n v="0.6931506849315069"/>
    <s v="Full Service"/>
    <s v="Annual 50% of CPI"/>
    <s v="None"/>
    <n v="4000000"/>
    <n v="77.96207145223849"/>
    <n v="0.095"/>
    <m/>
    <d v="2019-06-21T00:00:00"/>
    <x v="809"/>
    <s v="SJC; Corriston"/>
    <x v="62"/>
    <s v="IL"/>
    <s v="Private"/>
    <m/>
    <m/>
    <n v="4259922"/>
    <n v="0.08920351123799919"/>
    <n v="0.9389843288210441"/>
    <n v="4259922"/>
    <n v="0.08920351123799919"/>
    <n v="0.005796488762000812"/>
    <s v="No"/>
    <d v="2018-10-23T00:00:00"/>
    <n v="241"/>
  </r>
  <r>
    <s v="LCA03341"/>
    <s v="FAA"/>
    <s v="Federal"/>
    <s v="Fee Simple"/>
    <s v="777 S Aviation Blvd"/>
    <s v="El Segundo"/>
    <s v="CA"/>
    <n v="12.86"/>
    <n v="1968"/>
    <n v="154000"/>
    <n v="381182"/>
    <n v="0.4040064850911113"/>
    <m/>
    <s v=" "/>
    <n v="5950000"/>
    <n v="15.6093414694293"/>
    <d v="2018-07-10T00:00:00"/>
    <d v="2033-07-09T00:00:00"/>
    <d v="2033-07-09T00:00:00"/>
    <n v="14.06027397260274"/>
    <n v="14.06027397260274"/>
    <s v="Modified Gross"/>
    <m/>
    <m/>
    <n v="170000000"/>
    <n v="445.9811848408372"/>
    <n v="0.035"/>
    <m/>
    <d v="2019-06-21T00:00:00"/>
    <x v="810"/>
    <m/>
    <x v="570"/>
    <s v="CA"/>
    <s v="Private"/>
    <m/>
    <m/>
    <m/>
    <s v=" "/>
    <s v=" "/>
    <m/>
    <s v=" "/>
    <s v=" "/>
    <s v=" "/>
    <m/>
    <s v=" "/>
  </r>
  <r>
    <s v="LMT00161"/>
    <s v="NWS/NOAA"/>
    <s v="Federal"/>
    <s v="Fee Simple"/>
    <s v="2170 Overland Ave"/>
    <s v="Billings"/>
    <s v="MT"/>
    <n v="0.93"/>
    <n v="1995"/>
    <n v="5525"/>
    <n v="5525"/>
    <n v="1"/>
    <n v="116208"/>
    <n v="21.0331221719457"/>
    <n v="116207"/>
    <n v="21.03294117647059"/>
    <d v="2013-10-01T00:00:00"/>
    <d v="2033-09-30T00:00:00"/>
    <d v="2028-09-30T00:00:00"/>
    <n v="14.29041095890411"/>
    <n v="9.287671232876713"/>
    <s v="Modified Gross"/>
    <s v="None"/>
    <s v="None"/>
    <n v="1800000"/>
    <n v="325.7918552036199"/>
    <n v="0.06455944444444445"/>
    <m/>
    <d v="2019-06-20T00:00:00"/>
    <x v="811"/>
    <s v="David Goodridge"/>
    <x v="571"/>
    <s v="CA"/>
    <s v="Private"/>
    <s v="BW; Wells"/>
    <m/>
    <n v="2460000"/>
    <n v="0.04723861788617886"/>
    <n v="0.7317073170731707"/>
    <n v="2200000"/>
    <n v="0.05282136363636364"/>
    <n v="0.01173808080808081"/>
    <s v="Yes"/>
    <d v="2018-12-04T00:00:00"/>
    <n v="198"/>
  </r>
  <r>
    <m/>
    <s v="DCF"/>
    <s v="State"/>
    <s v="Fee Simple"/>
    <s v="2820 SW Fairlawn Rd"/>
    <s v="Topeka"/>
    <s v="KS"/>
    <n v="5.36"/>
    <n v="1996"/>
    <n v="40000"/>
    <n v="50000"/>
    <n v="0.8"/>
    <m/>
    <s v=" "/>
    <n v="662000"/>
    <n v="13.24"/>
    <d v="2018-03-01T00:00:00"/>
    <d v="2033-02-28T00:00:00"/>
    <m/>
    <n v="13.70684931506849"/>
    <s v=" "/>
    <s v="Full Service"/>
    <s v="None"/>
    <s v="None"/>
    <n v="8500000"/>
    <n v="170"/>
    <n v="0.07788235294117647"/>
    <m/>
    <d v="2019-06-19T00:00:00"/>
    <x v="812"/>
    <s v="ACB; Peterson"/>
    <x v="1"/>
    <s v="IL"/>
    <s v="Private"/>
    <m/>
    <m/>
    <n v="8900000"/>
    <n v="0.07438202247191011"/>
    <n v="0.9550561797752809"/>
    <n v="8900000"/>
    <n v="0.07438202247191011"/>
    <n v="0.003500330469266358"/>
    <s v="No"/>
    <d v="2017-09-19T00:00:00"/>
    <n v="638"/>
  </r>
  <r>
    <s v="LCA03440"/>
    <s v="Multi"/>
    <s v="Federal"/>
    <s v="Fee Simple"/>
    <s v="4643 Qual Lakes Dr"/>
    <s v="Stockton"/>
    <s v="CA"/>
    <n v="1.82"/>
    <n v="1985"/>
    <n v="12015"/>
    <n v="24077"/>
    <n v="0.4990239647796653"/>
    <n v="326017.2"/>
    <n v="27.1341822721598"/>
    <n v="392080"/>
    <n v="16.28442081654691"/>
    <d v="2016-04-20T00:00:00"/>
    <d v="2026-04-19T00:00:00"/>
    <d v="2021-04-20T00:00:00"/>
    <n v="6.843835616438356"/>
    <n v="1.843835616438356"/>
    <s v="Modified Gross"/>
    <m/>
    <m/>
    <n v="5195500"/>
    <n v="215.7868505212443"/>
    <n v="0.07546530651525359"/>
    <m/>
    <d v="2019-06-17T00:00:00"/>
    <x v="813"/>
    <s v="CBRE; Getz"/>
    <x v="572"/>
    <s v="CA"/>
    <s v="Private"/>
    <m/>
    <m/>
    <n v="5575000"/>
    <n v="0.07032825112107623"/>
    <n v="0.9319282511210762"/>
    <n v="5575000"/>
    <n v="0.07032825112107623"/>
    <n v="0.005137055394177359"/>
    <s v="No"/>
    <d v="2018-09-03T00:00:00"/>
    <n v="287"/>
  </r>
  <r>
    <s v="LCA03146"/>
    <s v="ATF"/>
    <s v="Federal"/>
    <s v="Fee Simple"/>
    <s v="5601 Arnold Rd"/>
    <s v="Dublin"/>
    <s v="CA"/>
    <n v="11.47"/>
    <n v="2000"/>
    <n v="31250"/>
    <n v="120199"/>
    <n v="0.2599855240060234"/>
    <n v="1009981.62"/>
    <n v="32.31941184"/>
    <n v="2342250"/>
    <n v="19.48643499529946"/>
    <d v="2014-01-01T00:00:00"/>
    <d v="2023-12-31T00:00:00"/>
    <d v="2019-01-01T00:00:00"/>
    <n v="4.550684931506849"/>
    <n v="-0.4493150684931507"/>
    <s v="Modified Gross"/>
    <s v="None"/>
    <s v="None"/>
    <m/>
    <s v=" "/>
    <s v=" "/>
    <m/>
    <d v="2019-06-14T00:00:00"/>
    <x v="8"/>
    <m/>
    <x v="573"/>
    <s v="CA"/>
    <s v="Private"/>
    <m/>
    <m/>
    <m/>
    <s v=" "/>
    <s v=" "/>
    <m/>
    <s v=" "/>
    <s v=" "/>
    <s v=" "/>
    <m/>
    <s v=" "/>
  </r>
  <r>
    <m/>
    <s v="Multi"/>
    <s v="State"/>
    <s v="Fee Simple"/>
    <s v="2 MacArthur Pl"/>
    <s v="Santa Ana"/>
    <s v="CA"/>
    <n v="2.83"/>
    <n v="2001"/>
    <n v="167512"/>
    <n v="208142"/>
    <n v="0.804796725312527"/>
    <m/>
    <s v=" "/>
    <n v="4917363"/>
    <n v="23.62503963640207"/>
    <m/>
    <d v="2039-05-31T00:00:00"/>
    <d v="2039-05-31T00:00:00"/>
    <n v="19.97534246575342"/>
    <n v="19.97534246575342"/>
    <s v="Full Service"/>
    <m/>
    <m/>
    <n v="83000000"/>
    <n v="398.7662269027875"/>
    <n v="0.05924533734939759"/>
    <m/>
    <d v="2019-06-14T00:00:00"/>
    <x v="814"/>
    <s v="JLL; Landry"/>
    <x v="574"/>
    <s v="CA"/>
    <s v="Private"/>
    <m/>
    <m/>
    <m/>
    <s v=" "/>
    <s v=" "/>
    <m/>
    <s v=" "/>
    <s v=" "/>
    <s v=" "/>
    <m/>
    <s v=" "/>
  </r>
  <r>
    <s v="LCA00208"/>
    <s v="VA"/>
    <s v="Federal"/>
    <s v="Fee Simple"/>
    <s v="3046 Prospect Park Dr"/>
    <s v="Rancho Cordova"/>
    <s v="CA"/>
    <n v="2.73"/>
    <n v="1986"/>
    <n v="20899"/>
    <n v="39240"/>
    <n v="0.5325942915392456"/>
    <n v="504706.18"/>
    <n v="24.14977654433227"/>
    <n v="461969.9999999999"/>
    <n v="11.77293577981651"/>
    <d v="2018-10-01T00:00:00"/>
    <d v="2028-09-30T00:00:00"/>
    <d v="2023-10-01T00:00:00"/>
    <n v="9.306849315068494"/>
    <n v="4.304109589041096"/>
    <s v="Modified Gross"/>
    <s v="None"/>
    <s v="None"/>
    <n v="5900000"/>
    <n v="150.3567787971458"/>
    <n v="0.07829999999999999"/>
    <m/>
    <d v="2019-06-13T00:00:00"/>
    <x v="815"/>
    <s v="Newmark; Partington"/>
    <x v="575"/>
    <s v="CA"/>
    <s v="Private"/>
    <m/>
    <m/>
    <n v="6750000"/>
    <n v="0.06843999999999999"/>
    <n v="0.8740740740740741"/>
    <n v="6750000"/>
    <n v="0.06843999999999999"/>
    <n v="0.009860000000000008"/>
    <s v="No"/>
    <d v="2019-02-05T00:00:00"/>
    <n v="128"/>
  </r>
  <r>
    <m/>
    <s v="BLM"/>
    <s v="Federal"/>
    <s v="Fee Simple"/>
    <s v="1425 Fort"/>
    <s v="Buffalo"/>
    <s v="WY"/>
    <m/>
    <n v="1997"/>
    <n v="20647"/>
    <n v="20647"/>
    <n v="1"/>
    <m/>
    <s v=" "/>
    <m/>
    <s v=" "/>
    <d v="2003-06-01T00:00:00"/>
    <d v="2023-05-31T00:00:00"/>
    <d v="2018-05-31T00:00:00"/>
    <n v="3.96986301369863"/>
    <n v="-1.032876712328767"/>
    <s v="Modified Gross"/>
    <s v="None"/>
    <s v="None"/>
    <m/>
    <s v=" "/>
    <s v=" "/>
    <m/>
    <d v="2019-06-12T00:00:00"/>
    <x v="816"/>
    <m/>
    <x v="576"/>
    <s v="WY"/>
    <s v="Private"/>
    <s v="BW; Wells"/>
    <m/>
    <m/>
    <s v=" "/>
    <s v=" "/>
    <m/>
    <s v=" "/>
    <s v=" "/>
    <s v=" "/>
    <m/>
    <s v=" "/>
  </r>
  <r>
    <m/>
    <m/>
    <s v="State"/>
    <s v="Fee Simple"/>
    <s v="3525-3565 Trelstad Ave SE"/>
    <s v="Salem"/>
    <s v="OR"/>
    <m/>
    <n v="2016"/>
    <m/>
    <n v="118753"/>
    <s v=" "/>
    <m/>
    <s v=" "/>
    <n v="2671956"/>
    <n v="22.50011368133858"/>
    <m/>
    <m/>
    <m/>
    <s v=" "/>
    <s v=" "/>
    <m/>
    <m/>
    <m/>
    <n v="44100000"/>
    <n v="371.3590393505849"/>
    <n v="0.06058857142857143"/>
    <m/>
    <d v="2019-06-11T00:00:00"/>
    <x v="817"/>
    <s v="NAI; Sandahl"/>
    <x v="577"/>
    <s v="OR"/>
    <s v="Private"/>
    <s v="NAI; Sandahl"/>
    <m/>
    <m/>
    <s v=" "/>
    <s v=" "/>
    <m/>
    <s v=" "/>
    <s v=" "/>
    <s v=" "/>
    <m/>
    <s v=" "/>
  </r>
  <r>
    <m/>
    <s v="University of California"/>
    <s v="State"/>
    <s v="Fee Simple"/>
    <s v="415 20th St"/>
    <s v="Oakland"/>
    <s v="CA"/>
    <n v="1.03"/>
    <n v="1965"/>
    <n v="82893"/>
    <n v="82893"/>
    <n v="1"/>
    <m/>
    <s v=" "/>
    <m/>
    <s v=" "/>
    <m/>
    <d v="2020-12-31T00:00:00"/>
    <d v="2020-12-31T00:00:00"/>
    <n v="1.561643835616438"/>
    <n v="1.561643835616438"/>
    <m/>
    <m/>
    <m/>
    <n v="36000000"/>
    <n v="434.2948137960986"/>
    <s v=" "/>
    <m/>
    <d v="2019-06-10T00:00:00"/>
    <x v="818"/>
    <s v="C&amp;W; Siegel"/>
    <x v="578"/>
    <s v="CA"/>
    <s v="Institutional"/>
    <m/>
    <m/>
    <m/>
    <s v=" "/>
    <s v=" "/>
    <m/>
    <s v=" "/>
    <s v=" "/>
    <s v=" "/>
    <d v="2018-11-28T00:00:00"/>
    <n v="194"/>
  </r>
  <r>
    <m/>
    <s v="NYSEG"/>
    <s v="State"/>
    <s v="Fee Simple"/>
    <s v="4125 State Route 22"/>
    <s v="Plattsburgh"/>
    <s v="NY"/>
    <n v="27.5"/>
    <n v="1980"/>
    <n v="73772"/>
    <n v="73772"/>
    <n v="1"/>
    <m/>
    <s v=" "/>
    <n v="319805"/>
    <n v="4.335045816841077"/>
    <d v="2014-06-05T00:00:00"/>
    <d v="2030-12-05T00:00:00"/>
    <d v="2030-12-05T00:00:00"/>
    <n v="11.4958904109589"/>
    <n v="11.4958904109589"/>
    <s v="NNN"/>
    <s v="Every 5"/>
    <s v="1, 5 year"/>
    <n v="4668686"/>
    <n v="63.28533861085506"/>
    <n v="0.06850000192773727"/>
    <m/>
    <d v="2019-06-10T00:00:00"/>
    <x v="223"/>
    <s v="GEM; Musinsky"/>
    <x v="579"/>
    <s v="NY"/>
    <s v="REIT"/>
    <s v="Kase"/>
    <m/>
    <n v="5025000"/>
    <n v="0.06364278606965174"/>
    <n v="0.9290917412935323"/>
    <m/>
    <s v=" "/>
    <s v=" "/>
    <s v=" "/>
    <m/>
    <s v=" "/>
  </r>
  <r>
    <m/>
    <s v="Multi"/>
    <s v="State"/>
    <s v="Fee Simple"/>
    <s v="Portfolio of Two"/>
    <s v="Austin"/>
    <s v="TX"/>
    <n v="4.7704"/>
    <n v="1999"/>
    <n v="105760"/>
    <n v="105760"/>
    <n v="1"/>
    <m/>
    <s v=" "/>
    <m/>
    <s v=" "/>
    <m/>
    <m/>
    <m/>
    <s v=" "/>
    <s v=" "/>
    <m/>
    <m/>
    <m/>
    <n v="14500000"/>
    <n v="137.1028744326778"/>
    <s v=" "/>
    <m/>
    <d v="2019-06-04T00:00:00"/>
    <x v="819"/>
    <s v="Direct"/>
    <x v="1"/>
    <s v="IL"/>
    <s v="Private"/>
    <m/>
    <m/>
    <m/>
    <s v=" "/>
    <s v=" "/>
    <m/>
    <s v=" "/>
    <s v=" "/>
    <s v=" "/>
    <m/>
    <s v=" "/>
  </r>
  <r>
    <m/>
    <s v="SSA"/>
    <s v="Federal"/>
    <s v="Fee Simple"/>
    <s v="252 Venture Pl"/>
    <s v="Lancaster"/>
    <s v="OH"/>
    <n v="1.7"/>
    <n v="2008"/>
    <n v="7331"/>
    <n v="7331"/>
    <n v="1"/>
    <n v="260914.57"/>
    <n v="35.59058382212523"/>
    <n v="189111"/>
    <n v="25.79607147728823"/>
    <d v="2008-10-01T00:00:00"/>
    <d v="2023-09-30T00:00:00"/>
    <d v="2022-10-01T00:00:00"/>
    <n v="4.326027397260274"/>
    <n v="3.328767123287671"/>
    <s v="Modified Gross"/>
    <s v="None"/>
    <s v="None"/>
    <n v="1737700"/>
    <n v="237.0345109807666"/>
    <n v="0.1088283363066122"/>
    <m/>
    <d v="2019-06-04T00:00:00"/>
    <x v="2"/>
    <s v="WD Schorsch"/>
    <x v="46"/>
    <s v="OK"/>
    <s v="Private"/>
    <s v="M&amp;M; Ficke"/>
    <m/>
    <m/>
    <s v=" "/>
    <s v=" "/>
    <m/>
    <s v=" "/>
    <s v=" "/>
    <s v=" "/>
    <m/>
    <s v=" "/>
  </r>
  <r>
    <s v="LFL50031"/>
    <s v="ICE"/>
    <s v="Federal"/>
    <s v="Fee Simple"/>
    <s v="1530 Commonwealth Business Dr"/>
    <s v="Tallahassee"/>
    <s v="FL"/>
    <n v="4.38"/>
    <n v="2012"/>
    <n v="24060"/>
    <n v="24060"/>
    <n v="1"/>
    <n v="996365.54"/>
    <n v="41.41170157938488"/>
    <n v="681273"/>
    <n v="28.31558603491272"/>
    <d v="2012-04-12T00:00:00"/>
    <d v="2027-04-11T00:00:00"/>
    <d v="2022-04-12T00:00:00"/>
    <n v="7.857534246575343"/>
    <n v="2.857534246575343"/>
    <s v="Modified Gross"/>
    <s v="None"/>
    <s v="None"/>
    <n v="9215600"/>
    <n v="383.0257689110557"/>
    <n v="0.07392606015886106"/>
    <m/>
    <d v="2019-06-04T00:00:00"/>
    <x v="2"/>
    <s v="WD Schorsh"/>
    <x v="46"/>
    <s v="OK"/>
    <s v="Private"/>
    <s v="M&amp;M; Ficke"/>
    <m/>
    <m/>
    <s v=" "/>
    <s v=" "/>
    <m/>
    <s v=" "/>
    <s v=" "/>
    <s v=" "/>
    <m/>
    <s v=" "/>
  </r>
  <r>
    <m/>
    <s v="AG"/>
    <s v="Federal"/>
    <s v="Fee Simple"/>
    <s v="138 Delaware Ave"/>
    <s v="Buffalo"/>
    <s v="NY"/>
    <n v="0.55"/>
    <n v="1994"/>
    <n v="71796"/>
    <n v="121711"/>
    <n v="0.5898891636746062"/>
    <m/>
    <s v=" "/>
    <m/>
    <s v=" "/>
    <d v="2019-02-01T00:00:00"/>
    <d v="2029-01-31T00:00:00"/>
    <d v="2024-01-31T00:00:00"/>
    <n v="9.671232876712329"/>
    <n v="4.665753424657535"/>
    <s v="Modified Gross"/>
    <s v="None"/>
    <s v="None"/>
    <n v="16900000"/>
    <n v="138.8535136511901"/>
    <s v=" "/>
    <m/>
    <d v="2019-06-03T00:00:00"/>
    <x v="247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7262 Meade St"/>
    <s v="Westminster"/>
    <s v="CO"/>
    <n v="0.41"/>
    <n v="1960"/>
    <n v="9134"/>
    <n v="9134"/>
    <n v="1"/>
    <n v="98191"/>
    <n v="10.75005474052989"/>
    <n v="89460"/>
    <n v="9.794175607619882"/>
    <m/>
    <d v="2025-02-14T00:00:00"/>
    <d v="2020-02-14T00:00:00"/>
    <n v="5.706849315068493"/>
    <n v="0.7013698630136986"/>
    <s v="NNN"/>
    <m/>
    <m/>
    <n v="1400000"/>
    <n v="153.2734836873221"/>
    <n v="0.0639"/>
    <m/>
    <d v="2019-06-03T00:00:00"/>
    <x v="8"/>
    <s v="Adam Riddle"/>
    <x v="580"/>
    <s v="CO"/>
    <s v="Private"/>
    <m/>
    <m/>
    <n v="1450000"/>
    <n v="0.06169655172413793"/>
    <n v="0.9655172413793104"/>
    <n v="1450000"/>
    <n v="0.06169655172413793"/>
    <n v="0.002203448275862066"/>
    <s v="No"/>
    <d v="2019-01-16T00:00:00"/>
    <n v="138"/>
  </r>
  <r>
    <m/>
    <s v="Multi"/>
    <s v="State"/>
    <s v="Fee Simple"/>
    <s v="4601 S 1st St"/>
    <s v="Abilene"/>
    <s v="TX"/>
    <n v="8.380000000000001"/>
    <n v="1959"/>
    <n v="89545"/>
    <n v="89545"/>
    <n v="1"/>
    <m/>
    <s v=" "/>
    <n v="407420"/>
    <n v="4.54989111619856"/>
    <m/>
    <d v="2030-01-31T00:00:00"/>
    <d v="2030-01-31T00:00:00"/>
    <n v="10.67945205479452"/>
    <n v="10.67945205479452"/>
    <m/>
    <m/>
    <m/>
    <n v="6268000"/>
    <n v="69.99832486459322"/>
    <n v="0.065"/>
    <m/>
    <d v="2019-05-31T00:00:00"/>
    <x v="820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216 Lee St"/>
    <s v="Jefferson"/>
    <s v="GA"/>
    <n v="1"/>
    <n v="1969"/>
    <n v="5794"/>
    <n v="5794"/>
    <n v="1"/>
    <n v="104292"/>
    <n v="18"/>
    <n v="99395"/>
    <n v="17.15481532619952"/>
    <d v="2019-09-01T00:00:00"/>
    <d v="2024-08-31T00:00:00"/>
    <d v="2019-10-31T00:00:00"/>
    <n v="5.257534246575342"/>
    <n v="0.4191780821917808"/>
    <s v="Rider"/>
    <s v="Options"/>
    <s v="2, 5 year"/>
    <n v="1210000"/>
    <n v="208.8367276492924"/>
    <n v="0.08214462809917356"/>
    <m/>
    <d v="2019-05-31T00:00:00"/>
    <x v="821"/>
    <s v="Drew Isaac"/>
    <x v="421"/>
    <s v="WI"/>
    <s v="Private"/>
    <m/>
    <m/>
    <n v="1242000"/>
    <n v="0.08002818035426731"/>
    <n v="0.9742351046698873"/>
    <n v="1242000"/>
    <n v="0.08002818035426731"/>
    <n v="0.002116447744906241"/>
    <s v="No"/>
    <d v="2018-11-29T00:00:00"/>
    <n v="183"/>
  </r>
  <r>
    <m/>
    <s v="BLM"/>
    <s v="Federal"/>
    <s v="Fee Simple"/>
    <s v="430 North US Hwy 189"/>
    <s v="Kemmerer"/>
    <s v="WY"/>
    <n v="5.19"/>
    <n v="2013"/>
    <n v="9537"/>
    <n v="13087"/>
    <n v="0.7287384427294261"/>
    <n v="204779.84"/>
    <n v="21.47214428017196"/>
    <n v="156415"/>
    <n v="11.95193703675403"/>
    <d v="2014-08-26T00:00:00"/>
    <d v="2034-08-25T00:00:00"/>
    <d v="2029-08-25T00:00:00"/>
    <n v="15.24931506849315"/>
    <n v="10.24657534246575"/>
    <s v="Modified Gross"/>
    <s v="None"/>
    <s v="None"/>
    <n v="2050000"/>
    <n v="156.6439978604722"/>
    <n v="0.07630000000000001"/>
    <m/>
    <d v="2019-05-30T00:00:00"/>
    <x v="822"/>
    <s v="M&amp;M; O'Brien"/>
    <x v="421"/>
    <s v="WI"/>
    <s v="Private"/>
    <m/>
    <m/>
    <n v="2295000"/>
    <n v="0.06815468409586056"/>
    <n v="0.8932461873638344"/>
    <n v="2295000"/>
    <n v="0.06815468409586056"/>
    <n v="0.008145315904139444"/>
    <s v="No"/>
    <d v="2018-06-05T00:00:00"/>
    <n v="359"/>
  </r>
  <r>
    <m/>
    <s v="SSA/IRS"/>
    <s v="Federal"/>
    <s v="Fee Simple"/>
    <s v="3971 Research Park Dr"/>
    <s v="Ann Arbor"/>
    <s v="MI"/>
    <n v="4.5"/>
    <n v="2006"/>
    <n v="19852"/>
    <n v="19852"/>
    <n v="1"/>
    <n v="675685"/>
    <n v="34.03611726778158"/>
    <n v="475597"/>
    <n v="23.95713278259117"/>
    <d v="2020-07-01T00:00:00"/>
    <d v="2032-06-30T00:00:00"/>
    <d v="2028-06-30T00:00:00"/>
    <n v="13.0986301369863"/>
    <n v="9.095890410958905"/>
    <s v="Modified Gross"/>
    <s v="$21k TI Burnoff"/>
    <s v="None"/>
    <n v="5571182"/>
    <n v="280.6358049566794"/>
    <n v="0.085367342154681"/>
    <m/>
    <d v="2019-05-29T00:00:00"/>
    <x v="2"/>
    <s v="WD Schorsch"/>
    <x v="46"/>
    <s v="OK"/>
    <s v="Private"/>
    <s v="M&amp;M; Ficke"/>
    <m/>
    <m/>
    <s v=" "/>
    <s v=" "/>
    <m/>
    <s v=" "/>
    <s v=" "/>
    <s v=" "/>
    <m/>
    <s v=" "/>
  </r>
  <r>
    <s v="LOH17954"/>
    <s v="SSA"/>
    <s v="Federal"/>
    <s v="Fee Simple"/>
    <s v="7517 Lorain Ave"/>
    <s v="Cleveland"/>
    <s v="OH"/>
    <n v="1.618"/>
    <n v="2009"/>
    <n v="10893"/>
    <n v="10893"/>
    <n v="1"/>
    <n v="474970.37"/>
    <n v="43.60326539979803"/>
    <n v="373120.82"/>
    <n v="34.25326539979804"/>
    <d v="2009-12-23T00:00:00"/>
    <d v="2025-12-22T00:00:00"/>
    <d v="2023-12-23T00:00:00"/>
    <n v="6.572602739726028"/>
    <n v="4.572602739726028"/>
    <s v="Modified Gross"/>
    <s v="None"/>
    <s v="None"/>
    <n v="3510977"/>
    <n v="322.314972918388"/>
    <n v="0.106272647186239"/>
    <m/>
    <d v="2019-05-29T00:00:00"/>
    <x v="2"/>
    <s v="M&amp;M; Ficke"/>
    <x v="46"/>
    <s v="OK"/>
    <s v="Private"/>
    <s v="M&amp;M; Ficke"/>
    <m/>
    <m/>
    <s v=" "/>
    <s v=" "/>
    <m/>
    <s v=" "/>
    <s v=" "/>
    <s v=" "/>
    <m/>
    <s v=" "/>
  </r>
  <r>
    <m/>
    <s v="AOC"/>
    <s v="Federal"/>
    <s v="Fee Simple"/>
    <s v="226 W 2nd St"/>
    <s v="Flint"/>
    <s v="MI"/>
    <n v="0.5600000000000001"/>
    <n v="1954"/>
    <n v="15168"/>
    <n v="15168"/>
    <n v="1"/>
    <n v="494997.98"/>
    <n v="32.63436049578059"/>
    <m/>
    <s v=" "/>
    <d v="2016-08-15T00:00:00"/>
    <d v="2026-08-14T00:00:00"/>
    <d v="2021-08-14T00:00:00"/>
    <n v="7.216438356164383"/>
    <n v="2.213698630136986"/>
    <s v="Modified Gross"/>
    <s v="None"/>
    <s v="None"/>
    <n v="4082867"/>
    <n v="269.1763581223628"/>
    <s v=" "/>
    <m/>
    <d v="2019-05-29T00:00:00"/>
    <x v="2"/>
    <s v="WD Schorsch"/>
    <x v="46"/>
    <s v="OK"/>
    <s v="Private"/>
    <s v="M&amp;M; Ficke"/>
    <m/>
    <m/>
    <s v=" "/>
    <s v=" "/>
    <m/>
    <s v=" "/>
    <s v=" "/>
    <s v=" "/>
    <m/>
    <s v=" "/>
  </r>
  <r>
    <m/>
    <s v="SSA/OHO"/>
    <s v="Federal"/>
    <s v="Fee Simple"/>
    <s v="300 W 2nd St"/>
    <s v="Flint"/>
    <s v="MI"/>
    <n v="1.07"/>
    <m/>
    <n v="13886"/>
    <n v="13886"/>
    <n v="1"/>
    <n v="502189.05"/>
    <n v="36.16513394786116"/>
    <m/>
    <s v=" "/>
    <d v="2000-06-23T00:00:00"/>
    <d v="2023-06-22T00:00:00"/>
    <d v="2023-06-22T00:00:00"/>
    <n v="4.068493150684931"/>
    <n v="4.068493150684931"/>
    <s v="Modified Gross"/>
    <s v="None"/>
    <s v="None"/>
    <n v="3409200"/>
    <n v="245.5134668010946"/>
    <s v=" "/>
    <m/>
    <d v="2019-05-29T00:00:00"/>
    <x v="2"/>
    <m/>
    <x v="46"/>
    <s v="OK"/>
    <s v="Private"/>
    <s v="M&amp;M; Ficke"/>
    <m/>
    <m/>
    <s v=" "/>
    <s v=" "/>
    <m/>
    <s v=" "/>
    <s v=" "/>
    <s v=" "/>
    <m/>
    <s v=" "/>
  </r>
  <r>
    <s v="LMI17299"/>
    <s v="SSA"/>
    <s v="Federal"/>
    <s v="Fee Simple"/>
    <s v="2620 Krafft Rd"/>
    <s v="Fort Gratiot/Port Huron"/>
    <s v="MI"/>
    <n v="1.99"/>
    <n v="2006"/>
    <n v="11889"/>
    <n v="11889"/>
    <n v="1"/>
    <n v="476644.05"/>
    <n v="40.09118092354277"/>
    <n v="325090"/>
    <n v="27.34376314240054"/>
    <d v="2007-12-07T00:00:00"/>
    <d v="2023-12-06T00:00:00"/>
    <d v="2023-12-06T00:00:00"/>
    <n v="4.526027397260274"/>
    <n v="4.526027397260274"/>
    <s v="Modified Gross"/>
    <s v="None"/>
    <s v="None"/>
    <n v="3482137"/>
    <n v="292.8872907729834"/>
    <n v="0.09335933652237118"/>
    <m/>
    <d v="2019-05-29T00:00:00"/>
    <x v="2"/>
    <s v="WD Schorsch"/>
    <x v="46"/>
    <s v="OK"/>
    <s v="Private"/>
    <s v="M&amp;M; Ficke"/>
    <m/>
    <m/>
    <s v=" "/>
    <s v=" "/>
    <m/>
    <s v=" "/>
    <s v=" "/>
    <s v=" "/>
    <m/>
    <s v=" "/>
  </r>
  <r>
    <m/>
    <s v="DOL"/>
    <s v="State"/>
    <s v="Fee Simple"/>
    <s v="465 Big Shanty Rd"/>
    <s v="Marietta"/>
    <s v="GA"/>
    <n v="3.7982"/>
    <n v="1995"/>
    <n v="27708"/>
    <n v="27708"/>
    <n v="1"/>
    <m/>
    <s v=" "/>
    <n v="522450"/>
    <n v="18.85556517973149"/>
    <m/>
    <d v="2026-07-31T00:00:00"/>
    <d v="2020-07-31T00:00:00"/>
    <n v="7.178082191780822"/>
    <n v="1.175342465753425"/>
    <s v="Modified Gross"/>
    <s v="2% annually"/>
    <s v="None"/>
    <n v="6450000"/>
    <n v="232.784755305327"/>
    <n v="0.081"/>
    <m/>
    <d v="2019-05-29T00:00:00"/>
    <x v="823"/>
    <s v="Direct"/>
    <x v="62"/>
    <s v="IL"/>
    <s v="Private"/>
    <m/>
    <m/>
    <m/>
    <s v=" "/>
    <s v=" "/>
    <m/>
    <s v=" "/>
    <s v=" "/>
    <s v=" "/>
    <m/>
    <s v=" "/>
  </r>
  <r>
    <s v="LMI18430"/>
    <s v="DHS"/>
    <s v="Federal"/>
    <s v="Fee Simple"/>
    <s v="933 Lapeer Ave"/>
    <s v="Port Huron"/>
    <s v="MI"/>
    <n v="1.22"/>
    <n v="1981"/>
    <n v="5314"/>
    <n v="8976"/>
    <n v="0.5920231729055259"/>
    <n v="203229.63"/>
    <n v="38.24419081671058"/>
    <n v="118316.67"/>
    <n v="13.18144719251337"/>
    <d v="2013-11-06T00:00:00"/>
    <d v="2023-11-05T00:00:00"/>
    <d v="2023-11-05T00:00:00"/>
    <n v="4.441095890410959"/>
    <n v="4.441095890410959"/>
    <s v="Modified Gross"/>
    <s v="None"/>
    <s v="None"/>
    <n v="1313532"/>
    <n v="146.3382352941177"/>
    <n v="0.09007520943532399"/>
    <m/>
    <d v="2019-05-29T00:00:00"/>
    <x v="2"/>
    <m/>
    <x v="46"/>
    <s v="OK"/>
    <s v="Private"/>
    <s v="M&amp;M; Ficke"/>
    <m/>
    <m/>
    <s v=" "/>
    <s v=" "/>
    <m/>
    <s v=" "/>
    <s v=" "/>
    <s v=" "/>
    <m/>
    <s v=" "/>
  </r>
  <r>
    <m/>
    <s v="SSA"/>
    <s v="Federal"/>
    <s v="Fee Simple"/>
    <s v="15250 E 12 Mile Rd"/>
    <s v="Roseville"/>
    <s v="MI"/>
    <n v="1.75"/>
    <n v="2012"/>
    <n v="11700"/>
    <n v="11700"/>
    <n v="1"/>
    <n v="454253.84"/>
    <n v="38.82511452991453"/>
    <n v="284191"/>
    <n v="24.28982905982906"/>
    <d v="2012-03-08T00:00:00"/>
    <d v="2023-09-07T00:00:00"/>
    <d v="2023-09-07T00:00:00"/>
    <n v="4.279452054794521"/>
    <n v="4.279452054794521"/>
    <s v="Modified Gross"/>
    <s v="None"/>
    <s v="None"/>
    <n v="3114890"/>
    <n v="266.2299145299145"/>
    <n v="0.0912362876377657"/>
    <m/>
    <d v="2019-05-29T00:00:00"/>
    <x v="2"/>
    <s v="WD Schorsh"/>
    <x v="46"/>
    <s v="OK"/>
    <s v="Private"/>
    <s v="M&amp;M; Ficke"/>
    <m/>
    <m/>
    <s v=" "/>
    <s v=" "/>
    <m/>
    <s v=" "/>
    <s v=" "/>
    <s v=" "/>
    <m/>
    <s v=" "/>
  </r>
  <r>
    <m/>
    <s v="SSA"/>
    <s v="Federal"/>
    <s v="Fee Simple"/>
    <s v="2938 Hansen Rd"/>
    <s v="West Branch"/>
    <s v="MI"/>
    <n v="2.1"/>
    <n v="2008"/>
    <n v="6480"/>
    <n v="6480"/>
    <n v="1"/>
    <n v="257244.29"/>
    <n v="39.69819290123457"/>
    <n v="154378"/>
    <n v="23.82376543209876"/>
    <d v="2008-07-21T00:00:00"/>
    <d v="2023-01-20T00:00:00"/>
    <d v="2022-10-21T00:00:00"/>
    <n v="3.649315068493151"/>
    <n v="3.4"/>
    <s v="Modified Gross"/>
    <s v="Drops in Options"/>
    <s v="None"/>
    <n v="1699820"/>
    <n v="262.3179012345679"/>
    <n v="0.09082020449224036"/>
    <m/>
    <d v="2019-05-29T00:00:00"/>
    <x v="2"/>
    <s v="WD Schorsh"/>
    <x v="46"/>
    <s v="OK"/>
    <s v="Private"/>
    <s v="M&amp;M; Ficke"/>
    <m/>
    <m/>
    <s v=" "/>
    <s v=" "/>
    <m/>
    <s v=" "/>
    <s v=" "/>
    <s v=" "/>
    <m/>
    <s v=" "/>
  </r>
  <r>
    <m/>
    <s v="VA/Dental"/>
    <s v="Federal"/>
    <s v="Fee Simple"/>
    <s v="6522 Dogwood View Pkwy"/>
    <s v="Jackson"/>
    <s v="MS"/>
    <n v="1.5"/>
    <n v="2008"/>
    <n v="9351"/>
    <n v="9351"/>
    <n v="1"/>
    <m/>
    <s v=" "/>
    <n v="131940"/>
    <n v="14.10972088546679"/>
    <d v="2008-12-01T00:00:00"/>
    <d v="2028-11-30T00:00:00"/>
    <d v="2028-11-30T00:00:00"/>
    <n v="9.520547945205479"/>
    <n v="9.520547945205479"/>
    <s v="Modified Gross"/>
    <s v="None"/>
    <s v="None"/>
    <n v="1800000"/>
    <n v="192.492781520693"/>
    <n v="0.0733"/>
    <m/>
    <d v="2019-05-27T00:00:00"/>
    <x v="824"/>
    <s v="Direct"/>
    <x v="496"/>
    <s v="MT"/>
    <s v="Private"/>
    <s v="BW; Wells"/>
    <m/>
    <n v="1800000"/>
    <n v="0.0733"/>
    <n v="1"/>
    <n v="1800000"/>
    <n v="0.0733"/>
    <n v="0"/>
    <s v="No"/>
    <m/>
    <s v=" "/>
  </r>
  <r>
    <m/>
    <s v="Dep't of Mental Health"/>
    <s v="State"/>
    <s v="Fee Simple"/>
    <s v="2050 E Hunter St"/>
    <s v="Nevada"/>
    <s v="MO"/>
    <n v="5"/>
    <n v="2014"/>
    <n v="21456"/>
    <n v="21456"/>
    <n v="1"/>
    <n v="369948"/>
    <n v="17.24217002237136"/>
    <n v="308962"/>
    <n v="14.39979492915734"/>
    <m/>
    <d v="2029-10-31T00:00:00"/>
    <m/>
    <n v="10.44657534246575"/>
    <s v=" "/>
    <s v="Full Service"/>
    <s v="None"/>
    <s v="None"/>
    <n v="3750000"/>
    <n v="174.7762863534676"/>
    <n v="0.08238986666666667"/>
    <m/>
    <d v="2019-05-24T00:00:00"/>
    <x v="825"/>
    <s v="SVN; Jacquemin"/>
    <x v="1"/>
    <s v="IL"/>
    <s v="Private"/>
    <s v="M&amp;M"/>
    <s v="LeClair GC"/>
    <n v="4450000"/>
    <n v="0.06942966292134832"/>
    <n v="0.8426966292134831"/>
    <n v="4200000"/>
    <n v="0.07356238095238095"/>
    <n v="0.008827485714285724"/>
    <s v="Yes"/>
    <d v="2017-12-04T00:00:00"/>
    <n v="536"/>
  </r>
  <r>
    <m/>
    <s v="Mental Health"/>
    <s v="State"/>
    <s v="Fee Simple"/>
    <s v="9441 Dielman Rock Island Dr"/>
    <s v="Olivette"/>
    <s v="MO"/>
    <n v="1.55"/>
    <n v="1992"/>
    <n v="21000"/>
    <n v="21000"/>
    <n v="1"/>
    <m/>
    <s v=" "/>
    <n v="228760"/>
    <n v="10.89333333333333"/>
    <d v="2017-11-01T00:00:00"/>
    <d v="2032-10-31T00:00:00"/>
    <m/>
    <n v="13.44931506849315"/>
    <s v=" "/>
    <m/>
    <m/>
    <m/>
    <n v="2800000"/>
    <n v="133.3333333333333"/>
    <n v="0.08169999999999999"/>
    <m/>
    <d v="2019-05-24T00:00:00"/>
    <x v="825"/>
    <s v="SVN; Jacquemin"/>
    <x v="1"/>
    <s v="IL"/>
    <s v="Private"/>
    <s v="M&amp;M"/>
    <m/>
    <m/>
    <s v=" "/>
    <s v=" "/>
    <m/>
    <s v=" "/>
    <s v=" "/>
    <s v=" "/>
    <m/>
    <s v=" "/>
  </r>
  <r>
    <m/>
    <s v="VA"/>
    <s v="Federal"/>
    <s v="Fee Simple"/>
    <s v="8601 University East Dr"/>
    <s v="Charlotte"/>
    <s v="NC"/>
    <n v="9.98"/>
    <n v="2008"/>
    <n v="51932"/>
    <n v="51932"/>
    <n v="1"/>
    <n v="1406576"/>
    <n v="27.0849572517908"/>
    <n v="1144867"/>
    <n v="22.04550181005931"/>
    <d v="2018-08-01T00:00:00"/>
    <d v="2023-07-31T00:00:00"/>
    <d v="2023-07-31T00:00:00"/>
    <n v="4.191780821917808"/>
    <n v="4.191780821917808"/>
    <s v="Modified Gross"/>
    <s v="None"/>
    <s v="None"/>
    <n v="13550000"/>
    <n v="260.9181237002234"/>
    <n v="0.08449202952029521"/>
    <m/>
    <d v="2019-05-23T00:00:00"/>
    <x v="826"/>
    <s v="SJC; Scrivner"/>
    <x v="581"/>
    <s v="NC"/>
    <s v="Private"/>
    <m/>
    <m/>
    <n v="14800000"/>
    <n v="0.07735587837837837"/>
    <n v="0.9155405405405406"/>
    <n v="14800000"/>
    <n v="0.07735587837837837"/>
    <n v="0.007136151141916833"/>
    <s v="No"/>
    <m/>
    <s v=" "/>
  </r>
  <r>
    <m/>
    <m/>
    <s v="State"/>
    <s v="Fee Simple"/>
    <s v="1711 Atchison Ave"/>
    <s v="Marshall"/>
    <s v="MO"/>
    <n v="5"/>
    <n v="2017"/>
    <n v="2669"/>
    <n v="2669"/>
    <n v="1"/>
    <m/>
    <s v=" "/>
    <m/>
    <s v=" "/>
    <m/>
    <m/>
    <m/>
    <s v=" "/>
    <s v=" "/>
    <m/>
    <m/>
    <m/>
    <n v="1450000"/>
    <n v="543.2746346946421"/>
    <s v=" "/>
    <m/>
    <d v="2019-05-23T00:00:00"/>
    <x v="825"/>
    <s v="SVN; Jacquemin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35 Main St"/>
    <s v="Thomaston"/>
    <s v="ME"/>
    <n v="0.45"/>
    <n v="0.45"/>
    <n v="2334"/>
    <n v="2334"/>
    <n v="1"/>
    <m/>
    <s v=" "/>
    <n v="25674"/>
    <n v="11"/>
    <m/>
    <m/>
    <m/>
    <s v=" "/>
    <s v=" "/>
    <m/>
    <m/>
    <m/>
    <n v="337200"/>
    <n v="144.4730077120823"/>
    <n v="0.07613879003558718"/>
    <m/>
    <d v="2019-05-23T00:00:00"/>
    <x v="8"/>
    <m/>
    <x v="0"/>
    <m/>
    <m/>
    <m/>
    <m/>
    <m/>
    <s v=" "/>
    <s v=" "/>
    <m/>
    <s v=" "/>
    <s v=" "/>
    <s v=" "/>
    <m/>
    <s v=" "/>
  </r>
  <r>
    <m/>
    <s v="State"/>
    <s v="State"/>
    <s v="Fee Simple"/>
    <s v="925 Lamar St"/>
    <s v="Wichita Falls"/>
    <s v="TX"/>
    <n v="0.6887"/>
    <n v="1926"/>
    <n v="36180"/>
    <n v="36180"/>
    <n v="1"/>
    <m/>
    <s v=" "/>
    <n v="384250"/>
    <n v="10.62050856826976"/>
    <m/>
    <d v="2026-10-31T00:00:00"/>
    <m/>
    <n v="7.446575342465754"/>
    <s v=" "/>
    <m/>
    <m/>
    <m/>
    <n v="5300000"/>
    <n v="146.489773355445"/>
    <n v="0.0725"/>
    <m/>
    <d v="2019-05-23T00:00:00"/>
    <x v="827"/>
    <s v="M&amp;M; Roti"/>
    <x v="1"/>
    <s v="IL"/>
    <s v="Private"/>
    <m/>
    <m/>
    <m/>
    <s v=" "/>
    <s v=" "/>
    <m/>
    <s v=" "/>
    <s v=" "/>
    <s v=" "/>
    <m/>
    <s v=" "/>
  </r>
  <r>
    <s v="LCA00384"/>
    <s v="FBI"/>
    <s v="Federal"/>
    <s v="Fee Simple"/>
    <s v="4420 Auburn Blvd"/>
    <s v="Sacramento"/>
    <s v="CA"/>
    <n v="1.72"/>
    <n v="2000"/>
    <n v="16175"/>
    <n v="33170"/>
    <n v="0.4876394332227917"/>
    <n v="368790"/>
    <n v="22.8"/>
    <n v="455743"/>
    <n v="13.73961410913476"/>
    <d v="2018-07-30T00:00:00"/>
    <d v="2033-07-29T00:00:00"/>
    <d v="2028-07-29T00:00:00"/>
    <n v="14.1972602739726"/>
    <n v="9.194520547945206"/>
    <s v="Modified Gross"/>
    <m/>
    <m/>
    <n v="6692000"/>
    <n v="201.7485679831173"/>
    <n v="0.06810265989240885"/>
    <m/>
    <d v="2019-05-22T00:00:00"/>
    <x v="828"/>
    <m/>
    <x v="494"/>
    <s v="CA"/>
    <s v="Private"/>
    <m/>
    <m/>
    <m/>
    <s v=" "/>
    <s v=" "/>
    <m/>
    <s v=" "/>
    <s v=" "/>
    <s v=" "/>
    <m/>
    <s v=" "/>
  </r>
  <r>
    <m/>
    <s v="FS"/>
    <s v="Federal"/>
    <s v="Fee Simple"/>
    <s v="215 Melody Ln"/>
    <s v="Wenatchee"/>
    <s v="WA"/>
    <n v="4.95"/>
    <n v="1992"/>
    <n v="39500"/>
    <n v="39500"/>
    <n v="1"/>
    <n v="389842"/>
    <n v="9.869417721518987"/>
    <m/>
    <s v=" "/>
    <m/>
    <d v="2022-06-30T00:00:00"/>
    <d v="2017-06-30T00:00:00"/>
    <n v="3.115068493150685"/>
    <n v="-1.887671232876712"/>
    <s v="Modified Gross"/>
    <s v="None"/>
    <s v="None"/>
    <n v="7500000"/>
    <n v="189.873417721519"/>
    <s v=" "/>
    <m/>
    <d v="2019-05-20T00:00:00"/>
    <x v="829"/>
    <m/>
    <x v="582"/>
    <s v="WA"/>
    <s v="Private"/>
    <m/>
    <m/>
    <m/>
    <s v=" "/>
    <s v=" "/>
    <m/>
    <s v=" "/>
    <s v=" "/>
    <s v=" "/>
    <m/>
    <s v=" "/>
  </r>
  <r>
    <s v="LAR16925"/>
    <s v="SSA"/>
    <s v="Federal"/>
    <s v="Fee Simple"/>
    <s v="2153 E Joyce Blvd"/>
    <s v="Fayetteville"/>
    <s v="AR"/>
    <n v="18"/>
    <n v="2001"/>
    <n v="22873"/>
    <n v="89631"/>
    <n v="0.2551907264227778"/>
    <n v="323971.82"/>
    <n v="14.16394089100686"/>
    <n v="599400"/>
    <n v="6.687418415503565"/>
    <d v="2016-09-27T00:00:00"/>
    <d v="2026-09-26T00:00:00"/>
    <d v="2021-09-26T00:00:00"/>
    <n v="7.367123287671233"/>
    <n v="2.364383561643836"/>
    <s v="Modified Gross"/>
    <s v="None"/>
    <s v="None"/>
    <n v="7400000"/>
    <n v="82.56072117905636"/>
    <n v="0.081"/>
    <m/>
    <d v="2019-05-17T00:00:00"/>
    <x v="830"/>
    <s v="Kelley CP"/>
    <x v="583"/>
    <s v="AR"/>
    <s v="Private"/>
    <m/>
    <m/>
    <m/>
    <s v=" "/>
    <s v=" "/>
    <m/>
    <s v=" "/>
    <s v=" "/>
    <s v=" "/>
    <m/>
    <s v=" "/>
  </r>
  <r>
    <m/>
    <s v="VA"/>
    <s v="Federal"/>
    <s v="Fee Simple"/>
    <s v="1557 Downtown West Blvd"/>
    <s v="Knoxville"/>
    <s v="TN"/>
    <m/>
    <n v="1983"/>
    <n v="8011"/>
    <n v="8011"/>
    <n v="1"/>
    <m/>
    <s v=" "/>
    <n v="149060"/>
    <n v="18.6069154911996"/>
    <d v="2018-05-01T00:00:00"/>
    <d v="2023-04-30T00:00:00"/>
    <d v="2023-04-30T00:00:00"/>
    <n v="3.956164383561644"/>
    <n v="3.956164383561644"/>
    <s v="Modified Gross"/>
    <s v="None"/>
    <s v="None"/>
    <n v="1450000"/>
    <n v="181.001123455249"/>
    <n v="0.1028"/>
    <m/>
    <d v="2019-05-17T00:00:00"/>
    <x v="831"/>
    <s v="Gene Brrown"/>
    <x v="584"/>
    <s v="CA"/>
    <s v="Private"/>
    <s v="M&amp;M; Sambazis"/>
    <m/>
    <n v="1484000"/>
    <n v="0.10044474393531"/>
    <n v="0.977088948787062"/>
    <n v="1484000"/>
    <n v="0.10044474393531"/>
    <n v="0.002355256064690031"/>
    <s v="No"/>
    <m/>
    <s v=" "/>
  </r>
  <r>
    <m/>
    <s v="USPS"/>
    <s v="Federal"/>
    <s v="Fee Simple"/>
    <s v="613 Broadway St"/>
    <s v="Sparks"/>
    <s v="OK"/>
    <n v="0.32"/>
    <n v="1970"/>
    <n v="519"/>
    <n v="519"/>
    <n v="1"/>
    <n v="4750"/>
    <n v="9.152215799614643"/>
    <n v="4361"/>
    <n v="8.402697495183045"/>
    <d v="2017-10-01T00:00:00"/>
    <d v="2022-09-30T00:00:00"/>
    <d v="2022-09-30T00:00:00"/>
    <n v="3.375342465753425"/>
    <n v="3.375342465753425"/>
    <s v="Rider"/>
    <s v="Option"/>
    <s v="1, 5 year"/>
    <n v="45000"/>
    <n v="86.70520231213872"/>
    <n v="0.09691111111111111"/>
    <m/>
    <d v="2019-05-17T00:00:00"/>
    <x v="8"/>
    <m/>
    <x v="0"/>
    <m/>
    <m/>
    <m/>
    <m/>
    <n v="54000"/>
    <n v="0.08075925925925925"/>
    <n v="0.8333333333333334"/>
    <n v="54000"/>
    <n v="0.08075925925925925"/>
    <n v="0.01615185185185186"/>
    <s v="No"/>
    <d v="2018-10-22T00:00:00"/>
    <n v="207"/>
  </r>
  <r>
    <m/>
    <s v="FS"/>
    <s v="Federal"/>
    <s v="Fee Simple"/>
    <s v="5575 Cleora Rd"/>
    <s v="Salida"/>
    <s v="CO"/>
    <n v="6.87"/>
    <n v="2013"/>
    <n v="16021"/>
    <n v="16021"/>
    <n v="1"/>
    <n v="450991.15"/>
    <n v="28.15"/>
    <n v="344040"/>
    <n v="21.47431496161288"/>
    <d v="2018-06-01T00:00:00"/>
    <d v="2033-05-31T00:00:00"/>
    <d v="2028-05-31T00:00:00"/>
    <n v="14.05205479452055"/>
    <n v="9.049315068493151"/>
    <s v="Modified Gross"/>
    <s v="None"/>
    <s v="None"/>
    <n v="4700000"/>
    <n v="293.3649584919793"/>
    <n v="0.0732"/>
    <m/>
    <d v="2019-05-16T00:00:00"/>
    <x v="832"/>
    <s v="C&amp;W; Trautvetter"/>
    <x v="1"/>
    <s v="IL"/>
    <s v="Private"/>
    <m/>
    <m/>
    <n v="4913000"/>
    <n v="0.07002646041115408"/>
    <n v="0.9566456340321596"/>
    <n v="4913000"/>
    <n v="0.07002646041115408"/>
    <n v="0.003173539588845919"/>
    <s v="No"/>
    <d v="2019-01-17T00:00:00"/>
    <n v="119"/>
  </r>
  <r>
    <s v="LCA00347"/>
    <s v="CBP"/>
    <s v="Federal"/>
    <s v="Fee Simple"/>
    <s v="2411 Boswell Rd"/>
    <s v="Chula Vista"/>
    <s v="CA"/>
    <n v="4.46"/>
    <n v="1998"/>
    <n v="59322"/>
    <n v="59322"/>
    <n v="1"/>
    <n v="1898304"/>
    <n v="32"/>
    <m/>
    <s v=" "/>
    <d v="2018-04-24T00:00:00"/>
    <d v="2028-04-23T00:00:00"/>
    <d v="2023-04-23T00:00:00"/>
    <n v="8.950684931506849"/>
    <n v="3.945205479452055"/>
    <m/>
    <m/>
    <m/>
    <n v="20200000"/>
    <n v="340.5144802939888"/>
    <s v=" "/>
    <m/>
    <d v="2019-05-14T00:00:00"/>
    <x v="126"/>
    <s v="C&amp;W; Trautvetter"/>
    <x v="1"/>
    <s v="IL"/>
    <s v="Private"/>
    <m/>
    <m/>
    <m/>
    <s v=" "/>
    <s v=" "/>
    <m/>
    <s v=" "/>
    <s v=" "/>
    <s v=" "/>
    <m/>
    <s v=" "/>
  </r>
  <r>
    <s v="LKY42136"/>
    <s v="SSA"/>
    <s v="Federal"/>
    <s v="Fee Simple"/>
    <s v="400 Bellerive Blvd"/>
    <s v="Nicholasville"/>
    <s v="KY"/>
    <n v="3"/>
    <n v="2001"/>
    <n v="6127"/>
    <n v="21854"/>
    <n v="0.2803605747231628"/>
    <n v="105066"/>
    <n v="17.14803329525053"/>
    <n v="146223"/>
    <n v="6.690903267136451"/>
    <d v="2003-01-15T00:00:00"/>
    <d v="2023-01-14T00:00:00"/>
    <d v="2008-01-14T00:00:00"/>
    <n v="3.676712328767124"/>
    <n v="-11.33424657534247"/>
    <s v="Modified Gross"/>
    <s v="None"/>
    <s v="None"/>
    <n v="1635000"/>
    <n v="74.81467923492266"/>
    <n v="0.08943302752293578"/>
    <m/>
    <d v="2019-05-13T00:00:00"/>
    <x v="833"/>
    <m/>
    <x v="585"/>
    <s v="KY"/>
    <s v="Private"/>
    <m/>
    <m/>
    <m/>
    <s v=" "/>
    <s v=" "/>
    <m/>
    <s v=" "/>
    <s v=" "/>
    <s v=" "/>
    <m/>
    <s v=" "/>
  </r>
  <r>
    <m/>
    <s v="CS"/>
    <s v="Municipal"/>
    <s v="Fee Simple"/>
    <s v="5141 Verdugo Way"/>
    <s v="Camarillo"/>
    <s v="CA"/>
    <n v="4.27"/>
    <n v="1985"/>
    <n v="79461"/>
    <n v="79461"/>
    <n v="1"/>
    <m/>
    <s v=" "/>
    <n v="981070"/>
    <n v="12.34655994764727"/>
    <m/>
    <d v="2032-01-31T00:00:00"/>
    <d v="2032-01-31T00:00:00"/>
    <n v="12.73698630136986"/>
    <n v="12.73698630136986"/>
    <s v="NNN"/>
    <m/>
    <m/>
    <n v="15600000"/>
    <n v="196.3227243553441"/>
    <n v="0.06288910256410256"/>
    <m/>
    <d v="2019-05-10T00:00:00"/>
    <x v="834"/>
    <s v="Lineage; Gould"/>
    <x v="1"/>
    <s v="IL"/>
    <s v="Private"/>
    <m/>
    <m/>
    <m/>
    <s v=" "/>
    <s v=" "/>
    <m/>
    <s v=" "/>
    <s v=" "/>
    <s v=" "/>
    <m/>
    <s v=" "/>
  </r>
  <r>
    <m/>
    <s v="Soc. Ser."/>
    <s v="State"/>
    <s v="Fee Simple"/>
    <s v="113 Mayo St"/>
    <s v="Hillsborough"/>
    <s v="NC"/>
    <n v="11.82"/>
    <n v="1989"/>
    <n v="66444"/>
    <n v="66444"/>
    <n v="1"/>
    <m/>
    <s v=" "/>
    <n v="713840"/>
    <n v="10.74348323400157"/>
    <m/>
    <m/>
    <m/>
    <s v=" "/>
    <s v=" "/>
    <m/>
    <m/>
    <m/>
    <n v="8750000"/>
    <n v="131.6898440792246"/>
    <n v="0.08158171428571429"/>
    <m/>
    <d v="2019-05-10T00:00:00"/>
    <x v="835"/>
    <s v="M&amp;M; Schendier"/>
    <x v="1"/>
    <s v="IL"/>
    <s v="Private"/>
    <m/>
    <m/>
    <m/>
    <s v=" "/>
    <s v=" "/>
    <m/>
    <s v=" "/>
    <s v=" "/>
    <s v=" "/>
    <m/>
    <s v=" "/>
  </r>
  <r>
    <m/>
    <s v="USDA"/>
    <s v="Federal"/>
    <s v="Fee Simple"/>
    <s v="1502 Progress Ct"/>
    <s v="Wheatland"/>
    <s v="WY"/>
    <n v="1.09"/>
    <n v="2005"/>
    <n v="5843"/>
    <n v="5843"/>
    <n v="1"/>
    <n v="97973"/>
    <n v="16.76758514461749"/>
    <n v="97920"/>
    <n v="16.7585144617491"/>
    <d v="2016-03-01T00:00:00"/>
    <d v="2026-03-01T00:00:00"/>
    <d v="2021-03-01T00:00:00"/>
    <n v="6.813698630136987"/>
    <n v="1.810958904109589"/>
    <s v="Modified Gross"/>
    <s v="None"/>
    <s v="None"/>
    <n v="1075000"/>
    <n v="183.9808317645045"/>
    <n v="0.09108837209302326"/>
    <m/>
    <d v="2019-05-10T00:00:00"/>
    <x v="836"/>
    <s v="C&amp;W; Goodman"/>
    <x v="586"/>
    <s v="WY"/>
    <s v="Private"/>
    <s v="CBB; Trautwin"/>
    <m/>
    <n v="1200000"/>
    <n v="0.08160000000000001"/>
    <n v="0.8958333333333334"/>
    <n v="1200000"/>
    <n v="0.08160000000000001"/>
    <n v="0.009488372093023251"/>
    <s v="No"/>
    <d v="2019-01-24T00:00:00"/>
    <n v="106"/>
  </r>
  <r>
    <s v="LLA14644"/>
    <s v="FBI"/>
    <s v="Federal"/>
    <s v="Fee Simple"/>
    <s v="2901 Leon C Simon Blvd"/>
    <s v="New Orleans"/>
    <s v="LA"/>
    <n v="6.609"/>
    <n v="1999"/>
    <n v="137679"/>
    <n v="137679"/>
    <n v="1"/>
    <n v="3272255.07"/>
    <n v="23.7672780162552"/>
    <m/>
    <s v=" "/>
    <d v="2019-08-02T00:00:00"/>
    <d v="2029-08-30T00:00:00"/>
    <d v="2029-08-30T00:00:00"/>
    <n v="10.31780821917808"/>
    <n v="10.31780821917808"/>
    <s v="Modified Gross"/>
    <s v="None"/>
    <s v="1, 10 year"/>
    <n v="30100000"/>
    <n v="218.6244815839743"/>
    <s v=" "/>
    <m/>
    <d v="2019-05-09T00:00:00"/>
    <x v="837"/>
    <s v="JLL; Rampulla"/>
    <x v="3"/>
    <s v="DC"/>
    <s v="REIT"/>
    <m/>
    <m/>
    <m/>
    <s v=" "/>
    <s v=" "/>
    <m/>
    <s v=" "/>
    <s v=" "/>
    <s v=" "/>
    <m/>
    <s v=" "/>
  </r>
  <r>
    <m/>
    <s v="USDA"/>
    <s v="Federal"/>
    <s v="Fee Simple"/>
    <s v="811 Faulkner Springs Rd"/>
    <s v="McMinnville"/>
    <s v="TN"/>
    <n v="0.47"/>
    <n v="2005"/>
    <n v="4800"/>
    <n v="4800"/>
    <n v="1"/>
    <m/>
    <s v=" "/>
    <n v="58760"/>
    <n v="12.24166666666667"/>
    <m/>
    <m/>
    <m/>
    <s v=" "/>
    <s v=" "/>
    <s v="Modified Gross"/>
    <m/>
    <m/>
    <n v="630000"/>
    <n v="131.25"/>
    <n v="0.09326984126984127"/>
    <m/>
    <d v="2019-05-08T00:00:00"/>
    <x v="8"/>
    <s v="Scott Davis"/>
    <x v="0"/>
    <m/>
    <m/>
    <m/>
    <m/>
    <n v="650000"/>
    <n v="0.09039999999999999"/>
    <n v="0.9692307692307692"/>
    <n v="650000"/>
    <n v="0.09039999999999999"/>
    <n v="0.002869841269841272"/>
    <s v="No"/>
    <d v="2018-06-21T00:00:00"/>
    <n v="321"/>
  </r>
  <r>
    <m/>
    <s v="USCIS"/>
    <s v="Federal"/>
    <s v="Fee Simple"/>
    <s v="850 S St"/>
    <s v="Lincoln"/>
    <s v="NE"/>
    <n v="2.68"/>
    <n v="1994"/>
    <n v="140127"/>
    <n v="140127"/>
    <n v="1"/>
    <n v="3910779"/>
    <n v="27.90881842899655"/>
    <m/>
    <s v=" "/>
    <d v="2015-10-01T00:00:00"/>
    <d v="2025-09-30T00:00:00"/>
    <d v="2020-09-30T00:00:00"/>
    <n v="6.405479452054794"/>
    <n v="1.402739726027397"/>
    <s v="Modified Gross"/>
    <m/>
    <m/>
    <n v="30500000"/>
    <n v="217.6596944200618"/>
    <s v=" "/>
    <m/>
    <d v="2019-05-07T00:00:00"/>
    <x v="838"/>
    <s v="C&amp;W; Trautvetter"/>
    <x v="1"/>
    <s v="IL"/>
    <s v="Private"/>
    <m/>
    <m/>
    <m/>
    <s v=" "/>
    <s v=" "/>
    <m/>
    <s v=" "/>
    <s v=" "/>
    <s v=" "/>
    <m/>
    <s v=" "/>
  </r>
  <r>
    <m/>
    <s v="HHS"/>
    <s v="State"/>
    <s v="Fee Simple"/>
    <s v="14061 Lappin St"/>
    <s v="Detroit"/>
    <s v="MI"/>
    <n v="2.68"/>
    <n v="2002"/>
    <n v="36520"/>
    <n v="36520"/>
    <n v="1"/>
    <m/>
    <s v=" "/>
    <n v="718462.5599999999"/>
    <n v="19.67312595837897"/>
    <m/>
    <d v="2028-06-30T00:00:00"/>
    <m/>
    <n v="9.158904109589042"/>
    <s v=" "/>
    <s v="Full Service"/>
    <m/>
    <m/>
    <n v="7200000"/>
    <n v="197.1522453450164"/>
    <n v="0.09978646666666666"/>
    <m/>
    <d v="2019-05-06T00:00:00"/>
    <x v="8"/>
    <s v="Anne Galbraith Kohn"/>
    <x v="0"/>
    <m/>
    <s v="Private"/>
    <m/>
    <m/>
    <m/>
    <s v=" "/>
    <s v=" "/>
    <m/>
    <s v=" "/>
    <s v=" "/>
    <s v=" "/>
    <d v="2019-03-07T00:00:00"/>
    <n v="60"/>
  </r>
  <r>
    <m/>
    <s v="DOD"/>
    <s v="Federal"/>
    <s v="Fee Simple"/>
    <s v="116 Lakeview Pkwy"/>
    <s v="Suffolk"/>
    <s v="VA"/>
    <n v="40"/>
    <n v="1993"/>
    <n v="404000"/>
    <n v="404000"/>
    <n v="1"/>
    <n v="8074740"/>
    <n v="19.9869801980198"/>
    <m/>
    <s v=" "/>
    <d v="2018-06-10T00:00:00"/>
    <d v="2028-06-30T00:00:00"/>
    <d v="2028-06-30T00:00:00"/>
    <n v="9.158904109589042"/>
    <n v="9.158904109589042"/>
    <s v="Modified Gross"/>
    <s v="None"/>
    <s v="1, 5 year"/>
    <n v="79200000"/>
    <n v="196.0396039603961"/>
    <s v=" "/>
    <m/>
    <d v="2019-05-06T00:00:00"/>
    <x v="839"/>
    <s v="HFF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22628 Parrotts Ferry Rd"/>
    <s v="Columbia"/>
    <s v="CA"/>
    <n v="0.68"/>
    <n v="1985"/>
    <n v="4792"/>
    <n v="4792"/>
    <n v="1"/>
    <n v="52712"/>
    <n v="11"/>
    <n v="38101"/>
    <n v="7.950959933222037"/>
    <d v="2017-09-01T00:00:00"/>
    <d v="2022-08-31T00:00:00"/>
    <d v="2017-10-31T00:00:00"/>
    <n v="3.331506849315069"/>
    <n v="-1.504109589041096"/>
    <s v="Rider"/>
    <s v="Option"/>
    <s v="1, 5 year"/>
    <m/>
    <s v=" "/>
    <s v=" "/>
    <m/>
    <d v="2019-05-03T00:00:00"/>
    <x v="8"/>
    <s v="TCP; Harrison"/>
    <x v="0"/>
    <m/>
    <m/>
    <m/>
    <m/>
    <n v="530000"/>
    <n v="0.07188867924528301"/>
    <s v=" "/>
    <n v="510000"/>
    <n v="0.0747078431372549"/>
    <s v=" "/>
    <s v="Yes"/>
    <d v="2019-01-15T00:00:00"/>
    <n v="108"/>
  </r>
  <r>
    <m/>
    <s v="USPS"/>
    <s v="Federal"/>
    <s v="Fee Simple"/>
    <s v="117 Elevator"/>
    <s v="Delaware"/>
    <s v="OK"/>
    <n v="0.32"/>
    <n v="1985"/>
    <n v="1034"/>
    <n v="1034"/>
    <n v="1"/>
    <n v="9926"/>
    <n v="9.599613152804642"/>
    <n v="9311"/>
    <n v="9.004835589941973"/>
    <d v="2014-09-01T00:00:00"/>
    <d v="2024-08-31T00:00:00"/>
    <d v="2015-02-28T00:00:00"/>
    <n v="5.334246575342465"/>
    <n v="-4.178082191780822"/>
    <s v="Rider"/>
    <s v="None"/>
    <s v="None"/>
    <m/>
    <s v=" "/>
    <s v=" "/>
    <m/>
    <d v="2019-05-03T00:00:00"/>
    <x v="8"/>
    <s v="TCP; Harrison"/>
    <x v="0"/>
    <m/>
    <m/>
    <m/>
    <m/>
    <n v="109200"/>
    <n v="0.08526556776556776"/>
    <s v=" "/>
    <n v="109200"/>
    <n v="0.08526556776556776"/>
    <s v=" "/>
    <s v="No"/>
    <d v="2019-02-06T00:00:00"/>
    <n v="86"/>
  </r>
  <r>
    <m/>
    <s v="USPS"/>
    <s v="Federal"/>
    <s v="Fee Simple"/>
    <s v="200 Wyoming Ave"/>
    <s v="Wyoming"/>
    <s v="LA"/>
    <n v="0.16"/>
    <n v="1964"/>
    <n v="2762"/>
    <n v="2762"/>
    <n v="1"/>
    <n v="33585"/>
    <n v="12.15966690803765"/>
    <n v="30000"/>
    <n v="10.8616944243302"/>
    <d v="2019-05-01T00:00:00"/>
    <d v="2024-04-30T00:00:00"/>
    <d v="2020-04-30T00:00:00"/>
    <n v="4.997260273972603"/>
    <n v="0.9945205479452055"/>
    <s v="Rider"/>
    <s v="Option"/>
    <s v="1, 5 year"/>
    <m/>
    <s v=" "/>
    <s v=" "/>
    <m/>
    <d v="2019-05-03T00:00:00"/>
    <x v="8"/>
    <s v="TCP; Harrison"/>
    <x v="0"/>
    <m/>
    <s v="Private"/>
    <m/>
    <m/>
    <n v="380000"/>
    <n v="0.07894736842105263"/>
    <s v=" "/>
    <n v="333555"/>
    <n v="0.08994018977380042"/>
    <s v=" "/>
    <s v="Yes"/>
    <d v="2018-10-31T00:00:00"/>
    <n v="184"/>
  </r>
  <r>
    <m/>
    <s v="DMV"/>
    <s v="State"/>
    <s v="Leasehold"/>
    <s v="594 Vervilla Rd"/>
    <s v="McMinnville"/>
    <s v="TN"/>
    <n v="1.9"/>
    <n v="2009"/>
    <n v="6200"/>
    <n v="6200"/>
    <n v="1"/>
    <m/>
    <s v=" "/>
    <n v="53667"/>
    <n v="8.655967741935484"/>
    <m/>
    <d v="2028-12-31T00:00:00"/>
    <m/>
    <n v="9.673972602739726"/>
    <s v=" "/>
    <m/>
    <m/>
    <m/>
    <n v="615000"/>
    <n v="99.19354838709677"/>
    <n v="0.08726341463414634"/>
    <m/>
    <d v="2019-05-02T00:00:00"/>
    <x v="840"/>
    <m/>
    <x v="587"/>
    <m/>
    <s v="Private"/>
    <m/>
    <m/>
    <n v="670000"/>
    <n v="0.0801"/>
    <n v="0.917910447761194"/>
    <n v="670000"/>
    <n v="0.0801"/>
    <n v="0.007163414634146339"/>
    <s v="No"/>
    <d v="2019-02-07T00:00:00"/>
    <n v="84"/>
  </r>
  <r>
    <m/>
    <s v="City and County of San Francisco Adult Probation Department"/>
    <s v="Municipal"/>
    <s v="Fee Simple"/>
    <s v="945 Bryant St"/>
    <s v="San Francisco"/>
    <s v="CA"/>
    <n v="1.16"/>
    <s v="1964 | 2000"/>
    <n v="41745"/>
    <n v="41745"/>
    <n v="1"/>
    <m/>
    <s v=" "/>
    <n v="2684800"/>
    <n v="64.31428913642353"/>
    <m/>
    <d v="2038-10-31T00:00:00"/>
    <d v="2038-10-31T00:00:00"/>
    <n v="19.51232876712329"/>
    <n v="19.51232876712329"/>
    <m/>
    <m/>
    <m/>
    <n v="41950000"/>
    <n v="1004.910767756618"/>
    <n v="0.064"/>
    <m/>
    <d v="2019-05-02T00:00:00"/>
    <x v="841"/>
    <s v="CBRE; Kovac"/>
    <x v="485"/>
    <m/>
    <s v="Cross-Border"/>
    <s v="CBRE"/>
    <m/>
    <m/>
    <s v=" "/>
    <s v=" "/>
    <m/>
    <s v=" "/>
    <s v=" "/>
    <s v=" "/>
    <m/>
    <s v=" "/>
  </r>
  <r>
    <m/>
    <s v="USPS"/>
    <s v="Federal"/>
    <s v="Fee Simple"/>
    <s v="5601 U S Highway 29"/>
    <s v="Blairs"/>
    <s v="VA"/>
    <n v="0.46"/>
    <n v="1989"/>
    <n v="2080"/>
    <n v="2080"/>
    <n v="1"/>
    <m/>
    <s v=" "/>
    <m/>
    <s v=" "/>
    <m/>
    <m/>
    <m/>
    <s v=" "/>
    <s v=" "/>
    <m/>
    <m/>
    <m/>
    <n v="120000"/>
    <n v="57.69230769230769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6 W Vistula St"/>
    <s v="Bristol"/>
    <s v="IN"/>
    <m/>
    <m/>
    <n v="3244"/>
    <n v="3244"/>
    <n v="1"/>
    <m/>
    <s v=" "/>
    <m/>
    <s v=" "/>
    <m/>
    <m/>
    <m/>
    <s v=" "/>
    <s v=" "/>
    <m/>
    <m/>
    <m/>
    <n v="325901"/>
    <n v="100.4627003699137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s v="LMS00252"/>
    <s v="SSA"/>
    <s v="Federal"/>
    <s v="Fee Simple"/>
    <s v="160 Anderson Blv"/>
    <s v="Clarksdale"/>
    <s v="MS"/>
    <n v="0.49"/>
    <n v="2018"/>
    <n v="4950"/>
    <n v="4950"/>
    <n v="1"/>
    <n v="178030.8"/>
    <n v="35.96581818181818"/>
    <n v="139140"/>
    <n v="28.10909090909091"/>
    <d v="2018-12-12T00:00:00"/>
    <d v="2034-01-21T00:00:00"/>
    <d v="2029-01-21T00:00:00"/>
    <n v="14.73698630136986"/>
    <n v="9.734246575342466"/>
    <s v="Modified Gross"/>
    <s v="TI Burns Off"/>
    <s v="None"/>
    <n v="1800000"/>
    <n v="363.6363636363636"/>
    <n v="0.07729999999999999"/>
    <m/>
    <d v="2019-05-01T00:00:00"/>
    <x v="842"/>
    <s v="SJC; Brett"/>
    <x v="173"/>
    <s v="MD"/>
    <s v="Private"/>
    <s v="M&amp;M; Zang"/>
    <m/>
    <n v="2057000"/>
    <n v="0.06764219737481769"/>
    <n v="0.8750607681088964"/>
    <n v="1950000"/>
    <n v="0.07135384615384616"/>
    <n v="0.005946153846153837"/>
    <s v="Yes"/>
    <d v="2018-08-09T00:00:00"/>
    <n v="265"/>
  </r>
  <r>
    <m/>
    <s v="USPS"/>
    <s v="Federal"/>
    <s v="Fee Simple"/>
    <s v="2650 Highway 78"/>
    <s v="Dorchester"/>
    <s v="SC"/>
    <n v="1.2"/>
    <m/>
    <n v="2640"/>
    <n v="2640"/>
    <n v="1"/>
    <m/>
    <s v=" "/>
    <m/>
    <s v=" "/>
    <m/>
    <m/>
    <m/>
    <s v=" "/>
    <s v=" "/>
    <m/>
    <m/>
    <m/>
    <n v="236250"/>
    <n v="89.48863636363636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400 S Ridgewood Ave"/>
    <s v="Edgewater"/>
    <s v="FL"/>
    <n v="1.7364"/>
    <n v="1969"/>
    <n v="10850"/>
    <n v="10850"/>
    <n v="1"/>
    <m/>
    <s v=" "/>
    <m/>
    <s v=" "/>
    <m/>
    <m/>
    <m/>
    <s v=" "/>
    <s v=" "/>
    <m/>
    <m/>
    <m/>
    <n v="1280570"/>
    <n v="118.0248847926267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101 Sacandaga Rd"/>
    <s v="Galway"/>
    <s v="NY"/>
    <m/>
    <n v="1990"/>
    <n v="2478"/>
    <n v="2478"/>
    <n v="1"/>
    <m/>
    <s v=" "/>
    <m/>
    <s v=" "/>
    <m/>
    <m/>
    <m/>
    <s v=" "/>
    <s v=" "/>
    <s v="Rider"/>
    <m/>
    <m/>
    <n v="472500"/>
    <n v="190.6779661016949"/>
    <s v=" "/>
    <m/>
    <d v="2019-05-01T00:00:00"/>
    <x v="843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6747 Middleburg Rd"/>
    <s v="Keymar"/>
    <s v="MD"/>
    <n v="0.233058"/>
    <n v="1987"/>
    <n v="2002"/>
    <n v="2002"/>
    <n v="1"/>
    <m/>
    <s v=" "/>
    <m/>
    <s v=" "/>
    <m/>
    <m/>
    <m/>
    <s v=" "/>
    <s v=" "/>
    <m/>
    <m/>
    <m/>
    <n v="278760"/>
    <n v="139.2407592407592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505 Windy Knoll Dr"/>
    <s v="Mount Airy"/>
    <s v="MD"/>
    <n v="2.5"/>
    <n v="1996"/>
    <n v="3000"/>
    <n v="3000"/>
    <n v="1"/>
    <m/>
    <s v=" "/>
    <m/>
    <s v=" "/>
    <m/>
    <m/>
    <m/>
    <s v=" "/>
    <s v=" "/>
    <m/>
    <m/>
    <m/>
    <n v="1784918"/>
    <n v="594.9726666666667"/>
    <s v=" "/>
    <m/>
    <d v="2019-05-01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m/>
    <s v="Portfolio of 268"/>
    <m/>
    <n v="158.8"/>
    <m/>
    <n v="888410"/>
    <n v="888410"/>
    <n v="1"/>
    <n v="8348003"/>
    <n v="9.396565774811179"/>
    <n v="7773587.5"/>
    <n v="8.75"/>
    <m/>
    <m/>
    <m/>
    <n v="3.84"/>
    <n v="3.84"/>
    <s v="Rider"/>
    <s v="Various"/>
    <s v="Various"/>
    <n v="110000000"/>
    <n v="123.8167062504925"/>
    <n v="0.07066897727272728"/>
    <m/>
    <d v="2019-05-01T00:00:00"/>
    <x v="844"/>
    <m/>
    <x v="7"/>
    <s v="NY"/>
    <s v="Private"/>
    <m/>
    <m/>
    <m/>
    <s v=" "/>
    <s v=" "/>
    <m/>
    <s v=" "/>
    <s v=" "/>
    <s v=" "/>
    <m/>
    <s v=" "/>
  </r>
  <r>
    <m/>
    <s v="USPS"/>
    <s v="Federal"/>
    <s v="Fee Simple"/>
    <s v="652 Old Route 17"/>
    <s v="Windsor"/>
    <s v="NY"/>
    <m/>
    <m/>
    <n v="1945"/>
    <n v="1945"/>
    <n v="1"/>
    <m/>
    <s v=" "/>
    <m/>
    <s v=" "/>
    <m/>
    <m/>
    <m/>
    <s v=" "/>
    <s v=" "/>
    <m/>
    <m/>
    <m/>
    <n v="431438"/>
    <n v="221.8190231362468"/>
    <s v=" "/>
    <m/>
    <d v="2019-05-01T00:00:00"/>
    <x v="843"/>
    <m/>
    <x v="66"/>
    <s v="CA"/>
    <s v="Private"/>
    <m/>
    <m/>
    <m/>
    <s v=" "/>
    <s v=" "/>
    <m/>
    <s v=" "/>
    <s v=" "/>
    <s v=" "/>
    <m/>
    <s v=" "/>
  </r>
  <r>
    <m/>
    <s v="USFS"/>
    <s v="Federal"/>
    <s v="Fee Simple"/>
    <s v="1415 Fort"/>
    <s v="Buffalo"/>
    <s v="WY"/>
    <n v="2"/>
    <n v="2003"/>
    <n v="7077"/>
    <n v="7077"/>
    <n v="1"/>
    <n v="183638"/>
    <n v="25.94856577645895"/>
    <m/>
    <s v=" "/>
    <d v="2003-06-01T00:00:00"/>
    <d v="2023-05-31T00:00:00"/>
    <d v="2018-05-31T00:00:00"/>
    <n v="4.087671232876712"/>
    <n v="-0.9150684931506849"/>
    <s v="Modified Gross"/>
    <s v="None"/>
    <s v="None"/>
    <m/>
    <s v=" "/>
    <s v=" "/>
    <m/>
    <d v="2019-04-30T00:00:00"/>
    <x v="816"/>
    <m/>
    <x v="576"/>
    <s v="WY"/>
    <s v="Private"/>
    <s v="BW; Wells"/>
    <m/>
    <m/>
    <s v=" "/>
    <s v=" "/>
    <m/>
    <s v=" "/>
    <s v=" "/>
    <s v=" "/>
    <m/>
    <s v=" "/>
  </r>
  <r>
    <m/>
    <s v="USPS"/>
    <s v="Federal"/>
    <s v="Fee Simple"/>
    <s v="122 N High St"/>
    <s v="Columbus Grove"/>
    <s v="OH"/>
    <m/>
    <m/>
    <n v="2988"/>
    <n v="2988"/>
    <n v="1"/>
    <m/>
    <s v=" "/>
    <m/>
    <s v=" "/>
    <m/>
    <m/>
    <m/>
    <s v=" "/>
    <s v=" "/>
    <m/>
    <m/>
    <m/>
    <n v="164400"/>
    <n v="55.02008032128514"/>
    <s v=" "/>
    <m/>
    <d v="2019-04-30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0 Stevens Ave"/>
    <s v="Lexington"/>
    <s v="AL"/>
    <m/>
    <n v="1990"/>
    <n v="2343"/>
    <n v="2343"/>
    <n v="1"/>
    <m/>
    <s v=" "/>
    <n v="17853.99"/>
    <n v="7.620140845070424"/>
    <m/>
    <m/>
    <m/>
    <s v=" "/>
    <s v=" "/>
    <m/>
    <m/>
    <m/>
    <m/>
    <s v=" "/>
    <s v=" "/>
    <m/>
    <d v="2019-04-30T00:00:00"/>
    <x v="8"/>
    <s v="Hardiman"/>
    <x v="0"/>
    <m/>
    <s v="Private"/>
    <m/>
    <m/>
    <n v="255057"/>
    <n v="0.07000000000000001"/>
    <s v=" "/>
    <n v="255057"/>
    <n v="0.07000000000000001"/>
    <s v=" "/>
    <s v="No"/>
    <d v="2019-03-08T00:00:00"/>
    <n v="53"/>
  </r>
  <r>
    <m/>
    <s v="VA"/>
    <s v="Federal"/>
    <s v="Fee Simple"/>
    <s v="1691 Bienville Dr"/>
    <s v="Monroe"/>
    <s v="LA"/>
    <n v="2.71"/>
    <n v="2013"/>
    <n v="21124"/>
    <n v="21124"/>
    <n v="1"/>
    <n v="690710"/>
    <n v="32.69787918954744"/>
    <n v="487812"/>
    <n v="23.09278545729975"/>
    <d v="2013-10-01T00:00:00"/>
    <d v="2023-09-30T00:00:00"/>
    <d v="2023-09-30T00:00:00"/>
    <n v="4.421917808219178"/>
    <n v="4.421917808219178"/>
    <s v="Modified Gross"/>
    <s v="TI Bleeds Off"/>
    <s v="2, 5 year"/>
    <n v="5150000"/>
    <n v="243.7985230070063"/>
    <n v="0.09472077669902913"/>
    <m/>
    <d v="2019-04-30T00:00:00"/>
    <x v="845"/>
    <s v="David Lucas"/>
    <x v="54"/>
    <s v="NC"/>
    <s v="REIT"/>
    <s v="Margetich"/>
    <m/>
    <n v="5724224"/>
    <n v="0.08521888731118839"/>
    <n v="0.8996852673829675"/>
    <n v="5724224"/>
    <n v="0.08521888731118839"/>
    <n v="0.009501889387840745"/>
    <s v="No"/>
    <d v="2018-01-31T00:00:00"/>
    <n v="454"/>
  </r>
  <r>
    <m/>
    <s v="USPS"/>
    <s v="Federal"/>
    <s v="Fee Simple"/>
    <s v="101 W 9th St"/>
    <s v="Kemp"/>
    <s v="TX"/>
    <n v="0.23"/>
    <n v="1900"/>
    <n v="4591"/>
    <n v="4591"/>
    <n v="1"/>
    <n v="24990"/>
    <n v="5.443258549335657"/>
    <m/>
    <s v=" "/>
    <m/>
    <m/>
    <m/>
    <s v=" "/>
    <s v=" "/>
    <m/>
    <m/>
    <m/>
    <n v="207186"/>
    <n v="45.12873012415596"/>
    <s v=" "/>
    <m/>
    <d v="2019-04-29T00:00:00"/>
    <x v="779"/>
    <m/>
    <x v="588"/>
    <s v="TX"/>
    <s v="Private"/>
    <m/>
    <m/>
    <m/>
    <s v=" "/>
    <s v=" "/>
    <m/>
    <s v=" "/>
    <s v=" "/>
    <s v=" "/>
    <m/>
    <s v=" "/>
  </r>
  <r>
    <m/>
    <s v="USPS"/>
    <s v="Federal"/>
    <s v="Fee Simple"/>
    <s v="13501 Otter Creek Pky"/>
    <s v="Little Rock"/>
    <s v="AR"/>
    <n v="2.1812"/>
    <n v="2000"/>
    <n v="14381"/>
    <n v="14381"/>
    <n v="1"/>
    <m/>
    <s v=" "/>
    <m/>
    <s v=" "/>
    <m/>
    <m/>
    <m/>
    <s v=" "/>
    <s v=" "/>
    <m/>
    <m/>
    <m/>
    <n v="1795000"/>
    <n v="124.8174674918295"/>
    <s v=" "/>
    <m/>
    <d v="2019-04-26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2 S Lincoln St"/>
    <s v="Lowell"/>
    <s v="AR"/>
    <n v="0.85"/>
    <m/>
    <n v="2640"/>
    <n v="2640"/>
    <n v="1"/>
    <m/>
    <s v=" "/>
    <m/>
    <s v=" "/>
    <m/>
    <m/>
    <m/>
    <s v=" "/>
    <s v=" "/>
    <m/>
    <m/>
    <m/>
    <n v="1221000"/>
    <n v="462.5"/>
    <s v=" "/>
    <m/>
    <d v="2019-04-26T00:00:00"/>
    <x v="8"/>
    <m/>
    <x v="66"/>
    <s v="CA"/>
    <s v="Private"/>
    <m/>
    <m/>
    <m/>
    <s v=" "/>
    <s v=" "/>
    <m/>
    <s v=" "/>
    <s v=" "/>
    <s v=" "/>
    <m/>
    <s v=" "/>
  </r>
  <r>
    <m/>
    <s v="Multi"/>
    <s v="State"/>
    <s v="Fee Simple"/>
    <s v="1515 S Street"/>
    <s v="Sacramento"/>
    <s v="CA"/>
    <n v="3.42"/>
    <n v="2009"/>
    <n v="643357.236"/>
    <n v="645941"/>
    <n v="0.996"/>
    <m/>
    <s v=" "/>
    <n v="7539999.999999999"/>
    <n v="11.6728927254966"/>
    <m/>
    <d v="2029-02-28T00:00:00"/>
    <m/>
    <n v="9.852054794520548"/>
    <s v=" "/>
    <s v="Full Service"/>
    <m/>
    <m/>
    <n v="104000000"/>
    <n v="161.0054169034014"/>
    <n v="0.0725"/>
    <m/>
    <d v="2019-04-26T00:00:00"/>
    <x v="43"/>
    <s v="C&amp;W; Trautvetter"/>
    <x v="1"/>
    <s v="IL"/>
    <s v="Private"/>
    <m/>
    <m/>
    <m/>
    <s v=" "/>
    <s v=" "/>
    <m/>
    <s v=" "/>
    <s v=" "/>
    <s v=" "/>
    <d v="2019-01-17T00:00:00"/>
    <n v="99"/>
  </r>
  <r>
    <m/>
    <s v="USPS"/>
    <s v="Federal"/>
    <s v="Fee Simple"/>
    <s v="7402 Dollarway Rd"/>
    <s v="White Hall"/>
    <s v="AR"/>
    <n v="3.9"/>
    <n v="2002"/>
    <n v="30000"/>
    <n v="30000"/>
    <n v="1"/>
    <m/>
    <s v=" "/>
    <m/>
    <s v=" "/>
    <m/>
    <m/>
    <m/>
    <s v=" "/>
    <s v=" "/>
    <m/>
    <m/>
    <m/>
    <n v="1184515"/>
    <n v="39.48383333333334"/>
    <s v=" "/>
    <m/>
    <d v="2019-04-26T00:00:00"/>
    <x v="8"/>
    <m/>
    <x v="66"/>
    <s v="CA"/>
    <s v="Private"/>
    <m/>
    <m/>
    <m/>
    <s v=" "/>
    <s v=" "/>
    <m/>
    <s v=" "/>
    <s v=" "/>
    <s v=" "/>
    <m/>
    <s v=" "/>
  </r>
  <r>
    <s v="LMA04518"/>
    <s v="SSA"/>
    <s v="Federal"/>
    <s v="Fee Simple"/>
    <s v="198 Columbia Rd"/>
    <s v="Hanover"/>
    <s v="MA"/>
    <n v="0.9"/>
    <n v="1960"/>
    <n v="9097"/>
    <n v="12558"/>
    <n v="0.7243987896161809"/>
    <n v="246223.49"/>
    <n v="27.06644937891613"/>
    <n v="198000"/>
    <n v="15.76684185379838"/>
    <d v="2008-06-18T00:00:00"/>
    <d v="2018-06-17T00:00:00"/>
    <d v="2015-06-17T00:00:00"/>
    <n v="-0.8547945205479452"/>
    <n v="-3.857534246575343"/>
    <s v="Modified Gross"/>
    <s v="None"/>
    <s v="None"/>
    <n v="1700000"/>
    <n v="135.3718745023093"/>
    <n v="0.1164705882352941"/>
    <m/>
    <d v="2019-04-25T00:00:00"/>
    <x v="846"/>
    <s v="Key Point; Aron"/>
    <x v="589"/>
    <s v="MA"/>
    <s v="Private"/>
    <m/>
    <m/>
    <m/>
    <s v=" "/>
    <s v=" "/>
    <m/>
    <s v=" "/>
    <s v=" "/>
    <s v=" "/>
    <m/>
    <s v=" "/>
  </r>
  <r>
    <m/>
    <s v="Multi"/>
    <s v="State"/>
    <s v="Fee Simple"/>
    <s v="200 Athens Way"/>
    <s v="Nashville"/>
    <s v="TN"/>
    <n v="8.699999999999999"/>
    <n v="1985"/>
    <n v="208620"/>
    <n v="208620"/>
    <n v="1"/>
    <m/>
    <s v=" "/>
    <n v="2160000"/>
    <n v="10.35375323554789"/>
    <m/>
    <d v="2030-05-31T00:00:00"/>
    <d v="2030-05-31T00:00:00"/>
    <n v="11.10958904109589"/>
    <n v="11.10958904109589"/>
    <s v="FS"/>
    <m/>
    <m/>
    <n v="36000000"/>
    <n v="172.5625539257981"/>
    <n v="0.06"/>
    <m/>
    <d v="2019-04-24T00:00:00"/>
    <x v="181"/>
    <s v="JLL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2840 Grafton Road"/>
    <s v="Carleton"/>
    <s v="MI"/>
    <n v="2.15"/>
    <s v="2002"/>
    <n v="5181"/>
    <n v="5181"/>
    <n v="1"/>
    <n v="123060"/>
    <n v="23.7521713954835"/>
    <n v="116060"/>
    <n v="22.40108087241845"/>
    <d v="2018-02-12T00:00:00"/>
    <d v="2022-02-11T00:00:00"/>
    <d v="2018-02-11T00:00:00"/>
    <n v="2.808219178082192"/>
    <n v="-1.194520547945205"/>
    <s v="Modified Gross"/>
    <s v="None"/>
    <s v="None"/>
    <n v="1400000"/>
    <n v="270.2181046130091"/>
    <n v="0.0829"/>
    <m/>
    <d v="2019-04-23T00:00:00"/>
    <x v="847"/>
    <s v="Stan J; Barber"/>
    <x v="590"/>
    <s v="MT"/>
    <s v="Private"/>
    <s v="BW; Wells"/>
    <m/>
    <m/>
    <s v=" "/>
    <s v=" "/>
    <m/>
    <s v=" "/>
    <s v=" "/>
    <s v=" "/>
    <d v="2018-10-12T00:00:00"/>
    <n v="193"/>
  </r>
  <r>
    <s v="LNC00162"/>
    <s v="DOJ/AOC/Probation"/>
    <s v="Federal"/>
    <s v="Fee Simple"/>
    <s v="45 Clayton St"/>
    <s v="Asheville"/>
    <s v="NC"/>
    <n v="0.7"/>
    <s v="2009 | 2017"/>
    <n v="13430"/>
    <n v="13430"/>
    <n v="1"/>
    <n v="488266.15"/>
    <n v="36.35637751303053"/>
    <n v="350957"/>
    <n v="26.13231571109456"/>
    <d v="2017-10-09T00:00:00"/>
    <d v="2027-10-08T00:00:00"/>
    <d v="2027-10-08T00:00:00"/>
    <n v="8.468493150684932"/>
    <n v="8.468493150684932"/>
    <s v="Modified Gross"/>
    <s v="None"/>
    <s v="1, 5 year"/>
    <n v="5184000"/>
    <n v="386.0014892032763"/>
    <n v="0.06770003858024691"/>
    <m/>
    <d v="2019-04-22T00:00:00"/>
    <x v="103"/>
    <s v="C&amp;W; Trautvetter"/>
    <x v="1"/>
    <s v="IL"/>
    <s v="Private"/>
    <m/>
    <m/>
    <n v="6063000"/>
    <n v="0.05788504040903843"/>
    <n v="0.8550222662048491"/>
    <n v="5500000"/>
    <n v="0.06381036363636364"/>
    <n v="0.003889674943883273"/>
    <s v="Yes"/>
    <d v="2017-09-27T00:00:00"/>
    <n v="572"/>
  </r>
  <r>
    <s v="LTX17486"/>
    <s v="NPS"/>
    <s v="Federal"/>
    <s v="Fee Simple"/>
    <s v="419 E Broadway St"/>
    <s v="Fritch"/>
    <s v="TX"/>
    <n v="0.55"/>
    <n v="1971"/>
    <n v="4368"/>
    <n v="4368"/>
    <n v="1"/>
    <n v="93601.86"/>
    <n v="21.42899725274725"/>
    <n v="58052"/>
    <n v="13.29029304029304"/>
    <d v="2016-02-01T00:00:00"/>
    <d v="2031-01-31T00:00:00"/>
    <d v="2023-02-01T00:00:00"/>
    <n v="11.78630136986301"/>
    <n v="3.783561643835617"/>
    <s v="Modified Gross"/>
    <s v="None"/>
    <s v="None"/>
    <n v="711000"/>
    <n v="162.7747252747253"/>
    <n v="0.08164838255977497"/>
    <m/>
    <d v="2019-04-22T00:00:00"/>
    <x v="848"/>
    <s v="M&amp;M; Roti"/>
    <x v="591"/>
    <s v="TX"/>
    <s v="Private"/>
    <s v="BW; Wells"/>
    <m/>
    <n v="792000"/>
    <n v="0.07329797979797979"/>
    <n v="0.8977272727272727"/>
    <n v="792000"/>
    <n v="0.07329797979797979"/>
    <n v="0.008350402761795175"/>
    <s v="No"/>
    <d v="2018-10-23T00:00:00"/>
    <n v="181"/>
  </r>
  <r>
    <m/>
    <s v="USPS"/>
    <s v="Federal"/>
    <s v="Fee Simple"/>
    <s v="305 Richardson St"/>
    <s v="Bolckow"/>
    <s v="MO"/>
    <n v="0.13"/>
    <n v="1963"/>
    <n v="752"/>
    <n v="752"/>
    <n v="1"/>
    <n v="4300"/>
    <n v="5.718085106382978"/>
    <n v="3177.46"/>
    <n v="4.225345744680851"/>
    <m/>
    <m/>
    <m/>
    <s v=" "/>
    <s v=" "/>
    <m/>
    <m/>
    <m/>
    <m/>
    <s v=" "/>
    <s v=" "/>
    <m/>
    <d v="2019-04-19T00:00:00"/>
    <x v="8"/>
    <s v="Thomas Coe"/>
    <x v="0"/>
    <m/>
    <m/>
    <m/>
    <m/>
    <m/>
    <s v=" "/>
    <s v=" "/>
    <m/>
    <s v=" "/>
    <s v=" "/>
    <s v=" "/>
    <d v="2018-03-21T00:00:00"/>
    <n v="394"/>
  </r>
  <r>
    <m/>
    <s v="WorkNet"/>
    <s v="State"/>
    <s v="Fee Simple"/>
    <s v="56 S Lincoln St"/>
    <s v="Stockton"/>
    <s v="CA"/>
    <n v="2.61"/>
    <n v="2005"/>
    <n v="51864"/>
    <n v="51864"/>
    <n v="1"/>
    <m/>
    <s v=" "/>
    <n v="833433"/>
    <n v="16.06958583988894"/>
    <m/>
    <m/>
    <m/>
    <s v=" "/>
    <s v=" "/>
    <m/>
    <m/>
    <m/>
    <n v="10500000"/>
    <n v="202.4525682554373"/>
    <n v="0.07937457142857143"/>
    <m/>
    <d v="2019-04-19T00:00:00"/>
    <x v="849"/>
    <s v="M&amp;M; Ficke"/>
    <x v="592"/>
    <s v="CA"/>
    <s v="Other"/>
    <s v="FCREI; Doughtery"/>
    <m/>
    <n v="10750000"/>
    <n v="0.0775286511627907"/>
    <n v="0.9767441860465116"/>
    <n v="10750000"/>
    <n v="0.0775286511627907"/>
    <n v="0.001845920265780732"/>
    <s v="No"/>
    <d v="2018-06-14T00:00:00"/>
    <n v="309"/>
  </r>
  <r>
    <m/>
    <s v="DOD ALTC"/>
    <s v="Federal"/>
    <s v="Fee Simple"/>
    <s v="2528 Center West Pky"/>
    <s v="Augusta"/>
    <s v="GA"/>
    <n v="6.46"/>
    <n v="1985"/>
    <n v="45022"/>
    <n v="45022"/>
    <n v="1"/>
    <m/>
    <s v=" "/>
    <n v="567700"/>
    <n v="12.6093909644174"/>
    <m/>
    <d v="2024-07-31T00:00:00"/>
    <d v="2019-07-31T00:00:00"/>
    <n v="5.29041095890411"/>
    <n v="0.2849315068493151"/>
    <s v="Modified Gross"/>
    <s v="2% annually"/>
    <s v="None"/>
    <n v="7000000"/>
    <n v="155.4795433343699"/>
    <n v="0.08110000000000001"/>
    <m/>
    <d v="2019-04-18T00:00:00"/>
    <x v="850"/>
    <s v="M&amp;M; Munn"/>
    <x v="593"/>
    <s v="IL"/>
    <s v="Private"/>
    <s v="M&amp;M; Ficke"/>
    <m/>
    <m/>
    <s v=" "/>
    <s v=" "/>
    <m/>
    <s v=" "/>
    <s v=" "/>
    <s v=" "/>
    <m/>
    <s v=" "/>
  </r>
  <r>
    <m/>
    <s v="FBI"/>
    <s v="Federal"/>
    <s v="Fee Simple"/>
    <s v="1109 Airport"/>
    <s v="Cheyenne"/>
    <s v="WY"/>
    <m/>
    <n v="2011"/>
    <n v="7804"/>
    <n v="7804"/>
    <n v="1"/>
    <n v="389375.97"/>
    <n v="49.89440927729369"/>
    <m/>
    <s v=" "/>
    <d v="2011-02-01T00:00:00"/>
    <d v="2026-01-31T00:00:00"/>
    <d v="2021-02-01T00:00:00"/>
    <n v="6.794520547945205"/>
    <n v="1.794520547945206"/>
    <s v="Modified Gross"/>
    <s v="None"/>
    <s v="None"/>
    <m/>
    <s v=" "/>
    <s v=" "/>
    <m/>
    <d v="2019-04-18T00:00:00"/>
    <x v="555"/>
    <s v="Boulder Group"/>
    <x v="594"/>
    <s v="WY"/>
    <s v="Private"/>
    <m/>
    <m/>
    <m/>
    <s v=" "/>
    <s v=" "/>
    <m/>
    <s v=" "/>
    <s v=" "/>
    <s v=" "/>
    <m/>
    <s v=" "/>
  </r>
  <r>
    <s v="LKS40009"/>
    <s v="SSA"/>
    <s v="Federal"/>
    <s v="Fee Simple"/>
    <s v="3010 W 18th Ave"/>
    <s v="Emporia"/>
    <s v="KS"/>
    <n v="0.7"/>
    <m/>
    <n v="4925"/>
    <n v="4925"/>
    <n v="1"/>
    <n v="81411.00999999999"/>
    <n v="16.53015431472081"/>
    <m/>
    <s v=" "/>
    <d v="2005-03-01T00:00:00"/>
    <d v="2017-02-28T00:00:00"/>
    <d v="2012-02-29T00:00:00"/>
    <n v="-2.134246575342466"/>
    <n v="-7.136986301369863"/>
    <s v="Modified Gross"/>
    <m/>
    <m/>
    <m/>
    <s v=" "/>
    <s v=" "/>
    <m/>
    <d v="2019-04-18T00:00:00"/>
    <x v="851"/>
    <m/>
    <x v="595"/>
    <s v="KS"/>
    <m/>
    <m/>
    <m/>
    <m/>
    <s v=" "/>
    <s v=" "/>
    <m/>
    <s v=" "/>
    <s v=" "/>
    <s v=" "/>
    <m/>
    <s v=" "/>
  </r>
  <r>
    <m/>
    <s v="USPS"/>
    <s v="Federal"/>
    <s v="Fee Simple"/>
    <s v="104 Kauble St"/>
    <s v="Welda"/>
    <s v="KS"/>
    <n v="0.3558310376492195"/>
    <n v="1987"/>
    <n v="640"/>
    <n v="640"/>
    <n v="1"/>
    <n v="6900"/>
    <n v="10.78125"/>
    <n v="6527"/>
    <n v="10.1984375"/>
    <d v="2017-01-01T00:00:00"/>
    <d v="2021-12-01T00:00:00"/>
    <d v="2021-12-01T00:00:00"/>
    <n v="2.624657534246575"/>
    <n v="2.624657534246575"/>
    <s v="Rider"/>
    <s v="Option"/>
    <s v="1, 5 year"/>
    <m/>
    <s v=" "/>
    <s v=" "/>
    <m/>
    <d v="2019-04-18T00:00:00"/>
    <x v="8"/>
    <s v="TCP; Harrison"/>
    <x v="0"/>
    <m/>
    <m/>
    <m/>
    <m/>
    <m/>
    <s v=" "/>
    <s v=" "/>
    <n v="68750"/>
    <n v="0.09493818181818182"/>
    <s v=" "/>
    <s v=" "/>
    <d v="2019-02-06T00:00:00"/>
    <n v="71"/>
  </r>
  <r>
    <m/>
    <s v="USPS"/>
    <s v="Federal"/>
    <s v="Fee Simple"/>
    <s v="29 E Main St"/>
    <s v="Dryden"/>
    <s v="NY"/>
    <n v="0.4772727272727273"/>
    <n v="1975"/>
    <n v="2900"/>
    <n v="2900"/>
    <n v="1"/>
    <n v="27740"/>
    <n v="9.565517241379311"/>
    <n v="24109"/>
    <n v="8.313448275862068"/>
    <d v="2015-10-01T00:00:00"/>
    <d v="2020-09-30T00:00:00"/>
    <d v="2020-09-30T00:00:00"/>
    <n v="1.457534246575342"/>
    <n v="1.457534246575342"/>
    <s v="Rider"/>
    <s v="Option"/>
    <s v="1, 5 year"/>
    <m/>
    <s v=" "/>
    <s v=" "/>
    <m/>
    <d v="2019-04-17T00:00:00"/>
    <x v="8"/>
    <s v="TCP; Harrison"/>
    <x v="0"/>
    <m/>
    <m/>
    <m/>
    <m/>
    <n v="325000"/>
    <n v="0.07418153846153847"/>
    <s v=" "/>
    <n v="311000"/>
    <n v="0.07752090032154341"/>
    <s v=" "/>
    <s v="Yes"/>
    <d v="2018-11-27T00:00:00"/>
    <n v="141"/>
  </r>
  <r>
    <m/>
    <s v="USPS"/>
    <s v="Federal"/>
    <s v="Fee Simple"/>
    <s v="7027 Saginaw Rd"/>
    <s v="Saginaw"/>
    <s v="MN"/>
    <n v="0.46"/>
    <n v="1988"/>
    <n v="1560"/>
    <n v="1560"/>
    <n v="1"/>
    <n v="17600"/>
    <n v="11.28205128205128"/>
    <m/>
    <s v=" "/>
    <m/>
    <m/>
    <m/>
    <s v=" "/>
    <s v=" "/>
    <m/>
    <m/>
    <m/>
    <n v="227833"/>
    <n v="146.0467948717949"/>
    <s v=" "/>
    <m/>
    <d v="2019-04-11T00:00:00"/>
    <x v="8"/>
    <m/>
    <x v="0"/>
    <m/>
    <m/>
    <m/>
    <m/>
    <m/>
    <s v=" "/>
    <s v=" "/>
    <m/>
    <s v=" "/>
    <s v=" "/>
    <s v=" "/>
    <m/>
    <s v=" "/>
  </r>
  <r>
    <m/>
    <s v="VA"/>
    <s v="Federal"/>
    <s v="Fee Simple"/>
    <s v="280 Cohasset Rd"/>
    <s v="Chico"/>
    <s v="CA"/>
    <n v="1.19"/>
    <n v="1997"/>
    <n v="13080"/>
    <n v="13080"/>
    <n v="1"/>
    <m/>
    <s v=" "/>
    <n v="269439"/>
    <n v="20.59931192660551"/>
    <d v="2001-03-12T00:00:00"/>
    <d v="2019-09-11T00:00:00"/>
    <d v="2019-09-11T00:00:00"/>
    <n v="0.4246575342465753"/>
    <n v="0.4246575342465753"/>
    <s v="Modified Gross"/>
    <s v="None"/>
    <s v="None"/>
    <n v="2100000"/>
    <n v="160.5504587155963"/>
    <n v="0.1283042857142857"/>
    <m/>
    <d v="2019-04-09T00:00:00"/>
    <x v="852"/>
    <m/>
    <x v="596"/>
    <s v="CA"/>
    <s v="Private"/>
    <m/>
    <m/>
    <n v="2289000"/>
    <n v="0.1177103538663172"/>
    <n v="0.9174311926605505"/>
    <n v="2289000"/>
    <n v="0.1177103538663172"/>
    <n v="0.01059393184796853"/>
    <s v="No"/>
    <d v="2018-06-24T00:00:00"/>
    <n v="289"/>
  </r>
  <r>
    <s v="LSC60277"/>
    <s v="SSA"/>
    <s v="Federal"/>
    <s v="Fee Simple"/>
    <s v="475 Main St"/>
    <s v="Mauldin"/>
    <s v="SC"/>
    <n v="2.09"/>
    <n v="2018"/>
    <n v="18333"/>
    <n v="18333"/>
    <n v="1"/>
    <n v="572484.65"/>
    <n v="31.22700321824033"/>
    <n v="406620.4725"/>
    <n v="22.17970176730486"/>
    <d v="2018-08-01T00:00:00"/>
    <d v="2033-07-31T00:00:00"/>
    <d v="2028-08-01T00:00:00"/>
    <n v="14.33150684931507"/>
    <n v="9.331506849315069"/>
    <s v="Modified Gross"/>
    <s v="None"/>
    <s v="None"/>
    <n v="6024007"/>
    <n v="328.5881743304424"/>
    <n v="0.0675"/>
    <m/>
    <d v="2019-04-05T00:00:00"/>
    <x v="103"/>
    <s v="C&amp;W; Trautvetter"/>
    <x v="1"/>
    <s v="IL"/>
    <s v="Private"/>
    <m/>
    <m/>
    <m/>
    <s v=" "/>
    <s v=" "/>
    <m/>
    <s v=" "/>
    <s v=" "/>
    <s v=" "/>
    <d v="2017-09-27T00:00:00"/>
    <n v="555"/>
  </r>
  <r>
    <m/>
    <s v="USPS"/>
    <s v="Federal"/>
    <s v="Fee Simple"/>
    <s v="123 W Greeley Ave"/>
    <s v="Tribune"/>
    <s v="KS"/>
    <n v="0.19"/>
    <n v="1963"/>
    <n v="2352"/>
    <n v="2352"/>
    <n v="1"/>
    <n v="12882"/>
    <n v="5.477040816326531"/>
    <n v="11708"/>
    <n v="4.977891156462585"/>
    <d v="2018-12-01T00:00:00"/>
    <d v="2023-11-30T00:00:00"/>
    <d v="2019-05-30T00:00:00"/>
    <n v="4.663013698630137"/>
    <n v="0.1561643835616438"/>
    <s v="Rider"/>
    <s v="Options"/>
    <s v="1, 5 year"/>
    <m/>
    <s v=" "/>
    <s v=" "/>
    <m/>
    <d v="2019-04-03T00:00:00"/>
    <x v="8"/>
    <s v="TCP; Harrison"/>
    <x v="0"/>
    <m/>
    <m/>
    <m/>
    <m/>
    <n v="161500"/>
    <n v="0.07249535603715171"/>
    <s v=" "/>
    <n v="161500"/>
    <n v="0.07249535603715171"/>
    <s v=" "/>
    <s v="No"/>
    <d v="2019-02-06T00:00:00"/>
    <n v="56"/>
  </r>
  <r>
    <m/>
    <s v="USPS"/>
    <s v="Federal"/>
    <s v="Fee Simple"/>
    <s v="31610 US Hwy 74"/>
    <s v="Homeland"/>
    <s v="CA"/>
    <n v="0.15"/>
    <n v="1962"/>
    <n v="2236"/>
    <n v="2236"/>
    <n v="1"/>
    <n v="9975"/>
    <n v="4.461091234347048"/>
    <m/>
    <s v=" "/>
    <m/>
    <m/>
    <m/>
    <s v=" "/>
    <s v=" "/>
    <m/>
    <m/>
    <m/>
    <n v="200000"/>
    <n v="89.44543828264759"/>
    <s v=" "/>
    <m/>
    <d v="2019-04-02T00:00:00"/>
    <x v="8"/>
    <m/>
    <x v="597"/>
    <s v="CA"/>
    <s v="Private"/>
    <m/>
    <m/>
    <m/>
    <s v=" "/>
    <s v=" "/>
    <m/>
    <s v=" "/>
    <s v=" "/>
    <s v=" "/>
    <m/>
    <s v=" "/>
  </r>
  <r>
    <m/>
    <s v="USDA"/>
    <s v="Federal"/>
    <s v="Fee Simple"/>
    <s v="1665 43rd St S"/>
    <s v="Fargo"/>
    <s v="ND"/>
    <n v="1.41"/>
    <n v="1900"/>
    <n v="8834"/>
    <n v="15000"/>
    <n v="0.5889333333333333"/>
    <m/>
    <s v=" "/>
    <m/>
    <s v=" "/>
    <m/>
    <d v="2020-01-30T00:00:00"/>
    <d v="2015-01-30T00:00:00"/>
    <n v="0.8328767123287671"/>
    <n v="-4.16986301369863"/>
    <s v="Modified Gross"/>
    <s v="None"/>
    <s v="None"/>
    <n v="2231000"/>
    <n v="148.7333333333333"/>
    <s v=" "/>
    <m/>
    <d v="2019-04-01T00:00:00"/>
    <x v="853"/>
    <m/>
    <x v="598"/>
    <s v="ND"/>
    <s v="Private"/>
    <m/>
    <m/>
    <m/>
    <s v=" "/>
    <s v=" "/>
    <m/>
    <s v=" "/>
    <s v=" "/>
    <s v=" "/>
    <m/>
    <s v=" "/>
  </r>
  <r>
    <s v="LCA03205"/>
    <s v="USCIS"/>
    <s v="Federal"/>
    <s v="Fee Simple"/>
    <s v="655 W Rialto Ave"/>
    <s v="San Bernardino"/>
    <s v="CA"/>
    <n v="3.79"/>
    <n v="2001"/>
    <n v="37277"/>
    <n v="59102"/>
    <n v="0.6307231565767656"/>
    <n v="994699.13"/>
    <n v="26.68399093274673"/>
    <n v="1380000"/>
    <n v="23.34946363913235"/>
    <d v="2015-03-02T00:00:00"/>
    <d v="2025-03-01T00:00:00"/>
    <d v="2020-03-02T00:00:00"/>
    <n v="5.920547945205479"/>
    <n v="0.9205479452054794"/>
    <s v="Modified Gross"/>
    <s v="None"/>
    <s v="None"/>
    <n v="18400000"/>
    <n v="311.326181855098"/>
    <n v="0.075"/>
    <m/>
    <d v="2019-04-01T00:00:00"/>
    <x v="854"/>
    <s v="C&amp;W; Garey"/>
    <x v="1"/>
    <s v="IL"/>
    <s v="Private"/>
    <m/>
    <m/>
    <m/>
    <s v=" "/>
    <s v=" "/>
    <m/>
    <s v=" "/>
    <s v=" "/>
    <s v=" "/>
    <m/>
    <s v=" "/>
  </r>
  <r>
    <m/>
    <s v="Multi"/>
    <s v="State"/>
    <s v="Fee Simple"/>
    <s v="Portfolio of Three"/>
    <m/>
    <m/>
    <n v="21.72"/>
    <m/>
    <n v="299639"/>
    <n v="299639"/>
    <n v="1"/>
    <m/>
    <s v=" "/>
    <n v="3106200"/>
    <n v="10.36647432410334"/>
    <m/>
    <m/>
    <m/>
    <s v=" "/>
    <s v=" "/>
    <m/>
    <m/>
    <m/>
    <n v="41750000"/>
    <n v="139.3343323132169"/>
    <n v="0.07439999999999999"/>
    <m/>
    <d v="2019-04-01T00:00:00"/>
    <x v="223"/>
    <s v="Direct"/>
    <x v="1"/>
    <s v="IL"/>
    <s v="Private"/>
    <m/>
    <m/>
    <m/>
    <s v=" "/>
    <s v=" "/>
    <m/>
    <s v=" "/>
    <s v=" "/>
    <s v=" "/>
    <m/>
    <s v=" "/>
  </r>
  <r>
    <s v="LCA03266"/>
    <s v="SSA"/>
    <s v="Federal"/>
    <s v="Fee Simple"/>
    <s v="348 E Yosemite Ave"/>
    <s v="Madera"/>
    <s v="CA"/>
    <n v="0.43"/>
    <n v="2000"/>
    <n v="6164"/>
    <n v="6826"/>
    <n v="0.9030178728391445"/>
    <n v="198855.79"/>
    <n v="32.26083549643089"/>
    <n v="133360"/>
    <n v="19.5370641664225"/>
    <d v="2018-05-17T00:00:00"/>
    <d v="2033-05-16T00:00:00"/>
    <d v="2028-05-17T00:00:00"/>
    <n v="14.14520547945206"/>
    <n v="9.145205479452056"/>
    <s v="Modified Gross"/>
    <s v="None"/>
    <s v="None"/>
    <n v="1725000"/>
    <n v="252.7102256079695"/>
    <n v="0.07731014492753623"/>
    <m/>
    <d v="2019-03-28T00:00:00"/>
    <x v="855"/>
    <s v="Public REG"/>
    <x v="599"/>
    <s v="AZ"/>
    <s v="Private"/>
    <s v="BW; Wells"/>
    <m/>
    <n v="1895000"/>
    <n v="0.07037467018469656"/>
    <n v="0.9102902374670184"/>
    <n v="1895000"/>
    <n v="0.07037467018469656"/>
    <n v="0.006935474742839662"/>
    <s v="No"/>
    <d v="2018-01-22T00:00:00"/>
    <n v="430"/>
  </r>
  <r>
    <s v="LDC02296"/>
    <s v="Edu."/>
    <s v="Federal"/>
    <s v="Fee Simple"/>
    <s v="830 1st St NE"/>
    <s v="Washington"/>
    <s v="DC"/>
    <n v="0.75"/>
    <n v="2001"/>
    <n v="247337"/>
    <n v="247337"/>
    <n v="1"/>
    <n v="9747351.74"/>
    <n v="39.40919369119865"/>
    <n v="7400925"/>
    <n v="29.92243376445902"/>
    <d v="2011-08-01T00:00:00"/>
    <d v="2026-07-31T00:00:00"/>
    <d v="2026-07-31T00:00:00"/>
    <n v="7.356164383561643"/>
    <n v="7.356164383561643"/>
    <s v="Modified Gross"/>
    <m/>
    <m/>
    <n v="116550000"/>
    <n v="471.2194293615593"/>
    <n v="0.0635"/>
    <m/>
    <d v="2019-03-25T00:00:00"/>
    <x v="792"/>
    <s v="C&amp;W; Collins"/>
    <x v="1"/>
    <s v="IL"/>
    <s v="Private"/>
    <m/>
    <m/>
    <m/>
    <s v=" "/>
    <s v=" "/>
    <m/>
    <s v=" "/>
    <s v=" "/>
    <s v=" "/>
    <d v="2018-10-25T00:00:00"/>
    <n v="151"/>
  </r>
  <r>
    <m/>
    <s v="Mental Health"/>
    <s v="State"/>
    <s v="Fee Simple"/>
    <s v="1547 Commerce Dr"/>
    <s v="Marshall"/>
    <s v="MO"/>
    <n v="2.49"/>
    <n v="2017"/>
    <n v="15759"/>
    <n v="15759"/>
    <n v="1"/>
    <m/>
    <s v=" "/>
    <n v="295322"/>
    <n v="18.73989466336696"/>
    <d v="2017-11-01T00:00:00"/>
    <d v="2032-10-31T00:00:00"/>
    <m/>
    <n v="13.61643835616438"/>
    <s v=" "/>
    <m/>
    <m/>
    <m/>
    <n v="3350000"/>
    <n v="212.5769401611777"/>
    <n v="0.08815582089552239"/>
    <m/>
    <d v="2019-03-24T00:00:00"/>
    <x v="825"/>
    <s v="SVN; Jacquemin"/>
    <x v="1"/>
    <s v="IL"/>
    <s v="Private"/>
    <m/>
    <m/>
    <m/>
    <s v=" "/>
    <s v=" "/>
    <m/>
    <s v=" "/>
    <s v=" "/>
    <s v=" "/>
    <m/>
    <s v=" "/>
  </r>
  <r>
    <m/>
    <s v="Mental Health"/>
    <s v="State"/>
    <s v="Fee Simple"/>
    <s v="2050 E Hunter St"/>
    <s v="Nevada"/>
    <s v="MO"/>
    <n v="5"/>
    <n v="2014"/>
    <n v="21456"/>
    <n v="21456"/>
    <n v="1"/>
    <m/>
    <s v=" "/>
    <n v="308962"/>
    <n v="14.39979492915734"/>
    <d v="2017-11-01T00:00:00"/>
    <d v="2032-10-31T00:00:00"/>
    <m/>
    <n v="13.61643835616438"/>
    <s v=" "/>
    <m/>
    <m/>
    <m/>
    <n v="3750000"/>
    <n v="174.7762863534676"/>
    <n v="0.08238986666666667"/>
    <m/>
    <d v="2019-03-24T00:00:00"/>
    <x v="825"/>
    <s v="SVN; Jacquemin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33 1st Ave NW"/>
    <s v="Garrison"/>
    <s v="ND"/>
    <m/>
    <n v="1979"/>
    <n v="2160"/>
    <n v="2160"/>
    <n v="1"/>
    <n v="24420"/>
    <n v="11.30555555555556"/>
    <n v="22964"/>
    <n v="10.63148148148148"/>
    <d v="2019-10-01T00:00:00"/>
    <d v="2024-09-30T00:00:00"/>
    <d v="2024-09-30T00:00:00"/>
    <n v="5.534246575342466"/>
    <n v="5.534246575342466"/>
    <s v="Rider"/>
    <s v="Options"/>
    <s v="2, 5 year"/>
    <m/>
    <s v=" "/>
    <s v=" "/>
    <m/>
    <d v="2019-03-21T00:00:00"/>
    <x v="856"/>
    <s v="TCP; Harrison"/>
    <x v="0"/>
    <m/>
    <m/>
    <m/>
    <m/>
    <n v="287059"/>
    <n v="0.07999749180482062"/>
    <s v=" "/>
    <n v="287059"/>
    <n v="0.07999749180482062"/>
    <s v=" "/>
    <s v="No"/>
    <d v="2019-01-15T00:00:00"/>
    <n v="65"/>
  </r>
  <r>
    <m/>
    <s v="USPS"/>
    <s v="Federal"/>
    <s v="Fee Simple"/>
    <s v="39 Main St"/>
    <s v="Saxtons River"/>
    <s v="VT"/>
    <n v="0.1"/>
    <n v="1960"/>
    <n v="1629"/>
    <n v="1629"/>
    <n v="1"/>
    <n v="27000"/>
    <n v="16.57458563535912"/>
    <n v="25978"/>
    <n v="15.94720687538367"/>
    <d v="2017-11-01T00:00:00"/>
    <d v="2022-10-31T00:00:00"/>
    <d v="2022-10-31T00:00:00"/>
    <n v="3.616438356164383"/>
    <n v="3.616438356164383"/>
    <s v="Rider"/>
    <s v="None"/>
    <s v="None"/>
    <m/>
    <s v=" "/>
    <s v=" "/>
    <m/>
    <d v="2019-03-21T00:00:00"/>
    <x v="8"/>
    <s v="TCP; Harrison"/>
    <x v="0"/>
    <m/>
    <m/>
    <m/>
    <m/>
    <n v="335000"/>
    <n v="0.07754626865671642"/>
    <s v=" "/>
    <n v="335000"/>
    <n v="0.07754626865671642"/>
    <s v=" "/>
    <s v="No"/>
    <d v="2018-07-03T00:00:00"/>
    <n v="261"/>
  </r>
  <r>
    <s v="LCA03260"/>
    <s v="Multi"/>
    <s v="Federal"/>
    <s v="Fee Simple"/>
    <s v="170-260 W Commercial Ave"/>
    <s v="El Centro"/>
    <s v="CA"/>
    <n v="10.3"/>
    <m/>
    <n v="30000"/>
    <n v="72950"/>
    <n v="0.4112405757368061"/>
    <n v="631951.13"/>
    <n v="21.06503766666667"/>
    <n v="477750"/>
    <n v="6.549006168608636"/>
    <d v="2016-09-12T00:00:00"/>
    <d v="2026-09-11T00:00:00"/>
    <d v="2021-09-12T00:00:00"/>
    <n v="7.49041095890411"/>
    <n v="2.49041095890411"/>
    <m/>
    <m/>
    <m/>
    <n v="5750000"/>
    <n v="78.82111034955449"/>
    <n v="0.08308695652173913"/>
    <m/>
    <d v="2019-03-18T00:00:00"/>
    <x v="857"/>
    <s v="Furguson Co."/>
    <x v="600"/>
    <s v="ID"/>
    <s v="Private"/>
    <m/>
    <m/>
    <n v="6125000"/>
    <n v="0.078"/>
    <n v="0.9387755102040817"/>
    <n v="6125000"/>
    <n v="0.078"/>
    <n v="0.005086956521739128"/>
    <s v="No"/>
    <m/>
    <s v=" "/>
  </r>
  <r>
    <m/>
    <s v="FS"/>
    <s v="Federal"/>
    <s v="Fee Simple"/>
    <s v="2250 E Richards St"/>
    <s v="Douglas"/>
    <s v="WY"/>
    <n v="3"/>
    <m/>
    <n v="13596"/>
    <n v="13596"/>
    <n v="1"/>
    <m/>
    <s v=" "/>
    <m/>
    <s v=" "/>
    <m/>
    <d v="2021-12-31T00:00:00"/>
    <d v="2016-12-31T00:00:00"/>
    <n v="2.8"/>
    <n v="-2.202739726027397"/>
    <s v="Modified Gross"/>
    <s v="None"/>
    <s v="None"/>
    <m/>
    <s v=" "/>
    <s v=" "/>
    <m/>
    <d v="2019-03-15T00:00:00"/>
    <x v="8"/>
    <m/>
    <x v="42"/>
    <s v="VA"/>
    <s v="Private"/>
    <m/>
    <m/>
    <m/>
    <s v=" "/>
    <s v=" "/>
    <m/>
    <s v=" "/>
    <s v=" "/>
    <s v=" "/>
    <m/>
    <s v=" "/>
  </r>
  <r>
    <m/>
    <s v="Hum. Ser."/>
    <s v="Municipal"/>
    <s v="Fee Simple"/>
    <s v="1001 N Plymouth Ave"/>
    <s v="Minneapolis"/>
    <s v="MN"/>
    <n v="1.6311"/>
    <n v="1984"/>
    <n v="24593"/>
    <n v="24593"/>
    <n v="1"/>
    <m/>
    <s v=" "/>
    <m/>
    <s v=" "/>
    <m/>
    <m/>
    <m/>
    <s v=" "/>
    <s v=" "/>
    <m/>
    <m/>
    <m/>
    <n v="7890000"/>
    <n v="320.8229984141829"/>
    <s v=" "/>
    <m/>
    <d v="2019-03-15T00:00:00"/>
    <x v="858"/>
    <s v="Direct"/>
    <x v="1"/>
    <s v="IL"/>
    <s v="Private"/>
    <m/>
    <m/>
    <m/>
    <s v=" "/>
    <s v=" "/>
    <m/>
    <s v=" "/>
    <s v=" "/>
    <s v=" "/>
    <m/>
    <s v=" "/>
  </r>
  <r>
    <s v="LDC02025"/>
    <s v="DOJ"/>
    <s v="Federal"/>
    <s v="Fee Simple"/>
    <s v="500 1st St NW"/>
    <s v="Washington"/>
    <s v="DC"/>
    <n v="0.41"/>
    <n v="1969"/>
    <n v="129035"/>
    <n v="129035"/>
    <n v="1"/>
    <n v="7065760.92"/>
    <n v="54.75848351222537"/>
    <m/>
    <s v=" "/>
    <m/>
    <m/>
    <m/>
    <s v=" "/>
    <s v=" "/>
    <s v="Modified Gross"/>
    <s v="None"/>
    <s v="None"/>
    <n v="70000000"/>
    <n v="542.4884721199675"/>
    <s v=" "/>
    <m/>
    <d v="2019-03-15T00:00:00"/>
    <x v="247"/>
    <s v="C&amp;W; Collins"/>
    <x v="601"/>
    <s v="DC"/>
    <s v="User"/>
    <m/>
    <m/>
    <m/>
    <s v=" "/>
    <s v=" "/>
    <m/>
    <s v=" "/>
    <s v=" "/>
    <s v=" "/>
    <m/>
    <s v=" "/>
  </r>
  <r>
    <m/>
    <s v="VA/CBOC"/>
    <s v="Federal"/>
    <s v="Fee Simple"/>
    <s v="8 2nd Ave SE"/>
    <s v="Cut Bank"/>
    <s v="MT"/>
    <n v="0.1"/>
    <n v="1995"/>
    <n v="1698"/>
    <n v="1698"/>
    <n v="1"/>
    <n v="42190"/>
    <n v="24.84687868080094"/>
    <n v="15555"/>
    <n v="9.16077738515901"/>
    <d v="2018-10-01T00:00:00"/>
    <d v="2028-09-30T00:00:00"/>
    <d v="2023-09-30T00:00:00"/>
    <n v="9.558904109589042"/>
    <n v="4.553424657534246"/>
    <s v="Modified Gross"/>
    <s v="None"/>
    <s v="None"/>
    <n v="170000"/>
    <n v="100.1177856301531"/>
    <n v="0.0915"/>
    <m/>
    <d v="2019-03-13T00:00:00"/>
    <x v="859"/>
    <s v="Rahul Chhajed"/>
    <x v="0"/>
    <m/>
    <s v="Private"/>
    <m/>
    <m/>
    <n v="175621"/>
    <n v="0.08857141230262895"/>
    <n v="0.9679935770779121"/>
    <n v="175621"/>
    <n v="0.08857141230262895"/>
    <n v="0.002928587697371046"/>
    <s v="No"/>
    <d v="2018-10-29T00:00:00"/>
    <n v="135"/>
  </r>
  <r>
    <s v="LKY00248"/>
    <s v="DOJ"/>
    <s v="Federal"/>
    <s v="Fee Simple"/>
    <s v="260 W Vine St"/>
    <s v="Lexington"/>
    <s v="KY"/>
    <n v="0.28"/>
    <n v="2005"/>
    <n v="39516"/>
    <n v="44717"/>
    <n v="0.8836907663752041"/>
    <n v="733979.39"/>
    <n v="18.57423296892398"/>
    <n v="358200"/>
    <n v="8.010376366929803"/>
    <d v="2019-03-22T00:00:00"/>
    <d v="2034-03-21T00:00:00"/>
    <d v="2029-03-22T00:00:00"/>
    <n v="15.03287671232877"/>
    <n v="10.03287671232877"/>
    <s v="Modified Gross"/>
    <s v="None"/>
    <s v="None"/>
    <n v="4975000"/>
    <n v="111.2552273184695"/>
    <n v="0.07199999999999999"/>
    <m/>
    <d v="2019-03-13T00:00:00"/>
    <x v="860"/>
    <s v="Direct"/>
    <x v="42"/>
    <s v="VA"/>
    <s v="Private"/>
    <m/>
    <m/>
    <m/>
    <s v=" "/>
    <s v=" "/>
    <m/>
    <s v=" "/>
    <s v=" "/>
    <s v=" "/>
    <m/>
    <s v=" "/>
  </r>
  <r>
    <s v="LCA00384"/>
    <s v="FBI"/>
    <s v="Federal"/>
    <s v="Fee Simple"/>
    <s v="4420 Auburn Blvd"/>
    <s v="Sacramento"/>
    <s v="CA"/>
    <n v="1.72"/>
    <n v="2000"/>
    <n v="16175"/>
    <n v="33170"/>
    <n v="0.4876394332227917"/>
    <n v="368790"/>
    <n v="22.8"/>
    <m/>
    <s v=" "/>
    <d v="2018-07-30T00:00:00"/>
    <d v="2033-07-29T00:00:00"/>
    <d v="2028-07-29T00:00:00"/>
    <n v="14.39178082191781"/>
    <n v="9.389041095890411"/>
    <s v="Modified Gross"/>
    <m/>
    <m/>
    <n v="5771500"/>
    <n v="173.9975881820922"/>
    <s v=" "/>
    <m/>
    <d v="2019-03-12T00:00:00"/>
    <x v="861"/>
    <m/>
    <x v="602"/>
    <s v="CA"/>
    <s v="Private"/>
    <m/>
    <m/>
    <m/>
    <s v=" "/>
    <s v=" "/>
    <m/>
    <s v=" "/>
    <s v=" "/>
    <s v=" "/>
    <m/>
    <s v=" "/>
  </r>
  <r>
    <m/>
    <s v="VA"/>
    <s v="Federal"/>
    <s v="Fee Simple"/>
    <s v="351 Hartnell Ave"/>
    <s v="Redding"/>
    <s v="CA"/>
    <n v="5.4"/>
    <n v="1995"/>
    <n v="44166"/>
    <n v="44166"/>
    <n v="1"/>
    <n v="1157700"/>
    <n v="26.21247113163972"/>
    <n v="1040748"/>
    <n v="23.56446135036001"/>
    <d v="2001-01-11T00:00:00"/>
    <d v="2021-10-31T00:00:00"/>
    <d v="2021-10-31T00:00:00"/>
    <n v="2.652054794520548"/>
    <n v="2.652054794520548"/>
    <s v="Modified Gross"/>
    <s v="None"/>
    <s v="None"/>
    <n v="4500000"/>
    <n v="101.8883303898927"/>
    <n v="0.2312773333333333"/>
    <m/>
    <d v="2019-03-08T00:00:00"/>
    <x v="8"/>
    <s v="Jim Sager"/>
    <x v="603"/>
    <m/>
    <m/>
    <m/>
    <m/>
    <n v="4950000"/>
    <n v="0.2102521212121212"/>
    <n v="0.9090909090909091"/>
    <n v="4950000"/>
    <n v="0.2102521212121212"/>
    <n v="0.02102521212121211"/>
    <s v="No"/>
    <d v="2018-03-07T00:00:00"/>
    <n v="366"/>
  </r>
  <r>
    <m/>
    <s v="USPS"/>
    <s v="Federal"/>
    <s v="Fee Simple"/>
    <s v="100 Town Centre Ct"/>
    <s v="Foristell"/>
    <s v="MO"/>
    <n v="2.31"/>
    <n v="2002"/>
    <n v="5456"/>
    <n v="5456"/>
    <n v="1"/>
    <m/>
    <s v=" "/>
    <n v="93159"/>
    <n v="17.07459677419355"/>
    <m/>
    <m/>
    <m/>
    <s v=" "/>
    <s v=" "/>
    <s v="Rider"/>
    <s v="None"/>
    <s v="None"/>
    <n v="985000"/>
    <n v="180.5351906158358"/>
    <n v="0.09457766497461929"/>
    <m/>
    <d v="2019-03-07T00:00:00"/>
    <x v="862"/>
    <s v="Kevin King"/>
    <x v="406"/>
    <s v="HI"/>
    <s v="Private"/>
    <s v="Chet Hunt"/>
    <m/>
    <n v="990000"/>
    <n v="0.0941"/>
    <n v="0.9949494949494949"/>
    <n v="990000"/>
    <n v="0.0941"/>
    <n v="0.0004776649746192907"/>
    <s v="No"/>
    <d v="2018-11-29T00:00:00"/>
    <n v="98"/>
  </r>
  <r>
    <s v="LCO14226"/>
    <s v="FBI"/>
    <s v="Federal"/>
    <s v="Fee Simple"/>
    <s v="8000 E 36th Ave"/>
    <s v="Denver"/>
    <s v="CO"/>
    <n v="10"/>
    <n v="2010"/>
    <n v="175155"/>
    <n v="175155"/>
    <n v="1"/>
    <n v="6339161.66"/>
    <n v="36.19172538608661"/>
    <n v="3951180"/>
    <n v="22.55819131626274"/>
    <d v="2010-03-12T00:00:00"/>
    <d v="2030-03-11T00:00:00"/>
    <d v="2030-03-11T00:00:00"/>
    <n v="11.02739726027397"/>
    <n v="11.02739726027397"/>
    <s v="Modified Gross"/>
    <m/>
    <m/>
    <n v="72900000"/>
    <n v="416.2027918129656"/>
    <n v="0.0542"/>
    <m/>
    <d v="2019-03-04T00:00:00"/>
    <x v="863"/>
    <s v="JLL: Saal"/>
    <x v="242"/>
    <s v="TX"/>
    <s v="Institutional"/>
    <m/>
    <m/>
    <m/>
    <s v=" "/>
    <s v=" "/>
    <m/>
    <s v=" "/>
    <s v=" "/>
    <s v=" "/>
    <m/>
    <s v=" "/>
  </r>
  <r>
    <m/>
    <s v="USPS"/>
    <s v="Federal"/>
    <s v="Fee Simple"/>
    <s v="1470 Blue Ball Rd"/>
    <s v="Elkton"/>
    <s v="MD"/>
    <n v="2.97"/>
    <n v="1985"/>
    <n v="1168"/>
    <n v="1168"/>
    <n v="1"/>
    <m/>
    <s v=" "/>
    <m/>
    <s v=" "/>
    <m/>
    <m/>
    <m/>
    <s v=" "/>
    <s v=" "/>
    <m/>
    <m/>
    <m/>
    <n v="138600"/>
    <n v="118.6643835616438"/>
    <s v=" "/>
    <m/>
    <d v="2019-03-04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11219 Highway 221 S"/>
    <s v="Waterloo"/>
    <s v="SC"/>
    <n v="1.26"/>
    <n v="1991"/>
    <n v="2331"/>
    <n v="2331"/>
    <n v="1"/>
    <m/>
    <s v=" "/>
    <m/>
    <s v=" "/>
    <m/>
    <m/>
    <m/>
    <s v=" "/>
    <s v=" "/>
    <m/>
    <m/>
    <m/>
    <n v="301579"/>
    <n v="129.3775203775204"/>
    <s v=" "/>
    <m/>
    <d v="2019-03-04T00:00:00"/>
    <x v="8"/>
    <m/>
    <x v="66"/>
    <s v="CA"/>
    <s v="Private"/>
    <m/>
    <m/>
    <m/>
    <s v=" "/>
    <s v=" "/>
    <m/>
    <s v=" "/>
    <s v=" "/>
    <s v=" "/>
    <m/>
    <s v=" "/>
  </r>
  <r>
    <s v="LGA00300"/>
    <s v="SSA"/>
    <s v="Federal"/>
    <s v="Fee Simple"/>
    <s v="480 Riverside Pky NE"/>
    <s v="Rome"/>
    <s v="GA"/>
    <n v="2.53"/>
    <n v="2008"/>
    <n v="14300"/>
    <n v="14300"/>
    <n v="1"/>
    <n v="419290.41"/>
    <n v="29.32100769230769"/>
    <n v="286800"/>
    <n v="20.05594405594406"/>
    <d v="2018-11-16T00:00:00"/>
    <d v="2028-11-15T00:00:00"/>
    <d v="2023-11-16T00:00:00"/>
    <n v="9.717808219178082"/>
    <n v="4.715068493150685"/>
    <s v="Modified Gross"/>
    <s v="None"/>
    <s v="None"/>
    <n v="3775000"/>
    <n v="263.986013986014"/>
    <n v="0.07597350993377483"/>
    <m/>
    <d v="2019-03-01T00:00:00"/>
    <x v="103"/>
    <s v="M&amp;M; Ficke"/>
    <x v="604"/>
    <s v="WY"/>
    <s v="Private"/>
    <s v="BW; Wells"/>
    <s v="Rooker"/>
    <n v="3824000"/>
    <n v="0.075"/>
    <n v="0.9871861924686193"/>
    <n v="3824000"/>
    <n v="0.075"/>
    <n v="0.0009735099337748326"/>
    <s v="No"/>
    <d v="2018-12-09T00:00:00"/>
    <n v="82"/>
  </r>
  <r>
    <s v="LMO21045"/>
    <s v="CBP"/>
    <s v="Federal"/>
    <s v="Fee Simple"/>
    <s v="4349-4363 Woodson Rd"/>
    <s v="Saint Louis"/>
    <s v="MO"/>
    <n v="2.49"/>
    <n v="1967"/>
    <n v="14600"/>
    <n v="53350"/>
    <n v="0.2736644798500469"/>
    <n v="373811.2"/>
    <n v="25.60350684931507"/>
    <m/>
    <s v=" "/>
    <d v="2017-05-15T00:00:00"/>
    <d v="2032-05-14T00:00:00"/>
    <d v="2032-05-14T00:00:00"/>
    <n v="13.21369863013699"/>
    <n v="13.21369863013699"/>
    <m/>
    <m/>
    <m/>
    <m/>
    <s v=" "/>
    <s v=" "/>
    <m/>
    <d v="2019-03-01T00:00:00"/>
    <x v="864"/>
    <m/>
    <x v="0"/>
    <m/>
    <m/>
    <m/>
    <m/>
    <m/>
    <s v=" "/>
    <s v=" "/>
    <m/>
    <s v=" "/>
    <s v=" "/>
    <s v=" "/>
    <m/>
    <s v=" "/>
  </r>
  <r>
    <m/>
    <s v="Washington DC Regional Training Facility (RTF)"/>
    <s v="Federal"/>
    <s v="Fee Simple"/>
    <s v="830 1st St NE"/>
    <s v="Washington"/>
    <s v="DC"/>
    <n v="0.75"/>
    <s v="2001"/>
    <m/>
    <n v="247337"/>
    <s v=" "/>
    <n v="7400925"/>
    <s v=" "/>
    <m/>
    <s v=" "/>
    <m/>
    <d v="2026-12-31T00:00:00"/>
    <m/>
    <n v="7.841095890410959"/>
    <s v=" "/>
    <s v="NNN"/>
    <m/>
    <m/>
    <n v="116550000"/>
    <n v="471.2194293615593"/>
    <s v=" "/>
    <m/>
    <d v="2019-03-01T00:00:00"/>
    <x v="8"/>
    <s v="Shaun Weinberg"/>
    <x v="0"/>
    <m/>
    <m/>
    <m/>
    <m/>
    <m/>
    <s v=" "/>
    <s v=" "/>
    <m/>
    <s v=" "/>
    <s v=" "/>
    <s v=" "/>
    <m/>
    <s v=" "/>
  </r>
  <r>
    <m/>
    <s v="Multi"/>
    <s v="Federal"/>
    <s v="Fee Simple"/>
    <s v="250 E St SW"/>
    <s v="Washington"/>
    <s v="DC"/>
    <n v="1.32"/>
    <n v="1991"/>
    <n v="313791.74"/>
    <n v="333821"/>
    <n v="0.9399999999999999"/>
    <m/>
    <s v=" "/>
    <m/>
    <s v=" "/>
    <m/>
    <m/>
    <m/>
    <s v=" "/>
    <s v=" "/>
    <m/>
    <m/>
    <m/>
    <n v="170000000"/>
    <n v="509.2549599935294"/>
    <s v=" "/>
    <m/>
    <d v="2019-02-28T00:00:00"/>
    <x v="865"/>
    <s v="C&amp;W; Collins"/>
    <x v="605"/>
    <s v="CA"/>
    <s v="Private"/>
    <m/>
    <m/>
    <m/>
    <s v=" "/>
    <s v=" "/>
    <m/>
    <s v=" "/>
    <s v=" "/>
    <s v=" "/>
    <m/>
    <s v=" "/>
  </r>
  <r>
    <m/>
    <s v="PennDOT"/>
    <s v="State"/>
    <s v="Fee Simple"/>
    <s v="905 Elmerton Ave"/>
    <s v="Harrisburg"/>
    <s v="PA"/>
    <n v="5.71"/>
    <n v="1986"/>
    <n v="81991"/>
    <n v="81991"/>
    <n v="1"/>
    <m/>
    <s v=" "/>
    <n v="498575"/>
    <n v="6.080850337232135"/>
    <m/>
    <d v="2026-03-31T00:00:00"/>
    <d v="2021-03-31T00:00:00"/>
    <n v="7.093150684931507"/>
    <n v="2.09041095890411"/>
    <m/>
    <m/>
    <m/>
    <n v="6475000"/>
    <n v="78.97208230171604"/>
    <n v="0.077"/>
    <m/>
    <d v="2019-02-27T00:00:00"/>
    <x v="866"/>
    <s v="CBRE; Marzullo"/>
    <x v="1"/>
    <s v="IL"/>
    <s v="Private"/>
    <m/>
    <m/>
    <m/>
    <s v=" "/>
    <s v=" "/>
    <m/>
    <s v=" "/>
    <s v=" "/>
    <s v=" "/>
    <m/>
    <s v=" "/>
  </r>
  <r>
    <s v="LTN60398"/>
    <s v="SSA"/>
    <s v="Federal"/>
    <s v="Fee Simple"/>
    <s v="624 Reliability Cir"/>
    <s v="Knoxville"/>
    <s v="TN"/>
    <n v="0.9"/>
    <n v="1997"/>
    <n v="9369"/>
    <n v="9550"/>
    <n v="0.9810471204188481"/>
    <n v="237477.18"/>
    <n v="25.34712135766891"/>
    <n v="190025.4"/>
    <n v="19.89794764397906"/>
    <d v="2019-02-01T00:00:00"/>
    <d v="2034-01-31T00:00:00"/>
    <d v="2029-02-01T00:00:00"/>
    <n v="14.93698630136986"/>
    <n v="9.936986301369863"/>
    <s v="Modified Gross"/>
    <s v="None"/>
    <s v="None"/>
    <n v="2621040"/>
    <n v="274.4544502617801"/>
    <n v="0.0725"/>
    <m/>
    <d v="2019-02-27T00:00:00"/>
    <x v="308"/>
    <s v="M&amp;M; Ficke"/>
    <x v="399"/>
    <s v="AL"/>
    <s v="Private"/>
    <m/>
    <m/>
    <m/>
    <s v=" "/>
    <s v=" "/>
    <m/>
    <s v=" "/>
    <s v=" "/>
    <s v=" "/>
    <m/>
    <s v=" "/>
  </r>
  <r>
    <m/>
    <s v="IRS, FBI, Multi"/>
    <s v="Federal"/>
    <s v="Fee Simple"/>
    <s v="850 Trafalgar Ct"/>
    <s v="Maitland"/>
    <s v="FL"/>
    <n v="4.78"/>
    <n v="1983"/>
    <n v="91697"/>
    <n v="149074"/>
    <n v="0.6151106162040328"/>
    <m/>
    <s v=" "/>
    <m/>
    <s v=" "/>
    <m/>
    <m/>
    <m/>
    <s v=" "/>
    <s v=" "/>
    <m/>
    <m/>
    <m/>
    <n v="13800000"/>
    <n v="92.57147456967681"/>
    <s v=" "/>
    <m/>
    <d v="2019-02-27T00:00:00"/>
    <x v="867"/>
    <s v="M&amp;M"/>
    <x v="546"/>
    <s v="FL"/>
    <s v="Private"/>
    <m/>
    <m/>
    <m/>
    <s v=" "/>
    <s v=" "/>
    <m/>
    <s v=" "/>
    <s v=" "/>
    <s v=" "/>
    <m/>
    <s v=" "/>
  </r>
  <r>
    <m/>
    <s v="FBP"/>
    <s v="Federal"/>
    <s v="Fee Simple"/>
    <s v="312 Tryon Rd"/>
    <s v="Raleigh"/>
    <s v="NC"/>
    <n v="0.78"/>
    <n v="1998"/>
    <n v="6507"/>
    <n v="6507"/>
    <n v="1"/>
    <m/>
    <s v=" "/>
    <m/>
    <s v=" "/>
    <m/>
    <m/>
    <m/>
    <s v=" "/>
    <s v=" "/>
    <m/>
    <m/>
    <m/>
    <n v="800000"/>
    <n v="122.9445212847702"/>
    <s v=" "/>
    <m/>
    <d v="2019-02-27T00:00:00"/>
    <x v="868"/>
    <s v="Direct"/>
    <x v="497"/>
    <s v="TN"/>
    <s v="REIT"/>
    <m/>
    <m/>
    <m/>
    <s v=" "/>
    <s v=" "/>
    <m/>
    <s v=" "/>
    <s v=" "/>
    <s v=" "/>
    <m/>
    <s v=" "/>
  </r>
  <r>
    <s v="LCA00404"/>
    <s v="BR"/>
    <s v="Federal"/>
    <s v="Fee Simple"/>
    <s v="27226 Via Industria"/>
    <s v="Temecula"/>
    <s v="CA"/>
    <n v="4.39"/>
    <n v="2008"/>
    <n v="3534"/>
    <n v="6912"/>
    <n v="0.5112847222222222"/>
    <n v="107174.93"/>
    <n v="30.32680531975099"/>
    <n v="131670"/>
    <n v="19.04947916666667"/>
    <d v="2018-07-02T00:00:00"/>
    <d v="2028-07-01T00:00:00"/>
    <d v="2023-07-02T00:00:00"/>
    <n v="9.35068493150685"/>
    <n v="4.347945205479452"/>
    <s v="Modified Gross"/>
    <s v="None"/>
    <s v="None"/>
    <n v="2001000"/>
    <n v="289.4965277777778"/>
    <n v="0.06580209895052473"/>
    <m/>
    <d v="2019-02-26T00:00:00"/>
    <x v="869"/>
    <s v="Tobias Com"/>
    <x v="606"/>
    <s v="CA"/>
    <s v="Private"/>
    <s v="None"/>
    <m/>
    <n v="2200000"/>
    <n v="0.05985"/>
    <n v="0.9095454545454545"/>
    <n v="2200000"/>
    <n v="0.05985"/>
    <n v="0.005952098950524731"/>
    <s v="No"/>
    <d v="2018-08-11T00:00:00"/>
    <n v="199"/>
  </r>
  <r>
    <m/>
    <s v="USPS"/>
    <s v="Federal"/>
    <s v="Fee Simple"/>
    <s v="200 S Main St"/>
    <s v="Black Oak"/>
    <s v="AR"/>
    <n v="0.46"/>
    <n v="1976"/>
    <n v="1067"/>
    <n v="1067"/>
    <n v="1"/>
    <n v="9480"/>
    <n v="8.884723523898781"/>
    <n v="7822"/>
    <n v="7.330834114339269"/>
    <d v="2016-03-01T00:00:00"/>
    <d v="2021-02-28T00:00:00"/>
    <d v="2017-02-24T00:00:00"/>
    <n v="2.010958904109589"/>
    <n v="-2.002739726027397"/>
    <s v="Rider"/>
    <s v="None"/>
    <s v="None"/>
    <n v="86100"/>
    <n v="80.69353327085285"/>
    <n v="0.09084785133565622"/>
    <m/>
    <d v="2019-02-25T00:00:00"/>
    <x v="8"/>
    <s v="Thomas Coe"/>
    <x v="0"/>
    <m/>
    <m/>
    <m/>
    <m/>
    <n v="97775"/>
    <n v="0.08"/>
    <n v="0.8805931986704167"/>
    <n v="97775"/>
    <n v="0.08"/>
    <n v="0.01084785133565622"/>
    <s v="No"/>
    <d v="2018-11-17T00:00:00"/>
    <n v="100"/>
  </r>
  <r>
    <m/>
    <s v="VA/CBOC"/>
    <s v="Federal"/>
    <s v="Fee Simple"/>
    <s v="2201 Summerlon Cir"/>
    <s v="Dodge City"/>
    <s v="KS"/>
    <n v="0.68"/>
    <n v="2014"/>
    <n v="5720"/>
    <n v="5720"/>
    <n v="1"/>
    <n v="178807.2"/>
    <n v="31.26"/>
    <n v="120065"/>
    <n v="20.99038461538462"/>
    <d v="2018-11-01T00:00:00"/>
    <d v="2027-10-31T00:00:00"/>
    <d v="2023-10-31T00:00:00"/>
    <n v="8.684931506849315"/>
    <n v="4.682191780821918"/>
    <s v="Modified Gross"/>
    <s v="None"/>
    <s v="None"/>
    <n v="1490000"/>
    <n v="260.4895104895105"/>
    <n v="0.08058053691275167"/>
    <m/>
    <d v="2019-02-25T00:00:00"/>
    <x v="870"/>
    <s v="M&amp;M; Ficke"/>
    <x v="607"/>
    <s v="AZ"/>
    <s v="Private"/>
    <s v="None"/>
    <m/>
    <n v="1519822"/>
    <n v="0.07899938282246211"/>
    <n v="0.9803779653143592"/>
    <n v="1519822"/>
    <n v="0.07899938282246211"/>
    <n v="0.001581154090289569"/>
    <s v="No"/>
    <d v="2018-12-10T00:00:00"/>
    <n v="77"/>
  </r>
  <r>
    <m/>
    <s v="USPS"/>
    <s v="Federal"/>
    <s v="Fee Simple"/>
    <s v="214 Garfield St"/>
    <s v="Willow Lake"/>
    <s v="SD"/>
    <n v="0.17"/>
    <n v="1998"/>
    <n v="1326"/>
    <n v="1326"/>
    <n v="1"/>
    <m/>
    <s v=" "/>
    <n v="13200"/>
    <n v="9.95475113122172"/>
    <m/>
    <d v="2024-02-28T00:00:00"/>
    <m/>
    <n v="5.010958904109589"/>
    <s v=" "/>
    <m/>
    <m/>
    <m/>
    <n v="172000"/>
    <n v="129.7134238310709"/>
    <n v="0.07674418604651163"/>
    <m/>
    <d v="2019-02-25T00:00:00"/>
    <x v="8"/>
    <s v="Upland"/>
    <x v="0"/>
    <m/>
    <m/>
    <m/>
    <m/>
    <n v="176000"/>
    <n v="0.075"/>
    <n v="0.9772727272727273"/>
    <n v="176000"/>
    <n v="0.075"/>
    <n v="0.001744186046511637"/>
    <s v="No"/>
    <d v="2017-07-31T00:00:00"/>
    <n v="574"/>
  </r>
  <r>
    <m/>
    <s v="VA/USDA"/>
    <s v="Federal"/>
    <s v="Fee Simple"/>
    <s v="10365 Old Placerville Rd"/>
    <s v="Sacramento"/>
    <s v="CA"/>
    <n v="1.69"/>
    <n v="1989"/>
    <n v="31749"/>
    <n v="44067"/>
    <n v="0.7204711008237457"/>
    <m/>
    <s v=" "/>
    <n v="391500"/>
    <n v="8.884199060521478"/>
    <m/>
    <d v="2020-11-30T00:00:00"/>
    <d v="2015-11-30T00:00:00"/>
    <n v="1.775342465753425"/>
    <n v="-3.23013698630137"/>
    <s v="Modified Gross"/>
    <s v="None"/>
    <s v="None"/>
    <n v="4500000"/>
    <n v="102.1172305807066"/>
    <n v="0.08699999999999999"/>
    <m/>
    <d v="2019-02-21T00:00:00"/>
    <x v="871"/>
    <s v="Newmark; Brinitzer"/>
    <x v="608"/>
    <s v="CA"/>
    <s v="Private"/>
    <m/>
    <m/>
    <n v="4800000"/>
    <n v="0.0815625"/>
    <n v="0.9375"/>
    <n v="4800000"/>
    <n v="0.0815625"/>
    <n v="0.005437499999999998"/>
    <s v="No"/>
    <m/>
    <s v=" "/>
  </r>
  <r>
    <m/>
    <s v="USPS"/>
    <s v="Federal"/>
    <s v="Fee Simple"/>
    <s v="101 Mill St"/>
    <s v="Williamston"/>
    <s v="SC"/>
    <n v="1.23"/>
    <n v="1985"/>
    <n v="4440"/>
    <n v="4440"/>
    <n v="1"/>
    <m/>
    <s v=" "/>
    <n v="40959"/>
    <n v="9.225"/>
    <d v="2019-07-01T00:00:00"/>
    <d v="2024-06-30T00:00:00"/>
    <d v="2024-06-30T00:00:00"/>
    <n v="5.361643835616438"/>
    <n v="5.361643835616438"/>
    <s v="Rider"/>
    <s v="None"/>
    <s v="None"/>
    <n v="605000"/>
    <n v="136.2612612612613"/>
    <n v="0.06770082644628099"/>
    <m/>
    <d v="2019-02-20T00:00:00"/>
    <x v="872"/>
    <s v="SVN; Carter"/>
    <x v="609"/>
    <m/>
    <m/>
    <m/>
    <m/>
    <n v="615000"/>
    <n v="0.06660000000000001"/>
    <n v="0.983739837398374"/>
    <n v="615000"/>
    <n v="0.06660000000000001"/>
    <n v="0.001100826446280984"/>
    <s v="No"/>
    <d v="2018-10-30T00:00:00"/>
    <n v="113"/>
  </r>
  <r>
    <s v="LCA03434"/>
    <s v="FBI"/>
    <s v="Federal"/>
    <s v="Fee Simple"/>
    <s v="1919 S Basccom Ave"/>
    <s v="Campbell"/>
    <s v="CA"/>
    <m/>
    <m/>
    <n v="44038"/>
    <n v="365000"/>
    <n v="0.1206520547945205"/>
    <m/>
    <s v=" "/>
    <m/>
    <s v=" "/>
    <d v="2017-02-01T00:00:00"/>
    <d v="2027-01-31T00:00:00"/>
    <d v="2025-02-01T00:00:00"/>
    <n v="7.953424657534247"/>
    <n v="5.956164383561644"/>
    <m/>
    <m/>
    <m/>
    <n v="157200000"/>
    <n v="430.6849315068493"/>
    <s v=" "/>
    <m/>
    <d v="2019-02-19T00:00:00"/>
    <x v="873"/>
    <s v="Eastdil"/>
    <x v="610"/>
    <s v="CA"/>
    <s v="Institutional"/>
    <m/>
    <m/>
    <m/>
    <s v=" "/>
    <s v=" "/>
    <m/>
    <s v=" "/>
    <s v=" "/>
    <s v=" "/>
    <m/>
    <s v=" "/>
  </r>
  <r>
    <m/>
    <s v="Multi"/>
    <s v="Federal"/>
    <s v="Fee Simple"/>
    <s v="10320-10336 NW Prairie View Rd"/>
    <s v="Kansas City"/>
    <s v="MO"/>
    <n v="12.23"/>
    <n v="1985"/>
    <n v="76362.29999999999"/>
    <n v="109089"/>
    <n v="0.6999999999999998"/>
    <n v="1808523"/>
    <n v="23.68345374615485"/>
    <n v="878560"/>
    <n v="8.053607604799751"/>
    <m/>
    <m/>
    <m/>
    <s v=" "/>
    <s v=" "/>
    <s v="Full Service"/>
    <s v="None"/>
    <s v="None"/>
    <n v="11720000"/>
    <n v="107.4352134495687"/>
    <n v="0.07496245733788395"/>
    <m/>
    <d v="2019-02-19T00:00:00"/>
    <x v="874"/>
    <s v="SJC; Briggs"/>
    <x v="1"/>
    <s v="IL"/>
    <s v="Private"/>
    <m/>
    <m/>
    <m/>
    <s v=" "/>
    <s v=" "/>
    <m/>
    <s v=" "/>
    <s v=" "/>
    <s v=" "/>
    <m/>
    <s v=" "/>
  </r>
  <r>
    <m/>
    <s v="VA/CBOC"/>
    <s v="Federal"/>
    <s v="Fee Simple"/>
    <s v="122 Marshall Rd"/>
    <s v="Lowell"/>
    <s v="MA"/>
    <n v="4.1"/>
    <n v="1993"/>
    <n v="40000"/>
    <n v="40000"/>
    <n v="1"/>
    <n v="1159000"/>
    <n v="28.975"/>
    <n v="936375"/>
    <n v="23.409375"/>
    <d v="2017-12-01T00:00:00"/>
    <d v="2025-11-30T00:00:00"/>
    <d v="2020-11-30T00:00:00"/>
    <n v="6.783561643835617"/>
    <n v="1.780821917808219"/>
    <s v="Modified Gross"/>
    <s v="None"/>
    <s v="None"/>
    <n v="11350000"/>
    <n v="283.75"/>
    <n v="0.0825"/>
    <m/>
    <d v="2019-02-19T00:00:00"/>
    <x v="875"/>
    <s v="Newmark; Gallas"/>
    <x v="440"/>
    <s v="CA"/>
    <s v="Private"/>
    <s v="SJC; Corriston"/>
    <s v="Jaco"/>
    <n v="12000000"/>
    <n v="0.07803125"/>
    <n v="0.9458333333333333"/>
    <n v="12000000"/>
    <n v="0.07803125"/>
    <n v="0.004468750000000007"/>
    <s v="No"/>
    <m/>
    <s v=" "/>
  </r>
  <r>
    <m/>
    <s v="USPS"/>
    <s v="Federal"/>
    <s v="Fee Simple"/>
    <s v="50 Highway 9 E"/>
    <s v="Longs"/>
    <s v="SC"/>
    <m/>
    <m/>
    <n v="2640"/>
    <n v="2640"/>
    <n v="1"/>
    <m/>
    <s v=" "/>
    <m/>
    <s v=" "/>
    <m/>
    <m/>
    <m/>
    <s v=" "/>
    <s v=" "/>
    <m/>
    <m/>
    <m/>
    <n v="326250"/>
    <n v="123.5795454545455"/>
    <s v=" "/>
    <m/>
    <d v="2019-02-17T00:00:00"/>
    <x v="8"/>
    <m/>
    <x v="66"/>
    <s v="CA"/>
    <s v="Private"/>
    <m/>
    <m/>
    <m/>
    <s v=" "/>
    <s v=" "/>
    <m/>
    <s v=" "/>
    <s v=" "/>
    <s v=" "/>
    <m/>
    <s v=" "/>
  </r>
  <r>
    <m/>
    <s v="USPS"/>
    <s v="Federal"/>
    <s v="Fee Simple"/>
    <s v="203 S Main St"/>
    <s v="Chester"/>
    <s v="VT"/>
    <n v="1.25"/>
    <n v="1971"/>
    <m/>
    <n v="4168"/>
    <s v=" "/>
    <n v="66688"/>
    <s v=" "/>
    <m/>
    <s v=" "/>
    <m/>
    <m/>
    <m/>
    <s v=" "/>
    <s v=" "/>
    <m/>
    <m/>
    <m/>
    <n v="690000"/>
    <n v="165.5470249520154"/>
    <s v=" "/>
    <m/>
    <d v="2019-02-14T00:00:00"/>
    <x v="8"/>
    <m/>
    <x v="0"/>
    <m/>
    <m/>
    <m/>
    <m/>
    <m/>
    <s v=" "/>
    <s v=" "/>
    <m/>
    <s v=" "/>
    <s v=" "/>
    <s v=" "/>
    <m/>
    <s v=" "/>
  </r>
  <r>
    <m/>
    <s v="NPS"/>
    <s v="Federal"/>
    <s v="Fee Simple"/>
    <s v="7175 W Jefferson Ave"/>
    <s v="Lakewood"/>
    <s v="CO"/>
    <n v="4.15"/>
    <n v="1985"/>
    <n v="19957"/>
    <n v="68717"/>
    <n v="0.2904230394225592"/>
    <n v="1140990"/>
    <n v="57.17242070451471"/>
    <n v="587301"/>
    <n v="8.546662397951016"/>
    <m/>
    <d v="2021-01-31T00:00:00"/>
    <d v="2016-01-31T00:00:00"/>
    <n v="1.964383561643836"/>
    <n v="-3.041095890410959"/>
    <s v="Modified Gross"/>
    <s v="None"/>
    <s v="None"/>
    <n v="4000000"/>
    <n v="58.2097588660739"/>
    <n v="0.14682525"/>
    <m/>
    <d v="2019-02-14T00:00:00"/>
    <x v="876"/>
    <s v="M&amp;M; Higgins"/>
    <x v="611"/>
    <s v="CO"/>
    <s v="Private"/>
    <s v="GCG; Rogers"/>
    <m/>
    <n v="4500000"/>
    <n v="0.1305113333333333"/>
    <n v="0.8888888888888888"/>
    <n v="4500000"/>
    <n v="0.1305113333333333"/>
    <n v="0.01631391666666665"/>
    <s v="No"/>
    <d v="2018-09-28T00:00:00"/>
    <n v="139"/>
  </r>
  <r>
    <m/>
    <s v="SDSU"/>
    <s v="State"/>
    <s v="Fee Simple"/>
    <s v="5025 Collwood Blvd"/>
    <s v="San Diego"/>
    <s v="CA"/>
    <n v="6.79"/>
    <n v="2010"/>
    <n v="247200"/>
    <n v="247200"/>
    <n v="1"/>
    <m/>
    <s v=" "/>
    <n v="4162500"/>
    <n v="16.83859223300971"/>
    <m/>
    <m/>
    <m/>
    <s v=" "/>
    <s v=" "/>
    <m/>
    <m/>
    <m/>
    <n v="92500000"/>
    <n v="374.1909385113269"/>
    <n v="0.045"/>
    <m/>
    <d v="2019-02-14T00:00:00"/>
    <x v="877"/>
    <s v="WD; Combs"/>
    <x v="612"/>
    <s v="CO"/>
    <s v="Private"/>
    <m/>
    <m/>
    <m/>
    <s v=" "/>
    <s v=" "/>
    <m/>
    <s v=" "/>
    <s v=" "/>
    <s v=" "/>
    <m/>
    <s v=" "/>
  </r>
  <r>
    <m/>
    <s v="USPS"/>
    <s v="Federal"/>
    <s v="Fee Simple"/>
    <s v="8000 Highway 99"/>
    <s v="Rockvale"/>
    <s v="TN"/>
    <m/>
    <m/>
    <n v="3210"/>
    <n v="3210"/>
    <n v="1"/>
    <m/>
    <s v=" "/>
    <m/>
    <s v=" "/>
    <m/>
    <m/>
    <m/>
    <s v=" "/>
    <s v=" "/>
    <m/>
    <m/>
    <m/>
    <n v="371250"/>
    <n v="115.6542056074766"/>
    <s v=" "/>
    <m/>
    <d v="2019-02-11T00:00:00"/>
    <x v="843"/>
    <m/>
    <x v="66"/>
    <s v="CA"/>
    <s v="Private"/>
    <m/>
    <m/>
    <m/>
    <s v=" "/>
    <s v=" "/>
    <m/>
    <s v=" "/>
    <s v=" "/>
    <s v=" "/>
    <m/>
    <s v=" "/>
  </r>
  <r>
    <m/>
    <s v="DCFS"/>
    <s v="State"/>
    <s v="Fee Simple"/>
    <s v="2325 Crenshaw Blvd"/>
    <s v="Torrance"/>
    <s v="CA"/>
    <n v="5.5"/>
    <n v="1989"/>
    <n v="60804"/>
    <n v="60804"/>
    <n v="1"/>
    <n v="961450"/>
    <n v="15.81228208670482"/>
    <n v="961450"/>
    <n v="15.81228208670482"/>
    <m/>
    <d v="2024-06-05T00:00:00"/>
    <d v="2024-06-05T00:00:00"/>
    <n v="5.328767123287672"/>
    <n v="5.328767123287672"/>
    <s v="Full Service"/>
    <m/>
    <m/>
    <n v="15750000"/>
    <n v="259.0290112492599"/>
    <n v="0.06104444444444444"/>
    <m/>
    <d v="2019-02-07T00:00:00"/>
    <x v="878"/>
    <s v="Newmark; Shannon"/>
    <x v="613"/>
    <s v="CA"/>
    <s v="Private"/>
    <m/>
    <m/>
    <m/>
    <s v=" "/>
    <s v=" "/>
    <m/>
    <s v=" "/>
    <s v=" "/>
    <s v=" "/>
    <d v="2018-09-25T00:00:00"/>
    <n v="135"/>
  </r>
  <r>
    <m/>
    <s v="USPS"/>
    <s v="Federal"/>
    <s v="Fee Simple"/>
    <s v="102 Oakmont Dr"/>
    <s v="Ebervale"/>
    <s v="PA"/>
    <n v="1"/>
    <n v="1989"/>
    <n v="928"/>
    <n v="928"/>
    <n v="1"/>
    <n v="15408"/>
    <n v="16.60344827586207"/>
    <n v="14285"/>
    <n v="15.39331896551724"/>
    <d v="2014-07-01T00:00:00"/>
    <d v="2019-06-30T00:00:00"/>
    <d v="2019-06-30T00:00:00"/>
    <n v="0.3945205479452055"/>
    <n v="0.3945205479452055"/>
    <s v="Rider"/>
    <s v="None"/>
    <s v="None"/>
    <n v="151000"/>
    <n v="162.7155172413793"/>
    <n v="0.09460264900662252"/>
    <m/>
    <d v="2019-02-06T00:00:00"/>
    <x v="8"/>
    <s v="Thomas Coe"/>
    <x v="0"/>
    <m/>
    <m/>
    <m/>
    <m/>
    <n v="175000"/>
    <n v="0.08162857142857143"/>
    <n v="0.8628571428571429"/>
    <n v="175000"/>
    <n v="0.08162857142857143"/>
    <n v="0.01297407757805109"/>
    <s v="No"/>
    <d v="2016-09-29T00:00:00"/>
    <n v="860"/>
  </r>
  <r>
    <m/>
    <s v="DWS"/>
    <s v="State"/>
    <s v="Fee Simple"/>
    <s v="625 N Main St"/>
    <s v="Nephi"/>
    <s v="UT"/>
    <n v="0.31"/>
    <n v="2002"/>
    <n v="3150"/>
    <n v="3150"/>
    <n v="1"/>
    <m/>
    <s v=" "/>
    <n v="42808"/>
    <n v="13.58984126984127"/>
    <d v="2018-06-01T00:00:00"/>
    <d v="2023-05-31T00:00:00"/>
    <d v="2023-05-31T00:00:00"/>
    <n v="4.32054794520548"/>
    <n v="4.32054794520548"/>
    <s v="Full Service"/>
    <s v="None"/>
    <s v="None"/>
    <n v="625000"/>
    <n v="198.4126984126984"/>
    <n v="0.06849280000000001"/>
    <m/>
    <d v="2019-02-04T00:00:00"/>
    <x v="879"/>
    <s v="Gary Nelson"/>
    <x v="614"/>
    <m/>
    <m/>
    <m/>
    <m/>
    <n v="625000"/>
    <n v="0.06849280000000001"/>
    <n v="1"/>
    <n v="620000"/>
    <n v="0.06904516129032258"/>
    <n v="-0.0005523612903225728"/>
    <s v="Yes"/>
    <d v="2018-04-19T00:00:00"/>
    <n v="291"/>
  </r>
  <r>
    <m/>
    <s v="VA/CBOC"/>
    <s v="Federal"/>
    <s v="Fee Simple"/>
    <s v="2001 Mountain Road, NW"/>
    <s v="Albuquerque"/>
    <s v="NM"/>
    <n v="3.4"/>
    <n v="1991"/>
    <n v="5304"/>
    <n v="5304"/>
    <n v="1"/>
    <m/>
    <s v=" "/>
    <n v="114753"/>
    <n v="21.63518099547511"/>
    <d v="2017-06-01T00:00:00"/>
    <d v="2027-05-31T00:00:00"/>
    <d v="2022-05-31T00:00:00"/>
    <n v="8.331506849315069"/>
    <n v="3.328767123287671"/>
    <s v="Modified Gross"/>
    <s v="None"/>
    <s v="None"/>
    <n v="1525000"/>
    <n v="287.5188536953243"/>
    <n v="0.07524786885245902"/>
    <m/>
    <d v="2019-02-01T00:00:00"/>
    <x v="8"/>
    <s v="Colliers"/>
    <x v="440"/>
    <s v="CA"/>
    <s v="Private"/>
    <s v="SJC; Feller"/>
    <m/>
    <m/>
    <s v=" "/>
    <s v=" "/>
    <m/>
    <s v=" "/>
    <s v=" "/>
    <s v=" "/>
    <m/>
    <s v=" "/>
  </r>
  <r>
    <m/>
    <s v="Dep't of State"/>
    <s v="Federal"/>
    <s v="Fee Simple"/>
    <s v="3151 S Vaughn Way"/>
    <s v="Aurora"/>
    <s v="CO"/>
    <n v="3.25"/>
    <n v="1982"/>
    <n v="19051"/>
    <n v="113203"/>
    <n v="0.1682905930054857"/>
    <m/>
    <s v=" "/>
    <m/>
    <s v=" "/>
    <m/>
    <m/>
    <m/>
    <s v=" "/>
    <s v=" "/>
    <m/>
    <m/>
    <m/>
    <n v="6600000"/>
    <n v="58.30234181072939"/>
    <s v=" "/>
    <m/>
    <d v="2019-01-31T00:00:00"/>
    <x v="880"/>
    <s v="Kenai; Sherwood"/>
    <x v="615"/>
    <s v="TX"/>
    <s v="Private"/>
    <m/>
    <m/>
    <m/>
    <s v=" "/>
    <s v=" "/>
    <m/>
    <s v=" "/>
    <s v=" "/>
    <s v=" "/>
    <m/>
    <s v=" "/>
  </r>
  <r>
    <s v="LMD12610"/>
    <s v="CDC"/>
    <s v="Federal"/>
    <s v="Fee Simple"/>
    <s v="3311 Toledo Rd"/>
    <s v="Hyattsville"/>
    <s v="MD"/>
    <n v="1.01"/>
    <n v="2002"/>
    <n v="104000"/>
    <n v="189410"/>
    <n v="0.5490734385724091"/>
    <n v="2607806.8"/>
    <n v="25.07506538461538"/>
    <m/>
    <s v=" "/>
    <d v="2016-11-01T00:00:00"/>
    <d v="2031-10-31T00:00:00"/>
    <d v="2031-10-31T00:00:00"/>
    <n v="12.75616438356164"/>
    <n v="12.75616438356164"/>
    <s v="Modified Gross"/>
    <m/>
    <m/>
    <n v="16050000"/>
    <n v="84.73681431814582"/>
    <s v=" "/>
    <m/>
    <d v="2019-01-31T00:00:00"/>
    <x v="881"/>
    <s v="C&amp;W"/>
    <x v="62"/>
    <s v="IL"/>
    <s v="Private"/>
    <m/>
    <m/>
    <m/>
    <s v=" "/>
    <s v=" "/>
    <m/>
    <s v=" "/>
    <s v=" "/>
    <s v=" "/>
    <m/>
    <s v=" "/>
  </r>
  <r>
    <m/>
    <s v="Multi"/>
    <s v="Federal"/>
    <s v="Fee Simple"/>
    <s v="5925-6049 Lakeside"/>
    <s v="Indianapolis"/>
    <s v="IN"/>
    <n v="14.43"/>
    <n v="1985"/>
    <n v="75590"/>
    <n v="93883"/>
    <n v="0.8051510923170329"/>
    <m/>
    <s v=" "/>
    <n v="990150"/>
    <n v="10.54663783645601"/>
    <m/>
    <m/>
    <m/>
    <s v=" "/>
    <s v=" "/>
    <s v="Full Service"/>
    <s v="None"/>
    <s v="None"/>
    <n v="10250000"/>
    <n v="109.178445511967"/>
    <n v="0.09660000000000001"/>
    <m/>
    <d v="2019-01-31T00:00:00"/>
    <x v="86"/>
    <s v="M&amp;M; Ficke"/>
    <x v="62"/>
    <s v="IL"/>
    <s v="Private"/>
    <m/>
    <m/>
    <n v="10750000"/>
    <n v="0.09210697674418605"/>
    <n v="0.9534883720930233"/>
    <n v="10750000"/>
    <n v="0.09210697674418605"/>
    <n v="0.004493023255813952"/>
    <s v="No"/>
    <d v="2018-06-07T00:00:00"/>
    <n v="238"/>
  </r>
  <r>
    <m/>
    <s v="HIPS"/>
    <s v="Federal"/>
    <s v="Fee Simple"/>
    <s v="906-908 H St NE"/>
    <s v="Washington"/>
    <s v="DC"/>
    <n v="0.07000000000000001"/>
    <s v="1930"/>
    <n v="6508"/>
    <n v="6508"/>
    <n v="1"/>
    <m/>
    <s v=" "/>
    <m/>
    <s v=" "/>
    <m/>
    <m/>
    <m/>
    <s v=" "/>
    <s v=" "/>
    <s v="NNN"/>
    <m/>
    <m/>
    <n v="2847000"/>
    <n v="437.4615857406269"/>
    <s v=" "/>
    <m/>
    <d v="2019-01-30T00:00:00"/>
    <x v="8"/>
    <s v="Ben Wilson"/>
    <x v="0"/>
    <m/>
    <m/>
    <m/>
    <m/>
    <m/>
    <s v=" "/>
    <s v=" "/>
    <m/>
    <s v=" "/>
    <s v=" "/>
    <s v=" "/>
    <d v="2019-01-28T00:00:00"/>
    <n v="2"/>
  </r>
  <r>
    <m/>
    <s v="USPS"/>
    <s v="Federal"/>
    <s v="Fee Simple"/>
    <s v="405 Chesterfield Rd"/>
    <s v="Hampton"/>
    <s v="VA"/>
    <n v="0.45"/>
    <n v="1960"/>
    <n v="3248"/>
    <n v="3248"/>
    <n v="1"/>
    <n v="34104"/>
    <n v="10.5"/>
    <m/>
    <s v=" "/>
    <m/>
    <m/>
    <m/>
    <s v=" "/>
    <s v=" "/>
    <m/>
    <m/>
    <m/>
    <n v="320000"/>
    <n v="98.52216748768473"/>
    <s v=" "/>
    <m/>
    <d v="2019-01-29T00:00:00"/>
    <x v="882"/>
    <s v="Kevin King"/>
    <x v="406"/>
    <m/>
    <m/>
    <m/>
    <m/>
    <n v="350000"/>
    <s v=" "/>
    <n v="0.9142857142857143"/>
    <n v="350000"/>
    <s v=" "/>
    <s v=" "/>
    <s v="No"/>
    <m/>
    <s v=" "/>
  </r>
  <r>
    <m/>
    <s v="FAA"/>
    <s v="Federal"/>
    <s v="Leasehold"/>
    <s v="2200 S 216th St"/>
    <s v="Des Moines"/>
    <s v="WA"/>
    <n v="87"/>
    <n v="2018"/>
    <n v="281805"/>
    <n v="281805"/>
    <n v="1"/>
    <m/>
    <s v=" "/>
    <m/>
    <s v=" "/>
    <m/>
    <d v="2038-01-31T00:00:00"/>
    <m/>
    <n v="19.02191780821918"/>
    <s v=" "/>
    <m/>
    <m/>
    <m/>
    <n v="110471378.4615385"/>
    <n v="392.0135500134436"/>
    <s v=" "/>
    <m/>
    <d v="2019-01-28T00:00:00"/>
    <x v="8"/>
    <m/>
    <x v="0"/>
    <m/>
    <m/>
    <m/>
    <m/>
    <m/>
    <s v=" "/>
    <s v=" "/>
    <m/>
    <s v=" "/>
    <s v=" "/>
    <s v=" "/>
    <m/>
    <s v=" "/>
  </r>
  <r>
    <m/>
    <s v="VA"/>
    <s v="Federal"/>
    <s v="Fee Simple"/>
    <s v="5402-5406 E El Campo Grande Ave"/>
    <s v="Las Vegas"/>
    <s v="NV"/>
    <n v="65.81999999999999"/>
    <n v="2018"/>
    <n v="65000"/>
    <n v="423786"/>
    <n v="0.1533792999296815"/>
    <m/>
    <s v=" "/>
    <m/>
    <s v=" "/>
    <m/>
    <m/>
    <m/>
    <s v=" "/>
    <s v=" "/>
    <m/>
    <m/>
    <m/>
    <n v="38000000"/>
    <n v="89.66789842042918"/>
    <s v=" "/>
    <m/>
    <d v="2019-01-24T00:00:00"/>
    <x v="883"/>
    <s v="JLL; Mills"/>
    <x v="616"/>
    <s v="CA"/>
    <s v="Institutional"/>
    <m/>
    <m/>
    <m/>
    <s v=" "/>
    <s v=" "/>
    <m/>
    <s v=" "/>
    <s v=" "/>
    <s v=" "/>
    <m/>
    <s v=" "/>
  </r>
  <r>
    <m/>
    <s v="USPS"/>
    <s v="Federal"/>
    <s v="Fee Simple"/>
    <s v="46 Park St"/>
    <s v="Rochester"/>
    <s v="VT"/>
    <n v="0.41"/>
    <n v="1969"/>
    <n v="1807"/>
    <n v="1807"/>
    <n v="1"/>
    <n v="29500"/>
    <n v="16.32540121748755"/>
    <m/>
    <s v=" "/>
    <m/>
    <m/>
    <m/>
    <s v=" "/>
    <s v=" "/>
    <m/>
    <m/>
    <m/>
    <n v="305000"/>
    <n v="168.7880464858882"/>
    <s v=" "/>
    <m/>
    <d v="2019-01-23T00:00:00"/>
    <x v="8"/>
    <m/>
    <x v="0"/>
    <m/>
    <m/>
    <m/>
    <m/>
    <m/>
    <s v=" "/>
    <s v=" "/>
    <m/>
    <s v=" "/>
    <s v=" "/>
    <s v=" "/>
    <m/>
    <s v=" "/>
  </r>
  <r>
    <m/>
    <s v="DCA"/>
    <s v="State"/>
    <s v="Fee Simple"/>
    <s v="7627 Cherry Ave"/>
    <s v="Fontana"/>
    <s v="CA"/>
    <n v="1.9"/>
    <n v="1989"/>
    <n v="37360"/>
    <n v="37360"/>
    <n v="1"/>
    <n v="793140"/>
    <n v="21.2296573875803"/>
    <n v="637205"/>
    <n v="17.05580835117773"/>
    <m/>
    <d v="2028-11-30T00:00:00"/>
    <d v="2023-11-30T00:00:00"/>
    <n v="9.863013698630137"/>
    <n v="4.857534246575343"/>
    <s v="Full Service"/>
    <m/>
    <m/>
    <n v="8200000"/>
    <n v="219.4860813704497"/>
    <n v="0.07770792682926829"/>
    <m/>
    <d v="2019-01-22T00:00:00"/>
    <x v="884"/>
    <s v="NAI; Change"/>
    <x v="1"/>
    <s v="IL"/>
    <s v="Private"/>
    <m/>
    <m/>
    <m/>
    <s v=" "/>
    <s v=" "/>
    <m/>
    <s v=" "/>
    <s v=" "/>
    <s v=" "/>
    <m/>
    <s v=" "/>
  </r>
  <r>
    <m/>
    <s v="FEMA"/>
    <s v="Federal"/>
    <s v="Fee Simple"/>
    <s v="8223 Willow Place Dr S"/>
    <s v="Houston"/>
    <s v="TX"/>
    <n v="2.73"/>
    <n v="1982"/>
    <n v="62538"/>
    <n v="62538"/>
    <n v="1"/>
    <m/>
    <s v=" "/>
    <n v="1002621"/>
    <n v="16.0321884294349"/>
    <d v="2018-09-15T00:00:00"/>
    <d v="2021-09-04T00:00:00"/>
    <d v="2020-03-04T00:00:00"/>
    <n v="2.635616438356164"/>
    <n v="1.131506849315068"/>
    <m/>
    <m/>
    <m/>
    <n v="3390243.902439025"/>
    <n v="54.2109421861752"/>
    <n v="0.2957371294964029"/>
    <m/>
    <d v="2019-01-16T00:00:00"/>
    <x v="885"/>
    <s v="M&amp;M; Lloyd"/>
    <x v="46"/>
    <s v="OK"/>
    <s v="Private"/>
    <s v="M&amp;M; Ficke"/>
    <m/>
    <m/>
    <s v=" "/>
    <s v=" "/>
    <m/>
    <s v=" "/>
    <s v=" "/>
    <s v=" "/>
    <m/>
    <s v=" "/>
  </r>
  <r>
    <m/>
    <s v="FEMA"/>
    <s v="Federal"/>
    <s v="Fee Simple"/>
    <s v="8223 Willow Place Dr S"/>
    <s v="Houston"/>
    <s v="TX"/>
    <n v="2.73"/>
    <n v="1982"/>
    <n v="62538"/>
    <n v="62538"/>
    <n v="1"/>
    <n v="1630873"/>
    <n v="26.07811250759538"/>
    <n v="1002621"/>
    <n v="16.0321884294349"/>
    <d v="2018-09-15T00:00:00"/>
    <d v="2021-09-04T00:00:00"/>
    <d v="2020-03-04T00:00:00"/>
    <n v="2.635616438356164"/>
    <n v="1.131506849315068"/>
    <s v="Modified Gross"/>
    <s v="None"/>
    <s v="None"/>
    <n v="3390243.902439025"/>
    <n v="54.2109421861752"/>
    <n v="0.2957371294964029"/>
    <m/>
    <d v="2019-01-16T00:00:00"/>
    <x v="885"/>
    <s v="M&amp;M; Lloyd"/>
    <x v="46"/>
    <s v="OK"/>
    <s v="Private"/>
    <s v="M&amp;M; Ficke"/>
    <m/>
    <m/>
    <s v=" "/>
    <s v=" "/>
    <m/>
    <s v=" "/>
    <s v=" "/>
    <s v=" "/>
    <d v="2018-04-19T00:00:00"/>
    <n v="272"/>
  </r>
  <r>
    <m/>
    <s v="USPS"/>
    <s v="Federal"/>
    <s v="Fee Simple"/>
    <s v="16405 Livingston Rd"/>
    <s v="Accokeek"/>
    <s v="MD"/>
    <n v="0.46"/>
    <n v="1968"/>
    <n v="3530"/>
    <n v="3530"/>
    <n v="1"/>
    <n v="32634"/>
    <n v="9.244759206798866"/>
    <m/>
    <s v=" "/>
    <m/>
    <m/>
    <m/>
    <s v=" "/>
    <s v=" "/>
    <m/>
    <m/>
    <m/>
    <n v="375000"/>
    <n v="106.2322946175637"/>
    <s v=" "/>
    <m/>
    <d v="2019-01-10T00:00:00"/>
    <x v="886"/>
    <m/>
    <x v="617"/>
    <s v="MD"/>
    <s v="Private"/>
    <m/>
    <m/>
    <m/>
    <s v=" "/>
    <s v=" "/>
    <m/>
    <s v=" "/>
    <s v=" "/>
    <s v=" "/>
    <m/>
    <s v=" "/>
  </r>
  <r>
    <s v="LOK16825"/>
    <s v="SSA"/>
    <s v="Federal"/>
    <s v="Fee Simple"/>
    <s v="900 Leisure Ln"/>
    <s v="Bartlesville"/>
    <s v="OK"/>
    <n v="1"/>
    <n v="2003"/>
    <n v="5412"/>
    <n v="5412"/>
    <n v="1"/>
    <n v="130753"/>
    <n v="24.15983000739098"/>
    <n v="95310"/>
    <n v="17.61086474501109"/>
    <d v="2011-10-01T00:00:00"/>
    <d v="2021-10-01T00:00:00"/>
    <d v="2016-10-01T00:00:00"/>
    <n v="2.728767123287671"/>
    <n v="-2.273972602739726"/>
    <s v="Modified Gross"/>
    <s v="None"/>
    <s v="None"/>
    <n v="1300000"/>
    <n v="240.2069475240207"/>
    <n v="0.07331538461538462"/>
    <m/>
    <d v="2019-01-09T00:00:00"/>
    <x v="887"/>
    <s v="BW; Wells"/>
    <x v="618"/>
    <s v="MT"/>
    <s v="Private"/>
    <m/>
    <m/>
    <n v="1400000"/>
    <n v="0.06807857142857143"/>
    <n v="0.9285714285714286"/>
    <n v="1350000"/>
    <n v="0.0706"/>
    <n v="0.00271538461538462"/>
    <s v="Yes"/>
    <d v="2018-08-21T00:00:00"/>
    <n v="141"/>
  </r>
  <r>
    <m/>
    <s v="Multi"/>
    <s v="Federal"/>
    <s v="Fee Simple"/>
    <s v="Portfolio of 9"/>
    <s v="Lorton"/>
    <s v="VA"/>
    <m/>
    <m/>
    <n v="590601"/>
    <n v="590601"/>
    <n v="1"/>
    <m/>
    <s v=" "/>
    <n v="11076000"/>
    <n v="18.75377793129372"/>
    <m/>
    <m/>
    <m/>
    <s v=" "/>
    <s v=" "/>
    <m/>
    <m/>
    <m/>
    <n v="142000000"/>
    <n v="240.4330504012015"/>
    <n v="0.078"/>
    <m/>
    <d v="2019-01-08T00:00:00"/>
    <x v="888"/>
    <s v="AY; Kevill"/>
    <x v="2"/>
    <s v="VA"/>
    <s v="Private"/>
    <m/>
    <m/>
    <m/>
    <s v=" "/>
    <s v=" "/>
    <m/>
    <s v=" "/>
    <s v=" "/>
    <s v=" "/>
    <m/>
    <s v=" "/>
  </r>
  <r>
    <m/>
    <s v="USPS"/>
    <s v="Federal"/>
    <s v="Fee Simple"/>
    <s v="621 NH Route 10"/>
    <s v="Oxford"/>
    <s v="NH"/>
    <n v="0.26"/>
    <n v="1962"/>
    <n v="3520"/>
    <n v="3520"/>
    <n v="1"/>
    <n v="15433"/>
    <n v="4.384375"/>
    <n v="15433"/>
    <n v="4.384375"/>
    <m/>
    <m/>
    <m/>
    <s v=" "/>
    <s v=" "/>
    <m/>
    <m/>
    <m/>
    <n v="189000"/>
    <n v="53.69318181818182"/>
    <n v="0.08165608465608466"/>
    <m/>
    <d v="2019-01-04T00:00:00"/>
    <x v="8"/>
    <s v="James Ward"/>
    <x v="0"/>
    <m/>
    <m/>
    <m/>
    <m/>
    <n v="189000"/>
    <n v="0.08165608465608466"/>
    <n v="1"/>
    <n v="189000"/>
    <n v="0.08165608465608466"/>
    <n v="0"/>
    <s v="No"/>
    <d v="2018-09-21T00:00:00"/>
    <n v="105"/>
  </r>
  <r>
    <m/>
    <s v="USPS"/>
    <s v="Federal"/>
    <s v="Fee Simple"/>
    <s v="131 E Main Blvd"/>
    <s v="Church Hill"/>
    <s v="TN"/>
    <n v="0.95"/>
    <n v="1960"/>
    <n v="4914"/>
    <n v="4914"/>
    <n v="1"/>
    <n v="46880"/>
    <n v="9.540089540089539"/>
    <n v="43170"/>
    <n v="8.785103785103786"/>
    <d v="2015-01-31T00:00:00"/>
    <d v="2020-02-01T00:00:00"/>
    <d v="2016-01-31T00:00:00"/>
    <n v="1.082191780821918"/>
    <n v="-2.923287671232877"/>
    <s v="Rider"/>
    <s v="Option"/>
    <s v="1, 5 year"/>
    <n v="483510"/>
    <n v="98.3943833943834"/>
    <n v="0.08928460631631197"/>
    <m/>
    <d v="2019-01-02T00:00:00"/>
    <x v="8"/>
    <s v="Kevin King"/>
    <x v="0"/>
    <m/>
    <m/>
    <m/>
    <m/>
    <n v="565000"/>
    <n v="0.0764070796460177"/>
    <n v="0.8557699115044248"/>
    <n v="565000"/>
    <n v="0.0764070796460177"/>
    <n v="0.01287752667029426"/>
    <s v="No"/>
    <m/>
    <s v=" "/>
  </r>
  <r>
    <s v="LCO14883"/>
    <s v="SSA"/>
    <s v="Federal"/>
    <s v="Fee Simple"/>
    <s v="8000 Southpark Ln"/>
    <s v="Littleton"/>
    <s v="CO"/>
    <n v="1.25"/>
    <n v="2001"/>
    <n v="12064"/>
    <n v="12064"/>
    <n v="1"/>
    <n v="314386.06"/>
    <n v="26.0598524535809"/>
    <n v="201780"/>
    <n v="16.72579575596817"/>
    <d v="2016-03-26T00:00:00"/>
    <d v="2031-03-25T00:00:00"/>
    <d v="2023-03-26T00:00:00"/>
    <n v="12.23287671232877"/>
    <n v="4.23013698630137"/>
    <s v="Modified Gross"/>
    <s v="None"/>
    <s v="None"/>
    <n v="2812600"/>
    <n v="233.1399204244032"/>
    <n v="0.07174144919291758"/>
    <m/>
    <d v="2019-01-02T00:00:00"/>
    <x v="889"/>
    <s v="Newmark; Kauffman"/>
    <x v="619"/>
    <s v="CA"/>
    <s v="Private"/>
    <s v="ICO Investments"/>
    <m/>
    <n v="3300000"/>
    <n v="0.06114545454545454"/>
    <n v="0.8523030303030303"/>
    <n v="3300000"/>
    <n v="0.06114545454545454"/>
    <n v="0.01059599464746304"/>
    <s v="No"/>
    <d v="2018-04-26T00:00:00"/>
    <n v="251"/>
  </r>
  <r>
    <m/>
    <s v="DOR"/>
    <s v="State"/>
    <s v="Fee Simple"/>
    <s v="2108 Douglas Ave"/>
    <s v="Pensacola"/>
    <s v="FL"/>
    <n v="5"/>
    <n v="1986"/>
    <n v="32464"/>
    <n v="32464"/>
    <n v="1"/>
    <m/>
    <s v=" "/>
    <n v="552500"/>
    <n v="17.01885165105963"/>
    <m/>
    <d v="2025-06-30T00:00:00"/>
    <d v="2025-06-30T00:00:00"/>
    <n v="6.495890410958904"/>
    <n v="6.495890410958904"/>
    <s v="Full Service"/>
    <s v="3% annually"/>
    <s v="None"/>
    <n v="4775000"/>
    <n v="147.0860029571217"/>
    <n v="0.1157068062827225"/>
    <m/>
    <d v="2019-01-02T00:00:00"/>
    <x v="890"/>
    <s v="Direct"/>
    <x v="62"/>
    <s v="IL"/>
    <s v="Private"/>
    <m/>
    <m/>
    <m/>
    <s v=" "/>
    <s v=" "/>
    <m/>
    <s v=" "/>
    <s v=" "/>
    <s v=" "/>
    <m/>
    <s v=" "/>
  </r>
  <r>
    <m/>
    <s v="Multi"/>
    <s v="Federal"/>
    <s v="Fee Simple"/>
    <s v="508 Timesaver Ave"/>
    <s v="Harahan"/>
    <s v="LA"/>
    <n v="3.773"/>
    <n v="1979"/>
    <n v="28729.2"/>
    <n v="47882"/>
    <n v="0.6"/>
    <m/>
    <s v=" "/>
    <n v="416367"/>
    <n v="8.695689403115994"/>
    <d v="2017-10-13T00:00:00"/>
    <d v="2027-10-12T00:00:00"/>
    <d v="2027-10-12T00:00:00"/>
    <n v="8.786301369863013"/>
    <n v="8.786301369863013"/>
    <s v="Modified Gross"/>
    <s v="None"/>
    <s v="None"/>
    <n v="5700000"/>
    <n v="119.0426465059939"/>
    <n v="0.07304684210526316"/>
    <m/>
    <d v="2018-12-31T00:00:00"/>
    <x v="531"/>
    <s v="C&amp;W; Trautvetter"/>
    <x v="0"/>
    <m/>
    <m/>
    <m/>
    <m/>
    <n v="5972950"/>
    <n v="0.06970877037309872"/>
    <n v="0.9543023129274479"/>
    <n v="5972950"/>
    <n v="0.06970877037309872"/>
    <n v="0.003338071732164438"/>
    <s v="No"/>
    <d v="2018-05-08T00:00:00"/>
    <n v="237"/>
  </r>
  <r>
    <m/>
    <s v="Fire Dep't"/>
    <s v="Municipal"/>
    <s v="Fee Simple"/>
    <s v="305 - 315 Edison Way"/>
    <s v="Reno"/>
    <s v="NV"/>
    <n v="2.13"/>
    <s v="1970 | 2006"/>
    <n v="28550"/>
    <n v="28550"/>
    <n v="1"/>
    <m/>
    <s v=" "/>
    <n v="179490"/>
    <n v="6.286865148861646"/>
    <d v="2018-05-01T00:00:00"/>
    <d v="2023-04-30T00:00:00"/>
    <d v="2023-04-30T00:00:00"/>
    <n v="4.331506849315068"/>
    <n v="4.331506849315068"/>
    <s v="NNN"/>
    <m/>
    <m/>
    <n v="2895000"/>
    <n v="101.4010507880911"/>
    <n v="0.062"/>
    <m/>
    <d v="2018-12-31T00:00:00"/>
    <x v="891"/>
    <s v="CB; "/>
    <x v="620"/>
    <s v="NV"/>
    <s v="Private"/>
    <m/>
    <m/>
    <m/>
    <s v=" "/>
    <s v=" "/>
    <m/>
    <s v=" "/>
    <s v=" "/>
    <s v=" "/>
    <d v="2018-11-14T00:00:00"/>
    <n v="47"/>
  </r>
  <r>
    <m/>
    <s v="Barstow United School District"/>
    <s v="Municipal"/>
    <s v="Fee Simple"/>
    <s v="720 E Main St"/>
    <s v="Barstow"/>
    <s v="CA"/>
    <n v="0.54"/>
    <n v="2005"/>
    <n v="5832"/>
    <n v="5832"/>
    <n v="1"/>
    <n v="73500"/>
    <n v="12.60288065843621"/>
    <m/>
    <s v=" "/>
    <m/>
    <m/>
    <m/>
    <s v=" "/>
    <s v=" "/>
    <m/>
    <m/>
    <m/>
    <n v="925000"/>
    <n v="158.6076817558299"/>
    <s v=" "/>
    <m/>
    <d v="2018-12-28T00:00:00"/>
    <x v="8"/>
    <m/>
    <x v="0"/>
    <m/>
    <m/>
    <m/>
    <m/>
    <n v="1050000"/>
    <s v=" "/>
    <n v="0.8809523809523809"/>
    <n v="1050000"/>
    <s v=" "/>
    <s v=" "/>
    <s v="No"/>
    <d v="2018-05-17T00:00:00"/>
    <n v="225"/>
  </r>
  <r>
    <m/>
    <s v="Multi"/>
    <s v="Federal"/>
    <s v="Fee Simple"/>
    <s v="Portfolio of Two"/>
    <m/>
    <s v="VA"/>
    <n v="4.09"/>
    <m/>
    <n v="110660"/>
    <n v="110660"/>
    <n v="1"/>
    <m/>
    <s v=" "/>
    <n v="2260440"/>
    <n v="20.42689318633652"/>
    <m/>
    <m/>
    <m/>
    <s v=" "/>
    <s v=" "/>
    <m/>
    <m/>
    <m/>
    <n v="27300000"/>
    <n v="246.7016085306344"/>
    <n v="0.0828"/>
    <m/>
    <d v="2018-12-28T00:00:00"/>
    <x v="892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602 Main St"/>
    <s v="Colfax"/>
    <s v="WI"/>
    <n v="0.08"/>
    <n v="1984"/>
    <n v="3390"/>
    <n v="3390"/>
    <n v="1"/>
    <m/>
    <s v=" "/>
    <n v="19630"/>
    <n v="5.790560471976401"/>
    <m/>
    <m/>
    <m/>
    <s v=" "/>
    <s v=" "/>
    <m/>
    <m/>
    <m/>
    <n v="177500"/>
    <n v="52.35988200589971"/>
    <n v="0.1105915492957747"/>
    <m/>
    <d v="2018-12-27T00:00:00"/>
    <x v="8"/>
    <s v="Kevin King"/>
    <x v="0"/>
    <m/>
    <m/>
    <m/>
    <m/>
    <n v="196300"/>
    <n v="0.1"/>
    <n v="0.9042282221090168"/>
    <n v="196300"/>
    <n v="0.1"/>
    <n v="0.01059154929577465"/>
    <s v="No"/>
    <d v="2016-11-01T00:00:00"/>
    <n v="786"/>
  </r>
  <r>
    <m/>
    <s v="USPS"/>
    <s v="Federal"/>
    <s v="Fee Simple"/>
    <s v="20340 Main St"/>
    <s v="Stratford"/>
    <s v="CA"/>
    <n v="0.17"/>
    <n v="1961"/>
    <n v="1075"/>
    <n v="1075"/>
    <n v="1"/>
    <n v="11550"/>
    <n v="10.74418604651163"/>
    <m/>
    <s v=" "/>
    <m/>
    <m/>
    <m/>
    <s v=" "/>
    <s v=" "/>
    <m/>
    <m/>
    <m/>
    <n v="76000"/>
    <n v="70.69767441860465"/>
    <s v=" "/>
    <m/>
    <d v="2018-12-27T00:00:00"/>
    <x v="893"/>
    <m/>
    <x v="621"/>
    <s v="CA"/>
    <s v="Private"/>
    <m/>
    <m/>
    <m/>
    <s v=" "/>
    <s v=" "/>
    <m/>
    <s v=" "/>
    <s v=" "/>
    <s v=" "/>
    <m/>
    <s v=" "/>
  </r>
  <r>
    <m/>
    <s v="TSA"/>
    <s v="Federal"/>
    <s v="Fee Simple"/>
    <s v="6595 Springfield Center Dr"/>
    <s v="Springfield"/>
    <s v="VA"/>
    <n v="11.67"/>
    <n v="2020"/>
    <n v="625000"/>
    <n v="625000"/>
    <n v="1"/>
    <m/>
    <s v=" "/>
    <m/>
    <s v=" "/>
    <d v="2018-12-01T00:00:00"/>
    <d v="2032-12-31T00:00:00"/>
    <d v="2032-12-31T00:00:00"/>
    <n v="14.03013698630137"/>
    <n v="14.03013698630137"/>
    <s v="Modified Gross"/>
    <m/>
    <s v="1, 5yr"/>
    <n v="98100000"/>
    <n v="156.96"/>
    <s v=" "/>
    <m/>
    <d v="2018-12-24T00:00:00"/>
    <x v="697"/>
    <s v="C&amp;W; Yuras"/>
    <x v="242"/>
    <s v="TX"/>
    <s v="Institutional"/>
    <m/>
    <m/>
    <m/>
    <s v=" "/>
    <s v=" "/>
    <m/>
    <s v=" "/>
    <s v=" "/>
    <s v=" "/>
    <m/>
    <s v=" "/>
  </r>
  <r>
    <m/>
    <s v="SSA"/>
    <s v="Federal"/>
    <s v="Condominium"/>
    <s v="120 Midland Ave, Ste 130"/>
    <s v="Glenwood Springs"/>
    <s v="CO"/>
    <n v="2"/>
    <n v="2004"/>
    <n v="4350"/>
    <n v="4350"/>
    <n v="1"/>
    <m/>
    <s v=" "/>
    <n v="117086.4"/>
    <n v="26.91641379310345"/>
    <d v="2015-04-25T00:00:00"/>
    <d v="2025-04-26T00:00:00"/>
    <d v="2020-04-26T00:00:00"/>
    <n v="6.35068493150685"/>
    <n v="1.347945205479452"/>
    <s v="Modified Gross"/>
    <s v="None"/>
    <s v="None"/>
    <n v="1128000"/>
    <n v="259.3103448275862"/>
    <n v="0.1038"/>
    <m/>
    <d v="2018-12-21T00:00:00"/>
    <x v="894"/>
    <s v="Newmark; Kauffman"/>
    <x v="622"/>
    <s v="CO"/>
    <s v="Private"/>
    <m/>
    <m/>
    <n v="1600000"/>
    <n v="0.07317900000000001"/>
    <n v="0.705"/>
    <n v="1156000"/>
    <n v="0.1012858131487889"/>
    <n v="0.002514186851211062"/>
    <s v="Yes"/>
    <d v="2018-03-05T00:00:00"/>
    <n v="291"/>
  </r>
  <r>
    <m/>
    <s v="DOR"/>
    <s v="State"/>
    <s v="Fee Simple"/>
    <s v="2205 La Vista Ave"/>
    <s v="Pensacola"/>
    <s v="FL"/>
    <n v="5"/>
    <n v="1986"/>
    <n v="32529"/>
    <n v="32529"/>
    <n v="1"/>
    <m/>
    <s v=" "/>
    <n v="552500"/>
    <n v="16.9848442927849"/>
    <m/>
    <d v="2025-06-30T00:00:00"/>
    <d v="2025-06-30T00:00:00"/>
    <n v="6.528767123287671"/>
    <n v="6.528767123287671"/>
    <s v="Full Service"/>
    <s v="3% annually"/>
    <s v="None"/>
    <n v="4675000"/>
    <n v="143.7179132466414"/>
    <n v="0.1181818181818182"/>
    <m/>
    <d v="2018-12-21T00:00:00"/>
    <x v="759"/>
    <s v="Direct"/>
    <x v="623"/>
    <s v="FL"/>
    <s v="Private"/>
    <m/>
    <m/>
    <m/>
    <s v=" "/>
    <s v=" "/>
    <m/>
    <s v=" "/>
    <s v=" "/>
    <s v=" "/>
    <m/>
    <s v=" "/>
  </r>
  <r>
    <s v="LAL60151"/>
    <s v="Probation &amp; Parole"/>
    <s v="Federal"/>
    <s v="Fee Simple"/>
    <s v="1514 Broad St"/>
    <s v="Mobile"/>
    <s v="AL"/>
    <n v="3.687"/>
    <n v="1978"/>
    <n v="12500"/>
    <n v="20356"/>
    <n v="0.6140695617999608"/>
    <n v="624049.01"/>
    <n v="49.9239208"/>
    <m/>
    <s v=" "/>
    <d v="2018-11-15T00:00:00"/>
    <d v="2030-11-14T00:00:00"/>
    <d v="2030-11-14T00:00:00"/>
    <n v="11.90958904109589"/>
    <n v="11.90958904109589"/>
    <s v="Modified Gross"/>
    <s v="None"/>
    <s v="None"/>
    <n v="8600000"/>
    <n v="422.479858518373"/>
    <s v=" "/>
    <m/>
    <d v="2018-12-20T00:00:00"/>
    <x v="111"/>
    <m/>
    <x v="1"/>
    <s v="IL"/>
    <s v="Private"/>
    <m/>
    <m/>
    <m/>
    <s v=" "/>
    <s v=" "/>
    <m/>
    <s v=" "/>
    <s v=" "/>
    <s v=" "/>
    <m/>
    <s v=" "/>
  </r>
  <r>
    <s v="LWI19525"/>
    <s v="SSA"/>
    <s v="Federal"/>
    <s v="Fee Simple"/>
    <s v="2023 Navajo St"/>
    <s v="Rhinelander"/>
    <s v="WI"/>
    <n v="1.07"/>
    <n v="2008"/>
    <n v="5100"/>
    <n v="5100"/>
    <n v="1"/>
    <n v="165230"/>
    <n v="32.39803921568627"/>
    <m/>
    <s v=" "/>
    <d v="2018-06-12T00:00:00"/>
    <d v="2028-06-11T00:00:00"/>
    <d v="2023-06-11T00:00:00"/>
    <n v="9.482191780821918"/>
    <n v="4.476712328767123"/>
    <s v="Modified Gross"/>
    <m/>
    <m/>
    <n v="1525000"/>
    <n v="299.0196078431372"/>
    <s v=" "/>
    <m/>
    <d v="2018-12-20T00:00:00"/>
    <x v="895"/>
    <m/>
    <x v="29"/>
    <s v="IL"/>
    <s v="Private"/>
    <m/>
    <m/>
    <m/>
    <s v=" "/>
    <s v=" "/>
    <m/>
    <s v=" "/>
    <s v=" "/>
    <s v=" "/>
    <m/>
    <s v=" "/>
  </r>
  <r>
    <m/>
    <s v="SSA"/>
    <s v="Federal"/>
    <s v="Fee Simple"/>
    <s v="1333 Front St"/>
    <s v="San Diego"/>
    <s v="CA"/>
    <n v="0.09"/>
    <m/>
    <n v="27365"/>
    <n v="27365"/>
    <n v="1"/>
    <n v="1002504.49"/>
    <n v="36.63455106888361"/>
    <m/>
    <s v=" "/>
    <d v="2019-10-31T00:00:00"/>
    <d v="2034-10-30T00:00:00"/>
    <d v="2029-10-31T00:00:00"/>
    <n v="15.87123287671233"/>
    <n v="10.87123287671233"/>
    <s v="Modified Gross"/>
    <s v="None"/>
    <s v="None"/>
    <n v="20300000"/>
    <n v="741.8234971679152"/>
    <s v=" "/>
    <m/>
    <d v="2018-12-20T00:00:00"/>
    <x v="896"/>
    <m/>
    <x v="624"/>
    <s v="CA"/>
    <s v="Private"/>
    <m/>
    <m/>
    <m/>
    <s v=" "/>
    <s v=" "/>
    <m/>
    <s v=" "/>
    <s v=" "/>
    <s v=" "/>
    <m/>
    <s v=" "/>
  </r>
  <r>
    <m/>
    <s v="DSHS"/>
    <s v="State"/>
    <s v="Fee Simple"/>
    <s v="8517 E Trent Ave"/>
    <s v="Spokane Valley"/>
    <s v="WA"/>
    <n v="3.92"/>
    <n v="1972"/>
    <n v="75441"/>
    <n v="75442"/>
    <n v="0.9999867447840726"/>
    <m/>
    <s v=" "/>
    <n v="702613"/>
    <n v="9.313287028445693"/>
    <m/>
    <m/>
    <m/>
    <s v=" "/>
    <s v=" "/>
    <m/>
    <m/>
    <m/>
    <n v="9500000"/>
    <n v="125.9245513109409"/>
    <n v="0.07395926315789474"/>
    <m/>
    <d v="2018-12-20T00:00:00"/>
    <x v="897"/>
    <s v="NAI; Ridenour"/>
    <x v="1"/>
    <s v="IL"/>
    <s v="Private"/>
    <m/>
    <m/>
    <m/>
    <s v=" "/>
    <s v=" "/>
    <m/>
    <s v=" "/>
    <s v=" "/>
    <s v=" "/>
    <m/>
    <s v=" "/>
  </r>
  <r>
    <m/>
    <s v="AOC"/>
    <s v="Federal"/>
    <s v="Fee Simple"/>
    <s v="1216 Davie Ave"/>
    <s v="Statesville"/>
    <s v="NC"/>
    <n v="1.65"/>
    <n v="2002"/>
    <n v="4450"/>
    <n v="4450"/>
    <n v="1"/>
    <n v="107714"/>
    <n v="24.20539325842697"/>
    <n v="68560"/>
    <n v="15.40674157303371"/>
    <m/>
    <d v="2026-12-31T00:00:00"/>
    <d v="2021-12-31T00:00:00"/>
    <n v="8.04109589041096"/>
    <n v="3.038356164383562"/>
    <s v="Modified Gross"/>
    <s v="None"/>
    <s v="None"/>
    <n v="800000"/>
    <n v="179.7752808988764"/>
    <n v="0.0857"/>
    <m/>
    <d v="2018-12-18T00:00:00"/>
    <x v="898"/>
    <s v="SJC; Hellwig"/>
    <x v="625"/>
    <s v="NC"/>
    <s v="Private"/>
    <m/>
    <m/>
    <m/>
    <s v=" "/>
    <s v=" "/>
    <m/>
    <s v=" "/>
    <s v=" "/>
    <s v=" "/>
    <m/>
    <s v=" "/>
  </r>
  <r>
    <m/>
    <s v="Multi"/>
    <s v="State"/>
    <s v="Fee Simple"/>
    <s v="2255 W Ina Rod"/>
    <s v="Tucson"/>
    <s v="AZ"/>
    <n v="3.45"/>
    <n v="2009"/>
    <n v="46094"/>
    <n v="46094"/>
    <n v="1"/>
    <m/>
    <s v=" "/>
    <n v="700000"/>
    <n v="15.18635831127696"/>
    <d v="2018-11-01T00:00:00"/>
    <d v="2028-10-31T00:00:00"/>
    <d v="2028-10-31T00:00:00"/>
    <n v="9.876712328767123"/>
    <n v="9.876712328767123"/>
    <s v="Full Service"/>
    <m/>
    <m/>
    <n v="10000000"/>
    <n v="216.9479758753851"/>
    <n v="0.07000000000000001"/>
    <m/>
    <d v="2018-12-18T00:00:00"/>
    <x v="899"/>
    <s v="Fijan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2402-2414 E Shawnee Rd"/>
    <s v="Muskogee"/>
    <s v="OK"/>
    <n v="0.58"/>
    <m/>
    <n v="8088"/>
    <n v="10270"/>
    <n v="0.7875365141187926"/>
    <m/>
    <s v=" "/>
    <m/>
    <s v=" "/>
    <m/>
    <m/>
    <m/>
    <s v=" "/>
    <s v=" "/>
    <m/>
    <m/>
    <m/>
    <n v="2850000"/>
    <n v="277.5073028237585"/>
    <s v=" "/>
    <m/>
    <d v="2018-12-14T00:00:00"/>
    <x v="900"/>
    <m/>
    <x v="626"/>
    <s v="OK"/>
    <s v="Private"/>
    <m/>
    <m/>
    <m/>
    <s v=" "/>
    <s v=" "/>
    <m/>
    <s v=" "/>
    <s v=" "/>
    <s v=" "/>
    <m/>
    <s v=" "/>
  </r>
  <r>
    <s v="LMO50016"/>
    <s v="SSA"/>
    <s v="Federal"/>
    <s v="Fee Simple"/>
    <s v="2600 Kanell Blvd"/>
    <s v="Poplar Bluff"/>
    <s v="MO"/>
    <n v="1.09"/>
    <n v="1.09"/>
    <n v="5040"/>
    <n v="10080"/>
    <n v="0.5"/>
    <n v="177580.62"/>
    <n v="35.23425"/>
    <n v="71960"/>
    <n v="7.138888888888889"/>
    <d v="2016-09-01T00:00:00"/>
    <d v="2026-08-31T00:00:00"/>
    <d v="2021-08-31T00:00:00"/>
    <n v="7.717808219178083"/>
    <n v="2.715068493150685"/>
    <s v="Modified Gross"/>
    <m/>
    <m/>
    <n v="710000"/>
    <n v="70.43650793650794"/>
    <n v="0.1013521126760563"/>
    <m/>
    <d v="2018-12-14T00:00:00"/>
    <x v="901"/>
    <s v="Terry Stewart"/>
    <x v="627"/>
    <s v="MO"/>
    <s v="Private"/>
    <m/>
    <m/>
    <n v="899500"/>
    <n v="0.08"/>
    <n v="0.7893274041133963"/>
    <n v="899500"/>
    <n v="0.08"/>
    <n v="0.02135211267605634"/>
    <s v="No"/>
    <d v="2018-09-28T00:00:00"/>
    <n v="77"/>
  </r>
  <r>
    <m/>
    <s v="Multi"/>
    <s v="State"/>
    <s v="Fee Simple"/>
    <s v="9616 Micron Ave"/>
    <s v="Sacramento"/>
    <s v="CA"/>
    <n v="4.55"/>
    <n v="1984"/>
    <n v="69413"/>
    <n v="69413"/>
    <n v="1"/>
    <m/>
    <s v=" "/>
    <m/>
    <s v=" "/>
    <m/>
    <m/>
    <m/>
    <s v=" "/>
    <s v=" "/>
    <m/>
    <m/>
    <m/>
    <n v="7800000"/>
    <n v="112.3708815351591"/>
    <s v=" "/>
    <m/>
    <d v="2018-12-14T00:00:00"/>
    <x v="902"/>
    <s v="Palmer Capital"/>
    <x v="62"/>
    <s v="IL"/>
    <s v="Private"/>
    <m/>
    <m/>
    <m/>
    <s v=" "/>
    <s v=" "/>
    <m/>
    <s v=" "/>
    <s v=" "/>
    <s v=" "/>
    <m/>
    <s v=" "/>
  </r>
  <r>
    <m/>
    <s v="USDA"/>
    <s v="Federal"/>
    <s v="Fee Simple"/>
    <s v="2504 N Center St"/>
    <s v="Bonham"/>
    <s v="TX"/>
    <n v="1.03"/>
    <n v="2011"/>
    <n v="5194"/>
    <n v="5194"/>
    <n v="1"/>
    <m/>
    <s v=" "/>
    <n v="77777"/>
    <n v="14.9743935309973"/>
    <m/>
    <d v="2021-07-31T00:00:00"/>
    <d v="2021-07-31T00:00:00"/>
    <n v="2.638356164383562"/>
    <n v="2.638356164383562"/>
    <s v="Modified Gross"/>
    <s v="None"/>
    <s v="None"/>
    <n v="875000"/>
    <n v="168.4636118598383"/>
    <n v="0.08888799999999999"/>
    <m/>
    <d v="2018-12-11T00:00:00"/>
    <x v="903"/>
    <s v="M&amp;M; Ficke"/>
    <x v="399"/>
    <s v="AL"/>
    <s v="Private"/>
    <m/>
    <m/>
    <n v="915000"/>
    <n v="0.08500218579234972"/>
    <n v="0.9562841530054644"/>
    <n v="915000"/>
    <n v="0.08500218579234972"/>
    <n v="0.003885814207650273"/>
    <s v="No"/>
    <d v="2018-08-17T00:00:00"/>
    <n v="116"/>
  </r>
  <r>
    <m/>
    <s v="USPS"/>
    <s v="Federal"/>
    <s v="Fee Simple"/>
    <s v="200 Main St NW"/>
    <s v="Lore City"/>
    <s v="OH"/>
    <n v="0.03"/>
    <n v="1959"/>
    <n v="950"/>
    <n v="950"/>
    <n v="1"/>
    <n v="6200"/>
    <n v="6.526315789473684"/>
    <m/>
    <s v=" "/>
    <m/>
    <m/>
    <m/>
    <s v=" "/>
    <s v=" "/>
    <m/>
    <m/>
    <m/>
    <n v="50000"/>
    <n v="52.63157894736842"/>
    <s v=" "/>
    <m/>
    <d v="2018-12-11T00:00:00"/>
    <x v="8"/>
    <m/>
    <x v="0"/>
    <m/>
    <m/>
    <m/>
    <m/>
    <m/>
    <s v=" "/>
    <s v=" "/>
    <m/>
    <s v=" "/>
    <s v=" "/>
    <s v=" "/>
    <m/>
    <s v=" "/>
  </r>
  <r>
    <m/>
    <s v="Bexar County Adult Probation"/>
    <s v="State"/>
    <s v="Fee Simple"/>
    <s v="408 Bushick Dr"/>
    <s v="San Antonio"/>
    <s v="TX"/>
    <n v="0.92"/>
    <n v="2016"/>
    <n v="9386"/>
    <n v="9386"/>
    <n v="1"/>
    <n v="259145"/>
    <n v="27.60973790752184"/>
    <n v="211928"/>
    <n v="22.57916045173663"/>
    <d v="2016-12-01T00:00:00"/>
    <d v="2023-12-25T00:00:00"/>
    <d v="2016-12-01T00:00:00"/>
    <n v="5.041095890410959"/>
    <n v="-2.027397260273973"/>
    <s v="Full Service"/>
    <s v="3% annually"/>
    <s v="1, 5 year"/>
    <n v="1900000"/>
    <n v="202.4291497975709"/>
    <n v="0.1115410526315789"/>
    <m/>
    <d v="2018-12-11T00:00:00"/>
    <x v="904"/>
    <s v="Joshua Murphy"/>
    <x v="628"/>
    <s v="TX"/>
    <s v="Private"/>
    <m/>
    <m/>
    <n v="2250000"/>
    <n v="0.09419022222222222"/>
    <n v="0.8444444444444444"/>
    <n v="2100000"/>
    <n v="0.1009180952380952"/>
    <n v="0.01062295739348371"/>
    <s v="Yes"/>
    <d v="2018-06-12T00:00:00"/>
    <n v="182"/>
  </r>
  <r>
    <s v="LPA06371"/>
    <s v="SSA"/>
    <s v="Federal"/>
    <s v="Fee Simple"/>
    <s v="2929 N Broad St"/>
    <s v="Philadelphia"/>
    <s v="PA"/>
    <n v="4.11"/>
    <n v="1987"/>
    <n v="15286"/>
    <n v="48600"/>
    <n v="0.3145267489711934"/>
    <n v="313781.87"/>
    <n v="20.52740219808976"/>
    <m/>
    <s v=" "/>
    <d v="2009-10-19T00:00:00"/>
    <d v="2019-10-18T00:00:00"/>
    <d v="2019-10-18T00:00:00"/>
    <n v="0.8547945205479452"/>
    <n v="0.8547945205479452"/>
    <s v="Modified Gross"/>
    <m/>
    <m/>
    <n v="8800000"/>
    <n v="181.0699588477366"/>
    <s v=" "/>
    <m/>
    <d v="2018-12-10T00:00:00"/>
    <x v="905"/>
    <s v="Direct"/>
    <x v="629"/>
    <s v="PA"/>
    <s v="Private"/>
    <m/>
    <m/>
    <m/>
    <s v=" "/>
    <s v=" "/>
    <m/>
    <s v=" "/>
    <s v=" "/>
    <s v=" "/>
    <m/>
    <s v=" "/>
  </r>
  <r>
    <s v="LNM17175"/>
    <s v="IRS"/>
    <s v="Federal"/>
    <s v="Fee Simple"/>
    <s v="2945 Rodeo Park Dr"/>
    <s v="Santa Fe"/>
    <s v="NM"/>
    <m/>
    <n v="2001"/>
    <n v="5515"/>
    <n v="25109"/>
    <n v="0.2196423593133936"/>
    <n v="115873.68"/>
    <n v="21.01064007252947"/>
    <n v="219643"/>
    <n v="8.7475805488072"/>
    <d v="2014-01-01T00:00:00"/>
    <d v="2023-12-31T00:00:00"/>
    <d v="2017-01-01T00:00:00"/>
    <n v="5.06027397260274"/>
    <n v="-1.93972602739726"/>
    <s v="Modified Gross"/>
    <m/>
    <m/>
    <n v="2900000"/>
    <n v="115.4964355410411"/>
    <n v="0.07573896551724138"/>
    <m/>
    <d v="2018-12-10T00:00:00"/>
    <x v="906"/>
    <s v="IPA"/>
    <x v="0"/>
    <m/>
    <s v="Private"/>
    <m/>
    <m/>
    <m/>
    <s v=" "/>
    <s v=" "/>
    <m/>
    <s v=" "/>
    <s v=" "/>
    <s v=" "/>
    <m/>
    <s v=" "/>
  </r>
  <r>
    <m/>
    <s v="INS"/>
    <s v="Federal"/>
    <s v="Leasehold"/>
    <s v="2150 Stein Dr"/>
    <s v="Chattanooga"/>
    <s v="TN"/>
    <n v="1.18"/>
    <n v="2005"/>
    <n v="4853"/>
    <n v="4853"/>
    <n v="1"/>
    <m/>
    <s v=" "/>
    <m/>
    <s v=" "/>
    <m/>
    <m/>
    <m/>
    <s v=" "/>
    <s v=" "/>
    <m/>
    <m/>
    <m/>
    <m/>
    <s v=" "/>
    <s v=" "/>
    <m/>
    <d v="2018-12-08T00:00:00"/>
    <x v="611"/>
    <m/>
    <x v="497"/>
    <s v="TN"/>
    <s v="REIT"/>
    <m/>
    <m/>
    <m/>
    <s v=" "/>
    <s v=" "/>
    <m/>
    <s v=" "/>
    <s v=" "/>
    <s v=" "/>
    <m/>
    <s v=" "/>
  </r>
  <r>
    <s v="LWI19283"/>
    <s v="BIA"/>
    <s v="Federal"/>
    <s v="Fee Simple"/>
    <s v="916 Lake Shore Dr W"/>
    <s v="Ashland"/>
    <s v="WI"/>
    <m/>
    <n v="2004"/>
    <n v="36000"/>
    <n v="36000"/>
    <n v="1"/>
    <n v="653041.96"/>
    <n v="18.14005444444444"/>
    <n v="383150"/>
    <n v="10.64305555555556"/>
    <d v="2018-01-11T00:00:00"/>
    <d v="2028-01-10T00:00:00"/>
    <d v="2023-01-10T00:00:00"/>
    <n v="9.109589041095891"/>
    <n v="4.106849315068493"/>
    <s v="Modified Gross"/>
    <m/>
    <m/>
    <n v="4850000"/>
    <n v="134.7222222222222"/>
    <n v="0.079"/>
    <m/>
    <d v="2018-12-03T00:00:00"/>
    <x v="907"/>
    <s v="M&amp;M; Ficke"/>
    <x v="46"/>
    <s v="OK"/>
    <s v="Private"/>
    <s v="M&amp;M; Ficke"/>
    <m/>
    <m/>
    <s v=" "/>
    <s v=" "/>
    <m/>
    <s v=" "/>
    <s v=" "/>
    <s v=" "/>
    <m/>
    <s v=" "/>
  </r>
  <r>
    <m/>
    <s v="Pennsylvania Department Of Corrections"/>
    <s v="State"/>
    <s v="Fee Simple"/>
    <s v="1920 Technology Pkwy"/>
    <s v="Mechanicsburg"/>
    <s v="PA"/>
    <n v="10.08"/>
    <n v="2011"/>
    <n v="100000"/>
    <n v="100000"/>
    <n v="1"/>
    <m/>
    <s v=" "/>
    <n v="2021250"/>
    <n v="20.2125"/>
    <m/>
    <d v="2030-08-31T00:00:00"/>
    <d v="2030-08-31T00:00:00"/>
    <n v="11.75068493150685"/>
    <n v="11.75068493150685"/>
    <s v="Modified Gross"/>
    <m/>
    <m/>
    <n v="26950000"/>
    <n v="269.5"/>
    <n v="0.075"/>
    <m/>
    <d v="2018-12-03T00:00:00"/>
    <x v="741"/>
    <s v="Steve Marzullo"/>
    <x v="1"/>
    <s v="IL"/>
    <s v="Private"/>
    <m/>
    <m/>
    <m/>
    <s v=" "/>
    <s v=" "/>
    <m/>
    <s v=" "/>
    <s v=" "/>
    <s v=" "/>
    <m/>
    <s v=" "/>
  </r>
  <r>
    <m/>
    <s v="EPA"/>
    <s v="Federal"/>
    <s v="Fee Simple"/>
    <s v="16194 W 45th St"/>
    <s v="Golden"/>
    <s v="CO"/>
    <n v="6.11"/>
    <n v="1997"/>
    <n v="43232"/>
    <n v="43232"/>
    <n v="1"/>
    <n v="1507660.92"/>
    <n v="34.87372594374537"/>
    <m/>
    <s v=" "/>
    <m/>
    <d v="2018-12-22T00:00:00"/>
    <m/>
    <n v="0.06027397260273973"/>
    <s v=" "/>
    <s v="Modified Gross"/>
    <s v="None"/>
    <s v="None"/>
    <n v="4000000"/>
    <n v="92.5240562546262"/>
    <s v=" "/>
    <m/>
    <d v="2018-11-30T00:00:00"/>
    <x v="247"/>
    <s v="JLL; Schmidt"/>
    <x v="630"/>
    <s v="CO"/>
    <s v="User/Owner"/>
    <m/>
    <m/>
    <m/>
    <s v=" "/>
    <s v=" "/>
    <m/>
    <s v=" "/>
    <s v=" "/>
    <s v=" "/>
    <m/>
    <s v=" "/>
  </r>
  <r>
    <m/>
    <s v="Montana Dep't of Revenue"/>
    <s v="State"/>
    <s v="Fee Simple"/>
    <s v="340 N Last Chance Gulch"/>
    <s v="Helena"/>
    <s v="MT"/>
    <n v="0.35"/>
    <n v="1960"/>
    <n v="37135"/>
    <n v="37135"/>
    <n v="1"/>
    <m/>
    <s v=" "/>
    <n v="499032"/>
    <n v="13.43831964454019"/>
    <m/>
    <d v="2026-12-31T00:00:00"/>
    <d v="2018-11-01T00:00:00"/>
    <n v="8.095890410958905"/>
    <n v="-0.07397260273972603"/>
    <s v="Full Service"/>
    <m/>
    <m/>
    <n v="6300000"/>
    <n v="169.6512723845429"/>
    <n v="0.07921142857142857"/>
    <m/>
    <d v="2018-11-28T00:00:00"/>
    <x v="8"/>
    <s v="SJC; Briggs"/>
    <x v="1"/>
    <s v="IL"/>
    <s v="Private"/>
    <m/>
    <m/>
    <m/>
    <s v=" "/>
    <s v=" "/>
    <m/>
    <s v=" "/>
    <s v=" "/>
    <s v=" "/>
    <m/>
    <s v=" "/>
  </r>
  <r>
    <m/>
    <s v="HD"/>
    <s v="Municipal"/>
    <s v="Fee Simple"/>
    <s v="211 E 25th St"/>
    <s v="Baltimore"/>
    <s v="MD"/>
    <m/>
    <n v="1920"/>
    <n v="4890"/>
    <n v="4890"/>
    <n v="1"/>
    <n v="67800"/>
    <n v="13.86503067484663"/>
    <n v="67800"/>
    <n v="13.86503067484663"/>
    <m/>
    <m/>
    <m/>
    <s v=" "/>
    <s v=" "/>
    <m/>
    <m/>
    <m/>
    <n v="565000"/>
    <n v="115.5419222903885"/>
    <n v="0.12"/>
    <m/>
    <d v="2018-11-21T00:00:00"/>
    <x v="8"/>
    <s v="Ari Azarbarain"/>
    <x v="0"/>
    <s v="MD"/>
    <s v="Private"/>
    <m/>
    <m/>
    <m/>
    <s v=" "/>
    <s v=" "/>
    <m/>
    <s v=" "/>
    <s v=" "/>
    <s v=" "/>
    <m/>
    <s v=" "/>
  </r>
  <r>
    <m/>
    <s v="NIH"/>
    <s v="Federal"/>
    <s v="Fee Simple"/>
    <s v="5625 Fishers &amp; 12735 Twinbrook"/>
    <s v="Rockville"/>
    <s v="MD"/>
    <n v="2.59"/>
    <m/>
    <n v="229905"/>
    <n v="229905"/>
    <n v="1"/>
    <m/>
    <s v=" "/>
    <n v="8100000"/>
    <n v="35.23194362889019"/>
    <m/>
    <d v="2023-12-31T00:00:00"/>
    <d v="2023-12-31T00:00:00"/>
    <n v="5.115068493150685"/>
    <n v="5.115068493150685"/>
    <s v="Modified Gross"/>
    <s v="None"/>
    <s v="None"/>
    <n v="101000000"/>
    <n v="439.3118896935691"/>
    <n v="0.0801980198019802"/>
    <m/>
    <d v="2018-11-20T00:00:00"/>
    <x v="908"/>
    <s v="JLL; Meisel"/>
    <x v="631"/>
    <s v="CA"/>
    <s v="Institutional"/>
    <m/>
    <m/>
    <m/>
    <s v=" "/>
    <s v=" "/>
    <m/>
    <s v=" "/>
    <s v=" "/>
    <s v=" "/>
    <d v="2018-07-23T00:00:00"/>
    <n v="120"/>
  </r>
  <r>
    <m/>
    <s v="DOC&amp;PS"/>
    <s v="State"/>
    <s v="Fee Simple"/>
    <s v="634 Park Ave"/>
    <s v="Clearwater"/>
    <s v="FL"/>
    <n v="0.44"/>
    <n v="1961"/>
    <n v="64040"/>
    <n v="64040"/>
    <n v="1"/>
    <m/>
    <s v=" "/>
    <m/>
    <s v=" "/>
    <m/>
    <m/>
    <m/>
    <s v=" "/>
    <s v=" "/>
    <m/>
    <m/>
    <m/>
    <n v="16400000"/>
    <n v="256.0899437851343"/>
    <s v=" "/>
    <m/>
    <d v="2018-11-15T00:00:00"/>
    <x v="909"/>
    <m/>
    <x v="632"/>
    <s v="FL"/>
    <s v="Private"/>
    <m/>
    <m/>
    <m/>
    <s v=" "/>
    <s v=" "/>
    <m/>
    <s v=" "/>
    <s v=" "/>
    <s v=" "/>
    <m/>
    <s v=" "/>
  </r>
  <r>
    <m/>
    <s v="Treas."/>
    <s v="Federal"/>
    <s v="Fee Simple"/>
    <s v="836 15th St N"/>
    <s v="Birmingham"/>
    <s v="AL"/>
    <n v="3.91"/>
    <n v="2014"/>
    <n v="83676"/>
    <n v="83676"/>
    <n v="1"/>
    <n v="2200320.22"/>
    <n v="26.29571466131268"/>
    <m/>
    <s v=" "/>
    <d v="2014-12-12T00:00:00"/>
    <d v="2029-12-11T00:00:00"/>
    <d v="2029-12-11T00:00:00"/>
    <n v="11.0986301369863"/>
    <n v="11.0986301369863"/>
    <s v="Modified Gross"/>
    <m/>
    <m/>
    <n v="22000000"/>
    <n v="262.9188775754099"/>
    <s v=" "/>
    <m/>
    <d v="2018-11-08T00:00:00"/>
    <x v="910"/>
    <s v="Direct"/>
    <x v="3"/>
    <s v="DC"/>
    <s v="REIT"/>
    <m/>
    <m/>
    <m/>
    <s v=" "/>
    <s v=" "/>
    <m/>
    <s v=" "/>
    <s v=" "/>
    <s v=" "/>
    <m/>
    <s v=" "/>
  </r>
  <r>
    <m/>
    <m/>
    <m/>
    <s v="Fee Simple"/>
    <s v="909-999 E Tudor Rd"/>
    <s v="Anchorage"/>
    <s v="AK"/>
    <n v="2.7"/>
    <m/>
    <n v="27398"/>
    <n v="27398"/>
    <n v="1"/>
    <m/>
    <s v=" "/>
    <m/>
    <s v=" "/>
    <m/>
    <m/>
    <m/>
    <s v=" "/>
    <s v=" "/>
    <m/>
    <m/>
    <m/>
    <m/>
    <s v=" "/>
    <s v=" "/>
    <m/>
    <d v="2018-11-06T00:00:00"/>
    <x v="911"/>
    <m/>
    <x v="429"/>
    <s v="NY"/>
    <s v="Private"/>
    <m/>
    <m/>
    <m/>
    <s v=" "/>
    <s v=" "/>
    <m/>
    <s v=" "/>
    <s v=" "/>
    <s v=" "/>
    <m/>
    <s v=" "/>
  </r>
  <r>
    <s v="LVA00316"/>
    <s v="CBP"/>
    <s v="Federal"/>
    <s v="Fee Simple"/>
    <s v="22001 Loudoun County Pky"/>
    <s v="Ashburn"/>
    <s v="VA"/>
    <n v="17.22"/>
    <n v="2000"/>
    <n v="445595"/>
    <n v="445595"/>
    <n v="1"/>
    <n v="17005758.8"/>
    <n v="38.16415983123689"/>
    <n v="4028250"/>
    <n v="9.040159786353078"/>
    <d v="2020-11-08T00:00:00"/>
    <d v="2035-11-07T00:00:00"/>
    <d v="2035-11-07T00:00:00"/>
    <n v="17.01369863013699"/>
    <n v="17.01369863013699"/>
    <s v="Modified Gross"/>
    <s v="None"/>
    <s v="None"/>
    <n v="65500000"/>
    <n v="146.9944680707817"/>
    <n v="0.0615"/>
    <m/>
    <d v="2018-11-06T00:00:00"/>
    <x v="912"/>
    <s v="Eastdil"/>
    <x v="1"/>
    <s v="IL"/>
    <s v="Private"/>
    <m/>
    <m/>
    <m/>
    <s v=" "/>
    <s v=" "/>
    <m/>
    <s v=" "/>
    <s v=" "/>
    <s v=" "/>
    <m/>
    <s v=" "/>
  </r>
  <r>
    <m/>
    <s v="DEA"/>
    <s v="Federal"/>
    <s v="Fee Simple"/>
    <s v="1440 McCormick Dr"/>
    <s v="Upper Marlboro"/>
    <s v="MD"/>
    <n v="13.72"/>
    <n v="2002"/>
    <n v="50978"/>
    <n v="50978"/>
    <n v="1"/>
    <n v="2088996.25"/>
    <n v="40.97838773588607"/>
    <n v="1660875"/>
    <n v="32.58023068774766"/>
    <d v="2002-03-29T00:00:00"/>
    <d v="2022-03-28T00:00:00"/>
    <d v="2022-03-28T00:00:00"/>
    <n v="3.394520547945206"/>
    <n v="3.394520547945206"/>
    <s v="Modified Gross"/>
    <m/>
    <m/>
    <n v="25750000"/>
    <n v="505.1198556239947"/>
    <n v="0.0645"/>
    <m/>
    <d v="2018-11-05T00:00:00"/>
    <x v="913"/>
    <s v="C&amp;W; Trautvetter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120 E Front Ave"/>
    <s v="Joliet"/>
    <s v="MT"/>
    <n v="0.44"/>
    <n v="1998"/>
    <n v="3118"/>
    <n v="3118"/>
    <n v="1"/>
    <n v="75000"/>
    <n v="24.05388069275176"/>
    <n v="70688"/>
    <n v="22.67094291212316"/>
    <d v="2018-07-21T00:00:00"/>
    <d v="2023-07-21T00:00:00"/>
    <d v="2018-08-20T00:00:00"/>
    <n v="4.712328767123288"/>
    <n v="-0.2082191780821918"/>
    <s v="Rider"/>
    <s v="Option"/>
    <s v="1, 5 year"/>
    <n v="861000"/>
    <n v="276.1385503527903"/>
    <n v="0.08209988385598142"/>
    <m/>
    <d v="2018-11-04T00:00:00"/>
    <x v="914"/>
    <s v="M&amp;M; McDonald"/>
    <x v="633"/>
    <s v="WA"/>
    <s v="Private"/>
    <s v="CBRE; Hester"/>
    <m/>
    <n v="875000"/>
    <n v="0.08078628571428571"/>
    <n v="0.984"/>
    <n v="875000"/>
    <n v="0.08078628571428571"/>
    <n v="0.00131359814169571"/>
    <s v="No"/>
    <d v="2018-07-17T00:00:00"/>
    <n v="110"/>
  </r>
  <r>
    <m/>
    <s v="MSHA"/>
    <s v="Federal"/>
    <s v="Fee Simple"/>
    <s v="1664 Pond Fork Rd"/>
    <s v="Madison"/>
    <s v="WV"/>
    <n v="14"/>
    <n v="1990"/>
    <n v="9407"/>
    <n v="9407"/>
    <n v="1"/>
    <n v="135096"/>
    <n v="14.3612203678112"/>
    <n v="74966"/>
    <n v="7.969171893270969"/>
    <d v="2012-06-20T00:00:00"/>
    <d v="2022-06-20T00:00:00"/>
    <d v="2017-06-20T00:00:00"/>
    <n v="3.638356164383562"/>
    <n v="-1.364383561643836"/>
    <s v="Modified Gross"/>
    <s v="None"/>
    <s v="None"/>
    <n v="574892.6380368099"/>
    <n v="61.11328139011479"/>
    <n v="0.1304"/>
    <m/>
    <d v="2018-10-31T00:00:00"/>
    <x v="8"/>
    <s v="M&amp;M; Ficke"/>
    <x v="634"/>
    <s v="NJ"/>
    <s v="Private"/>
    <m/>
    <m/>
    <n v="749660"/>
    <n v="0.1"/>
    <n v="0.7668711656441718"/>
    <n v="749660"/>
    <n v="0.1"/>
    <n v="0.03039999999999998"/>
    <s v="No"/>
    <d v="2018-04-30T00:00:00"/>
    <n v="184"/>
  </r>
  <r>
    <m/>
    <s v="Utah Department of Human Services"/>
    <s v="State"/>
    <s v="Fee Simple"/>
    <s v="1409 S Main St"/>
    <s v="Nephi"/>
    <s v="UT"/>
    <n v="0.6"/>
    <n v="2007"/>
    <n v="2966"/>
    <n v="2966"/>
    <n v="1"/>
    <m/>
    <s v=" "/>
    <n v="42047"/>
    <n v="14.17633175994606"/>
    <m/>
    <d v="2022-06-30T00:00:00"/>
    <m/>
    <n v="3.671232876712329"/>
    <s v=" "/>
    <s v="Full Service"/>
    <s v="2.5% annually"/>
    <s v="1, 5 year"/>
    <m/>
    <s v=" "/>
    <s v=" "/>
    <m/>
    <d v="2018-10-29T00:00:00"/>
    <x v="8"/>
    <s v="Gary Nelson"/>
    <x v="0"/>
    <m/>
    <m/>
    <m/>
    <m/>
    <n v="595000"/>
    <n v="0.0706672268907563"/>
    <s v=" "/>
    <n v="595000"/>
    <n v="0.0706672268907563"/>
    <s v=" "/>
    <s v="No"/>
    <d v="2018-03-30T00:00:00"/>
    <n v="213"/>
  </r>
  <r>
    <m/>
    <s v="Montgomery County Intermediate Unit"/>
    <s v="Municipal"/>
    <s v="Fee Simple"/>
    <s v="333 Technology Dr"/>
    <s v="Malvern"/>
    <s v="PA"/>
    <n v="5.83"/>
    <n v="1987"/>
    <n v="40000"/>
    <n v="40000"/>
    <n v="1"/>
    <m/>
    <s v=" "/>
    <n v="390400"/>
    <n v="9.76"/>
    <m/>
    <d v="2026-06-30T00:00:00"/>
    <d v="2026-06-30T00:00:00"/>
    <n v="7.687671232876713"/>
    <n v="7.687671232876713"/>
    <s v="Abs NNN"/>
    <s v="3% annually"/>
    <s v="None"/>
    <n v="5750000"/>
    <n v="143.75"/>
    <n v="0.06789565217391304"/>
    <m/>
    <d v="2018-10-24T00:00:00"/>
    <x v="915"/>
    <s v="M&amp;M; Mobin"/>
    <x v="0"/>
    <m/>
    <m/>
    <m/>
    <m/>
    <n v="7000000"/>
    <n v="0.05577142857142857"/>
    <n v="0.8214285714285714"/>
    <n v="7000000"/>
    <n v="0.05577142857142857"/>
    <n v="0.01212422360248447"/>
    <s v="No"/>
    <d v="2018-04-18T00:00:00"/>
    <n v="189"/>
  </r>
  <r>
    <m/>
    <s v="USPS"/>
    <s v="Federal"/>
    <s v="Fee Simple"/>
    <s v="215 Ayer Rd"/>
    <s v="Harvard"/>
    <s v="MA"/>
    <n v="3.06"/>
    <n v="1999"/>
    <n v="6793"/>
    <n v="6793"/>
    <n v="1"/>
    <n v="119625"/>
    <n v="17.61003974679818"/>
    <n v="119625"/>
    <n v="17.61003974679818"/>
    <d v="1999-12-01T00:00:00"/>
    <d v="2019-11-30T00:00:00"/>
    <m/>
    <n v="1.104109589041096"/>
    <s v=" "/>
    <s v="Rider"/>
    <s v="Options"/>
    <s v="4, 5 year"/>
    <n v="1592500"/>
    <n v="234.432504048285"/>
    <n v="0.07511773940345369"/>
    <m/>
    <d v="2018-10-23T00:00:00"/>
    <x v="916"/>
    <s v="TCP; Harrison"/>
    <x v="635"/>
    <s v="MA"/>
    <s v="Private"/>
    <m/>
    <m/>
    <m/>
    <s v=" "/>
    <s v=" "/>
    <m/>
    <s v=" "/>
    <s v=" "/>
    <s v=" "/>
    <m/>
    <s v=" "/>
  </r>
  <r>
    <m/>
    <s v="FBI"/>
    <s v="Federal"/>
    <s v="Fee Simple"/>
    <s v="2222 Market St"/>
    <s v="Saint Louis"/>
    <s v="MO"/>
    <n v="4.83"/>
    <n v="1999"/>
    <n v="89564"/>
    <n v="89564"/>
    <n v="1"/>
    <n v="2358332.89"/>
    <n v="26.33125909963825"/>
    <n v="1730400"/>
    <n v="19.32026260551114"/>
    <d v="1998-11-02T00:00:00"/>
    <d v="2027-12-14T00:00:00"/>
    <d v="2026-06-30T00:00:00"/>
    <n v="9.150684931506849"/>
    <n v="7.693150684931507"/>
    <s v="FS"/>
    <m/>
    <m/>
    <n v="21000000"/>
    <n v="234.4692063775624"/>
    <n v="0.0824"/>
    <m/>
    <d v="2018-10-22T00:00:00"/>
    <x v="917"/>
    <s v="Michael Johns"/>
    <x v="46"/>
    <s v="OK"/>
    <s v="Private"/>
    <s v="M&amp;M; Ficke"/>
    <m/>
    <n v="24200000"/>
    <n v="0.07150413223140496"/>
    <n v="0.8677685950413223"/>
    <n v="23000000"/>
    <n v="0.07523478260869565"/>
    <n v="0.007165217391304352"/>
    <s v="Yes"/>
    <d v="2018-04-19T00:00:00"/>
    <n v="186"/>
  </r>
  <r>
    <m/>
    <s v="FBI"/>
    <s v="Federal"/>
    <s v="Fee Simple"/>
    <s v="2222 Market St"/>
    <s v="Saint Louis"/>
    <s v="MO"/>
    <n v="4.83"/>
    <n v="1999"/>
    <n v="89564"/>
    <n v="89564"/>
    <n v="1"/>
    <n v="2358332.89"/>
    <n v="26.33125909963825"/>
    <n v="1730400"/>
    <n v="19.32026260551114"/>
    <d v="1998-11-02T00:00:00"/>
    <d v="2027-12-14T00:00:00"/>
    <d v="2026-06-30T00:00:00"/>
    <n v="9.150684931506849"/>
    <n v="7.693150684931507"/>
    <s v="Modified Gross"/>
    <s v="None"/>
    <s v="None"/>
    <n v="21000000"/>
    <n v="234.4692063775624"/>
    <n v="0.0824"/>
    <m/>
    <d v="2018-10-22T00:00:00"/>
    <x v="917"/>
    <s v="Michael Johns"/>
    <x v="46"/>
    <s v="OK"/>
    <s v="Private"/>
    <s v="M&amp;M; Ficke"/>
    <m/>
    <n v="24200000"/>
    <n v="0.07150413223140496"/>
    <n v="0.8677685950413223"/>
    <n v="23000000"/>
    <n v="0.07523478260869565"/>
    <n v="0.007165217391304352"/>
    <s v="Yes"/>
    <d v="2018-04-19T00:00:00"/>
    <n v="186"/>
  </r>
  <r>
    <m/>
    <s v="USPS"/>
    <s v="Federal"/>
    <s v="Fee Simple"/>
    <s v="3800 W Picacho Ave"/>
    <s v="Fairacres"/>
    <s v="NM"/>
    <n v="1.57"/>
    <n v="1998"/>
    <n v="5173"/>
    <n v="5173"/>
    <n v="1"/>
    <n v="68112"/>
    <n v="13.16682775952059"/>
    <m/>
    <s v=" "/>
    <m/>
    <m/>
    <m/>
    <s v=" "/>
    <s v=" "/>
    <m/>
    <m/>
    <m/>
    <n v="865000"/>
    <n v="167.2143823699981"/>
    <s v=" "/>
    <m/>
    <d v="2018-10-19T00:00:00"/>
    <x v="918"/>
    <m/>
    <x v="496"/>
    <s v="MT"/>
    <s v="Private"/>
    <s v="BW; Wells"/>
    <m/>
    <m/>
    <s v=" "/>
    <s v=" "/>
    <m/>
    <s v=" "/>
    <s v=" "/>
    <s v=" "/>
    <m/>
    <s v=" "/>
  </r>
  <r>
    <s v="LNM17204"/>
    <s v="USCIS"/>
    <s v="Federal"/>
    <s v="Fee Simple"/>
    <s v="1551 Mercantile Ave NE"/>
    <s v="Albuquerque"/>
    <s v="NM"/>
    <n v="5.15"/>
    <n v="1998"/>
    <n v="14807"/>
    <n v="52465"/>
    <n v="0.2822262460688078"/>
    <n v="290560.91"/>
    <n v="19.62321266968326"/>
    <n v="680374.91"/>
    <n v="12.96816754026494"/>
    <d v="2017-12-20T00:00:00"/>
    <d v="2032-12-19T00:00:00"/>
    <d v="2027-12-19T00:00:00"/>
    <n v="14.18082191780822"/>
    <n v="9.175342465753424"/>
    <m/>
    <m/>
    <m/>
    <n v="6600000"/>
    <n v="125.7981511483846"/>
    <n v="0.1030871075757576"/>
    <m/>
    <d v="2018-10-18T00:00:00"/>
    <x v="919"/>
    <m/>
    <x v="636"/>
    <s v="NY"/>
    <s v="Private"/>
    <m/>
    <m/>
    <m/>
    <s v=" "/>
    <s v=" "/>
    <m/>
    <s v=" "/>
    <s v=" "/>
    <s v=" "/>
    <m/>
    <s v=" "/>
  </r>
  <r>
    <m/>
    <s v="Multi"/>
    <s v="State"/>
    <s v="Fee Simple"/>
    <s v="1-3 S Park Cir"/>
    <s v="Charleston"/>
    <s v="SC"/>
    <n v="14.04"/>
    <m/>
    <n v="159716"/>
    <n v="159716"/>
    <n v="1"/>
    <m/>
    <s v=" "/>
    <n v="1611640"/>
    <n v="10.09066092313857"/>
    <m/>
    <d v="2028-10-31T00:00:00"/>
    <d v="2028-10-31T00:00:00"/>
    <n v="10.04383561643836"/>
    <n v="10.04383561643836"/>
    <s v="Full Service"/>
    <s v="2.5% annually"/>
    <s v="None"/>
    <n v="23023430"/>
    <n v="144.1523078464274"/>
    <n v="0.06999999565659852"/>
    <m/>
    <d v="2018-10-18T00:00:00"/>
    <x v="920"/>
    <s v="CBRE; Carmody"/>
    <x v="637"/>
    <s v="MO"/>
    <s v="Private"/>
    <m/>
    <m/>
    <m/>
    <s v=" "/>
    <s v=" "/>
    <m/>
    <s v=" "/>
    <s v=" "/>
    <s v=" "/>
    <m/>
    <s v=" "/>
  </r>
  <r>
    <m/>
    <s v="USDA"/>
    <s v="Federal"/>
    <s v="Fee Simple"/>
    <s v="7525 Commerce Ct"/>
    <s v="Sarasota"/>
    <s v="FL"/>
    <n v="3.5"/>
    <n v="2018"/>
    <n v="28210"/>
    <n v="28210"/>
    <n v="1"/>
    <n v="906951.2"/>
    <n v="32.14998936547323"/>
    <n v="738100.0000000001"/>
    <n v="26.16448068060972"/>
    <d v="2018-10-01T00:00:00"/>
    <d v="2038-09-30T00:00:00"/>
    <d v="2028-09-30T00:00:00"/>
    <n v="19.96438356164384"/>
    <n v="9.95890410958904"/>
    <s v="Modified Gross"/>
    <s v="TI Bleeds Off; $280k"/>
    <s v="None"/>
    <n v="11000000"/>
    <n v="389.9326479971641"/>
    <n v="0.06710000000000001"/>
    <m/>
    <d v="2018-10-18T00:00:00"/>
    <x v="585"/>
    <s v="SJC; Briggs"/>
    <x v="54"/>
    <s v="NC"/>
    <s v="REIT"/>
    <m/>
    <m/>
    <m/>
    <s v=" "/>
    <s v=" "/>
    <m/>
    <s v=" "/>
    <s v=" "/>
    <s v=" "/>
    <m/>
    <s v=" "/>
  </r>
  <r>
    <s v="LCA02768"/>
    <s v="DEA"/>
    <s v="Federal"/>
    <s v="Fee Simple"/>
    <s v="7400 Schirra Ct"/>
    <s v="Bakersfield"/>
    <s v="CA"/>
    <n v="2.1"/>
    <n v="2000"/>
    <n v="9800"/>
    <n v="9800"/>
    <n v="1"/>
    <n v="354797.32"/>
    <n v="36.20380816326531"/>
    <n v="221532.32"/>
    <n v="22.60533877551021"/>
    <d v="2011-04-01T00:00:00"/>
    <d v="2021-03-31T00:00:00"/>
    <d v="2016-04-01T00:00:00"/>
    <n v="2.454794520547945"/>
    <n v="-2.545205479452055"/>
    <s v="Modified Gross"/>
    <s v="None"/>
    <s v="None"/>
    <n v="3100000"/>
    <n v="316.3265306122449"/>
    <n v="0.07146203870967742"/>
    <m/>
    <d v="2018-10-17T00:00:00"/>
    <x v="921"/>
    <m/>
    <x v="3"/>
    <s v="DC"/>
    <s v="REIT"/>
    <m/>
    <m/>
    <m/>
    <s v=" "/>
    <s v=" "/>
    <m/>
    <s v=" "/>
    <s v=" "/>
    <s v=" "/>
    <m/>
    <s v=" "/>
  </r>
  <r>
    <m/>
    <s v="OMJ (City of Cleveland)"/>
    <s v="Municipal"/>
    <s v="Fee Simple"/>
    <s v="1910 Carnegie Avenue"/>
    <s v="Cleveland"/>
    <s v="OH"/>
    <n v="1.3867"/>
    <n v="2018"/>
    <n v="30000"/>
    <n v="30000"/>
    <n v="1"/>
    <m/>
    <s v=" "/>
    <n v="330000"/>
    <n v="11"/>
    <m/>
    <d v="2027-09-30T00:00:00"/>
    <d v="2027-09-30T00:00:00"/>
    <n v="8.964383561643835"/>
    <n v="8.964383561643835"/>
    <s v="Full Service"/>
    <m/>
    <m/>
    <n v="4570000"/>
    <n v="152.3333333333333"/>
    <n v="0.07221006564551423"/>
    <m/>
    <d v="2018-10-15T00:00:00"/>
    <x v="922"/>
    <s v="SJC; Tomlinson"/>
    <x v="638"/>
    <s v="PA"/>
    <s v="Private"/>
    <m/>
    <m/>
    <n v="5408656"/>
    <n v="0.06101330903647782"/>
    <n v="0.8449418857475869"/>
    <n v="4725000"/>
    <n v="0.06984126984126984"/>
    <n v="0.002368795804244386"/>
    <s v="Yes"/>
    <d v="2017-08-31T00:00:00"/>
    <n v="410"/>
  </r>
  <r>
    <m/>
    <s v="USPS"/>
    <s v="Federal"/>
    <s v="Fee Simple"/>
    <s v="227 Old Swainsboro"/>
    <s v="Twin City"/>
    <s v="GA"/>
    <m/>
    <n v="1999"/>
    <n v="5003"/>
    <n v="5003"/>
    <n v="1"/>
    <n v="60800"/>
    <n v="12.15270837497502"/>
    <n v="54251"/>
    <n v="10.84369378372976"/>
    <d v="1999-04-24T00:00:00"/>
    <d v="2019-04-23T00:00:00"/>
    <d v="2019-04-23T00:00:00"/>
    <n v="0.5205479452054794"/>
    <n v="0.5205479452054794"/>
    <s v="Rider"/>
    <s v="Option"/>
    <s v="2, 5 year"/>
    <m/>
    <s v=" "/>
    <s v=" "/>
    <m/>
    <d v="2018-10-15T00:00:00"/>
    <x v="8"/>
    <s v="TCP; Harrison"/>
    <x v="0"/>
    <m/>
    <m/>
    <m/>
    <m/>
    <n v="678000"/>
    <n v="0.08001622418879056"/>
    <s v=" "/>
    <n v="678000"/>
    <n v="0.08001622418879056"/>
    <s v=" "/>
    <s v="No"/>
    <d v="2018-07-03T00:00:00"/>
    <n v="104"/>
  </r>
  <r>
    <m/>
    <s v="SBA"/>
    <s v="Federal"/>
    <s v="Fee Simple"/>
    <s v="409 3rd St SW"/>
    <s v="Washington"/>
    <s v="DC"/>
    <n v="1.22"/>
    <n v="1929"/>
    <n v="344500.04"/>
    <n v="420122"/>
    <n v="0.82"/>
    <m/>
    <s v=" "/>
    <m/>
    <s v=" "/>
    <m/>
    <m/>
    <m/>
    <s v=" "/>
    <s v=" "/>
    <m/>
    <m/>
    <m/>
    <m/>
    <s v=" "/>
    <s v=" "/>
    <m/>
    <d v="2018-10-15T00:00:00"/>
    <x v="923"/>
    <m/>
    <x v="639"/>
    <s v="KS"/>
    <s v="Private"/>
    <m/>
    <m/>
    <m/>
    <s v=" "/>
    <s v=" "/>
    <m/>
    <s v=" "/>
    <s v=" "/>
    <s v=" "/>
    <m/>
    <s v=" "/>
  </r>
  <r>
    <m/>
    <s v="Office of the Colorado State Public Defender"/>
    <s v="State"/>
    <s v="Fee Simple"/>
    <s v="13356 E Briarwood Ave"/>
    <s v="Centennial"/>
    <s v="CO"/>
    <n v="3.74"/>
    <n v="2017"/>
    <n v="27638"/>
    <n v="27638"/>
    <n v="1"/>
    <m/>
    <s v=" "/>
    <n v="428389"/>
    <n v="15.5"/>
    <d v="2018-07-01T00:00:00"/>
    <d v="2028-06-30T00:00:00"/>
    <d v="2028-06-30T00:00:00"/>
    <n v="9.723287671232876"/>
    <n v="9.723287671232876"/>
    <s v="NN"/>
    <s v="3% annually"/>
    <s v="None"/>
    <n v="7719567"/>
    <n v="279.3098994138505"/>
    <n v="0.05549391565615015"/>
    <m/>
    <d v="2018-10-12T00:00:00"/>
    <x v="924"/>
    <s v="SVN; Meyer"/>
    <x v="640"/>
    <s v="CO"/>
    <s v="Private"/>
    <s v="Pinnacle"/>
    <s v="Paragon"/>
    <m/>
    <s v=" "/>
    <s v=" "/>
    <m/>
    <s v=" "/>
    <s v=" "/>
    <s v=" "/>
    <d v="2018-06-22T00:00:00"/>
    <n v="112"/>
  </r>
  <r>
    <m/>
    <s v="Texas Workforce Commission (TWC)"/>
    <s v="State"/>
    <s v="Fee Simple"/>
    <s v="2124 Alpine Rd"/>
    <s v="Longview"/>
    <s v="TX"/>
    <n v="0.78"/>
    <n v="1997"/>
    <n v="4852"/>
    <n v="4852"/>
    <n v="1"/>
    <m/>
    <s v=" "/>
    <n v="57470"/>
    <n v="11.84460016488046"/>
    <m/>
    <d v="2022-04-30T00:00:00"/>
    <m/>
    <n v="3.550684931506849"/>
    <s v=" "/>
    <s v="Full Service"/>
    <m/>
    <m/>
    <m/>
    <s v=" "/>
    <s v=" "/>
    <m/>
    <d v="2018-10-12T00:00:00"/>
    <x v="8"/>
    <s v="Wes Hallmark"/>
    <x v="641"/>
    <s v="TX"/>
    <s v="Private"/>
    <m/>
    <m/>
    <n v="325000"/>
    <n v="0.1768307692307692"/>
    <s v=" "/>
    <n v="325000"/>
    <n v="0.1768307692307692"/>
    <s v=" "/>
    <s v="No"/>
    <d v="2018-07-10T00:00:00"/>
    <n v="94"/>
  </r>
  <r>
    <m/>
    <s v="VA"/>
    <s v="Federal"/>
    <s v="Fee Simple"/>
    <s v="100 N Main St"/>
    <s v="Winston-Salem"/>
    <s v="NC"/>
    <n v="1.88"/>
    <n v="1995"/>
    <n v="90280"/>
    <n v="546065"/>
    <n v="0.1653283034071036"/>
    <m/>
    <s v=" "/>
    <n v="4340000"/>
    <n v="7.947771785410162"/>
    <m/>
    <d v="2021-11-30T00:00:00"/>
    <d v="2016-11-30T00:00:00"/>
    <n v="3.13972602739726"/>
    <n v="-1.863013698630137"/>
    <s v="Full Service"/>
    <s v="None"/>
    <s v="None"/>
    <n v="62000000"/>
    <n v="113.5395969344309"/>
    <n v="0.07000000000000001"/>
    <m/>
    <d v="2018-10-11T00:00:00"/>
    <x v="925"/>
    <s v="JLL"/>
    <x v="642"/>
    <s v="OK"/>
    <s v="Private"/>
    <m/>
    <m/>
    <m/>
    <s v=" "/>
    <s v=" "/>
    <m/>
    <s v=" "/>
    <s v=" "/>
    <s v=" "/>
    <m/>
    <s v=" "/>
  </r>
  <r>
    <m/>
    <s v="USPS"/>
    <s v="Federal"/>
    <s v="Fee Simple"/>
    <s v="1558 W Fort St"/>
    <s v="Detroit"/>
    <s v="MI"/>
    <n v="0.75"/>
    <n v="1890"/>
    <n v="28789"/>
    <n v="28789"/>
    <n v="1"/>
    <m/>
    <s v=" "/>
    <m/>
    <s v=" "/>
    <m/>
    <m/>
    <m/>
    <s v=" "/>
    <s v=" "/>
    <m/>
    <m/>
    <m/>
    <n v="1500000"/>
    <n v="52.10323387404912"/>
    <s v=" "/>
    <m/>
    <d v="2018-10-10T00:00:00"/>
    <x v="926"/>
    <m/>
    <x v="643"/>
    <s v="MI"/>
    <s v="Private"/>
    <m/>
    <m/>
    <m/>
    <s v=" "/>
    <s v=" "/>
    <m/>
    <s v=" "/>
    <s v=" "/>
    <s v=" "/>
    <m/>
    <s v=" "/>
  </r>
  <r>
    <m/>
    <s v="City of Los Angeles Department of Public Works"/>
    <s v="Municipal"/>
    <s v="Fee Simple"/>
    <s v="2714 Media Center Dr"/>
    <s v="Los Angeles"/>
    <s v="CA"/>
    <n v="4.11"/>
    <n v="2001"/>
    <n v="64820"/>
    <n v="64820"/>
    <n v="1"/>
    <n v="1117225"/>
    <n v="17.23580684973773"/>
    <n v="884916"/>
    <n v="13.65189756248072"/>
    <d v="2013-05-01T00:00:00"/>
    <d v="2023-04-30T00:00:00"/>
    <d v="2023-04-30T00:00:00"/>
    <n v="4.556164383561644"/>
    <n v="4.556164383561644"/>
    <s v="NNN"/>
    <s v="-"/>
    <s v="-"/>
    <n v="18850000"/>
    <n v="290.8053070040111"/>
    <n v="0.04694514588859416"/>
    <m/>
    <d v="2018-10-10T00:00:00"/>
    <x v="927"/>
    <s v="CBRE; Perry"/>
    <x v="644"/>
    <s v="CA"/>
    <s v="Private"/>
    <m/>
    <m/>
    <m/>
    <s v=" "/>
    <s v=" "/>
    <m/>
    <s v=" "/>
    <s v=" "/>
    <s v=" "/>
    <m/>
    <s v=" "/>
  </r>
  <r>
    <m/>
    <s v="USDA"/>
    <s v="Federal"/>
    <s v="Fee Simple"/>
    <s v="9380 Bond Ave"/>
    <s v="El Cajon"/>
    <s v="CA"/>
    <n v="0.45"/>
    <m/>
    <n v="3944"/>
    <n v="7366"/>
    <n v="0.5354330708661418"/>
    <n v="95603"/>
    <n v="24.24011156186613"/>
    <n v="91800"/>
    <n v="12.46266630464295"/>
    <m/>
    <d v="2021-02-28T00:00:00"/>
    <d v="2016-02-28T00:00:00"/>
    <n v="2.402739726027397"/>
    <n v="-2.602739726027397"/>
    <s v="Modified Gross"/>
    <s v="None"/>
    <s v="None"/>
    <n v="1325000"/>
    <n v="179.8805321748574"/>
    <n v="0.06928301886792453"/>
    <m/>
    <d v="2018-10-05T00:00:00"/>
    <x v="928"/>
    <s v="IP; Cornell"/>
    <x v="645"/>
    <s v="CA"/>
    <s v="Private"/>
    <s v="PCC; Robak"/>
    <m/>
    <n v="1350000"/>
    <n v="0.068"/>
    <n v="0.9814814814814815"/>
    <n v="1350000"/>
    <n v="0.068"/>
    <n v="0.001283018867924521"/>
    <s v="No"/>
    <d v="2018-05-29T00:00:00"/>
    <n v="129"/>
  </r>
  <r>
    <s v="LNM17128"/>
    <s v="AOC"/>
    <s v="Federal"/>
    <s v="Fee Simple"/>
    <s v="111 Lomas Blvd NW"/>
    <s v="Albuquerque"/>
    <s v="NM"/>
    <n v="1.19"/>
    <n v="1970"/>
    <n v="14643"/>
    <n v="102984"/>
    <n v="0.1421871358657656"/>
    <n v="249264.9"/>
    <n v="17.02280270436386"/>
    <m/>
    <s v=" "/>
    <d v="2013-02-25T00:00:00"/>
    <d v="2023-02-24T00:00:00"/>
    <d v="2018-02-25T00:00:00"/>
    <n v="4.394520547945206"/>
    <n v="-0.6054794520547945"/>
    <s v="Modified Gross"/>
    <s v="None"/>
    <s v="None"/>
    <m/>
    <s v=" "/>
    <s v=" "/>
    <m/>
    <d v="2018-10-04T00:00:00"/>
    <x v="929"/>
    <m/>
    <x v="646"/>
    <m/>
    <s v="Cross-Border"/>
    <m/>
    <m/>
    <m/>
    <s v=" "/>
    <s v=" "/>
    <m/>
    <s v=" "/>
    <s v=" "/>
    <s v=" "/>
    <m/>
    <s v=" "/>
  </r>
  <r>
    <m/>
    <s v="Lane Councils of Govenments"/>
    <s v="Municipal"/>
    <s v="Fee Simple"/>
    <s v="1015-1025 Williamette St"/>
    <s v="Eugene"/>
    <s v="OR"/>
    <n v="0.21"/>
    <n v="1929"/>
    <n v="50935"/>
    <n v="50935"/>
    <n v="1"/>
    <m/>
    <s v=" "/>
    <n v="491366"/>
    <n v="9.64692254834593"/>
    <m/>
    <d v="2024-06-01T00:00:00"/>
    <d v="2024-06-01T00:00:00"/>
    <n v="5.663013698630137"/>
    <n v="5.663013698630137"/>
    <s v="Full Service"/>
    <m/>
    <m/>
    <m/>
    <s v=" "/>
    <s v=" "/>
    <m/>
    <d v="2018-10-04T00:00:00"/>
    <x v="8"/>
    <m/>
    <x v="0"/>
    <m/>
    <m/>
    <m/>
    <m/>
    <n v="4745000"/>
    <n v="0.103554478398314"/>
    <s v=" "/>
    <n v="4745000"/>
    <n v="0.103554478398314"/>
    <s v=" "/>
    <s v="No"/>
    <d v="2018-04-11T00:00:00"/>
    <n v="176"/>
  </r>
  <r>
    <m/>
    <s v="VA"/>
    <s v="Federal"/>
    <s v="Fee Simple"/>
    <s v="2201 SE Loop 820"/>
    <s v="Fort Worth"/>
    <s v="TX"/>
    <n v="24.35"/>
    <n v="2010"/>
    <n v="177000"/>
    <n v="177000"/>
    <n v="1"/>
    <n v="6050000"/>
    <n v="34.18079096045198"/>
    <n v="5424000"/>
    <n v="30.64406779661017"/>
    <d v="2010-12-01T00:00:00"/>
    <d v="2030-11-30T00:00:00"/>
    <d v="2030-11-30T00:00:00"/>
    <n v="12.16438356164384"/>
    <n v="12.16438356164384"/>
    <s v="Modified Gross"/>
    <s v="9% every 5"/>
    <s v="None"/>
    <n v="96000000"/>
    <n v="542.3728813559322"/>
    <n v="0.0565"/>
    <m/>
    <d v="2018-10-04T00:00:00"/>
    <x v="917"/>
    <s v="Direct"/>
    <x v="647"/>
    <s v="TX"/>
    <s v="Institutional"/>
    <m/>
    <m/>
    <m/>
    <s v=" "/>
    <s v=" "/>
    <m/>
    <s v=" "/>
    <s v=" "/>
    <s v=" "/>
    <d v="2017-12-17T00:00:00"/>
    <n v="291"/>
  </r>
  <r>
    <m/>
    <s v="NOAA"/>
    <s v="Federal"/>
    <s v="Fee Simple"/>
    <s v="46 Commerce Way"/>
    <s v="Norton"/>
    <s v="MA"/>
    <m/>
    <n v="2018"/>
    <n v="12000"/>
    <n v="12000"/>
    <n v="1"/>
    <n v="505630.08"/>
    <n v="42.13584"/>
    <m/>
    <s v=" "/>
    <d v="2018-02-28T00:00:00"/>
    <d v="2038-02-27T00:00:00"/>
    <d v="2028-02-28T00:00:00"/>
    <n v="19.41369863013699"/>
    <n v="9.408219178082192"/>
    <m/>
    <m/>
    <m/>
    <n v="5650000"/>
    <n v="470.8333333333333"/>
    <s v=" "/>
    <m/>
    <d v="2018-10-04T00:00:00"/>
    <x v="930"/>
    <s v="CBRE"/>
    <x v="1"/>
    <s v="IL"/>
    <s v="Private"/>
    <m/>
    <m/>
    <m/>
    <s v=" "/>
    <s v=" "/>
    <m/>
    <s v=" "/>
    <s v=" "/>
    <s v=" "/>
    <m/>
    <s v=" "/>
  </r>
  <r>
    <s v="LCA02922"/>
    <s v="SSA"/>
    <s v="Federal"/>
    <s v="Fee Simple"/>
    <s v="2508 Verne Roberts Cir"/>
    <s v="Antioch"/>
    <s v="CA"/>
    <n v="0.23"/>
    <n v="2007"/>
    <n v="9600"/>
    <n v="9600"/>
    <n v="1"/>
    <n v="314843.4"/>
    <n v="32.7961875"/>
    <n v="207571"/>
    <n v="21.62197916666667"/>
    <d v="2013-07-25T00:00:00"/>
    <d v="2028-07-24T00:00:00"/>
    <d v="2023-07-25T00:00:00"/>
    <n v="9.816438356164383"/>
    <n v="4.813698630136987"/>
    <s v="Modified Gross"/>
    <s v="None"/>
    <s v="None"/>
    <n v="3250000"/>
    <n v="338.5416666666667"/>
    <n v="0.06386799999999999"/>
    <m/>
    <d v="2018-10-02T00:00:00"/>
    <x v="931"/>
    <s v="Sarkis Realty"/>
    <x v="648"/>
    <s v="CA"/>
    <s v="Private"/>
    <s v="Roxanne Mercer"/>
    <m/>
    <n v="3250000"/>
    <n v="0.06386799999999999"/>
    <n v="1"/>
    <n v="3250000"/>
    <n v="0.06386799999999999"/>
    <n v="0"/>
    <s v="No"/>
    <d v="2018-06-04T00:00:00"/>
    <n v="120"/>
  </r>
  <r>
    <s v="LCA02939"/>
    <s v="FS &amp; DofR"/>
    <s v="Federal &amp; State"/>
    <s v="Fee Simple"/>
    <s v="15415 W Sand St"/>
    <s v="Victorville"/>
    <s v="CA"/>
    <n v="0.737"/>
    <n v="2007"/>
    <n v="4800"/>
    <n v="13150"/>
    <n v="0.3650190114068441"/>
    <n v="95040"/>
    <n v="19.8"/>
    <n v="153292"/>
    <n v="11.65718631178707"/>
    <d v="2012-12-14T00:00:00"/>
    <d v="2022-12-13T00:00:00"/>
    <d v="2017-12-14T00:00:00"/>
    <n v="4.205479452054795"/>
    <n v="-0.7945205479452054"/>
    <s v="Full Service"/>
    <s v="None"/>
    <s v="None"/>
    <n v="2000000"/>
    <n v="152.0912547528517"/>
    <n v="0.07664600000000001"/>
    <m/>
    <d v="2018-09-30T00:00:00"/>
    <x v="932"/>
    <s v="NAI"/>
    <x v="649"/>
    <s v="CA"/>
    <s v="Private"/>
    <m/>
    <m/>
    <n v="2000000"/>
    <n v="0.07664600000000001"/>
    <n v="1"/>
    <n v="2000000"/>
    <n v="0.07664600000000001"/>
    <n v="0"/>
    <s v="No"/>
    <d v="2018-06-26T00:00:00"/>
    <n v="96"/>
  </r>
  <r>
    <m/>
    <s v="BLM/USGS"/>
    <s v="Federal"/>
    <s v="Fee Simple"/>
    <s v="2795 Anderson Ave"/>
    <s v="Klamath Falls"/>
    <s v="OR"/>
    <n v="11.55"/>
    <n v="1977"/>
    <n v="25000"/>
    <n v="114427"/>
    <n v="0.21847990421841"/>
    <n v="631637.0399999999"/>
    <n v="25.2654816"/>
    <n v="530000"/>
    <n v="4.631773969430292"/>
    <m/>
    <m/>
    <m/>
    <s v=" "/>
    <s v=" "/>
    <m/>
    <m/>
    <m/>
    <n v="6200000"/>
    <n v="54.18301624616568"/>
    <n v="0.08548387096774193"/>
    <m/>
    <d v="2018-09-28T00:00:00"/>
    <x v="933"/>
    <s v="RM/NW"/>
    <x v="650"/>
    <s v="OR"/>
    <s v="Private"/>
    <s v="Bernard Young"/>
    <m/>
    <m/>
    <s v=" "/>
    <s v=" "/>
    <m/>
    <s v=" "/>
    <s v=" "/>
    <s v=" "/>
    <m/>
    <s v=" "/>
  </r>
  <r>
    <m/>
    <s v="DHR"/>
    <s v="State"/>
    <s v="Fee Simple"/>
    <s v="3103 Airport Blvd"/>
    <s v="Mobile"/>
    <s v="AL"/>
    <n v="4.8"/>
    <n v="1979"/>
    <n v="95046"/>
    <n v="117784"/>
    <n v="0.8069517082116416"/>
    <m/>
    <s v=" "/>
    <n v="945180"/>
    <n v="8.024689261699383"/>
    <d v="2018-08-01T00:00:00"/>
    <d v="2028-07-30T00:00:00"/>
    <m/>
    <n v="9.843835616438357"/>
    <s v=" "/>
    <s v="Full Service"/>
    <s v="CPI annually"/>
    <s v="None"/>
    <n v="13350000"/>
    <n v="113.3430686680704"/>
    <n v="0.0708"/>
    <m/>
    <d v="2018-09-28T00:00:00"/>
    <x v="934"/>
    <s v="Newmark; Gallas"/>
    <x v="1"/>
    <s v="IL"/>
    <s v="Private"/>
    <m/>
    <m/>
    <m/>
    <s v=" "/>
    <s v=" "/>
    <m/>
    <s v=" "/>
    <s v=" "/>
    <s v=" "/>
    <m/>
    <s v=" "/>
  </r>
  <r>
    <s v="LMD00104"/>
    <s v="Multi"/>
    <s v="Federal"/>
    <s v="Fee Simple"/>
    <s v="23330 Cottonwood Pky"/>
    <s v="California"/>
    <s v="MD"/>
    <n v="8.5"/>
    <n v="1999"/>
    <n v="35699"/>
    <n v="70953"/>
    <n v="0.5031358786802531"/>
    <n v="754559.74"/>
    <n v="21.13671923583293"/>
    <n v="797500"/>
    <n v="11.23983482023311"/>
    <d v="2017-06-20T00:00:00"/>
    <d v="2027-06-19T00:00:00"/>
    <d v="2024-06-20T00:00:00"/>
    <n v="8.734246575342466"/>
    <n v="5.736986301369863"/>
    <s v="Modified Gross"/>
    <m/>
    <m/>
    <n v="11000000"/>
    <n v="155.0322044170084"/>
    <n v="0.0725"/>
    <m/>
    <d v="2018-09-26T00:00:00"/>
    <x v="935"/>
    <s v="JLL; Saal"/>
    <x v="1"/>
    <s v="IL"/>
    <s v="Private"/>
    <m/>
    <m/>
    <m/>
    <s v=" "/>
    <s v=" "/>
    <m/>
    <s v=" "/>
    <s v=" "/>
    <s v=" "/>
    <m/>
    <s v=" "/>
  </r>
  <r>
    <m/>
    <s v="State of Minnesota"/>
    <s v="State"/>
    <s v="Fee Simple"/>
    <m/>
    <s v="Portfolio of Four"/>
    <m/>
    <m/>
    <m/>
    <m/>
    <m/>
    <s v=" "/>
    <m/>
    <s v=" "/>
    <m/>
    <s v=" "/>
    <m/>
    <m/>
    <m/>
    <s v=" "/>
    <s v=" "/>
    <m/>
    <m/>
    <m/>
    <n v="86392223"/>
    <s v=" "/>
    <s v=" "/>
    <m/>
    <d v="2018-09-26T00:00:00"/>
    <x v="936"/>
    <m/>
    <x v="651"/>
    <s v="CT"/>
    <s v="Private"/>
    <m/>
    <m/>
    <m/>
    <s v=" "/>
    <s v=" "/>
    <m/>
    <s v=" "/>
    <s v=" "/>
    <s v=" "/>
    <m/>
    <s v=" "/>
  </r>
  <r>
    <m/>
    <s v="DOL/DNR"/>
    <s v="State"/>
    <s v="Fee Simple"/>
    <s v="443-520 Lafayette Rd N"/>
    <s v="Saint Paul"/>
    <s v="MN"/>
    <n v="17.57"/>
    <m/>
    <n v="677514"/>
    <n v="677514"/>
    <n v="1"/>
    <n v="13218329"/>
    <n v="19.51004554887427"/>
    <n v="8009546"/>
    <n v="11.82196382657775"/>
    <m/>
    <m/>
    <m/>
    <s v=" "/>
    <s v=" "/>
    <s v="Full Service"/>
    <s v="2% annually"/>
    <s v="None"/>
    <n v="113500001"/>
    <n v="167.5242149977713"/>
    <n v="0.07056868660291907"/>
    <m/>
    <d v="2018-09-26T00:00:00"/>
    <x v="937"/>
    <m/>
    <x v="652"/>
    <s v="NY"/>
    <s v="Private"/>
    <m/>
    <m/>
    <m/>
    <s v=" "/>
    <s v=" "/>
    <m/>
    <s v=" "/>
    <s v=" "/>
    <s v=" "/>
    <m/>
    <s v=" "/>
  </r>
  <r>
    <m/>
    <s v="FWS"/>
    <s v="Federal"/>
    <s v="Fee Simple"/>
    <s v="20501 Independence Blvd"/>
    <s v="Groveland"/>
    <s v="FL"/>
    <n v="5.93"/>
    <n v="2007"/>
    <n v="4550"/>
    <n v="4550"/>
    <n v="1"/>
    <n v="120650"/>
    <n v="26.51648351648352"/>
    <n v="85881.60000000001"/>
    <n v="18.87507692307693"/>
    <d v="2016-10-01T00:00:00"/>
    <d v="2026-09-30T00:00:00"/>
    <d v="2021-10-01T00:00:00"/>
    <n v="8.019178082191781"/>
    <n v="3.019178082191781"/>
    <s v="Modified Gross"/>
    <m/>
    <m/>
    <n v="864000"/>
    <n v="189.8901098901099"/>
    <n v="0.0994"/>
    <m/>
    <d v="2018-09-25T00:00:00"/>
    <x v="511"/>
    <s v="Allied Comm"/>
    <x v="653"/>
    <s v="FL"/>
    <s v="Private"/>
    <m/>
    <m/>
    <m/>
    <s v=" "/>
    <s v=" "/>
    <m/>
    <s v=" "/>
    <s v=" "/>
    <s v=" "/>
    <m/>
    <s v=" "/>
  </r>
  <r>
    <m/>
    <s v="USPS"/>
    <s v="Federal"/>
    <s v="Fee Simple"/>
    <s v="202 2nd Ave"/>
    <s v="Oklee"/>
    <s v="MN"/>
    <n v="0.07000000000000001"/>
    <n v="1960"/>
    <n v="1246"/>
    <n v="1246"/>
    <n v="1"/>
    <n v="9900"/>
    <n v="7.945425361155698"/>
    <n v="7543.750000000001"/>
    <n v="6.054373996789728"/>
    <d v="2015-07-01T00:00:00"/>
    <d v="2020-06-30T00:00:00"/>
    <d v="2020-06-30T00:00:00"/>
    <n v="1.764383561643836"/>
    <n v="1.764383561643836"/>
    <s v="Rider"/>
    <s v="None"/>
    <s v="None"/>
    <n v="85000"/>
    <n v="68.2182985553772"/>
    <n v="0.08875000000000001"/>
    <m/>
    <d v="2018-09-25T00:00:00"/>
    <x v="8"/>
    <s v="Thomas Coe"/>
    <x v="0"/>
    <m/>
    <s v="Private"/>
    <m/>
    <m/>
    <n v="88750"/>
    <n v="0.08500000000000001"/>
    <n v="0.9577464788732394"/>
    <n v="88750"/>
    <n v="0.08500000000000001"/>
    <n v="0.003750000000000003"/>
    <s v="No"/>
    <d v="2018-08-04T00:00:00"/>
    <n v="52"/>
  </r>
  <r>
    <m/>
    <s v="USPS"/>
    <s v="Federal"/>
    <s v="Fee Simple"/>
    <s v="210 Central Ave E"/>
    <s v="Plummer"/>
    <s v="MN"/>
    <m/>
    <n v="1962"/>
    <n v="920"/>
    <n v="920"/>
    <n v="1"/>
    <n v="8445"/>
    <n v="9.179347826086957"/>
    <n v="6825"/>
    <n v="7.418478260869565"/>
    <d v="2017-12-01T00:00:00"/>
    <d v="2022-11-30T00:00:00"/>
    <d v="2018-05-30T00:00:00"/>
    <n v="4.183561643835616"/>
    <n v="-0.3232876712328767"/>
    <s v="Rider"/>
    <s v="Option"/>
    <s v="1, 5 year"/>
    <n v="75000"/>
    <n v="81.52173913043478"/>
    <n v="0.091"/>
    <m/>
    <d v="2018-09-25T00:00:00"/>
    <x v="8"/>
    <s v="Thomas Coe"/>
    <x v="0"/>
    <m/>
    <s v="Private"/>
    <m/>
    <m/>
    <n v="80300"/>
    <n v="0.08499377334993774"/>
    <n v="0.9339975093399751"/>
    <n v="80300"/>
    <n v="0.08499377334993774"/>
    <n v="0.006006226650062257"/>
    <s v="No"/>
    <d v="2018-08-04T00:00:00"/>
    <n v="52"/>
  </r>
  <r>
    <s v="LOH16937"/>
    <s v="NARA"/>
    <s v="Federal"/>
    <s v="Fee Simple"/>
    <s v="8801 Kingsridge Dr"/>
    <s v="Dayton"/>
    <s v="OH"/>
    <n v="12.316"/>
    <n v="2002"/>
    <n v="217394"/>
    <n v="217394"/>
    <n v="1"/>
    <n v="1980120.93"/>
    <n v="9.108443333302667"/>
    <m/>
    <s v=" "/>
    <d v="2003-02-01T00:00:00"/>
    <d v="2023-01-31T00:00:00"/>
    <d v="2017-07-01T00:00:00"/>
    <n v="4.364383561643836"/>
    <n v="-1.224657534246575"/>
    <s v="Modified Gross"/>
    <s v="None"/>
    <s v="None"/>
    <n v="6875000"/>
    <n v="31.6246078548626"/>
    <s v=" "/>
    <m/>
    <d v="2018-09-21T00:00:00"/>
    <x v="938"/>
    <s v="Colliers"/>
    <x v="497"/>
    <s v="TN"/>
    <s v="REIT"/>
    <m/>
    <m/>
    <m/>
    <s v=" "/>
    <s v=" "/>
    <m/>
    <s v=" "/>
    <s v=" "/>
    <s v=" "/>
    <m/>
    <s v=" "/>
  </r>
  <r>
    <s v="LTN60323"/>
    <s v="USCIS"/>
    <s v="Federal"/>
    <s v="Fee Simple"/>
    <s v="340 Plus Park Blvd"/>
    <s v="Nashville"/>
    <s v="TN"/>
    <n v="2.48"/>
    <n v="1981"/>
    <n v="18294"/>
    <n v="18294"/>
    <n v="1"/>
    <n v="527702.78"/>
    <n v="28.84567508472723"/>
    <n v="371980.02"/>
    <n v="20.33344375204985"/>
    <d v="2018-02-01T00:00:00"/>
    <d v="2033-01-31T00:00:00"/>
    <d v="2028-02-01T00:00:00"/>
    <n v="14.37808219178082"/>
    <n v="9.375342465753425"/>
    <s v="Modified Gross"/>
    <s v="None"/>
    <s v="None"/>
    <n v="5700000"/>
    <n v="311.5775664152181"/>
    <n v="0.06525965263157894"/>
    <m/>
    <d v="2018-09-19T00:00:00"/>
    <x v="531"/>
    <s v="C&amp;W; Trautvetter"/>
    <x v="1"/>
    <s v="IL"/>
    <s v="Private"/>
    <m/>
    <s v="FD Stonewater"/>
    <n v="6199667"/>
    <n v="0.05999999999999999"/>
    <n v="0.9194042196137309"/>
    <n v="6199667"/>
    <n v="0.05999999999999999"/>
    <n v="0.005259652631578952"/>
    <s v="No"/>
    <d v="2018-04-01T00:00:00"/>
    <n v="171"/>
  </r>
  <r>
    <m/>
    <s v="USPS"/>
    <s v="Federal"/>
    <s v="Fee Simple"/>
    <s v="307 S 2nd St"/>
    <s v="Edgerton"/>
    <s v="WY"/>
    <n v="0.09"/>
    <n v="1951"/>
    <n v="842"/>
    <n v="842"/>
    <n v="1"/>
    <n v="8400"/>
    <n v="9.976247030878859"/>
    <n v="7097"/>
    <n v="8.42874109263658"/>
    <d v="2016-06-01T00:00:00"/>
    <d v="2021-05-31T00:00:00"/>
    <d v="2016-07-01T00:00:00"/>
    <n v="2.701369863013698"/>
    <n v="-2.216438356164383"/>
    <s v="Rider"/>
    <s v="None"/>
    <s v="None"/>
    <n v="75000"/>
    <n v="89.07363420427554"/>
    <n v="0.09462666666666666"/>
    <m/>
    <d v="2018-09-18T00:00:00"/>
    <x v="939"/>
    <s v="Thomas Coe"/>
    <x v="0"/>
    <m/>
    <s v="Private"/>
    <m/>
    <m/>
    <n v="83000"/>
    <n v="0.08550602409638554"/>
    <n v="0.9036144578313253"/>
    <n v="83000"/>
    <n v="0.08550602409638554"/>
    <n v="0.009120642570281126"/>
    <s v="No"/>
    <d v="2016-06-08T00:00:00"/>
    <n v="832"/>
  </r>
  <r>
    <m/>
    <s v="USPS"/>
    <s v="Federal"/>
    <s v="Fee Simple"/>
    <s v="41 Raymond Ave Ext"/>
    <s v="Poughkeepsie"/>
    <s v="NY"/>
    <n v="0.38"/>
    <n v="1960"/>
    <n v="7088"/>
    <n v="7088"/>
    <n v="1"/>
    <m/>
    <s v=" "/>
    <n v="146367"/>
    <n v="20.64997178329571"/>
    <m/>
    <d v="2029-05-30T00:00:00"/>
    <m/>
    <n v="10.7041095890411"/>
    <s v=" "/>
    <m/>
    <m/>
    <m/>
    <n v="2085000"/>
    <n v="294.1591422121896"/>
    <n v="0.0702"/>
    <m/>
    <d v="2018-09-18T00:00:00"/>
    <x v="237"/>
    <s v="M&amp;M; Isaac"/>
    <x v="654"/>
    <s v="FL"/>
    <s v="Private"/>
    <m/>
    <m/>
    <n v="2252000"/>
    <n v="0.06499422735346359"/>
    <n v="0.9258436944937833"/>
    <n v="2252000"/>
    <n v="0.06499422735346359"/>
    <n v="0.005205772646536405"/>
    <s v="No"/>
    <d v="2018-06-15T00:00:00"/>
    <n v="95"/>
  </r>
  <r>
    <m/>
    <s v="City of El Paso"/>
    <s v="Municipal"/>
    <s v="Leasehold"/>
    <s v="6451 Boeing Drive"/>
    <s v="El Paso"/>
    <s v="TX"/>
    <m/>
    <n v="1970"/>
    <n v="20960"/>
    <n v="20960"/>
    <n v="1"/>
    <n v="429680"/>
    <n v="20.5"/>
    <n v="264600"/>
    <n v="12.62404580152672"/>
    <m/>
    <d v="2027-02-28T00:00:00"/>
    <d v="2018-09-01T00:00:00"/>
    <n v="8.454794520547946"/>
    <n v="-0.04383561643835616"/>
    <s v="Gross"/>
    <m/>
    <m/>
    <n v="2700000"/>
    <n v="128.8167938931298"/>
    <n v="0.098"/>
    <m/>
    <d v="2018-09-17T00:00:00"/>
    <x v="104"/>
    <s v="SJC; Hellwig"/>
    <x v="655"/>
    <s v="TX"/>
    <s v="Private"/>
    <m/>
    <m/>
    <n v="2700000"/>
    <n v="0.098"/>
    <n v="1"/>
    <n v="2700000"/>
    <n v="0.098"/>
    <n v="0"/>
    <s v="No"/>
    <d v="2017-11-08T00:00:00"/>
    <n v="313"/>
  </r>
  <r>
    <m/>
    <s v="HHS"/>
    <s v="State"/>
    <s v="Fee Simple"/>
    <s v="430 Barfield Dr"/>
    <s v="Hastings"/>
    <s v="MI"/>
    <n v="5.89"/>
    <m/>
    <n v="13378"/>
    <n v="13378"/>
    <n v="1"/>
    <n v="157500"/>
    <n v="11.77306024816864"/>
    <n v="72000"/>
    <n v="5.381970399162805"/>
    <m/>
    <m/>
    <m/>
    <s v=" "/>
    <s v=" "/>
    <s v="Full Service"/>
    <m/>
    <m/>
    <n v="800000"/>
    <n v="59.79967110180894"/>
    <n v="0.09"/>
    <m/>
    <d v="2018-09-14T00:00:00"/>
    <x v="940"/>
    <s v="Jim Engler"/>
    <x v="656"/>
    <s v="MI"/>
    <s v="Private"/>
    <m/>
    <m/>
    <n v="1500000"/>
    <n v="0.048"/>
    <n v="0.5333333333333333"/>
    <n v="1500000"/>
    <n v="0.048"/>
    <n v="0.042"/>
    <s v="No"/>
    <d v="2017-06-23T00:00:00"/>
    <n v="448"/>
  </r>
  <r>
    <m/>
    <s v="Washington State Department of Social and Health Services"/>
    <s v="State"/>
    <s v="Fee Simple"/>
    <s v="1402 E Main"/>
    <s v="Puyallup"/>
    <s v="WA"/>
    <n v="1.48"/>
    <n v="2017"/>
    <m/>
    <n v="24552"/>
    <s v=" "/>
    <m/>
    <s v=" "/>
    <n v="438851"/>
    <n v="17.87434832192897"/>
    <m/>
    <d v="2027-03-31T00:00:00"/>
    <m/>
    <n v="8.547945205479452"/>
    <s v=" "/>
    <s v="Modified Gross"/>
    <m/>
    <m/>
    <n v="6952000"/>
    <n v="283.1541218637993"/>
    <n v="0.06312586306098965"/>
    <m/>
    <d v="2018-09-14T00:00:00"/>
    <x v="941"/>
    <s v="Ben Norbe"/>
    <x v="529"/>
    <m/>
    <m/>
    <m/>
    <m/>
    <n v="7300000"/>
    <n v="0.06011657534246576"/>
    <n v="0.9523287671232876"/>
    <n v="7300000"/>
    <n v="0.06011657534246576"/>
    <n v="0.003009287718523893"/>
    <s v="No"/>
    <d v="2018-04-24T00:00:00"/>
    <n v="143"/>
  </r>
  <r>
    <m/>
    <s v="Texas Department of Criminal Justice"/>
    <s v="State"/>
    <s v="Fee Simple"/>
    <s v="232 Hanmore Industrial Pkwy"/>
    <s v="Harlingen"/>
    <s v="TX"/>
    <n v="0.75"/>
    <n v="1993"/>
    <n v="6054"/>
    <n v="6054"/>
    <n v="1"/>
    <m/>
    <s v=" "/>
    <n v="45682"/>
    <n v="7.545754872811364"/>
    <m/>
    <d v="2022-06-30T00:00:00"/>
    <m/>
    <n v="3.802739726027397"/>
    <s v=" "/>
    <s v="Full Service"/>
    <m/>
    <m/>
    <m/>
    <s v=" "/>
    <s v=" "/>
    <m/>
    <d v="2018-09-11T00:00:00"/>
    <x v="942"/>
    <s v="Pauline Zurovec"/>
    <x v="657"/>
    <m/>
    <m/>
    <m/>
    <m/>
    <n v="385000"/>
    <n v="0.1186545454545455"/>
    <s v=" "/>
    <n v="385000"/>
    <n v="0.1186545454545455"/>
    <s v=" "/>
    <s v="No"/>
    <d v="2018-06-17T00:00:00"/>
    <n v="86"/>
  </r>
  <r>
    <m/>
    <s v="Kentucky Child Support Enforcement Agency"/>
    <s v="State"/>
    <s v="Fee Simple"/>
    <s v="730 Schenkel Ln"/>
    <s v="Frankfort"/>
    <s v="KY"/>
    <n v="1.56"/>
    <n v="1979"/>
    <n v="25160"/>
    <n v="25160"/>
    <n v="1"/>
    <m/>
    <s v=" "/>
    <n v="151200"/>
    <n v="6.009538950715421"/>
    <m/>
    <d v="2020-09-30T00:00:00"/>
    <m/>
    <n v="2.057534246575342"/>
    <s v=" "/>
    <s v="NNN"/>
    <m/>
    <m/>
    <n v="1475000"/>
    <n v="58.62480127186009"/>
    <n v="0.1025084745762712"/>
    <m/>
    <d v="2018-09-10T00:00:00"/>
    <x v="943"/>
    <s v="Lisa Sickinger"/>
    <x v="658"/>
    <s v="IN"/>
    <s v="Private"/>
    <m/>
    <m/>
    <n v="1710000"/>
    <n v="0.08842105263157894"/>
    <n v="0.8625730994152047"/>
    <n v="1630000"/>
    <n v="0.09276073619631901"/>
    <n v="0.009747738379952173"/>
    <s v="Yes"/>
    <d v="2017-09-26T00:00:00"/>
    <n v="349"/>
  </r>
  <r>
    <m/>
    <s v="USPS"/>
    <s v="Federal"/>
    <s v="Fee Simple"/>
    <s v="3900 Broadview Rd"/>
    <s v="Richfield"/>
    <s v="OH"/>
    <n v="0.64"/>
    <n v="1962"/>
    <n v="3028"/>
    <n v="3028"/>
    <n v="1"/>
    <n v="39364"/>
    <n v="13"/>
    <n v="33877"/>
    <n v="11.18791281373844"/>
    <d v="2017-12-01T00:00:00"/>
    <d v="2022-11-30T00:00:00"/>
    <d v="2022-11-30T00:00:00"/>
    <n v="4.232876712328767"/>
    <n v="4.232876712328767"/>
    <s v="Rider"/>
    <s v="Option"/>
    <s v="1, 5 year"/>
    <n v="370000"/>
    <n v="122.1928665785997"/>
    <n v="0.09155945945945947"/>
    <m/>
    <d v="2018-09-07T00:00:00"/>
    <x v="8"/>
    <s v="Poelstra Properties"/>
    <x v="0"/>
    <m/>
    <m/>
    <m/>
    <m/>
    <n v="420000"/>
    <n v="0.08065952380952381"/>
    <n v="0.8809523809523809"/>
    <n v="420000"/>
    <n v="0.08065952380952381"/>
    <n v="0.01089993564993566"/>
    <s v="No"/>
    <d v="2018-03-28T00:00:00"/>
    <n v="163"/>
  </r>
  <r>
    <s v="LTX16642"/>
    <s v="NRC"/>
    <s v="Federal"/>
    <s v="Fee Simple"/>
    <s v="1600 Lamar"/>
    <s v="Arlington"/>
    <s v="TX"/>
    <n v="4.99"/>
    <n v="2010"/>
    <n v="89421"/>
    <n v="89421"/>
    <n v="1"/>
    <n v="2178231.88"/>
    <n v="24.35928786302994"/>
    <m/>
    <s v=" "/>
    <d v="2011-02-25T00:00:00"/>
    <d v="2026-04-05T00:00:00"/>
    <d v="2021-04-05T00:00:00"/>
    <n v="7.583561643835616"/>
    <n v="2.580821917808219"/>
    <m/>
    <m/>
    <m/>
    <m/>
    <s v=" "/>
    <s v=" "/>
    <m/>
    <d v="2018-09-06T00:00:00"/>
    <x v="944"/>
    <s v="C&amp;W; Trautvetter"/>
    <x v="1"/>
    <s v="IL"/>
    <s v="Private"/>
    <m/>
    <m/>
    <m/>
    <s v=" "/>
    <s v=" "/>
    <m/>
    <s v=" "/>
    <s v=" "/>
    <s v=" "/>
    <m/>
    <s v=" "/>
  </r>
  <r>
    <m/>
    <s v="FS"/>
    <s v="Federal"/>
    <s v="Fee Simple"/>
    <s v="75694 Hwy 395"/>
    <s v="Bridgeport"/>
    <s v="CA"/>
    <n v="3.18"/>
    <n v="1981"/>
    <n v="4914"/>
    <n v="4914"/>
    <n v="1"/>
    <n v="126044.1"/>
    <n v="25.65"/>
    <n v="87360"/>
    <n v="17.77777777777778"/>
    <d v="2005-10-01T00:00:00"/>
    <d v="2025-09-30T00:00:00"/>
    <d v="2025-09-30T00:00:00"/>
    <n v="7.073972602739726"/>
    <n v="7.073972602739726"/>
    <s v="Modified Gross"/>
    <s v="None"/>
    <s v="None"/>
    <n v="850000"/>
    <n v="172.975172975173"/>
    <n v="0.1027764705882353"/>
    <m/>
    <d v="2018-09-05T00:00:00"/>
    <x v="592"/>
    <s v="M&amp;M; Ficke"/>
    <x v="659"/>
    <s v="CA"/>
    <s v="Private"/>
    <m/>
    <m/>
    <n v="1225000"/>
    <n v="0.07131428571428572"/>
    <n v="0.6938775510204082"/>
    <n v="1113000"/>
    <n v="0.07849056603773585"/>
    <n v="0.02428590455049943"/>
    <s v="Yes"/>
    <d v="2017-08-02T00:00:00"/>
    <n v="399"/>
  </r>
  <r>
    <m/>
    <s v="USPS"/>
    <s v="Federal"/>
    <s v="Fee Simple"/>
    <s v="21148 Rescue Rd"/>
    <s v="Rescue"/>
    <s v="VA"/>
    <n v="0.16"/>
    <n v="1970"/>
    <n v="500"/>
    <n v="500"/>
    <n v="1"/>
    <n v="6000"/>
    <n v="12"/>
    <m/>
    <s v=" "/>
    <m/>
    <m/>
    <m/>
    <s v=" "/>
    <s v=" "/>
    <m/>
    <m/>
    <m/>
    <n v="50000"/>
    <n v="100"/>
    <s v=" "/>
    <m/>
    <d v="2018-09-05T00:00:00"/>
    <x v="8"/>
    <s v="James Marshall"/>
    <x v="0"/>
    <m/>
    <m/>
    <m/>
    <m/>
    <n v="60000"/>
    <s v=" "/>
    <n v="0.8333333333333334"/>
    <n v="60000"/>
    <s v=" "/>
    <s v=" "/>
    <s v="No"/>
    <d v="2018-07-26T00:00:00"/>
    <n v="41"/>
  </r>
  <r>
    <m/>
    <s v="USPS"/>
    <s v="Federal"/>
    <s v="Fee Simple"/>
    <s v="3 S Belleville St"/>
    <s v="Freeburg"/>
    <s v="IL"/>
    <n v="0.13"/>
    <n v="1962"/>
    <n v="2937"/>
    <n v="2937"/>
    <n v="1"/>
    <n v="26433"/>
    <n v="9"/>
    <n v="25297"/>
    <n v="8.613210759278175"/>
    <d v="2017-08-01T00:00:00"/>
    <d v="2022-07-31T00:00:00"/>
    <d v="2019-07-22T00:00:00"/>
    <n v="3.90958904109589"/>
    <n v="0.8821917808219178"/>
    <s v="Rider"/>
    <s v="Option"/>
    <s v="1, 5 year"/>
    <n v="310000"/>
    <n v="105.5498808307797"/>
    <n v="0.08160322580645162"/>
    <m/>
    <d v="2018-09-03T00:00:00"/>
    <x v="8"/>
    <s v="Poelstra Properties"/>
    <x v="0"/>
    <m/>
    <m/>
    <m/>
    <m/>
    <n v="320000"/>
    <n v="0.079053125"/>
    <n v="0.96875"/>
    <n v="310000"/>
    <n v="0.08160322580645162"/>
    <n v="0"/>
    <s v="Yes"/>
    <d v="2018-05-17T00:00:00"/>
    <n v="109"/>
  </r>
  <r>
    <m/>
    <s v="Northrupp Gruman"/>
    <s v="Contractor"/>
    <s v="Fee Simple"/>
    <s v="10125-10205 Federal Dr"/>
    <s v="Colorado Springs"/>
    <s v="CO"/>
    <n v="25.85"/>
    <m/>
    <n v="289018"/>
    <n v="289018"/>
    <n v="1"/>
    <m/>
    <s v=" "/>
    <m/>
    <s v=" "/>
    <m/>
    <m/>
    <m/>
    <s v=" "/>
    <s v=" "/>
    <m/>
    <m/>
    <m/>
    <n v="27900000"/>
    <n v="96.53377990298182"/>
    <s v=" "/>
    <m/>
    <d v="2018-09-01T00:00:00"/>
    <x v="945"/>
    <m/>
    <x v="519"/>
    <s v="CO"/>
    <s v="Private"/>
    <m/>
    <m/>
    <m/>
    <s v=" "/>
    <s v=" "/>
    <m/>
    <s v=" "/>
    <s v=" "/>
    <s v=" "/>
    <m/>
    <s v=" "/>
  </r>
  <r>
    <s v="LTX17084"/>
    <s v="USCIS"/>
    <s v="Federal"/>
    <s v="Fee Simple"/>
    <s v="810 Gears Rd"/>
    <s v="Houston"/>
    <s v="TX"/>
    <n v="7.19"/>
    <n v="2000"/>
    <n v="68985"/>
    <n v="78895"/>
    <n v="0.8743900120413207"/>
    <n v="1852894.7"/>
    <n v="26.85938537363195"/>
    <n v="1328276.475"/>
    <n v="16.83600323214399"/>
    <d v="2016-01-11T00:00:00"/>
    <d v="2031-01-10T00:00:00"/>
    <d v="2026-01-11T00:00:00"/>
    <n v="12.36712328767123"/>
    <n v="7.367123287671233"/>
    <s v="Modified Gross"/>
    <s v="None"/>
    <s v="None"/>
    <n v="16398475"/>
    <n v="207.8518917548641"/>
    <n v="0.081"/>
    <m/>
    <d v="2018-09-01T00:00:00"/>
    <x v="438"/>
    <s v="Eastdil"/>
    <x v="660"/>
    <s v="NY"/>
    <s v="Institutional"/>
    <m/>
    <m/>
    <m/>
    <s v=" "/>
    <s v=" "/>
    <m/>
    <s v=" "/>
    <s v=" "/>
    <s v=" "/>
    <m/>
    <s v=" "/>
  </r>
  <r>
    <m/>
    <s v="VA"/>
    <s v="Federal"/>
    <s v="Fee Simple"/>
    <s v="35000 Kaiser Ct"/>
    <s v="Willoughby"/>
    <s v="OH"/>
    <n v="3.58"/>
    <n v="1988"/>
    <n v="20725"/>
    <n v="42189"/>
    <n v="0.4912417928844012"/>
    <m/>
    <s v=" "/>
    <m/>
    <s v=" "/>
    <m/>
    <d v="2028-04-30T00:00:00"/>
    <m/>
    <n v="9.668493150684931"/>
    <s v=" "/>
    <m/>
    <m/>
    <m/>
    <m/>
    <s v=" "/>
    <s v=" "/>
    <m/>
    <d v="2018-09-01T00:00:00"/>
    <x v="505"/>
    <m/>
    <x v="62"/>
    <s v="IL"/>
    <s v="Private"/>
    <m/>
    <m/>
    <m/>
    <s v=" "/>
    <s v=" "/>
    <m/>
    <s v=" "/>
    <s v=" "/>
    <s v=" "/>
    <m/>
    <s v=" "/>
  </r>
  <r>
    <m/>
    <s v="FBI"/>
    <s v="Federal"/>
    <s v="Fee Simple"/>
    <s v="2117 West Park Court"/>
    <s v="Champaign"/>
    <s v="IL"/>
    <n v="0.6899999999999999"/>
    <n v="2005"/>
    <n v="11180"/>
    <n v="11180"/>
    <n v="1"/>
    <m/>
    <s v=" "/>
    <n v="252833"/>
    <n v="22.61475849731664"/>
    <d v="2017-08-13T00:00:00"/>
    <d v="2032-08-13T00:00:00"/>
    <d v="2027-08-13T00:00:00"/>
    <n v="13.96164383561644"/>
    <n v="8.956164383561644"/>
    <s v="Modified Gross"/>
    <s v="TI Bleeds Off; $95k"/>
    <s v="None"/>
    <n v="3445000"/>
    <n v="308.139534883721"/>
    <n v="0.07339129172714079"/>
    <m/>
    <d v="2018-08-31T00:00:00"/>
    <x v="661"/>
    <s v="SJC; Briggs"/>
    <x v="54"/>
    <s v="NC"/>
    <s v="REIT"/>
    <m/>
    <m/>
    <n v="4213888"/>
    <n v="0.05999993355305124"/>
    <n v="0.8175347802314632"/>
    <n v="4213888"/>
    <n v="0.05999993355305124"/>
    <n v="0.01339135817408955"/>
    <s v="No"/>
    <d v="2017-05-08T00:00:00"/>
    <n v="480"/>
  </r>
  <r>
    <s v="LCA02923"/>
    <m/>
    <s v="Federal"/>
    <s v="Fee Simple"/>
    <s v="2 Wrigley"/>
    <s v="Irvine"/>
    <s v="CA"/>
    <n v="0.85"/>
    <n v="1986"/>
    <n v="7700"/>
    <n v="15502"/>
    <n v="0.4967101019223326"/>
    <n v="312356.22"/>
    <n v="40.56574285714285"/>
    <n v="457800"/>
    <n v="29.53167333247323"/>
    <d v="2013-03-01T00:00:00"/>
    <d v="2028-02-29T00:00:00"/>
    <d v="2023-03-01T00:00:00"/>
    <n v="9.504109589041096"/>
    <n v="4.501369863013698"/>
    <s v="Modified Gross"/>
    <s v="None"/>
    <s v="None"/>
    <n v="5285000"/>
    <n v="340.9237517739646"/>
    <n v="0.08662251655629138"/>
    <m/>
    <d v="2018-08-31T00:00:00"/>
    <x v="946"/>
    <s v="CBRE; Cole"/>
    <x v="661"/>
    <s v="CA"/>
    <s v="Private"/>
    <m/>
    <m/>
    <n v="5980000"/>
    <n v="0.07655518394648829"/>
    <n v="0.8837792642140468"/>
    <n v="5980000"/>
    <n v="0.07655518394648829"/>
    <n v="0.0100673326098031"/>
    <s v="No"/>
    <d v="2017-09-12T00:00:00"/>
    <n v="353"/>
  </r>
  <r>
    <m/>
    <s v="USPS"/>
    <s v="Federal"/>
    <s v="Fee Simple"/>
    <s v="9221 S Ormus Ave"/>
    <s v="Raisin City"/>
    <s v="CA"/>
    <n v="0.51"/>
    <n v="1986"/>
    <n v="1944"/>
    <n v="1944"/>
    <n v="1"/>
    <n v="27665"/>
    <n v="14.2309670781893"/>
    <n v="25997"/>
    <n v="13.37294238683128"/>
    <d v="2017-02-01T00:00:00"/>
    <d v="2022-01-31T00:00:00"/>
    <d v="2022-01-31T00:00:00"/>
    <n v="3.424657534246575"/>
    <n v="3.424657534246575"/>
    <s v="Rider"/>
    <s v="Option"/>
    <s v="1, 5 year"/>
    <n v="352500"/>
    <n v="181.3271604938272"/>
    <n v="0.07375035460992908"/>
    <m/>
    <d v="2018-08-30T00:00:00"/>
    <x v="8"/>
    <s v="Thomas Coe"/>
    <x v="0"/>
    <m/>
    <m/>
    <m/>
    <m/>
    <m/>
    <s v=" "/>
    <s v=" "/>
    <m/>
    <s v=" "/>
    <s v=" "/>
    <s v=" "/>
    <d v="2018-02-20T00:00:00"/>
    <n v="191"/>
  </r>
  <r>
    <m/>
    <s v="DOC"/>
    <s v="State"/>
    <s v="Fee Simple"/>
    <s v="1330 Brush Creek Blvd"/>
    <s v="Kansas City"/>
    <s v="MO"/>
    <n v="0.6"/>
    <n v="1987"/>
    <n v="9981"/>
    <n v="9981"/>
    <n v="1"/>
    <m/>
    <s v=" "/>
    <n v="66240"/>
    <n v="6.636609558160505"/>
    <m/>
    <m/>
    <m/>
    <s v=" "/>
    <s v=" "/>
    <m/>
    <m/>
    <m/>
    <n v="685000"/>
    <n v="68.6303977557359"/>
    <n v="0.0967007299270073"/>
    <m/>
    <d v="2018-08-29T00:00:00"/>
    <x v="8"/>
    <s v="Michael Block"/>
    <x v="0"/>
    <m/>
    <m/>
    <m/>
    <m/>
    <n v="870000"/>
    <n v="0.07613793103448276"/>
    <n v="0.7873563218390804"/>
    <n v="870000"/>
    <n v="0.07613793103448276"/>
    <n v="0.02056279889252455"/>
    <s v="No"/>
    <d v="2017-08-01T00:00:00"/>
    <n v="393"/>
  </r>
  <r>
    <m/>
    <s v="USPS"/>
    <s v="Federal"/>
    <s v="Fee Simple"/>
    <s v="18050 Johnsons Mill Rd"/>
    <s v="Sedley"/>
    <s v="VA"/>
    <n v="0.08"/>
    <n v="1964"/>
    <n v="1108"/>
    <n v="1108"/>
    <n v="1"/>
    <n v="8374"/>
    <n v="7.557761732851985"/>
    <n v="6038"/>
    <n v="5.449458483754513"/>
    <d v="2019-04-20T00:00:00"/>
    <d v="2024-04-19T00:00:00"/>
    <d v="2019-10-17T00:00:00"/>
    <n v="5.643835616438357"/>
    <n v="1.134246575342466"/>
    <s v="Rider"/>
    <s v="None"/>
    <s v="None"/>
    <m/>
    <s v=" "/>
    <s v=" "/>
    <m/>
    <d v="2018-08-29T00:00:00"/>
    <x v="8"/>
    <s v="Thomas Coe"/>
    <x v="0"/>
    <m/>
    <m/>
    <m/>
    <m/>
    <n v="69900"/>
    <n v="0.08638054363376252"/>
    <s v=" "/>
    <n v="69900"/>
    <n v="0.08638054363376252"/>
    <s v=" "/>
    <s v="No"/>
    <d v="2017-08-28T00:00:00"/>
    <n v="366"/>
  </r>
  <r>
    <s v="LID07028"/>
    <s v="SSA"/>
    <s v="Federal"/>
    <s v="Fee Simple"/>
    <s v="1431-1437 Fillmore St"/>
    <s v="Twin Falls"/>
    <s v="ID"/>
    <n v="1.22"/>
    <n v="2000"/>
    <n v="6473"/>
    <n v="14752"/>
    <n v="0.4387879609544468"/>
    <m/>
    <s v=" "/>
    <n v="233750"/>
    <n v="15.84530911062907"/>
    <d v="2010-05-12T00:00:00"/>
    <d v="2020-05-11T00:00:00"/>
    <d v="2020-05-11T00:00:00"/>
    <n v="1.701369863013699"/>
    <n v="1.701369863013699"/>
    <s v="Modified Gross"/>
    <s v="None"/>
    <s v="2, 6 month"/>
    <n v="4135000"/>
    <n v="280.3009761388286"/>
    <n v="0.05652962515114873"/>
    <m/>
    <d v="2018-08-29T00:00:00"/>
    <x v="947"/>
    <s v="Local"/>
    <x v="662"/>
    <s v="CA"/>
    <s v="Private"/>
    <m/>
    <m/>
    <n v="4250000"/>
    <n v="0.055"/>
    <n v="0.9729411764705882"/>
    <n v="4250000"/>
    <n v="0.055"/>
    <n v="0.001529625151148732"/>
    <s v="No"/>
    <m/>
    <s v=" "/>
  </r>
  <r>
    <m/>
    <s v="IRS"/>
    <s v="Federal"/>
    <s v="Fee Simple"/>
    <s v="2209 5th St N"/>
    <s v="Columbus"/>
    <s v="MS"/>
    <n v="3.1"/>
    <n v="1974"/>
    <m/>
    <n v="3014"/>
    <s v=" "/>
    <m/>
    <s v=" "/>
    <n v="21000"/>
    <n v="6.967485069674851"/>
    <m/>
    <d v="2020-10-31T00:00:00"/>
    <m/>
    <n v="2.178082191780822"/>
    <s v=" "/>
    <s v="Modified Gross"/>
    <m/>
    <m/>
    <n v="200000"/>
    <n v="66.35700066357001"/>
    <n v="0.105"/>
    <m/>
    <d v="2018-08-28T00:00:00"/>
    <x v="8"/>
    <m/>
    <x v="0"/>
    <m/>
    <m/>
    <m/>
    <m/>
    <n v="210000"/>
    <n v="0.1"/>
    <n v="0.9523809523809523"/>
    <n v="210000"/>
    <n v="0.1"/>
    <n v="0.004999999999999991"/>
    <s v="No"/>
    <d v="2017-12-04T00:00:00"/>
    <n v="267"/>
  </r>
  <r>
    <m/>
    <s v="USPS"/>
    <s v="Federal"/>
    <s v="Fee Simple"/>
    <s v="303 E 2nd St"/>
    <s v="Skiatook"/>
    <s v="OK"/>
    <m/>
    <n v="1969"/>
    <n v="4076"/>
    <n v="4076"/>
    <n v="1"/>
    <n v="35220"/>
    <n v="8.640824337585869"/>
    <n v="29417"/>
    <n v="7.217124631992149"/>
    <d v="2018-06-01T00:00:00"/>
    <d v="2023-05-31T00:00:00"/>
    <d v="2023-05-31T00:00:00"/>
    <n v="4.758904109589041"/>
    <n v="4.758904109589041"/>
    <s v="Rider"/>
    <s v="None"/>
    <s v="None"/>
    <n v="298000"/>
    <n v="73.11089303238469"/>
    <n v="0.09871476510067113"/>
    <m/>
    <d v="2018-08-28T00:00:00"/>
    <x v="8"/>
    <s v="Thomas Coe"/>
    <x v="0"/>
    <m/>
    <m/>
    <s v="David Luna"/>
    <m/>
    <n v="345500"/>
    <n v="0.08514327062228653"/>
    <n v="0.8625180897250362"/>
    <n v="345500"/>
    <n v="0.08514327062228653"/>
    <n v="0.0135714944783846"/>
    <s v="No"/>
    <d v="2017-09-01T00:00:00"/>
    <n v="361"/>
  </r>
  <r>
    <s v="LIL19271"/>
    <s v="SSA"/>
    <s v="Federal"/>
    <s v="Fee Simple"/>
    <s v="101 S Country Fair Dr"/>
    <s v="Champaign"/>
    <s v="IL"/>
    <n v="0.47"/>
    <s v="1996 | 2017"/>
    <n v="9809"/>
    <n v="9809"/>
    <n v="1"/>
    <n v="222542.05"/>
    <n v="22.68753695585686"/>
    <n v="122400"/>
    <n v="12.47833622183709"/>
    <d v="2017-05-01T00:00:00"/>
    <d v="2027-04-30T00:00:00"/>
    <d v="2022-04-30T00:00:00"/>
    <n v="8.67945205479452"/>
    <n v="3.676712328767124"/>
    <s v="Modified Gross"/>
    <s v="None"/>
    <s v="None"/>
    <n v="1600000"/>
    <n v="163.1155061678051"/>
    <n v="0.0765"/>
    <m/>
    <d v="2018-08-27T00:00:00"/>
    <x v="948"/>
    <s v="M&amp;M; vader Weit"/>
    <x v="663"/>
    <s v="CO"/>
    <s v="Private"/>
    <s v="BW; Wells"/>
    <m/>
    <n v="1750000"/>
    <n v="0.06994285714285714"/>
    <n v="0.9142857142857143"/>
    <n v="1750000"/>
    <n v="0.06994285714285714"/>
    <n v="0.006557142857142859"/>
    <s v="No"/>
    <d v="2018-01-29T00:00:00"/>
    <n v="210"/>
  </r>
  <r>
    <m/>
    <s v="DCJ"/>
    <s v="State"/>
    <s v="Fee Simple"/>
    <s v="232 Hanmore Industrial Pkwy"/>
    <s v="Harlingen"/>
    <s v="TX"/>
    <n v="0.75"/>
    <n v="1993"/>
    <n v="6054"/>
    <n v="6054"/>
    <n v="1"/>
    <n v="45682"/>
    <n v="7.545754872811364"/>
    <m/>
    <s v=" "/>
    <m/>
    <m/>
    <m/>
    <s v=" "/>
    <s v=" "/>
    <m/>
    <m/>
    <m/>
    <n v="362000"/>
    <n v="59.79517674264949"/>
    <s v=" "/>
    <m/>
    <d v="2018-08-27T00:00:00"/>
    <x v="8"/>
    <s v="KW; Zurovec"/>
    <x v="0"/>
    <m/>
    <m/>
    <m/>
    <m/>
    <n v="385000"/>
    <s v=" "/>
    <n v="0.9402597402597402"/>
    <n v="385000"/>
    <s v=" "/>
    <s v=" "/>
    <s v="No"/>
    <d v="2018-06-02T00:00:00"/>
    <n v="86"/>
  </r>
  <r>
    <s v="LNM17319"/>
    <s v="Multi"/>
    <s v="Federal"/>
    <s v="Fee Simple"/>
    <s v="4101 Indian School Rd NE"/>
    <s v="Albuquerque"/>
    <s v="NM"/>
    <n v="13.94"/>
    <m/>
    <n v="25358"/>
    <n v="148221"/>
    <n v="0.1710823702444323"/>
    <n v="638498.1"/>
    <n v="25.17935562741541"/>
    <n v="1618399"/>
    <n v="10.91882391833816"/>
    <d v="2016-08-18T00:00:00"/>
    <d v="2036-08-17T00:00:00"/>
    <d v="2026-08-17T00:00:00"/>
    <n v="17.99452054794521"/>
    <n v="7.986301369863014"/>
    <s v="Modified Gross"/>
    <m/>
    <m/>
    <n v="20000000"/>
    <n v="134.9336463793929"/>
    <n v="0.08091995"/>
    <m/>
    <d v="2018-08-24T00:00:00"/>
    <x v="949"/>
    <s v="CBRE"/>
    <x v="664"/>
    <s v="NV"/>
    <s v="Private"/>
    <m/>
    <m/>
    <m/>
    <s v=" "/>
    <s v=" "/>
    <m/>
    <s v=" "/>
    <s v=" "/>
    <s v=" "/>
    <m/>
    <s v=" "/>
  </r>
  <r>
    <m/>
    <s v="SSA"/>
    <s v="Federal"/>
    <s v="Fee Simple"/>
    <s v="6100 Wabash Ave"/>
    <s v="Baltimore"/>
    <s v="MD"/>
    <n v="11.3"/>
    <n v="2014"/>
    <n v="540566"/>
    <n v="540566"/>
    <n v="1"/>
    <n v="20924704.1"/>
    <n v="38.70887939678042"/>
    <m/>
    <s v=" "/>
    <d v="2014-01-22T00:00:00"/>
    <d v="2034-01-21T00:00:00"/>
    <d v="2034-01-21T00:00:00"/>
    <n v="15.42465753424658"/>
    <n v="15.42465753424658"/>
    <s v="Modified Gross"/>
    <m/>
    <m/>
    <n v="242000000"/>
    <n v="447.6789143231354"/>
    <s v=" "/>
    <m/>
    <d v="2018-08-23T00:00:00"/>
    <x v="693"/>
    <s v="JLL; Rampulla"/>
    <x v="497"/>
    <s v="TN"/>
    <s v="REIT"/>
    <m/>
    <m/>
    <m/>
    <s v=" "/>
    <s v=" "/>
    <m/>
    <s v=" "/>
    <s v=" "/>
    <s v=" "/>
    <m/>
    <s v=" "/>
  </r>
  <r>
    <m/>
    <s v="IRS/AOC"/>
    <s v="Federal"/>
    <s v="Fee Simple"/>
    <s v="380 Westminster St"/>
    <s v="Providence"/>
    <s v="RI"/>
    <n v="0.6899999999999999"/>
    <n v="1983"/>
    <n v="134805"/>
    <n v="160154"/>
    <n v="0.8417210934475567"/>
    <m/>
    <s v=" "/>
    <m/>
    <s v=" "/>
    <m/>
    <d v="2025-07-31T00:00:00"/>
    <d v="2020-07-31T00:00:00"/>
    <n v="6.950684931506849"/>
    <n v="1.947945205479452"/>
    <s v="Modified Gross"/>
    <s v="None"/>
    <s v="None"/>
    <n v="9500000"/>
    <n v="59.31790651497933"/>
    <s v=" "/>
    <m/>
    <d v="2018-08-20T00:00:00"/>
    <x v="950"/>
    <m/>
    <x v="97"/>
    <s v="RI"/>
    <s v="Private"/>
    <m/>
    <m/>
    <m/>
    <s v=" "/>
    <s v=" "/>
    <m/>
    <s v=" "/>
    <s v=" "/>
    <s v=" "/>
    <m/>
    <s v=" "/>
  </r>
  <r>
    <m/>
    <s v="DCSS"/>
    <s v="State"/>
    <s v="Fee Simple"/>
    <s v="15400 Civic Dr"/>
    <s v="Victorville"/>
    <s v="CA"/>
    <n v="1.69"/>
    <n v="2004"/>
    <n v="27287.2"/>
    <n v="34109"/>
    <n v="0.8"/>
    <m/>
    <s v=" "/>
    <n v="401700"/>
    <n v="11.7769503650063"/>
    <m/>
    <d v="2024-03-31T00:00:00"/>
    <m/>
    <n v="5.627397260273972"/>
    <s v=" "/>
    <s v="Full Service"/>
    <m/>
    <m/>
    <n v="5150000"/>
    <n v="150.9865431411065"/>
    <n v="0.078"/>
    <m/>
    <d v="2018-08-16T00:00:00"/>
    <x v="951"/>
    <s v="NAI"/>
    <x v="665"/>
    <s v="CA"/>
    <s v="Private"/>
    <m/>
    <m/>
    <n v="5666000"/>
    <n v="0.07089657606777268"/>
    <n v="0.908930462407342"/>
    <n v="5300000"/>
    <n v="0.07579245283018868"/>
    <n v="0.002207547169811322"/>
    <s v="Yes"/>
    <d v="2017-08-26T00:00:00"/>
    <n v="355"/>
  </r>
  <r>
    <m/>
    <s v="State Engineer Office"/>
    <s v="State"/>
    <s v="Fee Simple"/>
    <s v="5600 San Antonio Dr NE"/>
    <s v="Albuquerque"/>
    <s v="NM"/>
    <n v="2.7299"/>
    <n v="2009"/>
    <n v="31061"/>
    <n v="31061"/>
    <n v="1"/>
    <m/>
    <s v=" "/>
    <m/>
    <s v=" "/>
    <m/>
    <m/>
    <m/>
    <s v=" "/>
    <s v=" "/>
    <m/>
    <m/>
    <m/>
    <n v="3350000"/>
    <n v="107.8522906538746"/>
    <s v=" "/>
    <m/>
    <d v="2018-08-15T00:00:00"/>
    <x v="952"/>
    <m/>
    <x v="429"/>
    <s v="NY"/>
    <s v="Private"/>
    <m/>
    <m/>
    <m/>
    <s v=" "/>
    <s v=" "/>
    <m/>
    <s v=" "/>
    <s v=" "/>
    <s v=" "/>
    <m/>
    <s v=" "/>
  </r>
  <r>
    <s v="LCO14211"/>
    <s v="ICE"/>
    <s v="Federal"/>
    <s v="Condo"/>
    <s v="4645 W 18th St"/>
    <s v="Greeley"/>
    <s v="CO"/>
    <m/>
    <n v="1993"/>
    <n v="11000"/>
    <n v="15091"/>
    <n v="0.7289112716188457"/>
    <n v="295895.94"/>
    <n v="26.89963090909091"/>
    <m/>
    <s v=" "/>
    <d v="2010-01-01T00:00:00"/>
    <d v="2024-12-31T00:00:00"/>
    <d v="2020-01-01T00:00:00"/>
    <n v="6.386301369863014"/>
    <n v="1.383561643835616"/>
    <s v="Modified Gross"/>
    <m/>
    <m/>
    <n v="2763500"/>
    <n v="183.1223908289709"/>
    <s v=" "/>
    <m/>
    <d v="2018-08-14T00:00:00"/>
    <x v="953"/>
    <s v="Direct"/>
    <x v="666"/>
    <s v="CO"/>
    <s v="Private"/>
    <m/>
    <m/>
    <m/>
    <s v=" "/>
    <s v=" "/>
    <m/>
    <s v=" "/>
    <s v=" "/>
    <s v=" "/>
    <m/>
    <s v=" "/>
  </r>
  <r>
    <m/>
    <s v="FAA"/>
    <s v="Federal"/>
    <s v="Fee Simple"/>
    <s v="8700 Freeport Pkwy"/>
    <s v="Irving"/>
    <s v="TX"/>
    <n v="11.86"/>
    <n v="1999"/>
    <n v="70141"/>
    <n v="151200"/>
    <n v="0.4638955026455027"/>
    <m/>
    <s v=" "/>
    <m/>
    <s v=" "/>
    <m/>
    <m/>
    <m/>
    <s v=" "/>
    <s v=" "/>
    <m/>
    <m/>
    <m/>
    <m/>
    <s v=" "/>
    <s v=" "/>
    <m/>
    <d v="2018-08-14T00:00:00"/>
    <x v="954"/>
    <m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3550 Park Plaza Road"/>
    <s v="Paducah"/>
    <s v="KY"/>
    <n v="2.042"/>
    <n v="1989"/>
    <n v="17754"/>
    <n v="17754"/>
    <n v="1"/>
    <n v="139359"/>
    <n v="7.849442379182156"/>
    <n v="129709.04"/>
    <n v="7.305905148135632"/>
    <d v="2019-09-01T00:00:00"/>
    <d v="2024-08-31T00:00:00"/>
    <d v="2020-02-28T00:00:00"/>
    <n v="6.052054794520548"/>
    <n v="1.542465753424658"/>
    <s v="Rider"/>
    <s v="None"/>
    <s v="None"/>
    <n v="1387450"/>
    <n v="78.1485862340881"/>
    <n v="0.09348736170672818"/>
    <m/>
    <d v="2018-08-14T00:00:00"/>
    <x v="955"/>
    <s v="SJC; Harf"/>
    <x v="667"/>
    <s v="CA"/>
    <s v="Private"/>
    <m/>
    <m/>
    <n v="1621363"/>
    <n v="0.08"/>
    <n v="0.8557306414417992"/>
    <n v="1621363"/>
    <n v="0.08"/>
    <n v="0.01348736170672818"/>
    <s v="No"/>
    <d v="2018-02-12T00:00:00"/>
    <n v="183"/>
  </r>
  <r>
    <m/>
    <s v="Texas Health and Human Services"/>
    <s v="State"/>
    <s v="Fee Simple"/>
    <s v="1328 Oakhurst Dr"/>
    <s v="Wichita Falls"/>
    <s v="TX"/>
    <n v="1.38"/>
    <n v="1991"/>
    <n v="16200"/>
    <n v="16200"/>
    <n v="1"/>
    <m/>
    <s v=" "/>
    <m/>
    <s v=" "/>
    <m/>
    <d v="2027-02-28T00:00:00"/>
    <m/>
    <n v="8.547945205479452"/>
    <s v=" "/>
    <s v="Gross"/>
    <m/>
    <m/>
    <m/>
    <s v=" "/>
    <s v=" "/>
    <m/>
    <d v="2018-08-14T00:00:00"/>
    <x v="8"/>
    <m/>
    <x v="0"/>
    <m/>
    <m/>
    <m/>
    <m/>
    <n v="949500"/>
    <s v=" "/>
    <s v=" "/>
    <n v="949500"/>
    <s v=" "/>
    <s v=" "/>
    <s v="No"/>
    <m/>
    <s v=" "/>
  </r>
  <r>
    <m/>
    <s v="California Department of Motor Vehicles (DMV)"/>
    <s v="State"/>
    <s v="Fee Simple"/>
    <s v="955 Davis St"/>
    <s v="Manteca"/>
    <s v="CA"/>
    <n v="0.46"/>
    <s v="1986 | 2017"/>
    <n v="3814"/>
    <n v="3814"/>
    <n v="1"/>
    <m/>
    <s v=" "/>
    <n v="136247"/>
    <n v="35.72286313581542"/>
    <m/>
    <d v="2025-09-30T00:00:00"/>
    <m/>
    <n v="7.145205479452055"/>
    <s v=" "/>
    <s v="Modified Gross"/>
    <m/>
    <m/>
    <n v="1350000"/>
    <n v="353.9590980597798"/>
    <n v="0.1009237037037037"/>
    <m/>
    <d v="2018-08-10T00:00:00"/>
    <x v="956"/>
    <s v="SVN; Shoemaker"/>
    <x v="668"/>
    <s v="CA"/>
    <s v="Private"/>
    <m/>
    <m/>
    <n v="1500000"/>
    <n v="0.09083133333333333"/>
    <n v="0.9"/>
    <n v="1500000"/>
    <n v="0.09083133333333333"/>
    <n v="0.01009237037037038"/>
    <s v="No"/>
    <d v="2018-02-21T00:00:00"/>
    <n v="170"/>
  </r>
  <r>
    <s v="LMD12603"/>
    <s v="SSA"/>
    <s v="Federal"/>
    <s v="Fee Simple"/>
    <s v="301-401 N Washington St"/>
    <s v="Rockville"/>
    <s v="MD"/>
    <n v="3.85"/>
    <m/>
    <n v="12370"/>
    <n v="260552"/>
    <n v="0.04747612760600571"/>
    <n v="360919.81"/>
    <n v="29.17702586903799"/>
    <m/>
    <s v=" "/>
    <d v="2012-12-11T00:00:00"/>
    <d v="2022-12-10T00:00:00"/>
    <d v="2017-12-10T00:00:00"/>
    <n v="4.336986301369863"/>
    <n v="-0.6657534246575343"/>
    <s v="Modified Gross"/>
    <s v="None"/>
    <s v="None"/>
    <n v="37000000"/>
    <n v="142.006202216832"/>
    <s v=" "/>
    <m/>
    <d v="2018-08-10T00:00:00"/>
    <x v="957"/>
    <m/>
    <x v="669"/>
    <s v="NJ"/>
    <s v="Institutional"/>
    <m/>
    <m/>
    <m/>
    <s v=" "/>
    <s v=" "/>
    <m/>
    <s v=" "/>
    <s v=" "/>
    <s v=" "/>
    <m/>
    <s v=" "/>
  </r>
  <r>
    <m/>
    <s v="University of Colorado"/>
    <s v="State"/>
    <s v="Fee Simple"/>
    <s v="6303 Wadsworth Byp"/>
    <s v="Arvada"/>
    <s v="CO"/>
    <n v="0.64"/>
    <s v="1986 | 2016"/>
    <m/>
    <n v="12774"/>
    <s v=" "/>
    <m/>
    <s v=" "/>
    <n v="176598"/>
    <n v="13.82480037576327"/>
    <m/>
    <d v="2022-03-31T00:00:00"/>
    <m/>
    <n v="3.646575342465753"/>
    <s v=" "/>
    <s v="Gross"/>
    <m/>
    <m/>
    <n v="1500000"/>
    <n v="117.426021606388"/>
    <n v="0.117732"/>
    <m/>
    <d v="2018-08-08T00:00:00"/>
    <x v="8"/>
    <s v="Jeff Johnson"/>
    <x v="0"/>
    <m/>
    <m/>
    <m/>
    <m/>
    <n v="1749900"/>
    <n v="0.1009189096519801"/>
    <n v="0.8571918395336876"/>
    <n v="1749900"/>
    <n v="0.1009189096519801"/>
    <n v="0.01681309034801989"/>
    <s v="No"/>
    <d v="2018-03-02T00:00:00"/>
    <n v="159"/>
  </r>
  <r>
    <m/>
    <s v="DFPS"/>
    <s v="State"/>
    <s v="Fee Simple"/>
    <s v="115 Green Valley St"/>
    <s v="New Braunfels"/>
    <s v="TX"/>
    <n v="0.86"/>
    <n v="2002"/>
    <n v="8935"/>
    <n v="8935"/>
    <n v="1"/>
    <m/>
    <s v=" "/>
    <n v="132696"/>
    <n v="14.85125909345271"/>
    <m/>
    <d v="2023-03-31T00:00:00"/>
    <m/>
    <n v="4.646575342465753"/>
    <s v=" "/>
    <s v="Modified Gross"/>
    <m/>
    <m/>
    <n v="1400000"/>
    <n v="156.6871852266368"/>
    <n v="0.09478285714285714"/>
    <m/>
    <d v="2018-08-08T00:00:00"/>
    <x v="8"/>
    <s v="Kyla Dickman"/>
    <x v="0"/>
    <m/>
    <m/>
    <m/>
    <m/>
    <n v="1617000"/>
    <n v="0.08206307977736549"/>
    <n v="0.8658008658008658"/>
    <n v="1520000"/>
    <n v="0.0873"/>
    <n v="0.007482857142857138"/>
    <s v="Yes"/>
    <d v="2017-08-28T00:00:00"/>
    <n v="345"/>
  </r>
  <r>
    <m/>
    <s v="USCIS"/>
    <s v="Federal"/>
    <s v="Fee Simple"/>
    <s v="9300 Belvedere Rd"/>
    <s v="Royal Palm Beach"/>
    <s v="FL"/>
    <n v="4.7"/>
    <n v="2008"/>
    <n v="38546"/>
    <n v="38546"/>
    <n v="1"/>
    <n v="2164957.35"/>
    <n v="56.16555154879884"/>
    <m/>
    <s v=" "/>
    <d v="2009-01-20T00:00:00"/>
    <d v="2024-01-19T00:00:00"/>
    <d v="2019-01-19T00:00:00"/>
    <n v="5.452054794520548"/>
    <n v="0.4493150684931507"/>
    <s v="Modified Gross"/>
    <s v="None"/>
    <s v="None"/>
    <n v="19000000"/>
    <n v="492.9175530534945"/>
    <s v=" "/>
    <m/>
    <d v="2018-08-08T00:00:00"/>
    <x v="958"/>
    <s v="CREGlobal"/>
    <x v="1"/>
    <s v="IL"/>
    <s v="Private"/>
    <m/>
    <m/>
    <m/>
    <s v=" "/>
    <s v=" "/>
    <m/>
    <s v=" "/>
    <s v=" "/>
    <s v=" "/>
    <m/>
    <s v=" "/>
  </r>
  <r>
    <m/>
    <s v="Multi"/>
    <s v="State"/>
    <s v="Fee Simple"/>
    <s v="1474 Rodeo Rd"/>
    <s v="Santa Fe"/>
    <s v="NM"/>
    <n v="4.41"/>
    <n v="1987"/>
    <n v="79679"/>
    <n v="79679"/>
    <n v="1"/>
    <m/>
    <s v=" "/>
    <n v="1121452.5"/>
    <n v="14.07463070570665"/>
    <m/>
    <d v="2023-09-30T00:00:00"/>
    <d v="2018-09-30T00:00:00"/>
    <n v="5.161643835616438"/>
    <n v="0.1589041095890411"/>
    <s v="FS"/>
    <m/>
    <m/>
    <n v="13025000"/>
    <n v="163.468417023306"/>
    <n v="0.0861"/>
    <m/>
    <d v="2018-08-03T00:00:00"/>
    <x v="959"/>
    <s v="CBRE; Newman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7907 Jacksonville Cato Rd"/>
    <s v="Sherwood"/>
    <s v="AR"/>
    <n v="1.33"/>
    <n v="1999"/>
    <n v="2468"/>
    <n v="2468"/>
    <n v="1"/>
    <m/>
    <s v=" "/>
    <n v="35418"/>
    <n v="14.35089141004862"/>
    <m/>
    <m/>
    <m/>
    <s v=" "/>
    <s v=" "/>
    <m/>
    <m/>
    <m/>
    <n v="457000"/>
    <n v="185.1701782820097"/>
    <n v="0.07750109409190371"/>
    <m/>
    <d v="2018-08-03T00:00:00"/>
    <x v="8"/>
    <s v="M&amp;M; Isaac"/>
    <x v="0"/>
    <m/>
    <m/>
    <m/>
    <m/>
    <m/>
    <s v=" "/>
    <s v=" "/>
    <m/>
    <s v=" "/>
    <s v=" "/>
    <s v=" "/>
    <m/>
    <s v=" "/>
  </r>
  <r>
    <m/>
    <s v="PennEPA"/>
    <s v="State"/>
    <s v="Fee Simple"/>
    <s v="909 Elmerton Ave"/>
    <s v="Harrisburg"/>
    <s v="PA"/>
    <n v="13.39"/>
    <n v="1998"/>
    <n v="73101"/>
    <n v="73101"/>
    <n v="1"/>
    <m/>
    <s v=" "/>
    <n v="1104180"/>
    <n v="15.10485492674519"/>
    <m/>
    <d v="2028-04-14T00:00:00"/>
    <d v="2023-04-04T00:00:00"/>
    <n v="9.706849315068494"/>
    <n v="4.673972602739726"/>
    <m/>
    <m/>
    <m/>
    <n v="14500000"/>
    <n v="198.3556996484316"/>
    <n v="0.0761503448275862"/>
    <m/>
    <d v="2018-08-02T00:00:00"/>
    <x v="960"/>
    <s v="JLL; Saal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1607 N Lincoln St"/>
    <s v="Knoxville"/>
    <s v="IA"/>
    <n v="2.94"/>
    <n v="2017"/>
    <n v="16731"/>
    <n v="16731"/>
    <n v="1"/>
    <m/>
    <s v=" "/>
    <n v="486910"/>
    <n v="29.10226525611141"/>
    <d v="2017-09-01T00:00:00"/>
    <d v="2032-08-30T00:00:00"/>
    <d v="2032-08-30T00:00:00"/>
    <n v="14.09041095890411"/>
    <n v="14.09041095890411"/>
    <s v="Modified Gross"/>
    <s v="None"/>
    <s v="None"/>
    <n v="7200000"/>
    <n v="430.3388918773534"/>
    <n v="0.06762638888888889"/>
    <m/>
    <d v="2018-08-01T00:00:00"/>
    <x v="111"/>
    <s v="C&amp;W; Trautvetter"/>
    <x v="54"/>
    <s v="NC"/>
    <s v="REIT"/>
    <m/>
    <m/>
    <n v="8468000"/>
    <n v="0.0575"/>
    <n v="0.8502598016060463"/>
    <n v="8468000"/>
    <n v="0.0575"/>
    <n v="0.01012638888888889"/>
    <s v="No"/>
    <d v="2018-01-08T00:00:00"/>
    <n v="205"/>
  </r>
  <r>
    <s v="LVA11325"/>
    <s v="CG"/>
    <s v="Federal"/>
    <s v="Fee Simple"/>
    <s v="300 E Main St"/>
    <s v="Norfolk"/>
    <s v="VA"/>
    <n v="0.57"/>
    <n v="1990"/>
    <n v="121643"/>
    <n v="199621"/>
    <n v="0.6093697556870269"/>
    <n v="2587465.57"/>
    <n v="21.27097794365479"/>
    <n v="1472559"/>
    <n v="7.376773986704806"/>
    <d v="2011-08-19T00:00:00"/>
    <d v="2021-08-18T00:00:00"/>
    <d v="2017-08-20T00:00:00"/>
    <n v="3.049315068493151"/>
    <n v="-0.947945205479452"/>
    <s v="Modified Gross"/>
    <s v="None"/>
    <s v="None"/>
    <n v="18550000"/>
    <n v="92.92609494993012"/>
    <n v="0.07938323450134771"/>
    <m/>
    <d v="2018-08-01T00:00:00"/>
    <x v="961"/>
    <s v="C&amp;W; Robison"/>
    <x v="1"/>
    <s v="IL"/>
    <s v="Private"/>
    <m/>
    <m/>
    <m/>
    <s v=" "/>
    <s v=" "/>
    <m/>
    <s v=" "/>
    <s v=" "/>
    <s v=" "/>
    <m/>
    <s v=" "/>
  </r>
  <r>
    <m/>
    <s v="USCIS"/>
    <s v="Federal"/>
    <s v="Fee Simple"/>
    <s v="9300 Belvedere Rd"/>
    <s v="West Palm Beach"/>
    <s v="FL"/>
    <n v="4.74"/>
    <n v="2008"/>
    <m/>
    <n v="38277"/>
    <s v=" "/>
    <m/>
    <s v=" "/>
    <m/>
    <s v=" "/>
    <m/>
    <m/>
    <m/>
    <s v=" "/>
    <s v=" "/>
    <m/>
    <m/>
    <m/>
    <n v="19000000"/>
    <n v="496.381639104423"/>
    <s v=" "/>
    <m/>
    <d v="2018-08-01T00:00:00"/>
    <x v="8"/>
    <m/>
    <x v="0"/>
    <m/>
    <m/>
    <m/>
    <m/>
    <m/>
    <s v=" "/>
    <s v=" "/>
    <m/>
    <s v=" "/>
    <s v=" "/>
    <s v=" "/>
    <m/>
    <s v=" "/>
  </r>
  <r>
    <s v="LAZ02291"/>
    <s v="USCIS"/>
    <s v="Federal"/>
    <s v="Fee Simple"/>
    <s v="1330 S 16th St"/>
    <s v="Pheonix"/>
    <s v="AZ"/>
    <n v="6.48"/>
    <n v="1970"/>
    <n v="53314"/>
    <n v="53314"/>
    <n v="1"/>
    <n v="1943533.41"/>
    <n v="36.45446618149079"/>
    <m/>
    <s v=" "/>
    <d v="2011-08-19T00:00:00"/>
    <d v="2026-08-18T00:00:00"/>
    <d v="2021-08-18T00:00:00"/>
    <n v="8.054794520547945"/>
    <n v="3.052054794520548"/>
    <m/>
    <m/>
    <m/>
    <n v="19000000"/>
    <n v="356.3791874554526"/>
    <s v=" "/>
    <m/>
    <d v="2018-07-31T00:00:00"/>
    <x v="592"/>
    <s v="C&amp;W; Trautvetter"/>
    <x v="469"/>
    <s v="CA"/>
    <s v="Private"/>
    <m/>
    <m/>
    <m/>
    <s v=" "/>
    <s v=" "/>
    <m/>
    <s v=" "/>
    <s v=" "/>
    <s v=" "/>
    <m/>
    <s v=" "/>
  </r>
  <r>
    <s v="LAZ02291"/>
    <s v="USCIS"/>
    <s v="Federal"/>
    <s v="Fee Simple"/>
    <s v="1330 S 16th St"/>
    <s v="Phoenix"/>
    <s v="AZ"/>
    <n v="6.48"/>
    <n v="1970"/>
    <n v="53314"/>
    <n v="53314"/>
    <n v="1"/>
    <n v="1920291.74"/>
    <n v="36.01852684097985"/>
    <m/>
    <s v=" "/>
    <d v="2011-08-19T00:00:00"/>
    <d v="2026-08-18T00:00:00"/>
    <d v="2021-08-18T00:00:00"/>
    <n v="8.054794520547945"/>
    <n v="3.052054794520548"/>
    <s v="Modified Gross"/>
    <s v="None"/>
    <s v="None"/>
    <n v="19000000"/>
    <n v="356.3791874554526"/>
    <s v=" "/>
    <m/>
    <d v="2018-07-31T00:00:00"/>
    <x v="592"/>
    <s v="C&amp;W; Trautvetter"/>
    <x v="469"/>
    <s v="CA"/>
    <s v="Private"/>
    <m/>
    <m/>
    <m/>
    <s v=" "/>
    <s v=" "/>
    <m/>
    <s v=" "/>
    <s v=" "/>
    <s v=" "/>
    <m/>
    <s v=" "/>
  </r>
  <r>
    <m/>
    <s v="SSA"/>
    <s v="Federal"/>
    <s v="Fee Simple"/>
    <s v="1718 Woodlawn Dr"/>
    <s v="Woodlawn"/>
    <s v="MD"/>
    <n v="13.47"/>
    <n v="1967"/>
    <n v="160810"/>
    <n v="160810"/>
    <n v="1"/>
    <n v="3209768"/>
    <n v="19.9600024874075"/>
    <n v="2229896"/>
    <n v="13.86665008395"/>
    <m/>
    <d v="2028-12-31T00:00:00"/>
    <d v="2023-12-31T00:00:00"/>
    <n v="10.42739726027397"/>
    <n v="5.421917808219178"/>
    <m/>
    <m/>
    <m/>
    <n v="26000000"/>
    <n v="161.6814874696847"/>
    <n v="0.08576523076923077"/>
    <m/>
    <d v="2018-07-31T00:00:00"/>
    <x v="962"/>
    <s v="JLL; Rampulla"/>
    <x v="1"/>
    <s v="IL"/>
    <s v="Private"/>
    <m/>
    <m/>
    <n v="33000000"/>
    <n v="0.06757260606060606"/>
    <n v="0.7878787878787878"/>
    <n v="33000000"/>
    <n v="0.06757260606060606"/>
    <n v="0.01819262470862472"/>
    <s v="No"/>
    <d v="2017-07-01T00:00:00"/>
    <n v="395"/>
  </r>
  <r>
    <m/>
    <s v="VA"/>
    <s v="Federal"/>
    <s v="Fee Simple"/>
    <s v="2851 University Ave"/>
    <s v="Green Bay"/>
    <s v="WI"/>
    <n v="27.38"/>
    <n v="2013"/>
    <n v="192881"/>
    <n v="192881"/>
    <n v="1"/>
    <m/>
    <s v=" "/>
    <m/>
    <s v=" "/>
    <d v="2013-07-01T00:00:00"/>
    <m/>
    <m/>
    <s v=" "/>
    <s v=" "/>
    <m/>
    <m/>
    <m/>
    <n v="69320000"/>
    <n v="359.3925788439504"/>
    <s v=" "/>
    <m/>
    <d v="2018-07-28T00:00:00"/>
    <x v="963"/>
    <s v="M&amp;M; Gonzales"/>
    <x v="2"/>
    <s v="VA"/>
    <s v="Private"/>
    <m/>
    <m/>
    <m/>
    <s v=" "/>
    <s v=" "/>
    <m/>
    <s v=" "/>
    <s v=" "/>
    <s v=" "/>
    <m/>
    <s v=" "/>
  </r>
  <r>
    <m/>
    <s v="Health"/>
    <s v="State"/>
    <s v="Fee Simple"/>
    <s v="1050 W 15th St"/>
    <s v="Riviera Beach"/>
    <s v="FL"/>
    <n v="1.49"/>
    <n v="1986"/>
    <n v="28936"/>
    <n v="28936"/>
    <n v="1"/>
    <m/>
    <s v=" "/>
    <n v="257169"/>
    <n v="8.887510367708046"/>
    <m/>
    <d v="2020-09-30T00:00:00"/>
    <m/>
    <n v="2.180821917808219"/>
    <s v=" "/>
    <m/>
    <m/>
    <m/>
    <n v="2250000"/>
    <n v="77.75781034006083"/>
    <n v="0.1142973333333333"/>
    <m/>
    <d v="2018-07-27T00:00:00"/>
    <x v="964"/>
    <s v="David Joseph"/>
    <x v="670"/>
    <s v="CT"/>
    <s v="Private"/>
    <m/>
    <m/>
    <n v="2599900"/>
    <n v="0.09891495826762568"/>
    <n v="0.865417900688488"/>
    <n v="2599900"/>
    <n v="0.09891495826762568"/>
    <n v="0.01538237506570765"/>
    <s v="No"/>
    <d v="2018-02-27T00:00:00"/>
    <n v="150"/>
  </r>
  <r>
    <s v="LIA01056"/>
    <s v="SSA"/>
    <s v="Federal"/>
    <s v="Fee Simple"/>
    <s v="4319 N Brady St"/>
    <s v="Davenport"/>
    <s v="IA"/>
    <n v="3.67"/>
    <n v="1982"/>
    <n v="11877"/>
    <n v="11887"/>
    <n v="0.9991587448473122"/>
    <n v="330092"/>
    <n v="27.79254020375516"/>
    <n v="221337"/>
    <n v="18.62008917304619"/>
    <d v="2012-03-01T00:00:00"/>
    <d v="2027-02-28T00:00:00"/>
    <d v="2022-02-28T00:00:00"/>
    <n v="8.602739726027398"/>
    <n v="3.6"/>
    <s v="Modified Gross"/>
    <s v="TI Burns Off"/>
    <s v="None"/>
    <n v="2380000"/>
    <n v="200.2187263396988"/>
    <n v="0.09299873949579832"/>
    <m/>
    <d v="2018-07-25T00:00:00"/>
    <x v="965"/>
    <s v="SJC; Corriston"/>
    <x v="671"/>
    <s v="IA"/>
    <s v="Private"/>
    <m/>
    <m/>
    <n v="2450000"/>
    <n v="0.09034163265306122"/>
    <n v="0.9714285714285714"/>
    <n v="2450000"/>
    <n v="0.09034163265306122"/>
    <n v="0.002657106842737095"/>
    <s v="No"/>
    <d v="2018-02-13T00:00:00"/>
    <n v="162"/>
  </r>
  <r>
    <m/>
    <s v="VA"/>
    <s v="Federal"/>
    <s v="Fee Simple"/>
    <s v="6211 Waterford Blvd"/>
    <s v="Evansville"/>
    <s v="IN"/>
    <n v="3.57"/>
    <n v="2011"/>
    <n v="132156"/>
    <n v="132156"/>
    <n v="1"/>
    <m/>
    <s v=" "/>
    <m/>
    <s v=" "/>
    <m/>
    <m/>
    <m/>
    <s v=" "/>
    <s v=" "/>
    <m/>
    <m/>
    <m/>
    <n v="49225000"/>
    <n v="372.4764672054239"/>
    <s v=" "/>
    <m/>
    <d v="2018-07-25T00:00:00"/>
    <x v="963"/>
    <s v="M&amp;M; Gonzales"/>
    <x v="2"/>
    <s v="VA"/>
    <s v="Private"/>
    <m/>
    <m/>
    <m/>
    <s v=" "/>
    <s v=" "/>
    <m/>
    <s v=" "/>
    <s v=" "/>
    <s v=" "/>
    <m/>
    <s v=" "/>
  </r>
  <r>
    <m/>
    <s v="CBP"/>
    <s v="Federal"/>
    <s v="Fee Simple"/>
    <s v="4204 Woodcock Dr"/>
    <s v="San Antonio"/>
    <s v="TX"/>
    <n v="3.494"/>
    <n v="1982"/>
    <n v="66721"/>
    <n v="66721"/>
    <n v="1"/>
    <m/>
    <s v=" "/>
    <m/>
    <s v=" "/>
    <m/>
    <m/>
    <m/>
    <s v=" "/>
    <s v=" "/>
    <m/>
    <m/>
    <m/>
    <n v="7550000"/>
    <n v="113.157776412224"/>
    <s v=" "/>
    <m/>
    <d v="2018-07-25T00:00:00"/>
    <x v="966"/>
    <s v="C&amp;W; Mill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449 Highway 55"/>
    <s v="Horseshoe Bend"/>
    <s v="ID"/>
    <n v="0.29"/>
    <n v="1976"/>
    <n v="1056"/>
    <n v="1056"/>
    <n v="1"/>
    <n v="7417"/>
    <n v="7.023674242424242"/>
    <m/>
    <s v=" "/>
    <m/>
    <m/>
    <m/>
    <s v=" "/>
    <s v=" "/>
    <m/>
    <m/>
    <m/>
    <n v="107500"/>
    <n v="101.7992424242424"/>
    <s v=" "/>
    <m/>
    <d v="2018-07-24T00:00:00"/>
    <x v="8"/>
    <s v="CB; McGraw"/>
    <x v="0"/>
    <m/>
    <s v="Private"/>
    <m/>
    <m/>
    <n v="115000"/>
    <s v=" "/>
    <n v="0.9347826086956522"/>
    <n v="115000"/>
    <s v=" "/>
    <s v=" "/>
    <s v="No"/>
    <d v="2018-06-09T00:00:00"/>
    <n v="45"/>
  </r>
  <r>
    <s v="LMI18910"/>
    <s v="SSA"/>
    <s v="Federal"/>
    <s v="Fee Simple"/>
    <s v="1940 Sweeney St"/>
    <s v="Mount Pleasant"/>
    <s v="MI"/>
    <n v="0.58"/>
    <n v="2001"/>
    <n v="7033"/>
    <n v="7033"/>
    <n v="1"/>
    <n v="186261"/>
    <n v="26.48386179439784"/>
    <n v="118497"/>
    <n v="16.84871320915683"/>
    <d v="2014-05-01T00:00:00"/>
    <d v="2024-04-30T00:00:00"/>
    <d v="2019-04-30T00:00:00"/>
    <n v="5.783561643835617"/>
    <n v="0.7780821917808219"/>
    <s v="Modified Gross"/>
    <s v="None"/>
    <s v="None"/>
    <n v="1175000"/>
    <n v="167.0695293615811"/>
    <n v="0.1008485106382979"/>
    <m/>
    <d v="2018-07-20T00:00:00"/>
    <x v="967"/>
    <s v="M&amp;M; Mobin"/>
    <x v="672"/>
    <s v="MI"/>
    <s v="Private"/>
    <m/>
    <m/>
    <n v="1250000"/>
    <n v="0.0947976"/>
    <n v="0.9399999999999999"/>
    <n v="1250000"/>
    <n v="0.0947976"/>
    <n v="0.006050910638297879"/>
    <s v="No"/>
    <d v="2017-10-10T00:00:00"/>
    <n v="283"/>
  </r>
  <r>
    <m/>
    <s v="USDA"/>
    <s v="Federal"/>
    <s v="Fee Simple"/>
    <s v="1475 15th Ave Dr E"/>
    <s v="Palmetto"/>
    <s v="FL"/>
    <n v="1.04"/>
    <n v="2015"/>
    <n v="9908"/>
    <n v="9908"/>
    <n v="1"/>
    <m/>
    <s v=" "/>
    <n v="202535"/>
    <n v="20.44156237383932"/>
    <d v="2015-02-01T00:00:00"/>
    <d v="2025-01-31T00:00:00"/>
    <d v="2020-01-31T00:00:00"/>
    <n v="6.53972602739726"/>
    <n v="1.534246575342466"/>
    <s v="Modified Gross"/>
    <m/>
    <m/>
    <n v="2300000"/>
    <n v="232.1356479612434"/>
    <n v="0.08805869565217392"/>
    <m/>
    <d v="2018-07-20T00:00:00"/>
    <x v="968"/>
    <s v="M&amp;M; Mobin"/>
    <x v="62"/>
    <s v="IL"/>
    <s v="Private"/>
    <m/>
    <m/>
    <n v="2300000"/>
    <n v="0.08805869565217392"/>
    <n v="1"/>
    <n v="2300000"/>
    <n v="0.08805869565217392"/>
    <n v="0"/>
    <s v="No"/>
    <d v="2017-08-24T00:00:00"/>
    <n v="330"/>
  </r>
  <r>
    <m/>
    <s v="USPS"/>
    <s v="Federal"/>
    <s v="Fee Simple"/>
    <s v="315 Main St"/>
    <s v="Duncan Falls"/>
    <s v="OH"/>
    <n v="0.25"/>
    <n v="1965"/>
    <n v="1200"/>
    <n v="1200"/>
    <n v="1"/>
    <n v="2397"/>
    <n v="1.9975"/>
    <m/>
    <s v=" "/>
    <m/>
    <m/>
    <m/>
    <s v=" "/>
    <s v=" "/>
    <m/>
    <m/>
    <m/>
    <n v="65000"/>
    <n v="54.16666666666666"/>
    <s v=" "/>
    <m/>
    <d v="2018-07-19T00:00:00"/>
    <x v="8"/>
    <m/>
    <x v="0"/>
    <m/>
    <m/>
    <m/>
    <m/>
    <m/>
    <s v=" "/>
    <s v=" "/>
    <m/>
    <s v=" "/>
    <s v=" "/>
    <s v=" "/>
    <m/>
    <s v=" "/>
  </r>
  <r>
    <s v="LTX17193"/>
    <s v="SSA"/>
    <s v="Federal"/>
    <s v="Fee Simple"/>
    <s v="2201 Colorado Blvd"/>
    <s v="Denton"/>
    <s v="TX"/>
    <n v="1.1701"/>
    <n v="2002"/>
    <n v="9513"/>
    <n v="9513"/>
    <n v="1"/>
    <n v="268543"/>
    <n v="28.22905497739935"/>
    <m/>
    <s v=" "/>
    <d v="2016-11-07T00:00:00"/>
    <d v="2026-11-06T00:00:00"/>
    <d v="2021-11-07T00:00:00"/>
    <n v="8.30958904109589"/>
    <n v="3.309589041095891"/>
    <s v="Modified Gross"/>
    <s v="None"/>
    <s v="None"/>
    <m/>
    <s v=" "/>
    <s v=" "/>
    <m/>
    <d v="2018-07-18T00:00:00"/>
    <x v="611"/>
    <m/>
    <x v="497"/>
    <s v="TN"/>
    <s v="REIT"/>
    <m/>
    <m/>
    <m/>
    <s v=" "/>
    <s v=" "/>
    <m/>
    <s v=" "/>
    <s v=" "/>
    <s v=" "/>
    <m/>
    <s v=" "/>
  </r>
  <r>
    <s v="LTX15037"/>
    <s v="SSA"/>
    <s v="Federal"/>
    <s v="Fee Simple"/>
    <s v="2300 Dunson Dr"/>
    <s v="Balch Springs"/>
    <s v="TX"/>
    <n v="2.1"/>
    <n v="2003"/>
    <n v="16238"/>
    <n v="16238"/>
    <n v="1"/>
    <n v="415581"/>
    <n v="25.59311491563"/>
    <n v="262766"/>
    <n v="16.18216529129203"/>
    <d v="2003-11-17T00:00:00"/>
    <d v="2018-11-16T00:00:00"/>
    <d v="2013-11-16T00:00:00"/>
    <n v="0.3342465753424658"/>
    <n v="-4.668493150684932"/>
    <s v="Modified Gross"/>
    <s v="None"/>
    <s v="None"/>
    <m/>
    <s v=" 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TX15147"/>
    <s v="SSA"/>
    <s v="Federal"/>
    <s v="Fee Simple"/>
    <s v="2120 W Briargate Dr"/>
    <s v="Bryan"/>
    <s v="TX"/>
    <n v="1.13"/>
    <n v="2003"/>
    <n v="9774"/>
    <n v="9774"/>
    <n v="1"/>
    <n v="250103"/>
    <n v="25.58860241456927"/>
    <n v="151746"/>
    <n v="15.52547575199509"/>
    <d v="2004-04-01T00:00:00"/>
    <d v="2019-03-31T00:00:00"/>
    <d v="2015-04-01T00:00:00"/>
    <n v="0.7041095890410959"/>
    <n v="-3.295890410958904"/>
    <s v="Modified Gross"/>
    <s v="None"/>
    <s v="None"/>
    <m/>
    <s v=" 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AR00070"/>
    <s v="ICE/HSI"/>
    <s v="Federal"/>
    <s v="Fee Simple"/>
    <s v="2887 Point Circle Dr"/>
    <s v="Fayetteville"/>
    <s v="AR"/>
    <n v="0.47"/>
    <n v="2000"/>
    <n v="4809"/>
    <n v="4809"/>
    <n v="1"/>
    <n v="124937.82"/>
    <n v="25.98"/>
    <n v="77768.82000000001"/>
    <n v="16.17151590767311"/>
    <d v="2017-06-01T00:00:00"/>
    <d v="2027-05-31T00:00:00"/>
    <d v="2022-06-01T00:00:00"/>
    <n v="8.876712328767123"/>
    <n v="3.876712328767123"/>
    <s v="Modified Gross"/>
    <s v="None"/>
    <s v="None"/>
    <n v="850000"/>
    <n v="176.7519234768143"/>
    <n v="0.09149272941176471"/>
    <m/>
    <d v="2018-07-17T00:00:00"/>
    <x v="611"/>
    <m/>
    <x v="497"/>
    <s v="TN"/>
    <s v="REIT"/>
    <m/>
    <m/>
    <m/>
    <s v=" "/>
    <s v=" "/>
    <m/>
    <s v=" "/>
    <s v=" "/>
    <s v=" "/>
    <m/>
    <s v=" "/>
  </r>
  <r>
    <m/>
    <s v="SSA"/>
    <s v="Federal"/>
    <s v="Fee Simple"/>
    <s v="11753 W Florissant Ave"/>
    <s v="Florissant"/>
    <s v="MO"/>
    <n v="2.1"/>
    <n v="2006"/>
    <n v="12616"/>
    <n v="12616"/>
    <n v="1"/>
    <m/>
    <s v=" "/>
    <m/>
    <s v=" "/>
    <m/>
    <m/>
    <m/>
    <s v=" "/>
    <s v=" "/>
    <m/>
    <m/>
    <m/>
    <n v="860000"/>
    <n v="68.16740646797717"/>
    <s v=" "/>
    <m/>
    <d v="2018-07-17T00:00:00"/>
    <x v="969"/>
    <m/>
    <x v="497"/>
    <s v="TN"/>
    <s v="REIT"/>
    <m/>
    <m/>
    <m/>
    <s v=" "/>
    <s v=" "/>
    <m/>
    <s v=" "/>
    <s v=" "/>
    <s v=" "/>
    <m/>
    <s v=" "/>
  </r>
  <r>
    <s v="LAR01139"/>
    <s v="SSA"/>
    <s v="Federal"/>
    <s v="Fee Simple"/>
    <s v="131 Industrial Park Rd"/>
    <s v="Harrison"/>
    <s v="AR"/>
    <n v="0.85"/>
    <n v="1998"/>
    <n v="11492"/>
    <n v="11492"/>
    <n v="1"/>
    <n v="225875.25"/>
    <n v="19.65499912982945"/>
    <n v="141863.25"/>
    <n v="12.34452227636617"/>
    <d v="2022-03-25T00:00:00"/>
    <d v="2037-03-24T00:00:00"/>
    <d v="2035-03-24T00:00:00"/>
    <n v="18.6986301369863"/>
    <n v="16.6958904109589"/>
    <s v="Modified Gross"/>
    <s v="None"/>
    <s v="None"/>
    <n v="1750000"/>
    <n v="152.2798468499826"/>
    <n v="0.08106471428571428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AR17207"/>
    <s v="SSA"/>
    <s v="Federal"/>
    <s v="Fee Simple"/>
    <s v="112 Corporate Ter"/>
    <s v="Hot Springs"/>
    <s v="AR"/>
    <n v="1.16"/>
    <n v="2003"/>
    <n v="10980"/>
    <n v="10980"/>
    <n v="1"/>
    <n v="270547"/>
    <n v="24.63998178506375"/>
    <m/>
    <s v=" "/>
    <d v="2015-10-28T00:00:00"/>
    <d v="2025-10-27T00:00:00"/>
    <d v="2020-10-28T00:00:00"/>
    <n v="7.284931506849315"/>
    <n v="2.284931506849315"/>
    <s v="Modified Gross"/>
    <s v="None"/>
    <s v="None"/>
    <m/>
    <s v=" 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TX15073"/>
    <s v="SSA"/>
    <s v="Federal"/>
    <s v="Fee Simple"/>
    <s v="1509 Sedberry St"/>
    <s v="Marshall"/>
    <s v="TX"/>
    <n v="1.03"/>
    <n v="2003"/>
    <n v="7198"/>
    <n v="7198"/>
    <n v="1"/>
    <n v="202861"/>
    <n v="28.18296749096971"/>
    <n v="132558"/>
    <n v="18.41594887468741"/>
    <d v="2003-12-04T00:00:00"/>
    <d v="2018-12-04T00:00:00"/>
    <d v="2013-12-04T00:00:00"/>
    <n v="0.3835616438356164"/>
    <n v="-4.619178082191781"/>
    <s v="Modified Gross"/>
    <s v="NOne"/>
    <s v="None"/>
    <m/>
    <s v=" 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OK15448"/>
    <s v="SSA"/>
    <s v="Federal"/>
    <s v="Fee Simple"/>
    <s v="912 S George Nigh Expy"/>
    <s v="McAlester"/>
    <s v="OK"/>
    <n v="2.03"/>
    <n v="2006"/>
    <n v="8511"/>
    <n v="8511"/>
    <n v="1"/>
    <n v="218255.34"/>
    <n v="25.64391258371519"/>
    <n v="159104.34"/>
    <n v="18.6939654564681"/>
    <d v="2006-05-23T00:00:00"/>
    <d v="2021-05-22T00:00:00"/>
    <d v="2016-05-23T00:00:00"/>
    <n v="2.849315068493151"/>
    <n v="-2.150684931506849"/>
    <s v="Modified Gross"/>
    <s v="None"/>
    <s v="None"/>
    <n v="1310000"/>
    <n v="153.9184584655152"/>
    <n v="0.1214536946564885"/>
    <m/>
    <d v="2018-07-17T00:00:00"/>
    <x v="611"/>
    <m/>
    <x v="497"/>
    <s v="TN"/>
    <s v="REIT"/>
    <m/>
    <m/>
    <m/>
    <s v=" "/>
    <s v=" "/>
    <m/>
    <s v=" "/>
    <s v=" "/>
    <s v=" "/>
    <m/>
    <s v=" "/>
  </r>
  <r>
    <s v="LOK15922"/>
    <s v="SSA"/>
    <s v="Federal"/>
    <s v="Fee Simple"/>
    <s v="1306 Tarby Rd"/>
    <s v="Poteau"/>
    <s v="OK"/>
    <n v="1.95"/>
    <n v="2007"/>
    <n v="6256"/>
    <n v="6256"/>
    <n v="1"/>
    <n v="152223.47"/>
    <n v="24.33239609974424"/>
    <n v="80401.47"/>
    <n v="12.85189737851662"/>
    <d v="2007-04-06T00:00:00"/>
    <d v="2022-04-05T00:00:00"/>
    <d v="2022-04-05T00:00:00"/>
    <n v="3.720547945205479"/>
    <n v="3.720547945205479"/>
    <s v="Modified Gross"/>
    <s v="None"/>
    <s v="None"/>
    <n v="500000"/>
    <n v="79.923273657289"/>
    <n v="0.16080294"/>
    <m/>
    <d v="2018-07-17T00:00:00"/>
    <x v="611"/>
    <m/>
    <x v="497"/>
    <s v="TN"/>
    <s v="REIT"/>
    <m/>
    <m/>
    <m/>
    <s v=" "/>
    <s v=" "/>
    <m/>
    <s v=" "/>
    <s v=" "/>
    <s v=" "/>
    <m/>
    <s v=" "/>
  </r>
  <r>
    <m/>
    <s v="SSA"/>
    <s v="Federal"/>
    <s v="Fee Simple"/>
    <s v="Portfolio of Three"/>
    <m/>
    <m/>
    <n v="3.79"/>
    <m/>
    <n v="30774"/>
    <n v="30774"/>
    <n v="1"/>
    <m/>
    <s v=" "/>
    <m/>
    <s v=" "/>
    <m/>
    <m/>
    <m/>
    <s v=" "/>
    <s v=" "/>
    <m/>
    <m/>
    <m/>
    <n v="850000"/>
    <n v="27.62071878858777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m/>
    <m/>
    <s v="Federal"/>
    <m/>
    <s v="Portfolio of Four"/>
    <m/>
    <m/>
    <m/>
    <m/>
    <m/>
    <n v="40356"/>
    <s v=" "/>
    <m/>
    <s v=" "/>
    <m/>
    <s v=" "/>
    <m/>
    <m/>
    <m/>
    <s v=" "/>
    <s v=" "/>
    <m/>
    <m/>
    <m/>
    <m/>
    <s v=" "/>
    <s v=" "/>
    <m/>
    <d v="2018-07-17T00:00:00"/>
    <x v="970"/>
    <s v="Direct"/>
    <x v="497"/>
    <s v="TN"/>
    <s v="REIT"/>
    <m/>
    <m/>
    <m/>
    <s v=" "/>
    <s v=" "/>
    <m/>
    <s v=" "/>
    <s v=" "/>
    <s v=" "/>
    <m/>
    <s v=" "/>
  </r>
  <r>
    <m/>
    <m/>
    <m/>
    <m/>
    <m/>
    <m/>
    <m/>
    <m/>
    <m/>
    <m/>
    <m/>
    <s v=" "/>
    <m/>
    <s v=" "/>
    <m/>
    <s v=" "/>
    <m/>
    <m/>
    <m/>
    <s v=" "/>
    <s v=" "/>
    <m/>
    <m/>
    <m/>
    <m/>
    <s v=" "/>
    <s v=" "/>
    <m/>
    <d v="2018-07-17T00:00:00"/>
    <x v="611"/>
    <m/>
    <x v="497"/>
    <s v="TN"/>
    <s v="REIT"/>
    <m/>
    <m/>
    <m/>
    <s v=" "/>
    <s v=" "/>
    <m/>
    <s v=" "/>
    <s v=" "/>
    <s v=" "/>
    <m/>
    <s v=" "/>
  </r>
  <r>
    <m/>
    <s v="CRY-ROP"/>
    <s v="Municipal"/>
    <s v="Fee Simple"/>
    <s v="1226 Indiana Ct"/>
    <s v="Redlands"/>
    <s v="CA"/>
    <m/>
    <n v="1990"/>
    <n v="10825"/>
    <n v="10825"/>
    <n v="1"/>
    <n v="109093"/>
    <n v="10.0778752886836"/>
    <n v="92160"/>
    <n v="8.513625866050809"/>
    <d v="2010-07-01T00:00:00"/>
    <d v="2020-06-30T00:00:00"/>
    <d v="2020-06-30T00:00:00"/>
    <n v="1.958904109589041"/>
    <n v="1.958904109589041"/>
    <s v="NN"/>
    <m/>
    <m/>
    <n v="1360000"/>
    <n v="125.635103926097"/>
    <n v="0.06776470588235294"/>
    <m/>
    <d v="2018-07-16T00:00:00"/>
    <x v="8"/>
    <s v="M&amp;M; Matter"/>
    <x v="0"/>
    <m/>
    <s v="Private"/>
    <m/>
    <m/>
    <n v="1536000"/>
    <n v="0.06"/>
    <n v="0.8854166666666666"/>
    <n v="1536000"/>
    <n v="0.06"/>
    <n v="0.007764705882352937"/>
    <s v="No"/>
    <m/>
    <s v=" "/>
  </r>
  <r>
    <m/>
    <s v="ICE &amp; DEA"/>
    <s v="Federal"/>
    <s v="Condominium"/>
    <s v="100 Midland Ave, Ste 210"/>
    <s v="Glenwood Springs"/>
    <s v="CO"/>
    <m/>
    <n v="2004"/>
    <m/>
    <n v="9180"/>
    <s v=" "/>
    <m/>
    <s v=" "/>
    <n v="211690"/>
    <n v="23.0599128540305"/>
    <m/>
    <m/>
    <m/>
    <s v=" "/>
    <s v=" "/>
    <s v="Modified Gross"/>
    <m/>
    <m/>
    <n v="2650000"/>
    <n v="288.6710239651416"/>
    <n v="0.07988301886792452"/>
    <m/>
    <d v="2018-07-13T00:00:00"/>
    <x v="971"/>
    <s v="Newmark; Kauffman"/>
    <x v="673"/>
    <s v="FL"/>
    <s v="Private"/>
    <m/>
    <m/>
    <m/>
    <s v=" "/>
    <s v=" "/>
    <m/>
    <s v=" "/>
    <s v=" "/>
    <s v=" "/>
    <d v="2018-03-05T00:00:00"/>
    <n v="130"/>
  </r>
  <r>
    <m/>
    <s v="DOJ"/>
    <s v="State &amp; Federal"/>
    <s v="Fee Simple"/>
    <s v="106 S Saint Marys St"/>
    <s v="San Antonio"/>
    <s v="TX"/>
    <n v="0.62"/>
    <n v="1981"/>
    <n v="104229"/>
    <n v="165500"/>
    <n v="0.6297824773413897"/>
    <m/>
    <s v=" "/>
    <m/>
    <s v=" "/>
    <m/>
    <m/>
    <m/>
    <s v=" "/>
    <s v=" "/>
    <s v="Full Service"/>
    <s v="2% annually"/>
    <s v="None"/>
    <m/>
    <s v=" "/>
    <s v=" "/>
    <m/>
    <d v="2018-07-13T00:00:00"/>
    <x v="972"/>
    <s v="JLL"/>
    <x v="674"/>
    <s v="CA"/>
    <s v="Institutional"/>
    <m/>
    <m/>
    <m/>
    <s v=" "/>
    <s v=" "/>
    <m/>
    <s v=" "/>
    <s v=" "/>
    <s v=" "/>
    <m/>
    <s v=" "/>
  </r>
  <r>
    <s v="LTN00038"/>
    <s v="ICE"/>
    <s v="Federal"/>
    <s v="Fee Simple"/>
    <s v="324 Prosperity Dr"/>
    <s v="Knoxville"/>
    <s v="TN"/>
    <n v="0.9482"/>
    <n v="2003"/>
    <n v="4853"/>
    <n v="4853"/>
    <n v="1"/>
    <n v="141332"/>
    <n v="29.12260457449"/>
    <m/>
    <s v=" "/>
    <d v="2019-10-24T00:00:00"/>
    <d v="2024-10-23T00:00:00"/>
    <d v="2022-10-24T00:00:00"/>
    <n v="6.287671232876712"/>
    <n v="4.287671232876712"/>
    <s v="Modified Gross"/>
    <s v="None"/>
    <s v="None"/>
    <n v="360000"/>
    <n v="74.1809190191634"/>
    <s v=" "/>
    <m/>
    <d v="2018-07-12T00:00:00"/>
    <x v="8"/>
    <m/>
    <x v="497"/>
    <s v="TN"/>
    <s v="REIT"/>
    <m/>
    <m/>
    <m/>
    <s v=" "/>
    <s v=" "/>
    <m/>
    <s v=" "/>
    <s v=" "/>
    <s v=" "/>
    <m/>
    <s v=" "/>
  </r>
  <r>
    <m/>
    <s v="VA/OPC"/>
    <s v="Federal"/>
    <s v="Fee Simple"/>
    <s v="80 Great Oaks Blvd"/>
    <s v="San Jose"/>
    <s v="CA"/>
    <n v="5.35"/>
    <n v="2018"/>
    <n v="90085"/>
    <n v="90085"/>
    <n v="1"/>
    <n v="5852184"/>
    <n v="64.96291280457346"/>
    <m/>
    <s v=" "/>
    <d v="2018-03-01T00:00:00"/>
    <d v="2038-02-28T00:00:00"/>
    <d v="2038-02-28T00:00:00"/>
    <n v="19.64657534246575"/>
    <n v="19.64657534246575"/>
    <s v="Modified Gross"/>
    <s v="None"/>
    <s v="None"/>
    <n v="70000000"/>
    <n v="777.0439029805184"/>
    <s v=" "/>
    <m/>
    <d v="2018-07-12T00:00:00"/>
    <x v="44"/>
    <s v="Direct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24 Bank St"/>
    <s v="Tunnelton"/>
    <s v="WV"/>
    <n v="0.26"/>
    <n v="1962"/>
    <n v="1588"/>
    <n v="1588"/>
    <n v="1"/>
    <n v="17500"/>
    <n v="11.02015113350126"/>
    <n v="13130"/>
    <n v="8.268261964735517"/>
    <d v="2015-01-01T00:00:00"/>
    <d v="2024-12-31T00:00:00"/>
    <d v="2024-12-31T00:00:00"/>
    <n v="6.482191780821918"/>
    <n v="6.482191780821918"/>
    <s v="Rider"/>
    <s v="None"/>
    <s v="None"/>
    <n v="113500"/>
    <n v="71.4735516372796"/>
    <n v="0.1156828193832599"/>
    <m/>
    <d v="2018-07-10T00:00:00"/>
    <x v="8"/>
    <s v="Poelstra Properties"/>
    <x v="0"/>
    <m/>
    <s v="Private"/>
    <m/>
    <m/>
    <m/>
    <s v=" "/>
    <s v=" "/>
    <m/>
    <s v=" "/>
    <s v=" "/>
    <s v=" "/>
    <m/>
    <s v=" "/>
  </r>
  <r>
    <s v="LCO14675"/>
    <s v="Army/FWS/USGS"/>
    <s v="Federal"/>
    <s v="Fee Simple"/>
    <s v="445 W Gunnison Ave"/>
    <s v="Grand Junction"/>
    <s v="CO"/>
    <n v="4.34"/>
    <n v="1978"/>
    <n v="44747"/>
    <n v="44747"/>
    <n v="1"/>
    <n v="1119850.23"/>
    <n v="25.02626388361231"/>
    <n v="879120.0000000001"/>
    <n v="19.64645674570362"/>
    <d v="2014-01-01T00:00:00"/>
    <d v="2028-12-31T00:00:00"/>
    <d v="2024-01-01T00:00:00"/>
    <n v="10.48767123287671"/>
    <n v="5.484931506849315"/>
    <s v="Modified Gross"/>
    <s v="None"/>
    <s v="None"/>
    <n v="13200000"/>
    <n v="294.9918430285829"/>
    <n v="0.06660000000000001"/>
    <m/>
    <d v="2018-07-09T00:00:00"/>
    <x v="540"/>
    <s v="Colliers; Kennedy"/>
    <x v="1"/>
    <s v="IL"/>
    <s v="Private"/>
    <m/>
    <m/>
    <m/>
    <s v=" "/>
    <s v=" "/>
    <m/>
    <s v=" "/>
    <s v=" "/>
    <s v=" "/>
    <d v="2018-04-19T00:00:00"/>
    <n v="81"/>
  </r>
  <r>
    <m/>
    <s v="USPS"/>
    <s v="Federal"/>
    <s v="Fee Simple"/>
    <s v="205 Main St"/>
    <s v="Odell"/>
    <s v="NE"/>
    <n v="0.16"/>
    <n v="1946"/>
    <n v="960"/>
    <n v="960"/>
    <n v="1"/>
    <n v="5930"/>
    <n v="6.177083333333333"/>
    <n v="4334"/>
    <n v="4.514583333333333"/>
    <d v="2016-10-15T00:00:00"/>
    <d v="2021-10-14T00:00:00"/>
    <d v="2021-10-14T00:00:00"/>
    <n v="3.268493150684932"/>
    <n v="3.268493150684932"/>
    <s v="Rider"/>
    <s v="None"/>
    <s v="None"/>
    <n v="45000"/>
    <n v="46.875"/>
    <n v="0.09631111111111111"/>
    <m/>
    <d v="2018-07-09T00:00:00"/>
    <x v="8"/>
    <s v="Thomas Coe"/>
    <x v="0"/>
    <m/>
    <s v="Private"/>
    <m/>
    <m/>
    <n v="49500"/>
    <n v="0.08755555555555555"/>
    <n v="0.9090909090909091"/>
    <n v="49500"/>
    <n v="0.08755555555555555"/>
    <n v="0.008755555555555558"/>
    <s v="No"/>
    <d v="2018-03-21T00:00:00"/>
    <n v="110"/>
  </r>
  <r>
    <m/>
    <s v="Multi"/>
    <s v="State"/>
    <s v="Fee Simple"/>
    <s v="1949 &amp; 2121 S State St"/>
    <s v="Tacoma"/>
    <s v="WA"/>
    <n v="12.2"/>
    <n v="1986"/>
    <n v="207236"/>
    <n v="239537"/>
    <n v="0.8651523564209287"/>
    <n v="5167174"/>
    <n v="24.93376633403463"/>
    <n v="2603153"/>
    <n v="10.86743592847869"/>
    <d v="2018-11-01T00:00:00"/>
    <d v="2028-10-31T00:00:00"/>
    <d v="2018-11-01T00:00:00"/>
    <n v="10.32054794520548"/>
    <n v="0.3150684931506849"/>
    <s v="Full Service"/>
    <s v="Yes, annually"/>
    <s v="1, 5 year"/>
    <n v="34500000"/>
    <n v="144.0278537344961"/>
    <n v="0.07545371014492754"/>
    <m/>
    <d v="2018-07-09T00:00:00"/>
    <x v="973"/>
    <s v="NW; Tom Brown"/>
    <x v="675"/>
    <s v="UT"/>
    <s v="Private"/>
    <m/>
    <m/>
    <m/>
    <s v=" "/>
    <s v=" "/>
    <m/>
    <s v=" "/>
    <s v=" "/>
    <s v=" "/>
    <m/>
    <s v=" "/>
  </r>
  <r>
    <m/>
    <s v="USPS"/>
    <s v="Federal"/>
    <s v="Fee Simple"/>
    <s v="218 Laurel Ln"/>
    <s v="Chester"/>
    <s v="CA"/>
    <n v="0.53"/>
    <n v="1969"/>
    <n v="4083"/>
    <n v="4083"/>
    <n v="1"/>
    <n v="42623"/>
    <n v="10.43913788880725"/>
    <n v="32155"/>
    <n v="7.875336762184668"/>
    <d v="2019-05-01T00:00:00"/>
    <d v="2024-04-30T00:00:00"/>
    <d v="2024-04-30T00:00:00"/>
    <n v="5.83013698630137"/>
    <n v="5.83013698630137"/>
    <s v="Rider"/>
    <s v="None"/>
    <s v="None"/>
    <n v="505000"/>
    <n v="123.6835660053882"/>
    <n v="0.06367326732673267"/>
    <m/>
    <d v="2018-07-03T00:00:00"/>
    <x v="8"/>
    <s v="TCP; Harrison"/>
    <x v="0"/>
    <m/>
    <s v="Private"/>
    <m/>
    <m/>
    <n v="520000"/>
    <n v="0.06183653846153846"/>
    <n v="0.9711538461538461"/>
    <n v="520000"/>
    <n v="0.06183653846153846"/>
    <n v="0.001836728865194211"/>
    <s v="No"/>
    <d v="2018-05-16T00:00:00"/>
    <n v="48"/>
  </r>
  <r>
    <m/>
    <s v="DHS/PSS"/>
    <s v="State"/>
    <s v="Fee Simple"/>
    <s v="2110-2120 Washington Blvd"/>
    <s v="Arlington"/>
    <s v="VA"/>
    <n v="5.83"/>
    <n v="1987"/>
    <n v="361830.7"/>
    <n v="369215"/>
    <n v="0.98"/>
    <m/>
    <s v=" "/>
    <n v="9880000"/>
    <n v="26.75947618596211"/>
    <d v="2013-01-01T00:00:00"/>
    <d v="2032-12-31T00:00:00"/>
    <d v="2032-12-31T00:00:00"/>
    <n v="14.51506849315068"/>
    <n v="14.51506849315068"/>
    <s v="NNN"/>
    <s v="2% annually"/>
    <s v="None"/>
    <n v="151531000"/>
    <n v="410.4139864306705"/>
    <n v="0.06520117995657654"/>
    <m/>
    <d v="2018-06-30T00:00:00"/>
    <x v="974"/>
    <m/>
    <x v="676"/>
    <s v="DC"/>
    <s v="Private"/>
    <m/>
    <m/>
    <m/>
    <s v=" "/>
    <s v=" "/>
    <m/>
    <s v=" "/>
    <s v=" "/>
    <s v=" "/>
    <m/>
    <s v=" "/>
  </r>
  <r>
    <m/>
    <s v="Jobs Center"/>
    <s v="State"/>
    <s v="Fee Simple"/>
    <s v="221 W Madison St"/>
    <s v="Eau Claire"/>
    <s v="WI"/>
    <n v="2.3"/>
    <n v="1999"/>
    <n v="28339"/>
    <n v="28339"/>
    <n v="1"/>
    <m/>
    <s v=" "/>
    <m/>
    <s v=" "/>
    <m/>
    <m/>
    <m/>
    <s v=" "/>
    <s v=" "/>
    <m/>
    <m/>
    <m/>
    <n v="5500000"/>
    <n v="194.078831292565"/>
    <s v=" "/>
    <n v="0.1764705882352941"/>
    <d v="2018-06-29T00:00:00"/>
    <x v="975"/>
    <s v="Direct"/>
    <x v="677"/>
    <s v="WI"/>
    <s v="Private"/>
    <m/>
    <m/>
    <m/>
    <s v=" "/>
    <s v=" "/>
    <m/>
    <s v=" "/>
    <s v=" "/>
    <s v=" "/>
    <m/>
    <s v=" "/>
  </r>
  <r>
    <m/>
    <s v="FS"/>
    <s v="Federal"/>
    <s v="Fee Simple"/>
    <s v="11263 N State Hwy 3"/>
    <s v="Fort Jones"/>
    <s v="CA"/>
    <n v="2.6"/>
    <n v="1981"/>
    <n v="12825"/>
    <n v="12825"/>
    <n v="1"/>
    <n v="327935.25"/>
    <n v="25.57"/>
    <n v="265524"/>
    <n v="20.70362573099415"/>
    <d v="2010-01-01T00:00:00"/>
    <d v="2025-01-01T00:00:00"/>
    <d v="2020-01-01T00:00:00"/>
    <n v="6.515068493150685"/>
    <n v="1.50958904109589"/>
    <s v="Modified Gross"/>
    <s v="None"/>
    <s v="None"/>
    <n v="3200000"/>
    <n v="249.5126705653021"/>
    <n v="0.08297625"/>
    <m/>
    <d v="2018-06-29T00:00:00"/>
    <x v="976"/>
    <s v="C&amp;W; Travis Trautvetter"/>
    <x v="678"/>
    <s v="CA"/>
    <s v="Private"/>
    <m/>
    <m/>
    <n v="3319050"/>
    <n v="0.08"/>
    <n v="0.9641313026317772"/>
    <n v="3319050"/>
    <n v="0.08"/>
    <n v="0.00297625"/>
    <s v="No"/>
    <d v="2017-11-02T00:00:00"/>
    <n v="239"/>
  </r>
  <r>
    <m/>
    <s v="USPS"/>
    <s v="Federal"/>
    <s v="Fee Simple"/>
    <s v="107 W Ore St"/>
    <s v="Loganville"/>
    <s v="PA"/>
    <n v="0.17"/>
    <n v="1960"/>
    <n v="1144"/>
    <n v="1144"/>
    <n v="1"/>
    <n v="9900"/>
    <n v="8.653846153846153"/>
    <n v="6188"/>
    <n v="5.409090909090909"/>
    <d v="2015-11-01T00:00:00"/>
    <d v="2020-10-31T00:00:00"/>
    <d v="2020-10-31T00:00:00"/>
    <n v="2.342465753424658"/>
    <n v="2.342465753424658"/>
    <s v="Rider"/>
    <s v="Option"/>
    <s v="1, 5 year"/>
    <n v="99900"/>
    <n v="87.32517482517483"/>
    <n v="0.06194194194194194"/>
    <m/>
    <d v="2018-06-29T00:00:00"/>
    <x v="977"/>
    <s v="Wiga"/>
    <x v="0"/>
    <m/>
    <s v="Private"/>
    <m/>
    <m/>
    <n v="99900"/>
    <n v="0.06194194194194194"/>
    <n v="1"/>
    <n v="99900"/>
    <n v="0.06194194194194194"/>
    <n v="0"/>
    <s v="No"/>
    <d v="2017-12-06T00:00:00"/>
    <n v="205"/>
  </r>
  <r>
    <s v="LGA62678"/>
    <s v="DOJ"/>
    <s v="Federal"/>
    <s v="Fee Simple"/>
    <s v="433 Walnut St"/>
    <s v="Macon"/>
    <s v="GA"/>
    <n v="0.55"/>
    <n v="1955"/>
    <n v="10260"/>
    <n v="10260"/>
    <n v="1"/>
    <n v="154809.55"/>
    <n v="15.08865009746589"/>
    <n v="99000"/>
    <n v="9.649122807017545"/>
    <d v="2014-06-01T00:00:00"/>
    <d v="2029-05-31T00:00:00"/>
    <d v="2024-05-31T00:00:00"/>
    <n v="10.92876712328767"/>
    <n v="5.926027397260274"/>
    <m/>
    <m/>
    <m/>
    <n v="1100000"/>
    <n v="107.2124756335283"/>
    <n v="0.09"/>
    <m/>
    <d v="2018-06-29T00:00:00"/>
    <x v="978"/>
    <s v="Fickling"/>
    <x v="679"/>
    <s v="GA"/>
    <s v="Private"/>
    <m/>
    <m/>
    <m/>
    <s v=" "/>
    <s v=" "/>
    <m/>
    <s v=" "/>
    <s v=" "/>
    <s v=" "/>
    <m/>
    <s v=" "/>
  </r>
  <r>
    <s v="LOR05979"/>
    <s v="FS"/>
    <s v="Federal"/>
    <s v="Fee Simple"/>
    <s v="16400 Champion Way"/>
    <s v="Sandy"/>
    <s v="OR"/>
    <n v="6.88"/>
    <n v="1997"/>
    <n v="45943"/>
    <n v="45943"/>
    <n v="1"/>
    <m/>
    <s v=" "/>
    <m/>
    <s v=" "/>
    <d v="1997-01-24T00:00:00"/>
    <d v="2019-10-31T00:00:00"/>
    <d v="2012-01-23T00:00:00"/>
    <n v="1.33972602739726"/>
    <n v="-6.435616438356164"/>
    <s v="Modified Gross"/>
    <s v="None"/>
    <s v="None"/>
    <n v="4300000"/>
    <n v="93.5942363363298"/>
    <s v=" "/>
    <m/>
    <d v="2018-06-29T00:00:00"/>
    <x v="979"/>
    <s v="Realty Marketing"/>
    <x v="680"/>
    <s v="OR"/>
    <s v="Private"/>
    <m/>
    <m/>
    <n v="5300000"/>
    <s v=" "/>
    <n v="0.8113207547169812"/>
    <n v="4300000"/>
    <s v=" "/>
    <s v=" "/>
    <s v="Yes"/>
    <d v="2018-04-04T00:00:00"/>
    <n v="86"/>
  </r>
  <r>
    <m/>
    <s v="DMV"/>
    <s v="State"/>
    <s v="Fee Simple"/>
    <s v="2785 Auto Plaza Dr"/>
    <s v="Tracy"/>
    <s v="CA"/>
    <n v="2.25"/>
    <n v="2007"/>
    <m/>
    <n v="10360"/>
    <s v=" "/>
    <n v="514080"/>
    <s v=" "/>
    <n v="438867"/>
    <n v="42.36167953667954"/>
    <m/>
    <d v="2020-12-31T00:00:00"/>
    <m/>
    <n v="2.50958904109589"/>
    <s v=" "/>
    <m/>
    <m/>
    <m/>
    <n v="7100000"/>
    <n v="685.3281853281853"/>
    <n v="0.06181225352112676"/>
    <m/>
    <d v="2018-06-29T00:00:00"/>
    <x v="980"/>
    <s v="Mohan Law; Mohan"/>
    <x v="681"/>
    <m/>
    <s v="Private"/>
    <m/>
    <m/>
    <m/>
    <s v=" "/>
    <s v=" "/>
    <m/>
    <s v=" "/>
    <s v=" "/>
    <s v=" "/>
    <m/>
    <s v=" "/>
  </r>
  <r>
    <m/>
    <s v="CDC/FEMA"/>
    <s v="Federal"/>
    <s v="Fee Simple"/>
    <s v="Portfolio of Four"/>
    <s v="Atlanta"/>
    <s v="GA"/>
    <n v="19.46"/>
    <m/>
    <n v="378931"/>
    <n v="378931"/>
    <n v="1"/>
    <m/>
    <s v=" "/>
    <n v="7610500"/>
    <n v="20.08413141178737"/>
    <m/>
    <m/>
    <m/>
    <s v=" "/>
    <s v=" "/>
    <m/>
    <m/>
    <m/>
    <n v="98200000"/>
    <n v="259.1500827327403"/>
    <n v="0.0775"/>
    <m/>
    <d v="2018-06-28T00:00:00"/>
    <x v="981"/>
    <s v="JLL; Saal"/>
    <x v="1"/>
    <s v="IL"/>
    <s v="Private"/>
    <m/>
    <m/>
    <m/>
    <s v=" "/>
    <s v=" "/>
    <m/>
    <s v=" "/>
    <s v=" "/>
    <s v=" "/>
    <m/>
    <s v=" "/>
  </r>
  <r>
    <m/>
    <s v="SSA"/>
    <s v="Federal"/>
    <s v="Fee Simple"/>
    <s v="17925 SE Division St"/>
    <s v="Gresham"/>
    <s v="OR"/>
    <n v="1.68"/>
    <n v="2001"/>
    <n v="12885"/>
    <n v="12885"/>
    <n v="1"/>
    <n v="489498.51"/>
    <n v="37.98979511059371"/>
    <m/>
    <s v=" "/>
    <d v="2011-05-16T00:00:00"/>
    <d v="2026-05-15T00:00:00"/>
    <d v="2021-05-16T00:00:00"/>
    <n v="7.884931506849315"/>
    <n v="2.884931506849315"/>
    <m/>
    <m/>
    <m/>
    <n v="5100000"/>
    <n v="395.8090803259604"/>
    <s v=" "/>
    <m/>
    <d v="2018-06-28T00:00:00"/>
    <x v="982"/>
    <s v="Colliers"/>
    <x v="1"/>
    <s v="IL"/>
    <s v="Private"/>
    <m/>
    <m/>
    <m/>
    <s v=" "/>
    <s v=" "/>
    <m/>
    <s v=" "/>
    <s v=" "/>
    <s v=" "/>
    <m/>
    <s v=" "/>
  </r>
  <r>
    <m/>
    <s v="CBP"/>
    <s v="Federal"/>
    <s v="Fee Simple"/>
    <s v="10426 Alta Dr"/>
    <s v="Jacksonville"/>
    <s v="FL"/>
    <n v="5.57"/>
    <n v="2016"/>
    <n v="50671"/>
    <n v="50671"/>
    <n v="1"/>
    <n v="1395000"/>
    <n v="27.53054015117128"/>
    <m/>
    <s v=" "/>
    <d v="2016-02-22T00:00:00"/>
    <d v="2031-02-21T00:00:00"/>
    <d v="2031-02-21T00:00:00"/>
    <n v="12.66027397260274"/>
    <n v="12.66027397260274"/>
    <m/>
    <m/>
    <m/>
    <m/>
    <s v=" "/>
    <s v=" "/>
    <m/>
    <d v="2018-06-28T00:00:00"/>
    <x v="983"/>
    <s v="Direct"/>
    <x v="1"/>
    <s v="IL"/>
    <s v="Private"/>
    <m/>
    <m/>
    <m/>
    <s v=" "/>
    <s v=" "/>
    <m/>
    <s v=" "/>
    <s v=" "/>
    <s v=" "/>
    <m/>
    <s v=" "/>
  </r>
  <r>
    <m/>
    <s v="Multi"/>
    <s v="Federal"/>
    <s v="Fee Simple"/>
    <s v="Portfolio of Four"/>
    <m/>
    <m/>
    <n v="4.29"/>
    <m/>
    <n v="66145"/>
    <n v="66145"/>
    <n v="1"/>
    <m/>
    <s v=" "/>
    <n v="1044890"/>
    <n v="15.7969612215587"/>
    <m/>
    <m/>
    <m/>
    <s v=" "/>
    <s v=" "/>
    <m/>
    <m/>
    <m/>
    <n v="12650000"/>
    <n v="191.2465038929624"/>
    <n v="0.08260000000000001"/>
    <m/>
    <d v="2018-06-28T00:00:00"/>
    <x v="982"/>
    <s v="Colliers; Cottle &amp; Kennedy"/>
    <x v="1"/>
    <s v="IL"/>
    <s v="Private"/>
    <m/>
    <s v="Curtis"/>
    <m/>
    <s v=" "/>
    <s v=" "/>
    <m/>
    <s v=" "/>
    <s v=" "/>
    <s v=" "/>
    <m/>
    <s v=" "/>
  </r>
  <r>
    <m/>
    <s v="CBP"/>
    <s v="Federal"/>
    <s v="Leasehold"/>
    <s v="8001 Lockheed Dr"/>
    <s v="El Paso"/>
    <s v="TX"/>
    <n v="1.75"/>
    <n v="1973"/>
    <n v="11980"/>
    <n v="11980"/>
    <n v="1"/>
    <m/>
    <s v=" "/>
    <n v="156915"/>
    <n v="13.09808013355593"/>
    <m/>
    <d v="2028-02-01T00:00:00"/>
    <d v="2023-02-01T00:00:00"/>
    <n v="9.608219178082193"/>
    <n v="4.605479452054794"/>
    <m/>
    <m/>
    <m/>
    <n v="1650000"/>
    <n v="137.7295492487479"/>
    <n v="0.0951"/>
    <m/>
    <d v="2018-06-26T00:00:00"/>
    <x v="984"/>
    <s v="M&amp;M; Ficke"/>
    <x v="62"/>
    <s v="IL"/>
    <s v="Private"/>
    <m/>
    <m/>
    <m/>
    <s v=" "/>
    <s v=" "/>
    <m/>
    <s v=" "/>
    <s v=" "/>
    <s v=" "/>
    <m/>
    <s v=" "/>
  </r>
  <r>
    <m/>
    <s v="Multi"/>
    <s v="Federal"/>
    <s v="Fee Simple"/>
    <s v="810 Boradway"/>
    <s v="Nashville"/>
    <s v="TN"/>
    <n v="0.5"/>
    <n v="1904"/>
    <n v="30000"/>
    <n v="86000"/>
    <n v="0.3488372093023256"/>
    <m/>
    <s v=" "/>
    <m/>
    <s v=" "/>
    <m/>
    <m/>
    <m/>
    <s v=" "/>
    <s v=" "/>
    <m/>
    <m/>
    <m/>
    <n v="11360000"/>
    <n v="132.093023255814"/>
    <s v=" "/>
    <m/>
    <d v="2018-06-26T00:00:00"/>
    <x v="985"/>
    <m/>
    <x v="682"/>
    <s v="PA"/>
    <s v="Private"/>
    <m/>
    <m/>
    <m/>
    <s v=" "/>
    <s v=" "/>
    <m/>
    <s v=" "/>
    <s v=" "/>
    <s v=" "/>
    <m/>
    <s v=" "/>
  </r>
  <r>
    <s v="LAZ03183"/>
    <s v="SSA"/>
    <s v="Federal"/>
    <s v="Fee Simple"/>
    <s v="205 N Marina"/>
    <s v="Prescott"/>
    <s v="AZ"/>
    <n v="0.52"/>
    <n v="1985"/>
    <n v="9175"/>
    <n v="11270"/>
    <n v="0.8141082519964508"/>
    <n v="231303.91"/>
    <n v="25.21023542234332"/>
    <n v="194940"/>
    <n v="17.29724933451642"/>
    <d v="2014-11-02T00:00:00"/>
    <d v="2029-11-01T00:00:00"/>
    <d v="2024-11-02T00:00:00"/>
    <n v="11.35890410958904"/>
    <n v="6.358904109589041"/>
    <s v="Modified Gross"/>
    <s v="None"/>
    <s v="None"/>
    <n v="2600000"/>
    <n v="230.700976042591"/>
    <n v="0.07497692307692308"/>
    <m/>
    <d v="2018-06-26T00:00:00"/>
    <x v="986"/>
    <s v="GCRE; Parker"/>
    <x v="683"/>
    <s v="AZ"/>
    <s v="Private"/>
    <m/>
    <m/>
    <m/>
    <s v=" "/>
    <s v=" "/>
    <m/>
    <s v=" "/>
    <s v=" "/>
    <s v=" "/>
    <m/>
    <s v=" "/>
  </r>
  <r>
    <m/>
    <s v="USDA"/>
    <s v="Federal"/>
    <s v="Fee Simple"/>
    <s v="1921 Superior St"/>
    <s v="Webster City"/>
    <s v="IA"/>
    <n v="0.43"/>
    <n v="1979"/>
    <m/>
    <n v="5040"/>
    <s v=" "/>
    <m/>
    <s v=" "/>
    <m/>
    <s v=" "/>
    <m/>
    <d v="2022-06-30T00:00:00"/>
    <m/>
    <n v="4.016438356164383"/>
    <s v=" "/>
    <s v="Gross"/>
    <m/>
    <m/>
    <n v="300000"/>
    <n v="59.52380952380953"/>
    <s v=" "/>
    <m/>
    <d v="2018-06-25T00:00:00"/>
    <x v="8"/>
    <s v="Rick Krause"/>
    <x v="0"/>
    <m/>
    <m/>
    <m/>
    <m/>
    <n v="385000"/>
    <s v=" "/>
    <n v="0.7792207792207793"/>
    <n v="385000"/>
    <s v=" "/>
    <s v=" "/>
    <s v="No"/>
    <d v="2018-04-16T00:00:00"/>
    <n v="70"/>
  </r>
  <r>
    <s v="LMO89060"/>
    <s v="NPS"/>
    <s v="Federal"/>
    <s v="Fee Simple"/>
    <s v="404 Watercress Dr"/>
    <s v="Van Buren"/>
    <s v="MO"/>
    <n v="8.19"/>
    <n v="1998"/>
    <n v="16000"/>
    <n v="16000"/>
    <n v="1"/>
    <n v="304550.1"/>
    <n v="19.03438125"/>
    <n v="177480"/>
    <n v="11.0925"/>
    <d v="1999-12-15T00:00:00"/>
    <d v="2019-12-21T00:00:00"/>
    <d v="2019-12-21T00:00:00"/>
    <n v="1.498630136986301"/>
    <n v="1.498630136986301"/>
    <s v="Modified Gross"/>
    <s v="None"/>
    <s v="None"/>
    <n v="1972000"/>
    <n v="123.25"/>
    <n v="0.09"/>
    <m/>
    <d v="2018-06-22T00:00:00"/>
    <x v="8"/>
    <s v="M&amp;M; Ficke"/>
    <x v="62"/>
    <s v="IL"/>
    <s v="Private"/>
    <m/>
    <m/>
    <m/>
    <s v=" "/>
    <s v=" "/>
    <m/>
    <s v=" "/>
    <s v=" "/>
    <s v=" "/>
    <d v="2018-01-15T00:00:00"/>
    <n v="158"/>
  </r>
  <r>
    <s v="LDC02295"/>
    <s v="Multi"/>
    <s v="Federal &amp; Intergovernmental"/>
    <s v="Leasehold"/>
    <s v="1750 Pennsylvania Ave NW"/>
    <s v="Washington"/>
    <s v="DC"/>
    <n v="0.62"/>
    <n v="1964"/>
    <n v="121314"/>
    <n v="281560"/>
    <n v="0.4308637590566842"/>
    <m/>
    <s v=" "/>
    <n v="8628692"/>
    <n v="30.64601505895724"/>
    <d v="2012-02-01T00:00:00"/>
    <d v="2022-01-31T00:00:00"/>
    <d v="2022-01-31T00:00:00"/>
    <n v="3.613698630136986"/>
    <n v="3.613698630136986"/>
    <s v="Modified Gross"/>
    <s v="Yes"/>
    <s v="None"/>
    <n v="182000000"/>
    <n v="646.3986361699104"/>
    <n v="0.0474103956043956"/>
    <m/>
    <d v="2018-06-22T00:00:00"/>
    <x v="987"/>
    <m/>
    <x v="684"/>
    <m/>
    <s v="Cross-Border"/>
    <m/>
    <m/>
    <m/>
    <s v=" "/>
    <s v=" "/>
    <m/>
    <s v=" "/>
    <s v=" "/>
    <s v=" "/>
    <m/>
    <s v=" "/>
  </r>
  <r>
    <s v="LVA02364"/>
    <s v="SSA"/>
    <s v="Federal"/>
    <s v="Fee Simple"/>
    <s v="13551 Waterford Pl"/>
    <s v="Midlothian"/>
    <s v="VA"/>
    <m/>
    <n v="2005"/>
    <n v="10141"/>
    <n v="10141"/>
    <n v="1"/>
    <n v="196395.17"/>
    <n v="19.36645005423528"/>
    <n v="145000"/>
    <n v="14.29839266344542"/>
    <d v="2005-11-01T00:00:00"/>
    <d v="2017-10-31T00:00:00"/>
    <d v="2017-10-31T00:00:00"/>
    <n v="-0.6383561643835617"/>
    <n v="-0.6383561643835617"/>
    <m/>
    <m/>
    <m/>
    <n v="1200000"/>
    <n v="118.3315254905828"/>
    <n v="0.1208333333333333"/>
    <m/>
    <d v="2018-06-21T00:00:00"/>
    <x v="988"/>
    <s v="Mark Spector"/>
    <x v="685"/>
    <s v="VA"/>
    <s v="Private"/>
    <m/>
    <m/>
    <n v="1300000"/>
    <n v="0.1115384615384615"/>
    <n v="0.9230769230769231"/>
    <n v="1300000"/>
    <n v="0.1115384615384615"/>
    <n v="0.00929487179487179"/>
    <s v="No"/>
    <d v="2018-01-19T00:00:00"/>
    <n v="153"/>
  </r>
  <r>
    <s v="LTX16321"/>
    <s v="DOJ"/>
    <s v="Federal"/>
    <s v="Fee Simple"/>
    <s v="2501 Avenue J"/>
    <s v="Arlington"/>
    <s v="TX"/>
    <n v="2.4"/>
    <n v="1980"/>
    <n v="12174"/>
    <n v="29600"/>
    <n v="0.4112837837837838"/>
    <n v="190547.1"/>
    <n v="15.6519714144899"/>
    <n v="292000"/>
    <n v="9.864864864864865"/>
    <d v="2007-06-15T00:00:00"/>
    <d v="2017-06-14T00:00:00"/>
    <d v="2014-06-14T00:00:00"/>
    <n v="-1.016438356164383"/>
    <n v="-4.019178082191781"/>
    <m/>
    <m/>
    <m/>
    <n v="2950000"/>
    <n v="99.66216216216216"/>
    <n v="0.09898305084745762"/>
    <m/>
    <d v="2018-06-20T00:00:00"/>
    <x v="989"/>
    <s v="M&amp;M; Payne"/>
    <x v="0"/>
    <m/>
    <m/>
    <m/>
    <m/>
    <n v="3650000"/>
    <n v="0.08"/>
    <n v="0.8082191780821918"/>
    <n v="3650000"/>
    <n v="0.08"/>
    <n v="0.01898305084745762"/>
    <s v="No"/>
    <m/>
    <s v=" "/>
  </r>
  <r>
    <m/>
    <s v="Army"/>
    <s v="Federal"/>
    <s v="Fee Simple"/>
    <s v="6039 S Rio Grande Ave"/>
    <s v="Orlando"/>
    <s v="FL"/>
    <n v="4.58"/>
    <s v="1973 | 2017"/>
    <m/>
    <n v="75197"/>
    <s v=" "/>
    <m/>
    <s v=" "/>
    <m/>
    <s v=" "/>
    <m/>
    <d v="2022-05-31T00:00:00"/>
    <m/>
    <n v="3.947945205479452"/>
    <s v=" "/>
    <m/>
    <m/>
    <m/>
    <n v="3915000"/>
    <n v="52.0632472040108"/>
    <s v=" "/>
    <m/>
    <d v="2018-06-20T00:00:00"/>
    <x v="8"/>
    <s v="Robbie McEwan"/>
    <x v="0"/>
    <m/>
    <m/>
    <m/>
    <m/>
    <n v="6250000"/>
    <s v=" "/>
    <n v="0.6264"/>
    <n v="6250000"/>
    <s v=" "/>
    <s v=" "/>
    <s v="No"/>
    <d v="2017-10-09T00:00:00"/>
    <n v="254"/>
  </r>
  <r>
    <m/>
    <s v="USDA"/>
    <s v="Federal"/>
    <s v="Leasehold"/>
    <s v="920 Main Campus  Dr"/>
    <s v="Raleigh"/>
    <s v="NC"/>
    <n v="32.97"/>
    <n v="1999"/>
    <n v="90650"/>
    <n v="466564"/>
    <n v="0.1942927444037688"/>
    <n v="3399407"/>
    <n v="37.50035300606729"/>
    <m/>
    <s v=" "/>
    <d v="1999-05-01T00:00:00"/>
    <d v="2021-04-30T00:00:00"/>
    <d v="2021-04-30T00:00:00"/>
    <n v="2.863013698630137"/>
    <n v="2.863013698630137"/>
    <s v="Modified Gross"/>
    <s v="None"/>
    <s v="None"/>
    <n v="172100000"/>
    <n v="368.8668649960134"/>
    <s v=" "/>
    <m/>
    <d v="2018-06-20T00:00:00"/>
    <x v="990"/>
    <s v="JLL"/>
    <x v="686"/>
    <s v="FL"/>
    <s v="Institutional"/>
    <m/>
    <m/>
    <m/>
    <s v=" "/>
    <s v=" "/>
    <m/>
    <s v=" "/>
    <s v=" "/>
    <s v=" "/>
    <m/>
    <s v=" "/>
  </r>
  <r>
    <s v="LMA05021"/>
    <s v="SSA"/>
    <s v="Federal"/>
    <s v="Fee Simple"/>
    <s v="70 Airport Rd"/>
    <s v="Hyannis"/>
    <s v="MA"/>
    <n v="3.05"/>
    <n v="1995"/>
    <n v="6500"/>
    <n v="35039"/>
    <n v="0.1855075772710408"/>
    <n v="199209.12"/>
    <n v="30.64755692307692"/>
    <m/>
    <s v=" "/>
    <d v="2017-11-20T00:00:00"/>
    <d v="2027-11-19T00:00:00"/>
    <d v="2024-11-19T00:00:00"/>
    <n v="9.424657534246576"/>
    <n v="6.424657534246576"/>
    <m/>
    <m/>
    <m/>
    <m/>
    <s v=" "/>
    <s v=" "/>
    <m/>
    <d v="2018-06-19T00:00:00"/>
    <x v="8"/>
    <m/>
    <x v="687"/>
    <s v="MA"/>
    <s v="Private"/>
    <m/>
    <m/>
    <m/>
    <s v=" "/>
    <s v=" "/>
    <m/>
    <s v=" "/>
    <s v=" "/>
    <s v=" "/>
    <m/>
    <s v=" "/>
  </r>
  <r>
    <m/>
    <s v="DHS"/>
    <s v="State"/>
    <s v="Fee Simple"/>
    <s v="130 E Spring St"/>
    <s v="Mount Vernon"/>
    <s v="GA"/>
    <n v="0.63"/>
    <n v="1980"/>
    <n v="3490"/>
    <n v="3490"/>
    <n v="1"/>
    <n v="27577"/>
    <n v="7.901719197707736"/>
    <m/>
    <s v=" "/>
    <m/>
    <d v="2019-06-30T00:00:00"/>
    <d v="2019-06-30T00:00:00"/>
    <n v="1.03013698630137"/>
    <n v="1.03013698630137"/>
    <s v="FS"/>
    <m/>
    <m/>
    <n v="179900"/>
    <n v="51.54727793696275"/>
    <s v=" "/>
    <m/>
    <d v="2018-06-19T00:00:00"/>
    <x v="8"/>
    <s v="Dent Temples"/>
    <x v="0"/>
    <m/>
    <m/>
    <m/>
    <m/>
    <n v="189000"/>
    <s v=" "/>
    <n v="0.9518518518518518"/>
    <n v="189000"/>
    <s v=" "/>
    <s v=" "/>
    <s v="No"/>
    <d v="2012-06-10T00:00:00"/>
    <n v="2200"/>
  </r>
  <r>
    <m/>
    <m/>
    <s v="Federal"/>
    <m/>
    <s v="Portfolio of Fourteen"/>
    <m/>
    <m/>
    <m/>
    <m/>
    <n v="1479762"/>
    <n v="1479762"/>
    <n v="1"/>
    <m/>
    <s v=" "/>
    <n v="27950000"/>
    <n v="18.88817255747884"/>
    <m/>
    <m/>
    <m/>
    <s v=" "/>
    <s v=" "/>
    <m/>
    <m/>
    <m/>
    <n v="430000000"/>
    <n v="290.587270115059"/>
    <n v="0.065"/>
    <m/>
    <d v="2018-06-19T00:00:00"/>
    <x v="991"/>
    <s v="C&amp;W; Trautvetter &amp; Saban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28425 Gibbs Ranch Rd"/>
    <s v="Tollhouse"/>
    <s v="CA"/>
    <n v="1.18"/>
    <m/>
    <n v="2481"/>
    <n v="2481"/>
    <n v="1"/>
    <n v="49323"/>
    <n v="19.88029020556227"/>
    <n v="49323"/>
    <n v="19.88029020556227"/>
    <d v="2016-07-01T00:00:00"/>
    <d v="2031-06-30T00:00:00"/>
    <d v="2031-06-30T00:00:00"/>
    <n v="13.04109589041096"/>
    <n v="13.04109589041096"/>
    <s v="Rider"/>
    <s v="None"/>
    <s v="None"/>
    <n v="650000"/>
    <n v="261.9911326078195"/>
    <n v="0.07588153846153846"/>
    <m/>
    <d v="2018-06-18T00:00:00"/>
    <x v="992"/>
    <s v="TCP; Harrison"/>
    <x v="688"/>
    <s v="TX"/>
    <s v="Private"/>
    <m/>
    <m/>
    <m/>
    <s v=" "/>
    <s v=" "/>
    <m/>
    <s v=" "/>
    <s v=" "/>
    <s v=" "/>
    <d v="2018-03-27T00:00:00"/>
    <n v="83"/>
  </r>
  <r>
    <m/>
    <s v="USPS"/>
    <s v="Federal"/>
    <s v="Fee Simple"/>
    <s v="11035 Golf Links Dr"/>
    <s v="Charlotte"/>
    <s v="NC"/>
    <n v="1.2"/>
    <n v="2000"/>
    <n v="6200"/>
    <n v="6200"/>
    <n v="1"/>
    <m/>
    <s v=" "/>
    <n v="143000"/>
    <n v="23.06451612903226"/>
    <d v="2015-09-04T00:00:00"/>
    <d v="2020-09-05T00:00:00"/>
    <d v="2020-09-05T00:00:00"/>
    <n v="2.227397260273972"/>
    <n v="2.227397260273972"/>
    <s v="Rider"/>
    <s v="Drops"/>
    <s v="4, 5 year"/>
    <n v="2500000"/>
    <n v="403.2258064516129"/>
    <n v="0.0572"/>
    <m/>
    <d v="2018-06-15T00:00:00"/>
    <x v="993"/>
    <s v="Lincoln Harris"/>
    <x v="689"/>
    <s v="NC"/>
    <s v="Private"/>
    <m/>
    <m/>
    <n v="2600000"/>
    <n v="0.055"/>
    <n v="0.9615384615384616"/>
    <n v="2600000"/>
    <n v="0.055"/>
    <n v="0.002200000000000001"/>
    <s v="No"/>
    <d v="2015-12-11T00:00:00"/>
    <n v="917"/>
  </r>
  <r>
    <m/>
    <s v="USPS"/>
    <s v="Federal"/>
    <s v="Fee Simple"/>
    <s v="113 Elm St"/>
    <s v="Farmington"/>
    <s v="MN"/>
    <n v="0.95"/>
    <n v="2002"/>
    <n v="11880"/>
    <n v="11880"/>
    <n v="1"/>
    <n v="148000"/>
    <n v="12.45791245791246"/>
    <m/>
    <s v=" "/>
    <m/>
    <m/>
    <m/>
    <s v=" "/>
    <s v=" "/>
    <m/>
    <m/>
    <m/>
    <n v="1875000"/>
    <n v="157.8282828282828"/>
    <s v=" "/>
    <m/>
    <d v="2018-06-15T00:00:00"/>
    <x v="994"/>
    <m/>
    <x v="690"/>
    <s v="CA"/>
    <s v="Private"/>
    <m/>
    <m/>
    <m/>
    <s v=" "/>
    <s v=" "/>
    <m/>
    <s v=" "/>
    <s v=" "/>
    <s v=" "/>
    <m/>
    <s v=" "/>
  </r>
  <r>
    <m/>
    <s v="USPS"/>
    <s v="Federal"/>
    <s v="Fee Simple"/>
    <s v="231 N Conner Ave"/>
    <s v="Stockton"/>
    <s v="UT"/>
    <n v="0.55"/>
    <n v="2000"/>
    <n v="3670"/>
    <n v="3670"/>
    <n v="1"/>
    <n v="68736"/>
    <n v="18.7291553133515"/>
    <n v="64608"/>
    <n v="17.60435967302452"/>
    <d v="2000-06-29T00:00:00"/>
    <d v="2020-06-28T00:00:00"/>
    <d v="2020-06-28T00:00:00"/>
    <n v="2.038356164383562"/>
    <n v="2.038356164383562"/>
    <s v="Rider"/>
    <s v="Option"/>
    <s v="2, 5 year"/>
    <n v="833600"/>
    <n v="227.1389645776567"/>
    <n v="0.07750479846449136"/>
    <m/>
    <d v="2018-06-15T00:00:00"/>
    <x v="995"/>
    <s v="Thomas Coe"/>
    <x v="691"/>
    <s v="UT"/>
    <s v="Private"/>
    <m/>
    <m/>
    <n v="833600"/>
    <n v="0.07750479846449136"/>
    <n v="1"/>
    <n v="833600"/>
    <n v="0.07750479846449136"/>
    <n v="0"/>
    <s v="No"/>
    <d v="2018-04-17T00:00:00"/>
    <n v="59"/>
  </r>
  <r>
    <m/>
    <s v="Multi"/>
    <s v="State"/>
    <s v="Fee Simple"/>
    <s v="1024-1025 Capital Center Dr"/>
    <s v="Frankfort"/>
    <s v="KY"/>
    <n v="13.57"/>
    <n v="1990"/>
    <n v="178874"/>
    <n v="180374"/>
    <n v="0.9916839455797398"/>
    <n v="1652707"/>
    <n v="9.239503784787058"/>
    <n v="1249602"/>
    <n v="6.927838823777263"/>
    <m/>
    <d v="2022-06-30T00:00:00"/>
    <m/>
    <n v="4.049315068493151"/>
    <s v=" "/>
    <s v="Full Service"/>
    <s v="Yes"/>
    <s v="None"/>
    <n v="13235000"/>
    <n v="73.37532016809519"/>
    <n v="0.09441647147714394"/>
    <m/>
    <d v="2018-06-13T00:00:00"/>
    <x v="996"/>
    <s v="M&amp;M; Danielak"/>
    <x v="692"/>
    <s v="TX"/>
    <s v="Private"/>
    <s v="M&amp;M; Danielak"/>
    <m/>
    <n v="14750000"/>
    <n v="0.08471877966101694"/>
    <n v="0.8972881355932203"/>
    <n v="14750000"/>
    <n v="0.08471877966101694"/>
    <n v="0.009697691816126994"/>
    <s v="No"/>
    <m/>
    <s v=" "/>
  </r>
  <r>
    <m/>
    <s v="Multi"/>
    <s v="Federal"/>
    <s v="Fee Simple"/>
    <s v="Portfolio of 19"/>
    <s v="Lorton"/>
    <s v="VA"/>
    <m/>
    <m/>
    <m/>
    <n v="590601"/>
    <s v=" "/>
    <m/>
    <s v=" "/>
    <n v="7093350"/>
    <n v="12.01039280326312"/>
    <m/>
    <m/>
    <m/>
    <s v=" "/>
    <s v=" "/>
    <m/>
    <m/>
    <m/>
    <n v="143300000"/>
    <n v="242.6341980457195"/>
    <n v="0.0495"/>
    <m/>
    <d v="2018-06-09T00:00:00"/>
    <x v="997"/>
    <m/>
    <x v="693"/>
    <s v="VA"/>
    <s v="Private"/>
    <m/>
    <m/>
    <m/>
    <s v=" "/>
    <s v=" "/>
    <m/>
    <s v=" "/>
    <s v=" "/>
    <s v=" "/>
    <m/>
    <s v=" "/>
  </r>
  <r>
    <m/>
    <s v="USPS"/>
    <s v="Federal"/>
    <s v="Fee Simple"/>
    <s v="116 Lyon Blvd"/>
    <s v="Silt"/>
    <s v="CO"/>
    <n v="1.5"/>
    <n v="1999"/>
    <n v="5876"/>
    <n v="5876"/>
    <n v="1"/>
    <m/>
    <s v=" "/>
    <n v="85000"/>
    <n v="14.46562287270252"/>
    <d v="2015-08-01T00:00:00"/>
    <d v="2025-07-31T00:00:00"/>
    <d v="2025-07-31T00:00:00"/>
    <n v="7.150684931506849"/>
    <n v="7.150684931506849"/>
    <s v="Rider"/>
    <s v="Option"/>
    <s v="1, 5 year"/>
    <n v="1150000"/>
    <n v="195.71136827774"/>
    <n v="0.07391304347826087"/>
    <m/>
    <d v="2018-06-08T00:00:00"/>
    <x v="998"/>
    <s v="TCP; Harrison"/>
    <x v="694"/>
    <s v="TX"/>
    <s v="Private"/>
    <m/>
    <m/>
    <m/>
    <s v=" "/>
    <s v=" "/>
    <m/>
    <s v=" "/>
    <s v=" "/>
    <s v=" "/>
    <m/>
    <s v=" "/>
  </r>
  <r>
    <m/>
    <s v="Loudoun County - Treasurer's Office"/>
    <s v="Municipal"/>
    <s v="Fee Simple"/>
    <s v="21641 Ridgetop Cir"/>
    <s v="Sterling"/>
    <s v="VA"/>
    <n v="4.42"/>
    <n v="2001"/>
    <n v="59727"/>
    <n v="59727"/>
    <n v="1"/>
    <m/>
    <s v=" "/>
    <n v="1026000"/>
    <n v="17.17816063087046"/>
    <m/>
    <d v="2028-02-28T00:00:00"/>
    <m/>
    <n v="9.731506849315069"/>
    <s v=" "/>
    <m/>
    <m/>
    <m/>
    <n v="15200000"/>
    <n v="254.4912686054883"/>
    <n v="0.0675"/>
    <m/>
    <d v="2018-06-08T00:00:00"/>
    <x v="999"/>
    <s v="JLL"/>
    <x v="1"/>
    <s v="IL"/>
    <s v="Private"/>
    <m/>
    <m/>
    <m/>
    <s v=" "/>
    <s v=" "/>
    <m/>
    <s v=" "/>
    <s v=" "/>
    <s v=" "/>
    <m/>
    <s v=" "/>
  </r>
  <r>
    <m/>
    <s v="DIF"/>
    <s v="State"/>
    <s v="Fee Simple"/>
    <s v="5737 N Fresno St"/>
    <s v="Fresno"/>
    <s v="CA"/>
    <n v="0.91"/>
    <n v="1989"/>
    <n v="10066"/>
    <n v="10066"/>
    <n v="1"/>
    <m/>
    <s v=" "/>
    <n v="150000"/>
    <n v="14.90164911583549"/>
    <m/>
    <d v="2025-07-31T00:00:00"/>
    <m/>
    <n v="7.153424657534247"/>
    <s v=" "/>
    <s v="Full Service"/>
    <s v="Annually"/>
    <s v="None"/>
    <n v="2350000"/>
    <n v="233.4591694814226"/>
    <n v="0.06382978723404255"/>
    <m/>
    <d v="2018-06-07T00:00:00"/>
    <x v="1000"/>
    <s v="Gary Aminoff"/>
    <x v="695"/>
    <s v="CA"/>
    <s v="Private"/>
    <m/>
    <m/>
    <n v="2368080"/>
    <n v="0.06334245464680248"/>
    <n v="0.9923651227999054"/>
    <n v="2368080"/>
    <n v="0.06334245464680248"/>
    <n v="0.0004873325872400691"/>
    <s v="No"/>
    <d v="2017-07-27T00:00:00"/>
    <n v="315"/>
  </r>
  <r>
    <s v="LPA70133"/>
    <s v="EPA"/>
    <s v="Federal"/>
    <s v="Fee Simple"/>
    <s v="1650 Arch St"/>
    <s v="Philadelphia"/>
    <s v="PA"/>
    <n v="0.5600000000000001"/>
    <n v="1974"/>
    <n v="307847"/>
    <n v="553349"/>
    <n v="0.5563342483676667"/>
    <m/>
    <s v=" "/>
    <n v="7225000"/>
    <n v="13.05685923350363"/>
    <d v="1998-06-01T00:00:00"/>
    <d v="2018-05-31T00:00:00"/>
    <d v="2008-05-30T00:00:00"/>
    <n v="-0.01917808219178082"/>
    <n v="-10.02739726027397"/>
    <m/>
    <m/>
    <m/>
    <n v="78500000"/>
    <n v="141.8634532636727"/>
    <n v="0.09203821656050955"/>
    <m/>
    <d v="2018-06-07T00:00:00"/>
    <x v="1001"/>
    <s v="CBRE"/>
    <x v="696"/>
    <s v="PA"/>
    <s v="Private"/>
    <m/>
    <m/>
    <m/>
    <s v=" "/>
    <s v=" "/>
    <m/>
    <s v=" "/>
    <s v=" "/>
    <s v=" "/>
    <m/>
    <s v=" "/>
  </r>
  <r>
    <m/>
    <s v="California Moving Systems"/>
    <s v="State"/>
    <s v="Fee Simple"/>
    <s v="3801 S Broadway"/>
    <s v="Sacramento"/>
    <s v="CA"/>
    <n v="4.03"/>
    <s v="1989 | 1996"/>
    <m/>
    <n v="63000"/>
    <s v=" "/>
    <m/>
    <s v=" "/>
    <n v="258930"/>
    <n v="4.11"/>
    <m/>
    <m/>
    <m/>
    <s v=" "/>
    <s v=" "/>
    <m/>
    <m/>
    <m/>
    <n v="4060000"/>
    <n v="64.44444444444444"/>
    <n v="0.06377586206896552"/>
    <m/>
    <d v="2018-06-06T00:00:00"/>
    <x v="8"/>
    <s v="Matt Cologna"/>
    <x v="0"/>
    <m/>
    <m/>
    <m/>
    <m/>
    <m/>
    <s v=" "/>
    <s v=" "/>
    <m/>
    <s v=" "/>
    <s v=" "/>
    <s v=" "/>
    <d v="2018-03-21T00:00:00"/>
    <n v="77"/>
  </r>
  <r>
    <m/>
    <s v="SSA"/>
    <s v="Federal"/>
    <s v="Fee Simple"/>
    <s v="7200-7202 Greenleaf Ave"/>
    <s v="Whittier"/>
    <s v="CA"/>
    <n v="0.96"/>
    <n v="1981"/>
    <n v="10097"/>
    <n v="38919"/>
    <n v="0.2594362650633367"/>
    <m/>
    <s v=" "/>
    <n v="689394"/>
    <n v="17.71355893008556"/>
    <m/>
    <d v="2023-06-30T00:00:00"/>
    <d v="2018-06-30T00:00:00"/>
    <n v="5.068493150684931"/>
    <n v="0.06575342465753424"/>
    <s v="Modified Gross"/>
    <s v="None"/>
    <s v="None"/>
    <n v="8400000"/>
    <n v="215.8328836814923"/>
    <n v="0.08207071428571429"/>
    <m/>
    <d v="2018-06-06T00:00:00"/>
    <x v="1002"/>
    <s v="Newmark; Gott"/>
    <x v="697"/>
    <s v="CA"/>
    <s v="Private"/>
    <s v="DUAM; Hu"/>
    <m/>
    <n v="9230000"/>
    <n v="0.07469057421451787"/>
    <n v="0.9100758396533044"/>
    <n v="9230000"/>
    <n v="0.07469057421451787"/>
    <n v="0.007380140071196417"/>
    <s v="No"/>
    <d v="2017-12-23T00:00:00"/>
    <n v="165"/>
  </r>
  <r>
    <m/>
    <s v="State of Virginia, Department of Social Services"/>
    <s v="State"/>
    <s v="Fee Simple"/>
    <s v="416-420 N Center Dr"/>
    <s v="Norfolk"/>
    <s v="VA"/>
    <m/>
    <m/>
    <n v="66095"/>
    <n v="66095"/>
    <n v="1"/>
    <m/>
    <s v=" "/>
    <n v="1052725"/>
    <n v="15.92745290869203"/>
    <m/>
    <d v="2028-06-30T00:00:00"/>
    <m/>
    <n v="10.07945205479452"/>
    <s v=" "/>
    <m/>
    <s v="2.5% annually"/>
    <m/>
    <n v="10300000"/>
    <n v="155.8362962402602"/>
    <n v="0.1022063106796117"/>
    <m/>
    <d v="2018-06-04T00:00:00"/>
    <x v="1003"/>
    <s v="CBRE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620 NW 16th Ave"/>
    <s v="Gainesville"/>
    <s v="FL"/>
    <n v="1.2"/>
    <n v="1971"/>
    <n v="12366"/>
    <n v="12366"/>
    <n v="1"/>
    <m/>
    <s v=" "/>
    <n v="201000"/>
    <n v="16.25424551188743"/>
    <m/>
    <d v="2022-07-01T00:00:00"/>
    <d v="2017-07-01T00:00:00"/>
    <n v="4.087671232876712"/>
    <n v="-0.9150684931506849"/>
    <m/>
    <m/>
    <m/>
    <n v="1675000"/>
    <n v="135.4520459323953"/>
    <n v="0.12"/>
    <m/>
    <d v="2018-05-31T00:00:00"/>
    <x v="8"/>
    <s v="Robert Caniff"/>
    <x v="0"/>
    <m/>
    <m/>
    <m/>
    <m/>
    <n v="1890000"/>
    <n v="0.1063492063492063"/>
    <n v="0.8862433862433863"/>
    <n v="1890000"/>
    <n v="0.1063492063492063"/>
    <n v="0.01365079365079365"/>
    <s v="No"/>
    <d v="2018-02-24T00:00:00"/>
    <n v="96"/>
  </r>
  <r>
    <m/>
    <s v="Edu."/>
    <s v="State"/>
    <s v="Fee Simple"/>
    <s v="1260 Monterey Pass Rd"/>
    <s v="Monterey Park"/>
    <s v="CA"/>
    <n v="0.6"/>
    <n v="1960"/>
    <n v="12432"/>
    <n v="12432"/>
    <n v="1"/>
    <m/>
    <s v=" "/>
    <n v="122765"/>
    <n v="9.874919562419562"/>
    <m/>
    <d v="2018-09-01T00:00:00"/>
    <m/>
    <n v="0.2547945205479452"/>
    <s v=" "/>
    <m/>
    <m/>
    <m/>
    <n v="2150000"/>
    <n v="172.9407979407979"/>
    <n v="0.0571"/>
    <m/>
    <d v="2018-05-31T00:00:00"/>
    <x v="1004"/>
    <s v="Lee; Smith"/>
    <x v="698"/>
    <s v="CA"/>
    <s v="Private"/>
    <s v="Duam; Kin"/>
    <m/>
    <n v="2375000"/>
    <n v="0.05169052631578947"/>
    <n v="0.9052631578947369"/>
    <n v="2375000"/>
    <n v="0.05169052631578947"/>
    <n v="0.005409473684210526"/>
    <s v="No"/>
    <d v="2016-11-18T00:00:00"/>
    <n v="559"/>
  </r>
  <r>
    <m/>
    <s v="USPS"/>
    <s v="Federal"/>
    <s v="Fee Simple"/>
    <s v="801 Second St"/>
    <s v="Pelahatchie"/>
    <s v="MS"/>
    <n v="0.43"/>
    <n v="1945"/>
    <n v="1856"/>
    <n v="1856"/>
    <n v="1"/>
    <n v="16464"/>
    <n v="8.870689655172415"/>
    <m/>
    <s v=" "/>
    <d v="2015-09-01T00:00:00"/>
    <d v="2020-08-31T00:00:00"/>
    <m/>
    <n v="2.257534246575343"/>
    <s v=" "/>
    <m/>
    <m/>
    <m/>
    <n v="133495"/>
    <n v="71.92618534482759"/>
    <s v=" "/>
    <m/>
    <d v="2018-05-30T00:00:00"/>
    <x v="8"/>
    <s v="Kevin King"/>
    <x v="0"/>
    <m/>
    <s v="Private"/>
    <m/>
    <m/>
    <n v="165000"/>
    <s v=" "/>
    <n v="0.809060606060606"/>
    <n v="165000"/>
    <s v=" "/>
    <s v=" "/>
    <s v="No"/>
    <d v="2018-03-08T00:00:00"/>
    <n v="83"/>
  </r>
  <r>
    <m/>
    <s v="CA National Guard"/>
    <s v="State"/>
    <s v="Fee Simple"/>
    <s v="9800 Goethe Rd"/>
    <s v="Sacramento"/>
    <s v="CA"/>
    <n v="7.75"/>
    <n v="1993"/>
    <n v="110500"/>
    <n v="110500"/>
    <n v="1"/>
    <m/>
    <s v=" "/>
    <m/>
    <s v=" "/>
    <m/>
    <m/>
    <m/>
    <s v=" "/>
    <s v=" "/>
    <s v="Full Service"/>
    <m/>
    <s v="None"/>
    <n v="10755000"/>
    <n v="97.33031674208145"/>
    <s v=" "/>
    <m/>
    <d v="2018-05-30T00:00:00"/>
    <x v="247"/>
    <m/>
    <x v="699"/>
    <s v="CA"/>
    <s v="Private"/>
    <m/>
    <m/>
    <m/>
    <s v=" "/>
    <s v=" "/>
    <m/>
    <s v=" "/>
    <s v=" "/>
    <s v=" "/>
    <m/>
    <s v=" "/>
  </r>
  <r>
    <s v="LCO14542"/>
    <s v="VA/ALC"/>
    <s v="Federal"/>
    <s v="Fee Simple"/>
    <s v="555 Corporate Circle"/>
    <s v="Golden"/>
    <s v="CO"/>
    <n v="5.19"/>
    <n v="1996"/>
    <n v="56753"/>
    <n v="56753"/>
    <n v="1"/>
    <n v="1352540.11"/>
    <n v="23.83204605923916"/>
    <n v="924000"/>
    <n v="16.2810776522827"/>
    <d v="2011-10-01T00:00:00"/>
    <d v="2026-09-30T00:00:00"/>
    <d v="2021-09-30T00:00:00"/>
    <n v="8.358904109589041"/>
    <n v="3.356164383561644"/>
    <s v="Modified Gross"/>
    <s v="4% every 2 in shell"/>
    <s v="None"/>
    <n v="14850000"/>
    <n v="261.6601765545434"/>
    <n v="0.06222222222222222"/>
    <m/>
    <d v="2018-05-24T00:00:00"/>
    <x v="89"/>
    <s v="C&amp;W; Trautvetter"/>
    <x v="3"/>
    <s v="DC"/>
    <s v="REIT"/>
    <m/>
    <m/>
    <m/>
    <s v=" "/>
    <s v=" "/>
    <m/>
    <s v=" "/>
    <s v=" "/>
    <s v=" "/>
    <m/>
    <s v=" "/>
  </r>
  <r>
    <s v="LAZ02192"/>
    <s v="ICE/FS"/>
    <s v="Federal"/>
    <s v="Leasehold"/>
    <s v="6335 S Downwind Cir"/>
    <s v="Mesa"/>
    <s v="AZ"/>
    <n v="4.1031"/>
    <n v="2004"/>
    <n v="41127"/>
    <n v="41127"/>
    <n v="1"/>
    <n v="1043743"/>
    <n v="25.37853478250298"/>
    <n v="816200"/>
    <n v="19.84584336324069"/>
    <d v="2004-09-30T00:00:00"/>
    <d v="2024-09-29T00:00:00"/>
    <d v="2019-12-29T00:00:00"/>
    <n v="6.356164383561643"/>
    <n v="1.6"/>
    <s v="Modified Gross"/>
    <s v="None"/>
    <s v="None"/>
    <n v="11160000"/>
    <n v="271.3545845794733"/>
    <n v="0.07313620071684587"/>
    <m/>
    <d v="2018-05-24T00:00:00"/>
    <x v="1005"/>
    <s v="M&amp;M; Ficke"/>
    <x v="593"/>
    <s v="IL"/>
    <s v="Private"/>
    <m/>
    <m/>
    <m/>
    <s v=" "/>
    <s v=" "/>
    <m/>
    <s v=" "/>
    <s v=" "/>
    <s v=" "/>
    <m/>
    <s v=" "/>
  </r>
  <r>
    <m/>
    <s v="USPS"/>
    <s v="Federal"/>
    <s v="Fee Simple"/>
    <m/>
    <s v="Portfolio of Four"/>
    <m/>
    <n v="5.89"/>
    <m/>
    <n v="19678"/>
    <n v="19678"/>
    <n v="1"/>
    <n v="188874"/>
    <n v="9.598231527594267"/>
    <n v="172574"/>
    <n v="8.769895314564488"/>
    <m/>
    <m/>
    <m/>
    <s v=" "/>
    <s v=" "/>
    <m/>
    <m/>
    <m/>
    <n v="2000000"/>
    <n v="101.6363451570282"/>
    <n v="0.086287"/>
    <m/>
    <d v="2018-05-24T00:00:00"/>
    <x v="1006"/>
    <s v="M&amp;M; Isaac"/>
    <x v="700"/>
    <s v="TX"/>
    <s v="Private"/>
    <m/>
    <m/>
    <n v="2157000"/>
    <n v="0.08000649049605935"/>
    <n v="0.9272137227630969"/>
    <n v="2157000"/>
    <n v="0.08000649049605935"/>
    <n v="0.006280509503940657"/>
    <s v="No"/>
    <d v="2018-01-25T00:00:00"/>
    <n v="119"/>
  </r>
  <r>
    <m/>
    <s v="Edu."/>
    <s v="Municipal"/>
    <s v="Fee Simple"/>
    <s v="132-10 Jamaica Ave"/>
    <s v="Jamaica"/>
    <s v="NY"/>
    <n v="0.31"/>
    <m/>
    <m/>
    <n v="12360"/>
    <s v=" "/>
    <m/>
    <s v=" "/>
    <n v="333720"/>
    <n v="27"/>
    <m/>
    <d v="2024-11-30T00:00:00"/>
    <m/>
    <n v="6.545205479452055"/>
    <s v=" "/>
    <s v="Modified Gross"/>
    <m/>
    <m/>
    <n v="5000000"/>
    <n v="404.5307443365696"/>
    <n v="0.066744"/>
    <m/>
    <d v="2018-05-17T00:00:00"/>
    <x v="8"/>
    <s v="Stephen Preuss"/>
    <x v="0"/>
    <m/>
    <m/>
    <m/>
    <m/>
    <n v="6250000"/>
    <n v="0.0533952"/>
    <n v="0.8"/>
    <n v="6250000"/>
    <n v="0.0533952"/>
    <n v="0.0133488"/>
    <s v="No"/>
    <d v="2018-01-17T00:00:00"/>
    <n v="120"/>
  </r>
  <r>
    <m/>
    <s v="OSP"/>
    <s v="State"/>
    <s v="Fee Simple"/>
    <s v="1050 Richards Blvd"/>
    <s v="Sacramento"/>
    <s v="CA"/>
    <n v="2.68"/>
    <n v="2002"/>
    <n v="46478"/>
    <n v="46478"/>
    <n v="1"/>
    <n v="677268"/>
    <n v="14.57179740952709"/>
    <n v="511443"/>
    <n v="11.00398037781316"/>
    <m/>
    <d v="2023-09-30T00:00:00"/>
    <d v="2019-09-30T00:00:00"/>
    <n v="5.375342465753425"/>
    <n v="1.372602739726027"/>
    <m/>
    <m/>
    <m/>
    <n v="6800000"/>
    <n v="146.3057790782736"/>
    <n v="0.07521220588235294"/>
    <m/>
    <d v="2018-05-17T00:00:00"/>
    <x v="1007"/>
    <s v="Zac Sweet"/>
    <x v="701"/>
    <s v="CA"/>
    <s v="Private"/>
    <m/>
    <m/>
    <n v="7500000"/>
    <n v="0.0681924"/>
    <n v="0.9066666666666666"/>
    <n v="7500000"/>
    <n v="0.0681924"/>
    <n v="0.007019805882352945"/>
    <s v="No"/>
    <d v="2017-08-11T00:00:00"/>
    <n v="279"/>
  </r>
  <r>
    <m/>
    <s v="VA"/>
    <s v="Federal"/>
    <s v="Fee Simple"/>
    <s v="6937 Medical View Ln"/>
    <s v="Zephyrhills"/>
    <s v="FL"/>
    <n v="0.55"/>
    <n v="2006"/>
    <m/>
    <n v="4500"/>
    <s v=" "/>
    <m/>
    <s v=" "/>
    <n v="80750"/>
    <n v="17.94444444444444"/>
    <m/>
    <d v="2021-03-31T00:00:00"/>
    <d v="2016-03-31T00:00:00"/>
    <n v="2.873972602739726"/>
    <n v="-2.128767123287671"/>
    <m/>
    <m/>
    <m/>
    <n v="825000"/>
    <n v="183.3333333333333"/>
    <n v="0.09787878787878788"/>
    <m/>
    <d v="2018-05-17T00:00:00"/>
    <x v="8"/>
    <s v="Brian Infantino"/>
    <x v="0"/>
    <m/>
    <m/>
    <m/>
    <m/>
    <n v="850000"/>
    <n v="0.095"/>
    <n v="0.9705882352941176"/>
    <n v="850000"/>
    <n v="0.095"/>
    <n v="0.002878787878787883"/>
    <s v="No"/>
    <d v="2018-01-30T00:00:00"/>
    <n v="107"/>
  </r>
  <r>
    <m/>
    <s v="USPS"/>
    <s v="Federal"/>
    <s v="Fee Simple"/>
    <s v="502 Mulcahy St"/>
    <s v="Damon"/>
    <s v="TX"/>
    <n v="0.17"/>
    <n v="1920"/>
    <n v="1152"/>
    <n v="1152"/>
    <n v="1"/>
    <n v="4615"/>
    <n v="4.006076388888889"/>
    <m/>
    <s v=" "/>
    <m/>
    <m/>
    <m/>
    <s v=" "/>
    <s v=" "/>
    <m/>
    <m/>
    <m/>
    <m/>
    <s v=" "/>
    <s v=" "/>
    <m/>
    <d v="2018-05-11T00:00:00"/>
    <x v="8"/>
    <m/>
    <x v="0"/>
    <m/>
    <m/>
    <m/>
    <m/>
    <n v="71000"/>
    <s v=" "/>
    <s v=" "/>
    <n v="71000"/>
    <s v=" "/>
    <s v=" "/>
    <s v="No"/>
    <d v="2016-12-20T00:00:00"/>
    <n v="507"/>
  </r>
  <r>
    <m/>
    <s v="Texas Department of Health &amp; Human Services"/>
    <s v="State"/>
    <s v="Fee Simple"/>
    <s v="605 S Ivy St"/>
    <s v="Hillsboro"/>
    <s v="TX"/>
    <n v="1.16"/>
    <n v="1995"/>
    <n v="9309"/>
    <n v="9309"/>
    <n v="1"/>
    <m/>
    <s v=" "/>
    <m/>
    <s v=" "/>
    <m/>
    <d v="2021-12-31T00:00:00"/>
    <m/>
    <n v="3.643835616438356"/>
    <s v=" "/>
    <m/>
    <m/>
    <m/>
    <m/>
    <s v=" "/>
    <s v=" "/>
    <m/>
    <d v="2018-05-11T00:00:00"/>
    <x v="1008"/>
    <m/>
    <x v="657"/>
    <s v="TX"/>
    <s v="Private"/>
    <m/>
    <m/>
    <m/>
    <s v=" "/>
    <s v=" "/>
    <m/>
    <s v=" "/>
    <s v=" "/>
    <s v=" "/>
    <m/>
    <s v=" "/>
  </r>
  <r>
    <m/>
    <s v="USPS"/>
    <s v="Federal"/>
    <s v="Fee Simple"/>
    <s v="203 N Evans Ave"/>
    <s v="El Reno"/>
    <s v="OK"/>
    <n v="0.9399999999999999"/>
    <n v="1965"/>
    <n v="9389"/>
    <n v="9389"/>
    <n v="1"/>
    <n v="51500"/>
    <n v="5.485142187666418"/>
    <n v="46786"/>
    <n v="4.983065289168175"/>
    <d v="2014-10-01T00:00:00"/>
    <d v="2019-09-30T00:00:00"/>
    <d v="2015-10-01T00:00:00"/>
    <n v="1.391780821917808"/>
    <n v="-2.608219178082192"/>
    <s v="Rider"/>
    <s v="Option"/>
    <s v="1, 5 year"/>
    <n v="475000"/>
    <n v="50.59111726488444"/>
    <n v="0.09849684210526316"/>
    <m/>
    <d v="2018-05-10T00:00:00"/>
    <x v="8"/>
    <s v="Newmark; Strange"/>
    <x v="0"/>
    <m/>
    <m/>
    <m/>
    <m/>
    <n v="525000"/>
    <n v="0.08911619047619047"/>
    <n v="0.9047619047619048"/>
    <n v="525000"/>
    <n v="0.08911619047619047"/>
    <n v="0.009380651629072687"/>
    <s v="No"/>
    <d v="2018-02-21T00:00:00"/>
    <n v="78"/>
  </r>
  <r>
    <s v="LUT14787"/>
    <s v="BLM"/>
    <s v="Federal"/>
    <s v="Fee Simple"/>
    <s v="125 S 600 W"/>
    <s v="Price"/>
    <s v="UT"/>
    <n v="3.54"/>
    <n v="2017"/>
    <n v="19001"/>
    <n v="19001"/>
    <n v="1"/>
    <n v="322591.56"/>
    <n v="16.97760959949476"/>
    <n v="239370"/>
    <n v="12.59775801273617"/>
    <d v="2017-09-07T00:00:00"/>
    <d v="2037-09-06T00:00:00"/>
    <d v="2032-09-08T00:00:00"/>
    <n v="19.33972602739726"/>
    <n v="14.34246575342466"/>
    <s v="Modified Gross"/>
    <s v="None"/>
    <s v="None"/>
    <n v="3950000"/>
    <n v="207.8837955897058"/>
    <n v="0.0606"/>
    <m/>
    <d v="2018-05-10T00:00:00"/>
    <x v="1009"/>
    <s v="SJC; Hellwig"/>
    <x v="702"/>
    <s v="CA"/>
    <s v="Private"/>
    <m/>
    <m/>
    <n v="4162956.52173913"/>
    <n v="0.0575"/>
    <n v="0.9488448844884488"/>
    <n v="4162956.52173913"/>
    <n v="0.0575"/>
    <n v="0.003099999999999999"/>
    <s v="No"/>
    <d v="2017-12-26T00:00:00"/>
    <n v="135"/>
  </r>
  <r>
    <m/>
    <s v="Multi"/>
    <s v="Federal"/>
    <s v="Fee Simple"/>
    <s v="444 W. Railroad Ave"/>
    <s v="West Palm Beach"/>
    <s v="FL"/>
    <n v="1.7"/>
    <n v="2007"/>
    <n v="34921"/>
    <n v="92585"/>
    <n v="0.377177728573743"/>
    <m/>
    <s v=" "/>
    <m/>
    <s v=" "/>
    <d v="2012-09-01T00:00:00"/>
    <d v="2027-08-31T00:00:00"/>
    <d v="2027-08-31T00:00:00"/>
    <n v="9.315068493150685"/>
    <n v="9.315068493150685"/>
    <m/>
    <m/>
    <m/>
    <n v="22750000"/>
    <n v="245.7201490522223"/>
    <s v=" "/>
    <m/>
    <d v="2018-05-10T00:00:00"/>
    <x v="1010"/>
    <s v="Colliers"/>
    <x v="703"/>
    <s v="MA"/>
    <s v="User/Owner"/>
    <m/>
    <m/>
    <m/>
    <s v=" "/>
    <s v=" "/>
    <m/>
    <s v=" "/>
    <s v=" "/>
    <s v=" "/>
    <m/>
    <s v=" "/>
  </r>
  <r>
    <m/>
    <s v="USPS"/>
    <s v="Federal"/>
    <s v="Fee Simple"/>
    <s v="7229 Dole Ct"/>
    <s v="Bakersfield"/>
    <s v="CA"/>
    <n v="3.48"/>
    <n v="1981"/>
    <n v="31560"/>
    <n v="31560"/>
    <n v="1"/>
    <m/>
    <s v=" "/>
    <n v="170000"/>
    <n v="5.386565272496831"/>
    <d v="2017-02-01T00:00:00"/>
    <d v="2022-01-31T00:00:00"/>
    <d v="2018-02-01T00:00:00"/>
    <n v="3.736986301369863"/>
    <n v="-0.263013698630137"/>
    <s v="Rider"/>
    <s v="None"/>
    <s v="None"/>
    <n v="2060000"/>
    <n v="65.27249683143219"/>
    <n v="0.0825242718446602"/>
    <m/>
    <d v="2018-05-08T00:00:00"/>
    <x v="1011"/>
    <s v="TCP; Harrison"/>
    <x v="704"/>
    <s v="CA"/>
    <s v="Private"/>
    <s v="Lee; Indvik"/>
    <m/>
    <n v="2200000"/>
    <n v="0.07727272727272727"/>
    <n v="0.9363636363636364"/>
    <n v="2200000"/>
    <n v="0.07727272727272727"/>
    <n v="0.005251544571932928"/>
    <s v="No"/>
    <m/>
    <s v=" "/>
  </r>
  <r>
    <m/>
    <s v="BLM/USGS/County of Mendocino"/>
    <s v="Federal"/>
    <s v="Fee Simple"/>
    <s v="2550 N State St"/>
    <s v="Ukiah"/>
    <s v="CA"/>
    <n v="4.5"/>
    <n v="1997"/>
    <n v="24391"/>
    <n v="24391"/>
    <n v="1"/>
    <n v="737827.75"/>
    <n v="30.25"/>
    <n v="570687.5"/>
    <n v="23.39746217867246"/>
    <d v="2017-07-01T00:00:00"/>
    <d v="2037-06-30T00:00:00"/>
    <d v="2032-06-30T00:00:00"/>
    <n v="19.15890410958904"/>
    <n v="14.15616438356164"/>
    <s v="Modified Gross"/>
    <s v="None"/>
    <s v="None"/>
    <n v="9750000"/>
    <n v="399.7376081341478"/>
    <n v="0.05853205128205128"/>
    <m/>
    <d v="2018-05-08T00:00:00"/>
    <x v="681"/>
    <s v="C&amp;W; Trauttvetter"/>
    <x v="705"/>
    <s v="CA"/>
    <s v="Private"/>
    <s v="Compass; Greg Terry"/>
    <m/>
    <n v="9925000"/>
    <n v="0.0575"/>
    <n v="0.982367758186398"/>
    <n v="9925000"/>
    <n v="0.0575"/>
    <n v="0.001032051282051277"/>
    <s v="No"/>
    <d v="2018-03-15T00:00:00"/>
    <n v="54"/>
  </r>
  <r>
    <m/>
    <s v="USPS"/>
    <s v="Federal"/>
    <s v="Fee Simple"/>
    <s v="202 Cowlitz St"/>
    <s v="Toledo"/>
    <s v="WA"/>
    <n v="0.24"/>
    <n v="1974"/>
    <n v="2880"/>
    <n v="2880"/>
    <n v="1"/>
    <m/>
    <s v=" "/>
    <n v="26370"/>
    <n v="9.15625"/>
    <d v="2014-09-01T00:00:00"/>
    <d v="2019-08-31T00:00:00"/>
    <d v="2015-09-01T00:00:00"/>
    <n v="1.331506849315069"/>
    <n v="-2.668493150684931"/>
    <s v="Rider"/>
    <s v="None"/>
    <s v="None"/>
    <n v="385000"/>
    <n v="133.6805555555555"/>
    <n v="0.0684935064935065"/>
    <m/>
    <d v="2018-05-02T00:00:00"/>
    <x v="1012"/>
    <s v="Fuller Group"/>
    <x v="706"/>
    <s v="WA"/>
    <s v="Private"/>
    <s v="M&amp;M; McDonald"/>
    <m/>
    <n v="399000"/>
    <n v="0.06609022556390977"/>
    <n v="0.9649122807017544"/>
    <n v="399000"/>
    <n v="0.06609022556390977"/>
    <n v="0.002403280929596727"/>
    <s v="No"/>
    <d v="2016-09-16T00:00:00"/>
    <n v="593"/>
  </r>
  <r>
    <m/>
    <s v="United Nations"/>
    <s v="Intergovernmental"/>
    <s v="Fee Simple"/>
    <s v="305 E 46th St"/>
    <s v="New York"/>
    <s v="NY"/>
    <n v="0.23"/>
    <n v="1971"/>
    <n v="187060"/>
    <n v="187060"/>
    <n v="1"/>
    <m/>
    <s v=" "/>
    <n v="8097549.999999999"/>
    <n v="43.28851705335186"/>
    <m/>
    <m/>
    <m/>
    <s v=" "/>
    <s v=" "/>
    <m/>
    <m/>
    <m/>
    <n v="118500000"/>
    <n v="633.4865818453972"/>
    <n v="0.0683337552742616"/>
    <m/>
    <d v="2018-05-01T00:00:00"/>
    <x v="247"/>
    <s v="Eastdil"/>
    <x v="707"/>
    <s v="NY"/>
    <s v="Private"/>
    <m/>
    <m/>
    <m/>
    <s v=" "/>
    <s v=" "/>
    <m/>
    <s v=" "/>
    <s v=" "/>
    <s v=" "/>
    <d v="2017-12-18T00:00:00"/>
    <n v="134"/>
  </r>
  <r>
    <m/>
    <s v="USPS"/>
    <s v="Federal"/>
    <s v="Fee Simple"/>
    <s v="1445 34th Ave"/>
    <s v="Oakland"/>
    <s v="CA"/>
    <n v="0.14"/>
    <n v="1955"/>
    <n v="4413"/>
    <n v="4413"/>
    <n v="1"/>
    <n v="52728"/>
    <n v="11.94833446634942"/>
    <n v="42250"/>
    <n v="9.573985950600498"/>
    <d v="2014-09-01T00:00:00"/>
    <d v="2019-08-31T00:00:00"/>
    <d v="2015-09-01T00:00:00"/>
    <n v="1.334246575342466"/>
    <n v="-2.665753424657534"/>
    <s v="Rider"/>
    <s v="None"/>
    <s v="None"/>
    <n v="845000"/>
    <n v="191.47971901201"/>
    <n v="0.05"/>
    <m/>
    <d v="2018-05-01T00:00:00"/>
    <x v="1013"/>
    <m/>
    <x v="708"/>
    <s v="CA"/>
    <s v="Private"/>
    <s v="Commonwealth"/>
    <m/>
    <n v="845000"/>
    <n v="0.05"/>
    <n v="1"/>
    <n v="845000"/>
    <n v="0.05"/>
    <n v="0"/>
    <s v="No"/>
    <d v="2018-02-13T00:00:00"/>
    <n v="77"/>
  </r>
  <r>
    <m/>
    <s v="DCR"/>
    <s v="State"/>
    <s v="Fee Simple"/>
    <s v="9838 Old Placerville Road"/>
    <s v="Sacramento"/>
    <s v="CA"/>
    <n v="7"/>
    <n v="1985"/>
    <n v="139500"/>
    <n v="139500"/>
    <n v="1"/>
    <m/>
    <s v=" "/>
    <n v="2313854"/>
    <n v="16.58676702508961"/>
    <m/>
    <d v="2025-05-31T00:00:00"/>
    <d v="2020-05-31T00:00:00"/>
    <n v="7.087671232876712"/>
    <n v="2.084931506849315"/>
    <s v="FS"/>
    <m/>
    <m/>
    <n v="32589500"/>
    <n v="233.6164874551971"/>
    <n v="0.07099998465763513"/>
    <m/>
    <d v="2018-05-01T00:00:00"/>
    <x v="1014"/>
    <s v="Direct"/>
    <x v="1"/>
    <s v="IL"/>
    <s v="Private"/>
    <m/>
    <m/>
    <m/>
    <s v=" "/>
    <s v=" "/>
    <m/>
    <s v=" "/>
    <s v=" "/>
    <s v=" "/>
    <m/>
    <s v=" "/>
  </r>
  <r>
    <m/>
    <m/>
    <m/>
    <m/>
    <s v="990 N Corporate Dr"/>
    <s v="New Orleans"/>
    <s v="LA"/>
    <n v="3.01"/>
    <n v="1979"/>
    <m/>
    <n v="56065"/>
    <s v=" "/>
    <m/>
    <s v=" "/>
    <m/>
    <s v=" "/>
    <m/>
    <m/>
    <m/>
    <s v=" "/>
    <s v=" "/>
    <m/>
    <m/>
    <m/>
    <n v="6100000"/>
    <n v="108.8022830643004"/>
    <s v=" "/>
    <m/>
    <d v="2018-04-27T00:00:00"/>
    <x v="223"/>
    <s v="SRSA"/>
    <x v="709"/>
    <s v="LA"/>
    <s v="Private"/>
    <m/>
    <m/>
    <m/>
    <s v=" "/>
    <s v=" "/>
    <m/>
    <s v=" "/>
    <s v=" "/>
    <s v=" "/>
    <m/>
    <s v=" "/>
  </r>
  <r>
    <m/>
    <s v="CG"/>
    <s v="Federal"/>
    <s v="Fee Simple"/>
    <s v="1461 N Road St"/>
    <s v="Elizabeth City"/>
    <s v="NC"/>
    <n v="1.35"/>
    <n v="1992"/>
    <n v="8410"/>
    <n v="8410"/>
    <n v="1"/>
    <m/>
    <s v=" "/>
    <n v="110263"/>
    <n v="13.11093935790725"/>
    <m/>
    <d v="2019-03-31T00:00:00"/>
    <m/>
    <n v="0.9342465753424658"/>
    <s v=" "/>
    <s v="Modified Gross"/>
    <s v="Flat"/>
    <s v="1, 2yr"/>
    <n v="1150000"/>
    <n v="136.7419738406659"/>
    <n v="0.09588086956521739"/>
    <m/>
    <d v="2018-04-24T00:00:00"/>
    <x v="1015"/>
    <s v="SIG; Roland"/>
    <x v="46"/>
    <s v="OK"/>
    <s v="Private"/>
    <s v="M&amp;M; Ficke"/>
    <m/>
    <n v="1300000"/>
    <n v="0.0848176923076923"/>
    <n v="0.8846153846153846"/>
    <n v="1300000"/>
    <n v="0.0848176923076923"/>
    <n v="0.01106317725752509"/>
    <s v="No"/>
    <d v="2017-11-08T00:00:00"/>
    <n v="167"/>
  </r>
  <r>
    <m/>
    <s v="USPS"/>
    <s v="Federal"/>
    <s v="Fee Simple"/>
    <s v="4080 15th Ave SW"/>
    <s v="Naples"/>
    <s v="FL"/>
    <n v="2.04"/>
    <n v="1998"/>
    <n v="13575"/>
    <n v="13575"/>
    <n v="1"/>
    <m/>
    <s v=" "/>
    <m/>
    <s v=" "/>
    <m/>
    <d v="2020-01-31T00:00:00"/>
    <m/>
    <n v="1.772602739726027"/>
    <s v=" "/>
    <s v="Rider"/>
    <m/>
    <m/>
    <n v="1900000"/>
    <n v="139.963167587477"/>
    <s v=" "/>
    <m/>
    <d v="2018-04-24T00:00:00"/>
    <x v="1016"/>
    <s v="Avery Postal Group; Agnew"/>
    <x v="710"/>
    <s v="WA"/>
    <s v="Private"/>
    <m/>
    <m/>
    <m/>
    <s v=" "/>
    <s v=" "/>
    <m/>
    <s v=" "/>
    <s v=" "/>
    <s v=" "/>
    <m/>
    <s v=" "/>
  </r>
  <r>
    <s v="LAL62260"/>
    <s v="MSHA"/>
    <s v="Federal"/>
    <s v="Fee Simple"/>
    <s v="1030 London Dr"/>
    <s v="Birmingham"/>
    <s v="AL"/>
    <n v="6.3"/>
    <n v="2003"/>
    <n v="20554"/>
    <n v="63726"/>
    <n v="0.3225371120107962"/>
    <n v="582817.78"/>
    <n v="28.35544322273037"/>
    <n v="744000"/>
    <n v="11.67498352320874"/>
    <d v="2014-05-24T00:00:00"/>
    <d v="2029-05-23T00:00:00"/>
    <d v="2024-05-24T00:00:00"/>
    <n v="11.0986301369863"/>
    <n v="6.098630136986301"/>
    <s v="Modified Gross"/>
    <s v="None"/>
    <s v="None"/>
    <n v="8575000"/>
    <n v="134.5604619778426"/>
    <n v="0.08676384839650146"/>
    <m/>
    <d v="2018-04-20T00:00:00"/>
    <x v="1017"/>
    <s v="CBRE; Swann"/>
    <x v="711"/>
    <s v="TN"/>
    <s v="Private"/>
    <m/>
    <m/>
    <n v="9300000"/>
    <n v="0.08"/>
    <n v="0.9220430107526881"/>
    <n v="9300000"/>
    <n v="0.08"/>
    <n v="0.00676384839650146"/>
    <s v="No"/>
    <d v="2017-12-08T00:00:00"/>
    <n v="133"/>
  </r>
  <r>
    <s v="LSC45032"/>
    <s v="AOC"/>
    <s v="Federal"/>
    <s v="Fee Simple"/>
    <s v="7326 College St"/>
    <s v="Irmo"/>
    <s v="SC"/>
    <n v="2"/>
    <n v="2005"/>
    <n v="4858"/>
    <n v="4858"/>
    <n v="1"/>
    <n v="207077.97"/>
    <n v="42.62617743927542"/>
    <n v="151560.97"/>
    <n v="31.19822354878551"/>
    <d v="2005-09-01T00:00:00"/>
    <d v="2020-08-31T00:00:00"/>
    <d v="2015-08-31T00:00:00"/>
    <n v="2.367123287671233"/>
    <n v="-2.638356164383562"/>
    <s v="Modified Gross"/>
    <s v="None"/>
    <s v="1, 5 year"/>
    <n v="1450100"/>
    <n v="298.4973240016467"/>
    <n v="0.1045175987862906"/>
    <m/>
    <d v="2018-04-20T00:00:00"/>
    <x v="1018"/>
    <s v="M&amp;M; Creason"/>
    <x v="46"/>
    <s v="OK"/>
    <s v="Private"/>
    <s v="M&amp;M; Ficke"/>
    <m/>
    <m/>
    <s v=" "/>
    <s v=" "/>
    <m/>
    <s v=" "/>
    <s v=" "/>
    <s v=" "/>
    <m/>
    <s v=" "/>
  </r>
  <r>
    <m/>
    <s v="DMV"/>
    <s v="State"/>
    <s v="Fee Simple"/>
    <s v="4000 Arden Dr"/>
    <s v="El Monte"/>
    <s v="CA"/>
    <n v="2.05"/>
    <n v="2011"/>
    <n v="10594"/>
    <n v="10594"/>
    <n v="1"/>
    <n v="991537"/>
    <n v="93.59420426656598"/>
    <n v="691373"/>
    <n v="65.26080800453087"/>
    <d v="2011-08-01T00:00:00"/>
    <d v="2031-07-31T00:00:00"/>
    <m/>
    <n v="13.29041095890411"/>
    <s v=" "/>
    <s v="Full Service"/>
    <s v="2.5% annually"/>
    <m/>
    <n v="10850000"/>
    <n v="1024.164621483859"/>
    <n v="0.06372101382488479"/>
    <m/>
    <d v="2018-04-19T00:00:00"/>
    <x v="1019"/>
    <s v="CBRE; Mack"/>
    <x v="712"/>
    <s v="CA"/>
    <s v="Private"/>
    <m/>
    <m/>
    <n v="11500000"/>
    <n v="0.06011939130434783"/>
    <n v="0.9434782608695652"/>
    <n v="11000000"/>
    <n v="0.06285209090909091"/>
    <n v="0.0008689229157938794"/>
    <s v="Yes"/>
    <d v="2017-10-24T00:00:00"/>
    <n v="177"/>
  </r>
  <r>
    <m/>
    <s v="State of Texas - Two"/>
    <s v="State"/>
    <s v="Fee Simple"/>
    <s v="28 Western Plaza Dr"/>
    <s v="Amarillo"/>
    <s v="TX"/>
    <n v="3.08"/>
    <n v="2010"/>
    <n v="30102"/>
    <n v="30102"/>
    <n v="1"/>
    <m/>
    <s v=" "/>
    <m/>
    <s v=" "/>
    <d v="2010-01-01T00:00:00"/>
    <d v="2020-12-31T00:00:00"/>
    <m/>
    <n v="2.706849315068493"/>
    <s v=" "/>
    <s v="Full Service"/>
    <s v="None"/>
    <s v="None"/>
    <n v="3062500"/>
    <n v="101.7374260846455"/>
    <s v=" "/>
    <m/>
    <d v="2018-04-18T00:00:00"/>
    <x v="1020"/>
    <m/>
    <x v="713"/>
    <s v="TX"/>
    <s v="Private"/>
    <m/>
    <m/>
    <m/>
    <s v=" "/>
    <s v=" "/>
    <m/>
    <s v=" "/>
    <s v=" "/>
    <s v=" "/>
    <m/>
    <s v=" "/>
  </r>
  <r>
    <s v="LCA00834"/>
    <s v="EOIR"/>
    <s v="Federal"/>
    <s v="Fee Simple"/>
    <s v="1221-1251 E Dyer Rd"/>
    <s v="Santa Ana"/>
    <s v="CA"/>
    <n v="21.96"/>
    <m/>
    <n v="66885"/>
    <n v="434110"/>
    <n v="0.1540738522494299"/>
    <n v="2504310.86"/>
    <n v="37.44204021828511"/>
    <n v="4158000"/>
    <n v="9.578217502476331"/>
    <d v="2021-10-18T00:00:00"/>
    <d v="2041-10-17T00:00:00"/>
    <d v="2041-10-17T00:00:00"/>
    <n v="23.51506849315069"/>
    <n v="23.51506849315069"/>
    <s v="Modified Gross"/>
    <s v="None"/>
    <s v="None"/>
    <n v="74250000"/>
    <n v="171.0395982585059"/>
    <n v="0.056"/>
    <m/>
    <d v="2018-04-18T00:00:00"/>
    <x v="439"/>
    <s v="Newmark; Shannon"/>
    <x v="714"/>
    <s v="CA"/>
    <s v="Private"/>
    <m/>
    <m/>
    <m/>
    <s v=" "/>
    <s v=" "/>
    <m/>
    <s v=" "/>
    <s v=" "/>
    <s v=" "/>
    <m/>
    <s v=" "/>
  </r>
  <r>
    <m/>
    <s v="DOT"/>
    <s v="State"/>
    <s v="Ground Lease"/>
    <s v="7511 Burbage Dr"/>
    <s v="Suffolk"/>
    <s v="VA"/>
    <n v="11.96"/>
    <n v="2009"/>
    <n v="97318"/>
    <n v="97318"/>
    <n v="1"/>
    <m/>
    <s v=" "/>
    <m/>
    <s v=" "/>
    <m/>
    <m/>
    <m/>
    <s v=" "/>
    <s v=" "/>
    <m/>
    <m/>
    <m/>
    <n v="16349966"/>
    <n v="168.0055693705173"/>
    <s v=" "/>
    <m/>
    <d v="2018-04-17T00:00:00"/>
    <x v="172"/>
    <m/>
    <x v="715"/>
    <s v="VA"/>
    <s v="User/Owner"/>
    <m/>
    <m/>
    <m/>
    <s v=" "/>
    <s v=" "/>
    <m/>
    <s v=" "/>
    <s v=" "/>
    <s v=" "/>
    <m/>
    <s v=" "/>
  </r>
  <r>
    <m/>
    <s v="NPS"/>
    <s v="Federal"/>
    <s v="Fee Simple"/>
    <s v="400 Rapides Dr"/>
    <s v="Natchitoches"/>
    <s v="LA"/>
    <n v="0.19"/>
    <n v="1975"/>
    <n v="8100"/>
    <n v="8100"/>
    <n v="1"/>
    <n v="105300"/>
    <n v="13"/>
    <n v="73710"/>
    <n v="9.1"/>
    <d v="2004-12-10T00:00:00"/>
    <d v="2024-12-10T00:00:00"/>
    <d v="2019-12-10T00:00:00"/>
    <n v="6.665753424657535"/>
    <n v="1.66027397260274"/>
    <s v="Modified Gross"/>
    <s v="None"/>
    <s v="None"/>
    <n v="680000"/>
    <n v="83.95061728395062"/>
    <n v="0.1083970588235294"/>
    <m/>
    <d v="2018-04-13T00:00:00"/>
    <x v="1021"/>
    <s v="M&amp;M; Ficke"/>
    <x v="716"/>
    <s v="LA"/>
    <s v="Private"/>
    <m/>
    <m/>
    <n v="728000"/>
    <n v="0.10125"/>
    <n v="0.9340659340659341"/>
    <n v="680000"/>
    <n v="0.1083970588235294"/>
    <n v="0"/>
    <s v="Yes"/>
    <d v="2017-08-17T00:00:00"/>
    <n v="239"/>
  </r>
  <r>
    <s v="LMA04798"/>
    <s v="SSA"/>
    <s v="Federal"/>
    <s v="Fee Simple"/>
    <s v="354 Main St"/>
    <s v="Gardner"/>
    <s v="MA"/>
    <n v="1.13"/>
    <n v="2011"/>
    <n v="4612"/>
    <n v="12595"/>
    <n v="0.3661770543866614"/>
    <n v="167682"/>
    <n v="36.35776235906332"/>
    <m/>
    <s v=" "/>
    <d v="2011-11-01T00:00:00"/>
    <d v="2021-10-31T00:00:00"/>
    <d v="2021-10-31T00:00:00"/>
    <n v="3.564383561643836"/>
    <n v="3.564383561643836"/>
    <s v="Modified Gross"/>
    <s v="None"/>
    <s v="None"/>
    <n v="3750000"/>
    <n v="297.7371973005161"/>
    <s v=" "/>
    <m/>
    <d v="2018-04-09T00:00:00"/>
    <x v="1022"/>
    <s v="K&amp;S; Cozza"/>
    <x v="717"/>
    <s v="MA"/>
    <s v="Private"/>
    <m/>
    <m/>
    <m/>
    <s v=" "/>
    <s v=" "/>
    <m/>
    <s v=" "/>
    <s v=" "/>
    <s v=" "/>
    <m/>
    <s v=" "/>
  </r>
  <r>
    <s v="LCA02902"/>
    <s v="SSA"/>
    <s v="Federal"/>
    <s v="Fee Simple"/>
    <s v="890 W Morton Ave"/>
    <s v="Porterville"/>
    <s v="CA"/>
    <n v="0.61"/>
    <n v="2003"/>
    <n v="6686"/>
    <n v="6686"/>
    <n v="1"/>
    <n v="224174.56"/>
    <n v="33.52895004486988"/>
    <n v="150075"/>
    <n v="22.4461561471732"/>
    <d v="2015-01-01T00:00:00"/>
    <d v="2029-12-31T00:00:00"/>
    <d v="2025-01-01T00:00:00"/>
    <n v="11.74794520547945"/>
    <n v="6.747945205479452"/>
    <s v="Modified Gross"/>
    <s v="Yes"/>
    <s v="1, 5yr"/>
    <n v="2250000"/>
    <n v="336.5240801675142"/>
    <n v="0.0667"/>
    <m/>
    <d v="2018-04-05T00:00:00"/>
    <x v="1023"/>
    <s v="M&amp;M; Mobin"/>
    <x v="718"/>
    <s v="CA"/>
    <s v="Private"/>
    <m/>
    <m/>
    <n v="2300000"/>
    <n v="0.06525"/>
    <n v="0.9782608695652174"/>
    <n v="2300000"/>
    <n v="0.06525"/>
    <n v="0.001449999999999993"/>
    <s v="No"/>
    <d v="2018-02-21T00:00:00"/>
    <n v="43"/>
  </r>
  <r>
    <m/>
    <s v="DCA"/>
    <s v="State"/>
    <s v="Fee Simple"/>
    <s v="2920 Kilgore Rd"/>
    <s v="Rancho Cordova"/>
    <s v="CA"/>
    <n v="3.48"/>
    <n v="1993"/>
    <n v="49337"/>
    <n v="49337"/>
    <n v="1"/>
    <m/>
    <s v=" "/>
    <n v="748272"/>
    <n v="15.16654843221112"/>
    <m/>
    <d v="2025-12-31T00:00:00"/>
    <d v="2020-12-31T00:00:00"/>
    <n v="7.747945205479452"/>
    <n v="2.745205479452055"/>
    <s v="Full Service"/>
    <m/>
    <m/>
    <n v="10300000"/>
    <n v="208.7682672233821"/>
    <n v="0.07264776699029127"/>
    <m/>
    <d v="2018-04-04T00:00:00"/>
    <x v="1024"/>
    <s v="C&amp;W; Hohenhaus"/>
    <x v="1"/>
    <s v="IL"/>
    <s v="Private"/>
    <s v="C&amp;W; Trautvetter"/>
    <m/>
    <n v="10690000"/>
    <n v="0.06999738072965388"/>
    <n v="0.9635173058933583"/>
    <n v="10690000"/>
    <n v="0.06999738072965388"/>
    <n v="0.002650386260637391"/>
    <s v="No"/>
    <d v="2017-10-19T00:00:00"/>
    <n v="167"/>
  </r>
  <r>
    <s v="LTX00131"/>
    <s v="IRS"/>
    <s v="Federal"/>
    <s v="Fee Simple"/>
    <s v="1821 Directors Blvd"/>
    <s v="Austin"/>
    <s v="TX"/>
    <n v="14.25"/>
    <m/>
    <n v="206418"/>
    <n v="206418"/>
    <n v="1"/>
    <n v="5548515.84"/>
    <n v="26.88"/>
    <n v="4491900"/>
    <n v="21.76118361770776"/>
    <d v="2018-05-01T00:00:00"/>
    <d v="2033-04-30T00:00:00"/>
    <d v="2025-04-30T00:00:00"/>
    <n v="15.08493150684932"/>
    <n v="7.079452054794521"/>
    <m/>
    <m/>
    <m/>
    <n v="65100000"/>
    <n v="315.3794727204023"/>
    <n v="0.06900000000000001"/>
    <m/>
    <d v="2018-04-03T00:00:00"/>
    <x v="1025"/>
    <s v="JLL; Saal"/>
    <x v="1"/>
    <s v="IL"/>
    <s v="Private"/>
    <m/>
    <m/>
    <m/>
    <s v=" "/>
    <s v=" "/>
    <m/>
    <s v=" "/>
    <s v=" "/>
    <s v=" "/>
    <m/>
    <s v=" "/>
  </r>
  <r>
    <s v="LFL60249"/>
    <s v="SSA"/>
    <s v="Federal"/>
    <s v="Fee Simple"/>
    <s v="2027 S. Parsons Avenue"/>
    <s v="Seffner"/>
    <s v="FL"/>
    <n v="0.8100000000000001"/>
    <n v="2018"/>
    <n v="12113"/>
    <n v="12113"/>
    <n v="1"/>
    <n v="395645.5"/>
    <n v="32.662882853133"/>
    <m/>
    <s v=" "/>
    <d v="2018-02-23T00:00:00"/>
    <d v="2033-02-22T00:00:00"/>
    <d v="2028-02-23T00:00:00"/>
    <n v="14.9013698630137"/>
    <n v="9.898630136986302"/>
    <s v="Modified Gross"/>
    <s v="None"/>
    <s v="None"/>
    <n v="4575000"/>
    <n v="377.6933872698754"/>
    <s v=" "/>
    <m/>
    <d v="2018-04-03T00:00:00"/>
    <x v="103"/>
    <s v="C&amp;W; Trautvetter"/>
    <x v="719"/>
    <s v="CA"/>
    <s v="Private"/>
    <m/>
    <m/>
    <m/>
    <s v=" "/>
    <s v=" "/>
    <m/>
    <s v=" "/>
    <s v=" "/>
    <s v=" "/>
    <m/>
    <s v=" "/>
  </r>
  <r>
    <m/>
    <s v="HS"/>
    <s v="State"/>
    <s v="Fee Simple"/>
    <s v="1041 Lamberton Pl NE"/>
    <s v="Albuquerque"/>
    <s v="NM"/>
    <n v="2.42"/>
    <n v="2003"/>
    <n v="22985"/>
    <n v="22985"/>
    <n v="1"/>
    <m/>
    <s v=" "/>
    <n v="304000"/>
    <n v="13.22601696758756"/>
    <d v="2002-08-13T00:00:00"/>
    <m/>
    <m/>
    <s v=" "/>
    <s v=" "/>
    <m/>
    <m/>
    <m/>
    <n v="3800000"/>
    <n v="165.3252120948445"/>
    <n v="0.08"/>
    <m/>
    <d v="2018-04-02T00:00:00"/>
    <x v="1026"/>
    <m/>
    <x v="429"/>
    <s v="NY"/>
    <s v="Private"/>
    <m/>
    <m/>
    <m/>
    <s v=" "/>
    <s v=" "/>
    <m/>
    <s v=" "/>
    <s v=" "/>
    <s v=" "/>
    <m/>
    <s v=" "/>
  </r>
  <r>
    <m/>
    <s v="BLM"/>
    <s v="Federal"/>
    <s v="Fee Simple"/>
    <s v="3253 &amp; 3201 East Universal Way"/>
    <s v="Tucson"/>
    <s v="AZ"/>
    <n v="2.1"/>
    <n v="2012"/>
    <n v="13891"/>
    <n v="13891"/>
    <n v="1"/>
    <n v="443958"/>
    <n v="31.96011806205457"/>
    <n v="326204"/>
    <n v="23.48311856597797"/>
    <d v="2012-04-05T00:00:00"/>
    <d v="2032-04-05T00:00:00"/>
    <d v="2027-04-05T00:00:00"/>
    <n v="14.02739726027397"/>
    <n v="9.021917808219179"/>
    <s v="Modified Gross"/>
    <s v="None"/>
    <s v="None"/>
    <n v="4750000"/>
    <n v="341.9480239003672"/>
    <n v="0.06867452631578948"/>
    <m/>
    <d v="2018-03-30T00:00:00"/>
    <x v="1027"/>
    <s v="SJC; Briggs"/>
    <x v="702"/>
    <s v="CA"/>
    <s v="Private"/>
    <s v="Windermere"/>
    <s v="Univest"/>
    <n v="5600000"/>
    <n v="0.05825071428571429"/>
    <n v="0.8482142857142857"/>
    <n v="4800000"/>
    <n v="0.06795916666666667"/>
    <n v="0.0007153596491228098"/>
    <s v="Yes"/>
    <d v="2017-05-17T00:00:00"/>
    <n v="317"/>
  </r>
  <r>
    <s v="LAL60405"/>
    <s v="SSA"/>
    <s v="Federal"/>
    <s v="Fee Simple"/>
    <s v="2454 E University Ave"/>
    <s v="Auburn"/>
    <s v="AL"/>
    <n v="1.1"/>
    <n v="2000"/>
    <n v="7823"/>
    <n v="7823"/>
    <n v="1"/>
    <n v="236500"/>
    <n v="30.23136904001023"/>
    <m/>
    <s v=" "/>
    <d v="2017-12-20T00:00:00"/>
    <d v="2032-12-19T00:00:00"/>
    <d v="2027-12-20T00:00:00"/>
    <n v="14.74520547945206"/>
    <n v="9.742465753424657"/>
    <s v="Modified Gross"/>
    <s v="None"/>
    <s v="None"/>
    <n v="1299550"/>
    <n v="166.1191358813754"/>
    <s v=" "/>
    <m/>
    <d v="2018-03-26T00:00:00"/>
    <x v="1028"/>
    <m/>
    <x v="720"/>
    <s v="MT"/>
    <s v="Private"/>
    <s v="BW; Wells"/>
    <m/>
    <m/>
    <s v=" "/>
    <s v=" "/>
    <m/>
    <s v=" "/>
    <s v=" "/>
    <s v=" "/>
    <m/>
    <s v=" "/>
  </r>
  <r>
    <s v="LOH17525"/>
    <s v="SSA"/>
    <s v="Federal"/>
    <s v="Fee Simple"/>
    <s v="125 Derby Downs Rd"/>
    <s v="Newark"/>
    <s v="OH"/>
    <n v="0.7641"/>
    <n v="2007"/>
    <n v="7818"/>
    <n v="7818"/>
    <n v="1"/>
    <n v="208197"/>
    <n v="26.6304681504221"/>
    <n v="140640"/>
    <n v="17.98925556408289"/>
    <d v="2010-11-01T00:00:00"/>
    <d v="2020-10-31T00:00:00"/>
    <d v="2015-10-31T00:00:00"/>
    <n v="2.602739726027397"/>
    <n v="-2.402739726027397"/>
    <s v="Modified Gross"/>
    <s v="None"/>
    <s v="None"/>
    <n v="1349474"/>
    <n v="172.6111537477616"/>
    <n v="0.104218384348272"/>
    <m/>
    <d v="2018-03-26T00:00:00"/>
    <x v="1029"/>
    <s v="M&amp;M; Fenn"/>
    <x v="46"/>
    <s v="OK"/>
    <s v="Private"/>
    <s v="M&amp;M; Ficke"/>
    <m/>
    <n v="1600000"/>
    <n v="0.08790000000000001"/>
    <n v="0.84342125"/>
    <n v="1600000"/>
    <n v="0.08790000000000001"/>
    <n v="0.01631838434827199"/>
    <s v="No"/>
    <d v="2017-11-11T00:00:00"/>
    <n v="135"/>
  </r>
  <r>
    <m/>
    <s v="USPS"/>
    <s v="Federal"/>
    <s v="Fee Simple"/>
    <s v="340 Waters St"/>
    <s v="Moran"/>
    <s v="TX"/>
    <n v="0.11"/>
    <n v="1962"/>
    <n v="1130"/>
    <n v="1130"/>
    <n v="1"/>
    <n v="6997"/>
    <n v="6.192035398230089"/>
    <m/>
    <s v=" "/>
    <d v="2017-09-01T00:00:00"/>
    <d v="2022-08-31T00:00:00"/>
    <d v="2017-12-30T00:00:00"/>
    <n v="4.449315068493151"/>
    <n v="-0.2219178082191781"/>
    <s v="Rider"/>
    <s v="None"/>
    <s v="None"/>
    <m/>
    <s v=" "/>
    <s v=" "/>
    <m/>
    <d v="2018-03-21T00:00:00"/>
    <x v="8"/>
    <s v="Paul Johnson"/>
    <x v="0"/>
    <m/>
    <m/>
    <m/>
    <m/>
    <n v="75000"/>
    <s v=" "/>
    <s v=" "/>
    <n v="75000"/>
    <s v=" "/>
    <s v=" "/>
    <s v="No"/>
    <d v="2017-11-28T00:00:00"/>
    <n v="113"/>
  </r>
  <r>
    <m/>
    <s v="USPS"/>
    <s v="Federal"/>
    <s v="Fee Simple"/>
    <s v="29 Orinda Way"/>
    <s v="Orinda"/>
    <s v="CA"/>
    <n v="1.24"/>
    <n v="1961"/>
    <n v="9264"/>
    <n v="9264"/>
    <n v="1"/>
    <m/>
    <s v=" "/>
    <n v="389088"/>
    <n v="42"/>
    <d v="2019-08-01T00:00:00"/>
    <d v="2031-07-31T00:00:00"/>
    <d v="2031-07-31T00:00:00"/>
    <n v="13.36986301369863"/>
    <n v="13.36986301369863"/>
    <s v="Absolute NNN"/>
    <s v="Options"/>
    <s v="6, 5 year"/>
    <n v="8574000"/>
    <n v="925.5181347150259"/>
    <n v="0.04537998600419874"/>
    <m/>
    <d v="2018-03-21T00:00:00"/>
    <x v="1030"/>
    <s v="SRS; Luther"/>
    <x v="721"/>
    <s v="CA"/>
    <s v="Private"/>
    <m/>
    <m/>
    <m/>
    <s v=" "/>
    <s v=" "/>
    <m/>
    <s v=" "/>
    <s v=" "/>
    <s v=" "/>
    <m/>
    <s v=" "/>
  </r>
  <r>
    <m/>
    <s v="Health"/>
    <s v="State"/>
    <s v="Fee Simple"/>
    <s v="901 N 5th St"/>
    <s v="Kansas City"/>
    <s v="KS"/>
    <n v="4.12"/>
    <n v="1999"/>
    <n v="192595"/>
    <n v="192595"/>
    <n v="1"/>
    <m/>
    <s v=" "/>
    <m/>
    <s v=" "/>
    <m/>
    <m/>
    <m/>
    <s v=" "/>
    <s v=" "/>
    <m/>
    <m/>
    <m/>
    <n v="10400000"/>
    <n v="53.9993250084374"/>
    <s v=" "/>
    <m/>
    <d v="2018-03-19T00:00:00"/>
    <x v="950"/>
    <s v="CBRE; Fagan"/>
    <x v="722"/>
    <s v="KS"/>
    <s v="User/Owner"/>
    <m/>
    <m/>
    <m/>
    <s v=" "/>
    <s v=" "/>
    <m/>
    <s v=" "/>
    <s v=" "/>
    <s v=" "/>
    <m/>
    <s v=" "/>
  </r>
  <r>
    <s v="LMA04014"/>
    <s v="ACOE"/>
    <s v="Federal"/>
    <s v="Fee Simple"/>
    <s v="696 Virginia Rd"/>
    <s v="Concord"/>
    <s v="MA"/>
    <n v="28.22"/>
    <n v="1970"/>
    <n v="104527"/>
    <n v="104527"/>
    <n v="1"/>
    <n v="3048378.56"/>
    <n v="29.16355161824218"/>
    <m/>
    <s v=" "/>
    <m/>
    <d v="2023-03-31T00:00:00"/>
    <d v="2023-03-31T00:00:00"/>
    <n v="5.046575342465753"/>
    <n v="5.046575342465753"/>
    <s v="Modified Gross"/>
    <s v="None"/>
    <s v="None"/>
    <n v="11000000"/>
    <n v="105.2359677403924"/>
    <s v=" "/>
    <m/>
    <d v="2018-03-15T00:00:00"/>
    <x v="725"/>
    <s v="JLL; Coleman"/>
    <x v="723"/>
    <s v="MA"/>
    <s v="Private"/>
    <m/>
    <m/>
    <m/>
    <s v=" "/>
    <s v=" "/>
    <m/>
    <s v=" "/>
    <s v=" "/>
    <s v=" "/>
    <m/>
    <s v=" "/>
  </r>
  <r>
    <s v="LLA16824"/>
    <s v="Multi"/>
    <s v="Federal"/>
    <s v="Fee Simple"/>
    <s v="620 Esplande St"/>
    <s v="Lake Charles"/>
    <s v="LA"/>
    <n v="0.9399999999999999"/>
    <n v="1975"/>
    <n v="7895"/>
    <n v="17250"/>
    <n v="0.4576811594202899"/>
    <n v="168376.36"/>
    <n v="21.3269613679544"/>
    <n v="242000"/>
    <n v="14.02898550724638"/>
    <d v="2012-03-07T00:00:00"/>
    <d v="2022-03-06T00:00:00"/>
    <d v="2017-03-06T00:00:00"/>
    <n v="3.986301369863014"/>
    <n v="-1.016438356164383"/>
    <m/>
    <m/>
    <m/>
    <n v="2000000"/>
    <n v="115.9420289855072"/>
    <n v="0.121"/>
    <m/>
    <d v="2018-03-12T00:00:00"/>
    <x v="1031"/>
    <s v="Local"/>
    <x v="724"/>
    <s v="LA"/>
    <s v="Private"/>
    <m/>
    <m/>
    <n v="2200000"/>
    <n v="0.11"/>
    <n v="0.9090909090909091"/>
    <n v="2200000"/>
    <n v="0.11"/>
    <n v="0.011"/>
    <s v="No"/>
    <d v="2016-03-02T00:00:00"/>
    <n v="740"/>
  </r>
  <r>
    <s v="LPA00188"/>
    <s v="SSA"/>
    <s v="Federal"/>
    <s v="Fee Simple"/>
    <m/>
    <s v="Portfolio of Four"/>
    <m/>
    <m/>
    <m/>
    <n v="31415"/>
    <n v="31415"/>
    <n v="1"/>
    <m/>
    <s v=" "/>
    <m/>
    <s v=" "/>
    <m/>
    <m/>
    <m/>
    <s v=" "/>
    <s v=" "/>
    <m/>
    <m/>
    <m/>
    <n v="7300000"/>
    <n v="232.3730701894"/>
    <s v=" "/>
    <m/>
    <d v="2018-03-12T00:00:00"/>
    <x v="1032"/>
    <s v="CBRE"/>
    <x v="46"/>
    <s v="OK"/>
    <s v="Private"/>
    <s v="M&amp;M; Ficke"/>
    <s v="Aiello"/>
    <m/>
    <s v=" "/>
    <s v=" "/>
    <m/>
    <s v=" "/>
    <s v=" "/>
    <s v=" "/>
    <m/>
    <s v=" "/>
  </r>
  <r>
    <s v="LIN16504"/>
    <s v="SSA"/>
    <s v="Federal"/>
    <s v="Fee Simple"/>
    <s v="117 S Scatterfield Rd"/>
    <s v="Anderson"/>
    <s v="IN"/>
    <n v="1.37"/>
    <n v="2001"/>
    <n v="12509"/>
    <n v="12509"/>
    <n v="1"/>
    <n v="304419.36"/>
    <n v="24.33602686066032"/>
    <n v="187200"/>
    <n v="14.96522503797266"/>
    <d v="2001-10-24T00:00:00"/>
    <d v="2021-10-23T00:00:00"/>
    <d v="2011-10-24T00:00:00"/>
    <n v="3.627397260273973"/>
    <n v="-6.378082191780821"/>
    <s v="Modified Gross"/>
    <s v="None"/>
    <s v="None"/>
    <n v="1950000"/>
    <n v="155.8877608122152"/>
    <n v="0.096"/>
    <m/>
    <d v="2018-03-09T00:00:00"/>
    <x v="1033"/>
    <s v="M&amp;M; Roti"/>
    <x v="46"/>
    <s v="OK"/>
    <s v="Private"/>
    <s v="M&amp;M; Ficke"/>
    <m/>
    <n v="2203094"/>
    <n v="0.08497140839201596"/>
    <n v="0.8851188374168328"/>
    <n v="2203094"/>
    <n v="0.08497140839201596"/>
    <n v="0.01102859160798404"/>
    <s v="No"/>
    <d v="2017-09-15T00:00:00"/>
    <n v="175"/>
  </r>
  <r>
    <m/>
    <s v="Tennessee Board of Regents"/>
    <s v="State"/>
    <s v="Fee Simple"/>
    <s v="1 Bridgestone Pk"/>
    <s v="Nashville"/>
    <s v="TN"/>
    <n v="7.26"/>
    <n v="1988"/>
    <n v="46008"/>
    <n v="63195"/>
    <n v="0.728032281034892"/>
    <n v="1195000"/>
    <n v="25.97374369674839"/>
    <n v="875700"/>
    <n v="13.85710894849276"/>
    <m/>
    <d v="2031-05-30T00:00:00"/>
    <d v="2031-05-30T00:00:00"/>
    <n v="13.23561643835616"/>
    <n v="13.23561643835616"/>
    <s v="Full Service"/>
    <s v="None"/>
    <s v="None"/>
    <n v="12600000"/>
    <n v="199.3828625682412"/>
    <n v="0.06950000000000001"/>
    <m/>
    <d v="2018-03-08T00:00:00"/>
    <x v="1034"/>
    <s v="CBRE; Hillenmeyer"/>
    <x v="725"/>
    <s v="CA"/>
    <s v="Private"/>
    <m/>
    <m/>
    <m/>
    <s v=" "/>
    <s v=" "/>
    <m/>
    <s v=" "/>
    <s v=" "/>
    <s v=" "/>
    <d v="2017-10-10T00:00:00"/>
    <n v="149"/>
  </r>
  <r>
    <m/>
    <s v="ICE"/>
    <s v="Federal"/>
    <s v="Fee Simple"/>
    <s v="208 Bingham Ave"/>
    <s v="Sault Ste. Marie"/>
    <s v="MI"/>
    <n v="1.19"/>
    <n v="1955"/>
    <n v="12160"/>
    <n v="12160"/>
    <n v="1"/>
    <n v="350684.03"/>
    <n v="28.83914720394737"/>
    <m/>
    <s v=" "/>
    <d v="2020-08-01T00:00:00"/>
    <d v="2030-07-31T00:00:00"/>
    <d v="2025-07-31T00:00:00"/>
    <n v="12.4054794520548"/>
    <n v="7.402739726027397"/>
    <s v="Modified Gross"/>
    <s v="None"/>
    <s v="None"/>
    <m/>
    <s v=" "/>
    <s v=" "/>
    <m/>
    <d v="2018-03-08T00:00:00"/>
    <x v="1035"/>
    <m/>
    <x v="46"/>
    <s v="OK"/>
    <s v="Private"/>
    <m/>
    <m/>
    <m/>
    <s v=" "/>
    <s v=" "/>
    <m/>
    <s v=" "/>
    <s v=" "/>
    <s v=" "/>
    <m/>
    <s v=" "/>
  </r>
  <r>
    <m/>
    <s v="ICE"/>
    <s v="Federal"/>
    <s v="Fee Simple"/>
    <s v="208 Bingham Ave"/>
    <s v="Sault Ste. Marie"/>
    <s v="MI"/>
    <n v="1.19"/>
    <n v="1955"/>
    <n v="12160"/>
    <n v="12160"/>
    <n v="1"/>
    <n v="350684.03"/>
    <n v="28.83914720394737"/>
    <m/>
    <s v=" "/>
    <d v="2020-08-01T00:00:00"/>
    <d v="2030-07-31T00:00:00"/>
    <d v="2025-07-31T00:00:00"/>
    <n v="12.4054794520548"/>
    <n v="7.402739726027397"/>
    <s v="Modified Gross"/>
    <s v="None"/>
    <s v="None"/>
    <m/>
    <s v=" "/>
    <s v=" "/>
    <m/>
    <d v="2018-03-08T00:00:00"/>
    <x v="1035"/>
    <m/>
    <x v="46"/>
    <s v="OK"/>
    <s v="Private"/>
    <s v="M&amp;M; Ficke"/>
    <m/>
    <m/>
    <s v=" "/>
    <s v=" "/>
    <m/>
    <s v=" "/>
    <s v=" "/>
    <s v=" "/>
    <m/>
    <s v=" "/>
  </r>
  <r>
    <m/>
    <s v="California Lottery"/>
    <s v="State"/>
    <s v="Fee Simple"/>
    <s v="2489 Industrial Pkwy W"/>
    <s v="Hayward"/>
    <s v="CA"/>
    <n v="0.28"/>
    <n v="1987"/>
    <n v="6406"/>
    <n v="6406"/>
    <n v="1"/>
    <m/>
    <s v=" "/>
    <n v="165750"/>
    <n v="25.87418045582267"/>
    <m/>
    <d v="2027-09-30T00:00:00"/>
    <m/>
    <n v="9.572602739726028"/>
    <s v=" "/>
    <s v="Gross"/>
    <s v="4% annually"/>
    <m/>
    <n v="1800000"/>
    <n v="280.986575085857"/>
    <n v="0.09208333333333334"/>
    <m/>
    <d v="2018-03-07T00:00:00"/>
    <x v="1036"/>
    <s v="Colliers; Webb"/>
    <x v="726"/>
    <s v="CA"/>
    <s v="Private"/>
    <m/>
    <m/>
    <n v="1995000"/>
    <n v="0.0830827067669173"/>
    <n v="0.9022556390977443"/>
    <n v="1830000"/>
    <n v="0.09057377049180328"/>
    <n v="0.00150956284153006"/>
    <s v="Yes"/>
    <d v="2017-05-30T00:00:00"/>
    <n v="281"/>
  </r>
  <r>
    <s v="LPA08313"/>
    <s v="SSA"/>
    <s v="Federal"/>
    <s v="Fee Simple"/>
    <s v="102 Woody Dr"/>
    <s v="Butler"/>
    <s v="PA"/>
    <n v="1.59"/>
    <n v="2009"/>
    <n v="6677"/>
    <n v="6677"/>
    <n v="1"/>
    <n v="244018.07"/>
    <n v="36.546064100644"/>
    <m/>
    <s v=" "/>
    <d v="2009-05-11T00:00:00"/>
    <d v="2019-05-10T00:00:00"/>
    <d v="2019-05-10T00:00:00"/>
    <n v="1.178082191780822"/>
    <n v="1.178082191780822"/>
    <s v="Modified Gross"/>
    <s v="None"/>
    <s v="None"/>
    <n v="1720000"/>
    <n v="257.6007188857271"/>
    <s v=" "/>
    <m/>
    <d v="2018-03-06T00:00:00"/>
    <x v="1037"/>
    <m/>
    <x v="46"/>
    <s v="OK"/>
    <s v="Private"/>
    <s v="M&amp;M; Ficke"/>
    <m/>
    <m/>
    <s v=" "/>
    <s v=" "/>
    <m/>
    <s v=" "/>
    <s v=" "/>
    <s v=" "/>
    <m/>
    <s v=" "/>
  </r>
  <r>
    <s v="LPA06313"/>
    <s v="SSA"/>
    <s v="Federal"/>
    <s v="Fee Simple"/>
    <s v="302 Liberty Blvd"/>
    <s v="Du Bois"/>
    <s v="PA"/>
    <n v="1.44"/>
    <n v="2007"/>
    <n v="9110"/>
    <n v="9110"/>
    <n v="1"/>
    <n v="294213"/>
    <n v="32.29560922063666"/>
    <n v="160071"/>
    <n v="17.57091108671789"/>
    <d v="2007-01-11T00:00:00"/>
    <d v="2017-01-10T00:00:00"/>
    <d v="2017-01-08T00:00:00"/>
    <n v="-1.150684931506849"/>
    <n v="-1.156164383561644"/>
    <s v="Modified Gross"/>
    <s v="None"/>
    <s v="None"/>
    <n v="1730000"/>
    <n v="189.9012074643249"/>
    <n v="0.09252658959537573"/>
    <m/>
    <d v="2018-03-06T00:00:00"/>
    <x v="1038"/>
    <s v="ZF"/>
    <x v="46"/>
    <s v="OK"/>
    <s v="Private"/>
    <s v="M&amp;M; Ficke"/>
    <m/>
    <m/>
    <s v=" "/>
    <s v=" "/>
    <m/>
    <s v=" "/>
    <s v=" "/>
    <s v=" "/>
    <m/>
    <s v=" "/>
  </r>
  <r>
    <m/>
    <s v="SSA"/>
    <s v="Federal"/>
    <s v="Fee Simple"/>
    <s v="540 5th Ave"/>
    <s v="Mckeesport"/>
    <s v="PA"/>
    <n v="1.14"/>
    <n v="2010"/>
    <n v="7997"/>
    <n v="7997"/>
    <n v="1"/>
    <m/>
    <s v=" "/>
    <m/>
    <s v=" "/>
    <m/>
    <d v="2020-04-30T00:00:00"/>
    <d v="2020-04-30T00:00:00"/>
    <n v="2.153424657534246"/>
    <n v="2.153424657534246"/>
    <s v="Modified Gross"/>
    <s v="None"/>
    <s v="None"/>
    <n v="1900000"/>
    <n v="237.5890959109666"/>
    <s v=" "/>
    <m/>
    <d v="2018-03-06T00:00:00"/>
    <x v="1037"/>
    <m/>
    <x v="46"/>
    <s v="OK"/>
    <s v="Private"/>
    <s v="M&amp;M; Ficke"/>
    <m/>
    <m/>
    <s v=" "/>
    <s v=" "/>
    <m/>
    <s v=" "/>
    <s v=" "/>
    <s v=" "/>
    <m/>
    <s v=" "/>
  </r>
  <r>
    <m/>
    <s v="Multi"/>
    <s v="Federal, State, &amp; Municipal"/>
    <s v="Fee Simple"/>
    <s v="330 2nd Ave S"/>
    <s v="Minneapolis"/>
    <s v="MN"/>
    <n v="1"/>
    <n v="1980"/>
    <n v="65648"/>
    <n v="193594"/>
    <n v="0.3391014184323894"/>
    <m/>
    <s v=" "/>
    <n v="1600000"/>
    <n v="8.264718947901278"/>
    <m/>
    <m/>
    <m/>
    <s v=" "/>
    <s v=" "/>
    <m/>
    <m/>
    <m/>
    <n v="20000000"/>
    <n v="103.308986848766"/>
    <n v="0.08"/>
    <m/>
    <d v="2018-03-02T00:00:00"/>
    <x v="247"/>
    <s v="JLL; Dahl"/>
    <x v="727"/>
    <s v="MA"/>
    <s v="Private"/>
    <m/>
    <m/>
    <m/>
    <s v=" "/>
    <s v=" "/>
    <m/>
    <s v=" "/>
    <s v=" "/>
    <s v=" "/>
    <m/>
    <s v=" "/>
  </r>
  <r>
    <s v="LNY23411"/>
    <s v="SSA"/>
    <s v="Federal"/>
    <s v="Fee Simple"/>
    <s v="2250 Nostrand Ave"/>
    <s v="Brooklyn"/>
    <s v="NY"/>
    <n v="0.44"/>
    <n v="1920"/>
    <n v="19716"/>
    <n v="19716"/>
    <n v="1"/>
    <n v="1129854.58"/>
    <n v="57.30648103063502"/>
    <m/>
    <s v=" "/>
    <d v="2005-10-01T00:00:00"/>
    <d v="2018-09-30T00:00:00"/>
    <d v="2010-09-30T00:00:00"/>
    <n v="0.5835616438356165"/>
    <n v="-7.421917808219178"/>
    <s v="Modified Gross"/>
    <s v="None"/>
    <s v="None"/>
    <n v="14550000"/>
    <n v="737.9793061472916"/>
    <s v=" "/>
    <m/>
    <d v="2018-03-01T00:00:00"/>
    <x v="1039"/>
    <s v="GFI; Weiser"/>
    <x v="728"/>
    <s v="NY"/>
    <s v="Private"/>
    <m/>
    <m/>
    <m/>
    <s v=" "/>
    <s v=" "/>
    <m/>
    <s v=" "/>
    <s v=" "/>
    <s v=" "/>
    <m/>
    <s v=" "/>
  </r>
  <r>
    <m/>
    <s v="PD"/>
    <s v="Municipal"/>
    <s v="Fee Simple"/>
    <s v="40 Brick Kiln Road"/>
    <s v="Chelmsford"/>
    <s v="MA"/>
    <n v="4.8"/>
    <n v="2002"/>
    <n v="19946"/>
    <n v="19946"/>
    <n v="1"/>
    <m/>
    <s v=" "/>
    <n v="211750"/>
    <n v="10.61616364183295"/>
    <m/>
    <d v="2021-12-31T00:00:00"/>
    <d v="2021-12-31T00:00:00"/>
    <n v="3.838356164383562"/>
    <n v="3.838356164383562"/>
    <s v="NNN"/>
    <s v="None"/>
    <s v="None"/>
    <n v="2250000"/>
    <n v="112.8045723453324"/>
    <n v="0.09411111111111112"/>
    <m/>
    <d v="2018-03-01T00:00:00"/>
    <x v="8"/>
    <m/>
    <x v="729"/>
    <s v="MA"/>
    <s v="Private"/>
    <m/>
    <m/>
    <m/>
    <s v=" "/>
    <s v=" "/>
    <m/>
    <s v=" "/>
    <s v=" "/>
    <s v=" "/>
    <m/>
    <s v=" "/>
  </r>
  <r>
    <m/>
    <s v="ECU"/>
    <s v="State"/>
    <s v="Fee Simple"/>
    <s v="1605 W Arlington Blvd"/>
    <s v="Greenville"/>
    <s v="NC"/>
    <n v="0.52"/>
    <n v="2001"/>
    <n v="23189"/>
    <n v="23189"/>
    <n v="1"/>
    <n v="355088"/>
    <n v="15.31277761007374"/>
    <n v="225120"/>
    <n v="9.7080512311872"/>
    <d v="2017-01-01T00:00:00"/>
    <d v="2022-12-31T00:00:00"/>
    <m/>
    <n v="4.838356164383562"/>
    <s v=" "/>
    <s v="Full Service"/>
    <s v="2% annually"/>
    <s v="None"/>
    <n v="2800000"/>
    <n v="120.7469058605373"/>
    <n v="0.0804"/>
    <m/>
    <d v="2018-03-01T00:00:00"/>
    <x v="1040"/>
    <s v="Frank Efird"/>
    <x v="730"/>
    <s v="NY"/>
    <s v="Private"/>
    <m/>
    <m/>
    <n v="3000000"/>
    <n v="0.07504"/>
    <n v="0.9333333333333333"/>
    <n v="3000000"/>
    <n v="0.07504"/>
    <n v="0.005360000000000004"/>
    <s v="No"/>
    <d v="2017-09-01T00:00:00"/>
    <n v="181"/>
  </r>
  <r>
    <s v="LFL60525"/>
    <s v="SSA"/>
    <s v="Federal"/>
    <s v="Fee Simple"/>
    <s v="1251 NW 36th St"/>
    <s v="Miami"/>
    <s v="FL"/>
    <n v="1.72"/>
    <n v="2019"/>
    <n v="13209"/>
    <n v="33339"/>
    <n v="0.3962026455502565"/>
    <n v="298127.13"/>
    <n v="22.57"/>
    <m/>
    <s v=" "/>
    <d v="2016-06-13T00:00:00"/>
    <d v="2026-06-12T00:00:00"/>
    <d v="2021-06-13T00:00:00"/>
    <n v="8.287671232876713"/>
    <n v="3.287671232876712"/>
    <s v="Modified Gross"/>
    <s v="None"/>
    <s v="None"/>
    <n v="6000000"/>
    <n v="179.9694052011158"/>
    <s v=" "/>
    <m/>
    <d v="2018-03-01T00:00:00"/>
    <x v="1041"/>
    <s v="C&amp;W; Alcivar"/>
    <x v="731"/>
    <s v="NY"/>
    <s v="Private"/>
    <s v="Scott Sime"/>
    <m/>
    <m/>
    <s v=" "/>
    <s v=" "/>
    <m/>
    <s v=" "/>
    <s v=" "/>
    <s v=" "/>
    <m/>
    <s v=" "/>
  </r>
  <r>
    <m/>
    <s v="Multi"/>
    <s v="Federal"/>
    <s v="Fee Simple"/>
    <s v="250 Marquette Ave"/>
    <s v="Minneapolis"/>
    <s v="MN"/>
    <n v="2.5"/>
    <n v="1972"/>
    <n v="235195.2"/>
    <n v="522656"/>
    <n v="0.45"/>
    <m/>
    <s v=" "/>
    <m/>
    <s v=" "/>
    <m/>
    <m/>
    <m/>
    <s v=" "/>
    <s v=" "/>
    <m/>
    <m/>
    <m/>
    <n v="88400000"/>
    <n v="169.1361048184657"/>
    <s v=" "/>
    <m/>
    <d v="2018-03-01T00:00:00"/>
    <x v="1042"/>
    <s v="Direct"/>
    <x v="732"/>
    <s v="CA"/>
    <s v="REIT"/>
    <m/>
    <m/>
    <m/>
    <s v=" "/>
    <s v=" "/>
    <m/>
    <s v=" "/>
    <s v=" "/>
    <s v=" "/>
    <m/>
    <s v=" "/>
  </r>
  <r>
    <m/>
    <m/>
    <m/>
    <m/>
    <s v="Portfolio of Three"/>
    <s v="Coppell"/>
    <s v="TX"/>
    <n v="72.42"/>
    <m/>
    <n v="26755"/>
    <n v="578407"/>
    <n v="0.04625635581865364"/>
    <m/>
    <s v=" "/>
    <m/>
    <s v=" "/>
    <m/>
    <m/>
    <m/>
    <s v=" "/>
    <s v=" "/>
    <m/>
    <m/>
    <m/>
    <n v="46650000"/>
    <n v="80.65255088544917"/>
    <s v=" "/>
    <m/>
    <d v="2018-02-28T00:00:00"/>
    <x v="1043"/>
    <s v="JLL; Huge"/>
    <x v="71"/>
    <s v="CA"/>
    <s v="Private"/>
    <m/>
    <m/>
    <m/>
    <s v=" "/>
    <s v=" "/>
    <m/>
    <s v=" "/>
    <s v=" "/>
    <s v=" "/>
    <m/>
    <s v=" "/>
  </r>
  <r>
    <m/>
    <s v="USPS"/>
    <s v="Federal"/>
    <s v="Fee Simple"/>
    <s v="811 Deauville Dr"/>
    <s v="Orlando"/>
    <s v="FL"/>
    <n v="0.84"/>
    <n v="1964"/>
    <n v="7279"/>
    <n v="7279"/>
    <n v="1"/>
    <m/>
    <s v=" "/>
    <n v="105000"/>
    <n v="14.42505838714109"/>
    <m/>
    <m/>
    <m/>
    <s v=" "/>
    <s v=" "/>
    <m/>
    <m/>
    <m/>
    <n v="1250000"/>
    <n v="171.7268855612035"/>
    <n v="0.08400000000000001"/>
    <m/>
    <d v="2018-02-27T00:00:00"/>
    <x v="1044"/>
    <m/>
    <x v="733"/>
    <s v="CA"/>
    <s v="Private"/>
    <m/>
    <m/>
    <m/>
    <s v=" "/>
    <s v=" "/>
    <m/>
    <s v=" "/>
    <s v=" "/>
    <s v=" "/>
    <m/>
    <s v=" "/>
  </r>
  <r>
    <s v="LIL18641"/>
    <s v="USDA"/>
    <s v="Federal"/>
    <s v="Fee Simple"/>
    <s v="3500 Wabash Ave"/>
    <s v="Springfield"/>
    <s v="IL"/>
    <n v="2.51"/>
    <n v="2011"/>
    <n v="18693"/>
    <n v="18693"/>
    <n v="1"/>
    <n v="395376.76"/>
    <n v="21.1510597549885"/>
    <n v="275025"/>
    <n v="14.71272668913497"/>
    <d v="2011-04-01T00:00:00"/>
    <d v="2021-03-31T00:00:00"/>
    <d v="2016-04-01T00:00:00"/>
    <n v="3.09041095890411"/>
    <n v="-1.90958904109589"/>
    <s v="Modified Gross"/>
    <s v="None"/>
    <s v="None"/>
    <n v="2900000"/>
    <n v="155.138287059327"/>
    <n v="0.09483620689655173"/>
    <m/>
    <d v="2018-02-27T00:00:00"/>
    <x v="1045"/>
    <s v="M&amp;M; Mobin"/>
    <x v="62"/>
    <s v="IL"/>
    <s v="Private"/>
    <m/>
    <m/>
    <n v="3300000"/>
    <n v="0.08334090909090909"/>
    <n v="0.8787878787878788"/>
    <n v="3300000"/>
    <n v="0.08334090909090909"/>
    <n v="0.01149529780564264"/>
    <s v="No"/>
    <d v="2017-09-23T00:00:00"/>
    <n v="157"/>
  </r>
  <r>
    <m/>
    <s v="USPS"/>
    <s v="Federal"/>
    <s v="Fee Simple"/>
    <s v="43051 Silver Valley Rd"/>
    <s v="Kingston"/>
    <s v="ID"/>
    <n v="1.05"/>
    <n v="1976"/>
    <n v="1056"/>
    <n v="1056"/>
    <n v="1"/>
    <n v="12600"/>
    <n v="11.93181818181818"/>
    <n v="11200"/>
    <n v="10.60606060606061"/>
    <d v="2016-02-01T00:00:00"/>
    <d v="2021-01-31T00:00:00"/>
    <d v="2021-01-31T00:00:00"/>
    <n v="2.931506849315069"/>
    <n v="2.931506849315069"/>
    <s v="Rider"/>
    <s v="None"/>
    <s v="None"/>
    <m/>
    <s v=" "/>
    <s v=" "/>
    <m/>
    <d v="2018-02-26T00:00:00"/>
    <x v="8"/>
    <s v="CB; Rall"/>
    <x v="0"/>
    <m/>
    <s v="Private"/>
    <m/>
    <m/>
    <n v="170000"/>
    <n v="0.06588235294117648"/>
    <s v=" "/>
    <n v="170000"/>
    <n v="0.06588235294117648"/>
    <s v=" "/>
    <s v="No"/>
    <d v="2017-11-30T00:00:00"/>
    <n v="88"/>
  </r>
  <r>
    <m/>
    <s v="County of Fairfax Virginia"/>
    <s v="State"/>
    <s v="Fee Simple"/>
    <s v="11484 Washington Plaza W"/>
    <s v="Reston"/>
    <s v="VA"/>
    <n v="1.72"/>
    <n v="1974"/>
    <n v="46088"/>
    <n v="46088"/>
    <n v="1"/>
    <m/>
    <s v=" "/>
    <n v="750400"/>
    <n v="16.28189550425273"/>
    <m/>
    <d v="2027-05-31T00:00:00"/>
    <m/>
    <n v="9.263013698630138"/>
    <s v=" "/>
    <s v="Full Service"/>
    <m/>
    <m/>
    <n v="11725000"/>
    <n v="254.404617253949"/>
    <n v="0.064"/>
    <m/>
    <d v="2018-02-26T00:00:00"/>
    <x v="1046"/>
    <s v="CBRE; Rampula"/>
    <x v="474"/>
    <s v="PA"/>
    <s v="Private"/>
    <m/>
    <m/>
    <m/>
    <s v=" "/>
    <s v=" "/>
    <m/>
    <s v=" "/>
    <s v=" "/>
    <s v=" "/>
    <d v="2017-08-01T00:00:00"/>
    <n v="209"/>
  </r>
  <r>
    <m/>
    <s v="DA"/>
    <s v="Municipal"/>
    <s v="Fee Simple"/>
    <s v="166 Main St"/>
    <s v="Brockton"/>
    <s v="MA"/>
    <n v="0.34"/>
    <n v="1985"/>
    <n v="15000"/>
    <n v="15000"/>
    <n v="1"/>
    <m/>
    <s v=" "/>
    <n v="462000"/>
    <n v="30.8"/>
    <d v="2017-03-01T00:00:00"/>
    <d v="2027-02-28T00:00:00"/>
    <m/>
    <n v="9.027397260273972"/>
    <s v=" "/>
    <m/>
    <m/>
    <m/>
    <n v="6600000"/>
    <n v="440"/>
    <n v="0.07000000000000001"/>
    <m/>
    <d v="2018-02-20T00:00:00"/>
    <x v="1047"/>
    <s v="Newmark; Gallas"/>
    <x v="1"/>
    <s v="IL"/>
    <s v="Private"/>
    <m/>
    <m/>
    <n v="7050000"/>
    <n v="0.06553191489361702"/>
    <n v="0.9361702127659575"/>
    <n v="7050000"/>
    <n v="0.06553191489361702"/>
    <n v="0.004468085106382982"/>
    <s v="No"/>
    <d v="2017-11-22T00:00:00"/>
    <n v="90"/>
  </r>
  <r>
    <m/>
    <s v="FBI"/>
    <s v="Federal"/>
    <s v="Fee Simple"/>
    <s v="207 E Clarendon Ave"/>
    <s v="Phoenix"/>
    <s v="AZ"/>
    <n v="1.04"/>
    <n v="2000"/>
    <n v="21943"/>
    <n v="21943"/>
    <n v="1"/>
    <m/>
    <s v=" "/>
    <m/>
    <s v=" "/>
    <m/>
    <m/>
    <m/>
    <s v=" "/>
    <s v=" "/>
    <m/>
    <m/>
    <m/>
    <n v="3000000"/>
    <n v="136.7178599097662"/>
    <s v=" "/>
    <m/>
    <d v="2018-02-14T00:00:00"/>
    <x v="1048"/>
    <s v="Colliers"/>
    <x v="734"/>
    <s v="AZ"/>
    <s v="Private"/>
    <m/>
    <m/>
    <m/>
    <s v=" "/>
    <s v=" "/>
    <m/>
    <s v=" "/>
    <s v=" "/>
    <s v=" "/>
    <m/>
    <s v=" "/>
  </r>
  <r>
    <m/>
    <s v="SSA"/>
    <s v="Federal"/>
    <s v="Fee Simple"/>
    <s v="106 Plaza Dr"/>
    <s v="Vallejo"/>
    <s v="CA"/>
    <n v="0.9"/>
    <n v="1999"/>
    <n v="10100"/>
    <n v="11381"/>
    <n v="0.8874439855900185"/>
    <n v="512005.62"/>
    <n v="50.69362574257426"/>
    <n v="430200"/>
    <n v="37.79984184166594"/>
    <d v="2009-04-01T00:00:00"/>
    <d v="2024-03-31T00:00:00"/>
    <d v="2019-04-30T00:00:00"/>
    <n v="6.131506849315069"/>
    <n v="1.208219178082192"/>
    <s v="Modified Gross"/>
    <s v="None"/>
    <s v="None"/>
    <n v="6675000"/>
    <n v="586.5038221597399"/>
    <n v="0.06444943820224719"/>
    <m/>
    <d v="2018-02-13T00:00:00"/>
    <x v="1049"/>
    <s v="C&amp;W; Trautvetter"/>
    <x v="735"/>
    <s v="CA"/>
    <s v="Private"/>
    <m/>
    <m/>
    <n v="7170000"/>
    <n v="0.06"/>
    <n v="0.9309623430962343"/>
    <n v="6775000"/>
    <n v="0.06349815498154981"/>
    <n v="0.0009512832206973743"/>
    <s v="Yes"/>
    <d v="2017-05-04T00:00:00"/>
    <n v="285"/>
  </r>
  <r>
    <s v="LAL00188"/>
    <s v="SSA"/>
    <s v="Federal"/>
    <s v="Fee Simple"/>
    <s v="203 S Walnut"/>
    <s v="Florence"/>
    <s v="AL"/>
    <n v="1.56"/>
    <n v="2002"/>
    <n v="14206"/>
    <n v="14206"/>
    <n v="1"/>
    <n v="325580.34"/>
    <n v="22.91850908067014"/>
    <m/>
    <s v=" "/>
    <d v="2017-07-22T00:00:00"/>
    <d v="2027-07-21T00:00:00"/>
    <d v="2022-07-21T00:00:00"/>
    <n v="9.441095890410958"/>
    <n v="4.438356164383562"/>
    <s v="Modified Gross"/>
    <s v="None"/>
    <s v="None"/>
    <m/>
    <s v=" "/>
    <s v=" "/>
    <m/>
    <d v="2018-02-12T00:00:00"/>
    <x v="1050"/>
    <m/>
    <x v="736"/>
    <s v="AL"/>
    <s v="Private"/>
    <m/>
    <m/>
    <m/>
    <s v=" "/>
    <s v=" "/>
    <m/>
    <s v=" "/>
    <s v=" "/>
    <s v=" "/>
    <m/>
    <s v=" "/>
  </r>
  <r>
    <s v="LWI18150"/>
    <s v="USGS"/>
    <s v="Federal"/>
    <s v="Fee Simple"/>
    <s v="8505 Research Way"/>
    <s v="Middleton"/>
    <s v="WI"/>
    <m/>
    <m/>
    <n v="24816"/>
    <n v="24816"/>
    <n v="1"/>
    <n v="550070.71"/>
    <n v="22.16596993874919"/>
    <m/>
    <s v=" "/>
    <d v="2011-12-01T00:00:00"/>
    <d v="2021-11-30T00:00:00"/>
    <d v="2016-12-01T00:00:00"/>
    <n v="3.808219178082192"/>
    <n v="-1.191780821917808"/>
    <m/>
    <m/>
    <m/>
    <n v="4300000"/>
    <n v="173.2753062540297"/>
    <s v=" "/>
    <m/>
    <d v="2018-02-09T00:00:00"/>
    <x v="1051"/>
    <m/>
    <x v="229"/>
    <s v="CA"/>
    <s v="Private"/>
    <m/>
    <m/>
    <m/>
    <s v=" "/>
    <s v=" "/>
    <m/>
    <s v=" "/>
    <s v=" "/>
    <s v=" "/>
    <m/>
    <s v=" "/>
  </r>
  <r>
    <m/>
    <s v="MSHA"/>
    <s v="Federal"/>
    <s v="Fee Simple"/>
    <s v="409 George Kostas Dr"/>
    <s v="Logan"/>
    <s v="WV"/>
    <n v="1"/>
    <n v="2016"/>
    <n v="12000"/>
    <n v="12000"/>
    <n v="1"/>
    <m/>
    <s v=" "/>
    <n v="233908"/>
    <n v="19.49233333333333"/>
    <d v="2017-10-01T00:00:00"/>
    <d v="2031-09-30T00:00:00"/>
    <d v="2026-09-30T00:00:00"/>
    <n v="13.65753424657534"/>
    <n v="8.654794520547945"/>
    <s v="Modified Gross"/>
    <s v="None"/>
    <s v="None"/>
    <n v="2950000"/>
    <n v="245.8333333333333"/>
    <n v="0.07929084745762711"/>
    <m/>
    <d v="2018-02-05T00:00:00"/>
    <x v="1052"/>
    <s v="Darrell Rolston"/>
    <x v="429"/>
    <s v="NY"/>
    <s v="Private"/>
    <m/>
    <s v="The Oaks"/>
    <n v="3100000"/>
    <n v="0.0754541935483871"/>
    <n v="0.9516129032258065"/>
    <n v="3100000"/>
    <n v="0.0754541935483871"/>
    <n v="0.003836653909240012"/>
    <s v="No"/>
    <d v="2016-09-26T00:00:00"/>
    <n v="497"/>
  </r>
  <r>
    <m/>
    <s v="PD"/>
    <s v="Federal"/>
    <s v="Fee Simple"/>
    <s v="321 E 2nd St"/>
    <s v="Los Angeles"/>
    <s v="CA"/>
    <n v="0.25"/>
    <n v="1963"/>
    <n v="50130"/>
    <n v="50130"/>
    <n v="1"/>
    <n v="1694897"/>
    <n v="33.81003391182924"/>
    <n v="876064"/>
    <n v="17.47584280869739"/>
    <d v="2017-03-01T00:00:00"/>
    <d v="2027-02-28T00:00:00"/>
    <d v="2027-02-28T00:00:00"/>
    <n v="9.076712328767123"/>
    <n v="9.076712328767123"/>
    <s v="Full Service"/>
    <s v="Flat"/>
    <s v="None"/>
    <n v="18000000"/>
    <n v="359.0664272890485"/>
    <n v="0.04867022222222222"/>
    <m/>
    <d v="2018-02-02T00:00:00"/>
    <x v="1053"/>
    <s v="Charles Dunn"/>
    <x v="737"/>
    <s v="NY"/>
    <s v="Private"/>
    <m/>
    <m/>
    <m/>
    <s v=" "/>
    <s v=" "/>
    <m/>
    <s v=" "/>
    <s v=" "/>
    <s v=" "/>
    <m/>
    <s v=" "/>
  </r>
  <r>
    <s v="LWA07036"/>
    <m/>
    <s v="Federal"/>
    <s v="Fee Simple"/>
    <s v="411 W Cataldo"/>
    <s v="Spokane"/>
    <s v="WA"/>
    <n v="1.3"/>
    <n v="1907"/>
    <n v="21229"/>
    <n v="30000"/>
    <n v="0.7076333333333333"/>
    <n v="463435.73"/>
    <n v="21.83031372179565"/>
    <m/>
    <s v=" "/>
    <d v="2009-12-01T00:00:00"/>
    <d v="2021-07-17T00:00:00"/>
    <d v="2021-07-17T00:00:00"/>
    <n v="3.454794520547945"/>
    <n v="3.454794520547945"/>
    <s v="Modified Gross"/>
    <m/>
    <m/>
    <n v="5100000"/>
    <n v="170"/>
    <s v=" "/>
    <m/>
    <d v="2018-02-02T00:00:00"/>
    <x v="1054"/>
    <m/>
    <x v="738"/>
    <s v="WA"/>
    <s v="Private"/>
    <m/>
    <m/>
    <m/>
    <s v=" "/>
    <s v=" "/>
    <m/>
    <s v=" "/>
    <s v=" "/>
    <s v=" "/>
    <m/>
    <s v=" "/>
  </r>
  <r>
    <m/>
    <s v="PR"/>
    <s v="State"/>
    <s v="Fee Simple"/>
    <s v="2601 Blairstone Rd"/>
    <s v="Tallahassee"/>
    <s v="FL"/>
    <n v="3.85"/>
    <n v="1994"/>
    <n v="275000"/>
    <n v="275000"/>
    <n v="1"/>
    <m/>
    <s v=" "/>
    <n v="2320377.197"/>
    <n v="8.437735261818181"/>
    <m/>
    <d v="2026-08-01T00:00:00"/>
    <d v="2026-08-01T00:00:00"/>
    <n v="8.528767123287672"/>
    <n v="8.528767123287672"/>
    <m/>
    <m/>
    <m/>
    <n v="31785989"/>
    <n v="115.5854145454545"/>
    <n v="0.073"/>
    <m/>
    <d v="2018-01-22T00:00:00"/>
    <x v="1055"/>
    <s v="Colliers; Rossi"/>
    <x v="497"/>
    <s v="TN"/>
    <s v="REIT"/>
    <m/>
    <m/>
    <m/>
    <s v=" "/>
    <s v=" "/>
    <m/>
    <s v=" "/>
    <s v=" "/>
    <s v=" "/>
    <m/>
    <s v=" "/>
  </r>
  <r>
    <m/>
    <s v="USDA"/>
    <s v="Federal"/>
    <s v="Fee Simple"/>
    <s v="1310-1340 Braddock Pl"/>
    <s v="Alexandria"/>
    <s v="VA"/>
    <n v="3.56"/>
    <m/>
    <n v="131000"/>
    <n v="372287"/>
    <n v="0.351879061046988"/>
    <m/>
    <s v=" "/>
    <n v="7068000"/>
    <n v="18.98535269832146"/>
    <m/>
    <d v="2019-12-01T00:00:00"/>
    <d v="2019-12-01T00:00:00"/>
    <n v="1.865753424657534"/>
    <n v="1.865753424657534"/>
    <s v="Modified Gross"/>
    <s v="None"/>
    <s v="None"/>
    <n v="93000000"/>
    <n v="249.8072723463349"/>
    <n v="0.076"/>
    <m/>
    <d v="2018-01-19T00:00:00"/>
    <x v="1056"/>
    <s v="C&amp;W; Collins"/>
    <x v="739"/>
    <s v="FL"/>
    <s v="Private"/>
    <m/>
    <m/>
    <m/>
    <s v=" "/>
    <s v=" "/>
    <m/>
    <s v=" "/>
    <s v=" "/>
    <s v=" "/>
    <d v="2017-10-01T00:00:00"/>
    <n v="110"/>
  </r>
  <r>
    <m/>
    <s v="DS&amp;HS"/>
    <s v="State"/>
    <s v="Fee Simple"/>
    <s v="616 S 348th St"/>
    <s v="Federal Way"/>
    <s v="WA"/>
    <n v="2.68"/>
    <n v="1993"/>
    <n v="22590"/>
    <n v="22590"/>
    <n v="1"/>
    <m/>
    <s v=" "/>
    <n v="359024"/>
    <n v="15.89305002213369"/>
    <m/>
    <m/>
    <m/>
    <s v=" "/>
    <s v=" "/>
    <m/>
    <m/>
    <m/>
    <n v="5015000"/>
    <n v="222.0008853474989"/>
    <n v="0.07159002991026919"/>
    <m/>
    <d v="2018-01-19T00:00:00"/>
    <x v="1057"/>
    <s v="Colliers"/>
    <x v="740"/>
    <s v="WA"/>
    <s v="Private"/>
    <m/>
    <m/>
    <n v="5400000"/>
    <n v="0.06648592592592592"/>
    <n v="0.9287037037037037"/>
    <n v="5400000"/>
    <n v="0.06648592592592592"/>
    <n v="0.005104103984343272"/>
    <s v="No"/>
    <d v="2017-05-24T00:00:00"/>
    <n v="240"/>
  </r>
  <r>
    <m/>
    <s v="VA/Resource Center"/>
    <s v="Federal"/>
    <s v="Fee Simple"/>
    <s v="1301 NE 14th St"/>
    <s v="Oklahoma City"/>
    <s v="OK"/>
    <n v="1.45"/>
    <n v="1981"/>
    <n v="10972"/>
    <n v="10972"/>
    <n v="1"/>
    <m/>
    <s v=" "/>
    <m/>
    <s v=" "/>
    <m/>
    <m/>
    <m/>
    <s v=" "/>
    <s v=" "/>
    <m/>
    <m/>
    <m/>
    <n v="2300000"/>
    <n v="209.6244987240248"/>
    <s v=" "/>
    <m/>
    <d v="2018-01-19T00:00:00"/>
    <x v="1058"/>
    <m/>
    <x v="440"/>
    <s v="CA"/>
    <s v="Private"/>
    <m/>
    <m/>
    <m/>
    <s v=" "/>
    <s v=" "/>
    <m/>
    <s v=" "/>
    <s v=" "/>
    <s v=" "/>
    <m/>
    <s v=" "/>
  </r>
  <r>
    <m/>
    <s v="VA"/>
    <s v="Federal"/>
    <s v="Fee Simple"/>
    <s v="41810 N Venture Dr"/>
    <s v="Phoenix"/>
    <s v="AZ"/>
    <n v="0.21"/>
    <n v="2008"/>
    <n v="9211"/>
    <n v="9211"/>
    <n v="1"/>
    <n v="200317"/>
    <n v="21.74758440994463"/>
    <n v="108750"/>
    <n v="11.80653566388014"/>
    <d v="2017-01-01T00:00:00"/>
    <d v="2026-12-31T00:00:00"/>
    <d v="2021-12-31T00:00:00"/>
    <n v="8.956164383561644"/>
    <n v="3.953424657534247"/>
    <s v="Full Service"/>
    <s v="None"/>
    <s v="None"/>
    <n v="1406400"/>
    <n v="152.6870046683314"/>
    <n v="0.07732508532423209"/>
    <m/>
    <d v="2018-01-18T00:00:00"/>
    <x v="1059"/>
    <m/>
    <x v="741"/>
    <s v="CA"/>
    <s v="Private"/>
    <m/>
    <m/>
    <m/>
    <s v=" "/>
    <s v=" "/>
    <m/>
    <s v=" "/>
    <s v=" "/>
    <s v=" "/>
    <m/>
    <s v=" "/>
  </r>
  <r>
    <s v="LVA00081"/>
    <s v="SSA"/>
    <s v="Federal"/>
    <s v="Fee Simple"/>
    <s v="22581 Center Pky"/>
    <s v="Accomac"/>
    <s v="VA"/>
    <n v="1.07"/>
    <n v="1999"/>
    <n v="5155"/>
    <n v="5155"/>
    <n v="1"/>
    <n v="95200"/>
    <n v="18.46750727449079"/>
    <n v="71553"/>
    <n v="13.88031037827352"/>
    <d v="2017-08-05T00:00:00"/>
    <d v="2027-08-04T00:00:00"/>
    <d v="2027-08-04T00:00:00"/>
    <n v="9.553424657534247"/>
    <n v="9.553424657534247"/>
    <s v="Modified Gross"/>
    <s v="None"/>
    <s v="None"/>
    <n v="915000"/>
    <n v="177.4975751697381"/>
    <n v="0.07820000000000001"/>
    <m/>
    <d v="2018-01-16T00:00:00"/>
    <x v="1060"/>
    <s v="M&amp;M; Mobin"/>
    <x v="742"/>
    <s v="VA"/>
    <s v="Private"/>
    <s v="Harvey; Allen"/>
    <m/>
    <n v="950000"/>
    <n v="0.07531894736842105"/>
    <n v="0.9631578947368421"/>
    <n v="950000"/>
    <n v="0.07531894736842105"/>
    <n v="0.002881052631578951"/>
    <s v="No"/>
    <m/>
    <s v=" "/>
  </r>
  <r>
    <m/>
    <s v="USDA"/>
    <s v="Federal"/>
    <s v="Fee Simple"/>
    <s v="2738 Crossroads Blvd"/>
    <s v="Grand Junction"/>
    <s v="CO"/>
    <n v="1.48"/>
    <n v="2003"/>
    <n v="11068"/>
    <n v="11068"/>
    <n v="1"/>
    <m/>
    <s v=" "/>
    <n v="186581.98"/>
    <n v="16.85778641127575"/>
    <d v="2002-06-01T00:00:00"/>
    <d v="2022-05-31T00:00:00"/>
    <d v="2017-05-31T00:00:00"/>
    <n v="4.372602739726028"/>
    <n v="-0.6301369863013698"/>
    <s v="Modified Gross"/>
    <s v="None"/>
    <s v="None"/>
    <n v="2451800"/>
    <n v="221.5215034333213"/>
    <n v="0.0761"/>
    <m/>
    <d v="2018-01-16T00:00:00"/>
    <x v="1061"/>
    <s v="Bray Comm"/>
    <x v="743"/>
    <s v="AZ"/>
    <s v="Private"/>
    <m/>
    <m/>
    <n v="2665000"/>
    <n v="0.070012"/>
    <n v="0.92"/>
    <n v="2665000"/>
    <n v="0.070012"/>
    <n v="0.006087999999999996"/>
    <s v="No"/>
    <d v="2017-10-12T00:00:00"/>
    <n v="96"/>
  </r>
  <r>
    <s v="LMO51013"/>
    <s v="SSA"/>
    <s v="Federal"/>
    <s v="Fee Simple"/>
    <s v="1105 Mitchell Ave"/>
    <s v="Chillicothe"/>
    <s v="MO"/>
    <n v="1.2"/>
    <n v="1996"/>
    <n v="3852"/>
    <n v="3852"/>
    <n v="1"/>
    <n v="100422.76"/>
    <n v="26.07029075804776"/>
    <n v="67336"/>
    <n v="17.48078920041537"/>
    <d v="2016-11-18T00:00:00"/>
    <d v="2026-11-17T00:00:00"/>
    <d v="2023-11-17T00:00:00"/>
    <n v="8.843835616438357"/>
    <n v="5.841095890410959"/>
    <s v="Modified Gross"/>
    <s v="None"/>
    <s v="None"/>
    <n v="750000"/>
    <n v="194.7040498442367"/>
    <n v="0.08978133333333334"/>
    <m/>
    <d v="2018-01-15T00:00:00"/>
    <x v="266"/>
    <s v="Marty Helgerson"/>
    <x v="744"/>
    <s v="CA"/>
    <s v="Private"/>
    <s v="SJC; Hellwig"/>
    <m/>
    <n v="750000"/>
    <n v="0.08978133333333334"/>
    <n v="1"/>
    <n v="750000"/>
    <n v="0.08978133333333334"/>
    <n v="0"/>
    <s v="No"/>
    <d v="2017-05-28T00:00:00"/>
    <n v="232"/>
  </r>
  <r>
    <m/>
    <s v="USPS"/>
    <s v="Federal"/>
    <s v="Fee Simple"/>
    <s v="515 S Ellery Ave"/>
    <s v="Fairview"/>
    <s v="MT"/>
    <n v="0.17"/>
    <m/>
    <n v="2143"/>
    <n v="2143"/>
    <n v="1"/>
    <n v="17660"/>
    <n v="8.240783947736817"/>
    <m/>
    <s v=" "/>
    <m/>
    <m/>
    <m/>
    <s v=" "/>
    <s v=" "/>
    <m/>
    <m/>
    <m/>
    <m/>
    <s v=" "/>
    <s v=" "/>
    <m/>
    <d v="2018-01-09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140 Gershick Rd"/>
    <s v="Silver Creek"/>
    <s v="WA"/>
    <n v="0.4"/>
    <n v="1987"/>
    <n v="522"/>
    <n v="522"/>
    <n v="1"/>
    <n v="9256"/>
    <n v="17.73180076628352"/>
    <m/>
    <s v=" "/>
    <m/>
    <m/>
    <m/>
    <s v=" "/>
    <s v=" "/>
    <m/>
    <m/>
    <m/>
    <n v="113100"/>
    <n v="216.6666666666667"/>
    <s v=" "/>
    <m/>
    <d v="2018-01-09T00:00:00"/>
    <x v="8"/>
    <m/>
    <x v="0"/>
    <m/>
    <m/>
    <m/>
    <m/>
    <m/>
    <s v=" "/>
    <s v=" "/>
    <m/>
    <s v=" "/>
    <s v=" "/>
    <s v=" "/>
    <m/>
    <s v=" "/>
  </r>
  <r>
    <m/>
    <s v="Sutter County Public Schools"/>
    <s v="Municipal"/>
    <s v="Fee Simple"/>
    <s v="950 Tharp Rd, Ste 1100"/>
    <s v="Yuba City"/>
    <s v="CA"/>
    <n v="0.96"/>
    <n v="2005"/>
    <n v="6808"/>
    <n v="6808"/>
    <n v="1"/>
    <m/>
    <s v=" "/>
    <n v="84498"/>
    <n v="12.41157461809636"/>
    <d v="2012-04-01T00:00:00"/>
    <d v="2022-03-31T00:00:00"/>
    <d v="2022-03-31T00:00:00"/>
    <n v="4.232876712328767"/>
    <n v="4.232876712328767"/>
    <s v="NN"/>
    <s v="None"/>
    <s v="None"/>
    <n v="1500000"/>
    <n v="220.3290246768508"/>
    <n v="0.056332"/>
    <m/>
    <d v="2018-01-06T00:00:00"/>
    <x v="1062"/>
    <s v="Jeff Helm"/>
    <x v="745"/>
    <s v="CA"/>
    <s v="Private"/>
    <s v="Jim Kent"/>
    <m/>
    <n v="1500000"/>
    <n v="0.056332"/>
    <n v="1"/>
    <n v="1500000"/>
    <n v="0.056332"/>
    <n v="0"/>
    <s v="No"/>
    <d v="2017-12-13T00:00:00"/>
    <n v="24"/>
  </r>
  <r>
    <s v="LGA43248"/>
    <s v="SSA"/>
    <s v="Federal"/>
    <s v="Fee Simple"/>
    <s v="1338 Broadway"/>
    <s v="Columbus"/>
    <s v="GA"/>
    <n v="0.16"/>
    <n v="1913"/>
    <n v="1632"/>
    <n v="2728"/>
    <n v="0.5982404692082112"/>
    <n v="51017"/>
    <n v="31.26041666666667"/>
    <m/>
    <s v=" "/>
    <d v="2004-12-22T00:00:00"/>
    <d v="2017-12-21T00:00:00"/>
    <d v="2017-12-21T00:00:00"/>
    <n v="-0.0410958904109589"/>
    <n v="-0.0410958904109589"/>
    <s v="Modified Gross"/>
    <s v="None"/>
    <s v="None"/>
    <n v="400000"/>
    <n v="146.6275659824047"/>
    <s v=" "/>
    <m/>
    <d v="2018-01-05T00:00:00"/>
    <x v="1063"/>
    <m/>
    <x v="746"/>
    <m/>
    <m/>
    <m/>
    <m/>
    <m/>
    <s v=" "/>
    <s v=" "/>
    <m/>
    <s v=" "/>
    <s v=" "/>
    <s v=" "/>
    <m/>
    <s v=" "/>
  </r>
  <r>
    <m/>
    <s v="City of Sacramento"/>
    <s v="Municipal"/>
    <s v="Fee Simple"/>
    <s v="2109 Del Paso Blvd"/>
    <s v="Sacramento"/>
    <s v="CA"/>
    <n v="0.17"/>
    <n v="1925"/>
    <n v="4000"/>
    <n v="4000"/>
    <n v="1"/>
    <n v="78080"/>
    <n v="19.52"/>
    <n v="56039"/>
    <n v="14.00975"/>
    <d v="2013-03-01T00:00:00"/>
    <d v="2020-03-31T00:00:00"/>
    <d v="2013-06-29T00:00:00"/>
    <n v="2.243835616438356"/>
    <n v="-4.515068493150685"/>
    <s v="Full Service"/>
    <s v="2% annually"/>
    <s v="1, 3 year"/>
    <n v="599000"/>
    <n v="149.75"/>
    <n v="0.09355425709515859"/>
    <m/>
    <d v="2018-01-02T00:00:00"/>
    <x v="8"/>
    <s v="Jim Walker"/>
    <x v="0"/>
    <m/>
    <m/>
    <m/>
    <m/>
    <n v="599000"/>
    <n v="0.09355425709515859"/>
    <n v="1"/>
    <n v="599000"/>
    <n v="0.09355425709515859"/>
    <n v="0"/>
    <s v="No"/>
    <d v="2017-06-08T00:00:00"/>
    <n v="208"/>
  </r>
  <r>
    <m/>
    <s v="ITC/SSA"/>
    <s v="Federal"/>
    <s v="Fee Simple"/>
    <s v="500 E St. SW"/>
    <s v="Washington"/>
    <s v="DC"/>
    <n v="1.09"/>
    <n v="1987"/>
    <n v="262959"/>
    <n v="262959"/>
    <n v="1"/>
    <m/>
    <s v=" "/>
    <m/>
    <s v=" "/>
    <d v="2017-09-01T00:00:00"/>
    <d v="2032-08-31T00:00:00"/>
    <d v="2032-08-31T00:00:00"/>
    <n v="14.67397260273973"/>
    <n v="14.67397260273973"/>
    <s v="Full Service"/>
    <m/>
    <m/>
    <n v="118560000"/>
    <n v="450.8687666138067"/>
    <s v=" "/>
    <m/>
    <d v="2018-01-01T00:00:00"/>
    <x v="697"/>
    <s v="C&amp;W; Bill Collins"/>
    <x v="1"/>
    <s v="IL"/>
    <s v="Private"/>
    <m/>
    <m/>
    <m/>
    <s v=" "/>
    <s v=" "/>
    <m/>
    <s v=" "/>
    <s v=" "/>
    <s v=" "/>
    <m/>
    <s v=" "/>
  </r>
  <r>
    <m/>
    <s v="USDA"/>
    <s v="Federal"/>
    <s v="Leasehold"/>
    <s v="920 Main Campus  Dr"/>
    <s v="Raleigh"/>
    <s v="NC"/>
    <n v="32.97"/>
    <n v="1999"/>
    <n v="90650"/>
    <n v="466564"/>
    <n v="0.1942927444037688"/>
    <n v="3399407"/>
    <n v="37.50035300606729"/>
    <m/>
    <s v=" "/>
    <d v="1999-05-01T00:00:00"/>
    <d v="2021-04-30T00:00:00"/>
    <d v="2021-04-30T00:00:00"/>
    <n v="3.331506849315069"/>
    <n v="3.331506849315069"/>
    <s v="Modified Gross"/>
    <s v="None"/>
    <s v="None"/>
    <m/>
    <s v=" "/>
    <s v=" "/>
    <m/>
    <d v="2017-12-31T00:00:00"/>
    <x v="1064"/>
    <m/>
    <x v="747"/>
    <s v="MI"/>
    <s v="Institutional"/>
    <m/>
    <m/>
    <m/>
    <s v=" "/>
    <s v=" "/>
    <m/>
    <s v=" "/>
    <s v=" "/>
    <s v=" "/>
    <m/>
    <s v=" "/>
  </r>
  <r>
    <s v="LOK16549"/>
    <s v="BIA"/>
    <s v="Federal"/>
    <s v="Fee Simple"/>
    <s v="600 N Milt Phillips Ave"/>
    <s v="Seminole"/>
    <s v="OK"/>
    <n v="2.135"/>
    <n v="1978"/>
    <n v="9825"/>
    <n v="9825"/>
    <n v="1"/>
    <n v="169138"/>
    <n v="17.21506361323155"/>
    <n v="115691"/>
    <n v="11.77516539440204"/>
    <d v="2009-10-01T00:00:00"/>
    <d v="2026-09-30T00:00:00"/>
    <d v="2014-09-30T00:00:00"/>
    <n v="8.753424657534246"/>
    <n v="-3.254794520547945"/>
    <s v="Modified Gross"/>
    <s v="None"/>
    <s v="None"/>
    <n v="1100000"/>
    <n v="111.9592875318066"/>
    <n v="0.1051736363636364"/>
    <m/>
    <d v="2017-12-31T00:00:00"/>
    <x v="8"/>
    <s v="M&amp;M; Ficke"/>
    <x v="0"/>
    <m/>
    <m/>
    <m/>
    <m/>
    <n v="1218000"/>
    <n v="0.09498440065681445"/>
    <n v="0.90311986863711"/>
    <n v="1218000"/>
    <n v="0.09498440065681445"/>
    <n v="0.01018923570682191"/>
    <s v="No"/>
    <d v="2017-09-14T00:00:00"/>
    <n v="108"/>
  </r>
  <r>
    <m/>
    <s v="GSA"/>
    <s v="Federal"/>
    <s v="Fee Simple"/>
    <s v="1050 First Street NE"/>
    <s v="Washington"/>
    <s v="DC"/>
    <n v="0.68"/>
    <n v="2013"/>
    <n v="271283.988"/>
    <n v="289524"/>
    <n v="0.9370000000000001"/>
    <m/>
    <s v=" "/>
    <n v="8958600"/>
    <n v="30.9425125378207"/>
    <d v="2017-12-01T00:00:00"/>
    <d v="2032-11-30T00:00:00"/>
    <d v="2032-11-30T00:00:00"/>
    <n v="14.93150684931507"/>
    <n v="14.93150684931507"/>
    <s v="Modified Gross"/>
    <m/>
    <m/>
    <n v="165900000"/>
    <n v="573.0094914411241"/>
    <n v="0.054"/>
    <m/>
    <d v="2017-12-29T00:00:00"/>
    <x v="1065"/>
    <s v="C&amp;W;"/>
    <x v="748"/>
    <m/>
    <s v="Cross-Border"/>
    <m/>
    <m/>
    <m/>
    <s v=" "/>
    <s v=" "/>
    <m/>
    <s v=" "/>
    <s v=" "/>
    <s v=" "/>
    <m/>
    <s v=" "/>
  </r>
  <r>
    <m/>
    <s v="VA/Vet Center"/>
    <s v="Federal"/>
    <s v="Fee Simple"/>
    <s v="1604 3rd Ave SE"/>
    <s v="Gainesville"/>
    <s v="FL"/>
    <n v="3"/>
    <n v="1946"/>
    <n v="25601"/>
    <n v="25601"/>
    <n v="1"/>
    <n v="677798"/>
    <n v="26.47545017772743"/>
    <n v="549682"/>
    <n v="21.47111440959338"/>
    <d v="2010-01-01T00:00:00"/>
    <d v="2029-12-31T00:00:00"/>
    <d v="2024-12-31T00:00:00"/>
    <n v="12.01643835616438"/>
    <n v="7.013698630136986"/>
    <s v="Full Service"/>
    <m/>
    <s v="None"/>
    <n v="7630000"/>
    <n v="298.035232998711"/>
    <n v="0.07204220183486239"/>
    <m/>
    <d v="2017-12-28T00:00:00"/>
    <x v="1066"/>
    <s v="M&amp;M; Ficke"/>
    <x v="749"/>
    <s v="NY"/>
    <s v="REIT"/>
    <m/>
    <m/>
    <m/>
    <s v=" "/>
    <s v=" "/>
    <m/>
    <s v=" "/>
    <s v=" "/>
    <s v=" "/>
    <m/>
    <s v=" "/>
  </r>
  <r>
    <s v="LWV12158"/>
    <s v="Multi- 2 GSA Leases"/>
    <s v="Federal"/>
    <s v="Fee Simple"/>
    <s v="301 Ninth"/>
    <s v="Huntington"/>
    <s v="WV"/>
    <n v="0.49"/>
    <n v="1891"/>
    <n v="28462"/>
    <n v="61774"/>
    <n v="0.4607440023310778"/>
    <n v="584632"/>
    <n v="20.54079123041248"/>
    <n v="448050"/>
    <n v="7.253051445591996"/>
    <d v="2018-01-26T00:00:00"/>
    <d v="2028-01-25T00:00:00"/>
    <d v="2023-01-26T00:00:00"/>
    <n v="10.08219178082192"/>
    <n v="5.082191780821918"/>
    <s v="Modified Gross"/>
    <s v="None"/>
    <s v="None"/>
    <n v="5150000"/>
    <n v="83.36840742059766"/>
    <n v="0.08699999999999999"/>
    <m/>
    <d v="2017-12-28T00:00:00"/>
    <x v="1067"/>
    <s v="M&amp;M; Fenn"/>
    <x v="750"/>
    <s v="AR"/>
    <s v="Private"/>
    <m/>
    <m/>
    <n v="5220377"/>
    <n v="0.08582713470693783"/>
    <n v="0.9865187897349176"/>
    <n v="5220377"/>
    <n v="0.08582713470693783"/>
    <n v="0.001172865293062167"/>
    <s v="No"/>
    <d v="2017-03-29T00:00:00"/>
    <n v="274"/>
  </r>
  <r>
    <m/>
    <s v="Multi"/>
    <s v="Federal"/>
    <s v="Fee Simple"/>
    <s v="3016 Boulds Ct"/>
    <s v="Charlottesville"/>
    <s v="VA"/>
    <n v="5.72"/>
    <m/>
    <n v="66049"/>
    <n v="102604"/>
    <n v="0.6437273400647149"/>
    <m/>
    <s v=" "/>
    <m/>
    <s v=" "/>
    <d v="2019-12-07T00:00:00"/>
    <d v="2024-12-06T00:00:00"/>
    <d v="2024-12-06T00:00:00"/>
    <n v="6.947945205479452"/>
    <n v="6.947945205479452"/>
    <s v="Modified Gross"/>
    <s v="None"/>
    <s v="None"/>
    <n v="40500000"/>
    <n v="394.7214533546451"/>
    <s v=" "/>
    <m/>
    <d v="2017-12-27T00:00:00"/>
    <x v="1068"/>
    <s v="Direct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551 National Healthcare Dr"/>
    <s v="Daytona Beach"/>
    <s v="FL"/>
    <n v="4.67"/>
    <n v="2001"/>
    <n v="63750"/>
    <n v="63750"/>
    <n v="1"/>
    <n v="1012027"/>
    <n v="15.87493333333333"/>
    <n v="916275"/>
    <n v="14.37294117647059"/>
    <d v="2001-10-01T00:00:00"/>
    <d v="2021-10-03T00:00:00"/>
    <d v="2016-10-03T00:00:00"/>
    <n v="3.783561643835617"/>
    <n v="-1.219178082191781"/>
    <s v="Full Service"/>
    <m/>
    <s v="None"/>
    <n v="9645000"/>
    <n v="151.2941176470588"/>
    <n v="0.095"/>
    <m/>
    <d v="2017-12-22T00:00:00"/>
    <x v="826"/>
    <s v="SJC; Scrivner"/>
    <x v="429"/>
    <s v="NY"/>
    <s v="Private"/>
    <m/>
    <m/>
    <m/>
    <s v=" "/>
    <s v=" "/>
    <m/>
    <s v=" "/>
    <s v=" "/>
    <s v=" "/>
    <m/>
    <s v=" "/>
  </r>
  <r>
    <m/>
    <s v="VRA"/>
    <s v="State"/>
    <s v="Fee Simple"/>
    <s v="1551 Juliette Rd"/>
    <s v="Stone Mountain"/>
    <s v="GA"/>
    <n v="25.5"/>
    <n v="1974"/>
    <n v="186907"/>
    <n v="186907"/>
    <n v="1"/>
    <m/>
    <s v=" "/>
    <n v="1398875"/>
    <n v="7.484337130230543"/>
    <d v="2015-09-01T00:00:00"/>
    <d v="2030-08-30T00:00:00"/>
    <d v="2030-08-30T00:00:00"/>
    <n v="12.6958904109589"/>
    <n v="12.6958904109589"/>
    <s v="Full Service"/>
    <s v="2% annually"/>
    <s v="None"/>
    <n v="18050000"/>
    <n v="96.57209200297474"/>
    <n v="0.0775"/>
    <m/>
    <d v="2017-12-22T00:00:00"/>
    <x v="1069"/>
    <s v="Direct"/>
    <x v="429"/>
    <s v="NY"/>
    <s v="Private"/>
    <m/>
    <m/>
    <m/>
    <s v=" "/>
    <s v=" "/>
    <m/>
    <s v=" "/>
    <s v=" "/>
    <s v=" "/>
    <m/>
    <s v=" "/>
  </r>
  <r>
    <m/>
    <s v="VA"/>
    <s v="Federal"/>
    <s v="Fee Simple"/>
    <s v="1390 E Burleigh Blvd"/>
    <s v="Tavares"/>
    <s v="FL"/>
    <n v="1.89"/>
    <n v="2016"/>
    <n v="9986"/>
    <n v="9986"/>
    <n v="1"/>
    <n v="229884"/>
    <n v="23.02062888043261"/>
    <m/>
    <s v=" "/>
    <d v="2016-01-20T00:00:00"/>
    <d v="2026-01-20T00:00:00"/>
    <d v="2026-01-20T00:00:00"/>
    <n v="8.084931506849315"/>
    <n v="8.084931506849315"/>
    <s v="Modified Gross"/>
    <s v="None"/>
    <s v="None"/>
    <n v="1200000"/>
    <n v="120.1682355297416"/>
    <s v=" "/>
    <m/>
    <d v="2017-12-22T00:00:00"/>
    <x v="1070"/>
    <m/>
    <x v="751"/>
    <s v="AZ"/>
    <s v="Private"/>
    <m/>
    <m/>
    <m/>
    <s v=" "/>
    <s v=" "/>
    <m/>
    <s v=" "/>
    <s v=" "/>
    <s v=" "/>
    <m/>
    <s v=" "/>
  </r>
  <r>
    <m/>
    <s v="DC"/>
    <s v="Federal"/>
    <s v="Fee Simple"/>
    <s v="64 New York Ave NE"/>
    <s v="Washington"/>
    <s v="DC"/>
    <n v="2.97"/>
    <n v="1909"/>
    <n v="339520"/>
    <n v="355034"/>
    <n v="0.9563027766354771"/>
    <m/>
    <s v=" "/>
    <n v="12109500"/>
    <n v="34.10800092385518"/>
    <m/>
    <d v="2026-04-30T00:00:00"/>
    <m/>
    <n v="8.358904109589041"/>
    <s v=" "/>
    <s v="Modified Gross"/>
    <s v="2% annually"/>
    <s v="FMV, 1, 5 year"/>
    <n v="186300000"/>
    <n v="524.7384757516181"/>
    <n v="0.065"/>
    <m/>
    <d v="2017-12-22T00:00:00"/>
    <x v="1071"/>
    <s v="C&amp;W; Collins"/>
    <x v="752"/>
    <s v="MD"/>
    <s v="Institutional"/>
    <m/>
    <m/>
    <m/>
    <s v=" "/>
    <s v=" "/>
    <m/>
    <s v=" "/>
    <s v=" "/>
    <s v=" "/>
    <d v="2016-09-16T00:00:00"/>
    <n v="462"/>
  </r>
  <r>
    <m/>
    <s v="USPS"/>
    <s v="Federal"/>
    <s v="Fee Simple"/>
    <s v="106 South St"/>
    <s v="Elbridge"/>
    <s v="NY"/>
    <n v="0.26"/>
    <n v="1962"/>
    <n v="2052"/>
    <n v="2052"/>
    <n v="1"/>
    <n v="26676"/>
    <n v="13"/>
    <n v="23758"/>
    <n v="11.57797270955166"/>
    <d v="2017-01-27T00:00:00"/>
    <d v="2022-01-26T00:00:00"/>
    <d v="2020-01-27T00:00:00"/>
    <n v="4.106849315068493"/>
    <n v="2.106849315068493"/>
    <s v="Rider"/>
    <s v="None"/>
    <s v="None"/>
    <n v="296975"/>
    <n v="144.7246588693957"/>
    <n v="0.08"/>
    <m/>
    <d v="2017-12-19T00:00:00"/>
    <x v="8"/>
    <s v="Thomas Coe"/>
    <x v="0"/>
    <m/>
    <m/>
    <m/>
    <m/>
    <n v="296975"/>
    <n v="0.08"/>
    <n v="1"/>
    <n v="296975"/>
    <n v="0.08"/>
    <n v="0"/>
    <s v="No"/>
    <d v="2017-09-01T00:00:00"/>
    <n v="109"/>
  </r>
  <r>
    <s v="LOH00604"/>
    <s v="IRS/SS"/>
    <s v="Federal"/>
    <s v="Fee Simple"/>
    <s v="6450 Rockside Woods Blvd"/>
    <s v="Independence"/>
    <s v="OH"/>
    <n v="10.58"/>
    <n v="1989"/>
    <n v="51022"/>
    <n v="116361"/>
    <n v="0.4384802468180919"/>
    <n v="1109456"/>
    <n v="21.744659166634"/>
    <n v="2325000"/>
    <n v="19.98092144275144"/>
    <d v="2014-09-16T00:00:00"/>
    <d v="2024-09-15T00:00:00"/>
    <d v="2021-09-16T00:00:00"/>
    <n v="6.756164383561644"/>
    <n v="3.756164383561644"/>
    <s v="Modified Gross"/>
    <s v="None"/>
    <s v="None"/>
    <n v="23400000"/>
    <n v="201.0983061334983"/>
    <n v="0.09935897435897435"/>
    <m/>
    <d v="2017-12-15T00:00:00"/>
    <x v="1072"/>
    <s v="JLL; Postweiler"/>
    <x v="753"/>
    <s v="OH"/>
    <s v="Private"/>
    <m/>
    <m/>
    <m/>
    <s v=" "/>
    <s v=" "/>
    <m/>
    <s v=" "/>
    <s v=" "/>
    <s v=" "/>
    <d v="2017-07-14T00:00:00"/>
    <n v="154"/>
  </r>
  <r>
    <s v="LWA07205"/>
    <s v="SSA"/>
    <s v="Federal"/>
    <s v="Fee Simple"/>
    <s v="811 S Hill Park Dr"/>
    <s v="Puyallup"/>
    <s v="WA"/>
    <n v="1.21"/>
    <n v="2001"/>
    <n v="8300"/>
    <n v="10000"/>
    <n v="0.83"/>
    <n v="305572.14"/>
    <n v="36.81592048192771"/>
    <n v="248145"/>
    <n v="24.8145"/>
    <d v="2010-11-16T00:00:00"/>
    <d v="2025-11-15T00:00:00"/>
    <d v="2020-11-16T00:00:00"/>
    <n v="7.923287671232877"/>
    <n v="2.923287671232877"/>
    <s v="Modified Gross"/>
    <s v="None"/>
    <s v="None"/>
    <n v="3365000"/>
    <n v="336.5"/>
    <n v="0.07374294205052007"/>
    <m/>
    <d v="2017-12-15T00:00:00"/>
    <x v="1073"/>
    <s v="BW; Wells"/>
    <x v="754"/>
    <s v="WA"/>
    <s v="Private"/>
    <m/>
    <m/>
    <n v="3530000"/>
    <n v="0.07029603399433428"/>
    <n v="0.953257790368272"/>
    <n v="3530000"/>
    <n v="0.07029603399433428"/>
    <n v="0.003446908056185791"/>
    <s v="No"/>
    <d v="2017-01-15T00:00:00"/>
    <n v="334"/>
  </r>
  <r>
    <s v="LAR16461"/>
    <s v="USDA"/>
    <s v="Federal"/>
    <s v="Fee Simple"/>
    <s v="4700 S Thompson"/>
    <s v="Springdale"/>
    <s v="AR"/>
    <n v="18.84"/>
    <m/>
    <n v="8045"/>
    <n v="42297"/>
    <n v="0.1902026148426602"/>
    <m/>
    <s v=" "/>
    <m/>
    <s v=" "/>
    <m/>
    <m/>
    <m/>
    <s v=" "/>
    <s v=" "/>
    <m/>
    <m/>
    <m/>
    <n v="800000"/>
    <n v="18.91387096011537"/>
    <s v=" "/>
    <m/>
    <d v="2017-12-12T00:00:00"/>
    <x v="1074"/>
    <s v="Direct"/>
    <x v="755"/>
    <s v="AR"/>
    <s v="Private"/>
    <m/>
    <m/>
    <m/>
    <s v=" "/>
    <s v=" "/>
    <m/>
    <s v=" "/>
    <s v=" "/>
    <s v=" "/>
    <m/>
    <s v=" "/>
  </r>
  <r>
    <m/>
    <s v="USPS"/>
    <s v="Federal"/>
    <s v="Fee Simple"/>
    <s v="2 W Fairmount Ave"/>
    <s v="Lakewood"/>
    <s v="NY"/>
    <n v="1.58"/>
    <n v="1.65"/>
    <n v="5095"/>
    <n v="5905"/>
    <n v="0.8628281117696867"/>
    <m/>
    <s v=" "/>
    <n v="99160"/>
    <n v="16.79254868755292"/>
    <m/>
    <m/>
    <m/>
    <s v=" "/>
    <s v=" "/>
    <m/>
    <m/>
    <m/>
    <n v="1250000"/>
    <n v="211.6850127011008"/>
    <n v="0.079328"/>
    <m/>
    <d v="2017-12-08T00:00:00"/>
    <x v="8"/>
    <s v="TCP; Harrison"/>
    <x v="0"/>
    <m/>
    <m/>
    <s v="Chris Durham"/>
    <m/>
    <n v="1340000"/>
    <n v="0.074"/>
    <n v="0.9328358208955224"/>
    <n v="1340000"/>
    <n v="0.074"/>
    <n v="0.005327999999999999"/>
    <s v="No"/>
    <d v="2017-09-18T00:00:00"/>
    <n v="81"/>
  </r>
  <r>
    <m/>
    <s v="DPS"/>
    <s v="State"/>
    <s v="Fee Simple"/>
    <s v="6618 E I-40"/>
    <s v="Amarillo"/>
    <s v="TX"/>
    <n v="4.93"/>
    <n v="2017"/>
    <n v="10293"/>
    <n v="10293"/>
    <n v="1"/>
    <m/>
    <s v=" "/>
    <n v="340725"/>
    <n v="33.10259399591956"/>
    <m/>
    <d v="2027-06-30T00:00:00"/>
    <m/>
    <n v="9.56986301369863"/>
    <s v=" "/>
    <s v="Gross"/>
    <s v="25% of CPI annually"/>
    <m/>
    <n v="3971819"/>
    <n v="385.8757407947148"/>
    <n v="0.08578563121834101"/>
    <m/>
    <d v="2017-12-06T00:00:00"/>
    <x v="8"/>
    <s v="Jessica Gibson"/>
    <x v="0"/>
    <m/>
    <m/>
    <m/>
    <m/>
    <n v="4045000"/>
    <n v="0.0842336217552534"/>
    <n v="0.981908281829419"/>
    <n v="4045000"/>
    <n v="0.0842336217552534"/>
    <n v="0.001552009463087617"/>
    <s v="No"/>
    <d v="2017-06-26T00:00:00"/>
    <n v="163"/>
  </r>
  <r>
    <s v="LNY23675"/>
    <s v="SSA"/>
    <s v="Federal"/>
    <s v="Fee Simple"/>
    <s v="166 Washington Ave"/>
    <s v="Batavia"/>
    <s v="NY"/>
    <n v="0.31"/>
    <n v="1981"/>
    <n v="1850"/>
    <n v="6100"/>
    <n v="0.3032786885245902"/>
    <n v="29865"/>
    <n v="16.14324324324324"/>
    <m/>
    <s v=" "/>
    <d v="2009-06-18T00:00:00"/>
    <d v="2019-06-17T00:00:00"/>
    <d v="2014-06-18T00:00:00"/>
    <n v="1.545205479452055"/>
    <n v="-3.454794520547945"/>
    <s v="Modified Gross"/>
    <s v="None"/>
    <s v="None"/>
    <m/>
    <s v=" "/>
    <s v=" "/>
    <m/>
    <d v="2017-11-30T00:00:00"/>
    <x v="1075"/>
    <m/>
    <x v="756"/>
    <m/>
    <m/>
    <m/>
    <m/>
    <m/>
    <s v=" "/>
    <s v=" "/>
    <m/>
    <s v=" "/>
    <s v=" "/>
    <s v=" "/>
    <m/>
    <s v=" "/>
  </r>
  <r>
    <m/>
    <s v="USPS"/>
    <s v="Federal"/>
    <s v="Fee Simple"/>
    <s v="4752 Dragoon Rd"/>
    <s v="Dragoon"/>
    <s v="AZ"/>
    <n v="0.5600000000000001"/>
    <n v="1992"/>
    <n v="1650"/>
    <n v="1650"/>
    <n v="1"/>
    <n v="24500"/>
    <n v="14.84848484848485"/>
    <n v="23970"/>
    <n v="14.52727272727273"/>
    <d v="2017-07-12T00:00:00"/>
    <d v="2022-07-13T00:00:00"/>
    <d v="2018-01-08T00:00:00"/>
    <n v="4.619178082191781"/>
    <n v="0.1068493150684932"/>
    <s v="Rider"/>
    <s v="Option"/>
    <s v="1, 5 year"/>
    <n v="245000"/>
    <n v="148.4848484848485"/>
    <n v="0.09783673469387755"/>
    <m/>
    <d v="2017-11-30T00:00:00"/>
    <x v="8"/>
    <s v="Poelstra Properties"/>
    <x v="0"/>
    <m/>
    <m/>
    <m/>
    <m/>
    <n v="255000"/>
    <n v="0.094"/>
    <n v="0.9607843137254902"/>
    <n v="255000"/>
    <n v="0.094"/>
    <n v="0.003836734693877547"/>
    <s v="No"/>
    <d v="2017-06-01T00:00:00"/>
    <n v="182"/>
  </r>
  <r>
    <m/>
    <s v="USPS"/>
    <s v="Federal"/>
    <s v="Fee Simple"/>
    <s v="279 Huff Dr"/>
    <s v="Jacksonville"/>
    <s v="NC"/>
    <n v="2.13"/>
    <n v="1992"/>
    <n v="9152"/>
    <n v="9152"/>
    <n v="1"/>
    <m/>
    <s v=" "/>
    <n v="113454"/>
    <n v="12.39663461538461"/>
    <d v="2017-09-01T00:00:00"/>
    <d v="2022-09-30T00:00:00"/>
    <m/>
    <n v="4.843835616438356"/>
    <s v=" "/>
    <s v="Rider"/>
    <s v="None"/>
    <s v="None"/>
    <n v="1390000"/>
    <n v="151.8793706293706"/>
    <n v="0.08162158273381295"/>
    <m/>
    <d v="2017-11-27T00:00:00"/>
    <x v="1076"/>
    <s v="Kevin King"/>
    <x v="0"/>
    <s v="CA"/>
    <m/>
    <s v="Raafat Morcos"/>
    <m/>
    <n v="1425000"/>
    <n v="0.07961684210526315"/>
    <n v="0.9754385964912281"/>
    <n v="1425000"/>
    <n v="0.07961684210526315"/>
    <n v="0.0020047406285498"/>
    <s v="No"/>
    <d v="2017-02-13T00:00:00"/>
    <n v="287"/>
  </r>
  <r>
    <m/>
    <s v="Multi"/>
    <s v="State"/>
    <s v="Fee Simple"/>
    <s v="925 L St"/>
    <s v="Sacramento"/>
    <s v="CA"/>
    <n v="0.36"/>
    <n v="1973"/>
    <n v="106371.72"/>
    <n v="168844"/>
    <n v="0.63"/>
    <m/>
    <s v=" "/>
    <n v="3003000"/>
    <n v="17.78564829072991"/>
    <m/>
    <d v="2025-06-30T00:00:00"/>
    <d v="2025-06-30T00:00:00"/>
    <n v="7.594520547945206"/>
    <n v="7.594520547945206"/>
    <s v="Full Service"/>
    <s v="Annually"/>
    <s v="None"/>
    <n v="45500000"/>
    <n v="269.4795195565137"/>
    <n v="0.066"/>
    <m/>
    <d v="2017-11-27T00:00:00"/>
    <x v="1077"/>
    <s v="JLL; Cole"/>
    <x v="757"/>
    <s v="CA"/>
    <s v="Institutional"/>
    <m/>
    <m/>
    <m/>
    <s v=" "/>
    <s v=" "/>
    <m/>
    <s v=" "/>
    <s v=" "/>
    <s v=" "/>
    <d v="2017-05-03T00:00:00"/>
    <n v="208"/>
  </r>
  <r>
    <s v="LCA01779"/>
    <s v="SSA"/>
    <s v="Federal"/>
    <s v="Fee Simple"/>
    <s v="1098 Valencia St"/>
    <s v="San Francisco"/>
    <s v="CA"/>
    <n v="0.37"/>
    <n v="18208"/>
    <n v="18028"/>
    <n v="18028"/>
    <n v="1"/>
    <n v="522644.34"/>
    <n v="28.99070002218771"/>
    <m/>
    <s v=" "/>
    <d v="2007-06-21T00:00:00"/>
    <d v="2022-06-20T00:00:00"/>
    <d v="2017-06-21T00:00:00"/>
    <n v="4.578082191780822"/>
    <n v="-0.4219178082191781"/>
    <s v="Modified Gross"/>
    <s v="None"/>
    <s v="None"/>
    <n v="11898000"/>
    <n v="659.9733747503883"/>
    <s v=" "/>
    <m/>
    <d v="2017-11-22T00:00:00"/>
    <x v="1078"/>
    <s v="NAI; Geller"/>
    <x v="758"/>
    <s v="CA"/>
    <s v="Cross-Border"/>
    <s v="CB; Jack Ho"/>
    <m/>
    <m/>
    <s v=" "/>
    <s v=" "/>
    <m/>
    <s v=" "/>
    <s v=" "/>
    <s v=" "/>
    <m/>
    <s v=" "/>
  </r>
  <r>
    <m/>
    <s v="DHS, Senior &amp; Disability Services Office"/>
    <s v="State"/>
    <s v="Fee Simple"/>
    <s v="2101 NW Hawthorne Ave"/>
    <s v="Grants Pass"/>
    <s v="OR"/>
    <n v="4.14"/>
    <n v="2015"/>
    <n v="59342"/>
    <n v="59342"/>
    <n v="1"/>
    <m/>
    <s v=" "/>
    <m/>
    <s v=" "/>
    <m/>
    <m/>
    <m/>
    <s v=" "/>
    <s v=" "/>
    <m/>
    <m/>
    <m/>
    <n v="24800000"/>
    <n v="417.9164841090627"/>
    <s v=" "/>
    <m/>
    <d v="2017-11-21T00:00:00"/>
    <x v="1079"/>
    <s v="CP;"/>
    <x v="2"/>
    <s v="VA"/>
    <s v="Private"/>
    <m/>
    <m/>
    <m/>
    <s v=" "/>
    <s v=" "/>
    <m/>
    <s v=" "/>
    <s v=" "/>
    <s v=" "/>
    <m/>
    <s v=" "/>
  </r>
  <r>
    <s v="LTX17398"/>
    <s v="ICE"/>
    <s v="Federal"/>
    <s v="Leasehold"/>
    <s v="1015 Jackson Keller Rd"/>
    <s v="San Antonio"/>
    <s v="TX"/>
    <n v="2"/>
    <n v="1972"/>
    <n v="38756"/>
    <n v="38756"/>
    <n v="1"/>
    <n v="1093961.65"/>
    <n v="28.22689777066777"/>
    <n v="813862"/>
    <n v="20.99963876561048"/>
    <d v="2017-05-01T00:00:00"/>
    <d v="2027-04-30T00:00:00"/>
    <d v="2022-04-30T00:00:00"/>
    <n v="9.446575342465753"/>
    <n v="4.443835616438356"/>
    <s v="Modified Gross"/>
    <s v="TI Bleeds Off; $307k"/>
    <s v="None"/>
    <n v="8225000"/>
    <n v="212.2252038394055"/>
    <n v="0.09894978723404255"/>
    <m/>
    <d v="2017-11-20T00:00:00"/>
    <x v="1080"/>
    <s v="C&amp;W; Trautvetter"/>
    <x v="54"/>
    <s v="NC"/>
    <s v="REIT"/>
    <m/>
    <m/>
    <m/>
    <s v=" "/>
    <s v=" "/>
    <m/>
    <s v=" "/>
    <s v=" "/>
    <s v=" "/>
    <m/>
    <s v=" "/>
  </r>
  <r>
    <m/>
    <s v="MSHA"/>
    <s v="Federal"/>
    <s v="Fee Simple"/>
    <s v="105-113 Platinum Dr"/>
    <s v="Bridgeport"/>
    <s v="WV"/>
    <n v="25.15"/>
    <m/>
    <n v="6537"/>
    <n v="45000"/>
    <n v="0.1452666666666667"/>
    <m/>
    <s v=" "/>
    <n v="248637"/>
    <n v="5.525266666666667"/>
    <m/>
    <d v="2020-05-30T00:00:00"/>
    <d v="2015-05-30T00:00:00"/>
    <n v="2.53972602739726"/>
    <n v="-2.465753424657534"/>
    <s v="Modified Gross"/>
    <s v="None"/>
    <s v="None"/>
    <n v="3092500"/>
    <n v="68.72222222222223"/>
    <n v="0.0804"/>
    <m/>
    <d v="2017-11-15T00:00:00"/>
    <x v="1081"/>
    <s v="Kyle Hartung"/>
    <x v="759"/>
    <s v="WV"/>
    <s v="Private"/>
    <m/>
    <m/>
    <m/>
    <s v=" "/>
    <s v=" "/>
    <m/>
    <s v=" "/>
    <s v=" "/>
    <s v=" "/>
    <d v="2017-05-30T00:00:00"/>
    <n v="169"/>
  </r>
  <r>
    <s v="LNY23979"/>
    <s v="AOC"/>
    <s v="Federal"/>
    <s v="Condominium"/>
    <s v="86 Chambers St"/>
    <s v="New York"/>
    <s v="NY"/>
    <n v="0.42"/>
    <n v="1929"/>
    <n v="72258"/>
    <n v="114891"/>
    <n v="0.6289265477713659"/>
    <n v="2964459.01"/>
    <n v="41.02603185806416"/>
    <n v="3216000"/>
    <n v="27.99174870094263"/>
    <d v="2014-01-01T00:00:00"/>
    <d v="2023-12-31T00:00:00"/>
    <d v="2023-12-31T00:00:00"/>
    <n v="6.142465753424657"/>
    <n v="6.142465753424657"/>
    <s v="Modified Gross"/>
    <s v="None"/>
    <s v="None"/>
    <n v="67000000"/>
    <n v="583.1614312696382"/>
    <n v="0.048"/>
    <m/>
    <d v="2017-11-10T00:00:00"/>
    <x v="1082"/>
    <s v="Colliers; Baxter"/>
    <x v="760"/>
    <s v="NY"/>
    <s v="Private"/>
    <m/>
    <m/>
    <m/>
    <s v=" "/>
    <s v=" "/>
    <m/>
    <s v=" "/>
    <s v=" "/>
    <s v=" "/>
    <m/>
    <s v=" "/>
  </r>
  <r>
    <m/>
    <s v="USPS"/>
    <s v="Federal"/>
    <s v="Fee Simple"/>
    <s v="1750 Forest Hills Blvd"/>
    <s v="Bella Vista"/>
    <s v="AR"/>
    <n v="2.21"/>
    <m/>
    <n v="6660"/>
    <n v="6660"/>
    <n v="1"/>
    <m/>
    <s v=" "/>
    <m/>
    <s v=" "/>
    <m/>
    <m/>
    <m/>
    <s v=" "/>
    <s v=" "/>
    <m/>
    <m/>
    <m/>
    <n v="1375000"/>
    <n v="206.4564564564565"/>
    <s v=" "/>
    <m/>
    <d v="2017-11-09T00:00:00"/>
    <x v="1083"/>
    <s v="Direct"/>
    <x v="761"/>
    <s v="AR"/>
    <s v="Private"/>
    <m/>
    <m/>
    <m/>
    <s v=" "/>
    <s v=" "/>
    <m/>
    <s v=" "/>
    <s v=" "/>
    <s v=" "/>
    <m/>
    <s v=" "/>
  </r>
  <r>
    <s v="LOH17973"/>
    <s v="SSA"/>
    <s v="Federal"/>
    <s v="Fee Simple"/>
    <s v="10205 Reading Rd"/>
    <s v="Evendale"/>
    <s v="OH"/>
    <n v="2.08"/>
    <m/>
    <n v="13928"/>
    <n v="13928"/>
    <n v="1"/>
    <n v="546256.67"/>
    <n v="39.22003661688685"/>
    <m/>
    <s v=" "/>
    <d v="2010-02-24T00:00:00"/>
    <d v="2023-02-23T00:00:00"/>
    <d v="2023-02-23T00:00:00"/>
    <n v="5.293150684931507"/>
    <n v="5.293150684931507"/>
    <s v="Modified Gross"/>
    <s v="None"/>
    <s v="None"/>
    <n v="4500000"/>
    <n v="323.090178058587"/>
    <s v=" "/>
    <m/>
    <d v="2017-11-09T00:00:00"/>
    <x v="1084"/>
    <s v="Will Korte"/>
    <x v="762"/>
    <s v="OH"/>
    <s v="Private"/>
    <m/>
    <m/>
    <n v="4800000"/>
    <s v=" "/>
    <n v="0.9375"/>
    <n v="4800000"/>
    <s v=" "/>
    <s v=" "/>
    <s v="No"/>
    <m/>
    <s v=" "/>
  </r>
  <r>
    <m/>
    <s v="VA"/>
    <s v="Federal"/>
    <s v="Fee Simple"/>
    <s v="3030 E Greenville St"/>
    <s v="Anderson"/>
    <s v="SC"/>
    <n v="12"/>
    <n v="2015"/>
    <n v="57740"/>
    <n v="57740"/>
    <n v="1"/>
    <m/>
    <s v=" "/>
    <n v="1522500"/>
    <n v="26.36820228611015"/>
    <m/>
    <d v="2035-02-28T00:00:00"/>
    <d v="2035-02-28T00:00:00"/>
    <n v="17.31780821917808"/>
    <n v="17.31780821917808"/>
    <s v="Full Service"/>
    <s v="None"/>
    <s v="None"/>
    <n v="25000000"/>
    <n v="432.9754069968826"/>
    <n v="0.0609"/>
    <m/>
    <d v="2017-11-08T00:00:00"/>
    <x v="1085"/>
    <s v="Direct"/>
    <x v="2"/>
    <s v="VA"/>
    <s v="Private"/>
    <m/>
    <m/>
    <m/>
    <s v=" "/>
    <s v=" "/>
    <m/>
    <s v=" "/>
    <s v=" "/>
    <s v=" "/>
    <m/>
    <s v=" "/>
  </r>
  <r>
    <s v="LTX16355"/>
    <s v="FBI &amp; CBP"/>
    <s v="Federal"/>
    <s v="Fee Simple"/>
    <s v="114 W Broadway St"/>
    <s v="Del Rio"/>
    <s v="TX"/>
    <n v="0.89"/>
    <n v="2011"/>
    <n v="10879"/>
    <n v="10879"/>
    <n v="1"/>
    <n v="585516.78"/>
    <n v="53.8208272819193"/>
    <m/>
    <s v=" "/>
    <d v="2011-03-24T00:00:00"/>
    <d v="2021-03-23T00:00:00"/>
    <d v="2021-03-23T00:00:00"/>
    <n v="3.372602739726027"/>
    <n v="3.372602739726027"/>
    <s v="Modified Gross"/>
    <s v="None"/>
    <s v="None"/>
    <n v="6300000"/>
    <n v="579.097343505837"/>
    <s v=" "/>
    <m/>
    <d v="2017-11-08T00:00:00"/>
    <x v="592"/>
    <s v="C&amp;W; Trautvetter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413 Pine St"/>
    <s v="Pinedale"/>
    <s v="WY"/>
    <n v="0.24"/>
    <n v="1961"/>
    <n v="2470"/>
    <n v="2470"/>
    <n v="1"/>
    <n v="48636"/>
    <n v="19.69068825910931"/>
    <n v="46575"/>
    <n v="18.85627530364372"/>
    <m/>
    <m/>
    <m/>
    <s v=" "/>
    <s v=" "/>
    <m/>
    <m/>
    <m/>
    <n v="575000"/>
    <n v="232.7935222672065"/>
    <n v="0.081"/>
    <m/>
    <d v="2017-11-06T00:00:00"/>
    <x v="8"/>
    <s v="Kevin King"/>
    <x v="0"/>
    <m/>
    <m/>
    <s v="John McComish"/>
    <m/>
    <n v="630000"/>
    <n v="0.07392857142857143"/>
    <n v="0.9126984126984127"/>
    <n v="630000"/>
    <n v="0.07392857142857143"/>
    <n v="0.007071428571428576"/>
    <s v="No"/>
    <d v="2017-02-13T00:00:00"/>
    <n v="266"/>
  </r>
  <r>
    <s v="LMI18915"/>
    <s v="DEA"/>
    <s v="Federal"/>
    <s v="Fee Simple"/>
    <s v="431 Howard St"/>
    <s v="Detroit"/>
    <s v="MI"/>
    <n v="0.99"/>
    <n v="1994"/>
    <n v="76074"/>
    <n v="76074"/>
    <n v="1"/>
    <n v="2486553"/>
    <n v="32.68597681205142"/>
    <n v="1873720"/>
    <n v="24.63022846176092"/>
    <d v="2015-03-01T00:00:00"/>
    <d v="2020-02-29T00:00:00"/>
    <d v="2018-03-01T00:00:00"/>
    <n v="2.323287671232876"/>
    <n v="0.3232876712328767"/>
    <s v="Modified Gross"/>
    <s v="None"/>
    <s v="None"/>
    <n v="17135714"/>
    <n v="225.2505981018482"/>
    <n v="0.1093458959457423"/>
    <m/>
    <d v="2017-11-03T00:00:00"/>
    <x v="1086"/>
    <m/>
    <x v="763"/>
    <s v="NC"/>
    <s v="Private"/>
    <m/>
    <m/>
    <m/>
    <s v=" "/>
    <s v=" "/>
    <m/>
    <s v=" "/>
    <s v=" "/>
    <s v=" "/>
    <m/>
    <s v=" "/>
  </r>
  <r>
    <m/>
    <s v="City and County of San Francisco Adult Probation Department"/>
    <s v="Municipal"/>
    <s v="Fee Simple"/>
    <s v="945 Bryant St"/>
    <s v="San Francisco"/>
    <s v="CA"/>
    <n v="1.16"/>
    <s v="1964 | 2000"/>
    <n v="41745"/>
    <n v="41745"/>
    <n v="1"/>
    <m/>
    <s v=" "/>
    <n v="1269000"/>
    <n v="30.39885016169601"/>
    <m/>
    <d v="2028-10-31T00:00:00"/>
    <d v="2028-10-31T00:00:00"/>
    <n v="11"/>
    <n v="11"/>
    <m/>
    <m/>
    <m/>
    <n v="27000000"/>
    <n v="646.7840459935321"/>
    <n v="0.047"/>
    <m/>
    <d v="2017-11-03T00:00:00"/>
    <x v="1087"/>
    <s v="CBRE; Kovac"/>
    <x v="764"/>
    <s v="NY"/>
    <s v="Private"/>
    <m/>
    <m/>
    <m/>
    <s v=" "/>
    <s v=" "/>
    <m/>
    <s v=" "/>
    <s v=" "/>
    <s v=" "/>
    <m/>
    <s v=" "/>
  </r>
  <r>
    <m/>
    <s v="TSA"/>
    <s v="Federal"/>
    <s v="Fee Simple"/>
    <s v="13555 EDS Dr"/>
    <s v="Herndon"/>
    <s v="VA"/>
    <n v="8.513999999999999"/>
    <n v="2001"/>
    <m/>
    <n v="103502"/>
    <s v=" "/>
    <m/>
    <s v=" "/>
    <n v="2007250"/>
    <n v="19.39334505613418"/>
    <m/>
    <d v="2021-10-31T00:00:00"/>
    <m/>
    <n v="4"/>
    <s v=" "/>
    <m/>
    <m/>
    <m/>
    <n v="25900000"/>
    <n v="250.2367104017314"/>
    <n v="0.0775"/>
    <m/>
    <d v="2017-11-01T00:00:00"/>
    <x v="1088"/>
    <s v="JLL; Prutting"/>
    <x v="1"/>
    <s v="IL"/>
    <s v="Private"/>
    <m/>
    <m/>
    <m/>
    <s v=" "/>
    <s v=" "/>
    <m/>
    <s v=" "/>
    <s v=" "/>
    <s v=" "/>
    <m/>
    <s v=" "/>
  </r>
  <r>
    <m/>
    <s v="VA/DOD"/>
    <s v="Federal"/>
    <s v="Fee Simple"/>
    <s v="201 9th St"/>
    <s v="Marina"/>
    <s v="CA"/>
    <n v="14"/>
    <n v="2017"/>
    <n v="104193"/>
    <n v="104193"/>
    <n v="1"/>
    <m/>
    <s v=" "/>
    <m/>
    <s v=" "/>
    <m/>
    <d v="2035-09-30T00:00:00"/>
    <m/>
    <n v="17.92328767123288"/>
    <s v=" "/>
    <m/>
    <m/>
    <m/>
    <n v="49770446.510015"/>
    <n v="477.6755301221291"/>
    <s v=" "/>
    <m/>
    <d v="2017-11-01T00:00:00"/>
    <x v="663"/>
    <s v="C&amp;W; Trautvetter"/>
    <x v="319"/>
    <s v="NH"/>
    <s v="Private"/>
    <m/>
    <m/>
    <m/>
    <s v=" "/>
    <s v=" "/>
    <m/>
    <s v=" "/>
    <s v=" "/>
    <s v=" "/>
    <m/>
    <s v=" "/>
  </r>
  <r>
    <m/>
    <s v="DSHS"/>
    <s v="State"/>
    <s v="Fee Simple"/>
    <s v="1301 E 72nd St"/>
    <s v="Tacoma"/>
    <s v="WA"/>
    <n v="2.93"/>
    <n v="1994"/>
    <n v="30000"/>
    <n v="30000"/>
    <n v="1"/>
    <n v="615000"/>
    <n v="20.5"/>
    <n v="481931"/>
    <n v="16.06436666666667"/>
    <d v="2017-08-01T00:00:00"/>
    <d v="2022-07-31T00:00:00"/>
    <d v="2017-08-01T00:00:00"/>
    <n v="4.747945205479452"/>
    <n v="-0.252054794520548"/>
    <s v="Full Service"/>
    <s v="None"/>
    <s v="1, 5 year"/>
    <n v="6000000"/>
    <n v="200"/>
    <n v="0.08032183333333333"/>
    <m/>
    <d v="2017-11-01T00:00:00"/>
    <x v="1089"/>
    <s v="KM; Norbe"/>
    <x v="765"/>
    <s v="WA"/>
    <s v="Private"/>
    <m/>
    <m/>
    <n v="6320000"/>
    <n v="0.07625490506329113"/>
    <n v="0.9493670886075949"/>
    <n v="6320000"/>
    <n v="0.07625490506329113"/>
    <n v="0.004066928270042194"/>
    <s v="No"/>
    <d v="2017-03-31T00:00:00"/>
    <n v="215"/>
  </r>
  <r>
    <m/>
    <s v="SSA"/>
    <s v="Federal"/>
    <s v="Fee Simple"/>
    <s v="10000 Magnolia Ave"/>
    <s v="Riverside"/>
    <s v="CA"/>
    <n v="1.22"/>
    <m/>
    <m/>
    <n v="22000"/>
    <s v=" "/>
    <m/>
    <s v=" "/>
    <m/>
    <s v=" "/>
    <m/>
    <m/>
    <m/>
    <s v=" "/>
    <s v=" "/>
    <m/>
    <m/>
    <m/>
    <n v="3250000"/>
    <n v="147.7272727272727"/>
    <s v=" "/>
    <m/>
    <d v="2017-10-30T00:00:00"/>
    <x v="1090"/>
    <m/>
    <x v="766"/>
    <s v="CA"/>
    <s v="Private"/>
    <m/>
    <m/>
    <n v="3250000"/>
    <s v=" "/>
    <n v="1"/>
    <n v="3250000"/>
    <s v=" "/>
    <s v=" "/>
    <s v="No"/>
    <d v="2015-07-20T00:00:00"/>
    <n v="833"/>
  </r>
  <r>
    <m/>
    <s v="BLM"/>
    <s v="Federal"/>
    <s v="Fee Simple"/>
    <s v="50 Bastian Rd"/>
    <s v="Battle Mountain"/>
    <s v="NV"/>
    <n v="10.87"/>
    <n v="1992"/>
    <n v="24503"/>
    <n v="24503"/>
    <n v="1"/>
    <m/>
    <s v=" "/>
    <m/>
    <s v=" "/>
    <m/>
    <m/>
    <m/>
    <s v=" "/>
    <s v=" "/>
    <m/>
    <m/>
    <m/>
    <n v="2991045.88"/>
    <n v="122.0685581357385"/>
    <s v=" "/>
    <m/>
    <d v="2017-10-26T00:00:00"/>
    <x v="1091"/>
    <s v="FORECLOSURE"/>
    <x v="76"/>
    <s v="CA"/>
    <s v="Private"/>
    <m/>
    <m/>
    <m/>
    <s v=" "/>
    <s v=" "/>
    <m/>
    <s v=" "/>
    <s v=" "/>
    <s v=" "/>
    <m/>
    <s v=" "/>
  </r>
  <r>
    <m/>
    <s v="VA"/>
    <s v="Federal"/>
    <s v="Fee Simple"/>
    <s v="35000 Kaiser Ct"/>
    <s v="Willoughby"/>
    <s v="OH"/>
    <n v="3.58"/>
    <n v="1988"/>
    <n v="20725"/>
    <n v="42189"/>
    <n v="0.4912417928844012"/>
    <m/>
    <s v=" "/>
    <m/>
    <s v=" "/>
    <m/>
    <d v="2018-04-30T00:00:00"/>
    <m/>
    <n v="0.5178082191780822"/>
    <s v=" "/>
    <m/>
    <m/>
    <m/>
    <n v="2525000"/>
    <n v="59.84972386167011"/>
    <s v=" "/>
    <m/>
    <d v="2017-10-23T00:00:00"/>
    <x v="8"/>
    <s v="REO"/>
    <x v="767"/>
    <s v="OH"/>
    <s v="Private"/>
    <m/>
    <m/>
    <m/>
    <s v=" "/>
    <s v=" "/>
    <m/>
    <s v=" "/>
    <s v=" "/>
    <s v=" "/>
    <m/>
    <s v=" "/>
  </r>
  <r>
    <m/>
    <m/>
    <s v="Federal"/>
    <s v="Fee Simple"/>
    <s v="7800 W IH-10"/>
    <s v="San Antonio"/>
    <s v="TX"/>
    <n v="4.18"/>
    <n v="1984"/>
    <n v="63933"/>
    <n v="157933"/>
    <n v="0.4048109008250334"/>
    <m/>
    <s v=" "/>
    <n v="1464000"/>
    <n v="9.269753629703736"/>
    <d v="2011-09-01T00:00:00"/>
    <d v="2021-08-31T00:00:00"/>
    <d v="2016-08-31T00:00:00"/>
    <n v="3.871232876712329"/>
    <n v="-1.131506849315068"/>
    <s v="Modified Gross"/>
    <s v="None"/>
    <s v="None"/>
    <n v="16000000"/>
    <n v="101.3087828382922"/>
    <n v="0.0915"/>
    <m/>
    <d v="2017-10-18T00:00:00"/>
    <x v="1092"/>
    <s v="CBRE"/>
    <x v="768"/>
    <s v="TX"/>
    <s v="Private"/>
    <m/>
    <m/>
    <m/>
    <s v=" "/>
    <s v=" "/>
    <m/>
    <s v=" "/>
    <s v=" "/>
    <s v=" "/>
    <d v="2016-08-18T00:00:00"/>
    <n v="426"/>
  </r>
  <r>
    <s v="LNM17327"/>
    <s v="AOC/US Attorney"/>
    <s v="Federal"/>
    <s v="Fee Simple"/>
    <s v="200 N Church St"/>
    <s v="Las Cruces"/>
    <s v="NM"/>
    <n v="1.35"/>
    <n v="2009"/>
    <n v="18244"/>
    <n v="18244"/>
    <n v="1"/>
    <n v="560009.71"/>
    <n v="30.69555525104144"/>
    <m/>
    <s v=" "/>
    <d v="2017-04-25T00:00:00"/>
    <d v="2032-04-24T00:00:00"/>
    <d v="2027-04-24T00:00:00"/>
    <n v="14.52876712328767"/>
    <n v="9.523287671232877"/>
    <s v="Modified Gross"/>
    <s v="None"/>
    <s v="None"/>
    <n v="6719567"/>
    <n v="368.3165424249068"/>
    <s v=" "/>
    <m/>
    <d v="2017-10-17T00:00:00"/>
    <x v="345"/>
    <s v="C&amp;W; Trautvetter"/>
    <x v="2"/>
    <s v="VA"/>
    <s v="Private"/>
    <m/>
    <m/>
    <m/>
    <s v=" "/>
    <s v=" "/>
    <m/>
    <s v=" "/>
    <s v=" "/>
    <s v=" "/>
    <m/>
    <s v=" "/>
  </r>
  <r>
    <m/>
    <s v="BLM"/>
    <s v="Federal"/>
    <s v="Fee Simple"/>
    <s v="702 N Industrial Wy"/>
    <s v="Ely"/>
    <s v="NV"/>
    <n v="6.92"/>
    <n v="1990"/>
    <n v="32160"/>
    <n v="32160"/>
    <n v="1"/>
    <m/>
    <s v=" "/>
    <m/>
    <s v=" "/>
    <m/>
    <m/>
    <m/>
    <s v=" "/>
    <s v=" "/>
    <m/>
    <m/>
    <m/>
    <n v="1792272"/>
    <n v="55.72985074626866"/>
    <s v=" "/>
    <m/>
    <d v="2017-10-16T00:00:00"/>
    <x v="1091"/>
    <s v="FORECLOSURE"/>
    <x v="76"/>
    <s v="CA"/>
    <s v="Private"/>
    <m/>
    <m/>
    <m/>
    <s v=" "/>
    <s v=" "/>
    <m/>
    <s v=" "/>
    <s v=" "/>
    <s v=" "/>
    <m/>
    <s v=" "/>
  </r>
  <r>
    <m/>
    <s v="USDA"/>
    <s v="Federal"/>
    <s v="Fee Simple"/>
    <s v="1849 Ross Clark Cir"/>
    <s v="Dothan"/>
    <s v="AL"/>
    <n v="1.1"/>
    <n v="1993"/>
    <n v="7479"/>
    <n v="7479"/>
    <n v="1"/>
    <m/>
    <s v=" "/>
    <m/>
    <s v=" "/>
    <m/>
    <m/>
    <m/>
    <s v=" "/>
    <s v=" "/>
    <m/>
    <m/>
    <m/>
    <m/>
    <s v=" "/>
    <s v=" "/>
    <m/>
    <d v="2017-10-11T00:00:00"/>
    <x v="8"/>
    <s v="Lan Darty"/>
    <x v="0"/>
    <m/>
    <m/>
    <m/>
    <m/>
    <n v="575000"/>
    <s v=" "/>
    <s v=" "/>
    <n v="575000"/>
    <s v=" "/>
    <s v=" "/>
    <s v="No"/>
    <d v="2017-06-23T00:00:00"/>
    <n v="110"/>
  </r>
  <r>
    <s v="LWI16860"/>
    <s v="SSA"/>
    <s v="Federal"/>
    <s v="Fee Simple"/>
    <s v="222 N Academy St"/>
    <s v="Janesville"/>
    <s v="WI"/>
    <n v="1.11"/>
    <n v="2002"/>
    <n v="9198"/>
    <n v="9198"/>
    <n v="1"/>
    <n v="232438"/>
    <n v="25.27049358556208"/>
    <n v="119145.8092"/>
    <n v="12.95344740160905"/>
    <d v="2002-09-04T00:00:00"/>
    <d v="2022-09-03T00:00:00"/>
    <d v="2012-09-03T00:00:00"/>
    <n v="4.901369863013699"/>
    <n v="-5.104109589041096"/>
    <s v="Modified Gross"/>
    <s v="None"/>
    <s v="None"/>
    <m/>
    <s v=" "/>
    <s v=" "/>
    <m/>
    <d v="2017-10-10T00:00:00"/>
    <x v="1093"/>
    <s v="Frank Roti"/>
    <x v="174"/>
    <s v="KY"/>
    <s v="Private"/>
    <m/>
    <m/>
    <n v="1964763"/>
    <n v="0.06064131358336858"/>
    <s v=" "/>
    <n v="1964763"/>
    <n v="0.06064131358336858"/>
    <s v=" "/>
    <s v="No"/>
    <d v="2017-02-19T00:00:00"/>
    <n v="233"/>
  </r>
  <r>
    <m/>
    <s v="USPS"/>
    <s v="Federal"/>
    <s v="Fee Simple"/>
    <s v="7724 35th Ave NE"/>
    <s v="Seattle"/>
    <s v="WA"/>
    <n v="0.68"/>
    <n v="1967"/>
    <n v="7247"/>
    <n v="7247"/>
    <n v="1"/>
    <n v="180954"/>
    <n v="24.96950462260246"/>
    <n v="180954"/>
    <n v="24.96950462260246"/>
    <m/>
    <d v="2027-07-31T00:00:00"/>
    <m/>
    <n v="9.821917808219178"/>
    <s v=" "/>
    <s v="Rider"/>
    <s v="None"/>
    <s v="None"/>
    <n v="3290625"/>
    <n v="454.067200220781"/>
    <n v="0.05499076923076923"/>
    <m/>
    <d v="2017-10-06T00:00:00"/>
    <x v="1094"/>
    <s v="Saratoga"/>
    <x v="769"/>
    <s v="WA"/>
    <s v="Private"/>
    <m/>
    <m/>
    <n v="3351000"/>
    <n v="0.054"/>
    <n v="0.9819829901521934"/>
    <n v="3351000"/>
    <n v="0.054"/>
    <n v="0.0009907692307692326"/>
    <s v="No"/>
    <m/>
    <s v=" "/>
  </r>
  <r>
    <s v="LCA00124"/>
    <s v="FEMA"/>
    <s v="Federal"/>
    <s v="Fee Simple"/>
    <s v="1547 E Grant Line Rd"/>
    <s v="Tracy"/>
    <s v="CA"/>
    <n v="19"/>
    <n v="2018"/>
    <n v="210373"/>
    <n v="210373"/>
    <n v="1"/>
    <n v="4093810"/>
    <n v="19.4597690768302"/>
    <n v="2250000"/>
    <n v="10.69528884410072"/>
    <d v="2018-10-01T00:00:00"/>
    <d v="2038-09-30T00:00:00"/>
    <d v="2038-09-30T00:00:00"/>
    <n v="21"/>
    <n v="21"/>
    <s v="Modified Gross"/>
    <s v="None"/>
    <s v="None"/>
    <n v="32830000"/>
    <n v="156.0561478897007"/>
    <n v="0.06853487663722205"/>
    <m/>
    <d v="2017-10-05T00:00:00"/>
    <x v="1095"/>
    <s v="C&amp;W; Trautvetter"/>
    <x v="3"/>
    <s v="DC"/>
    <s v="REIT"/>
    <m/>
    <m/>
    <m/>
    <s v=" "/>
    <s v=" "/>
    <m/>
    <s v=" "/>
    <s v=" "/>
    <s v=" "/>
    <m/>
    <s v=" "/>
  </r>
  <r>
    <m/>
    <s v="Multi"/>
    <s v="Federal"/>
    <s v="Leasehold"/>
    <s v="118, 250 N 7th Ave &amp; 800-850 W Adams St"/>
    <s v="Pheonix"/>
    <s v="AZ"/>
    <n v="9.1"/>
    <n v="2003"/>
    <n v="97816"/>
    <n v="310886"/>
    <n v="0.3146362332173208"/>
    <m/>
    <s v=" "/>
    <m/>
    <s v=" "/>
    <m/>
    <d v="2024-02-01T00:00:00"/>
    <d v="2019-02-01T00:00:00"/>
    <n v="6.334246575342465"/>
    <n v="1.331506849315069"/>
    <m/>
    <m/>
    <m/>
    <n v="33290000"/>
    <n v="107.0810522184981"/>
    <s v=" "/>
    <m/>
    <d v="2017-10-03T00:00:00"/>
    <x v="1096"/>
    <s v="CBRE"/>
    <x v="770"/>
    <s v="AZ"/>
    <s v="Private"/>
    <m/>
    <m/>
    <m/>
    <s v=" "/>
    <s v=" "/>
    <m/>
    <s v=" "/>
    <s v=" "/>
    <s v=" "/>
    <m/>
    <s v=" "/>
  </r>
  <r>
    <m/>
    <s v="Multi"/>
    <s v="State &amp; Federal"/>
    <s v="Leasehold"/>
    <s v="Portfolio of Four"/>
    <s v="Phoenix"/>
    <s v="AZ"/>
    <n v="9.1"/>
    <m/>
    <m/>
    <n v="310333"/>
    <s v=" "/>
    <m/>
    <s v=" "/>
    <m/>
    <s v=" "/>
    <m/>
    <m/>
    <m/>
    <s v=" "/>
    <s v=" "/>
    <m/>
    <m/>
    <m/>
    <n v="33290000"/>
    <n v="107.2718660277831"/>
    <s v=" "/>
    <m/>
    <d v="2017-10-03T00:00:00"/>
    <x v="1096"/>
    <s v="CBRE; Fijan"/>
    <x v="771"/>
    <s v="CA"/>
    <s v="REIT"/>
    <m/>
    <m/>
    <m/>
    <s v=" "/>
    <s v=" "/>
    <m/>
    <s v=" "/>
    <s v=" "/>
    <s v=" "/>
    <d v="2017-03-01T00:00:00"/>
    <n v="216"/>
  </r>
  <r>
    <s v="LUT14172"/>
    <s v="FBI"/>
    <s v="Federal"/>
    <s v="Fee Simple"/>
    <s v="5425 W. Amelia Earhart Dr."/>
    <s v="Salt Lake City"/>
    <s v="UT"/>
    <n v="7.46"/>
    <n v="2012"/>
    <n v="163040"/>
    <n v="163040"/>
    <n v="1"/>
    <n v="6364395.34"/>
    <n v="39.03579084887144"/>
    <n v="4902159"/>
    <n v="30.06721663395486"/>
    <d v="2012-10-23T00:00:00"/>
    <d v="2032-10-22T00:00:00"/>
    <d v="2032-10-22T00:00:00"/>
    <n v="15.06301369863014"/>
    <n v="15.06301369863014"/>
    <s v="Modified Gross"/>
    <s v="None"/>
    <s v="None"/>
    <n v="87974000"/>
    <n v="539.5853778213935"/>
    <n v="0.05572281583195035"/>
    <m/>
    <d v="2017-10-03T00:00:00"/>
    <x v="1097"/>
    <s v="JLL"/>
    <x v="3"/>
    <s v="DC"/>
    <s v="REIT"/>
    <m/>
    <m/>
    <m/>
    <s v=" "/>
    <s v=" "/>
    <m/>
    <s v=" "/>
    <s v=" "/>
    <s v=" "/>
    <m/>
    <s v=" "/>
  </r>
  <r>
    <m/>
    <s v="DHS"/>
    <s v="Federal"/>
    <s v="Fee Simple"/>
    <s v="925 Keynote Cir"/>
    <s v="Independence"/>
    <s v="OH"/>
    <m/>
    <m/>
    <m/>
    <n v="61944"/>
    <s v=" "/>
    <m/>
    <s v=" "/>
    <m/>
    <s v=" "/>
    <m/>
    <m/>
    <m/>
    <s v=" "/>
    <s v=" "/>
    <m/>
    <m/>
    <m/>
    <m/>
    <s v=" "/>
    <s v=" "/>
    <m/>
    <d v="2017-10-02T00:00:00"/>
    <x v="1098"/>
    <s v="Direct"/>
    <x v="62"/>
    <s v="IL"/>
    <s v="Private"/>
    <m/>
    <m/>
    <m/>
    <s v=" "/>
    <s v=" "/>
    <m/>
    <s v=" "/>
    <s v=" "/>
    <s v=" "/>
    <m/>
    <s v=" "/>
  </r>
  <r>
    <m/>
    <s v="USPS"/>
    <s v="Federal"/>
    <s v="Fee Simple"/>
    <s v="76 SE 6th St"/>
    <s v="Madras"/>
    <s v="OR"/>
    <n v="0.46"/>
    <n v="1962"/>
    <n v="3626"/>
    <n v="3626"/>
    <n v="1"/>
    <m/>
    <s v=" "/>
    <n v="32272"/>
    <n v="8.900165471594043"/>
    <m/>
    <m/>
    <m/>
    <s v=" "/>
    <s v=" "/>
    <m/>
    <m/>
    <m/>
    <n v="380000"/>
    <n v="104.7986762272477"/>
    <n v="0.08492631578947368"/>
    <m/>
    <d v="2017-10-02T00:00:00"/>
    <x v="1099"/>
    <s v="David Gellner"/>
    <x v="0"/>
    <m/>
    <m/>
    <m/>
    <m/>
    <n v="400000"/>
    <n v="0.08068"/>
    <n v="0.95"/>
    <n v="400000"/>
    <n v="0.08068"/>
    <n v="0.004246315789473681"/>
    <s v="No"/>
    <d v="2017-06-27T00:00:00"/>
    <n v="97"/>
  </r>
  <r>
    <m/>
    <s v="DHS"/>
    <s v="Federal"/>
    <s v="Fee Simple"/>
    <s v="925 Keynote Cir"/>
    <s v="Cleveland"/>
    <s v="OH"/>
    <m/>
    <m/>
    <m/>
    <n v="59801"/>
    <s v=" "/>
    <m/>
    <s v=" "/>
    <m/>
    <s v=" "/>
    <m/>
    <m/>
    <m/>
    <s v=" "/>
    <s v=" "/>
    <m/>
    <m/>
    <m/>
    <m/>
    <s v=" "/>
    <s v=" "/>
    <m/>
    <d v="2017-10-01T00:00:00"/>
    <x v="8"/>
    <m/>
    <x v="62"/>
    <s v="IL"/>
    <s v="Private"/>
    <m/>
    <m/>
    <m/>
    <s v=" "/>
    <s v=" "/>
    <m/>
    <s v=" "/>
    <s v=" "/>
    <s v=" "/>
    <m/>
    <s v=" "/>
  </r>
  <r>
    <s v="LMO60012"/>
    <s v="SSA"/>
    <s v="Federal"/>
    <s v="Fee Simple"/>
    <s v="803 Gray Oak Dr"/>
    <s v="Columbia"/>
    <s v="MO"/>
    <m/>
    <m/>
    <n v="6999"/>
    <n v="6999"/>
    <n v="1"/>
    <n v="112375.37"/>
    <n v="16.05591798828404"/>
    <m/>
    <s v=" "/>
    <d v="2006-12-04T00:00:00"/>
    <d v="2016-12-03T00:00:00"/>
    <d v="2011-12-04T00:00:00"/>
    <n v="-0.8273972602739726"/>
    <n v="-5.83013698630137"/>
    <m/>
    <m/>
    <m/>
    <m/>
    <s v=" "/>
    <s v=" "/>
    <m/>
    <d v="2017-10-01T00:00:00"/>
    <x v="1100"/>
    <m/>
    <x v="772"/>
    <s v="MO"/>
    <s v="Private"/>
    <m/>
    <m/>
    <m/>
    <s v=" "/>
    <s v=" "/>
    <m/>
    <s v=" "/>
    <s v=" "/>
    <s v=" "/>
    <m/>
    <s v=" "/>
  </r>
  <r>
    <m/>
    <s v="VA"/>
    <s v="Federal"/>
    <s v="Fee Simple"/>
    <s v="1215 Trinity Pl"/>
    <s v="Mishawaka"/>
    <s v="IN"/>
    <n v="15.88"/>
    <n v="2017"/>
    <n v="86363"/>
    <n v="86363"/>
    <n v="1"/>
    <n v="4011573"/>
    <n v="46.45013489573081"/>
    <m/>
    <s v=" "/>
    <d v="2017-09-01T00:00:00"/>
    <d v="2032-08-30T00:00:00"/>
    <d v="2032-08-30T00:00:00"/>
    <n v="14.92602739726027"/>
    <n v="14.92602739726027"/>
    <s v="Modified Gross"/>
    <s v="None"/>
    <s v="None"/>
    <n v="47650000"/>
    <n v="551.740907564582"/>
    <s v=" "/>
    <m/>
    <d v="2017-09-30T00:00:00"/>
    <x v="1101"/>
    <s v="C&amp;W; Trautvetter"/>
    <x v="3"/>
    <s v="DC"/>
    <s v="REIT"/>
    <m/>
    <m/>
    <m/>
    <s v=" "/>
    <s v=" "/>
    <m/>
    <s v=" "/>
    <s v=" "/>
    <s v=" "/>
    <m/>
    <s v=" "/>
  </r>
  <r>
    <m/>
    <s v="Cuyahoga County Office"/>
    <s v="State"/>
    <s v="Fee Simple"/>
    <s v="4261 Fulton Pkwy"/>
    <s v="Cleveland"/>
    <s v="OH"/>
    <n v="4.05"/>
    <n v="1953"/>
    <m/>
    <n v="58642"/>
    <s v=" "/>
    <m/>
    <s v=" "/>
    <n v="440000"/>
    <n v="7.503154735513796"/>
    <m/>
    <m/>
    <m/>
    <s v=" "/>
    <s v=" "/>
    <m/>
    <m/>
    <m/>
    <n v="4000000"/>
    <n v="68.21049759557997"/>
    <n v="0.11"/>
    <m/>
    <d v="2017-09-29T00:00:00"/>
    <x v="505"/>
    <s v="Luttner"/>
    <x v="773"/>
    <s v="NY"/>
    <s v="Private"/>
    <m/>
    <m/>
    <m/>
    <s v=" "/>
    <s v=" "/>
    <m/>
    <s v=" "/>
    <s v=" "/>
    <s v=" "/>
    <m/>
    <s v=" "/>
  </r>
  <r>
    <m/>
    <s v="EV"/>
    <s v="State"/>
    <s v="Fee Simple"/>
    <s v="10590 Armstrong Ave"/>
    <s v="Mather"/>
    <s v="CA"/>
    <n v="3.84"/>
    <n v="2009"/>
    <n v="25098.5"/>
    <n v="35855"/>
    <n v="0.7"/>
    <n v="911553"/>
    <n v="36.31902304918621"/>
    <n v="630400"/>
    <n v="17.58192720680519"/>
    <d v="2012-01-01T00:00:00"/>
    <d v="2026-12-31T00:00:00"/>
    <m/>
    <n v="9.260273972602739"/>
    <s v=" "/>
    <s v="Full Service"/>
    <s v="None"/>
    <s v="None"/>
    <n v="8000000"/>
    <n v="223.1209036396597"/>
    <n v="0.0788"/>
    <m/>
    <d v="2017-09-29T00:00:00"/>
    <x v="543"/>
    <s v="Randy Getz"/>
    <x v="774"/>
    <s v="CA"/>
    <s v="Private"/>
    <m/>
    <m/>
    <n v="8290000"/>
    <n v="0.07604342581423401"/>
    <n v="0.9650180940892642"/>
    <n v="8290000"/>
    <n v="0.07604342581423401"/>
    <n v="0.002756574185765984"/>
    <s v="No"/>
    <d v="2017-05-09T00:00:00"/>
    <n v="143"/>
  </r>
  <r>
    <m/>
    <s v="USPS"/>
    <s v="Federal"/>
    <s v="Fee Simple"/>
    <s v="211 E Cash St"/>
    <s v="Iowa Park"/>
    <s v="TX"/>
    <n v="0.55"/>
    <n v="1968"/>
    <n v="3954"/>
    <n v="3954"/>
    <n v="1"/>
    <n v="38000"/>
    <n v="9.610520991401113"/>
    <n v="34678"/>
    <n v="8.770359129994942"/>
    <d v="2014-01-01T00:00:00"/>
    <d v="2018-12-31T00:00:00"/>
    <m/>
    <n v="1.257534246575343"/>
    <s v=" "/>
    <m/>
    <m/>
    <m/>
    <n v="485000"/>
    <n v="122.6605968639353"/>
    <n v="0.07150103092783505"/>
    <m/>
    <d v="2017-09-28T00:00:00"/>
    <x v="8"/>
    <s v="Kevin King"/>
    <x v="0"/>
    <s v="CA"/>
    <s v="Private"/>
    <s v="Magdaleno"/>
    <m/>
    <n v="490000"/>
    <n v="0.07077142857142857"/>
    <n v="0.9897959183673469"/>
    <n v="490000"/>
    <n v="0.07077142857142857"/>
    <n v="0.0007296023564064835"/>
    <s v="No"/>
    <d v="2017-06-12T00:00:00"/>
    <n v="108"/>
  </r>
  <r>
    <m/>
    <s v="IRS"/>
    <s v="Federal"/>
    <s v="Fee Simple"/>
    <s v="6068 Business Park Dr"/>
    <s v="Columbus"/>
    <s v="GA"/>
    <n v="1.43"/>
    <n v="2006"/>
    <n v="10495"/>
    <n v="10494"/>
    <n v="1.000095292548123"/>
    <n v="310440.72"/>
    <n v="29.57986850881372"/>
    <n v="153550"/>
    <n v="14.63217076424624"/>
    <d v="2012-05-01T00:00:00"/>
    <d v="2022-04-30T00:00:00"/>
    <d v="2017-05-01T00:00:00"/>
    <n v="4.594520547945206"/>
    <n v="-0.4054794520547945"/>
    <m/>
    <m/>
    <m/>
    <n v="1660000"/>
    <n v="158.1856298837431"/>
    <n v="0.0925"/>
    <m/>
    <d v="2017-09-26T00:00:00"/>
    <x v="1102"/>
    <s v="M&amp;M; Roti"/>
    <x v="46"/>
    <s v="OK"/>
    <s v="Private"/>
    <s v="M&amp;M; Ficke"/>
    <m/>
    <n v="1900000"/>
    <n v="0.08081578947368422"/>
    <n v="0.8736842105263158"/>
    <n v="1900000"/>
    <n v="0.08081578947368422"/>
    <n v="0.01168421052631578"/>
    <s v="No"/>
    <d v="2017-05-22T00:00:00"/>
    <n v="127"/>
  </r>
  <r>
    <m/>
    <s v="IRS"/>
    <s v="Federal"/>
    <s v="Fee Simple"/>
    <s v="6068 Business Park Dr"/>
    <s v="Columbus"/>
    <s v="GA"/>
    <n v="1.43"/>
    <n v="2006"/>
    <n v="10495"/>
    <n v="10494"/>
    <n v="1.000095292548123"/>
    <n v="310440.72"/>
    <n v="29.57986850881372"/>
    <n v="153550"/>
    <n v="14.63217076424624"/>
    <d v="2012-05-01T00:00:00"/>
    <d v="2022-04-30T00:00:00"/>
    <d v="2017-05-01T00:00:00"/>
    <n v="4.594520547945206"/>
    <n v="-0.4054794520547945"/>
    <s v="Modified Gross"/>
    <s v="None"/>
    <s v="None"/>
    <n v="1660000"/>
    <n v="158.1856298837431"/>
    <n v="0.0925"/>
    <m/>
    <d v="2017-09-26T00:00:00"/>
    <x v="1102"/>
    <s v="M&amp;M; Roti"/>
    <x v="46"/>
    <s v="OK"/>
    <s v="Private"/>
    <s v="M&amp;M; Ficke"/>
    <m/>
    <n v="1900000"/>
    <n v="0.08081578947368422"/>
    <n v="0.8736842105263158"/>
    <n v="1900000"/>
    <n v="0.08081578947368422"/>
    <n v="0.01168421052631578"/>
    <s v="No"/>
    <d v="2017-05-22T00:00:00"/>
    <n v="127"/>
  </r>
  <r>
    <m/>
    <s v="Dep't of Econ Security"/>
    <s v="Federal"/>
    <s v="Fee Simple"/>
    <s v="8800 N 22nd Ave"/>
    <s v="Phoenix"/>
    <s v="AZ"/>
    <n v="3.23"/>
    <n v="2013"/>
    <n v="38238"/>
    <n v="38238"/>
    <n v="1"/>
    <m/>
    <s v=" "/>
    <n v="344400"/>
    <n v="9.00674721481249"/>
    <m/>
    <m/>
    <m/>
    <s v=" "/>
    <s v=" "/>
    <m/>
    <m/>
    <m/>
    <n v="3825000"/>
    <n v="100.0313823944767"/>
    <n v="0.09003921568627452"/>
    <m/>
    <d v="2017-09-25T00:00:00"/>
    <x v="1103"/>
    <s v="Colliers"/>
    <x v="775"/>
    <s v="AZ"/>
    <s v="Private"/>
    <m/>
    <m/>
    <n v="4200000"/>
    <n v="0.082"/>
    <n v="0.9107142857142857"/>
    <n v="4200000"/>
    <n v="0.082"/>
    <n v="0.008039215686274512"/>
    <s v="No"/>
    <d v="2015-07-28T00:00:00"/>
    <n v="790"/>
  </r>
  <r>
    <m/>
    <s v="ECU"/>
    <s v="State"/>
    <s v="Fee Simple"/>
    <s v="517 Moye Blvd"/>
    <s v="Greenville"/>
    <s v="NC"/>
    <n v="3.07"/>
    <n v="2010"/>
    <n v="44508"/>
    <n v="44508"/>
    <n v="1"/>
    <m/>
    <s v=" "/>
    <m/>
    <s v=" "/>
    <m/>
    <m/>
    <m/>
    <s v=" "/>
    <s v=" "/>
    <m/>
    <m/>
    <m/>
    <n v="10432500"/>
    <n v="234.3960636290105"/>
    <s v=" "/>
    <m/>
    <d v="2017-09-22T00:00:00"/>
    <x v="1104"/>
    <m/>
    <x v="776"/>
    <s v="IL"/>
    <s v="REIT"/>
    <m/>
    <m/>
    <m/>
    <s v=" "/>
    <s v=" "/>
    <m/>
    <s v=" "/>
    <s v=" "/>
    <s v=" "/>
    <m/>
    <s v=" "/>
  </r>
  <r>
    <m/>
    <s v="Multi"/>
    <s v="Federal"/>
    <s v="Fee Simple"/>
    <s v="1133 New Hanover"/>
    <s v="Hanover Township"/>
    <s v="PA"/>
    <n v="4.2231"/>
    <n v="2016"/>
    <m/>
    <m/>
    <s v=" "/>
    <m/>
    <s v=" "/>
    <m/>
    <s v=" "/>
    <m/>
    <m/>
    <m/>
    <s v=" "/>
    <s v=" "/>
    <m/>
    <m/>
    <m/>
    <n v="2190000"/>
    <s v=" "/>
    <s v=" "/>
    <m/>
    <d v="2017-09-18T00:00:00"/>
    <x v="1105"/>
    <m/>
    <x v="429"/>
    <s v="NY"/>
    <s v="Private"/>
    <m/>
    <m/>
    <m/>
    <s v=" "/>
    <s v=" "/>
    <m/>
    <s v=" "/>
    <s v=" "/>
    <s v=" "/>
    <m/>
    <s v=" "/>
  </r>
  <r>
    <m/>
    <s v="CYFD"/>
    <s v="State"/>
    <s v="Fee Simple"/>
    <s v="1031 Lamberton Pl NE"/>
    <s v="Albuquerque"/>
    <s v="NM"/>
    <n v="3.49"/>
    <n v="2001"/>
    <n v="40498"/>
    <n v="40498"/>
    <n v="1"/>
    <m/>
    <s v=" "/>
    <n v="796050"/>
    <n v="19.65652624820979"/>
    <m/>
    <d v="2021-04-30T00:00:00"/>
    <m/>
    <n v="3.624657534246575"/>
    <s v=" "/>
    <m/>
    <m/>
    <m/>
    <m/>
    <s v=" "/>
    <s v=" "/>
    <m/>
    <d v="2017-09-15T00:00:00"/>
    <x v="8"/>
    <s v="John Davidson"/>
    <x v="0"/>
    <m/>
    <m/>
    <m/>
    <m/>
    <n v="4350000"/>
    <n v="0.183"/>
    <s v=" "/>
    <n v="4350000"/>
    <n v="0.183"/>
    <s v=" "/>
    <s v="No"/>
    <d v="2016-09-28T00:00:00"/>
    <n v="352"/>
  </r>
  <r>
    <m/>
    <s v="USPS"/>
    <s v="Federal"/>
    <s v="Fee Simple"/>
    <s v="4702 Park 370 Blvd"/>
    <s v="Hazelwood"/>
    <s v="MO"/>
    <n v="18.09"/>
    <n v="2006"/>
    <n v="299004"/>
    <n v="494333"/>
    <n v="0.6048635231716272"/>
    <m/>
    <s v=" "/>
    <n v="1730165.5"/>
    <n v="3.5"/>
    <m/>
    <d v="2024-08-31T00:00:00"/>
    <d v="2024-08-31T00:00:00"/>
    <n v="6.964383561643835"/>
    <n v="6.964383561643835"/>
    <s v="Rider"/>
    <s v="None"/>
    <s v="None"/>
    <n v="27877001"/>
    <n v="56.3931620992327"/>
    <n v="0.06206426222103303"/>
    <m/>
    <d v="2017-09-15T00:00:00"/>
    <x v="814"/>
    <s v="Eastdil"/>
    <x v="777"/>
    <s v="TX"/>
    <s v="Private"/>
    <m/>
    <m/>
    <m/>
    <s v=" "/>
    <s v=" "/>
    <m/>
    <s v=" "/>
    <s v=" "/>
    <s v=" "/>
    <m/>
    <s v=" "/>
  </r>
  <r>
    <m/>
    <s v="SSA"/>
    <s v="Federal"/>
    <s v="Fee Simple"/>
    <s v="109 Cypress Corners Dr"/>
    <s v="Milledgeville"/>
    <s v="GA"/>
    <n v="0.916"/>
    <n v="2002"/>
    <n v="8710"/>
    <n v="8710"/>
    <n v="1"/>
    <m/>
    <s v=" "/>
    <n v="100544"/>
    <n v="11.5435132032147"/>
    <m/>
    <d v="2020-01-31T00:00:00"/>
    <d v="2015-01-31T00:00:00"/>
    <n v="2.378082191780822"/>
    <n v="-2.624657534246575"/>
    <s v="Modified Gross"/>
    <s v="None"/>
    <s v="None"/>
    <n v="727000"/>
    <n v="83.46727898966705"/>
    <n v="0.1382998624484182"/>
    <m/>
    <d v="2017-09-15T00:00:00"/>
    <x v="1106"/>
    <s v="M&amp;M; Roti"/>
    <x v="497"/>
    <s v="TN"/>
    <s v="REIT"/>
    <m/>
    <m/>
    <m/>
    <s v=" "/>
    <s v=" "/>
    <m/>
    <s v=" "/>
    <s v=" "/>
    <s v=" "/>
    <m/>
    <s v=" "/>
  </r>
  <r>
    <s v="LIL18977"/>
    <s v="IRS"/>
    <s v="Federal"/>
    <s v="Fee Simple"/>
    <s v="14479 John Humphrey Dr"/>
    <s v="Orland Park"/>
    <s v="IL"/>
    <n v="1.84"/>
    <n v="2008"/>
    <n v="18325"/>
    <n v="18760"/>
    <n v="0.9768123667377399"/>
    <n v="489286.54"/>
    <n v="26.70049331514324"/>
    <n v="269080"/>
    <n v="14.34328358208955"/>
    <d v="2014-04-01T00:00:00"/>
    <d v="2024-03-31T00:00:00"/>
    <d v="2019-03-31T00:00:00"/>
    <n v="6.545205479452055"/>
    <n v="1.53972602739726"/>
    <s v="Modified Gross"/>
    <s v="None"/>
    <s v="None"/>
    <n v="3250000"/>
    <n v="173.2409381663113"/>
    <n v="0.08279384615384615"/>
    <m/>
    <d v="2017-09-15T00:00:00"/>
    <x v="1107"/>
    <s v="Newmark; Tim Strange"/>
    <x v="593"/>
    <s v="IL"/>
    <s v="Private"/>
    <m/>
    <m/>
    <m/>
    <s v=" "/>
    <s v=" "/>
    <m/>
    <s v=" "/>
    <s v=" "/>
    <s v=" "/>
    <m/>
    <s v=" "/>
  </r>
  <r>
    <m/>
    <s v="VA"/>
    <s v="Federal"/>
    <s v="Fee Simple"/>
    <s v="2620 Perkins Creek Dr"/>
    <s v="Paducah"/>
    <s v="KY"/>
    <n v="1.23"/>
    <n v="2005"/>
    <n v="10000"/>
    <n v="10000"/>
    <n v="1"/>
    <m/>
    <s v=" "/>
    <n v="195000"/>
    <n v="19.5"/>
    <m/>
    <d v="2027-02-28T00:00:00"/>
    <d v="2022-02-28T00:00:00"/>
    <n v="9.46027397260274"/>
    <n v="4.457534246575342"/>
    <s v="Full Service"/>
    <s v="None"/>
    <s v="None"/>
    <n v="1825000"/>
    <n v="182.5"/>
    <n v="0.1068493150684932"/>
    <m/>
    <d v="2017-09-15T00:00:00"/>
    <x v="1108"/>
    <s v="Darren Hack"/>
    <x v="778"/>
    <m/>
    <m/>
    <m/>
    <m/>
    <n v="1950000"/>
    <n v="0.1"/>
    <n v="0.9358974358974359"/>
    <n v="1950000"/>
    <n v="0.1"/>
    <n v="0.00684931506849315"/>
    <s v="No"/>
    <d v="2017-02-23T00:00:00"/>
    <n v="204"/>
  </r>
  <r>
    <m/>
    <s v="VA"/>
    <s v="Federal"/>
    <s v="Fee Simple"/>
    <s v="220 S Lola Ln"/>
    <s v="Pahrump"/>
    <s v="NV"/>
    <n v="2.01"/>
    <n v="2016"/>
    <n v="14574"/>
    <n v="14574"/>
    <n v="1"/>
    <m/>
    <s v=" "/>
    <n v="320275"/>
    <n v="21.97577878413613"/>
    <d v="2016-09-01T00:00:00"/>
    <d v="2036-08-31T00:00:00"/>
    <d v="2031-08-31T00:00:00"/>
    <n v="18.97260273972603"/>
    <n v="13.96712328767123"/>
    <s v="Modified Gross"/>
    <s v="None"/>
    <s v="None"/>
    <n v="5425000"/>
    <n v="372.23823246878"/>
    <n v="0.05903686635944701"/>
    <m/>
    <d v="2017-09-15T00:00:00"/>
    <x v="111"/>
    <s v="C&amp;W; Trautvetter"/>
    <x v="779"/>
    <s v="CA"/>
    <s v="Private"/>
    <s v="Joseph Eaton"/>
    <s v="WD Schorsh"/>
    <n v="5570000"/>
    <n v="0.0575"/>
    <n v="0.973967684021544"/>
    <n v="5570000"/>
    <n v="0.0575"/>
    <n v="0.001536866359447005"/>
    <s v="No"/>
    <d v="2017-05-04T00:00:00"/>
    <n v="134"/>
  </r>
  <r>
    <m/>
    <s v="OES"/>
    <s v="State"/>
    <s v="Fee Simple"/>
    <s v="601 Sequoia Pacific Blvd"/>
    <s v="Sacramento"/>
    <s v="CA"/>
    <n v="5.57"/>
    <n v="1984"/>
    <n v="100428"/>
    <n v="100992"/>
    <n v="0.9944153992395437"/>
    <n v="1584000"/>
    <n v="15.77249372684909"/>
    <n v="927000"/>
    <n v="9.178944866920151"/>
    <m/>
    <m/>
    <m/>
    <s v=" "/>
    <s v=" "/>
    <m/>
    <m/>
    <m/>
    <n v="10300000"/>
    <n v="101.9882762991128"/>
    <n v="0.09"/>
    <m/>
    <d v="2017-09-15T00:00:00"/>
    <x v="1109"/>
    <s v="Palmer Capital"/>
    <x v="780"/>
    <s v="CA"/>
    <s v="Private"/>
    <m/>
    <m/>
    <m/>
    <s v=" "/>
    <s v=" "/>
    <m/>
    <s v=" "/>
    <s v=" "/>
    <s v=" "/>
    <m/>
    <s v=" "/>
  </r>
  <r>
    <m/>
    <s v="Multi"/>
    <s v="Federal"/>
    <s v="Fee Simple"/>
    <s v="Portfolio of Three"/>
    <m/>
    <m/>
    <n v="4.41"/>
    <m/>
    <n v="48358"/>
    <n v="48358"/>
    <n v="1"/>
    <m/>
    <s v=" "/>
    <n v="787101.45"/>
    <n v="16.27655093262749"/>
    <m/>
    <m/>
    <m/>
    <s v=" "/>
    <s v=" "/>
    <m/>
    <m/>
    <m/>
    <n v="7926500"/>
    <n v="163.9128996236404"/>
    <n v="0.0993"/>
    <m/>
    <d v="2017-09-15T00:00:00"/>
    <x v="1106"/>
    <s v="M&amp;M; Roti"/>
    <x v="497"/>
    <s v="TN"/>
    <s v="REIT"/>
    <m/>
    <m/>
    <m/>
    <s v=" "/>
    <s v=" "/>
    <m/>
    <s v=" "/>
    <s v=" "/>
    <s v=" "/>
    <d v="2017-06-01T00:00:00"/>
    <n v="106"/>
  </r>
  <r>
    <m/>
    <s v="Dep't of Rev"/>
    <s v="State"/>
    <s v="Fee Simple"/>
    <s v="5067 Tennessee Capital Blvd"/>
    <s v="Tallahassee"/>
    <s v="FL"/>
    <n v="3.55"/>
    <n v="1984"/>
    <n v="36296"/>
    <n v="36296"/>
    <n v="1"/>
    <m/>
    <s v=" "/>
    <m/>
    <s v=" "/>
    <m/>
    <d v="2023-02-28T00:00:00"/>
    <m/>
    <n v="5.46027397260274"/>
    <s v=" "/>
    <s v="Modified Gross"/>
    <s v="Annually"/>
    <m/>
    <n v="4000000"/>
    <n v="110.2049812651532"/>
    <s v=" "/>
    <m/>
    <d v="2017-09-14T00:00:00"/>
    <x v="8"/>
    <s v="PJ Behr"/>
    <x v="0"/>
    <m/>
    <m/>
    <m/>
    <m/>
    <n v="4184249"/>
    <s v=" "/>
    <n v="0.955966052689503"/>
    <n v="4184249"/>
    <s v=" "/>
    <s v=" "/>
    <s v="No"/>
    <d v="2017-05-06T00:00:00"/>
    <n v="131"/>
  </r>
  <r>
    <m/>
    <s v="HHSA"/>
    <s v="Municipal"/>
    <s v="Fee Simple"/>
    <s v="8911 Balboa Ave"/>
    <s v="San Diego"/>
    <s v="CA"/>
    <n v="3.24"/>
    <n v="1990"/>
    <n v="69230"/>
    <n v="69230"/>
    <n v="1"/>
    <m/>
    <s v=" "/>
    <n v="1470000"/>
    <n v="21.23356926188069"/>
    <m/>
    <d v="2024-03-30T00:00:00"/>
    <d v="2024-03-30T00:00:00"/>
    <n v="6.550684931506849"/>
    <n v="6.550684931506849"/>
    <s v="Full Service"/>
    <s v="3% annually"/>
    <s v="None"/>
    <n v="21250000"/>
    <n v="306.9478549761664"/>
    <n v="0.0691764705882353"/>
    <m/>
    <d v="2017-09-12T00:00:00"/>
    <x v="719"/>
    <s v="CBRE; Rowe"/>
    <x v="781"/>
    <s v="CA"/>
    <s v="Private"/>
    <m/>
    <m/>
    <m/>
    <s v=" "/>
    <s v=" "/>
    <m/>
    <s v=" "/>
    <s v=" "/>
    <s v=" "/>
    <d v="2017-06-20T00:00:00"/>
    <n v="84"/>
  </r>
  <r>
    <m/>
    <s v="USPS"/>
    <s v="Federal"/>
    <s v="Fee Simple"/>
    <s v="4245 West Ln"/>
    <s v="Stockton"/>
    <s v="CA"/>
    <n v="4.98"/>
    <n v="1966"/>
    <n v="52339"/>
    <n v="52339"/>
    <n v="1"/>
    <n v="267244"/>
    <n v="5.106020367221384"/>
    <n v="255550"/>
    <n v="4.882592330766732"/>
    <d v="2016-08-01T00:00:00"/>
    <d v="2026-07-31T00:00:00"/>
    <d v="2026-07-31T00:00:00"/>
    <n v="8.887671232876713"/>
    <n v="8.887671232876713"/>
    <s v="Rider"/>
    <s v="Option"/>
    <s v="1, 5 year"/>
    <n v="3550000"/>
    <n v="67.82705057414165"/>
    <n v="0.07198591549295774"/>
    <m/>
    <d v="2017-09-12T00:00:00"/>
    <x v="1110"/>
    <s v="CBRE; Wilcox"/>
    <x v="782"/>
    <s v="NY"/>
    <s v="Private"/>
    <m/>
    <m/>
    <n v="3650000"/>
    <n v="0.07001369863013698"/>
    <n v="0.9726027397260274"/>
    <n v="3650000"/>
    <n v="0.07001369863013698"/>
    <n v="0.001972216862820758"/>
    <s v="No"/>
    <d v="2017-07-25T00:00:00"/>
    <n v="49"/>
  </r>
  <r>
    <s v="LNC62533"/>
    <s v="SSA"/>
    <s v="Federal"/>
    <s v="Fee Simple"/>
    <s v="3511 Shannon Rd"/>
    <s v="Durham"/>
    <s v="NC"/>
    <n v="2.41"/>
    <n v="2001"/>
    <n v="14253"/>
    <n v="54240"/>
    <n v="0.2627765486725664"/>
    <n v="310683.01"/>
    <n v="21.79772749596576"/>
    <m/>
    <s v=" "/>
    <d v="2016-09-16T00:00:00"/>
    <d v="2026-09-15T00:00:00"/>
    <d v="2021-09-16T00:00:00"/>
    <n v="9.024657534246575"/>
    <n v="4.024657534246575"/>
    <s v="Modified Gross"/>
    <s v="None"/>
    <s v="None"/>
    <n v="8150000"/>
    <n v="150.2581120943953"/>
    <s v=" "/>
    <m/>
    <d v="2017-09-08T00:00:00"/>
    <x v="1111"/>
    <s v="Rich; Hargrove"/>
    <x v="783"/>
    <s v="NC"/>
    <s v="Private"/>
    <m/>
    <m/>
    <m/>
    <s v=" "/>
    <s v=" "/>
    <m/>
    <s v=" "/>
    <s v=" "/>
    <s v=" "/>
    <d v="2017-04-25T00:00:00"/>
    <n v="136"/>
  </r>
  <r>
    <m/>
    <s v="DHS"/>
    <s v="Federal"/>
    <s v="Fee Simple"/>
    <s v="4849 N Mesa St"/>
    <s v="El Paso"/>
    <s v="TX"/>
    <m/>
    <m/>
    <n v="15517"/>
    <n v="35438"/>
    <n v="0.437863310570574"/>
    <m/>
    <s v=" "/>
    <m/>
    <s v=" "/>
    <m/>
    <m/>
    <m/>
    <s v=" "/>
    <s v=" "/>
    <m/>
    <m/>
    <m/>
    <m/>
    <s v=" "/>
    <s v=" "/>
    <m/>
    <d v="2017-09-08T00:00:00"/>
    <x v="1112"/>
    <m/>
    <x v="784"/>
    <s v="TX"/>
    <s v="Private"/>
    <m/>
    <m/>
    <m/>
    <s v=" "/>
    <s v=" "/>
    <m/>
    <s v=" "/>
    <s v=" "/>
    <s v=" "/>
    <m/>
    <s v=" "/>
  </r>
  <r>
    <m/>
    <s v="USPS"/>
    <s v="Federal"/>
    <s v="Fee Simple"/>
    <s v="55 Sumner Ave"/>
    <s v="Seaside Heights"/>
    <s v="NJ"/>
    <n v="0.16"/>
    <n v="1950"/>
    <n v="3120"/>
    <n v="3120"/>
    <n v="1"/>
    <n v="49228"/>
    <n v="15.77820512820513"/>
    <m/>
    <s v=" "/>
    <m/>
    <m/>
    <m/>
    <s v=" "/>
    <s v=" "/>
    <m/>
    <m/>
    <m/>
    <n v="511900"/>
    <n v="164.0705128205128"/>
    <s v=" "/>
    <m/>
    <d v="2017-09-08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316 Valley Ave"/>
    <s v="Atglen"/>
    <s v="PA"/>
    <n v="0.16"/>
    <n v="1963"/>
    <n v="1760"/>
    <n v="1760"/>
    <n v="1"/>
    <m/>
    <s v=" "/>
    <n v="20000"/>
    <n v="11.36363636363636"/>
    <d v="2013-11-01T00:00:00"/>
    <d v="2018-10-31T00:00:00"/>
    <d v="2014-04-30T00:00:00"/>
    <n v="1.147945205479452"/>
    <n v="-3.358904109589041"/>
    <s v="Rider"/>
    <s v="None"/>
    <s v="None"/>
    <n v="200000"/>
    <n v="113.6363636363636"/>
    <n v="0.1"/>
    <m/>
    <d v="2017-09-07T00:00:00"/>
    <x v="1113"/>
    <s v="Bill Hess"/>
    <x v="785"/>
    <s v="PA"/>
    <s v="Private"/>
    <m/>
    <m/>
    <n v="239900"/>
    <n v="0.08336807002917883"/>
    <n v="0.8336807002917882"/>
    <n v="239900"/>
    <n v="0.08336807002917883"/>
    <n v="0.01663192997082118"/>
    <s v="No"/>
    <d v="2016-09-01T00:00:00"/>
    <n v="371"/>
  </r>
  <r>
    <m/>
    <s v="USPS"/>
    <s v="Federal"/>
    <s v="Fee Simple"/>
    <s v="247 FM2360"/>
    <s v="LA Grulla"/>
    <s v="TX"/>
    <n v="1.16"/>
    <n v="1998"/>
    <n v="2957"/>
    <n v="2957"/>
    <n v="1"/>
    <n v="35040"/>
    <n v="11.8498478187352"/>
    <n v="30850"/>
    <n v="10.43287115319581"/>
    <d v="2018-09-16T00:00:00"/>
    <d v="2023-09-16T00:00:00"/>
    <d v="2023-09-16T00:00:00"/>
    <n v="6.03013698630137"/>
    <n v="6.03013698630137"/>
    <s v="Rider"/>
    <s v="Option"/>
    <s v="1, 5 year"/>
    <n v="360000"/>
    <n v="121.7450118363206"/>
    <n v="0.08569444444444445"/>
    <m/>
    <d v="2017-09-06T00:00:00"/>
    <x v="8"/>
    <s v="Poelstra Properties"/>
    <x v="0"/>
    <m/>
    <m/>
    <m/>
    <m/>
    <m/>
    <s v=" "/>
    <s v=" "/>
    <m/>
    <s v=" "/>
    <s v=" "/>
    <s v=" "/>
    <d v="2017-06-05T00:00:00"/>
    <n v="93"/>
  </r>
  <r>
    <m/>
    <s v="FEMA"/>
    <s v="Federal"/>
    <s v="Fee Simple"/>
    <s v="101 Costilla St"/>
    <s v="Colorado Springs"/>
    <s v="CO"/>
    <n v="1.54"/>
    <n v="1975"/>
    <n v="27235"/>
    <n v="27235"/>
    <n v="1"/>
    <m/>
    <s v=" "/>
    <m/>
    <s v=" "/>
    <m/>
    <m/>
    <m/>
    <s v=" "/>
    <s v=" "/>
    <m/>
    <m/>
    <m/>
    <n v="3069100"/>
    <n v="112.6895538828713"/>
    <s v=" "/>
    <m/>
    <d v="2017-09-01T00:00:00"/>
    <x v="1114"/>
    <s v="Direct"/>
    <x v="786"/>
    <s v="CO"/>
    <s v="Private"/>
    <m/>
    <m/>
    <m/>
    <s v=" "/>
    <s v=" "/>
    <m/>
    <s v=" "/>
    <s v=" "/>
    <s v=" "/>
    <m/>
    <s v=" "/>
  </r>
  <r>
    <m/>
    <s v="Dep't of Edu."/>
    <s v="Municipal"/>
    <s v="Fee Simple"/>
    <s v="2045 Linden Blvd"/>
    <s v="Booklyn"/>
    <s v="NY"/>
    <n v="0.44"/>
    <n v="1973"/>
    <n v="42112"/>
    <n v="42112"/>
    <n v="1"/>
    <m/>
    <s v=" "/>
    <n v="737100"/>
    <n v="17.50332446808511"/>
    <m/>
    <d v="2031-01-01T00:00:00"/>
    <m/>
    <n v="13.34794520547945"/>
    <s v=" "/>
    <s v="Full Service"/>
    <s v="3% every 2 years"/>
    <m/>
    <n v="10975000"/>
    <n v="260.6145516717325"/>
    <n v="0.0671617312072893"/>
    <m/>
    <d v="2017-08-30T00:00:00"/>
    <x v="8"/>
    <s v="Jonathan Berman"/>
    <x v="0"/>
    <m/>
    <m/>
    <m/>
    <m/>
    <n v="11000000"/>
    <n v="0.06700909090909091"/>
    <n v="0.9977272727272727"/>
    <n v="11000000"/>
    <n v="0.06700909090909091"/>
    <n v="0.0001526402981983921"/>
    <s v="No"/>
    <d v="2017-03-20T00:00:00"/>
    <n v="163"/>
  </r>
  <r>
    <s v="LDC12652"/>
    <s v="Multi"/>
    <s v="Federal"/>
    <s v="Leasehold"/>
    <s v="800 N Capitol St NW"/>
    <s v="Washington"/>
    <s v="DC"/>
    <n v="0.73"/>
    <n v="1991"/>
    <n v="314664"/>
    <n v="314664"/>
    <n v="1"/>
    <m/>
    <s v=" "/>
    <n v="5879725"/>
    <n v="18.6857250908906"/>
    <d v="2015-02-27T00:00:00"/>
    <d v="2020-02-26T00:00:00"/>
    <d v="2020-02-26T00:00:00"/>
    <n v="2.493150684931507"/>
    <n v="2.493150684931507"/>
    <s v="Full Service"/>
    <m/>
    <m/>
    <n v="119750000"/>
    <n v="380.5646658022525"/>
    <n v="0.0491"/>
    <m/>
    <d v="2017-08-30T00:00:00"/>
    <x v="792"/>
    <s v="C&amp;W; Bill Collins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948 Suncook Valley Hwy"/>
    <s v="Epsom"/>
    <s v="NH"/>
    <n v="0.46"/>
    <n v="1999"/>
    <n v="5522"/>
    <n v="5522"/>
    <n v="1"/>
    <n v="79500"/>
    <n v="14.39695762404926"/>
    <n v="72890"/>
    <n v="13.19992756247736"/>
    <m/>
    <m/>
    <m/>
    <s v=" "/>
    <s v=" "/>
    <s v="Rider"/>
    <s v="None"/>
    <s v="Noe"/>
    <n v="985000"/>
    <n v="178.3773994929373"/>
    <n v="0.074"/>
    <m/>
    <d v="2017-08-29T00:00:00"/>
    <x v="1115"/>
    <s v="TCP; Harrison"/>
    <x v="0"/>
    <m/>
    <m/>
    <m/>
    <m/>
    <n v="1060000"/>
    <n v="0.06876415094339623"/>
    <n v="0.9292452830188679"/>
    <n v="1060000"/>
    <n v="0.06876415094339623"/>
    <n v="0.005235849056603764"/>
    <s v="No"/>
    <d v="2016-10-18T00:00:00"/>
    <n v="315"/>
  </r>
  <r>
    <m/>
    <s v="USPS"/>
    <s v="Federal"/>
    <s v="Fee Simple"/>
    <s v="8200 Corporate Dr"/>
    <s v="Landover"/>
    <s v="MD"/>
    <n v="0.48"/>
    <n v="1984"/>
    <n v="10450"/>
    <n v="10450"/>
    <n v="1"/>
    <m/>
    <s v=" "/>
    <m/>
    <s v=" "/>
    <m/>
    <d v="2021-09-30T00:00:00"/>
    <d v="2021-09-30T00:00:00"/>
    <n v="4.090410958904109"/>
    <n v="4.090410958904109"/>
    <s v="Rider"/>
    <s v="None"/>
    <s v="None"/>
    <n v="1400000"/>
    <n v="133.9712918660287"/>
    <s v=" "/>
    <m/>
    <d v="2017-08-29T00:00:00"/>
    <x v="1116"/>
    <s v="Metropolis"/>
    <x v="787"/>
    <s v="MD"/>
    <s v="Private"/>
    <m/>
    <m/>
    <m/>
    <s v=" "/>
    <s v=" "/>
    <m/>
    <s v=" "/>
    <s v=" "/>
    <s v=" "/>
    <m/>
    <s v=" "/>
  </r>
  <r>
    <m/>
    <s v="San Bernardino County Employment"/>
    <s v="Municipal"/>
    <s v="Fee Simple"/>
    <s v="15980 Main St"/>
    <s v="Hesperia"/>
    <s v="CA"/>
    <n v="1.65"/>
    <n v="2002"/>
    <n v="16371"/>
    <n v="16371"/>
    <n v="1"/>
    <n v="248640"/>
    <n v="15.18783214220267"/>
    <n v="248640"/>
    <n v="15.18783214220267"/>
    <m/>
    <d v="2027-08-31T00:00:00"/>
    <m/>
    <n v="10.02191780821918"/>
    <s v=" "/>
    <s v="-"/>
    <s v="-"/>
    <s v="-"/>
    <n v="3700000"/>
    <n v="226.009406878016"/>
    <n v="0.0672"/>
    <m/>
    <d v="2017-08-25T00:00:00"/>
    <x v="8"/>
    <m/>
    <x v="788"/>
    <s v="CA"/>
    <s v="Private"/>
    <m/>
    <m/>
    <m/>
    <s v=" "/>
    <s v=" "/>
    <m/>
    <s v=" "/>
    <s v=" "/>
    <s v=" "/>
    <m/>
    <s v=" "/>
  </r>
  <r>
    <s v="LAL62321"/>
    <s v="SSA"/>
    <s v="Federal"/>
    <s v="Fee Simple"/>
    <s v="4249 N College Ave"/>
    <s v="Jackson"/>
    <s v="AL"/>
    <n v="0.75"/>
    <n v="2000"/>
    <n v="5450"/>
    <n v="5450"/>
    <n v="1"/>
    <n v="97152.48"/>
    <n v="17.82614311926605"/>
    <m/>
    <s v=" "/>
    <d v="2012-12-04T00:00:00"/>
    <d v="2022-12-03T00:00:00"/>
    <d v="2017-12-04T00:00:00"/>
    <n v="5.298630136986302"/>
    <n v="0.2986301369863014"/>
    <s v="Modified Gross"/>
    <s v="None"/>
    <s v="None"/>
    <n v="635000"/>
    <n v="116.5137614678899"/>
    <s v=" "/>
    <m/>
    <d v="2017-08-17T00:00:00"/>
    <x v="139"/>
    <s v="SVN; Levin"/>
    <x v="399"/>
    <s v="AL"/>
    <s v="Private"/>
    <m/>
    <m/>
    <m/>
    <s v=" "/>
    <s v=" "/>
    <m/>
    <s v=" "/>
    <s v=" "/>
    <s v=" "/>
    <m/>
    <s v=" "/>
  </r>
  <r>
    <s v="LNM17272"/>
    <s v="USGS"/>
    <s v="Federal"/>
    <s v="Fee Simple"/>
    <s v="6700-A Edith Blvd NW"/>
    <s v="Albuquerque"/>
    <s v="NM"/>
    <n v="2.39"/>
    <n v="2006"/>
    <n v="41166"/>
    <n v="41166"/>
    <n v="1"/>
    <n v="672634.48"/>
    <n v="16.33956371763106"/>
    <n v="573298"/>
    <n v="13.92649273672448"/>
    <d v="2016-09-15T00:00:00"/>
    <d v="2036-09-14T00:00:00"/>
    <d v="2026-09-14T00:00:00"/>
    <n v="19.0958904109589"/>
    <n v="9.087671232876712"/>
    <s v="Modified Gross"/>
    <s v="None"/>
    <s v="None"/>
    <n v="8543936"/>
    <n v="207.548365155711"/>
    <n v="0.06709998764035685"/>
    <m/>
    <d v="2017-08-15T00:00:00"/>
    <x v="1117"/>
    <s v="C&amp;W; Tratvetter"/>
    <x v="2"/>
    <s v="VA"/>
    <s v="Private"/>
    <m/>
    <m/>
    <m/>
    <s v=" "/>
    <s v=" "/>
    <m/>
    <s v=" "/>
    <s v=" "/>
    <s v=" "/>
    <m/>
    <s v=" "/>
  </r>
  <r>
    <m/>
    <s v="BLM"/>
    <s v="Federal"/>
    <s v="Fee Simple"/>
    <s v="50 Bastian Rd"/>
    <s v="Battle Mountain"/>
    <s v="NV"/>
    <n v="10.87"/>
    <n v="1992"/>
    <n v="39847"/>
    <n v="39847"/>
    <n v="1"/>
    <m/>
    <s v=" "/>
    <m/>
    <s v=" "/>
    <m/>
    <m/>
    <m/>
    <s v=" "/>
    <s v=" "/>
    <m/>
    <m/>
    <m/>
    <n v="3726322"/>
    <n v="93.51574773508671"/>
    <s v=" "/>
    <m/>
    <d v="2017-08-15T00:00:00"/>
    <x v="1118"/>
    <s v="Colliers"/>
    <x v="76"/>
    <s v="CA"/>
    <s v="Private"/>
    <m/>
    <m/>
    <m/>
    <s v=" "/>
    <s v=" "/>
    <m/>
    <s v=" "/>
    <s v=" "/>
    <s v=" "/>
    <m/>
    <s v=" "/>
  </r>
  <r>
    <m/>
    <s v="USPS"/>
    <s v="Federal"/>
    <s v="Fee Simple"/>
    <s v="4702 Park 370 Blvd"/>
    <s v="Hazelwood"/>
    <s v="MO"/>
    <n v="18.09"/>
    <n v="2006"/>
    <n v="299004"/>
    <n v="494333"/>
    <n v="0.6048635231716272"/>
    <m/>
    <s v=" "/>
    <n v="1730165.5"/>
    <n v="3.5"/>
    <m/>
    <d v="2024-08-31T00:00:00"/>
    <d v="2024-08-31T00:00:00"/>
    <n v="7.049315068493151"/>
    <n v="7.049315068493151"/>
    <s v="Rider"/>
    <s v="None"/>
    <s v="None"/>
    <n v="25200000"/>
    <n v="50.97778218326513"/>
    <n v="0.06865736111111111"/>
    <m/>
    <d v="2017-08-15T00:00:00"/>
    <x v="819"/>
    <s v="Eastdil"/>
    <x v="789"/>
    <s v="NY"/>
    <s v="Institutional"/>
    <m/>
    <m/>
    <m/>
    <s v=" "/>
    <s v=" "/>
    <m/>
    <s v=" "/>
    <s v=" "/>
    <s v=" "/>
    <m/>
    <s v=" "/>
  </r>
  <r>
    <m/>
    <s v="DOT"/>
    <s v="State"/>
    <s v="Fee Simple"/>
    <s v="4101 Capital Blvd"/>
    <s v="Raleigh"/>
    <s v="NC"/>
    <n v="6.07"/>
    <n v="1984"/>
    <n v="66000"/>
    <n v="66000"/>
    <n v="1"/>
    <m/>
    <s v=" "/>
    <n v="517500"/>
    <n v="7.840909090909091"/>
    <m/>
    <d v="2022-02-28T00:00:00"/>
    <d v="2018-02-01T00:00:00"/>
    <n v="4.578082191780822"/>
    <n v="0.5013698630136987"/>
    <s v="Full Service"/>
    <s v="2.5% annually"/>
    <s v="2, 1yr"/>
    <n v="6900000"/>
    <n v="104.5454545454545"/>
    <n v="0.075"/>
    <m/>
    <d v="2017-08-02T00:00:00"/>
    <x v="1119"/>
    <s v="NAI; Plotkin"/>
    <x v="593"/>
    <s v="IL"/>
    <s v="Private"/>
    <s v="Boulder"/>
    <m/>
    <m/>
    <s v=" "/>
    <s v=" "/>
    <m/>
    <s v=" "/>
    <s v=" "/>
    <s v=" "/>
    <m/>
    <s v=" "/>
  </r>
  <r>
    <m/>
    <s v="BOP"/>
    <s v="Federal"/>
    <s v="Fee Simple"/>
    <s v="2445 N Oracle Rd"/>
    <s v="Tucson"/>
    <s v="AZ"/>
    <n v="2.65"/>
    <n v="1940"/>
    <n v="15000"/>
    <n v="15000"/>
    <n v="1"/>
    <m/>
    <s v=" "/>
    <m/>
    <s v=" "/>
    <m/>
    <m/>
    <m/>
    <s v=" "/>
    <s v=" "/>
    <m/>
    <m/>
    <m/>
    <n v="5382284"/>
    <n v="358.8189333333333"/>
    <s v=" "/>
    <m/>
    <d v="2017-08-02T00:00:00"/>
    <x v="1120"/>
    <s v="Direct"/>
    <x v="497"/>
    <s v="TN"/>
    <s v="REIT"/>
    <m/>
    <m/>
    <m/>
    <s v=" "/>
    <s v=" "/>
    <m/>
    <s v=" "/>
    <s v=" "/>
    <s v=" "/>
    <m/>
    <s v=" "/>
  </r>
  <r>
    <s v="LMO70058"/>
    <s v="USDA"/>
    <s v="Federal"/>
    <s v="Fee Simple"/>
    <s v="10383 N Executive Hills Blvd"/>
    <s v="Kansas City"/>
    <s v="MO"/>
    <n v="2.91"/>
    <n v="1986"/>
    <n v="55831"/>
    <n v="55831"/>
    <n v="1"/>
    <n v="2509433"/>
    <n v="44.94694703659258"/>
    <n v="1516325"/>
    <n v="27.15919471261486"/>
    <d v="2011-03-18T00:00:00"/>
    <d v="2031-03-17T00:00:00"/>
    <d v="2031-03-17T00:00:00"/>
    <n v="13.63287671232877"/>
    <n v="13.63287671232877"/>
    <s v="Modified Gross"/>
    <s v="None"/>
    <s v="None"/>
    <n v="23150000"/>
    <n v="414.644194085723"/>
    <n v="0.0655"/>
    <m/>
    <d v="2017-08-01T00:00:00"/>
    <x v="1121"/>
    <s v="SJC; Briggs"/>
    <x v="2"/>
    <s v="VA"/>
    <s v="Private"/>
    <m/>
    <m/>
    <m/>
    <s v=" "/>
    <s v=" "/>
    <m/>
    <s v=" "/>
    <s v=" "/>
    <s v=" "/>
    <m/>
    <s v=" "/>
  </r>
  <r>
    <m/>
    <s v="Multi"/>
    <s v="Municipal"/>
    <s v="Fee Simple"/>
    <s v="7601-Interactive Way"/>
    <s v="Indianapolis"/>
    <s v="IN"/>
    <n v="14.38"/>
    <m/>
    <n v="275000"/>
    <n v="275000"/>
    <n v="1"/>
    <m/>
    <s v=" "/>
    <m/>
    <s v=" "/>
    <m/>
    <m/>
    <m/>
    <s v=" "/>
    <s v=" "/>
    <m/>
    <m/>
    <m/>
    <n v="41050000"/>
    <n v="149.2727272727273"/>
    <s v=" "/>
    <m/>
    <d v="2017-07-25T00:00:00"/>
    <x v="776"/>
    <s v="Direct"/>
    <x v="790"/>
    <s v="MA"/>
    <s v="REIT"/>
    <m/>
    <m/>
    <m/>
    <s v=" "/>
    <s v=" "/>
    <m/>
    <s v=" "/>
    <s v=" "/>
    <s v=" "/>
    <m/>
    <s v=" "/>
  </r>
  <r>
    <m/>
    <s v="USPS"/>
    <s v="Federal"/>
    <s v="Fee Simple"/>
    <s v="3312 Dodge Park Rd"/>
    <s v="Hyattsville"/>
    <s v="MD"/>
    <n v="0.8"/>
    <s v="1962 | 2016"/>
    <n v="5650"/>
    <n v="5650"/>
    <n v="1"/>
    <m/>
    <s v=" "/>
    <n v="74580"/>
    <n v="13.2"/>
    <m/>
    <d v="2019-05-19T00:00:00"/>
    <m/>
    <n v="1.827397260273973"/>
    <s v=" "/>
    <s v="Rider"/>
    <s v="Flat"/>
    <m/>
    <n v="795000"/>
    <n v="140.7079646017699"/>
    <n v="0.09381132075471699"/>
    <m/>
    <d v="2017-07-21T00:00:00"/>
    <x v="8"/>
    <s v="Betty Friant"/>
    <x v="0"/>
    <m/>
    <m/>
    <m/>
    <m/>
    <n v="995000"/>
    <n v="0.07495477386934674"/>
    <n v="0.7989949748743719"/>
    <n v="899000"/>
    <n v="0.08295884315906563"/>
    <n v="0.01085247759565136"/>
    <s v="Yes"/>
    <d v="2016-08-01T00:00:00"/>
    <n v="354"/>
  </r>
  <r>
    <s v="LAL60495"/>
    <s v="USCIS"/>
    <s v="Federal"/>
    <s v="Fee Simple"/>
    <s v="3381 Atlanta Hwy"/>
    <s v="Montgomery"/>
    <s v="AL"/>
    <n v="2.5"/>
    <n v="1999"/>
    <n v="21116"/>
    <n v="21116"/>
    <n v="1"/>
    <n v="446792.82"/>
    <n v="21.15897044894866"/>
    <n v="324625"/>
    <n v="15.37341352528888"/>
    <d v="2016-12-09T00:00:00"/>
    <d v="2031-12-08T00:00:00"/>
    <d v="2026-12-09T00:00:00"/>
    <n v="14.39178082191781"/>
    <n v="9.391780821917807"/>
    <s v="Modified Gross"/>
    <s v="TI Bleeds Off; $44k"/>
    <s v="None"/>
    <n v="4709458"/>
    <n v="223.0279408978973"/>
    <n v="0.06893043743037947"/>
    <m/>
    <d v="2017-07-21T00:00:00"/>
    <x v="568"/>
    <s v="C&amp;W; Trautvetter"/>
    <x v="54"/>
    <s v="NC"/>
    <s v="REIT"/>
    <m/>
    <s v="LBA Properties"/>
    <m/>
    <s v=" "/>
    <s v=" "/>
    <m/>
    <s v=" "/>
    <s v=" "/>
    <s v=" "/>
    <m/>
    <s v=" "/>
  </r>
  <r>
    <s v="LCO00139"/>
    <s v="Multi"/>
    <s v="Federal"/>
    <s v="Fee Simple"/>
    <s v="6162 S Willow Dr"/>
    <s v="Englewood"/>
    <s v="CO"/>
    <n v="7.04"/>
    <n v="1983"/>
    <n v="72599"/>
    <n v="156807"/>
    <n v="0.4629831576396462"/>
    <m/>
    <s v=" "/>
    <n v="1962000"/>
    <n v="12.51219652183895"/>
    <d v="2017-07-01T00:00:00"/>
    <d v="2028-01-31T00:00:00"/>
    <d v="2028-01-31T00:00:00"/>
    <n v="10.54246575342466"/>
    <n v="10.54246575342466"/>
    <m/>
    <m/>
    <m/>
    <n v="27250000"/>
    <n v="173.7805072477632"/>
    <n v="0.07199999999999999"/>
    <m/>
    <d v="2017-07-19T00:00:00"/>
    <x v="1122"/>
    <s v="CBRE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41810 N Venture Dr"/>
    <s v="Phoenix"/>
    <s v="AZ"/>
    <n v="0.21"/>
    <n v="2008"/>
    <n v="9211"/>
    <n v="9211"/>
    <n v="1"/>
    <n v="200317"/>
    <n v="21.74758440994463"/>
    <n v="108750"/>
    <n v="11.80653566388014"/>
    <d v="2017-01-01T00:00:00"/>
    <d v="2026-12-31T00:00:00"/>
    <d v="2021-12-31T00:00:00"/>
    <n v="9.463013698630137"/>
    <n v="4.46027397260274"/>
    <s v="Full Service"/>
    <s v="None"/>
    <s v="None"/>
    <n v="1560000"/>
    <n v="169.3627184887634"/>
    <n v="0.06971153846153846"/>
    <m/>
    <d v="2017-07-17T00:00:00"/>
    <x v="1123"/>
    <s v="CBRE; Fosberg"/>
    <x v="791"/>
    <s v="AZ"/>
    <s v="Private"/>
    <m/>
    <m/>
    <m/>
    <s v=" "/>
    <s v=" "/>
    <m/>
    <s v=" "/>
    <s v=" "/>
    <s v=" "/>
    <m/>
    <s v=" "/>
  </r>
  <r>
    <m/>
    <s v="USPS"/>
    <s v="Federal"/>
    <s v="Fee Simple"/>
    <s v="1501 Pioneer Hwy"/>
    <s v="Silvana"/>
    <s v="WA"/>
    <m/>
    <n v="1992"/>
    <n v="1552"/>
    <n v="1552"/>
    <n v="1"/>
    <m/>
    <s v=" "/>
    <n v="11025"/>
    <n v="7.103737113402062"/>
    <m/>
    <m/>
    <m/>
    <s v=" "/>
    <s v=" "/>
    <s v="Rider"/>
    <m/>
    <m/>
    <n v="175000"/>
    <n v="112.7577319587629"/>
    <n v="0.063"/>
    <m/>
    <d v="2017-07-13T00:00:00"/>
    <x v="8"/>
    <s v="Bryce"/>
    <x v="0"/>
    <m/>
    <m/>
    <m/>
    <m/>
    <n v="189000"/>
    <n v="0.05833333333333333"/>
    <n v="0.9259259259259259"/>
    <n v="189000"/>
    <n v="0.05833333333333333"/>
    <n v="0.004666666666666666"/>
    <s v="No"/>
    <d v="2017-02-18T00:00:00"/>
    <n v="145"/>
  </r>
  <r>
    <m/>
    <s v="Multi"/>
    <s v="Federal"/>
    <s v="Fee Simple"/>
    <s v="Portfolio of Two"/>
    <m/>
    <s v="VA"/>
    <n v="5.75"/>
    <m/>
    <n v="47366"/>
    <n v="47366"/>
    <n v="1"/>
    <m/>
    <s v=" "/>
    <n v="897600"/>
    <n v="18.95030190431956"/>
    <m/>
    <m/>
    <m/>
    <s v=" "/>
    <s v=" "/>
    <m/>
    <m/>
    <m/>
    <n v="13150000"/>
    <n v="277.62530084871"/>
    <n v="0.06825855513307985"/>
    <m/>
    <d v="2017-07-13T00:00:00"/>
    <x v="1124"/>
    <m/>
    <x v="1"/>
    <s v="IL"/>
    <s v="Private"/>
    <m/>
    <m/>
    <m/>
    <s v=" "/>
    <s v=" "/>
    <m/>
    <s v=" "/>
    <s v=" "/>
    <s v=" "/>
    <m/>
    <s v=" "/>
  </r>
  <r>
    <m/>
    <m/>
    <m/>
    <s v="Fee Simple"/>
    <s v="Portfolio of 4"/>
    <m/>
    <s v="MD"/>
    <m/>
    <m/>
    <n v="82940"/>
    <n v="654454"/>
    <n v="0.126731596109123"/>
    <m/>
    <s v=" "/>
    <m/>
    <s v=" "/>
    <m/>
    <m/>
    <m/>
    <s v=" "/>
    <s v=" "/>
    <m/>
    <m/>
    <m/>
    <n v="66700000"/>
    <n v="101.917017849994"/>
    <s v=" "/>
    <m/>
    <d v="2017-07-12T00:00:00"/>
    <x v="1125"/>
    <m/>
    <x v="792"/>
    <s v="NY"/>
    <s v="Institutional"/>
    <m/>
    <m/>
    <m/>
    <s v=" "/>
    <s v=" "/>
    <m/>
    <s v=" "/>
    <s v=" "/>
    <s v=" "/>
    <m/>
    <s v=" "/>
  </r>
  <r>
    <s v="LPA09308"/>
    <s v="NARA"/>
    <s v="Federal"/>
    <s v="Fee Simple"/>
    <s v="14700 Townsend Rd"/>
    <s v="Philadelphia"/>
    <s v="PA"/>
    <n v="30.41"/>
    <n v="2001"/>
    <n v="300700"/>
    <n v="300700"/>
    <n v="1"/>
    <n v="2341942"/>
    <n v="7.788300631858996"/>
    <n v="1689600"/>
    <n v="5.618889258397074"/>
    <d v="2012-12-01T00:00:00"/>
    <d v="2032-11-30T00:00:00"/>
    <d v="2027-12-01T00:00:00"/>
    <n v="15.4027397260274"/>
    <n v="10.4"/>
    <s v="Full Service"/>
    <m/>
    <s v="None"/>
    <n v="26400000"/>
    <n v="87.79514466245428"/>
    <n v="0.064"/>
    <m/>
    <d v="2017-07-10T00:00:00"/>
    <x v="1126"/>
    <s v="CBRE"/>
    <x v="793"/>
    <s v="VA"/>
    <s v="Private"/>
    <m/>
    <m/>
    <m/>
    <s v=" "/>
    <s v=" "/>
    <m/>
    <s v=" "/>
    <s v=" "/>
    <s v=" "/>
    <m/>
    <s v=" "/>
  </r>
  <r>
    <s v="LDC02279"/>
    <s v="NASA"/>
    <s v="Federal"/>
    <s v="Fee Simple"/>
    <s v="300 E ST SW"/>
    <s v="Washington"/>
    <s v="DC"/>
    <n v="2.2"/>
    <n v="1991"/>
    <n v="597253"/>
    <n v="605897"/>
    <n v="0.9857335487714909"/>
    <n v="29249724.6"/>
    <n v="48.97375919417735"/>
    <n v="20137600"/>
    <n v="33.23601206145599"/>
    <d v="2012-07-10T00:00:00"/>
    <d v="2028-08-03T00:00:00"/>
    <d v="2028-08-03T00:00:00"/>
    <n v="11.08767123287671"/>
    <n v="11.08767123287671"/>
    <s v="Full Service"/>
    <m/>
    <s v="None"/>
    <n v="359600000"/>
    <n v="593.5002153831426"/>
    <n v="0.056"/>
    <m/>
    <d v="2017-07-05T00:00:00"/>
    <x v="865"/>
    <s v="C&amp;W; Bill Collins"/>
    <x v="748"/>
    <m/>
    <s v="Cross-Border"/>
    <m/>
    <m/>
    <m/>
    <s v=" "/>
    <s v=" "/>
    <m/>
    <s v=" "/>
    <s v=" "/>
    <s v=" "/>
    <m/>
    <s v=" "/>
  </r>
  <r>
    <m/>
    <s v="VA"/>
    <s v="Federal"/>
    <s v="Fee Simple"/>
    <s v="26001 Redland Blvd"/>
    <s v="Loma Linda"/>
    <s v="CA"/>
    <n v="37"/>
    <n v="2016"/>
    <n v="327614"/>
    <n v="327614"/>
    <n v="1"/>
    <n v="16325315"/>
    <n v="49.83094434303784"/>
    <n v="12286496"/>
    <n v="37.50296385380356"/>
    <d v="2016-06-01T00:00:00"/>
    <d v="2036-05-31T00:00:00"/>
    <d v="2036-05-31T00:00:00"/>
    <n v="18.93150684931507"/>
    <n v="18.93150684931507"/>
    <s v="Full Service"/>
    <m/>
    <s v="None"/>
    <n v="212500000"/>
    <n v="648.6291794611952"/>
    <n v="0.05781880470588235"/>
    <m/>
    <d v="2017-06-30T00:00:00"/>
    <x v="1127"/>
    <s v="JLL"/>
    <x v="3"/>
    <s v="DC"/>
    <s v="REIT"/>
    <m/>
    <m/>
    <m/>
    <s v=" "/>
    <s v=" "/>
    <m/>
    <s v=" "/>
    <s v=" "/>
    <s v=" "/>
    <m/>
    <s v=" "/>
  </r>
  <r>
    <s v="LWI17002"/>
    <s v="SSA"/>
    <s v="Federal"/>
    <s v="Fee Simple"/>
    <s v="2213 8th St S"/>
    <s v="Wisconsin Rapids"/>
    <s v="WI"/>
    <m/>
    <m/>
    <n v="6966"/>
    <n v="27760"/>
    <n v="0.2509365994236311"/>
    <m/>
    <s v=" "/>
    <m/>
    <s v=" "/>
    <d v="2004-03-04T00:00:00"/>
    <d v="2024-03-03T00:00:00"/>
    <d v="2014-03-04T00:00:00"/>
    <n v="6.67945205479452"/>
    <n v="-3.326027397260274"/>
    <m/>
    <m/>
    <m/>
    <n v="1550000"/>
    <n v="55.835734870317"/>
    <s v=" "/>
    <m/>
    <d v="2017-06-30T00:00:00"/>
    <x v="1128"/>
    <m/>
    <x v="794"/>
    <s v="WI"/>
    <s v="Private"/>
    <m/>
    <m/>
    <m/>
    <s v=" "/>
    <s v=" "/>
    <m/>
    <s v=" "/>
    <s v=" "/>
    <s v=" "/>
    <m/>
    <s v=" "/>
  </r>
  <r>
    <m/>
    <s v="VA"/>
    <s v="Federal"/>
    <s v="Fee Simple"/>
    <s v="1500-1506 Dodson Ave"/>
    <s v="Fort Smith"/>
    <s v="AR"/>
    <n v="8.08"/>
    <m/>
    <n v="12000"/>
    <n v="64546"/>
    <n v="0.1859139218541815"/>
    <m/>
    <s v=" "/>
    <m/>
    <s v=" "/>
    <m/>
    <m/>
    <m/>
    <s v=" "/>
    <s v=" "/>
    <m/>
    <m/>
    <m/>
    <m/>
    <s v=" "/>
    <s v=" "/>
    <m/>
    <d v="2017-06-29T00:00:00"/>
    <x v="1129"/>
    <m/>
    <x v="795"/>
    <s v="PA"/>
    <s v="Private"/>
    <m/>
    <m/>
    <m/>
    <s v=" "/>
    <s v=" "/>
    <m/>
    <s v=" "/>
    <s v=" "/>
    <s v=" "/>
    <m/>
    <s v=" "/>
  </r>
  <r>
    <s v="LAL62170"/>
    <s v="SSA"/>
    <s v="Federal"/>
    <s v="Fee Simple"/>
    <s v="717 McGlathery Ln SE"/>
    <s v="Decatur"/>
    <s v="AL"/>
    <n v="1.5"/>
    <n v="2001"/>
    <n v="9768"/>
    <n v="9768"/>
    <n v="1"/>
    <n v="304995.44"/>
    <n v="31.22393939393939"/>
    <n v="107751"/>
    <n v="11.03101965601966"/>
    <d v="2013-03-16T00:00:00"/>
    <d v="2023-03-15T00:00:00"/>
    <d v="2018-03-16T00:00:00"/>
    <n v="5.715068493150685"/>
    <n v="0.7150684931506849"/>
    <s v="Modified Gross"/>
    <s v="None"/>
    <s v="None"/>
    <m/>
    <s v=" "/>
    <s v=" "/>
    <m/>
    <d v="2017-06-28T00:00:00"/>
    <x v="8"/>
    <m/>
    <x v="796"/>
    <s v="AL"/>
    <s v="Private"/>
    <m/>
    <m/>
    <m/>
    <s v=" "/>
    <s v=" "/>
    <m/>
    <s v=" "/>
    <s v=" "/>
    <s v=" "/>
    <m/>
    <s v=" "/>
  </r>
  <r>
    <m/>
    <s v="USPS"/>
    <s v="Federal"/>
    <s v="Fee Simple"/>
    <s v="37 Valley Farm Rd"/>
    <s v="Pottersville"/>
    <s v="NY"/>
    <n v="1.03"/>
    <n v="1980"/>
    <n v="1104"/>
    <n v="1104"/>
    <n v="1"/>
    <n v="8650"/>
    <n v="7.835144927536231"/>
    <n v="7242"/>
    <n v="6.559782608695652"/>
    <d v="2015-12-01T00:00:00"/>
    <d v="2020-11-30T00:00:00"/>
    <m/>
    <n v="3.427397260273973"/>
    <s v=" "/>
    <s v="Rider"/>
    <s v="None"/>
    <s v="None"/>
    <n v="75000"/>
    <n v="67.93478260869566"/>
    <n v="0.09656000000000001"/>
    <m/>
    <d v="2017-06-28T00:00:00"/>
    <x v="1130"/>
    <s v="Thomas Coe"/>
    <x v="0"/>
    <m/>
    <m/>
    <m/>
    <m/>
    <n v="85200"/>
    <n v="0.08500000000000001"/>
    <n v="0.8802816901408451"/>
    <n v="85200"/>
    <n v="0.08500000000000001"/>
    <n v="0.01156"/>
    <s v="No"/>
    <d v="2017-02-23T00:00:00"/>
    <n v="125"/>
  </r>
  <r>
    <m/>
    <s v="BLM"/>
    <s v="Federal"/>
    <s v="Fee Simple"/>
    <s v="2555 E Gila Ridge Rd"/>
    <s v="Yuma"/>
    <s v="AZ"/>
    <n v="4.88"/>
    <n v="1996"/>
    <n v="32041"/>
    <n v="32041"/>
    <n v="1"/>
    <m/>
    <s v=" "/>
    <m/>
    <s v=" "/>
    <d v="1996-04-19T00:00:00"/>
    <d v="2016-04-18T00:00:00"/>
    <d v="2011-04-18T00:00:00"/>
    <n v="-1.191780821917808"/>
    <n v="-6.197260273972603"/>
    <s v="Modified Gross"/>
    <s v="None"/>
    <s v="None"/>
    <n v="1050000"/>
    <n v="32.77051278049998"/>
    <s v=" "/>
    <m/>
    <d v="2017-06-27T00:00:00"/>
    <x v="104"/>
    <m/>
    <x v="797"/>
    <s v="AZ"/>
    <s v="User/Owner"/>
    <m/>
    <m/>
    <m/>
    <s v=" "/>
    <s v=" "/>
    <m/>
    <s v=" "/>
    <s v=" "/>
    <s v=" "/>
    <m/>
    <s v=" "/>
  </r>
  <r>
    <m/>
    <s v="VA/Vet Center"/>
    <s v="Federal"/>
    <s v="Condominium"/>
    <s v="702 W Drake Rd, Building C"/>
    <s v="Fort Collins"/>
    <s v="CO"/>
    <n v="0.13"/>
    <n v="2001"/>
    <n v="4209"/>
    <n v="4209"/>
    <n v="1"/>
    <m/>
    <s v=" "/>
    <m/>
    <s v=" "/>
    <m/>
    <m/>
    <m/>
    <s v=" "/>
    <s v=" "/>
    <m/>
    <m/>
    <m/>
    <n v="800000"/>
    <n v="190.0688999762414"/>
    <s v=" "/>
    <m/>
    <d v="2017-06-26T00:00:00"/>
    <x v="1131"/>
    <m/>
    <x v="798"/>
    <s v="CO"/>
    <s v="Private"/>
    <m/>
    <m/>
    <m/>
    <s v=" "/>
    <s v=" "/>
    <m/>
    <s v=" "/>
    <s v=" "/>
    <s v=" "/>
    <m/>
    <s v=" "/>
  </r>
  <r>
    <s v="LMI16970"/>
    <s v="SSA"/>
    <s v="Federal"/>
    <s v="Fee Simple"/>
    <s v="28657 Cherry Hill Rd"/>
    <s v="Inkster"/>
    <s v="MI"/>
    <n v="1.23"/>
    <n v="2003"/>
    <n v="10157"/>
    <n v="10157"/>
    <n v="1"/>
    <n v="315117.22"/>
    <n v="31.02463522693709"/>
    <n v="185409"/>
    <n v="18.25430737422467"/>
    <d v="2003-12-02T00:00:00"/>
    <d v="2023-12-01T00:00:00"/>
    <d v="2013-12-02T00:00:00"/>
    <n v="6.443835616438356"/>
    <n v="-3.558904109589041"/>
    <s v="Modified Gross"/>
    <s v="None"/>
    <s v="None"/>
    <n v="2118960"/>
    <n v="208.6206557054248"/>
    <n v="0.08749999999999999"/>
    <m/>
    <d v="2017-06-23T00:00:00"/>
    <x v="1132"/>
    <s v="M&amp;M; Roti"/>
    <x v="799"/>
    <s v="WY"/>
    <s v="Private"/>
    <s v="BW; Wells"/>
    <s v="George Greer"/>
    <n v="2379000"/>
    <n v="0.07793568726355611"/>
    <n v="0.8906935687263556"/>
    <n v="2379000"/>
    <n v="0.07793568726355611"/>
    <n v="0.009564312736443883"/>
    <s v="No"/>
    <d v="2017-02-12T00:00:00"/>
    <n v="131"/>
  </r>
  <r>
    <m/>
    <s v="VA"/>
    <s v="Federal"/>
    <s v="Fee Simple"/>
    <s v="3149 Ambassador Caffery Pkwy"/>
    <s v="Lafayette"/>
    <s v="LA"/>
    <m/>
    <n v="2016"/>
    <n v="35367"/>
    <n v="35367"/>
    <n v="1"/>
    <m/>
    <s v=" "/>
    <n v="1265449.5"/>
    <n v="35.78051573500721"/>
    <d v="2016-11-01T00:00:00"/>
    <d v="2036-10-31T00:00:00"/>
    <d v="2036-10-31T00:00:00"/>
    <n v="19.36986301369863"/>
    <n v="19.36986301369863"/>
    <s v="Modified Gross"/>
    <s v="None"/>
    <s v="None"/>
    <n v="15760816"/>
    <n v="445.636214550287"/>
    <n v="0.08029086184370149"/>
    <n v="0.1255"/>
    <d v="2017-06-23T00:00:00"/>
    <x v="1133"/>
    <s v="SVN"/>
    <x v="800"/>
    <s v="TX"/>
    <s v="Private"/>
    <m/>
    <m/>
    <m/>
    <s v=" "/>
    <s v=" "/>
    <m/>
    <s v=" "/>
    <s v=" "/>
    <s v=" "/>
    <m/>
    <s v=" "/>
  </r>
  <r>
    <m/>
    <s v="USPS"/>
    <s v="Federal"/>
    <s v="Fee Simple"/>
    <s v="2461 E Little Creek Rd"/>
    <s v="Norfolk"/>
    <s v="VA"/>
    <n v="0.96"/>
    <n v="1961"/>
    <n v="6121"/>
    <n v="6121"/>
    <n v="1"/>
    <m/>
    <s v=" "/>
    <n v="56748"/>
    <n v="9.27103414474759"/>
    <d v="2014-06-01T00:00:00"/>
    <d v="2019-05-31T00:00:00"/>
    <d v="2014-11-28T00:00:00"/>
    <n v="1.93972602739726"/>
    <n v="-2.567123287671233"/>
    <s v="Rider"/>
    <s v="None"/>
    <s v="None"/>
    <n v="500000"/>
    <n v="81.685999019768"/>
    <n v="0.113496"/>
    <m/>
    <d v="2017-06-22T00:00:00"/>
    <x v="8"/>
    <s v="Colliers; Gill"/>
    <x v="0"/>
    <m/>
    <m/>
    <m/>
    <m/>
    <n v="540000"/>
    <n v="0.1050888888888889"/>
    <n v="0.9259259259259259"/>
    <n v="540000"/>
    <n v="0.1050888888888889"/>
    <n v="0.008407111111111115"/>
    <s v="No"/>
    <d v="2017-04-18T00:00:00"/>
    <n v="65"/>
  </r>
  <r>
    <m/>
    <s v="TX AG"/>
    <s v="State"/>
    <s v="Fee Simple"/>
    <s v="5500 E Oltorf St"/>
    <s v="Austin"/>
    <s v="TX"/>
    <n v="6.74"/>
    <n v="1995"/>
    <n v="120000"/>
    <n v="120000"/>
    <n v="1"/>
    <m/>
    <s v=" "/>
    <m/>
    <s v=" "/>
    <d v="2017-02-01T00:00:00"/>
    <d v="2027-01-31T00:00:00"/>
    <m/>
    <n v="9.621917808219179"/>
    <s v=" "/>
    <s v="Full Service"/>
    <m/>
    <s v="None"/>
    <n v="32750000"/>
    <n v="272.9166666666667"/>
    <s v=" "/>
    <m/>
    <d v="2017-06-20T00:00:00"/>
    <x v="1134"/>
    <s v="C&amp;W; Travis Trautvetter"/>
    <x v="1"/>
    <s v="IL"/>
    <s v="Private"/>
    <m/>
    <m/>
    <m/>
    <s v=" "/>
    <s v=" "/>
    <m/>
    <s v=" "/>
    <s v=" "/>
    <s v=" "/>
    <m/>
    <s v=" "/>
  </r>
  <r>
    <m/>
    <s v="California"/>
    <s v="State"/>
    <s v="Fee Simple"/>
    <s v="3172 M Street"/>
    <s v="Merced"/>
    <s v="CA"/>
    <n v="1.6"/>
    <n v="2017"/>
    <n v="15237"/>
    <n v="15237"/>
    <n v="1"/>
    <m/>
    <s v=" "/>
    <n v="362448"/>
    <n v="23.78735971647962"/>
    <m/>
    <m/>
    <m/>
    <s v=" "/>
    <s v=" "/>
    <s v="Abs NNN"/>
    <s v="12% every 5 years"/>
    <m/>
    <n v="5900000"/>
    <n v="387.215331101923"/>
    <n v="0.06143186440677966"/>
    <m/>
    <d v="2017-06-19T00:00:00"/>
    <x v="1135"/>
    <s v="Craig Capriotti"/>
    <x v="801"/>
    <s v="CA"/>
    <s v="Private"/>
    <m/>
    <m/>
    <m/>
    <s v=" "/>
    <s v=" "/>
    <m/>
    <s v=" "/>
    <s v=" "/>
    <s v=" "/>
    <m/>
    <s v=" "/>
  </r>
  <r>
    <m/>
    <s v="Lottery"/>
    <s v="State"/>
    <s v="Fee Simple"/>
    <s v="250 Williams St NW"/>
    <s v="Atlanta"/>
    <s v="GA"/>
    <n v="3.58"/>
    <n v="1989"/>
    <n v="102568"/>
    <n v="998770"/>
    <n v="0.1026943140062277"/>
    <m/>
    <s v=" "/>
    <m/>
    <s v=" "/>
    <m/>
    <m/>
    <m/>
    <s v=" "/>
    <s v=" "/>
    <m/>
    <m/>
    <m/>
    <n v="166000000"/>
    <n v="166.2044314506844"/>
    <s v=" "/>
    <m/>
    <d v="2017-06-15T00:00:00"/>
    <x v="1136"/>
    <s v="C&amp;W;Calhoun"/>
    <x v="802"/>
    <s v="CA"/>
    <s v="REIT"/>
    <m/>
    <m/>
    <m/>
    <s v=" "/>
    <s v=" "/>
    <m/>
    <s v=" "/>
    <s v=" "/>
    <s v=" "/>
    <m/>
    <s v=" "/>
  </r>
  <r>
    <m/>
    <s v="Multi"/>
    <s v="Federal"/>
    <s v="Fee Simple"/>
    <s v="440 Roper Mountain Rd"/>
    <s v="Greenville"/>
    <s v="SC"/>
    <n v="4.08"/>
    <n v="1998"/>
    <n v="13820"/>
    <n v="92419"/>
    <n v="0.1495363507503868"/>
    <m/>
    <s v=" "/>
    <m/>
    <s v=" "/>
    <m/>
    <m/>
    <m/>
    <s v=" "/>
    <s v=" "/>
    <m/>
    <m/>
    <m/>
    <m/>
    <s v=" "/>
    <s v=" "/>
    <m/>
    <d v="2017-06-10T00:00:00"/>
    <x v="1137"/>
    <m/>
    <x v="803"/>
    <s v="CA"/>
    <s v="Private"/>
    <m/>
    <m/>
    <m/>
    <s v=" "/>
    <s v=" "/>
    <m/>
    <s v=" "/>
    <s v=" "/>
    <s v=" "/>
    <m/>
    <s v=" "/>
  </r>
  <r>
    <m/>
    <s v="VA/SSA"/>
    <s v="Federal"/>
    <s v="Fee Simple"/>
    <m/>
    <s v="Portfolio of Four"/>
    <s v="OH"/>
    <n v="4.46"/>
    <m/>
    <n v="43781"/>
    <n v="43781"/>
    <n v="1"/>
    <m/>
    <s v=" "/>
    <n v="766275"/>
    <n v="17.50245540302871"/>
    <m/>
    <m/>
    <m/>
    <s v=" "/>
    <s v=" "/>
    <m/>
    <m/>
    <m/>
    <n v="9015000"/>
    <n v="205.9112400356319"/>
    <n v="0.08500000000000001"/>
    <m/>
    <d v="2017-06-08T00:00:00"/>
    <x v="505"/>
    <s v="Luttner"/>
    <x v="46"/>
    <s v="OK"/>
    <s v="Private"/>
    <s v="M&amp;M; Ficke"/>
    <m/>
    <m/>
    <s v=" "/>
    <s v=" "/>
    <m/>
    <s v=" "/>
    <s v=" "/>
    <s v=" "/>
    <d v="2017-02-09T00:00:00"/>
    <n v="119"/>
  </r>
  <r>
    <m/>
    <s v="USPS"/>
    <s v="Federal"/>
    <s v="Fee Simple"/>
    <s v="86 3rd St"/>
    <s v="Dublin"/>
    <s v="NC"/>
    <n v="1.12"/>
    <n v="2001"/>
    <n v="3052"/>
    <n v="3052"/>
    <n v="1"/>
    <m/>
    <s v=" "/>
    <n v="42151.5"/>
    <n v="13.81110747051114"/>
    <d v="2017-10-01T00:00:00"/>
    <d v="2022-09-30T00:00:00"/>
    <m/>
    <n v="5.32054794520548"/>
    <s v=" "/>
    <s v="Rider"/>
    <m/>
    <m/>
    <n v="472500"/>
    <n v="154.8165137614679"/>
    <n v="0.08920952380952381"/>
    <m/>
    <d v="2017-06-06T00:00:00"/>
    <x v="8"/>
    <s v="M&amp;M; Hurd"/>
    <x v="0"/>
    <m/>
    <m/>
    <s v="M&amp;M; Best"/>
    <m/>
    <n v="493000"/>
    <n v="0.08550000000000001"/>
    <n v="0.9584178498985801"/>
    <n v="493000"/>
    <n v="0.08550000000000001"/>
    <n v="0.003709523809523801"/>
    <s v="No"/>
    <d v="2017-02-01T00:00:00"/>
    <n v="125"/>
  </r>
  <r>
    <m/>
    <s v="USPS"/>
    <s v="Federal"/>
    <s v="Fee Simple"/>
    <s v="110 E Main ST"/>
    <s v="Faison"/>
    <s v="NC"/>
    <n v="0.17"/>
    <n v="1964"/>
    <n v="1800"/>
    <n v="1800"/>
    <n v="1"/>
    <m/>
    <s v=" "/>
    <n v="11968"/>
    <n v="6.648888888888889"/>
    <m/>
    <m/>
    <m/>
    <s v=" "/>
    <s v=" "/>
    <m/>
    <m/>
    <m/>
    <m/>
    <s v=" "/>
    <s v=" "/>
    <m/>
    <d v="2017-06-06T00:00:00"/>
    <x v="8"/>
    <s v="M&amp;M; Hurd"/>
    <x v="0"/>
    <m/>
    <m/>
    <m/>
    <m/>
    <n v="140800"/>
    <n v="0.08500000000000001"/>
    <s v=" "/>
    <n v="140800"/>
    <n v="0.08500000000000001"/>
    <s v=" "/>
    <s v="No"/>
    <d v="2017-02-01T00:00:00"/>
    <n v="125"/>
  </r>
  <r>
    <s v="LAZ02302"/>
    <s v="SSA"/>
    <s v="Federal"/>
    <s v="Fee Simple"/>
    <s v="3737 N 7th St"/>
    <s v="Phoenix"/>
    <s v="AZ"/>
    <n v="3.47"/>
    <n v="1982"/>
    <n v="17834"/>
    <n v="57933"/>
    <n v="0.3078383650078539"/>
    <n v="493885.5"/>
    <n v="27.693478748458"/>
    <n v="783756"/>
    <n v="13.52866242038217"/>
    <d v="2010-06-15T00:00:00"/>
    <d v="2025-06-14T00:00:00"/>
    <d v="2020-06-14T00:00:00"/>
    <n v="8.038356164383561"/>
    <n v="3.035616438356164"/>
    <s v="Modified Gross"/>
    <s v="None"/>
    <s v="None"/>
    <n v="7965000"/>
    <n v="137.4864067112009"/>
    <n v="0.0984"/>
    <m/>
    <d v="2017-06-02T00:00:00"/>
    <x v="1138"/>
    <s v="C&amp;W; Wichterman"/>
    <x v="51"/>
    <s v="ID"/>
    <s v="Private"/>
    <m/>
    <m/>
    <n v="9400000"/>
    <n v="0.08337829787234043"/>
    <n v="0.8473404255319149"/>
    <n v="9400000"/>
    <n v="0.08337829787234043"/>
    <n v="0.01502170212765958"/>
    <s v="No"/>
    <d v="2016-06-21T00:00:00"/>
    <n v="346"/>
  </r>
  <r>
    <m/>
    <s v="USDA"/>
    <s v="Federal"/>
    <s v="Fee Simple"/>
    <s v="31978 N Lake Creek Dr"/>
    <s v="Tangent"/>
    <s v="OR"/>
    <n v="2.3"/>
    <n v="2012"/>
    <n v="9471"/>
    <n v="11275"/>
    <n v="0.84"/>
    <m/>
    <s v=" "/>
    <n v="181250"/>
    <n v="16.07538802660754"/>
    <d v="2017-07-01T00:00:00"/>
    <d v="2022-06-30T00:00:00"/>
    <d v="2017-10-29T00:00:00"/>
    <n v="5.079452054794521"/>
    <n v="0.4082191780821918"/>
    <s v="Modified Gross"/>
    <s v="None"/>
    <s v="None"/>
    <n v="2460000"/>
    <n v="218.1818181818182"/>
    <n v="0.07367886178861789"/>
    <m/>
    <d v="2017-06-02T00:00:00"/>
    <x v="1139"/>
    <s v="MF"/>
    <x v="804"/>
    <s v="OR"/>
    <s v="Private"/>
    <s v="McLean"/>
    <m/>
    <n v="2500000"/>
    <n v="0.0725"/>
    <n v="0.984"/>
    <n v="2500000"/>
    <n v="0.0725"/>
    <n v="0.001178861788617896"/>
    <s v="No"/>
    <d v="2016-09-15T00:00:00"/>
    <n v="260"/>
  </r>
  <r>
    <s v="LSC62471"/>
    <s v="SSA"/>
    <s v="Federal"/>
    <s v="Fee Simple"/>
    <s v="1316 3rd Ave"/>
    <s v="Conway"/>
    <s v="SC"/>
    <n v="0.92"/>
    <n v="1949"/>
    <n v="9726"/>
    <n v="9726"/>
    <n v="1"/>
    <n v="166034.63"/>
    <n v="17.07121427102611"/>
    <m/>
    <s v=" "/>
    <d v="2014-05-17T00:00:00"/>
    <d v="2019-05-16T00:00:00"/>
    <d v="2016-05-16T00:00:00"/>
    <n v="1.956164383561644"/>
    <n v="-1.043835616438356"/>
    <s v="Modified Gross"/>
    <s v="None"/>
    <s v="None"/>
    <n v="830000"/>
    <n v="85.33826855850297"/>
    <s v=" "/>
    <m/>
    <d v="2017-06-01T00:00:00"/>
    <x v="1140"/>
    <s v="Tradd Commercial"/>
    <x v="805"/>
    <s v="SC"/>
    <s v="Other"/>
    <m/>
    <m/>
    <n v="895000"/>
    <s v=" "/>
    <n v="0.9273743016759777"/>
    <n v="895000"/>
    <s v=" "/>
    <s v=" "/>
    <s v="No"/>
    <m/>
    <s v=" "/>
  </r>
  <r>
    <m/>
    <s v="NY DHHS (LH)"/>
    <s v="State"/>
    <s v="Leasehold"/>
    <s v="60 Charles Lindbergh Blvd"/>
    <s v="Hempstead"/>
    <s v="NY"/>
    <n v="7.78"/>
    <n v="1982"/>
    <n v="217226"/>
    <n v="217226"/>
    <n v="1"/>
    <m/>
    <s v=" "/>
    <n v="5404863"/>
    <n v="24.88128953256056"/>
    <m/>
    <d v="2036-06-30T00:00:00"/>
    <d v="2036-06-30T00:00:00"/>
    <n v="19.0958904109589"/>
    <n v="19.0958904109589"/>
    <s v="Modified Gross"/>
    <s v="Flat"/>
    <s v="None"/>
    <n v="75500000"/>
    <n v="347.5642878845074"/>
    <n v="0.07158758940397351"/>
    <m/>
    <d v="2017-05-31T00:00:00"/>
    <x v="1141"/>
    <s v="CBRE"/>
    <x v="763"/>
    <s v="NC"/>
    <s v="Private"/>
    <m/>
    <m/>
    <m/>
    <s v=" "/>
    <s v=" "/>
    <m/>
    <s v=" "/>
    <s v=" "/>
    <s v=" "/>
    <m/>
    <s v=" "/>
  </r>
  <r>
    <s v="LOH17948"/>
    <s v="SSA"/>
    <s v="Federal"/>
    <s v="Fee Simple"/>
    <s v="2345 Gateway Dr"/>
    <s v="Wooster"/>
    <s v="OH"/>
    <n v="1.22"/>
    <n v="1998"/>
    <n v="6769"/>
    <n v="9770"/>
    <n v="0.692835209825998"/>
    <n v="207190.44"/>
    <n v="30.60872211552667"/>
    <n v="136046"/>
    <n v="13.92487205731832"/>
    <d v="2010-05-27T00:00:00"/>
    <d v="2023-05-26T00:00:00"/>
    <d v="2010-05-27T00:00:00"/>
    <n v="5.989041095890411"/>
    <n v="-7.016438356164383"/>
    <s v="Modified Gross"/>
    <s v="None"/>
    <s v="None"/>
    <n v="1460000"/>
    <n v="149.4370522006141"/>
    <n v="0.09318219178082192"/>
    <m/>
    <d v="2017-05-31T00:00:00"/>
    <x v="505"/>
    <s v="Luttner"/>
    <x v="806"/>
    <s v="OH"/>
    <s v="Private"/>
    <s v="BW; Wells"/>
    <m/>
    <m/>
    <s v=" "/>
    <s v=" "/>
    <m/>
    <s v=" "/>
    <s v=" "/>
    <s v=" "/>
    <m/>
    <s v=" "/>
  </r>
  <r>
    <s v="LPA08326"/>
    <s v="OPM"/>
    <s v="Federal"/>
    <s v="Fee Simple"/>
    <s v="133 Rebecca Ln"/>
    <s v="Silppery Rock"/>
    <s v="PA"/>
    <n v="4.7"/>
    <n v="2009"/>
    <n v="25300"/>
    <n v="25300"/>
    <n v="1"/>
    <n v="394831.91"/>
    <n v="15.60600434782609"/>
    <n v="248580"/>
    <n v="9.825296442687748"/>
    <d v="2009-09-11T00:00:00"/>
    <d v="2019-09-10T00:00:00"/>
    <d v="2014-09-11T00:00:00"/>
    <n v="2.293150684931507"/>
    <n v="-2.706849315068493"/>
    <s v="Modified Gross"/>
    <s v="Flat"/>
    <s v="2, 6 month"/>
    <n v="2300000"/>
    <n v="90.90909090909091"/>
    <n v="0.1080782608695652"/>
    <m/>
    <d v="2017-05-26T00:00:00"/>
    <x v="791"/>
    <s v="Newmark; Tim Strange"/>
    <x v="807"/>
    <s v="NJ"/>
    <s v="Private"/>
    <m/>
    <m/>
    <m/>
    <s v=" "/>
    <s v=" "/>
    <m/>
    <s v=" "/>
    <s v=" "/>
    <s v=" "/>
    <m/>
    <s v=" "/>
  </r>
  <r>
    <m/>
    <s v="Multi GSA"/>
    <s v="Federal"/>
    <s v="Fee Simple"/>
    <s v="123 N San Francisco St"/>
    <s v="Flagstaff"/>
    <s v="AZ"/>
    <n v="0.43"/>
    <n v="1975"/>
    <n v="22408"/>
    <n v="32869"/>
    <n v="0.6817365907085704"/>
    <m/>
    <s v=" "/>
    <n v="510000.0000000001"/>
    <n v="15.51613982780127"/>
    <m/>
    <m/>
    <m/>
    <s v=" "/>
    <s v=" "/>
    <s v="Modified Gross"/>
    <s v="None"/>
    <s v="None"/>
    <n v="6000000"/>
    <n v="182.5428215035444"/>
    <n v="0.08500000000000001"/>
    <m/>
    <d v="2017-05-25T00:00:00"/>
    <x v="1142"/>
    <s v="Dennis Kelly"/>
    <x v="808"/>
    <s v="MA"/>
    <s v="Private"/>
    <s v="CB; Ginsberg"/>
    <m/>
    <m/>
    <s v=" "/>
    <s v=" "/>
    <m/>
    <s v=" "/>
    <s v=" "/>
    <s v=" "/>
    <m/>
    <s v=" "/>
  </r>
  <r>
    <s v="LTX17397"/>
    <s v="ICE"/>
    <s v="Federal"/>
    <s v="Fee Simple"/>
    <s v="3523 Crosspoint"/>
    <s v="San Antonio"/>
    <s v="TX"/>
    <n v="2.18"/>
    <n v="2016"/>
    <n v="20500"/>
    <n v="20500"/>
    <n v="1"/>
    <n v="558722.21"/>
    <n v="27.25474195121951"/>
    <n v="376320"/>
    <n v="18.35707317073171"/>
    <d v="2016-12-14T00:00:00"/>
    <d v="2031-12-13T00:00:00"/>
    <d v="2026-12-14T00:00:00"/>
    <n v="14.56164383561644"/>
    <n v="9.561643835616438"/>
    <s v="Modified Gross"/>
    <s v="None"/>
    <s v="None"/>
    <n v="6125000"/>
    <n v="298.780487804878"/>
    <n v="0.06144"/>
    <m/>
    <d v="2017-05-25T00:00:00"/>
    <x v="103"/>
    <s v="C&amp;W; Trautvetter"/>
    <x v="809"/>
    <s v="CA"/>
    <s v="Private"/>
    <s v="Bowen Cardoza"/>
    <s v="Rooker"/>
    <n v="6272000"/>
    <n v="0.06"/>
    <n v="0.9765625"/>
    <n v="6272000"/>
    <n v="0.06"/>
    <n v="0.001440000000000004"/>
    <s v="No"/>
    <d v="2017-02-07T00:00:00"/>
    <n v="107"/>
  </r>
  <r>
    <s v="LCA02548"/>
    <s v="SSA"/>
    <s v="Federal"/>
    <s v="Fee Simple"/>
    <s v="4747 Feather Rive Dr"/>
    <s v="Stockton"/>
    <s v="CA"/>
    <n v="2.2"/>
    <n v="1983"/>
    <n v="18876"/>
    <n v="22920"/>
    <n v="0.8235602094240838"/>
    <n v="554003"/>
    <n v="29.34959737232465"/>
    <n v="316871"/>
    <n v="13.8250872600349"/>
    <d v="2011-09-16T00:00:00"/>
    <d v="2026-09-15T00:00:00"/>
    <d v="2021-08-15T00:00:00"/>
    <n v="9.315068493150685"/>
    <n v="4.227397260273973"/>
    <s v="Modified Gross"/>
    <s v="None"/>
    <s v="None"/>
    <n v="3800000"/>
    <n v="165.7940663176265"/>
    <n v="0.0833871052631579"/>
    <m/>
    <d v="2017-05-25T00:00:00"/>
    <x v="1143"/>
    <s v="Craig Lewis"/>
    <x v="810"/>
    <s v="CA"/>
    <s v="Private"/>
    <m/>
    <m/>
    <n v="4675000"/>
    <n v="0.06777989304812834"/>
    <n v="0.8128342245989305"/>
    <n v="4675000"/>
    <n v="0.06777989304812834"/>
    <n v="0.01560721221502956"/>
    <s v="No"/>
    <d v="2016-07-17T00:00:00"/>
    <n v="312"/>
  </r>
  <r>
    <s v="LPA00361"/>
    <s v="SSA"/>
    <s v="Federal"/>
    <s v="Fee Simple"/>
    <s v="430-450 Lincoln Hwy"/>
    <s v="Fairless Hills"/>
    <s v="PA"/>
    <n v="6.91"/>
    <n v="1993"/>
    <n v="13854"/>
    <n v="54064"/>
    <n v="0.2562518496596626"/>
    <n v="286341"/>
    <n v="20.66847119965353"/>
    <n v="596400"/>
    <n v="11.03137022787807"/>
    <d v="2001-03-21T00:00:00"/>
    <d v="2016-09-30T00:00:00"/>
    <d v="2011-03-21T00:00:00"/>
    <n v="-0.6465753424657534"/>
    <n v="-6.18082191780822"/>
    <s v="Modified Gross"/>
    <s v="None"/>
    <s v="None"/>
    <n v="4975000"/>
    <n v="92.02056821544836"/>
    <n v="0.1198793969849246"/>
    <m/>
    <d v="2017-05-24T00:00:00"/>
    <x v="1144"/>
    <m/>
    <x v="811"/>
    <s v="NV"/>
    <s v="Private"/>
    <m/>
    <m/>
    <m/>
    <s v=" "/>
    <s v=" "/>
    <m/>
    <s v=" "/>
    <s v=" "/>
    <s v=" "/>
    <m/>
    <s v=" "/>
  </r>
  <r>
    <s v="LKS00068"/>
    <s v="SSA"/>
    <s v="Federal"/>
    <s v="Fee Simple"/>
    <s v="1440 Wakarusa Dr"/>
    <s v="Lawrence"/>
    <s v="KS"/>
    <n v="2"/>
    <n v="1994"/>
    <n v="8042"/>
    <n v="27564"/>
    <n v="0.2917573646785662"/>
    <n v="226402"/>
    <n v="28.15244963939319"/>
    <m/>
    <s v=" "/>
    <d v="2018-12-01T00:00:00"/>
    <d v="2028-11-30T00:00:00"/>
    <d v="2025-12-01T00:00:00"/>
    <n v="11.53150684931507"/>
    <n v="8.531506849315068"/>
    <s v="Modified Gross"/>
    <s v="None"/>
    <s v="None"/>
    <m/>
    <s v=" "/>
    <s v=" "/>
    <m/>
    <d v="2017-05-23T00:00:00"/>
    <x v="1145"/>
    <m/>
    <x v="812"/>
    <s v="KS"/>
    <s v="Private"/>
    <m/>
    <m/>
    <m/>
    <s v=" "/>
    <s v=" "/>
    <m/>
    <s v=" "/>
    <s v=" "/>
    <s v=" "/>
    <m/>
    <s v=" "/>
  </r>
  <r>
    <s v="LMI19460"/>
    <s v="AOC"/>
    <s v="Federal"/>
    <s v="Fee Simple"/>
    <s v="13919 S. West Bay Shore Dr, Suite 208"/>
    <s v="Traverse City"/>
    <s v="MI"/>
    <m/>
    <m/>
    <n v="3369"/>
    <n v="3369"/>
    <n v="1"/>
    <n v="131559.45"/>
    <n v="39.05"/>
    <n v="86581"/>
    <n v="25.69931730483823"/>
    <d v="2015-10-21T00:00:00"/>
    <d v="2030-10-20T00:00:00"/>
    <d v="2022-10-20T00:00:00"/>
    <n v="13.41917808219178"/>
    <n v="5.413698630136986"/>
    <s v="Modified Gross"/>
    <s v="Drops in Non Firm"/>
    <s v="None"/>
    <n v="935000"/>
    <n v="277.5304244582962"/>
    <n v="0.0926"/>
    <m/>
    <d v="2017-05-23T00:00:00"/>
    <x v="1146"/>
    <s v="SJC; Hellwig"/>
    <x v="813"/>
    <s v="MI"/>
    <s v="Private"/>
    <m/>
    <m/>
    <m/>
    <s v=" "/>
    <s v=" "/>
    <m/>
    <s v=" "/>
    <s v=" "/>
    <s v=" "/>
    <m/>
    <s v=" "/>
  </r>
  <r>
    <s v="LAR15446"/>
    <s v="SSA"/>
    <s v="Federal"/>
    <s v="Fee Simple"/>
    <s v="2600 W Hillsboro St"/>
    <s v="El Dorado"/>
    <s v="AR"/>
    <n v="1.5"/>
    <n v="2005"/>
    <n v="7388"/>
    <n v="7388"/>
    <n v="1"/>
    <n v="169406"/>
    <n v="22.92988630211153"/>
    <n v="116878"/>
    <n v="15.81997834325934"/>
    <d v="2005-10-17T00:00:00"/>
    <d v="2020-10-16T00:00:00"/>
    <d v="2015-10-17T00:00:00"/>
    <n v="3.421917808219178"/>
    <n v="-1.580821917808219"/>
    <s v="Modified Gross"/>
    <s v="None"/>
    <s v="None"/>
    <n v="1325000"/>
    <n v="179.344883595019"/>
    <n v="0.08820981132075471"/>
    <m/>
    <d v="2017-05-16T00:00:00"/>
    <x v="1147"/>
    <s v="SJC; Corriston"/>
    <x v="814"/>
    <s v="VA"/>
    <s v="Private"/>
    <m/>
    <m/>
    <m/>
    <s v=" "/>
    <s v=" "/>
    <m/>
    <s v=" "/>
    <s v=" "/>
    <s v=" "/>
    <m/>
    <s v=" "/>
  </r>
  <r>
    <m/>
    <s v="Multi"/>
    <s v="Federal &amp; State"/>
    <s v="Fee Simple"/>
    <s v="211-237 Dunbar Cave Rd"/>
    <s v="Clarksville"/>
    <s v="TN"/>
    <n v="11.41"/>
    <n v="2000"/>
    <m/>
    <n v="59000"/>
    <s v=" "/>
    <m/>
    <s v=" "/>
    <n v="477920"/>
    <n v="8.100338983050847"/>
    <d v="2014-08-19T00:00:00"/>
    <d v="2024-08-18T00:00:00"/>
    <d v="2015-08-15T00:00:00"/>
    <n v="7.265753424657534"/>
    <n v="-1.750684931506849"/>
    <s v="Full Service"/>
    <s v="Various"/>
    <s v="Various"/>
    <n v="4640000"/>
    <n v="78.64406779661017"/>
    <n v="0.103"/>
    <m/>
    <d v="2017-05-15T00:00:00"/>
    <x v="1148"/>
    <s v="KW; Phillips"/>
    <x v="815"/>
    <s v="TN"/>
    <s v="Private"/>
    <m/>
    <m/>
    <n v="4780000"/>
    <n v="0.09998326359832636"/>
    <n v="0.9707112970711297"/>
    <n v="4780000"/>
    <n v="0.09998326359832636"/>
    <n v="0.003016736401673631"/>
    <s v="No"/>
    <d v="2015-10-12T00:00:00"/>
    <n v="581"/>
  </r>
  <r>
    <m/>
    <s v="USPS"/>
    <s v="Federal"/>
    <s v="Fee Simple"/>
    <s v="575 Pinetown Rd"/>
    <s v="Fort Washington"/>
    <s v="PA"/>
    <n v="3.04"/>
    <n v="1977"/>
    <m/>
    <n v="28800"/>
    <s v=" "/>
    <m/>
    <s v=" "/>
    <m/>
    <s v=" "/>
    <m/>
    <d v="2018-08-31T00:00:00"/>
    <m/>
    <n v="1.30958904109589"/>
    <s v=" "/>
    <s v="Rider"/>
    <m/>
    <m/>
    <n v="2500000"/>
    <n v="86.80555555555556"/>
    <s v=" "/>
    <m/>
    <d v="2017-05-10T00:00:00"/>
    <x v="1149"/>
    <s v="Frank Roddy"/>
    <x v="816"/>
    <s v="PA"/>
    <s v="Private"/>
    <m/>
    <m/>
    <m/>
    <s v=" "/>
    <s v=" "/>
    <m/>
    <s v=" "/>
    <s v=" "/>
    <s v=" "/>
    <m/>
    <s v=" "/>
  </r>
  <r>
    <s v="LTX01118"/>
    <s v="ATF"/>
    <s v="Federal"/>
    <s v="Fee Simple"/>
    <s v="5810 San Bernardo Ave"/>
    <s v="Laredo"/>
    <s v="TX"/>
    <n v="3.15"/>
    <n v="1992"/>
    <n v="37292"/>
    <n v="64908"/>
    <n v="0.5745362667159672"/>
    <n v="988447"/>
    <n v="26.50560441917838"/>
    <n v="199297"/>
    <n v="3.070453565045911"/>
    <d v="2011-02-16T00:00:00"/>
    <d v="2026-02-15T00:00:00"/>
    <d v="2019-11-30T00:00:00"/>
    <n v="8.780821917808218"/>
    <n v="2.564383561643836"/>
    <s v="Modified Gross"/>
    <s v="None"/>
    <s v="None"/>
    <n v="4332552"/>
    <n v="66.7491218339804"/>
    <n v="0.04599990952214768"/>
    <m/>
    <d v="2017-05-08T00:00:00"/>
    <x v="1150"/>
    <s v="M&amp;M; Bell"/>
    <x v="817"/>
    <s v="TX"/>
    <s v="Private"/>
    <m/>
    <m/>
    <n v="4750000"/>
    <n v="0.04195726315789473"/>
    <n v="0.9121162105263158"/>
    <n v="4750000"/>
    <n v="0.04195726315789473"/>
    <n v="0.004042646364252951"/>
    <s v="No"/>
    <d v="2016-02-25T00:00:00"/>
    <n v="438"/>
  </r>
  <r>
    <s v="LMI18915"/>
    <s v="DEA"/>
    <s v="Federal"/>
    <s v="Fee Simple"/>
    <s v="431 Howard St"/>
    <s v="Detroit"/>
    <s v="MI"/>
    <n v="0.99"/>
    <n v="1994"/>
    <n v="76074"/>
    <n v="76074"/>
    <n v="1"/>
    <n v="2486553"/>
    <n v="32.68597681205142"/>
    <n v="1873720"/>
    <n v="24.63022846176092"/>
    <d v="2015-03-01T00:00:00"/>
    <d v="2020-02-29T00:00:00"/>
    <d v="2018-03-01T00:00:00"/>
    <n v="2.824657534246575"/>
    <n v="0.8246575342465754"/>
    <s v="Modified Gross"/>
    <s v="None"/>
    <s v="None"/>
    <n v="16100000"/>
    <n v="211.6360385940006"/>
    <n v="0.1163801242236025"/>
    <m/>
    <d v="2017-05-04T00:00:00"/>
    <x v="89"/>
    <s v="FORECLOSURE"/>
    <x v="818"/>
    <s v="CT"/>
    <s v="Private"/>
    <m/>
    <m/>
    <m/>
    <s v=" "/>
    <s v=" "/>
    <m/>
    <s v=" "/>
    <s v=" "/>
    <s v=" "/>
    <m/>
    <s v=" "/>
  </r>
  <r>
    <m/>
    <s v="DC"/>
    <s v="Municipal"/>
    <s v="Fee Simple"/>
    <s v="4049 S Capitol St SW"/>
    <s v="Washington"/>
    <s v="DC"/>
    <n v="1.89"/>
    <n v="2016"/>
    <n v="28700"/>
    <n v="28700"/>
    <n v="1"/>
    <n v="1464449"/>
    <n v="51.02609756097561"/>
    <n v="927032"/>
    <n v="32.30076655052265"/>
    <m/>
    <d v="2026-12-11T00:00:00"/>
    <d v="2026-12-11T00:00:00"/>
    <n v="9.61917808219178"/>
    <n v="9.61917808219178"/>
    <s v="Modified Gross"/>
    <s v="Annually"/>
    <s v="1, 5 year"/>
    <n v="10800000"/>
    <n v="376.3066202090592"/>
    <n v="0.0858362962962963"/>
    <m/>
    <d v="2017-05-01T00:00:00"/>
    <x v="1151"/>
    <s v="C&amp;W"/>
    <x v="819"/>
    <s v="NY"/>
    <s v="Private"/>
    <m/>
    <m/>
    <m/>
    <s v=" "/>
    <s v=" "/>
    <m/>
    <s v=" "/>
    <s v=" "/>
    <s v=" "/>
    <m/>
    <s v=" "/>
  </r>
  <r>
    <m/>
    <s v="VA"/>
    <s v="Federal"/>
    <s v="Fee Simple"/>
    <s v="1730-1750 Blankenship Road"/>
    <s v="West Linn"/>
    <s v="OR"/>
    <n v="3.23"/>
    <n v="2006"/>
    <n v="7000"/>
    <n v="64916"/>
    <n v="0.1078316593751926"/>
    <m/>
    <s v=" "/>
    <n v="1035550"/>
    <n v="15.95215355228295"/>
    <m/>
    <m/>
    <m/>
    <s v=" "/>
    <s v=" "/>
    <s v="Full Service"/>
    <m/>
    <m/>
    <n v="14900000"/>
    <n v="229.5273892414813"/>
    <n v="0.06950000000000001"/>
    <m/>
    <d v="2017-05-01T00:00:00"/>
    <x v="1152"/>
    <m/>
    <x v="820"/>
    <s v="OR"/>
    <s v="Private"/>
    <m/>
    <m/>
    <m/>
    <s v=" "/>
    <s v=" "/>
    <m/>
    <s v=" "/>
    <s v=" "/>
    <s v=" "/>
    <m/>
    <s v=" "/>
  </r>
  <r>
    <s v="LID07417"/>
    <s v="BLM"/>
    <s v="Federal"/>
    <s v="Fee Simple"/>
    <s v="2878 Addison Ave E"/>
    <s v="Twin Falls"/>
    <s v="ID"/>
    <n v="3.51"/>
    <n v="2015"/>
    <n v="22500"/>
    <n v="22500"/>
    <n v="1"/>
    <n v="575254"/>
    <n v="25.56684444444445"/>
    <n v="457749"/>
    <n v="20.3444"/>
    <d v="2015-08-17T00:00:00"/>
    <d v="2035-08-16T00:00:00"/>
    <d v="2035-08-16T00:00:00"/>
    <n v="18.31780821917808"/>
    <n v="18.31780821917808"/>
    <s v="Modified Gross"/>
    <s v="None"/>
    <s v="None"/>
    <n v="7900000"/>
    <n v="351.1111111111111"/>
    <n v="0.05794291139240507"/>
    <m/>
    <d v="2017-04-26T00:00:00"/>
    <x v="111"/>
    <s v="C&amp;W; Travis Trautvetter"/>
    <x v="821"/>
    <s v="HI"/>
    <s v="Private"/>
    <m/>
    <s v="WD Schorsh"/>
    <n v="8340000"/>
    <n v="0.05488597122302159"/>
    <n v="0.947242206235012"/>
    <n v="8340000"/>
    <n v="0.05488597122302159"/>
    <n v="0.003056940169383481"/>
    <s v="No"/>
    <d v="2016-11-29T00:00:00"/>
    <n v="148"/>
  </r>
  <r>
    <s v="LAZ02895"/>
    <s v="ICE"/>
    <s v="Federal"/>
    <s v="Fee Simple"/>
    <s v="5710 W Chandler Rd"/>
    <s v="Chandler"/>
    <s v="AZ"/>
    <n v="4.51"/>
    <n v="2008"/>
    <n v="38440"/>
    <n v="111800"/>
    <n v="0.3438282647584973"/>
    <m/>
    <s v=" "/>
    <n v="1861670"/>
    <n v="16.65178890876565"/>
    <d v="2012-08-03T00:00:00"/>
    <d v="2022-08-02T00:00:00"/>
    <d v="2022-08-02T00:00:00"/>
    <n v="5.273972602739726"/>
    <n v="5.273972602739726"/>
    <s v="Modified Gross"/>
    <s v="None"/>
    <s v="None"/>
    <n v="23300000"/>
    <n v="208.4078711985689"/>
    <n v="0.0799"/>
    <m/>
    <d v="2017-04-25T00:00:00"/>
    <x v="1153"/>
    <s v="CBRE; Gabel"/>
    <x v="822"/>
    <s v="CA"/>
    <s v="Private"/>
    <m/>
    <m/>
    <m/>
    <s v=" "/>
    <s v=" "/>
    <m/>
    <s v=" "/>
    <s v=" "/>
    <s v=" "/>
    <m/>
    <s v=" "/>
  </r>
  <r>
    <s v="LKY02013"/>
    <s v="SSA"/>
    <s v="Federal"/>
    <s v="Fee Simple"/>
    <s v="125 Brett Chase"/>
    <s v="Paducah"/>
    <s v="KY"/>
    <n v="0.95"/>
    <n v="2003"/>
    <n v="12066"/>
    <n v="12066"/>
    <n v="1"/>
    <n v="343881"/>
    <n v="28.5"/>
    <m/>
    <s v=" "/>
    <d v="2023-11-01T00:00:00"/>
    <d v="2033-10-31T00:00:00"/>
    <d v="2028-10-31T00:00:00"/>
    <n v="16.53972602739726"/>
    <n v="11.53698630136986"/>
    <s v="Modified Gross"/>
    <s v="None"/>
    <s v="None"/>
    <n v="1465000"/>
    <n v="121.4155478203216"/>
    <s v=" "/>
    <m/>
    <d v="2017-04-21T00:00:00"/>
    <x v="1154"/>
    <m/>
    <x v="46"/>
    <s v="OK"/>
    <s v="Private"/>
    <m/>
    <m/>
    <m/>
    <s v=" "/>
    <s v=" "/>
    <m/>
    <s v=" "/>
    <s v=" "/>
    <s v=" "/>
    <m/>
    <s v=" "/>
  </r>
  <r>
    <s v="LWA07366"/>
    <s v="Navy"/>
    <s v="Federal"/>
    <s v="Fee Simple"/>
    <s v="3230 NW Randall Way"/>
    <s v="Silverdale"/>
    <s v="WA"/>
    <n v="3.34"/>
    <n v="1993"/>
    <n v="38601"/>
    <n v="38601"/>
    <n v="1"/>
    <n v="1014228.99"/>
    <n v="26.27468174399627"/>
    <n v="816337.5"/>
    <n v="21.14809201834149"/>
    <d v="2012-07-01T00:00:00"/>
    <d v="2022-06-30T00:00:00"/>
    <d v="2017-06-30T00:00:00"/>
    <n v="5.197260273972603"/>
    <n v="0.1945205479452055"/>
    <s v="FS"/>
    <m/>
    <s v="None"/>
    <n v="9895000"/>
    <n v="256.3405093132302"/>
    <n v="0.0825"/>
    <m/>
    <d v="2017-04-20T00:00:00"/>
    <x v="1155"/>
    <s v="Colliers; Darrin Kennedy"/>
    <x v="1"/>
    <s v="IL"/>
    <s v="Private"/>
    <m/>
    <m/>
    <m/>
    <s v=" "/>
    <s v=" "/>
    <m/>
    <s v=" "/>
    <s v=" "/>
    <s v=" "/>
    <m/>
    <s v=" "/>
  </r>
  <r>
    <m/>
    <s v="DOJ"/>
    <s v="State"/>
    <s v="Fee Simple"/>
    <s v="150 NW Pacific Park"/>
    <s v="Bend"/>
    <s v="OR"/>
    <n v="1.25"/>
    <n v="2000"/>
    <n v="9571"/>
    <n v="20258"/>
    <n v="0.4724553262908481"/>
    <m/>
    <s v=" "/>
    <n v="349702.47"/>
    <n v="17.26243804916576"/>
    <m/>
    <m/>
    <m/>
    <s v=" "/>
    <s v=" "/>
    <m/>
    <m/>
    <m/>
    <n v="6029353"/>
    <n v="297.6282456313555"/>
    <n v="0.05799999933657889"/>
    <m/>
    <d v="2017-04-13T00:00:00"/>
    <x v="1156"/>
    <m/>
    <x v="823"/>
    <s v="OR"/>
    <s v="Private"/>
    <s v="Compass Commercial"/>
    <m/>
    <m/>
    <s v=" "/>
    <s v=" "/>
    <m/>
    <s v=" "/>
    <s v=" "/>
    <s v=" "/>
    <m/>
    <s v=" "/>
  </r>
  <r>
    <s v="LVA12630"/>
    <s v="ICE"/>
    <s v="Federal"/>
    <s v="Fee Simple"/>
    <s v="11320 Random Hills Blvd"/>
    <s v="Fairfax"/>
    <s v="VA"/>
    <m/>
    <n v="1988"/>
    <n v="72510"/>
    <n v="140897"/>
    <n v="0.5146312554561133"/>
    <n v="2000817.8"/>
    <n v="27.59368087160392"/>
    <n v="1880000"/>
    <n v="13.34308040625421"/>
    <d v="2014-06-01T00:00:00"/>
    <d v="2019-05-31T00:00:00"/>
    <d v="2019-05-31T00:00:00"/>
    <n v="2.134246575342466"/>
    <n v="2.134246575342466"/>
    <s v="FS"/>
    <m/>
    <s v="None"/>
    <n v="23500000"/>
    <n v="166.7885050781777"/>
    <n v="0.08"/>
    <m/>
    <d v="2017-04-12T00:00:00"/>
    <x v="1157"/>
    <s v="JLL; Prutting"/>
    <x v="1"/>
    <s v="IL"/>
    <s v="Private"/>
    <m/>
    <m/>
    <m/>
    <s v=" "/>
    <s v=" "/>
    <m/>
    <s v=" "/>
    <s v=" "/>
    <s v=" "/>
    <m/>
    <s v=" "/>
  </r>
  <r>
    <s v="LLA17293"/>
    <s v="SSA"/>
    <s v="Federal"/>
    <s v="Fee Simple"/>
    <s v="2100 Sartor St"/>
    <s v="Leesville"/>
    <s v="LA"/>
    <n v="1"/>
    <n v="2003"/>
    <n v="4950"/>
    <n v="4950"/>
    <n v="1"/>
    <n v="142386.56"/>
    <n v="28.76496161616162"/>
    <n v="109637"/>
    <n v="22.14888888888889"/>
    <d v="2016-06-27T00:00:00"/>
    <d v="2026-06-26T00:00:00"/>
    <d v="2021-06-27T00:00:00"/>
    <n v="9.227397260273973"/>
    <n v="4.227397260273973"/>
    <s v="Modified Gross"/>
    <s v="None"/>
    <s v="None"/>
    <n v="1225000"/>
    <n v="247.4747474747475"/>
    <n v="0.0894995918367347"/>
    <m/>
    <d v="2017-04-06T00:00:00"/>
    <x v="1158"/>
    <s v="SJC; Pardue"/>
    <x v="824"/>
    <s v="MT"/>
    <s v="Private"/>
    <s v="BW; Wells"/>
    <m/>
    <n v="1253000"/>
    <n v="0.08749960095770151"/>
    <n v="0.9776536312849162"/>
    <n v="1253000"/>
    <n v="0.08749960095770151"/>
    <n v="0.001999990879033187"/>
    <s v="No"/>
    <d v="2016-11-09T00:00:00"/>
    <n v="148"/>
  </r>
  <r>
    <s v="LMI17977"/>
    <s v="SSA"/>
    <s v="Federal"/>
    <s v="Fee Simple"/>
    <s v="3450 Biddle Ave"/>
    <s v="Wyandotte"/>
    <s v="MI"/>
    <n v="1.55"/>
    <n v="1972"/>
    <n v="10712"/>
    <n v="10712"/>
    <n v="1"/>
    <n v="394326.03"/>
    <n v="36.81161594473488"/>
    <n v="279288"/>
    <n v="26.07244212098581"/>
    <d v="2011-12-01T00:00:00"/>
    <d v="2021-11-30T00:00:00"/>
    <d v="2021-11-30T00:00:00"/>
    <n v="4.657534246575342"/>
    <n v="4.657534246575342"/>
    <s v="Modified Gross"/>
    <s v="None"/>
    <s v="None"/>
    <n v="3232500"/>
    <n v="301.7643764002987"/>
    <n v="0.0864"/>
    <m/>
    <d v="2017-04-05T00:00:00"/>
    <x v="1159"/>
    <s v="M&amp;M; Fenn"/>
    <x v="46"/>
    <s v="OK"/>
    <s v="Private"/>
    <s v="M&amp;M; Ficke"/>
    <m/>
    <m/>
    <s v=" "/>
    <s v=" "/>
    <m/>
    <s v=" "/>
    <s v=" "/>
    <s v=" "/>
    <m/>
    <s v=" "/>
  </r>
  <r>
    <s v="LVT04942"/>
    <s v="USCIS"/>
    <s v="Federal"/>
    <s v="Fee Simple"/>
    <s v="30-38 Rivers Rd"/>
    <s v="Essex Junction"/>
    <s v="VT"/>
    <n v="5.95"/>
    <n v="2014"/>
    <n v="114605"/>
    <n v="114605"/>
    <n v="1"/>
    <n v="1669257.75"/>
    <n v="14.56531346799878"/>
    <n v="2125255"/>
    <n v="18.54417346538109"/>
    <d v="2014-01-22T00:00:00"/>
    <d v="2024-01-21T00:00:00"/>
    <d v="2024-01-21T00:00:00"/>
    <n v="6.802739726027397"/>
    <n v="6.802739726027397"/>
    <s v="Modified Gross"/>
    <s v="None"/>
    <s v="None"/>
    <n v="28300000"/>
    <n v="246.9351249945465"/>
    <n v="0.07509734982332156"/>
    <m/>
    <d v="2017-04-04T00:00:00"/>
    <x v="1160"/>
    <s v="C&amp;W; Travis Trautvetter"/>
    <x v="2"/>
    <s v="VA"/>
    <s v="Private"/>
    <m/>
    <m/>
    <m/>
    <s v=" "/>
    <s v=" "/>
    <m/>
    <s v=" "/>
    <s v=" "/>
    <s v=" "/>
    <m/>
    <s v=" "/>
  </r>
  <r>
    <s v="LNC59145"/>
    <s v="SSA"/>
    <s v="Federal"/>
    <s v="Fee Simple"/>
    <s v="202 Charter St"/>
    <s v="Albemarle"/>
    <s v="NC"/>
    <n v="1.27"/>
    <n v="1989"/>
    <n v="5950"/>
    <n v="5950"/>
    <n v="1"/>
    <n v="83557.39"/>
    <n v="14.04325882352941"/>
    <n v="43134"/>
    <n v="7.249411764705882"/>
    <d v="2010-11-01T00:00:00"/>
    <d v="2020-10-31T00:00:00"/>
    <d v="2015-10-31T00:00:00"/>
    <n v="3.586301369863014"/>
    <n v="-1.419178082191781"/>
    <s v="Modified Gross"/>
    <s v="None"/>
    <s v="None"/>
    <n v="390000"/>
    <n v="65.54621848739495"/>
    <n v="0.1106"/>
    <m/>
    <d v="2017-04-01T00:00:00"/>
    <x v="1161"/>
    <s v="M&amp;M; Fenn"/>
    <x v="825"/>
    <s v="NJ"/>
    <s v="Private"/>
    <m/>
    <m/>
    <m/>
    <s v=" "/>
    <s v=" "/>
    <m/>
    <s v=" "/>
    <s v=" "/>
    <s v=" "/>
    <m/>
    <s v=" "/>
  </r>
  <r>
    <s v="LFL41067"/>
    <s v="DEA"/>
    <s v="Federal"/>
    <s v="Fee Simple"/>
    <s v="3611 Alex Muxo Blvd"/>
    <s v="Homestead"/>
    <s v="FL"/>
    <n v="10.47"/>
    <n v="2008"/>
    <n v="17151"/>
    <n v="17151"/>
    <n v="1"/>
    <n v="888853"/>
    <n v="51.82514139117253"/>
    <m/>
    <s v=" "/>
    <d v="2008-08-25T00:00:00"/>
    <d v="2028-08-24T00:00:00"/>
    <d v="2018-08-24T00:00:00"/>
    <n v="11.4054794520548"/>
    <n v="1.397260273972603"/>
    <s v="Modified Gross"/>
    <s v="None"/>
    <s v="None"/>
    <n v="15500000"/>
    <n v="903.7373914057489"/>
    <s v=" "/>
    <m/>
    <d v="2017-04-01T00:00:00"/>
    <x v="1162"/>
    <s v="Direct"/>
    <x v="826"/>
    <s v="FL"/>
    <s v="Private"/>
    <m/>
    <m/>
    <m/>
    <s v=" "/>
    <s v=" "/>
    <m/>
    <s v=" "/>
    <s v=" "/>
    <s v=" "/>
    <m/>
    <s v=" "/>
  </r>
  <r>
    <m/>
    <s v="VA"/>
    <s v="Federal"/>
    <s v="Fee Simple"/>
    <s v="15 Kingslan Ct"/>
    <s v="Savannah"/>
    <s v="GA"/>
    <n v="10.6"/>
    <n v="2016"/>
    <n v="69000"/>
    <n v="69000"/>
    <n v="1"/>
    <m/>
    <s v=" "/>
    <m/>
    <s v=" "/>
    <d v="2016-07-01T00:00:00"/>
    <d v="2036-06-30T00:00:00"/>
    <d v="2036-06-30T00:00:00"/>
    <n v="19.26027397260274"/>
    <n v="19.26027397260274"/>
    <s v="Modified Gross"/>
    <s v="None"/>
    <s v="None"/>
    <n v="28288197"/>
    <n v="409.9738695652174"/>
    <s v=" "/>
    <n v="0.1007080544747082"/>
    <d v="2017-04-01T00:00:00"/>
    <x v="1133"/>
    <s v="SVN"/>
    <x v="827"/>
    <s v="TX"/>
    <s v="Private"/>
    <m/>
    <m/>
    <m/>
    <s v=" "/>
    <s v=" "/>
    <m/>
    <s v=" "/>
    <s v=" "/>
    <s v=" "/>
    <m/>
    <s v=" "/>
  </r>
  <r>
    <m/>
    <s v="VA"/>
    <s v="Federal"/>
    <s v="Fee Simple"/>
    <s v="15 Kingslan Ct"/>
    <s v="Savannah"/>
    <s v="GA"/>
    <n v="10.6"/>
    <n v="2016"/>
    <n v="69000"/>
    <n v="69000"/>
    <n v="1"/>
    <n v="2237920"/>
    <n v="32.4336231884058"/>
    <m/>
    <s v=" "/>
    <d v="2016-07-01T00:00:00"/>
    <d v="2036-06-30T00:00:00"/>
    <d v="2036-06-30T00:00:00"/>
    <n v="19.26027397260274"/>
    <n v="19.26027397260274"/>
    <s v="Modified Gross"/>
    <s v="None"/>
    <s v="None"/>
    <n v="28288197"/>
    <n v="409.9738695652174"/>
    <s v=" "/>
    <n v="0.1007080544747082"/>
    <d v="2017-04-01T00:00:00"/>
    <x v="1133"/>
    <s v="SVN"/>
    <x v="827"/>
    <s v="TX"/>
    <s v="Private"/>
    <m/>
    <m/>
    <m/>
    <s v=" "/>
    <s v=" "/>
    <m/>
    <s v=" "/>
    <s v=" "/>
    <s v=" "/>
    <m/>
    <s v=" "/>
  </r>
  <r>
    <m/>
    <s v="DOD ALTC"/>
    <s v="Federal"/>
    <s v="Fee Simple"/>
    <s v="2528 Center West Pky"/>
    <s v="Augusta"/>
    <s v="GA"/>
    <n v="6.46"/>
    <n v="1985"/>
    <n v="45022"/>
    <n v="45022"/>
    <n v="1"/>
    <m/>
    <s v=" "/>
    <m/>
    <s v=" "/>
    <m/>
    <d v="2024-07-31T00:00:00"/>
    <d v="2019-07-31T00:00:00"/>
    <n v="7.33972602739726"/>
    <n v="2.334246575342466"/>
    <m/>
    <m/>
    <m/>
    <n v="4250000"/>
    <n v="94.39829416729599"/>
    <s v=" "/>
    <m/>
    <d v="2017-03-31T00:00:00"/>
    <x v="1163"/>
    <m/>
    <x v="828"/>
    <s v="GA"/>
    <s v="Private"/>
    <m/>
    <m/>
    <m/>
    <s v=" "/>
    <s v=" "/>
    <m/>
    <s v=" "/>
    <s v=" "/>
    <s v=" "/>
    <m/>
    <s v=" "/>
  </r>
  <r>
    <s v="LTX16023"/>
    <s v="FBP"/>
    <s v="Federal"/>
    <s v="Fee Simple"/>
    <s v="4211 Cedar Springs Rd"/>
    <s v="Dallas"/>
    <s v="TX"/>
    <n v="0.84"/>
    <n v="1985"/>
    <n v="39329"/>
    <n v="39329"/>
    <n v="1"/>
    <n v="689091.9"/>
    <n v="17.52121589666658"/>
    <m/>
    <s v=" "/>
    <d v="2008-01-18T00:00:00"/>
    <d v="2023-01-17T00:00:00"/>
    <d v="2018-01-17T00:00:00"/>
    <n v="5.802739726027397"/>
    <n v="0.8"/>
    <s v="FS"/>
    <m/>
    <s v="None"/>
    <n v="6460236.5625"/>
    <n v="164.2613990312492"/>
    <s v=" "/>
    <m/>
    <d v="2017-03-31T00:00:00"/>
    <x v="1164"/>
    <s v="Dired"/>
    <x v="829"/>
    <s v="TX"/>
    <s v="Private"/>
    <m/>
    <m/>
    <m/>
    <s v=" "/>
    <s v=" "/>
    <m/>
    <s v=" "/>
    <s v=" "/>
    <s v=" "/>
    <m/>
    <s v=" "/>
  </r>
  <r>
    <m/>
    <s v="Rev."/>
    <s v="State"/>
    <s v="Fee Simple"/>
    <s v="5719 NW 13th St"/>
    <s v="Gainesville"/>
    <s v="FL"/>
    <n v="2.5"/>
    <n v="1984"/>
    <n v="12000"/>
    <n v="17040"/>
    <n v="0.704225352112676"/>
    <m/>
    <s v=" "/>
    <n v="195374"/>
    <n v="11.4656103286385"/>
    <m/>
    <d v="2023-06-30T00:00:00"/>
    <m/>
    <n v="6.252054794520548"/>
    <s v=" "/>
    <s v="Full Service"/>
    <s v="2% annually"/>
    <s v="None"/>
    <n v="2475000"/>
    <n v="145.2464788732394"/>
    <n v="0.0789389898989899"/>
    <m/>
    <d v="2017-03-31T00:00:00"/>
    <x v="8"/>
    <s v="Vanwald"/>
    <x v="0"/>
    <m/>
    <m/>
    <m/>
    <m/>
    <n v="2600000"/>
    <n v="0.07514384615384616"/>
    <n v="0.9519230769230769"/>
    <n v="2600000"/>
    <n v="0.07514384615384616"/>
    <n v="0.003795143745143739"/>
    <s v="No"/>
    <m/>
    <s v=" "/>
  </r>
  <r>
    <s v="LVA00063"/>
    <s v="SSA"/>
    <s v="Federal"/>
    <s v="Fee Simple"/>
    <s v="5850 Lake Herbert Dr"/>
    <s v="Norfolk"/>
    <s v="VA"/>
    <n v="4.53"/>
    <n v="2007"/>
    <n v="53917"/>
    <n v="53917"/>
    <n v="1"/>
    <n v="1297153.24"/>
    <n v="24.05833484800712"/>
    <n v="984148.78"/>
    <n v="18.25303299515923"/>
    <d v="2017-06-27T00:00:00"/>
    <d v="2027-06-26T00:00:00"/>
    <d v="2027-06-26T00:00:00"/>
    <n v="10.24383561643836"/>
    <n v="10.24383561643836"/>
    <s v="Modified Gross"/>
    <s v="None; $101k TI Amo"/>
    <s v="None"/>
    <n v="14400000"/>
    <n v="267.077174175121"/>
    <n v="0.06834366527777778"/>
    <m/>
    <d v="2017-03-31T00:00:00"/>
    <x v="1165"/>
    <s v="CBRE; Adams"/>
    <x v="54"/>
    <s v="NC"/>
    <s v="REIT"/>
    <m/>
    <m/>
    <m/>
    <s v=" "/>
    <s v=" "/>
    <m/>
    <s v=" "/>
    <s v=" "/>
    <s v=" "/>
    <m/>
    <s v=" "/>
  </r>
  <r>
    <s v="LTX15552"/>
    <s v="SSA"/>
    <s v="Federal"/>
    <s v="Fee Simple"/>
    <s v="3250 Craig Dr"/>
    <s v="McKinney"/>
    <s v="TX"/>
    <n v="2.55"/>
    <n v="2006"/>
    <n v="15544"/>
    <n v="15544"/>
    <n v="1"/>
    <m/>
    <s v=" "/>
    <n v="248200"/>
    <n v="15.96757591353577"/>
    <d v="2006-02-02T00:00:00"/>
    <d v="2021-02-01T00:00:00"/>
    <d v="2016-02-02T00:00:00"/>
    <n v="3.863013698630137"/>
    <n v="-1.13972602739726"/>
    <s v="Modified Gross"/>
    <s v="None"/>
    <s v="None"/>
    <n v="3000000"/>
    <n v="193.0005146680391"/>
    <n v="0.08273333333333334"/>
    <m/>
    <d v="2017-03-24T00:00:00"/>
    <x v="1166"/>
    <s v="Pegasus"/>
    <x v="830"/>
    <s v="TX"/>
    <s v="Private"/>
    <m/>
    <m/>
    <n v="3120500"/>
    <n v="0.07953853549110719"/>
    <n v="0.9613843935266784"/>
    <n v="3120500"/>
    <n v="0.07953853549110719"/>
    <n v="0.003194797842226149"/>
    <s v="No"/>
    <d v="2015-03-09T00:00:00"/>
    <n v="746"/>
  </r>
  <r>
    <s v="LOR06208"/>
    <s v="MEPS"/>
    <s v="Federal"/>
    <s v="Leasehold"/>
    <s v="7545 NE Ambassador Pl"/>
    <s v="Portland"/>
    <s v="OR"/>
    <n v="2.2589"/>
    <n v="2002"/>
    <n v="23663"/>
    <n v="24142"/>
    <n v="0.9801590589014995"/>
    <n v="596340.09"/>
    <n v="25.20137302962431"/>
    <n v="377938"/>
    <n v="15.65479247783945"/>
    <d v="2002-08-01T00:00:00"/>
    <d v="2027-07-31T00:00:00"/>
    <d v="2027-07-31T00:00:00"/>
    <n v="10.35890410958904"/>
    <n v="10.35890410958904"/>
    <s v="Modified Gross"/>
    <s v="None"/>
    <s v="None"/>
    <n v="5400000"/>
    <n v="223.6765802336178"/>
    <n v="0.06998851851851852"/>
    <m/>
    <d v="2017-03-24T00:00:00"/>
    <x v="1167"/>
    <s v="C&amp;W; Travis Trautvetter"/>
    <x v="831"/>
    <s v="CA"/>
    <s v="Private"/>
    <m/>
    <m/>
    <n v="5400000"/>
    <n v="0.06998851851851852"/>
    <n v="1"/>
    <n v="5400000"/>
    <n v="0.06998851851851852"/>
    <n v="0"/>
    <s v="No"/>
    <d v="2016-12-06T00:00:00"/>
    <n v="108"/>
  </r>
  <r>
    <s v="LMD01787"/>
    <s v="NIH"/>
    <s v="Federal"/>
    <s v="Fee Simple"/>
    <s v="6701 Rockledge Dr"/>
    <s v="Bethesda"/>
    <s v="MD"/>
    <n v="5.63"/>
    <n v="1985"/>
    <n v="247130"/>
    <n v="265356"/>
    <n v="0.9313149127963942"/>
    <n v="7483569.32"/>
    <n v="30.28191364868693"/>
    <n v="3285000"/>
    <n v="12.37959571292905"/>
    <d v="2005-07-01T00:00:00"/>
    <d v="2017-11-30T00:00:00"/>
    <m/>
    <n v="0.6931506849315069"/>
    <s v=" "/>
    <s v="Modified Gross"/>
    <s v="None"/>
    <s v="None"/>
    <n v="43800000"/>
    <n v="165.0612761723873"/>
    <n v="0.075"/>
    <m/>
    <d v="2017-03-22T00:00:00"/>
    <x v="1168"/>
    <s v="TW; Trainor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7283 General Puller Hwy"/>
    <s v="Deltaville"/>
    <s v="VA"/>
    <n v="1.81"/>
    <n v="1999"/>
    <n v="4415"/>
    <n v="4415"/>
    <n v="1"/>
    <n v="61430.7"/>
    <n v="13.91408833522084"/>
    <n v="54140.56400000001"/>
    <n v="12.26286840317101"/>
    <m/>
    <d v="2020-01-31T00:00:00"/>
    <m/>
    <n v="2.865753424657534"/>
    <s v=" "/>
    <s v="Rider"/>
    <s v="Options"/>
    <s v="4, 5 yr"/>
    <n v="466729"/>
    <n v="105.714382785957"/>
    <n v="0.116"/>
    <m/>
    <d v="2017-03-21T00:00:00"/>
    <x v="104"/>
    <m/>
    <x v="782"/>
    <s v="NY"/>
    <s v="Private"/>
    <m/>
    <m/>
    <m/>
    <s v=" "/>
    <s v=" "/>
    <m/>
    <s v=" "/>
    <s v=" "/>
    <s v=" "/>
    <m/>
    <s v=" "/>
  </r>
  <r>
    <s v="LIL18263"/>
    <s v="SSA"/>
    <s v="Federal"/>
    <s v="Fee Simple"/>
    <s v="552 Houblot Rd"/>
    <s v="Joliet"/>
    <s v="IL"/>
    <n v="1.65"/>
    <n v="2011"/>
    <n v="13774"/>
    <n v="13774"/>
    <n v="1"/>
    <n v="527973.22"/>
    <n v="38.33114708871787"/>
    <n v="267637"/>
    <n v="19.43059387251343"/>
    <d v="2011-05-17T00:00:00"/>
    <d v="2026-05-16T00:00:00"/>
    <d v="2021-05-16T00:00:00"/>
    <n v="9.175342465753424"/>
    <n v="4.172602739726027"/>
    <s v="Modified Gross"/>
    <s v="None"/>
    <s v="None"/>
    <n v="3000000"/>
    <n v="217.8016552925802"/>
    <n v="0.08921233333333334"/>
    <m/>
    <d v="2017-03-15T00:00:00"/>
    <x v="111"/>
    <s v="Direct"/>
    <x v="393"/>
    <s v="IN"/>
    <s v="Private"/>
    <m/>
    <m/>
    <n v="3414671"/>
    <n v="0.0783785612142429"/>
    <n v="0.8785619463778501"/>
    <n v="3414671"/>
    <n v="0.0783785612142429"/>
    <n v="0.01083377211909044"/>
    <s v="No"/>
    <d v="2016-03-03T00:00:00"/>
    <n v="377"/>
  </r>
  <r>
    <s v="LCA03272"/>
    <s v="BLM"/>
    <s v="Federal"/>
    <s v="Fee Simple"/>
    <s v="6640 Lockheed Dr"/>
    <s v="Redding"/>
    <s v="CA"/>
    <n v="2.9"/>
    <n v="2016"/>
    <n v="16242"/>
    <n v="16242"/>
    <n v="1"/>
    <n v="493867.12"/>
    <n v="30.4067922669622"/>
    <n v="362100"/>
    <n v="22.29405245659402"/>
    <d v="2016-08-26T00:00:00"/>
    <d v="2036-08-25T00:00:00"/>
    <d v="2036-08-25T00:00:00"/>
    <n v="19.47397260273972"/>
    <n v="19.47397260273972"/>
    <s v="Modified Gross"/>
    <s v="None"/>
    <s v="None"/>
    <n v="7100000"/>
    <n v="437.1382834626278"/>
    <n v="0.051"/>
    <m/>
    <d v="2017-03-10T00:00:00"/>
    <x v="681"/>
    <s v="C&amp;W; Travis Trautvetter"/>
    <x v="832"/>
    <s v="CA"/>
    <s v="Private"/>
    <s v="Gregory Terry"/>
    <s v="Imperial Group"/>
    <m/>
    <s v=" "/>
    <s v=" "/>
    <m/>
    <s v=" "/>
    <s v=" "/>
    <s v=" "/>
    <m/>
    <s v=" "/>
  </r>
  <r>
    <m/>
    <s v="NIH"/>
    <s v="Federal"/>
    <s v="Fee Simple"/>
    <s v="430-530 Davis Dr"/>
    <s v="Morrisville"/>
    <s v="NC"/>
    <n v="18.25"/>
    <n v="1983"/>
    <n v="75000"/>
    <n v="223278"/>
    <n v="0.3359041195281219"/>
    <m/>
    <s v=" "/>
    <n v="4532225.28"/>
    <n v="20.29857522908661"/>
    <d v="2013-09-01T00:00:00"/>
    <d v="2023-08-30T00:00:00"/>
    <d v="2018-08-30T00:00:00"/>
    <n v="6.487671232876712"/>
    <n v="1.484931506849315"/>
    <s v="Modified Gross"/>
    <s v="None"/>
    <s v="None"/>
    <n v="45000000"/>
    <n v="201.5424717168731"/>
    <n v="0.1007161173333333"/>
    <m/>
    <d v="2017-03-06T00:00:00"/>
    <x v="1169"/>
    <s v="JLL; O'Brien"/>
    <x v="472"/>
    <s v="NY"/>
    <s v="Private"/>
    <m/>
    <m/>
    <m/>
    <s v=" "/>
    <s v=" "/>
    <m/>
    <s v=" "/>
    <s v=" "/>
    <s v=" "/>
    <m/>
    <s v=" "/>
  </r>
  <r>
    <m/>
    <s v="Multi/AOC/Bankruptcy Court"/>
    <s v="Federal"/>
    <s v="Fee Simple"/>
    <s v="120 W 3rd St"/>
    <s v="Dayton"/>
    <s v="OH"/>
    <n v="1.2801"/>
    <n v="1915"/>
    <n v="77283"/>
    <n v="77283"/>
    <n v="1"/>
    <m/>
    <s v=" "/>
    <n v="833000"/>
    <n v="10.7785670846111"/>
    <d v="2016-06-01T00:00:00"/>
    <d v="2031-05-31T00:00:00"/>
    <d v="2026-05-31T00:00:00"/>
    <n v="14.25479452054794"/>
    <n v="9.252054794520548"/>
    <s v="Modified Gross"/>
    <s v="None"/>
    <s v="None"/>
    <n v="12350000"/>
    <n v="159.8022851079798"/>
    <n v="0.06744939271255061"/>
    <m/>
    <d v="2017-03-02T00:00:00"/>
    <x v="1170"/>
    <s v="M&amp;M; Ficke"/>
    <x v="2"/>
    <s v="VA"/>
    <s v="Private"/>
    <m/>
    <m/>
    <m/>
    <s v=" "/>
    <s v=" "/>
    <m/>
    <s v=" "/>
    <s v=" "/>
    <s v=" "/>
    <m/>
    <s v=" "/>
  </r>
  <r>
    <s v="LGA60305"/>
    <s v="SSA"/>
    <s v="Federal"/>
    <s v="Fee Simple"/>
    <s v="3568 Covington Hwy"/>
    <s v="Decatur"/>
    <s v="GA"/>
    <n v="3.08"/>
    <n v="2016"/>
    <n v="15750"/>
    <n v="15750"/>
    <n v="1"/>
    <n v="453156.42"/>
    <n v="28.77183619047619"/>
    <n v="314430"/>
    <n v="19.96380952380952"/>
    <d v="2016-10-20T00:00:00"/>
    <d v="2031-10-19T00:00:00"/>
    <d v="2026-10-20T00:00:00"/>
    <n v="14.64109589041096"/>
    <n v="9.641095890410959"/>
    <s v="Modified Gross"/>
    <s v="None"/>
    <s v="None"/>
    <n v="4700000"/>
    <n v="298.4126984126984"/>
    <n v="0.0669"/>
    <m/>
    <d v="2017-03-02T00:00:00"/>
    <x v="103"/>
    <s v="C&amp;W; Trautvetter"/>
    <x v="833"/>
    <s v="CA"/>
    <s v="Private"/>
    <s v="Chris Migliori"/>
    <s v="Rooker"/>
    <n v="4729896"/>
    <n v="0.06647714875760481"/>
    <n v="0.9936793536263799"/>
    <n v="4729896"/>
    <n v="0.06647714875760481"/>
    <n v="0.0004228512423951891"/>
    <s v="No"/>
    <d v="2016-11-15T00:00:00"/>
    <n v="107"/>
  </r>
  <r>
    <s v="LKS00052"/>
    <s v="SSA/OHO"/>
    <s v="Federal"/>
    <s v="Fee Simple"/>
    <s v="3207 N Cypress St"/>
    <s v="Wichita"/>
    <s v="KS"/>
    <n v="1.6"/>
    <n v="2006"/>
    <n v="12987"/>
    <n v="12987"/>
    <n v="1"/>
    <n v="344254.77"/>
    <n v="26.5076437976438"/>
    <n v="206250"/>
    <n v="15.88126588126588"/>
    <d v="2016-11-01T00:00:00"/>
    <d v="2026-10-31T00:00:00"/>
    <d v="2023-11-01T00:00:00"/>
    <n v="9.676712328767124"/>
    <n v="6.676712328767123"/>
    <s v="Modified Gross"/>
    <s v="None"/>
    <s v="None"/>
    <n v="2750000"/>
    <n v="211.7502117502117"/>
    <n v="0.075"/>
    <m/>
    <d v="2017-02-28T00:00:00"/>
    <x v="1171"/>
    <s v="Newmark; Gallas"/>
    <x v="1"/>
    <s v="IL"/>
    <s v="Private"/>
    <m/>
    <s v="Vantage Point"/>
    <m/>
    <s v=" "/>
    <s v=" "/>
    <m/>
    <s v=" "/>
    <s v=" "/>
    <s v=" "/>
    <d v="2016-11-20T00:00:00"/>
    <n v="100"/>
  </r>
  <r>
    <s v="LCO14809"/>
    <s v="BLM"/>
    <s v="Federal"/>
    <s v="Fee Simple"/>
    <s v="1313 US 160 E"/>
    <s v="Monte Vista"/>
    <s v="CO"/>
    <n v="4"/>
    <n v="2015"/>
    <n v="14000"/>
    <n v="14000"/>
    <n v="1"/>
    <n v="312405.51"/>
    <n v="22.31467928571429"/>
    <n v="244001"/>
    <n v="17.42864285714286"/>
    <d v="2015-03-01T00:00:00"/>
    <d v="2035-02-28T00:00:00"/>
    <d v="2035-02-28T00:00:00"/>
    <n v="18.02191780821918"/>
    <n v="18.02191780821918"/>
    <s v="Modified Gross"/>
    <s v="None"/>
    <s v="None"/>
    <n v="3825000"/>
    <n v="273.2142857142857"/>
    <n v="0.06379111111111112"/>
    <m/>
    <d v="2017-02-24T00:00:00"/>
    <x v="681"/>
    <s v="C&amp;W; Travis Trautvetter"/>
    <x v="834"/>
    <s v="NY"/>
    <s v="Private"/>
    <m/>
    <m/>
    <n v="4245000"/>
    <n v="0.05747962308598351"/>
    <n v="0.9010600706713781"/>
    <n v="4245000"/>
    <n v="0.05747962308598351"/>
    <n v="0.006311488025127605"/>
    <s v="No"/>
    <d v="2016-08-10T00:00:00"/>
    <n v="198"/>
  </r>
  <r>
    <s v="LVA12710"/>
    <s v="DOD"/>
    <s v="Federal"/>
    <s v="Fee Simple"/>
    <s v="2521 S CLARK ST"/>
    <s v="Arlington"/>
    <s v="VA"/>
    <n v="2"/>
    <n v="1970"/>
    <n v="353631"/>
    <n v="353631"/>
    <n v="1"/>
    <n v="13526385.8"/>
    <n v="38.25000014139032"/>
    <n v="24971100"/>
    <n v="70.61343603926126"/>
    <d v="2015-09-15T00:00:00"/>
    <d v="2025-09-14T00:00:00"/>
    <d v="2025-09-14T00:00:00"/>
    <n v="8.567123287671233"/>
    <n v="8.567123287671233"/>
    <s v="Modified Gross"/>
    <m/>
    <s v="None"/>
    <n v="379500000"/>
    <n v="1073.152523393028"/>
    <n v="0.0658"/>
    <m/>
    <d v="2017-02-21T00:00:00"/>
    <x v="1172"/>
    <s v="C&amp;W; Collins"/>
    <x v="835"/>
    <m/>
    <s v="Cross-Border"/>
    <m/>
    <m/>
    <m/>
    <s v=" "/>
    <s v=" "/>
    <m/>
    <s v=" "/>
    <s v=" "/>
    <s v=" "/>
    <m/>
    <s v=" "/>
  </r>
  <r>
    <s v="LVA00244"/>
    <s v="DEA"/>
    <s v="Federal"/>
    <s v="Fee Simple"/>
    <s v="14560 Avion Pky"/>
    <s v="Chantilly"/>
    <s v="VA"/>
    <n v="11.66"/>
    <n v="2002"/>
    <n v="71504"/>
    <n v="71504"/>
    <n v="1"/>
    <n v="2460060.76"/>
    <n v="34.40451946744238"/>
    <n v="1956875"/>
    <n v="27.3673500783173"/>
    <d v="2002-02-01T00:00:00"/>
    <d v="2022-01-31T00:00:00"/>
    <d v="2022-01-31T00:00:00"/>
    <n v="4.956164383561644"/>
    <n v="4.956164383561644"/>
    <m/>
    <m/>
    <m/>
    <n v="25250000"/>
    <n v="353.1270977847393"/>
    <n v="0.0775"/>
    <m/>
    <d v="2017-02-17T00:00:00"/>
    <x v="1173"/>
    <s v="Direct"/>
    <x v="1"/>
    <s v="IL"/>
    <s v="Private"/>
    <m/>
    <m/>
    <m/>
    <s v=" "/>
    <s v=" "/>
    <m/>
    <s v=" "/>
    <s v=" "/>
    <s v=" "/>
    <m/>
    <s v=" "/>
  </r>
  <r>
    <m/>
    <s v="NY DOT"/>
    <s v="State"/>
    <s v="Fee Simple"/>
    <s v="1530 Jefferson Rd"/>
    <s v="Henrietta"/>
    <s v="NY"/>
    <n v="3.9"/>
    <n v="1982"/>
    <n v="71866"/>
    <n v="71866"/>
    <n v="1"/>
    <m/>
    <s v=" "/>
    <n v="714398"/>
    <n v="9.940695182701138"/>
    <m/>
    <m/>
    <m/>
    <s v=" "/>
    <s v=" "/>
    <m/>
    <m/>
    <m/>
    <n v="9245600"/>
    <n v="128.6505440681268"/>
    <n v="0.07726897118629403"/>
    <m/>
    <d v="2017-02-17T00:00:00"/>
    <x v="1174"/>
    <s v="JLL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3789 S Mulino Rd"/>
    <s v="Mulino"/>
    <s v="OR"/>
    <n v="0.62"/>
    <n v="1992"/>
    <n v="2135"/>
    <n v="2135"/>
    <n v="1"/>
    <m/>
    <s v=" "/>
    <m/>
    <s v=" "/>
    <d v="2017-02-01T00:00:00"/>
    <d v="2022-01-31T00:00:00"/>
    <d v="2017-01-31T00:00:00"/>
    <n v="4.956164383561644"/>
    <n v="-0.04657534246575343"/>
    <s v="Rider"/>
    <s v="None"/>
    <s v="None"/>
    <n v="485000"/>
    <n v="227.1662763466042"/>
    <s v=" "/>
    <m/>
    <d v="2017-02-17T00:00:00"/>
    <x v="1175"/>
    <s v="SVN; Grabenhorst"/>
    <x v="0"/>
    <m/>
    <m/>
    <s v="TCP; Harrison"/>
    <m/>
    <n v="490500"/>
    <s v=" "/>
    <n v="0.9887869520897044"/>
    <n v="490500"/>
    <s v=" "/>
    <s v=" "/>
    <s v="No"/>
    <d v="2016-08-23T00:00:00"/>
    <n v="178"/>
  </r>
  <r>
    <s v="LIA90121"/>
    <s v="ICE"/>
    <s v="Federal"/>
    <s v="Fee Simple"/>
    <s v="1400 Pierce St"/>
    <s v="Sioux City"/>
    <s v="IA"/>
    <m/>
    <m/>
    <n v="7975"/>
    <n v="7975"/>
    <n v="1"/>
    <n v="131750.83"/>
    <n v="16.5204802507837"/>
    <m/>
    <s v=" "/>
    <d v="2010-10-12T00:00:00"/>
    <d v="2016-10-11T00:00:00"/>
    <d v="2016-10-11T00:00:00"/>
    <n v="-0.3506849315068493"/>
    <n v="-0.3506849315068493"/>
    <s v="Modified Gross"/>
    <s v="None"/>
    <s v="None"/>
    <n v="1235164.03125"/>
    <n v="154.8795023510972"/>
    <s v=" "/>
    <m/>
    <d v="2017-02-16T00:00:00"/>
    <x v="8"/>
    <m/>
    <x v="0"/>
    <m/>
    <m/>
    <m/>
    <m/>
    <m/>
    <s v=" "/>
    <s v=" "/>
    <m/>
    <s v=" "/>
    <s v=" "/>
    <s v=" "/>
    <m/>
    <s v=" "/>
  </r>
  <r>
    <m/>
    <s v="Treat."/>
    <s v="State"/>
    <s v="Fee Simple"/>
    <s v="1609 Wilson Way"/>
    <s v="Stockton"/>
    <s v="CA"/>
    <n v="0.6887"/>
    <m/>
    <n v="15584"/>
    <n v="15584"/>
    <n v="1"/>
    <m/>
    <s v=" "/>
    <m/>
    <s v=" "/>
    <m/>
    <m/>
    <m/>
    <s v=" "/>
    <s v=" "/>
    <m/>
    <m/>
    <m/>
    <n v="1550000"/>
    <n v="99.46098562628337"/>
    <s v=" "/>
    <m/>
    <d v="2017-02-15T00:00:00"/>
    <x v="1176"/>
    <s v="Colliers"/>
    <x v="497"/>
    <s v="TN"/>
    <s v="REIT"/>
    <m/>
    <m/>
    <m/>
    <s v=" "/>
    <s v=" "/>
    <m/>
    <s v=" "/>
    <s v=" "/>
    <s v=" "/>
    <m/>
    <s v=" "/>
  </r>
  <r>
    <s v="LDC02197"/>
    <s v="HHS"/>
    <s v="Federal"/>
    <s v="Fee Simple"/>
    <s v="425 3RD ST SW"/>
    <s v="Washington"/>
    <s v="DC"/>
    <n v="0.5"/>
    <n v="2007"/>
    <n v="88200"/>
    <n v="221006"/>
    <n v="0.3990841877596084"/>
    <m/>
    <s v=" "/>
    <n v="8140000"/>
    <n v="36.83157923314299"/>
    <d v="2011-02-16T00:00:00"/>
    <d v="2026-02-15T00:00:00"/>
    <d v="2026-02-15T00:00:00"/>
    <n v="9.005479452054795"/>
    <n v="9.005479452054795"/>
    <s v="FS"/>
    <m/>
    <s v="None"/>
    <n v="148000000"/>
    <n v="669.6650769662363"/>
    <n v="0.055"/>
    <m/>
    <d v="2017-02-15T00:00:00"/>
    <x v="1177"/>
    <s v="Eastdil"/>
    <x v="836"/>
    <m/>
    <s v="Cross-Border"/>
    <m/>
    <m/>
    <m/>
    <s v=" "/>
    <s v=" "/>
    <m/>
    <s v=" "/>
    <s v=" "/>
    <s v=" "/>
    <m/>
    <s v=" "/>
  </r>
  <r>
    <m/>
    <s v="Embassy of Argentina"/>
    <s v="International"/>
    <s v="Fee Simple"/>
    <s v="1811 Q St NW"/>
    <s v="Washington"/>
    <s v="DC"/>
    <n v="0.07000000000000001"/>
    <n v="1915"/>
    <m/>
    <n v="10500"/>
    <s v=" "/>
    <m/>
    <s v=" "/>
    <m/>
    <s v=" "/>
    <m/>
    <m/>
    <m/>
    <s v=" "/>
    <s v=" "/>
    <m/>
    <m/>
    <m/>
    <n v="4641570"/>
    <n v="442.0542857142857"/>
    <s v=" "/>
    <m/>
    <d v="2017-02-15T00:00:00"/>
    <x v="8"/>
    <m/>
    <x v="0"/>
    <m/>
    <m/>
    <m/>
    <m/>
    <m/>
    <s v=" "/>
    <s v=" "/>
    <m/>
    <s v=" "/>
    <s v=" "/>
    <s v=" "/>
    <m/>
    <s v=" "/>
  </r>
  <r>
    <m/>
    <s v="Idaho National Labs"/>
    <s v="State"/>
    <s v="Fee Simple"/>
    <s v="1955 Fremont Avenue"/>
    <s v="Idaho Falls"/>
    <s v="ID"/>
    <m/>
    <n v="1985"/>
    <n v="284100"/>
    <n v="284100"/>
    <n v="1"/>
    <m/>
    <s v=" "/>
    <n v="842450"/>
    <n v="2.965329109468497"/>
    <m/>
    <d v="2025-09-30T00:00:00"/>
    <m/>
    <n v="8.632876712328768"/>
    <s v=" "/>
    <s v="Absolute NNN"/>
    <s v="1.5% Annual rent increases"/>
    <m/>
    <n v="9700000"/>
    <n v="34.14290742696234"/>
    <n v="0.08685051546391753"/>
    <m/>
    <d v="2017-02-13T00:00:00"/>
    <x v="1178"/>
    <s v="Joshua Pardue"/>
    <x v="837"/>
    <m/>
    <s v="Private"/>
    <m/>
    <m/>
    <n v="10500000"/>
    <n v="0.08023333333333334"/>
    <n v="0.9238095238095239"/>
    <n v="10500000"/>
    <n v="0.08023333333333334"/>
    <n v="0.006617182130584195"/>
    <s v="No"/>
    <d v="2016-09-14T00:00:00"/>
    <n v="152"/>
  </r>
  <r>
    <s v="LNC59197"/>
    <s v="SSA/OHO &amp; AOC/Probation"/>
    <s v="Federal"/>
    <s v="Fee Simple"/>
    <s v="150 Rowan St"/>
    <s v="Fayetteville"/>
    <s v="NC"/>
    <n v="2.85"/>
    <n v="2011"/>
    <n v="42882"/>
    <n v="51050"/>
    <n v="0.84"/>
    <m/>
    <s v=" "/>
    <n v="631400.0000000001"/>
    <n v="12.36826640548482"/>
    <d v="2011-05-16T00:00:00"/>
    <d v="2026-05-15T00:00:00"/>
    <d v="2021-05-16T00:00:00"/>
    <n v="9.265753424657534"/>
    <n v="4.265753424657534"/>
    <s v="Modified Gross"/>
    <s v="None"/>
    <s v="None"/>
    <n v="9020000"/>
    <n v="176.6895200783545"/>
    <n v="0.07000000000000001"/>
    <m/>
    <d v="2017-02-09T00:00:00"/>
    <x v="1179"/>
    <s v="Newmark; Andy Gallas"/>
    <x v="1"/>
    <s v="IL"/>
    <s v="Private"/>
    <m/>
    <m/>
    <m/>
    <s v=" "/>
    <s v=" "/>
    <m/>
    <s v=" "/>
    <s v=" "/>
    <s v=" "/>
    <m/>
    <s v=" "/>
  </r>
  <r>
    <m/>
    <s v="SSA"/>
    <s v="Federal"/>
    <s v="Fee Simple"/>
    <s v="3216 N Cypress St"/>
    <s v="Wichita"/>
    <s v="KS"/>
    <n v="2.13"/>
    <n v="2007"/>
    <n v="24574"/>
    <n v="24574"/>
    <n v="1"/>
    <n v="759280"/>
    <n v="30.89769675266542"/>
    <n v="528955"/>
    <n v="21.52498575730447"/>
    <d v="2009-02-01T00:00:00"/>
    <d v="2022-01-31T00:00:00"/>
    <d v="2017-01-31T00:00:00"/>
    <n v="4.978082191780822"/>
    <n v="-0.02465753424657534"/>
    <s v="Modified Gross"/>
    <s v="None"/>
    <s v="None"/>
    <n v="6350000"/>
    <n v="258.4031903637991"/>
    <n v="0.0833"/>
    <m/>
    <d v="2017-02-09T00:00:00"/>
    <x v="1171"/>
    <s v="Newmark; Gallas"/>
    <x v="1"/>
    <s v="IL"/>
    <s v="Private"/>
    <m/>
    <s v="Vantage Point"/>
    <n v="6500000"/>
    <n v="0.0813776923076923"/>
    <n v="0.9769230769230769"/>
    <n v="6500000"/>
    <n v="0.0813776923076923"/>
    <n v="0.001922307692307695"/>
    <s v="No"/>
    <d v="2016-11-01T00:00:00"/>
    <n v="100"/>
  </r>
  <r>
    <s v="LTX17392"/>
    <s v="CBP"/>
    <s v="Federal"/>
    <s v="Fee Simple"/>
    <s v="1501 E Expressway Hwy 83"/>
    <s v="Weslaco"/>
    <s v="TX"/>
    <m/>
    <n v="2008"/>
    <n v="54483"/>
    <n v="54483"/>
    <n v="1"/>
    <n v="3219600"/>
    <n v="59.09366224326854"/>
    <n v="1943000"/>
    <n v="35.66250022942936"/>
    <d v="2015-01-01T00:00:00"/>
    <d v="2024-02-28T00:00:00"/>
    <d v="2024-02-28T00:00:00"/>
    <n v="7.063013698630137"/>
    <n v="7.063013698630137"/>
    <s v="FS"/>
    <m/>
    <s v="None"/>
    <n v="23000000"/>
    <n v="422.1500284492411"/>
    <n v="0.08447826086956521"/>
    <m/>
    <d v="2017-02-06T00:00:00"/>
    <x v="1180"/>
    <s v="M&amp;M"/>
    <x v="1"/>
    <s v="IL"/>
    <s v="Private"/>
    <m/>
    <m/>
    <m/>
    <s v=" "/>
    <s v=" "/>
    <m/>
    <s v=" "/>
    <s v=" "/>
    <s v=" "/>
    <m/>
    <s v=" "/>
  </r>
  <r>
    <s v="LNV99090"/>
    <s v="DEA"/>
    <s v="Federal"/>
    <s v="Fee Simple"/>
    <s v="550 S Main St"/>
    <s v="Las Vegas"/>
    <s v="NV"/>
    <n v="1.95"/>
    <n v="2001"/>
    <n v="34645"/>
    <n v="34645"/>
    <n v="1"/>
    <n v="1045819.29"/>
    <n v="30.18673084139126"/>
    <n v="878400"/>
    <n v="25.35430798094963"/>
    <d v="2001-01-01T00:00:00"/>
    <d v="2020-12-31T00:00:00"/>
    <d v="2015-12-31T00:00:00"/>
    <n v="3.90958904109589"/>
    <n v="-1.095890410958904"/>
    <s v="Modified Gross"/>
    <s v="None"/>
    <s v="None"/>
    <n v="12200000"/>
    <n v="352.1431664020782"/>
    <n v="0.07199999999999999"/>
    <m/>
    <d v="2017-02-03T00:00:00"/>
    <x v="1181"/>
    <s v="C&amp;W; Travis Trautvetter"/>
    <x v="1"/>
    <s v="IL"/>
    <s v="Private"/>
    <m/>
    <m/>
    <m/>
    <s v=" "/>
    <s v=" "/>
    <m/>
    <s v=" "/>
    <s v=" "/>
    <s v=" "/>
    <m/>
    <s v=" "/>
  </r>
  <r>
    <s v="LUT13736"/>
    <s v="OSHA"/>
    <s v="Federal"/>
    <s v="Fee Simple"/>
    <s v="8660 Sandy Pkwy"/>
    <s v="Sandy"/>
    <s v="UT"/>
    <n v="5.36"/>
    <n v="2003"/>
    <n v="75000"/>
    <n v="75000"/>
    <n v="1"/>
    <n v="2772587.95"/>
    <n v="36.96783933333334"/>
    <m/>
    <s v=" "/>
    <d v="2004-01-29T00:00:00"/>
    <d v="2024-01-28T00:00:00"/>
    <d v="2023-11-30T00:00:00"/>
    <n v="6.986301369863014"/>
    <n v="6.824657534246575"/>
    <s v="FS"/>
    <m/>
    <s v="None"/>
    <n v="25993012.03125"/>
    <n v="346.57349375"/>
    <s v=" "/>
    <m/>
    <d v="2017-02-03T00:00:00"/>
    <x v="1182"/>
    <s v="Direct"/>
    <x v="3"/>
    <s v="DC"/>
    <s v="REIT"/>
    <m/>
    <m/>
    <m/>
    <s v=" "/>
    <s v=" "/>
    <m/>
    <s v=" "/>
    <s v=" "/>
    <s v=" "/>
    <m/>
    <s v=" "/>
  </r>
  <r>
    <m/>
    <s v="OSHA"/>
    <s v="Federal"/>
    <s v="Fee Simple"/>
    <s v="8660 S Sandy Pkwy"/>
    <s v="Sandy"/>
    <s v="UT"/>
    <n v="5.36"/>
    <n v="2003"/>
    <m/>
    <n v="75000"/>
    <s v=" "/>
    <n v="2988673"/>
    <s v=" "/>
    <m/>
    <s v=" "/>
    <m/>
    <m/>
    <m/>
    <s v=" "/>
    <s v=" "/>
    <m/>
    <m/>
    <m/>
    <n v="36968000"/>
    <n v="492.9066666666667"/>
    <s v=" "/>
    <m/>
    <d v="2017-02-03T00:00:00"/>
    <x v="8"/>
    <m/>
    <x v="0"/>
    <m/>
    <m/>
    <m/>
    <m/>
    <m/>
    <s v=" "/>
    <s v=" "/>
    <m/>
    <s v=" "/>
    <s v=" "/>
    <s v=" "/>
    <m/>
    <s v=" "/>
  </r>
  <r>
    <m/>
    <s v="DCJ"/>
    <s v="State"/>
    <s v="Fee Simple"/>
    <s v="13 Founders Blvd"/>
    <s v="El Paso"/>
    <s v="TX"/>
    <n v="1.6"/>
    <n v="1985"/>
    <n v="14767"/>
    <n v="14767"/>
    <n v="1"/>
    <m/>
    <s v=" "/>
    <m/>
    <s v=" "/>
    <m/>
    <m/>
    <m/>
    <s v=" "/>
    <s v=" "/>
    <m/>
    <m/>
    <m/>
    <n v="2950000"/>
    <n v="199.7697568903637"/>
    <s v=" "/>
    <m/>
    <d v="2017-02-01T00:00:00"/>
    <x v="1183"/>
    <m/>
    <x v="429"/>
    <s v="NY"/>
    <s v="Private"/>
    <m/>
    <m/>
    <m/>
    <s v=" "/>
    <s v=" "/>
    <m/>
    <s v=" "/>
    <s v=" "/>
    <s v=" "/>
    <m/>
    <s v=" "/>
  </r>
  <r>
    <m/>
    <s v="USPS"/>
    <s v="Federal"/>
    <s v="Fee Simple"/>
    <s v="703 Church Street"/>
    <s v="East Bernard"/>
    <s v="TX"/>
    <n v="1.52"/>
    <n v="2001"/>
    <n v="7204"/>
    <n v="7204"/>
    <n v="1"/>
    <n v="79423"/>
    <n v="11.02484730705164"/>
    <n v="54620"/>
    <n v="7.581898945030539"/>
    <d v="2001-07-31T00:00:00"/>
    <d v="2021-08-01T00:00:00"/>
    <d v="2021-08-01T00:00:00"/>
    <n v="4.501369863013698"/>
    <n v="4.501369863013698"/>
    <s v="Rider"/>
    <s v="None"/>
    <s v="4, 5 yr"/>
    <n v="850000"/>
    <n v="117.9900055524708"/>
    <n v="0.06425882352941177"/>
    <m/>
    <d v="2017-01-31T00:00:00"/>
    <x v="514"/>
    <s v="SJC; Hellwig"/>
    <x v="838"/>
    <s v="OK"/>
    <s v="Private"/>
    <m/>
    <m/>
    <n v="904000"/>
    <n v="0.06042035398230088"/>
    <n v="0.9402654867256637"/>
    <n v="904000"/>
    <n v="0.06042035398230088"/>
    <n v="0.003838469547110888"/>
    <s v="No"/>
    <d v="2016-10-24T00:00:00"/>
    <n v="99"/>
  </r>
  <r>
    <m/>
    <s v="USPS"/>
    <s v="Federal"/>
    <s v="Fee Simple"/>
    <s v="40090 Hempstead Highway"/>
    <s v="Waller"/>
    <s v="TX"/>
    <n v="2.62"/>
    <n v="2001"/>
    <n v="8695"/>
    <n v="8695"/>
    <n v="1"/>
    <n v="104907"/>
    <n v="12.06520989074181"/>
    <n v="81225"/>
    <n v="9.341575618171364"/>
    <d v="2001-04-01T00:00:00"/>
    <d v="2021-03-31T00:00:00"/>
    <d v="2021-03-31T00:00:00"/>
    <n v="4.164383561643835"/>
    <n v="4.164383561643835"/>
    <s v="Rider"/>
    <s v="None"/>
    <s v="4, 5 yr"/>
    <n v="1188000"/>
    <n v="136.6302472685451"/>
    <n v="0.06837121212121212"/>
    <m/>
    <d v="2017-01-31T00:00:00"/>
    <x v="104"/>
    <s v="SJC; Hellwig"/>
    <x v="838"/>
    <s v="OK"/>
    <s v="Private"/>
    <m/>
    <m/>
    <m/>
    <s v=" "/>
    <s v=" "/>
    <m/>
    <s v=" "/>
    <s v=" "/>
    <s v=" "/>
    <m/>
    <s v=" "/>
  </r>
  <r>
    <m/>
    <s v="Multi"/>
    <s v="State"/>
    <s v="Fee Simple"/>
    <s v="3160 W Elder St"/>
    <s v="Boise"/>
    <s v="ID"/>
    <n v="6.74"/>
    <n v="1984"/>
    <n v="62000"/>
    <n v="76000"/>
    <n v="0.8157894736842105"/>
    <m/>
    <s v=" "/>
    <n v="731202"/>
    <n v="9.621078947368421"/>
    <m/>
    <d v="2024-06-30T00:00:00"/>
    <m/>
    <n v="7.427397260273972"/>
    <s v=" "/>
    <s v="Fanl Service"/>
    <s v="Annually"/>
    <s v="None"/>
    <m/>
    <s v=" "/>
    <s v=" "/>
    <m/>
    <d v="2017-01-27T00:00:00"/>
    <x v="1184"/>
    <s v="TOK Commercial"/>
    <x v="839"/>
    <s v="ID"/>
    <s v="Private"/>
    <m/>
    <m/>
    <n v="10300000"/>
    <n v="0.07099048543689321"/>
    <s v=" "/>
    <n v="10300000"/>
    <n v="0.07099048543689321"/>
    <s v=" "/>
    <s v="No"/>
    <d v="2016-08-04T00:00:00"/>
    <n v="176"/>
  </r>
  <r>
    <s v="LMD02247"/>
    <s v="HHS"/>
    <s v="Federal"/>
    <s v="Fee Simple"/>
    <s v="1220 Caraway Ct"/>
    <s v="Largo"/>
    <s v="MD"/>
    <n v="6.76"/>
    <n v="1987"/>
    <n v="40682"/>
    <n v="75947"/>
    <n v="0.5356630281643778"/>
    <n v="686604.0600000001"/>
    <n v="16.87734280517182"/>
    <n v="1485000"/>
    <n v="19.55310940524313"/>
    <d v="2011-10-05T00:00:00"/>
    <d v="2021-10-04T00:00:00"/>
    <d v="2021-10-04T00:00:00"/>
    <n v="4.69041095890411"/>
    <n v="4.69041095890411"/>
    <s v="Modified Gross"/>
    <s v="None"/>
    <s v="None"/>
    <n v="16500000"/>
    <n v="217.2567711693681"/>
    <n v="0.09"/>
    <m/>
    <d v="2017-01-26T00:00:00"/>
    <x v="1185"/>
    <s v="Transwester"/>
    <x v="840"/>
    <s v="VA"/>
    <s v="Private"/>
    <m/>
    <m/>
    <m/>
    <s v=" "/>
    <s v=" "/>
    <m/>
    <s v=" "/>
    <s v=" "/>
    <s v=" "/>
    <m/>
    <s v=" "/>
  </r>
  <r>
    <m/>
    <s v="Multi"/>
    <s v="Federal"/>
    <s v="Fee Simple"/>
    <s v="Portfolio of Four"/>
    <m/>
    <m/>
    <m/>
    <m/>
    <n v="68417"/>
    <n v="68417"/>
    <n v="1"/>
    <m/>
    <s v=" "/>
    <m/>
    <s v=" "/>
    <m/>
    <m/>
    <m/>
    <s v=" "/>
    <s v=" "/>
    <s v="Modified Gross"/>
    <s v="None"/>
    <s v="None"/>
    <n v="13950000"/>
    <n v="203.8966923425464"/>
    <s v=" "/>
    <m/>
    <d v="2017-01-25T00:00:00"/>
    <x v="461"/>
    <s v="C&amp;W; Travis Trautvetter"/>
    <x v="1"/>
    <s v="IL"/>
    <s v="Private"/>
    <m/>
    <m/>
    <m/>
    <s v=" "/>
    <s v=" "/>
    <m/>
    <s v=" "/>
    <s v=" "/>
    <s v=" "/>
    <m/>
    <s v=" "/>
  </r>
  <r>
    <s v="LMO90129"/>
    <s v="DEA"/>
    <s v="Federal"/>
    <s v="Fee Simple"/>
    <s v="3031 S Fort Ave"/>
    <s v="Springfield"/>
    <s v="MO"/>
    <n v="5.54"/>
    <n v="2011"/>
    <n v="12187"/>
    <n v="12187"/>
    <n v="1"/>
    <n v="390678.49"/>
    <n v="32.05698613276442"/>
    <m/>
    <s v=" "/>
    <d v="2011-11-01T00:00:00"/>
    <d v="2026-10-31T00:00:00"/>
    <d v="2021-11-01T00:00:00"/>
    <n v="9.772602739726027"/>
    <n v="4.772602739726027"/>
    <s v="FS"/>
    <m/>
    <s v="None"/>
    <n v="3662610.84375"/>
    <n v="300.5342449946664"/>
    <s v=" "/>
    <m/>
    <d v="2017-01-24T00:00:00"/>
    <x v="1186"/>
    <s v="Direct"/>
    <x v="1"/>
    <s v="IL"/>
    <s v="Private"/>
    <m/>
    <m/>
    <m/>
    <s v=" "/>
    <s v=" "/>
    <m/>
    <s v=" "/>
    <s v=" "/>
    <s v=" "/>
    <m/>
    <s v=" "/>
  </r>
  <r>
    <s v="LTX15436"/>
    <s v="SSA"/>
    <s v="Federal"/>
    <s v="Fee Simple"/>
    <s v="1029 Camino La Costa"/>
    <s v="Austin"/>
    <s v="TX"/>
    <n v="3.61"/>
    <n v="2005"/>
    <n v="23859"/>
    <n v="23859"/>
    <n v="1"/>
    <n v="714583.5699999999"/>
    <n v="29.95027327214049"/>
    <m/>
    <s v=" "/>
    <d v="2005-12-21T00:00:00"/>
    <d v="2020-12-20T00:00:00"/>
    <d v="2015-12-21T00:00:00"/>
    <n v="3.90958904109589"/>
    <n v="-1.093150684931507"/>
    <s v="Modified Gross"/>
    <s v="None"/>
    <s v="None"/>
    <m/>
    <s v=" "/>
    <s v=" "/>
    <m/>
    <d v="2017-01-23T00:00:00"/>
    <x v="461"/>
    <s v="Direct"/>
    <x v="841"/>
    <s v="GA"/>
    <s v="Private"/>
    <m/>
    <m/>
    <m/>
    <s v=" "/>
    <s v=" "/>
    <m/>
    <s v=" "/>
    <s v=" "/>
    <s v=" "/>
    <m/>
    <s v=" "/>
  </r>
  <r>
    <s v="LFL48869"/>
    <s v="ICE"/>
    <s v="Federal"/>
    <s v="Fee Simple"/>
    <s v="3500 SE Commerce Ave"/>
    <s v="Stuart"/>
    <s v="FL"/>
    <n v="3.27"/>
    <n v="2011"/>
    <n v="12736"/>
    <n v="12736"/>
    <n v="1"/>
    <n v="562285"/>
    <n v="44.14926193467337"/>
    <n v="402716"/>
    <n v="31.62028894472362"/>
    <d v="2011-03-04T00:00:00"/>
    <d v="2021-03-03T00:00:00"/>
    <d v="2021-03-03T00:00:00"/>
    <n v="4.109589041095891"/>
    <n v="4.109589041095891"/>
    <s v="Modified Gross"/>
    <s v="None"/>
    <s v="None"/>
    <n v="5100000"/>
    <n v="400.4396984924623"/>
    <n v="0.07896392156862746"/>
    <m/>
    <d v="2017-01-23T00:00:00"/>
    <x v="461"/>
    <s v="Direct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41 Raymond Ave Ext"/>
    <s v="Poughkeepsie"/>
    <s v="NY"/>
    <n v="0.38"/>
    <n v="1960"/>
    <n v="7088"/>
    <n v="7088"/>
    <n v="1"/>
    <m/>
    <s v=" "/>
    <n v="104000"/>
    <n v="14.67268623024831"/>
    <m/>
    <d v="2019-05-30T00:00:00"/>
    <m/>
    <n v="2.356164383561644"/>
    <s v=" "/>
    <m/>
    <m/>
    <m/>
    <n v="1150000"/>
    <n v="162.2460496613996"/>
    <n v="0.09043478260869565"/>
    <m/>
    <d v="2017-01-20T00:00:00"/>
    <x v="1187"/>
    <s v="McGrath"/>
    <x v="825"/>
    <s v="NJ"/>
    <s v="Private"/>
    <m/>
    <m/>
    <n v="1300000"/>
    <n v="0.08"/>
    <n v="0.8846153846153846"/>
    <n v="1300000"/>
    <n v="0.08"/>
    <n v="0.01043478260869565"/>
    <s v="No"/>
    <d v="2016-08-04T00:00:00"/>
    <n v="169"/>
  </r>
  <r>
    <s v="LLA16720"/>
    <s v="SSA"/>
    <s v="Federal"/>
    <s v="Fee Simple"/>
    <s v="950 Keyser"/>
    <s v="Natchitoches"/>
    <s v="LA"/>
    <n v="0.78"/>
    <n v="2010"/>
    <n v="6316"/>
    <n v="6313"/>
    <n v="1.000475209884366"/>
    <n v="209539.72"/>
    <n v="33.17601646611779"/>
    <n v="150624"/>
    <n v="23.85933787422778"/>
    <d v="2011-09-01T00:00:00"/>
    <d v="2026-08-31T00:00:00"/>
    <d v="2021-09-01T00:00:00"/>
    <n v="9.635616438356164"/>
    <n v="4.635616438356164"/>
    <s v="Modified Gross"/>
    <s v="None"/>
    <s v="None"/>
    <n v="1731300"/>
    <n v="274.2436242673847"/>
    <n v="0.08700051984058223"/>
    <m/>
    <d v="2017-01-13T00:00:00"/>
    <x v="1188"/>
    <s v="SJC; Corriston"/>
    <x v="842"/>
    <s v="LA"/>
    <s v="Private"/>
    <s v="OGG; Clint Oldham"/>
    <m/>
    <n v="1725000"/>
    <n v="0.08731826086956522"/>
    <n v="1.003652173913044"/>
    <n v="1725000"/>
    <n v="0.08731826086956522"/>
    <n v="-0.0003177410289829929"/>
    <s v="No"/>
    <d v="2016-08-19T00:00:00"/>
    <n v="147"/>
  </r>
  <r>
    <s v="LCA02801"/>
    <s v="USGS"/>
    <s v="Federal"/>
    <s v="Fee Simple"/>
    <s v="1653 Plum Ln"/>
    <s v="Redlands"/>
    <s v="CA"/>
    <n v="0.4648760330578512"/>
    <n v="1989"/>
    <n v="11174"/>
    <n v="11174"/>
    <n v="1"/>
    <n v="200763.25"/>
    <n v="17.96699928405226"/>
    <n v="152361"/>
    <n v="13.63531412206909"/>
    <d v="2012-03-16T00:00:00"/>
    <d v="2027-03-15T00:00:00"/>
    <d v="2027-03-15T00:00:00"/>
    <n v="10.17260273972603"/>
    <n v="10.17260273972603"/>
    <s v="FS"/>
    <m/>
    <s v="None"/>
    <n v="2325000"/>
    <n v="208.0723107213173"/>
    <n v="0.0655316129032258"/>
    <m/>
    <d v="2017-01-13T00:00:00"/>
    <x v="946"/>
    <s v="NAI; Ryan Campbell"/>
    <x v="843"/>
    <s v="CA"/>
    <s v="Private"/>
    <m/>
    <m/>
    <m/>
    <s v=" "/>
    <s v=" "/>
    <m/>
    <s v=" "/>
    <s v=" "/>
    <s v=" "/>
    <m/>
    <s v=" "/>
  </r>
  <r>
    <m/>
    <s v="County Health Services"/>
    <s v="State"/>
    <s v="Fee Simple"/>
    <s v="9320-9328 Telstar Ave"/>
    <s v="El Monte"/>
    <s v="CA"/>
    <n v="7.95"/>
    <n v="1975"/>
    <n v="248961"/>
    <n v="248961"/>
    <n v="1"/>
    <m/>
    <s v=" "/>
    <m/>
    <s v=" "/>
    <m/>
    <m/>
    <m/>
    <s v=" "/>
    <s v=" "/>
    <m/>
    <m/>
    <m/>
    <n v="26000000"/>
    <n v="104.4340278196183"/>
    <s v=" "/>
    <m/>
    <d v="2017-01-12T00:00:00"/>
    <x v="1189"/>
    <m/>
    <x v="844"/>
    <s v="CA"/>
    <s v="Private"/>
    <m/>
    <m/>
    <m/>
    <s v=" "/>
    <s v=" "/>
    <m/>
    <s v=" "/>
    <s v=" "/>
    <s v=" "/>
    <m/>
    <s v=" "/>
  </r>
  <r>
    <m/>
    <s v="Los Angeles County"/>
    <s v="Municipal"/>
    <s v="Fee Simple"/>
    <s v="9320 Telstar Ave"/>
    <s v="El Monte"/>
    <s v="CA"/>
    <n v="7.95"/>
    <m/>
    <n v="178776"/>
    <n v="246912"/>
    <n v="0.724047433903577"/>
    <m/>
    <s v=" "/>
    <m/>
    <s v=" "/>
    <m/>
    <d v="2019-09-30T00:00:00"/>
    <d v="2019-09-30T00:00:00"/>
    <n v="2.715068493150685"/>
    <n v="2.715068493150685"/>
    <s v="Full Service"/>
    <m/>
    <m/>
    <n v="26000000"/>
    <n v="105.3006739243131"/>
    <s v=" "/>
    <m/>
    <d v="2017-01-12T00:00:00"/>
    <x v="1189"/>
    <m/>
    <x v="844"/>
    <s v="CA"/>
    <s v="Private"/>
    <m/>
    <m/>
    <m/>
    <s v=" "/>
    <s v=" "/>
    <m/>
    <s v=" "/>
    <s v=" "/>
    <s v=" "/>
    <m/>
    <s v=" "/>
  </r>
  <r>
    <s v="LOK17453"/>
    <s v="DEA"/>
    <s v="Federal"/>
    <s v="Fee Simple"/>
    <s v="100 Airport Rd"/>
    <s v="McAlester"/>
    <s v="OK"/>
    <m/>
    <m/>
    <n v="9593"/>
    <n v="9593"/>
    <n v="1"/>
    <n v="276830.51"/>
    <n v="28.85755342437194"/>
    <m/>
    <s v=" "/>
    <d v="2016-11-20T00:00:00"/>
    <d v="2031-11-19T00:00:00"/>
    <d v="2026-11-20T00:00:00"/>
    <n v="14.87945205479452"/>
    <n v="9.87945205479452"/>
    <s v="Modified Gross"/>
    <s v="None"/>
    <s v="None"/>
    <n v="2595286.03125"/>
    <n v="270.5395633534869"/>
    <s v=" "/>
    <m/>
    <d v="2017-01-05T00:00:00"/>
    <x v="1190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24 Elm St"/>
    <s v="Tully"/>
    <s v="NY"/>
    <n v="0.59"/>
    <m/>
    <n v="4165"/>
    <n v="4165"/>
    <n v="1"/>
    <m/>
    <s v=" "/>
    <n v="78000"/>
    <n v="18.72749099639856"/>
    <m/>
    <m/>
    <m/>
    <s v=" "/>
    <s v=" "/>
    <m/>
    <m/>
    <m/>
    <n v="920000"/>
    <n v="220.8883553421369"/>
    <n v="0.08478260869565217"/>
    <m/>
    <d v="2017-01-05T00:00:00"/>
    <x v="1191"/>
    <s v="TCP; Harrison"/>
    <x v="845"/>
    <m/>
    <m/>
    <m/>
    <m/>
    <n v="975000"/>
    <n v="0.08"/>
    <n v="0.9435897435897436"/>
    <n v="975000"/>
    <n v="0.08"/>
    <n v="0.004782608695652169"/>
    <s v="No"/>
    <d v="2015-06-12T00:00:00"/>
    <n v="573"/>
  </r>
  <r>
    <s v="LMT14314"/>
    <s v="USDA"/>
    <s v="Federal"/>
    <s v="Fee Simple"/>
    <s v="2229 Boot Hill Ct"/>
    <s v="Bozeman"/>
    <s v="MT"/>
    <n v="1.89"/>
    <m/>
    <n v="9591"/>
    <n v="9591"/>
    <n v="1"/>
    <n v="283820.87"/>
    <n v="29.59241684912939"/>
    <m/>
    <s v=" "/>
    <d v="2010-03-01T00:00:00"/>
    <d v="2020-02-28T00:00:00"/>
    <d v="2020-02-28T00:00:00"/>
    <n v="3.153424657534246"/>
    <n v="3.153424657534246"/>
    <s v="Modified Gross"/>
    <s v="None"/>
    <s v="None"/>
    <n v="2660820.65625"/>
    <n v="277.428907960588"/>
    <s v=" "/>
    <m/>
    <d v="2017-01-03T00:00:00"/>
    <x v="8"/>
    <m/>
    <x v="846"/>
    <s v="CA"/>
    <s v="Private"/>
    <m/>
    <m/>
    <m/>
    <s v=" "/>
    <s v=" "/>
    <m/>
    <s v=" "/>
    <s v=" "/>
    <s v=" "/>
    <m/>
    <s v=" "/>
  </r>
  <r>
    <m/>
    <s v="Soc. Ser."/>
    <s v="County"/>
    <s v="Fee Simple"/>
    <s v="7987 Ashton Ave"/>
    <s v="Manassas"/>
    <s v="VA"/>
    <n v="5.52"/>
    <n v="1987"/>
    <n v="69374"/>
    <n v="69374"/>
    <n v="1"/>
    <m/>
    <s v=" "/>
    <n v="1056000"/>
    <n v="15.22184103554646"/>
    <m/>
    <d v="2026-02-28T00:00:00"/>
    <m/>
    <n v="9.158904109589042"/>
    <s v=" "/>
    <s v="Full Service"/>
    <s v="2.5% annually"/>
    <s v="None"/>
    <n v="13200000"/>
    <n v="190.2730129443307"/>
    <n v="0.08"/>
    <m/>
    <d v="2017-01-03T00:00:00"/>
    <x v="758"/>
    <s v="AY; Chip Young"/>
    <x v="790"/>
    <s v="MA"/>
    <s v="REIT"/>
    <m/>
    <m/>
    <m/>
    <s v=" "/>
    <s v=" "/>
    <m/>
    <s v=" "/>
    <s v=" "/>
    <s v=" "/>
    <d v="2015-02-05T00:00:00"/>
    <n v="698"/>
  </r>
  <r>
    <s v="LCA03338"/>
    <s v="TTB"/>
    <s v="Federal"/>
    <s v="Fee Simple"/>
    <s v="490 N Wiget Ln"/>
    <s v="Walnut Creek"/>
    <s v="CA"/>
    <n v="0.36"/>
    <n v="1978"/>
    <n v="9252"/>
    <n v="13745"/>
    <n v="0.6731174972717352"/>
    <n v="266550.12"/>
    <n v="28.81"/>
    <n v="237563"/>
    <n v="17.28359403419425"/>
    <d v="2016-04-24T00:00:00"/>
    <d v="2026-04-23T00:00:00"/>
    <d v="2021-04-24T00:00:00"/>
    <n v="9.306849315068494"/>
    <n v="4.306849315068493"/>
    <s v="Modified Gross"/>
    <s v="None"/>
    <s v="None"/>
    <n v="4250000"/>
    <n v="309.2033466715169"/>
    <n v="0.05589717647058823"/>
    <m/>
    <d v="2017-01-03T00:00:00"/>
    <x v="1192"/>
    <s v="Matt Richie"/>
    <x v="847"/>
    <s v="CA"/>
    <s v="Private"/>
    <m/>
    <m/>
    <m/>
    <s v=" "/>
    <s v=" "/>
    <m/>
    <s v=" "/>
    <s v=" "/>
    <s v=" "/>
    <m/>
    <s v=" "/>
  </r>
  <r>
    <m/>
    <s v="MI PSA"/>
    <s v="State"/>
    <s v="Fee Simple"/>
    <s v="1250 Rosa Parks Blvd"/>
    <s v="Detroit"/>
    <s v="MI"/>
    <n v="1.67"/>
    <n v="1990"/>
    <n v="37783"/>
    <n v="37783"/>
    <n v="1"/>
    <m/>
    <s v=" "/>
    <m/>
    <s v=" "/>
    <m/>
    <m/>
    <m/>
    <s v=" "/>
    <s v=" "/>
    <s v="Full Service"/>
    <m/>
    <m/>
    <n v="3000000"/>
    <n v="79.40078871450123"/>
    <s v=" "/>
    <m/>
    <d v="2017-01-01T00:00:00"/>
    <x v="1193"/>
    <m/>
    <x v="848"/>
    <s v="MI"/>
    <s v="Private"/>
    <m/>
    <m/>
    <m/>
    <s v=" "/>
    <s v=" "/>
    <m/>
    <s v=" "/>
    <s v=" "/>
    <s v=" "/>
    <m/>
    <s v=" "/>
  </r>
  <r>
    <m/>
    <s v="Treat."/>
    <s v="Municipal"/>
    <s v="Fee Simple"/>
    <s v="3265 W Girard Ave"/>
    <s v="Englewood"/>
    <s v="CO"/>
    <n v="2.0494"/>
    <n v="1945"/>
    <n v="19704"/>
    <n v="19704"/>
    <n v="1"/>
    <m/>
    <s v=" "/>
    <m/>
    <s v=" "/>
    <m/>
    <m/>
    <m/>
    <s v=" "/>
    <s v=" "/>
    <m/>
    <m/>
    <m/>
    <n v="4981500"/>
    <n v="252.8166869671133"/>
    <s v=" "/>
    <m/>
    <d v="2017-01-01T00:00:00"/>
    <x v="1194"/>
    <s v="Direct"/>
    <x v="497"/>
    <s v="TN"/>
    <s v="REIT"/>
    <m/>
    <m/>
    <m/>
    <s v=" "/>
    <s v=" "/>
    <m/>
    <s v=" "/>
    <s v=" "/>
    <s v=" "/>
    <m/>
    <s v=" "/>
  </r>
  <r>
    <m/>
    <m/>
    <s v="Federal"/>
    <s v="Fee Simple"/>
    <s v="Portfolio of Two"/>
    <m/>
    <m/>
    <m/>
    <m/>
    <m/>
    <m/>
    <s v=" "/>
    <m/>
    <s v=" "/>
    <m/>
    <s v=" "/>
    <m/>
    <m/>
    <m/>
    <s v=" "/>
    <s v=" "/>
    <m/>
    <m/>
    <m/>
    <n v="7600000"/>
    <s v=" "/>
    <s v=" "/>
    <m/>
    <d v="2017-01-01T00:00:00"/>
    <x v="1186"/>
    <s v="Direct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3110 Hamilton Bvld"/>
    <s v="Allentown"/>
    <s v="PA"/>
    <n v="4.64"/>
    <n v="2000"/>
    <n v="38758"/>
    <n v="38758"/>
    <n v="1"/>
    <m/>
    <s v=" "/>
    <m/>
    <s v=" "/>
    <d v="2000-03-25T00:00:00"/>
    <d v="2020-03-24T00:00:00"/>
    <d v="2020-03-24T00:00:00"/>
    <n v="3.241095890410959"/>
    <n v="3.241095890410959"/>
    <s v="Full Service"/>
    <s v="None"/>
    <s v="1, 5 year"/>
    <n v="3800000"/>
    <n v="98.04427473037825"/>
    <s v=" "/>
    <m/>
    <d v="2016-12-27T00:00:00"/>
    <x v="921"/>
    <m/>
    <x v="849"/>
    <s v="TX"/>
    <s v="Private"/>
    <m/>
    <m/>
    <m/>
    <s v=" "/>
    <s v=" "/>
    <m/>
    <s v=" "/>
    <s v=" "/>
    <s v=" "/>
    <m/>
    <s v=" "/>
  </r>
  <r>
    <s v="LOH19246"/>
    <s v="SSA"/>
    <s v="Federal"/>
    <s v="Fee Simple"/>
    <s v="120 E 4th St"/>
    <s v="East Liverpool"/>
    <s v="OH"/>
    <n v="0.59"/>
    <n v="2005"/>
    <n v="7000"/>
    <n v="7000"/>
    <n v="1"/>
    <n v="168916.2"/>
    <n v="24.13088571428571"/>
    <n v="109800"/>
    <n v="15.68571428571429"/>
    <d v="2016-06-13T00:00:00"/>
    <d v="2026-06-12T00:00:00"/>
    <d v="2021-06-13T00:00:00"/>
    <n v="9.465753424657533"/>
    <n v="4.465753424657534"/>
    <s v="Modified Gross"/>
    <s v="None"/>
    <s v="None"/>
    <n v="1200000"/>
    <n v="171.4285714285714"/>
    <n v="0.0915"/>
    <m/>
    <d v="2016-12-26T00:00:00"/>
    <x v="1195"/>
    <s v="M&amp;M; Justin Fenn"/>
    <x v="850"/>
    <s v="CA"/>
    <s v="Private"/>
    <m/>
    <m/>
    <m/>
    <s v=" "/>
    <s v=" "/>
    <m/>
    <s v=" "/>
    <s v=" "/>
    <s v=" "/>
    <m/>
    <s v=" "/>
  </r>
  <r>
    <s v="LIN18554"/>
    <s v="AOC/Federal Bankruptcy Court"/>
    <s v="Federal"/>
    <s v="Fee Simple"/>
    <s v="401 S Michigan St"/>
    <s v="South Bend"/>
    <s v="IN"/>
    <n v="1.54"/>
    <n v="1996"/>
    <n v="30119"/>
    <n v="30119"/>
    <n v="1"/>
    <n v="811755.62"/>
    <n v="26.95161260334008"/>
    <n v="544179"/>
    <n v="18.06763172748099"/>
    <d v="2012-03-01T00:00:00"/>
    <d v="2027-02-28T00:00:00"/>
    <d v="2022-02-28T00:00:00"/>
    <n v="10.18904109589041"/>
    <n v="5.186301369863013"/>
    <s v="Modified Gross"/>
    <s v="None"/>
    <s v="None"/>
    <n v="8000000"/>
    <n v="265.6130681629536"/>
    <n v="0.068022375"/>
    <m/>
    <d v="2016-12-23T00:00:00"/>
    <x v="1196"/>
    <s v="C&amp;W; Travis Trautvetter"/>
    <x v="3"/>
    <s v="DC"/>
    <s v="REIT"/>
    <m/>
    <m/>
    <m/>
    <s v=" "/>
    <s v=" "/>
    <m/>
    <s v=" "/>
    <s v=" "/>
    <s v=" "/>
    <m/>
    <s v=" "/>
  </r>
  <r>
    <s v="LPA12189"/>
    <s v="SSA"/>
    <s v="Federal"/>
    <s v="Fee Simple"/>
    <s v="134 S 4th St"/>
    <s v="Easton"/>
    <s v="PA"/>
    <n v="0.87"/>
    <n v="2005"/>
    <n v="10072"/>
    <n v="10072"/>
    <n v="1"/>
    <n v="286332.16"/>
    <n v="28.42853057982526"/>
    <n v="177748"/>
    <n v="17.64773629864972"/>
    <d v="2016-09-01T00:00:00"/>
    <d v="2026-08-31T00:00:00"/>
    <d v="2021-09-01T00:00:00"/>
    <n v="9.695890410958905"/>
    <n v="4.695890410958904"/>
    <s v="Modified Gross"/>
    <s v="None"/>
    <s v="None"/>
    <n v="2019860"/>
    <n v="200.5420969023034"/>
    <n v="0.08800015842682166"/>
    <m/>
    <d v="2016-12-22T00:00:00"/>
    <x v="1197"/>
    <s v="Colliers; Algatt"/>
    <x v="851"/>
    <s v="PA"/>
    <s v="Private"/>
    <s v="SVN; Genay"/>
    <m/>
    <m/>
    <s v=" "/>
    <s v=" "/>
    <m/>
    <s v=" "/>
    <s v=" "/>
    <s v=" "/>
    <m/>
    <s v=" "/>
  </r>
  <r>
    <s v="LVA02035"/>
    <s v="DOJ"/>
    <s v="Federal"/>
    <s v="Fee Simple"/>
    <s v="7980 Science Applications Ct"/>
    <s v="Vienna"/>
    <s v="VA"/>
    <m/>
    <m/>
    <n v="79890"/>
    <n v="279450"/>
    <n v="0.2858829844337091"/>
    <n v="3052777.87"/>
    <n v="38.21226523970459"/>
    <n v="7545600"/>
    <n v="27.00161030595813"/>
    <d v="2008-10-09T00:00:00"/>
    <d v="2021-10-07T00:00:00"/>
    <d v="2021-10-07T00:00:00"/>
    <n v="4.794520547945205"/>
    <n v="4.794520547945205"/>
    <m/>
    <m/>
    <m/>
    <n v="96000000"/>
    <n v="343.5319377348363"/>
    <n v="0.0786"/>
    <m/>
    <d v="2016-12-22T00:00:00"/>
    <x v="1198"/>
    <s v="C&amp;W; Collins"/>
    <x v="852"/>
    <s v="CA"/>
    <s v="Private"/>
    <m/>
    <m/>
    <m/>
    <s v=" "/>
    <s v=" "/>
    <m/>
    <s v=" "/>
    <s v=" "/>
    <s v=" "/>
    <m/>
    <s v=" "/>
  </r>
  <r>
    <m/>
    <s v="VA/RBO"/>
    <s v="Federal"/>
    <s v="Leasehold"/>
    <s v="6437 Garners Ferry Rd"/>
    <s v="Columbia"/>
    <s v="SC"/>
    <m/>
    <n v="2009"/>
    <n v="138704"/>
    <n v="138704"/>
    <n v="1"/>
    <m/>
    <s v=" "/>
    <n v="1823715"/>
    <n v="13.14825095166686"/>
    <d v="2009-05-18T00:00:00"/>
    <d v="2024-05-17T00:00:00"/>
    <d v="2024-05-17T00:00:00"/>
    <n v="7.408219178082192"/>
    <n v="7.408219178082192"/>
    <s v="Modified Gross"/>
    <s v="None"/>
    <s v="1, 5 year"/>
    <n v="25650000"/>
    <n v="184.9261737224593"/>
    <n v="0.0711"/>
    <m/>
    <d v="2016-12-21T00:00:00"/>
    <x v="655"/>
    <s v="Colliers; Cottle &amp; Kennedy"/>
    <x v="1"/>
    <s v="IL"/>
    <s v="Private"/>
    <m/>
    <m/>
    <m/>
    <s v=" "/>
    <s v=" "/>
    <m/>
    <s v=" "/>
    <s v=" "/>
    <s v=" "/>
    <m/>
    <s v=" "/>
  </r>
  <r>
    <s v="LGA62679"/>
    <s v="USGS"/>
    <s v="Federal"/>
    <s v="Fee Simple"/>
    <s v="1890 Fletcher Road"/>
    <s v="Tifton"/>
    <s v="GA"/>
    <n v="3.45"/>
    <n v="1988"/>
    <n v="6000"/>
    <n v="6000"/>
    <n v="1"/>
    <n v="113631.05"/>
    <n v="18.93850833333333"/>
    <n v="87165"/>
    <n v="14.5275"/>
    <d v="2015-10-01T00:00:00"/>
    <d v="2030-09-30T00:00:00"/>
    <d v="2025-10-01T00:00:00"/>
    <n v="13.78356164383562"/>
    <n v="8.783561643835617"/>
    <s v="Modified Gross"/>
    <s v="None"/>
    <s v="None"/>
    <n v="1170000"/>
    <n v="195"/>
    <n v="0.0745"/>
    <m/>
    <d v="2016-12-21T00:00:00"/>
    <x v="1199"/>
    <s v="SIG; "/>
    <x v="853"/>
    <s v="FL"/>
    <s v="Private"/>
    <m/>
    <m/>
    <m/>
    <s v=" "/>
    <s v=" "/>
    <m/>
    <s v=" "/>
    <s v=" "/>
    <s v=" "/>
    <m/>
    <s v=" "/>
  </r>
  <r>
    <m/>
    <s v="WRB"/>
    <s v="State"/>
    <s v="Fee Simple"/>
    <s v="11020 Sun Center Dr"/>
    <s v="Rancho Cordova"/>
    <s v="CA"/>
    <n v="5.87"/>
    <n v="1983"/>
    <n v="63637"/>
    <n v="82896"/>
    <n v="0.7676727465740205"/>
    <m/>
    <s v=" "/>
    <n v="1268813"/>
    <n v="15.30608232001544"/>
    <d v="2003-09-01T00:00:00"/>
    <d v="2023-08-31T00:00:00"/>
    <d v="2023-08-31T00:00:00"/>
    <n v="6.698630136986301"/>
    <n v="6.698630136986301"/>
    <s v="Full Service"/>
    <s v="None"/>
    <s v="None"/>
    <n v="13943000"/>
    <n v="168.1987068133565"/>
    <n v="0.091"/>
    <m/>
    <d v="2016-12-20T00:00:00"/>
    <x v="1200"/>
    <s v="C&amp;W; Thomas"/>
    <x v="790"/>
    <s v="MA"/>
    <s v="REIT"/>
    <m/>
    <m/>
    <m/>
    <s v=" "/>
    <s v=" "/>
    <m/>
    <s v=" "/>
    <s v=" "/>
    <s v=" "/>
    <d v="2016-06-09T00:00:00"/>
    <n v="194"/>
  </r>
  <r>
    <m/>
    <s v="FS"/>
    <s v="Federal"/>
    <s v="Fee Simple"/>
    <s v="1711 S Main St"/>
    <s v="Yreka"/>
    <s v="CA"/>
    <n v="2.6"/>
    <n v="2011"/>
    <n v="19900"/>
    <n v="19900"/>
    <n v="1"/>
    <n v="636203"/>
    <n v="31.97"/>
    <n v="577500"/>
    <n v="29.02010050251256"/>
    <d v="2001-11-01T00:00:00"/>
    <d v="2021-12-31T00:00:00"/>
    <d v="2021-12-31T00:00:00"/>
    <n v="5.032876712328767"/>
    <n v="5.032876712328767"/>
    <s v="Modified Gross"/>
    <s v="None"/>
    <s v="1, 5 year"/>
    <n v="7950000"/>
    <n v="399.497487437186"/>
    <n v="0.07264150943396226"/>
    <m/>
    <d v="2016-12-20T00:00:00"/>
    <x v="223"/>
    <s v="Direct"/>
    <x v="1"/>
    <s v="IL"/>
    <s v="Private"/>
    <m/>
    <m/>
    <m/>
    <s v=" "/>
    <s v=" "/>
    <m/>
    <s v=" "/>
    <s v=" "/>
    <s v=" "/>
    <m/>
    <s v=" "/>
  </r>
  <r>
    <s v="LOR07337"/>
    <s v="FWS"/>
    <s v="Federal"/>
    <s v="Fee Simple"/>
    <s v="2600 SE 98TH AVE"/>
    <s v="Portland"/>
    <s v="OR"/>
    <n v="1.94"/>
    <n v="1990"/>
    <n v="13603"/>
    <n v="29312"/>
    <n v="0.4640761462882096"/>
    <n v="600845"/>
    <n v="44.17003602146585"/>
    <n v="429543"/>
    <n v="14.65416894104803"/>
    <d v="2012-02-01T00:00:00"/>
    <d v="2017-01-31T00:00:00"/>
    <m/>
    <n v="0.1287671232876712"/>
    <s v=" "/>
    <s v="Modified Gross"/>
    <m/>
    <s v="None"/>
    <n v="5800000"/>
    <n v="197.8711790393013"/>
    <n v="0.07405913793103448"/>
    <m/>
    <d v="2016-12-15T00:00:00"/>
    <x v="1201"/>
    <s v="Norris &amp; Stevens"/>
    <x v="854"/>
    <s v="OR"/>
    <s v="Private"/>
    <m/>
    <m/>
    <m/>
    <s v=" "/>
    <s v=" "/>
    <m/>
    <s v=" "/>
    <s v=" "/>
    <s v=" "/>
    <m/>
    <s v=" "/>
  </r>
  <r>
    <s v="LAR16244"/>
    <s v="SSA"/>
    <s v="Federal"/>
    <s v="Fee Simple"/>
    <s v="3511 Market St"/>
    <s v="Pine Bluff"/>
    <s v="AR"/>
    <n v="1.98"/>
    <n v="2008"/>
    <n v="13792"/>
    <n v="13792"/>
    <n v="1"/>
    <n v="273090.53"/>
    <n v="19.80064747679815"/>
    <n v="162000"/>
    <n v="11.74593967517401"/>
    <d v="2008-08-21T00:00:00"/>
    <d v="2023-08-20T00:00:00"/>
    <d v="2018-08-20T00:00:00"/>
    <n v="6.698630136986301"/>
    <n v="1.695890410958904"/>
    <s v="Modified Gross"/>
    <s v="None"/>
    <s v="None"/>
    <n v="1820000"/>
    <n v="131.9605568445476"/>
    <n v="0.08901098901098901"/>
    <m/>
    <d v="2016-12-09T00:00:00"/>
    <x v="1202"/>
    <s v="SJC; Corriston"/>
    <x v="855"/>
    <s v="AR"/>
    <s v="Private"/>
    <m/>
    <m/>
    <n v="2020000"/>
    <n v="0.0801980198019802"/>
    <n v="0.900990099009901"/>
    <n v="2020000"/>
    <n v="0.0801980198019802"/>
    <n v="0.008812969209008814"/>
    <s v="No"/>
    <d v="2016-07-09T00:00:00"/>
    <n v="153"/>
  </r>
  <r>
    <s v="LAZ03321"/>
    <s v="FBI"/>
    <s v="Federal"/>
    <s v="Fee Simple"/>
    <s v="775 E 39th St"/>
    <s v="Yuma"/>
    <s v="AZ"/>
    <n v="0.97"/>
    <n v="2003"/>
    <n v="9100"/>
    <n v="9100"/>
    <n v="1"/>
    <n v="256804"/>
    <n v="28.22021978021978"/>
    <n v="150205"/>
    <n v="16.50604395604396"/>
    <d v="2015-11-18T00:00:00"/>
    <d v="2027-11-17T00:00:00"/>
    <d v="2022-11-19T00:00:00"/>
    <n v="10.94794520547945"/>
    <n v="5.950684931506849"/>
    <s v="Modified Gross"/>
    <m/>
    <s v="None"/>
    <n v="2025000"/>
    <n v="222.5274725274725"/>
    <n v="0.07417530864197532"/>
    <m/>
    <d v="2016-12-08T00:00:00"/>
    <x v="1203"/>
    <s v="CBRE"/>
    <x v="856"/>
    <s v="AZ"/>
    <s v="Private"/>
    <m/>
    <m/>
    <m/>
    <s v=" "/>
    <s v=" "/>
    <m/>
    <s v=" "/>
    <s v=" "/>
    <s v=" "/>
    <m/>
    <s v=" "/>
  </r>
  <r>
    <m/>
    <s v="USPS"/>
    <s v="Federal"/>
    <s v="Fee Simple"/>
    <s v="2807 W FM 544"/>
    <s v="Wylie"/>
    <s v="TX"/>
    <n v="0.45"/>
    <n v="2001"/>
    <n v="4644"/>
    <n v="4644"/>
    <n v="1"/>
    <m/>
    <s v=" "/>
    <n v="75235"/>
    <n v="16.2004737295435"/>
    <m/>
    <m/>
    <m/>
    <s v=" "/>
    <s v=" "/>
    <m/>
    <m/>
    <m/>
    <n v="1025000"/>
    <n v="220.7149009474591"/>
    <n v="0.07340000000000001"/>
    <m/>
    <d v="2016-12-06T00:00:00"/>
    <x v="1186"/>
    <s v="Hanley"/>
    <x v="857"/>
    <s v="TX"/>
    <s v="Private"/>
    <s v="TCP; Harrison"/>
    <m/>
    <n v="1075000"/>
    <n v="0.0699860465116279"/>
    <n v="0.9534883720930233"/>
    <n v="1075000"/>
    <n v="0.0699860465116279"/>
    <n v="0.003413953488372104"/>
    <s v="No"/>
    <d v="2016-03-11T00:00:00"/>
    <n v="270"/>
  </r>
  <r>
    <m/>
    <s v="VA"/>
    <s v="Federal"/>
    <s v="Fee Simple"/>
    <s v="209 W Fayette St"/>
    <s v="Baltimore"/>
    <s v="MD"/>
    <m/>
    <n v="1984"/>
    <n v="68121"/>
    <n v="68121"/>
    <n v="1"/>
    <m/>
    <s v=" "/>
    <n v="993475.0000000001"/>
    <n v="14.58397557287767"/>
    <m/>
    <d v="2021-07-31T00:00:00"/>
    <d v="2021-07-31T00:00:00"/>
    <n v="4.663013698630137"/>
    <n v="4.663013698630137"/>
    <s v="Full Service"/>
    <m/>
    <s v="None"/>
    <n v="12250000"/>
    <n v="179.8270724152611"/>
    <n v="0.08110000000000001"/>
    <m/>
    <d v="2016-12-02T00:00:00"/>
    <x v="1204"/>
    <s v="M&amp;M"/>
    <x v="858"/>
    <m/>
    <s v="Private"/>
    <m/>
    <m/>
    <m/>
    <s v=" "/>
    <s v=" "/>
    <m/>
    <s v=" "/>
    <s v=" "/>
    <s v=" "/>
    <m/>
    <s v=" "/>
  </r>
  <r>
    <s v="LIA40003"/>
    <s v="SSA"/>
    <s v="Federal"/>
    <s v="Fee Simple"/>
    <s v="1605-1635 Associates Dr"/>
    <s v="Dubuque"/>
    <s v="IA"/>
    <n v="3.57"/>
    <n v="2001"/>
    <n v="6900"/>
    <n v="35840"/>
    <n v="0.1925223214285714"/>
    <n v="153205"/>
    <n v="22.2036231884058"/>
    <m/>
    <s v=" "/>
    <d v="2018-07-01T00:00:00"/>
    <d v="2028-06-30T00:00:00"/>
    <d v="2028-06-30T00:00:00"/>
    <n v="11.58904109589041"/>
    <n v="11.58904109589041"/>
    <s v="Modified Gross"/>
    <s v="None"/>
    <s v="None"/>
    <n v="4500000"/>
    <n v="125.5580357142857"/>
    <s v=" "/>
    <m/>
    <d v="2016-11-30T00:00:00"/>
    <x v="1205"/>
    <m/>
    <x v="859"/>
    <s v="IA"/>
    <s v="Private"/>
    <m/>
    <m/>
    <m/>
    <s v=" "/>
    <s v=" "/>
    <m/>
    <s v=" "/>
    <s v=" "/>
    <s v=" "/>
    <d v="2016-05-20T00:00:00"/>
    <n v="194"/>
  </r>
  <r>
    <m/>
    <s v="Fannie Mae"/>
    <s v="Federal"/>
    <s v="Leasehold"/>
    <s v="4250 Connecticut Ave NW"/>
    <s v="Washington"/>
    <s v="DC"/>
    <n v="1.51"/>
    <n v="1982"/>
    <n v="175166"/>
    <n v="212717"/>
    <n v="0.8234696803734539"/>
    <m/>
    <s v=" "/>
    <m/>
    <s v=" "/>
    <m/>
    <d v="2029-06-30T00:00:00"/>
    <d v="2029-06-30T00:00:00"/>
    <n v="12.58904109589041"/>
    <n v="12.58904109589041"/>
    <s v="NNN"/>
    <s v="2% annually"/>
    <s v="Yes"/>
    <n v="27800000"/>
    <n v="130.6900717855179"/>
    <s v=" "/>
    <m/>
    <d v="2016-11-30T00:00:00"/>
    <x v="1206"/>
    <s v="C&amp;W; Collins"/>
    <x v="860"/>
    <s v="DC"/>
    <s v="Private"/>
    <m/>
    <m/>
    <m/>
    <s v=" "/>
    <s v=" "/>
    <m/>
    <s v=" "/>
    <s v=" "/>
    <s v=" "/>
    <d v="2015-10-15T00:00:00"/>
    <n v="412"/>
  </r>
  <r>
    <m/>
    <s v="Multi"/>
    <s v="State"/>
    <s v="Fee Simple"/>
    <s v="1750 E 4th St"/>
    <s v="Santa Ana"/>
    <s v="CA"/>
    <n v="2.76"/>
    <n v="1994"/>
    <n v="244865"/>
    <n v="244865"/>
    <n v="1"/>
    <m/>
    <s v=" "/>
    <n v="3840000"/>
    <n v="15.68211055071162"/>
    <m/>
    <m/>
    <m/>
    <s v=" "/>
    <s v=" "/>
    <m/>
    <m/>
    <m/>
    <n v="64000000"/>
    <n v="261.3685091785269"/>
    <n v="0.06"/>
    <m/>
    <d v="2016-11-26T00:00:00"/>
    <x v="1207"/>
    <s v="JLL; White"/>
    <x v="1"/>
    <s v="IL"/>
    <s v="Private"/>
    <m/>
    <m/>
    <m/>
    <s v=" "/>
    <s v=" "/>
    <m/>
    <s v=" "/>
    <s v=" "/>
    <s v=" "/>
    <m/>
    <s v=" "/>
  </r>
  <r>
    <s v="LNY22918"/>
    <s v="FBI"/>
    <s v="Federal"/>
    <s v="Fee Simple"/>
    <s v="200 Mccarty Ave"/>
    <s v="Albany"/>
    <s v="NY"/>
    <n v="8.09"/>
    <n v="1998"/>
    <n v="98184"/>
    <n v="98184"/>
    <n v="1"/>
    <n v="1831220.96"/>
    <n v="18.65091012792308"/>
    <n v="1519050"/>
    <n v="15.47146174529455"/>
    <d v="1998-09-29T00:00:00"/>
    <d v="2018-09-28T00:00:00"/>
    <d v="2018-03-31T00:00:00"/>
    <n v="1.849315068493151"/>
    <n v="1.353424657534247"/>
    <s v="Modified Gross"/>
    <s v="None"/>
    <s v="None"/>
    <n v="19500000"/>
    <n v="198.6066976289416"/>
    <n v="0.0779"/>
    <m/>
    <d v="2016-11-22T00:00:00"/>
    <x v="461"/>
    <s v="Direct"/>
    <x v="3"/>
    <s v="DC"/>
    <s v="REIT"/>
    <m/>
    <m/>
    <m/>
    <s v=" "/>
    <s v=" "/>
    <m/>
    <s v=" "/>
    <s v=" "/>
    <s v=" "/>
    <m/>
    <s v=" "/>
  </r>
  <r>
    <m/>
    <s v="Multi"/>
    <s v="State"/>
    <s v="Fee Simple"/>
    <s v="35-45 Shawmut Rd"/>
    <s v="Canton"/>
    <s v="MA"/>
    <n v="10.65"/>
    <m/>
    <m/>
    <n v="119405"/>
    <s v=" "/>
    <m/>
    <s v=" "/>
    <m/>
    <s v=" "/>
    <m/>
    <m/>
    <m/>
    <s v=" "/>
    <s v=" "/>
    <m/>
    <m/>
    <m/>
    <n v="13000000"/>
    <n v="108.8731627653783"/>
    <s v=" "/>
    <m/>
    <d v="2016-11-22T00:00:00"/>
    <x v="1208"/>
    <m/>
    <x v="861"/>
    <s v="MA"/>
    <s v="Private"/>
    <m/>
    <m/>
    <m/>
    <s v=" "/>
    <s v=" "/>
    <m/>
    <s v=" "/>
    <s v=" "/>
    <s v=" "/>
    <m/>
    <s v=" "/>
  </r>
  <r>
    <m/>
    <s v="VA"/>
    <s v="Federal"/>
    <s v="Fee Simple"/>
    <s v="7901 Metropolis Dr"/>
    <s v="Austin"/>
    <s v="TX"/>
    <n v="35"/>
    <n v="2013"/>
    <n v="275000"/>
    <n v="275000"/>
    <n v="1"/>
    <n v="11976472"/>
    <n v="43.55080727272728"/>
    <n v="8532023"/>
    <n v="31.02553818181818"/>
    <d v="2013-02-26T00:00:00"/>
    <d v="2033-02-26T00:00:00"/>
    <d v="2033-02-26T00:00:00"/>
    <n v="16.28493150684931"/>
    <n v="16.28493150684931"/>
    <s v="Full Service"/>
    <s v="Flat"/>
    <s v="None"/>
    <n v="160000000"/>
    <n v="581.8181818181819"/>
    <n v="0.05332514375"/>
    <m/>
    <d v="2016-11-18T00:00:00"/>
    <x v="1209"/>
    <s v="SJC; Butler"/>
    <x v="862"/>
    <s v="CA"/>
    <s v="Private"/>
    <m/>
    <m/>
    <m/>
    <s v=" "/>
    <s v=" "/>
    <m/>
    <s v=" "/>
    <s v=" "/>
    <s v=" "/>
    <m/>
    <s v=" "/>
  </r>
  <r>
    <m/>
    <s v="Multi"/>
    <s v="Federal"/>
    <s v="Fee Simple"/>
    <s v="2300 Main St"/>
    <s v="Kansas City"/>
    <s v="MO"/>
    <n v="3.71"/>
    <n v="1986"/>
    <n v="272810"/>
    <n v="513998"/>
    <n v="0.530760820081012"/>
    <m/>
    <s v=" "/>
    <m/>
    <s v=" "/>
    <m/>
    <m/>
    <m/>
    <s v=" "/>
    <s v=" "/>
    <m/>
    <m/>
    <m/>
    <n v="35000000"/>
    <n v="68.09365016984502"/>
    <s v=" "/>
    <m/>
    <d v="2016-11-17T00:00:00"/>
    <x v="1210"/>
    <s v="CBRE; Anderson"/>
    <x v="863"/>
    <s v="MO"/>
    <s v="Institutional"/>
    <m/>
    <m/>
    <m/>
    <s v=" "/>
    <s v=" "/>
    <m/>
    <s v=" "/>
    <s v=" "/>
    <s v=" "/>
    <d v="2015-11-17T00:00:00"/>
    <n v="366"/>
  </r>
  <r>
    <m/>
    <s v="VA"/>
    <s v="Federal"/>
    <s v="Fee Simple"/>
    <s v="250 N Arcadia Ave"/>
    <s v="Decatur"/>
    <s v="GA"/>
    <n v="14.51"/>
    <m/>
    <n v="102354"/>
    <n v="102354"/>
    <n v="1"/>
    <m/>
    <s v=" "/>
    <m/>
    <s v=" "/>
    <m/>
    <m/>
    <m/>
    <s v=" "/>
    <s v=" "/>
    <m/>
    <m/>
    <m/>
    <n v="63076736"/>
    <n v="616.2605858100319"/>
    <s v=" "/>
    <s v="ZCF"/>
    <d v="2016-11-10T00:00:00"/>
    <x v="1211"/>
    <s v="C&amp;W; Trautvetter"/>
    <x v="119"/>
    <s v="NH"/>
    <s v="Private"/>
    <m/>
    <m/>
    <m/>
    <s v=" "/>
    <s v=" "/>
    <m/>
    <s v=" "/>
    <s v=" "/>
    <s v=" "/>
    <m/>
    <s v=" "/>
  </r>
  <r>
    <s v="LMD02171"/>
    <s v="FDA"/>
    <s v="Federal"/>
    <s v="Fee Simple"/>
    <s v="1451 Rockville Pike"/>
    <s v="Rockville"/>
    <s v="MD"/>
    <n v="2.49"/>
    <n v="1983"/>
    <n v="44761"/>
    <n v="105733"/>
    <n v="0.4233399222570058"/>
    <m/>
    <s v=" "/>
    <n v="2160000"/>
    <n v="20.42881597987383"/>
    <d v="2011-02-04T00:00:00"/>
    <d v="2021-02-03T00:00:00"/>
    <d v="2021-02-03T00:00:00"/>
    <n v="4.252054794520548"/>
    <n v="4.252054794520548"/>
    <s v="Modified Gross"/>
    <s v="None"/>
    <s v="None"/>
    <n v="24000000"/>
    <n v="226.9868442208204"/>
    <n v="0.09"/>
    <m/>
    <d v="2016-11-04T00:00:00"/>
    <x v="807"/>
    <s v="C&amp;W"/>
    <x v="141"/>
    <s v="DC"/>
    <s v="Private"/>
    <m/>
    <m/>
    <m/>
    <s v=" "/>
    <s v=" "/>
    <m/>
    <s v=" "/>
    <s v=" "/>
    <s v=" "/>
    <m/>
    <s v=" "/>
  </r>
  <r>
    <s v="LMS62601"/>
    <s v="ACOE"/>
    <s v="Federal"/>
    <s v="Fee Simple"/>
    <s v="4155 Clay St"/>
    <s v="Vicksburg"/>
    <s v="MS"/>
    <n v="17.17"/>
    <n v="1996"/>
    <n v="199404"/>
    <n v="199404"/>
    <n v="1"/>
    <m/>
    <s v=" "/>
    <n v="2560400"/>
    <n v="12.84026398668031"/>
    <d v="2016-08-01T00:00:00"/>
    <d v="2028-07-31T00:00:00"/>
    <d v="2028-07-31T00:00:00"/>
    <n v="11.75342465753425"/>
    <n v="11.75342465753425"/>
    <s v="Modified Gross"/>
    <s v="None"/>
    <s v="None"/>
    <n v="37000000"/>
    <n v="185.5529477843975"/>
    <n v="0.0692"/>
    <m/>
    <d v="2016-11-01T00:00:00"/>
    <x v="991"/>
    <s v="C&amp;W; Trautvetter"/>
    <x v="2"/>
    <s v="VA"/>
    <s v="Private"/>
    <m/>
    <m/>
    <m/>
    <s v=" "/>
    <s v=" "/>
    <m/>
    <s v=" "/>
    <s v=" "/>
    <s v=" "/>
    <m/>
    <s v=" "/>
  </r>
  <r>
    <s v="LGA62173"/>
    <s v="SSA"/>
    <s v="Federal"/>
    <s v="Fee Simple"/>
    <s v="303 Isabella St"/>
    <s v="Waycross"/>
    <s v="GA"/>
    <n v="0.49"/>
    <n v="1974"/>
    <n v="13952"/>
    <n v="13952"/>
    <n v="1"/>
    <n v="267171.69"/>
    <n v="19.14934704701835"/>
    <n v="205090"/>
    <n v="14.69968463302752"/>
    <d v="2013-07-01T00:00:00"/>
    <d v="2023-06-30T00:00:00"/>
    <d v="2018-07-01T00:00:00"/>
    <n v="6.665753424657535"/>
    <n v="1.665753424657534"/>
    <s v="Modified Gross"/>
    <s v="None"/>
    <s v="None"/>
    <n v="1860000"/>
    <n v="133.3142201834862"/>
    <n v="0.1102634408602151"/>
    <m/>
    <d v="2016-10-31T00:00:00"/>
    <x v="1212"/>
    <s v="SJC; Corriston"/>
    <x v="84"/>
    <s v="IL"/>
    <s v="Private"/>
    <m/>
    <m/>
    <m/>
    <s v=" "/>
    <s v=" "/>
    <m/>
    <s v=" "/>
    <s v=" "/>
    <s v=" "/>
    <m/>
    <s v=" "/>
  </r>
  <r>
    <s v="LMD02179"/>
    <s v="NCI"/>
    <s v="Federal"/>
    <s v="Leasehold"/>
    <s v="9707 Medical Center Dr"/>
    <s v="Rockville"/>
    <s v="MD"/>
    <n v="10.55"/>
    <n v="2013"/>
    <n v="574614"/>
    <n v="574614"/>
    <n v="1"/>
    <n v="19826604.1"/>
    <n v="34.50421343719437"/>
    <n v="16259625"/>
    <n v="28.29660432916706"/>
    <d v="2013-02-07T00:00:00"/>
    <d v="2023-02-06T00:00:00"/>
    <d v="2023-02-06T00:00:00"/>
    <n v="6.30958904109589"/>
    <n v="6.30958904109589"/>
    <s v="Modified Gross"/>
    <s v="None"/>
    <s v="None"/>
    <n v="260154000"/>
    <n v="452.7456692666729"/>
    <n v="0.0625"/>
    <m/>
    <d v="2016-10-17T00:00:00"/>
    <x v="1213"/>
    <m/>
    <x v="242"/>
    <s v="TX"/>
    <s v="Institutional"/>
    <m/>
    <m/>
    <m/>
    <s v=" "/>
    <s v=" "/>
    <m/>
    <s v=" "/>
    <s v=" "/>
    <s v=" "/>
    <m/>
    <s v=" "/>
  </r>
  <r>
    <m/>
    <s v="DOJ"/>
    <s v="State"/>
    <s v="Fee Simple"/>
    <s v="2931 Fallon Dr"/>
    <s v="Sherman"/>
    <s v="TX"/>
    <n v="0.85"/>
    <n v="2015"/>
    <n v="5242"/>
    <n v="5242"/>
    <n v="1"/>
    <n v="90999"/>
    <n v="17.35959557420832"/>
    <n v="72753"/>
    <n v="13.8788630293781"/>
    <d v="2014-12-01T00:00:00"/>
    <d v="2025-11-30T00:00:00"/>
    <d v="2014-12-31T00:00:00"/>
    <n v="9.139726027397261"/>
    <n v="-1.783561643835616"/>
    <s v="Full Service"/>
    <s v="25% of CPI annually"/>
    <s v="None"/>
    <n v="920000"/>
    <n v="175.5055322396032"/>
    <n v="0.07907934782608696"/>
    <m/>
    <d v="2016-10-12T00:00:00"/>
    <x v="8"/>
    <s v="CIA; Zahn"/>
    <x v="0"/>
    <m/>
    <m/>
    <m/>
    <m/>
    <n v="965000"/>
    <n v="0.07539170984455959"/>
    <n v="0.9533678756476683"/>
    <n v="965000"/>
    <n v="0.07539170984455959"/>
    <n v="0.003687637981527367"/>
    <s v="No"/>
    <d v="2016-05-20T00:00:00"/>
    <n v="145"/>
  </r>
  <r>
    <s v="LAZ02974"/>
    <s v="SSA"/>
    <s v="Federal"/>
    <s v="Fee Simple"/>
    <s v="3808 N 1st Ave"/>
    <s v="Tucson"/>
    <s v="AZ"/>
    <n v="2.25"/>
    <n v="2014"/>
    <n v="19140"/>
    <n v="19140"/>
    <n v="1"/>
    <n v="554372.3100000001"/>
    <n v="28.96407053291536"/>
    <n v="451500"/>
    <n v="23.58934169278997"/>
    <d v="2014-04-17T00:00:00"/>
    <d v="2029-04-16T00:00:00"/>
    <d v="2024-04-17T00:00:00"/>
    <n v="12.51780821917808"/>
    <n v="7.517808219178082"/>
    <s v="Modified Gross"/>
    <s v="None"/>
    <s v="None"/>
    <n v="6950000"/>
    <n v="363.1138975966562"/>
    <n v="0.06496402877697842"/>
    <m/>
    <d v="2016-10-12T00:00:00"/>
    <x v="681"/>
    <s v="C&amp;W; Travis Trautvetter"/>
    <x v="864"/>
    <s v="CA"/>
    <s v="Private"/>
    <s v="Eric Strauss"/>
    <s v="Imperial Group"/>
    <n v="7000000"/>
    <n v="0.0645"/>
    <n v="0.9928571428571429"/>
    <n v="7000000"/>
    <n v="0.0645"/>
    <n v="0.0004640287769784174"/>
    <s v="No"/>
    <d v="2015-11-13T00:00:00"/>
    <n v="334"/>
  </r>
  <r>
    <m/>
    <s v="VA"/>
    <s v="Federal"/>
    <s v="Fee Simple"/>
    <s v="5788 Eckhert Rd"/>
    <s v="San Antonio"/>
    <s v="TX"/>
    <n v="4.86"/>
    <n v="1998"/>
    <n v="63514"/>
    <n v="63514"/>
    <n v="1"/>
    <m/>
    <s v=" "/>
    <m/>
    <s v=" "/>
    <m/>
    <d v="2021-11-30T00:00:00"/>
    <d v="2021-11-30T00:00:00"/>
    <n v="5.167123287671233"/>
    <n v="5.167123287671233"/>
    <s v="Full Service"/>
    <s v="None"/>
    <s v="None"/>
    <n v="7000000"/>
    <n v="110.2119217810247"/>
    <s v=" "/>
    <m/>
    <d v="2016-10-01T00:00:00"/>
    <x v="921"/>
    <m/>
    <x v="849"/>
    <s v="TX"/>
    <s v="Private"/>
    <m/>
    <m/>
    <m/>
    <s v=" "/>
    <s v=" "/>
    <m/>
    <s v=" "/>
    <s v=" "/>
    <s v=" "/>
    <m/>
    <s v=" "/>
  </r>
  <r>
    <s v="LID06885"/>
    <s v="SSA"/>
    <s v="Federal"/>
    <s v="Fee Simple"/>
    <s v="1118 S Kimball Ave"/>
    <s v="Caldwell"/>
    <s v="ID"/>
    <n v="0.34"/>
    <n v="1977"/>
    <n v="7094"/>
    <n v="7094"/>
    <n v="1"/>
    <n v="196789.46"/>
    <n v="27.74026783197068"/>
    <n v="121410"/>
    <n v="17.11446292641669"/>
    <d v="2011-11-22T00:00:00"/>
    <d v="2021-11-21T00:00:00"/>
    <d v="2021-11-21T00:00:00"/>
    <n v="5.145205479452055"/>
    <n v="5.145205479452055"/>
    <s v="Modified Gross"/>
    <s v="None"/>
    <s v="1, 5 year"/>
    <n v="1125000"/>
    <n v="158.5847194812518"/>
    <n v="0.10792"/>
    <m/>
    <d v="2016-09-30T00:00:00"/>
    <x v="1214"/>
    <s v="Michner"/>
    <x v="496"/>
    <s v="MT"/>
    <s v="Private"/>
    <s v="BW; Wells"/>
    <m/>
    <n v="1485000"/>
    <n v="0.08175757575757575"/>
    <n v="0.7575757575757576"/>
    <n v="1349000"/>
    <n v="0.09"/>
    <n v="0.01792000000000001"/>
    <s v="Yes"/>
    <d v="2014-10-03T00:00:00"/>
    <n v="728"/>
  </r>
  <r>
    <s v="LVA12127"/>
    <s v="SSA"/>
    <s v="Federal"/>
    <s v="Fee Simple"/>
    <s v="323 Hope Drive"/>
    <s v="Winchester"/>
    <s v="VA"/>
    <m/>
    <n v="2009"/>
    <n v="7400"/>
    <n v="21000"/>
    <n v="0.3523809523809524"/>
    <n v="196445.91"/>
    <n v="26.5467445945946"/>
    <n v="245000"/>
    <n v="11.66666666666667"/>
    <d v="2016-01-01T00:00:00"/>
    <d v="2025-12-31T00:00:00"/>
    <d v="2021-01-01T00:00:00"/>
    <n v="9.257534246575343"/>
    <n v="4.257534246575342"/>
    <s v="FS"/>
    <m/>
    <s v="None"/>
    <n v="3500000"/>
    <n v="166.6666666666667"/>
    <n v="0.07000000000000001"/>
    <m/>
    <d v="2016-09-30T00:00:00"/>
    <x v="1215"/>
    <s v="Oak Crest"/>
    <x v="865"/>
    <s v="VA"/>
    <s v="Private"/>
    <m/>
    <m/>
    <m/>
    <s v=" "/>
    <s v=" "/>
    <m/>
    <s v=" "/>
    <s v=" "/>
    <s v=" "/>
    <m/>
    <s v=" "/>
  </r>
  <r>
    <m/>
    <s v="USPS"/>
    <s v="Federal"/>
    <s v="Fee Simple"/>
    <s v="19763 Highway 70 E"/>
    <s v="Heth"/>
    <s v="AR"/>
    <n v="0.37"/>
    <m/>
    <n v="1400"/>
    <n v="1400"/>
    <n v="1"/>
    <m/>
    <s v=" "/>
    <n v="13000"/>
    <n v="9.285714285714286"/>
    <m/>
    <m/>
    <m/>
    <s v=" "/>
    <s v=" "/>
    <m/>
    <m/>
    <m/>
    <n v="175000"/>
    <n v="125"/>
    <n v="0.07428571428571429"/>
    <m/>
    <d v="2016-09-29T00:00:00"/>
    <x v="1216"/>
    <s v="TCP; Harrison"/>
    <x v="866"/>
    <s v="UT"/>
    <s v="Private"/>
    <m/>
    <m/>
    <m/>
    <s v=" "/>
    <s v=" "/>
    <m/>
    <s v=" "/>
    <s v=" "/>
    <s v=" "/>
    <d v="2016-08-09T00:00:00"/>
    <n v="51"/>
  </r>
  <r>
    <m/>
    <s v="HSD"/>
    <s v="State"/>
    <s v="Fee Simple"/>
    <s v="1010 18th St NW"/>
    <s v="Albuquerque"/>
    <s v="NM"/>
    <n v="2.3"/>
    <n v="2005"/>
    <n v="25267"/>
    <n v="25267"/>
    <n v="1"/>
    <m/>
    <s v=" "/>
    <n v="287066"/>
    <n v="11.36130130209364"/>
    <m/>
    <d v="2024-12-31T00:00:00"/>
    <d v="2024-12-31T00:00:00"/>
    <n v="8.268493150684931"/>
    <n v="8.268493150684931"/>
    <s v="Full Service"/>
    <s v="None"/>
    <s v="2, 5 yr"/>
    <n v="3500000"/>
    <n v="138.5205999920845"/>
    <n v="0.08201885714285714"/>
    <m/>
    <d v="2016-09-26T00:00:00"/>
    <x v="1217"/>
    <s v="CBRE; Jenkins"/>
    <x v="867"/>
    <s v="TX"/>
    <s v="Private"/>
    <s v="NAI; Diller"/>
    <m/>
    <n v="3700000"/>
    <n v="0.0775854054054054"/>
    <n v="0.9459459459459459"/>
    <n v="3700000"/>
    <n v="0.0775854054054054"/>
    <n v="0.004433451737451743"/>
    <s v="No"/>
    <d v="2016-04-07T00:00:00"/>
    <n v="172"/>
  </r>
  <r>
    <m/>
    <s v="USPS"/>
    <s v="Federal"/>
    <s v="Fee Simple"/>
    <s v="417 E Indiana Ave"/>
    <s v="Kiefer"/>
    <s v="OK"/>
    <n v="0.9"/>
    <n v="2005"/>
    <n v="3055"/>
    <n v="3055"/>
    <n v="1"/>
    <m/>
    <s v=" "/>
    <n v="42000"/>
    <n v="13.74795417348609"/>
    <m/>
    <m/>
    <m/>
    <s v=" "/>
    <s v=" "/>
    <m/>
    <m/>
    <m/>
    <m/>
    <s v=" "/>
    <s v=" "/>
    <m/>
    <d v="2016-09-26T00:00:00"/>
    <x v="1218"/>
    <s v="TCP; Harrison"/>
    <x v="0"/>
    <m/>
    <m/>
    <m/>
    <m/>
    <n v="575000"/>
    <n v="0.07304347826086957"/>
    <s v=" "/>
    <n v="575000"/>
    <n v="0.07304347826086957"/>
    <s v=" "/>
    <s v="No"/>
    <d v="2016-01-29T00:00:00"/>
    <n v="241"/>
  </r>
  <r>
    <m/>
    <s v="USPS"/>
    <s v="Federal"/>
    <s v="Fee Simple"/>
    <s v="1020 S Columbus Ave"/>
    <s v="Goldendale"/>
    <s v="WA"/>
    <n v="1"/>
    <n v="1981"/>
    <n v="4116"/>
    <n v="4116"/>
    <n v="1"/>
    <m/>
    <s v=" "/>
    <n v="49275"/>
    <n v="11.97157434402332"/>
    <d v="2011-04-30T00:00:00"/>
    <d v="2021-04-30T00:00:00"/>
    <d v="2016-04-30T00:00:00"/>
    <n v="4.597260273972603"/>
    <n v="-0.4054794520547945"/>
    <m/>
    <m/>
    <m/>
    <n v="650000"/>
    <n v="157.9203109815355"/>
    <n v="0.07580769230769231"/>
    <m/>
    <d v="2016-09-25T00:00:00"/>
    <x v="575"/>
    <s v="KM"/>
    <x v="496"/>
    <s v="MT"/>
    <s v="Private"/>
    <s v="BW; Wells"/>
    <m/>
    <n v="750000"/>
    <n v="0.06569999999999999"/>
    <n v="0.8666666666666667"/>
    <n v="750000"/>
    <n v="0.06569999999999999"/>
    <n v="0.01010769230769232"/>
    <s v="No"/>
    <d v="2016-05-09T00:00:00"/>
    <n v="139"/>
  </r>
  <r>
    <m/>
    <s v="USCIS"/>
    <s v="Federal"/>
    <s v="Fee Simple"/>
    <s v="9360 Ensign Ave S"/>
    <s v="Bloomington"/>
    <s v="MN"/>
    <n v="3.99"/>
    <n v="1986"/>
    <n v="38107"/>
    <n v="38107"/>
    <n v="1"/>
    <m/>
    <s v=" "/>
    <n v="766125"/>
    <n v="20.10457396278899"/>
    <d v="2015-05-01T00:00:00"/>
    <d v="2030-04-30T00:00:00"/>
    <d v="2025-04-30T00:00:00"/>
    <n v="13.61369863013699"/>
    <n v="8.610958904109589"/>
    <s v="Modified Gross"/>
    <s v="None"/>
    <s v="None"/>
    <n v="11350000"/>
    <n v="297.8455401894665"/>
    <n v="0.0675"/>
    <m/>
    <d v="2016-09-21T00:00:00"/>
    <x v="1219"/>
    <m/>
    <x v="1"/>
    <s v="IL"/>
    <s v="Private"/>
    <s v="C&amp;W; Trautvetter"/>
    <m/>
    <m/>
    <s v=" "/>
    <s v=" "/>
    <m/>
    <s v=" "/>
    <s v=" "/>
    <s v=" "/>
    <m/>
    <s v=" "/>
  </r>
  <r>
    <s v="LMN18467"/>
    <s v="USCIS"/>
    <s v="Federal"/>
    <s v="Fee Simple"/>
    <s v="9360 Ensign Ave S"/>
    <s v="Minneapolis"/>
    <s v="MN"/>
    <n v="3.99"/>
    <n v="1986"/>
    <n v="38107"/>
    <n v="38107"/>
    <n v="1"/>
    <n v="980874.1800000001"/>
    <n v="25.74"/>
    <n v="766125"/>
    <n v="20.10457396278899"/>
    <d v="2015-04-08T00:00:00"/>
    <d v="2030-04-07T00:00:00"/>
    <d v="2025-04-07T00:00:00"/>
    <n v="13.55068493150685"/>
    <n v="8.547945205479452"/>
    <s v="FS"/>
    <m/>
    <s v="None"/>
    <n v="11350000"/>
    <n v="297.8455401894665"/>
    <n v="0.0675"/>
    <m/>
    <d v="2016-09-21T00:00:00"/>
    <x v="1219"/>
    <s v="C&amp;W; Trautvetter"/>
    <x v="1"/>
    <s v="IL"/>
    <s v="Private"/>
    <m/>
    <m/>
    <m/>
    <s v=" "/>
    <s v=" "/>
    <m/>
    <s v=" "/>
    <s v=" "/>
    <s v=" "/>
    <m/>
    <s v=" "/>
  </r>
  <r>
    <s v="LNC62514"/>
    <s v="PO"/>
    <s v="Federal"/>
    <s v="Fee Simple"/>
    <s v="350 Jake Alexander Blvd"/>
    <s v="Salisbury"/>
    <s v="NC"/>
    <n v="1.64"/>
    <n v="2002"/>
    <n v="3600"/>
    <n v="6611"/>
    <n v="0.5445469671759189"/>
    <m/>
    <s v=" "/>
    <m/>
    <s v=" "/>
    <d v="2013-11-19T00:00:00"/>
    <d v="2023-11-18T00:00:00"/>
    <d v="2018-11-19T00:00:00"/>
    <n v="7.175342465753425"/>
    <n v="2.175342465753425"/>
    <m/>
    <m/>
    <m/>
    <n v="3388000"/>
    <n v="512.4792013311148"/>
    <s v=" "/>
    <m/>
    <d v="2016-09-16T00:00:00"/>
    <x v="1220"/>
    <m/>
    <x v="868"/>
    <s v="NC"/>
    <s v="Private"/>
    <m/>
    <m/>
    <m/>
    <s v=" "/>
    <s v=" "/>
    <m/>
    <s v=" "/>
    <s v=" "/>
    <s v=" "/>
    <m/>
    <s v=" "/>
  </r>
  <r>
    <s v="LTX17233"/>
    <s v="AOC"/>
    <s v="Federal"/>
    <s v="Fee Simple"/>
    <s v="601 NW Loop 410"/>
    <s v="San Antonio"/>
    <s v="TX"/>
    <n v="6.16"/>
    <n v="1980"/>
    <n v="98596"/>
    <n v="219376"/>
    <n v="0.4494384071183721"/>
    <n v="2383171.59"/>
    <n v="24.17107783277212"/>
    <n v="2605475"/>
    <n v="11.87675497775509"/>
    <d v="2013-05-15T00:00:00"/>
    <d v="2021-05-14T00:00:00"/>
    <d v="2021-05-14T00:00:00"/>
    <n v="4.663013698630137"/>
    <n v="4.663013698630137"/>
    <s v="Modified Gross"/>
    <s v="None"/>
    <s v="None"/>
    <n v="35500000"/>
    <n v="161.8226241703742"/>
    <n v="0.07339366197183099"/>
    <m/>
    <d v="2016-09-15T00:00:00"/>
    <x v="1221"/>
    <s v="HFF"/>
    <x v="869"/>
    <s v="TX"/>
    <s v="Private"/>
    <m/>
    <m/>
    <m/>
    <s v=" "/>
    <s v=" "/>
    <m/>
    <s v=" "/>
    <s v=" "/>
    <s v=" "/>
    <m/>
    <s v=" "/>
  </r>
  <r>
    <m/>
    <s v="UPSPS"/>
    <s v="Federal"/>
    <s v="Fee Simple"/>
    <s v="123 Starr"/>
    <s v="Miltonvale"/>
    <s v="KS"/>
    <m/>
    <n v="1961"/>
    <n v="1848"/>
    <n v="1848"/>
    <n v="1"/>
    <m/>
    <s v=" "/>
    <n v="10507"/>
    <n v="5.685606060606061"/>
    <m/>
    <m/>
    <m/>
    <s v=" "/>
    <s v=" "/>
    <m/>
    <m/>
    <m/>
    <n v="133000"/>
    <n v="71.96969696969697"/>
    <n v="0.079"/>
    <m/>
    <d v="2016-09-13T00:00:00"/>
    <x v="1222"/>
    <s v="SVN; King"/>
    <x v="0"/>
    <m/>
    <m/>
    <s v="TCP; Harrison"/>
    <m/>
    <n v="134500"/>
    <n v="0.0781189591078067"/>
    <n v="0.9888475836431226"/>
    <n v="134500"/>
    <n v="0.0781189591078067"/>
    <n v="0.0008810408921933049"/>
    <s v="No"/>
    <d v="2016-06-02T00:00:00"/>
    <n v="103"/>
  </r>
  <r>
    <s v="LMA04213"/>
    <s v="SSA"/>
    <s v="Federal"/>
    <s v="Fee Simple"/>
    <s v="1 Bowdoin Sq | 15 New Charton St"/>
    <s v="Boston"/>
    <s v="MA"/>
    <n v="0.32"/>
    <n v="1968"/>
    <n v="36496"/>
    <n v="152703"/>
    <n v="0.2389998886727831"/>
    <n v="1582844.56"/>
    <n v="43.37035729943008"/>
    <m/>
    <s v=" "/>
    <d v="2002-12-02T00:00:00"/>
    <d v="2017-11-30T00:00:00"/>
    <d v="2016-05-31T00:00:00"/>
    <n v="1.232876712328767"/>
    <n v="-0.2684931506849315"/>
    <s v="Full Service"/>
    <s v="None"/>
    <s v="None"/>
    <n v="61835000"/>
    <n v="404.9363797698801"/>
    <s v=" "/>
    <m/>
    <d v="2016-09-06T00:00:00"/>
    <x v="1087"/>
    <s v="Newmark; Griffin"/>
    <x v="870"/>
    <s v="NY"/>
    <s v="Institutional"/>
    <m/>
    <m/>
    <m/>
    <s v=" "/>
    <s v=" "/>
    <m/>
    <s v=" "/>
    <s v=" "/>
    <s v=" "/>
    <m/>
    <s v=" "/>
  </r>
  <r>
    <m/>
    <s v="DNR"/>
    <s v="State"/>
    <s v="Fee Simple"/>
    <s v="16 Center Rd SE"/>
    <s v="Cartersville"/>
    <s v="GA"/>
    <n v="1.8"/>
    <n v="2002"/>
    <n v="13800"/>
    <n v="13800"/>
    <n v="1"/>
    <m/>
    <s v=" "/>
    <n v="154275"/>
    <n v="11.17934782608696"/>
    <d v="2012-06-01T00:00:00"/>
    <d v="2022-05-31T00:00:00"/>
    <d v="2013-05-31T00:00:00"/>
    <n v="5.750684931506849"/>
    <n v="-3.254794520547945"/>
    <s v="Full Service"/>
    <s v="2% annually"/>
    <s v="None"/>
    <n v="1375000"/>
    <n v="99.6376811594203"/>
    <n v="0.1122"/>
    <m/>
    <d v="2016-08-31T00:00:00"/>
    <x v="1223"/>
    <m/>
    <x v="871"/>
    <s v="MA"/>
    <s v="Private"/>
    <m/>
    <m/>
    <n v="1500000"/>
    <n v="0.10285"/>
    <n v="0.9166666666666666"/>
    <n v="1500000"/>
    <n v="0.10285"/>
    <n v="0.009349999999999997"/>
    <s v="No"/>
    <d v="2014-12-05T00:00:00"/>
    <n v="635"/>
  </r>
  <r>
    <s v="LMD12504"/>
    <s v="GSA"/>
    <s v="Federal"/>
    <s v="Fee Simple"/>
    <s v="7500 Lindbergh Dr"/>
    <s v="Gaithersburg"/>
    <s v="MD"/>
    <n v="1.23"/>
    <n v="1991"/>
    <n v="24678"/>
    <n v="31786"/>
    <n v="0.7763795381614548"/>
    <m/>
    <s v=" "/>
    <n v="736000"/>
    <n v="23.1548480463097"/>
    <d v="2012-07-16T00:00:00"/>
    <d v="2022-07-15T00:00:00"/>
    <d v="2022-07-15T00:00:00"/>
    <n v="5.873972602739726"/>
    <n v="5.873972602739726"/>
    <s v="Modified Gross"/>
    <s v="None"/>
    <s v="None"/>
    <n v="9200000"/>
    <n v="289.4356005788712"/>
    <n v="0.08"/>
    <m/>
    <d v="2016-08-31T00:00:00"/>
    <x v="1224"/>
    <s v="Broad Street"/>
    <x v="308"/>
    <s v="MD"/>
    <s v="Private"/>
    <m/>
    <m/>
    <m/>
    <s v=" "/>
    <s v=" "/>
    <m/>
    <s v=" "/>
    <s v=" "/>
    <s v=" "/>
    <m/>
    <s v=" "/>
  </r>
  <r>
    <m/>
    <s v="PennLot"/>
    <s v="State"/>
    <s v="Fee Simple"/>
    <s v="1200 Fulling Mill Rd"/>
    <s v="Middletown"/>
    <s v="PA"/>
    <n v="12.876"/>
    <n v="2007"/>
    <n v="137640"/>
    <n v="137640"/>
    <n v="1"/>
    <m/>
    <s v=" "/>
    <m/>
    <s v=" "/>
    <m/>
    <m/>
    <m/>
    <s v=" "/>
    <s v=" "/>
    <m/>
    <m/>
    <m/>
    <n v="14925000"/>
    <n v="108.435047951177"/>
    <s v=" "/>
    <m/>
    <d v="2016-08-31T00:00:00"/>
    <x v="1225"/>
    <s v="Colliers; Cottle"/>
    <x v="1"/>
    <s v="IL"/>
    <s v="Private"/>
    <m/>
    <m/>
    <m/>
    <s v=" "/>
    <s v=" "/>
    <m/>
    <s v=" "/>
    <s v=" "/>
    <s v=" "/>
    <m/>
    <s v=" "/>
  </r>
  <r>
    <s v="LMD02310"/>
    <s v="NIAID"/>
    <s v="Federal"/>
    <s v="Fee Simple"/>
    <s v="5601 Fishers Ln"/>
    <s v="Rockville"/>
    <s v="MD"/>
    <n v="9.380000000000001"/>
    <n v="2014"/>
    <n v="490998"/>
    <n v="490998"/>
    <n v="1"/>
    <n v="14143827.7"/>
    <n v="28.80628373231663"/>
    <n v="11115375"/>
    <n v="22.63833050236457"/>
    <d v="2014-03-27T00:00:00"/>
    <d v="2029-03-26T00:00:00"/>
    <d v="2029-03-26T00:00:00"/>
    <n v="12.57534246575342"/>
    <n v="12.57534246575342"/>
    <s v="Modified Gross"/>
    <s v="None"/>
    <s v="None"/>
    <n v="177846000"/>
    <n v="362.2132880378331"/>
    <n v="0.0625"/>
    <m/>
    <d v="2016-08-31T00:00:00"/>
    <x v="1213"/>
    <s v="Chatham Financial"/>
    <x v="242"/>
    <s v="TX"/>
    <s v="Institutional"/>
    <m/>
    <m/>
    <m/>
    <s v=" "/>
    <s v=" "/>
    <m/>
    <s v=" "/>
    <s v=" "/>
    <s v=" "/>
    <m/>
    <s v=" "/>
  </r>
  <r>
    <s v="LMD12568"/>
    <s v="FDA"/>
    <s v="Federal"/>
    <s v="Fee Simple"/>
    <s v="11919 Rockville Pk"/>
    <s v="Rockville"/>
    <s v="MD"/>
    <n v="0.97"/>
    <n v="2002"/>
    <n v="61902"/>
    <n v="61902"/>
    <n v="1"/>
    <n v="1975358.36"/>
    <n v="31.91105877031437"/>
    <n v="1528000"/>
    <n v="24.684178217182"/>
    <d v="2013-01-19T00:00:00"/>
    <d v="2023-01-18T00:00:00"/>
    <d v="2020-07-18T00:00:00"/>
    <n v="6.386301369863014"/>
    <n v="3.882191780821918"/>
    <s v="Modified Gross"/>
    <s v="None"/>
    <s v="None"/>
    <n v="19100000"/>
    <n v="308.552227714775"/>
    <n v="0.08"/>
    <m/>
    <d v="2016-08-31T00:00:00"/>
    <x v="1226"/>
    <s v="Newmark; Cassidy"/>
    <x v="1"/>
    <s v="IL"/>
    <s v="Private"/>
    <m/>
    <m/>
    <m/>
    <s v=" "/>
    <s v=" "/>
    <m/>
    <s v=" "/>
    <s v=" "/>
    <s v=" "/>
    <m/>
    <s v=" "/>
  </r>
  <r>
    <m/>
    <s v="Multi"/>
    <s v="Federal"/>
    <s v="Fee Simple"/>
    <s v="1101 First Street NE"/>
    <s v="Washington"/>
    <s v="DC"/>
    <n v="0.86"/>
    <n v="2009"/>
    <n v="186678"/>
    <n v="348967"/>
    <n v="0.5349445649588643"/>
    <m/>
    <s v=" "/>
    <n v="11527500"/>
    <n v="33.03320944387291"/>
    <m/>
    <m/>
    <m/>
    <s v=" "/>
    <s v=" "/>
    <m/>
    <m/>
    <m/>
    <n v="217500000"/>
    <n v="623.2681027145833"/>
    <n v="0.053"/>
    <m/>
    <d v="2016-08-31T00:00:00"/>
    <x v="1227"/>
    <s v="HFF"/>
    <x v="836"/>
    <m/>
    <s v="REIT"/>
    <m/>
    <m/>
    <m/>
    <s v=" "/>
    <s v=" "/>
    <m/>
    <s v=" "/>
    <s v=" "/>
    <s v=" "/>
    <m/>
    <s v=" "/>
  </r>
  <r>
    <s v="LMN19225"/>
    <s v="Multi"/>
    <s v="Federal"/>
    <s v="Fee Simple"/>
    <s v="5600 American Blvd W"/>
    <s v="Bloomington"/>
    <s v="MN"/>
    <n v="3.48"/>
    <n v="2007"/>
    <n v="142066"/>
    <n v="322551"/>
    <n v="0.4404450769025673"/>
    <n v="3755330"/>
    <n v="26.43369982965664"/>
    <n v="3454500"/>
    <n v="10.70993424295693"/>
    <d v="2016-05-03T00:00:00"/>
    <d v="2031-05-02T00:00:00"/>
    <d v="2026-05-02T00:00:00"/>
    <n v="14.68219178082192"/>
    <n v="9.67945205479452"/>
    <s v="Modified Gross"/>
    <s v="None"/>
    <s v="None"/>
    <n v="52500000"/>
    <n v="162.7649580996494"/>
    <n v="0.0658"/>
    <m/>
    <d v="2016-08-29T00:00:00"/>
    <x v="1173"/>
    <s v="Colliers; Mark Kolsrud"/>
    <x v="1"/>
    <s v="IL"/>
    <s v="Private"/>
    <m/>
    <m/>
    <m/>
    <s v=" "/>
    <s v=" "/>
    <m/>
    <s v=" "/>
    <s v=" "/>
    <s v=" "/>
    <m/>
    <s v=" "/>
  </r>
  <r>
    <s v="LAZ01904"/>
    <s v="DEA"/>
    <s v="Federal"/>
    <s v="Fee Simple"/>
    <s v="3010 N 2nd St"/>
    <s v="Phoenix"/>
    <s v="AZ"/>
    <n v="1.65"/>
    <n v="1986"/>
    <n v="48390"/>
    <n v="57915"/>
    <n v="0.8355348355348355"/>
    <n v="1770698.15"/>
    <n v="36.59223289935937"/>
    <n v="1316000"/>
    <n v="22.72295605628939"/>
    <d v="2008-04-01T00:00:00"/>
    <d v="2018-03-31T00:00:00"/>
    <d v="2013-03-31T00:00:00"/>
    <n v="1.586301369863014"/>
    <n v="-3.416438356164384"/>
    <s v="FS"/>
    <m/>
    <s v="None"/>
    <n v="14000000"/>
    <n v="241.7335750669084"/>
    <n v="0.094"/>
    <m/>
    <d v="2016-08-29T00:00:00"/>
    <x v="1228"/>
    <s v="Palmer Capital"/>
    <x v="1"/>
    <s v="IL"/>
    <s v="Private"/>
    <m/>
    <m/>
    <m/>
    <s v=" "/>
    <s v=" "/>
    <m/>
    <s v=" "/>
    <s v=" "/>
    <s v=" "/>
    <m/>
    <s v=" "/>
  </r>
  <r>
    <s v="LCA02894"/>
    <s v="SSA"/>
    <s v="Federal"/>
    <s v="Fee Simple"/>
    <s v="700 E 24th St"/>
    <s v="National City"/>
    <s v="CA"/>
    <n v="0.99"/>
    <n v="2014"/>
    <n v="12094"/>
    <n v="12094"/>
    <n v="1"/>
    <n v="512394.15"/>
    <n v="42.36763271043493"/>
    <n v="360177"/>
    <n v="29.78146188192492"/>
    <d v="2014-04-11T00:00:00"/>
    <d v="2029-04-10T00:00:00"/>
    <d v="2024-04-11T00:00:00"/>
    <n v="12.63561643835616"/>
    <n v="7.635616438356164"/>
    <s v="Modified Gross"/>
    <s v="None"/>
    <s v="None"/>
    <n v="6330000"/>
    <n v="523.4000330742517"/>
    <n v="0.0569"/>
    <m/>
    <d v="2016-08-24T00:00:00"/>
    <x v="1229"/>
    <s v="C&amp;W; Travis Trautvetter"/>
    <x v="872"/>
    <s v="WY"/>
    <s v="Private"/>
    <m/>
    <m/>
    <m/>
    <s v=" "/>
    <s v=" "/>
    <m/>
    <s v=" "/>
    <s v=" "/>
    <s v=" "/>
    <m/>
    <s v=" "/>
  </r>
  <r>
    <m/>
    <s v="NARA"/>
    <s v="Federal"/>
    <s v="Leasehold"/>
    <s v="23123 Cajalco Rd"/>
    <s v="Perris"/>
    <s v="CA"/>
    <n v="12.96"/>
    <n v="2004"/>
    <n v="183194"/>
    <n v="183194"/>
    <n v="1"/>
    <m/>
    <s v=" "/>
    <n v="864500"/>
    <n v="4.719041016627182"/>
    <d v="2004-07-01T00:00:00"/>
    <d v="2024-06-30T00:00:00"/>
    <d v="2019-06-30T00:00:00"/>
    <n v="7.887671232876713"/>
    <n v="2.882191780821918"/>
    <s v="Modified Gross"/>
    <s v="None"/>
    <s v="None"/>
    <n v="12000000"/>
    <n v="65.50432874439119"/>
    <n v="0.07204166666666667"/>
    <m/>
    <d v="2016-08-12T00:00:00"/>
    <x v="176"/>
    <s v="SE; Schwarz"/>
    <x v="1"/>
    <s v="IL"/>
    <s v="Private"/>
    <m/>
    <m/>
    <m/>
    <s v=" "/>
    <s v=" "/>
    <m/>
    <s v=" "/>
    <s v=" "/>
    <s v=" "/>
    <m/>
    <s v=" "/>
  </r>
  <r>
    <m/>
    <s v="Lakeside Learning Center"/>
    <s v="State"/>
    <s v="Fee Simple"/>
    <s v="9530 Winter Gardens Blvd"/>
    <s v="Lakeside"/>
    <s v="CA"/>
    <m/>
    <s v="1988 | 2015"/>
    <n v="5432"/>
    <n v="5432"/>
    <n v="1"/>
    <m/>
    <s v=" "/>
    <n v="114975"/>
    <n v="21.16623711340206"/>
    <m/>
    <d v="2020-02-29T00:00:00"/>
    <m/>
    <n v="3.561643835616438"/>
    <s v=" "/>
    <s v="NN"/>
    <s v="3% annually"/>
    <m/>
    <n v="1825000"/>
    <n v="335.9720176730486"/>
    <n v="0.063"/>
    <m/>
    <d v="2016-08-08T00:00:00"/>
    <x v="8"/>
    <s v="Michael Woolbright"/>
    <x v="0"/>
    <m/>
    <m/>
    <m/>
    <m/>
    <n v="1900000"/>
    <n v="0.06051315789473685"/>
    <n v="0.9605263157894737"/>
    <n v="1900000"/>
    <n v="0.06051315789473685"/>
    <n v="0.002486842105263155"/>
    <s v="No"/>
    <d v="2015-09-23T00:00:00"/>
    <n v="320"/>
  </r>
  <r>
    <s v="LMI17119"/>
    <s v="SSA"/>
    <s v="Federal"/>
    <s v="Fee Simple"/>
    <s v="317 S Drake Rd"/>
    <s v="Kalamazoo"/>
    <s v="MI"/>
    <n v="1.8"/>
    <n v="2006"/>
    <n v="14250"/>
    <n v="21750"/>
    <n v="0.6551724137931034"/>
    <n v="301552.08"/>
    <n v="21.16154947368421"/>
    <n v="262662"/>
    <n v="12.07641379310345"/>
    <d v="2006-06-15T00:00:00"/>
    <d v="2016-06-14T00:00:00"/>
    <d v="2016-06-14T00:00:00"/>
    <n v="-0.1424657534246575"/>
    <n v="-0.1424657534246575"/>
    <s v="Modified Gross"/>
    <s v="None"/>
    <s v="None"/>
    <n v="2464000"/>
    <n v="113.2873563218391"/>
    <n v="0.1065998376623377"/>
    <m/>
    <d v="2016-08-05T00:00:00"/>
    <x v="1230"/>
    <s v="M&amp;M; Godwin"/>
    <x v="873"/>
    <s v="OH"/>
    <s v="Private"/>
    <m/>
    <m/>
    <m/>
    <s v=" "/>
    <s v=" "/>
    <m/>
    <s v=" "/>
    <s v=" "/>
    <s v=" "/>
    <m/>
    <s v=" "/>
  </r>
  <r>
    <m/>
    <s v="VA"/>
    <s v="Federal"/>
    <s v="Fee Simple"/>
    <s v="2915 Pine Ridge Rd"/>
    <s v="Oklahoma City"/>
    <s v="OK"/>
    <n v="0.8"/>
    <n v="1973"/>
    <n v="11282"/>
    <n v="11282"/>
    <n v="1"/>
    <m/>
    <s v=" "/>
    <n v="205523"/>
    <n v="18.21689416770076"/>
    <d v="2014-01-01T00:00:00"/>
    <d v="2024-01-01T00:00:00"/>
    <d v="2019-01-01T00:00:00"/>
    <n v="7.410958904109589"/>
    <n v="2.408219178082192"/>
    <s v="Modified Gross"/>
    <s v="None"/>
    <s v="None"/>
    <n v="2600000"/>
    <n v="230.4555929799681"/>
    <n v="0.07904730769230769"/>
    <m/>
    <d v="2016-08-05T00:00:00"/>
    <x v="77"/>
    <s v="Pegasus"/>
    <x v="874"/>
    <s v="CA"/>
    <s v="Private"/>
    <m/>
    <m/>
    <n v="2651909"/>
    <n v="0.07750001979705941"/>
    <n v="0.9804257989244729"/>
    <n v="2651909"/>
    <n v="0.07750001979705941"/>
    <n v="0.001547287895248287"/>
    <s v="No"/>
    <d v="2016-04-04T00:00:00"/>
    <n v="123"/>
  </r>
  <r>
    <m/>
    <s v="FS"/>
    <s v="Federal"/>
    <s v="Fee Simple"/>
    <s v="2013 Eastside 2nd St"/>
    <s v="Sheridan"/>
    <s v="WY"/>
    <n v="2.2"/>
    <n v="2000"/>
    <n v="13533"/>
    <n v="13533"/>
    <n v="1"/>
    <m/>
    <s v=" "/>
    <n v="140250"/>
    <n v="10.36355575260474"/>
    <d v="2000-01-01T00:00:00"/>
    <d v="2020-12-31T00:00:00"/>
    <d v="2015-12-31T00:00:00"/>
    <n v="4.410958904109589"/>
    <n v="-0.5945205479452055"/>
    <s v="Modified Gross"/>
    <s v="None"/>
    <s v="None"/>
    <m/>
    <s v=" "/>
    <s v=" "/>
    <m/>
    <d v="2016-08-04T00:00:00"/>
    <x v="1231"/>
    <s v="C&amp;W; Trautvetter"/>
    <x v="875"/>
    <s v="MT"/>
    <s v="Private"/>
    <s v="BW; Wells"/>
    <m/>
    <n v="1887000"/>
    <n v="0.07432432432432433"/>
    <s v=" "/>
    <n v="1887000"/>
    <n v="0.07432432432432433"/>
    <s v=" "/>
    <s v="No"/>
    <d v="2016-02-22T00:00:00"/>
    <n v="164"/>
  </r>
  <r>
    <s v="LTX16270"/>
    <s v="USCIS"/>
    <s v="Federal"/>
    <s v="Fee Simple"/>
    <s v="6500 Campus Circle Dr E"/>
    <s v="Irving"/>
    <s v="TX"/>
    <n v="11.49"/>
    <n v="2007"/>
    <n v="56700"/>
    <n v="56700"/>
    <n v="1"/>
    <n v="2235859.08"/>
    <n v="39.43314074074074"/>
    <m/>
    <s v=" "/>
    <d v="2008-11-21T00:00:00"/>
    <d v="2023-11-20T00:00:00"/>
    <d v="2018-10-31T00:00:00"/>
    <n v="7.304109589041096"/>
    <n v="2.246575342465754"/>
    <s v="Modified Gross"/>
    <s v="None"/>
    <s v="None"/>
    <n v="20961178.875"/>
    <n v="369.6856944444444"/>
    <s v=" "/>
    <m/>
    <d v="2016-08-02T00:00:00"/>
    <x v="89"/>
    <s v="Direct"/>
    <x v="1"/>
    <s v="IL"/>
    <s v="Private"/>
    <m/>
    <m/>
    <m/>
    <s v=" "/>
    <s v=" "/>
    <m/>
    <s v=" "/>
    <s v=" "/>
    <s v=" "/>
    <m/>
    <s v=" "/>
  </r>
  <r>
    <s v="LCA91730"/>
    <s v="FDA"/>
    <s v="Federal"/>
    <s v="Fee Simple"/>
    <s v="1431 Harbor Bay Pkwy"/>
    <s v="Alameda"/>
    <s v="CA"/>
    <n v="11.18"/>
    <m/>
    <n v="63595"/>
    <n v="209709"/>
    <n v="0.3032535561182401"/>
    <n v="1917646.7"/>
    <n v="30.1540482742354"/>
    <m/>
    <s v=" "/>
    <d v="1994-01-05T00:00:00"/>
    <d v="2017-01-31T00:00:00"/>
    <d v="2017-01-31T00:00:00"/>
    <n v="0.5013698630136987"/>
    <n v="0.5013698630136987"/>
    <s v="Modified Gross"/>
    <s v="None"/>
    <s v="None"/>
    <n v="40600000"/>
    <n v="193.6016098498395"/>
    <s v=" "/>
    <m/>
    <d v="2016-08-01T00:00:00"/>
    <x v="1232"/>
    <s v="C&amp;W"/>
    <x v="876"/>
    <s v="NC"/>
    <s v="Institutional"/>
    <m/>
    <m/>
    <m/>
    <s v=" "/>
    <s v=" "/>
    <m/>
    <s v=" "/>
    <s v=" "/>
    <s v=" "/>
    <m/>
    <s v=" "/>
  </r>
  <r>
    <s v="LCA03162"/>
    <s v="FDA"/>
    <s v="Federal"/>
    <s v="Fee Simple"/>
    <s v="1201 Harbor Bay Pky"/>
    <s v="Alameda"/>
    <s v="CA"/>
    <n v="4.7674"/>
    <n v="1983"/>
    <n v="69624"/>
    <n v="69624"/>
    <n v="1"/>
    <n v="4561039"/>
    <n v="65.50958002987475"/>
    <m/>
    <s v=" "/>
    <d v="2015-03-04T00:00:00"/>
    <d v="2035-03-03T00:00:00"/>
    <d v="2035-03-03T00:00:00"/>
    <n v="18.5972602739726"/>
    <n v="18.5972602739726"/>
    <s v="Modified Gross"/>
    <s v="None"/>
    <s v="None"/>
    <n v="80040000"/>
    <n v="1149.6035849707"/>
    <s v=" "/>
    <m/>
    <d v="2016-08-01T00:00:00"/>
    <x v="1233"/>
    <s v="TW; Chavez"/>
    <x v="3"/>
    <s v="DC"/>
    <s v="REIT"/>
    <m/>
    <m/>
    <n v="110000000"/>
    <s v=" "/>
    <n v="0.7276363636363636"/>
    <n v="110000000"/>
    <s v=" "/>
    <s v=" "/>
    <s v="No"/>
    <d v="2015-07-27T00:00:00"/>
    <n v="371"/>
  </r>
  <r>
    <s v="LLA14554"/>
    <s v="MEPS (L/H)"/>
    <s v="Federal"/>
    <s v="Leasehold"/>
    <s v="2715 Alkay Dr"/>
    <s v="Shreveport"/>
    <s v="LA"/>
    <n v="9.23"/>
    <n v="1999"/>
    <n v="20342"/>
    <n v="20342"/>
    <n v="1"/>
    <n v="381403.67"/>
    <n v="18.74956592272146"/>
    <n v="334324.154484375"/>
    <n v="16.43516637913553"/>
    <d v="1999-04-01T00:00:00"/>
    <d v="2019-03-31T00:00:00"/>
    <d v="2009-03-31T00:00:00"/>
    <n v="2.665753424657534"/>
    <n v="-7.33972602739726"/>
    <s v="Modified Gross"/>
    <s v="None"/>
    <s v="None"/>
    <n v="3575659.40625"/>
    <n v="175.7771805255137"/>
    <n v="0.09349999999999999"/>
    <m/>
    <d v="2016-07-31T00:00:00"/>
    <x v="1234"/>
    <m/>
    <x v="265"/>
    <s v="LA"/>
    <s v="Private"/>
    <m/>
    <m/>
    <m/>
    <s v=" "/>
    <s v=" "/>
    <m/>
    <s v=" "/>
    <s v=" "/>
    <s v=" "/>
    <m/>
    <s v=" "/>
  </r>
  <r>
    <m/>
    <s v="DEA"/>
    <s v="Federal"/>
    <s v="Fee Simple"/>
    <s v="3439 E University Dr"/>
    <s v="Phoenix"/>
    <s v="AZ"/>
    <n v="2.37"/>
    <n v="2007"/>
    <n v="30403"/>
    <n v="30403"/>
    <n v="1"/>
    <m/>
    <s v=" "/>
    <n v="629832"/>
    <n v="20.71611354142683"/>
    <d v="2009-10-09T00:00:00"/>
    <d v="2024-10-08T00:00:00"/>
    <d v="2019-10-09T00:00:00"/>
    <n v="8.202739726027398"/>
    <n v="3.2"/>
    <s v="Modified Gross"/>
    <s v="None"/>
    <s v="None"/>
    <n v="9300000"/>
    <n v="305.8908660329573"/>
    <n v="0.06772387096774193"/>
    <m/>
    <d v="2016-07-28T00:00:00"/>
    <x v="1235"/>
    <m/>
    <x v="1"/>
    <s v="IL"/>
    <s v="Private"/>
    <m/>
    <m/>
    <m/>
    <s v=" "/>
    <s v=" "/>
    <m/>
    <s v=" "/>
    <s v=" "/>
    <s v=" "/>
    <m/>
    <s v=" "/>
  </r>
  <r>
    <s v="LCA02055"/>
    <s v="MEPS"/>
    <s v="Federal"/>
    <s v="Fee Simple"/>
    <s v="1776 E Grand Ave"/>
    <s v="El Segundo"/>
    <s v="CA"/>
    <n v="4.23"/>
    <n v="2008"/>
    <n v="32980"/>
    <n v="32980"/>
    <n v="1"/>
    <n v="2730830.36"/>
    <n v="82.80261855670102"/>
    <n v="1907227.04"/>
    <n v="57.82980715585203"/>
    <d v="2009-07-01T00:00:00"/>
    <d v="2024-06-30T00:00:00"/>
    <d v="2024-06-30T00:00:00"/>
    <n v="7.931506849315069"/>
    <n v="7.931506849315069"/>
    <s v="Modified Gross"/>
    <s v="5% every 3"/>
    <s v="None"/>
    <n v="31340000"/>
    <n v="950.2728926622195"/>
    <n v="0.060856"/>
    <m/>
    <d v="2016-07-27T00:00:00"/>
    <x v="1236"/>
    <s v="SJC; Briggs"/>
    <x v="2"/>
    <s v="VA"/>
    <s v="Private"/>
    <m/>
    <m/>
    <m/>
    <s v=" "/>
    <s v=" "/>
    <m/>
    <s v=" "/>
    <s v=" "/>
    <s v=" "/>
    <m/>
    <s v=" "/>
  </r>
  <r>
    <m/>
    <s v="Housing Authority"/>
    <s v="State"/>
    <s v="Fee Simple"/>
    <s v="300 Outlet Pointe Blvd"/>
    <s v="Columbia"/>
    <s v="SC"/>
    <n v="18.9"/>
    <n v="1984"/>
    <n v="186000"/>
    <n v="186000"/>
    <n v="1"/>
    <m/>
    <s v=" "/>
    <n v="1575000"/>
    <n v="8.46774193548387"/>
    <d v="2016-09-01T00:00:00"/>
    <d v="2026-08-31T00:00:00"/>
    <m/>
    <n v="10.1041095890411"/>
    <s v=" "/>
    <s v="Full Service"/>
    <m/>
    <m/>
    <n v="19000000"/>
    <n v="102.1505376344086"/>
    <n v="0.08289473684210526"/>
    <m/>
    <d v="2016-07-26T00:00:00"/>
    <x v="1237"/>
    <s v="GEM; Musinsky"/>
    <x v="429"/>
    <s v="NY"/>
    <s v="Private"/>
    <m/>
    <m/>
    <m/>
    <s v=" "/>
    <s v=" "/>
    <m/>
    <s v=" "/>
    <s v=" "/>
    <s v=" "/>
    <m/>
    <s v=" "/>
  </r>
  <r>
    <m/>
    <s v="Armed Services Recr"/>
    <s v="Federal"/>
    <s v="Fee Simple"/>
    <s v="6747 E Thomas Rd"/>
    <s v="Scottsdale"/>
    <s v="AZ"/>
    <n v="0.8"/>
    <n v="2008"/>
    <n v="8005"/>
    <n v="8005"/>
    <n v="1"/>
    <m/>
    <s v=" "/>
    <n v="184000"/>
    <n v="22.98563397876327"/>
    <m/>
    <d v="2023-12-31T00:00:00"/>
    <m/>
    <n v="7.446575342465754"/>
    <s v=" "/>
    <s v="Full Service"/>
    <s v="None"/>
    <s v="None"/>
    <n v="2450000"/>
    <n v="306.0587133041849"/>
    <n v="0.07510204081632653"/>
    <m/>
    <d v="2016-07-22T00:00:00"/>
    <x v="8"/>
    <m/>
    <x v="877"/>
    <s v="AZ"/>
    <s v="Private"/>
    <m/>
    <m/>
    <m/>
    <s v=" "/>
    <s v=" "/>
    <m/>
    <s v=" "/>
    <s v=" "/>
    <s v=" "/>
    <m/>
    <s v=" "/>
  </r>
  <r>
    <s v="LNC61055"/>
    <s v="USGS"/>
    <s v="Federal"/>
    <s v="Fee Simple"/>
    <s v="3916 Sunset Ridge Rd"/>
    <s v="Raleigh"/>
    <s v="NC"/>
    <n v="1.27"/>
    <n v="1990"/>
    <n v="21631"/>
    <n v="21631"/>
    <n v="1"/>
    <n v="430293.57"/>
    <n v="19.89244926263233"/>
    <m/>
    <s v=" "/>
    <d v="2011-07-01T00:00:00"/>
    <d v="2016-06-30T00:00:00"/>
    <d v="2014-06-30T00:00:00"/>
    <n v="-0.05753424657534247"/>
    <n v="-2.06027397260274"/>
    <s v="Modified Gross"/>
    <s v="None"/>
    <s v="None"/>
    <n v="3590000"/>
    <n v="165.9655124589709"/>
    <s v=" "/>
    <m/>
    <d v="2016-07-21T00:00:00"/>
    <x v="1238"/>
    <s v="Direct"/>
    <x v="878"/>
    <s v="NC"/>
    <s v="Private"/>
    <m/>
    <m/>
    <m/>
    <s v=" "/>
    <s v=" "/>
    <m/>
    <s v=" "/>
    <s v=" "/>
    <s v=" "/>
    <m/>
    <s v=" "/>
  </r>
  <r>
    <m/>
    <s v="ATF"/>
    <s v="Federal"/>
    <s v="Fee Simple"/>
    <s v="3587 Parkway Ln"/>
    <s v="Norcross"/>
    <s v="GA"/>
    <n v="5.35"/>
    <n v="1984"/>
    <n v="43942"/>
    <n v="43942"/>
    <n v="1"/>
    <m/>
    <s v=" "/>
    <m/>
    <s v=" "/>
    <d v="2016-05-01T00:00:00"/>
    <d v="2026-04-30T00:00:00"/>
    <d v="2021-04-30T00:00:00"/>
    <n v="9.783561643835617"/>
    <n v="4.780821917808219"/>
    <s v="Modified Gross"/>
    <s v="None"/>
    <s v="None"/>
    <n v="5080000"/>
    <n v="115.606936416185"/>
    <s v=" "/>
    <m/>
    <d v="2016-07-20T00:00:00"/>
    <x v="1239"/>
    <s v="Direct"/>
    <x v="593"/>
    <s v="IL"/>
    <s v="Private"/>
    <m/>
    <m/>
    <m/>
    <s v=" "/>
    <s v=" "/>
    <m/>
    <s v=" "/>
    <s v=" "/>
    <s v=" "/>
    <m/>
    <s v=" "/>
  </r>
  <r>
    <s v="LAZ98148"/>
    <s v="CBP"/>
    <s v="Federal"/>
    <s v="Leasehold"/>
    <s v="396 N. Camino Mercado"/>
    <s v="Casa Grande"/>
    <s v="AZ"/>
    <n v="3.33"/>
    <n v="1999"/>
    <n v="16843"/>
    <n v="16843"/>
    <n v="1"/>
    <n v="618572.26"/>
    <n v="36.72577688060322"/>
    <n v="330000"/>
    <n v="19.59270913732708"/>
    <d v="1999-05-15T00:00:00"/>
    <d v="2016-05-14T00:00:00"/>
    <d v="2009-05-14T00:00:00"/>
    <n v="-0.1808219178082192"/>
    <n v="-7.186301369863013"/>
    <s v="Modified Gross"/>
    <s v="None"/>
    <s v="None"/>
    <n v="3000000"/>
    <n v="178.1155376120644"/>
    <n v="0.11"/>
    <m/>
    <d v="2016-07-19T00:00:00"/>
    <x v="1240"/>
    <s v="M&amp;M; Geoff Ficke"/>
    <x v="474"/>
    <s v="PA"/>
    <s v="Private"/>
    <m/>
    <m/>
    <m/>
    <s v=" "/>
    <s v=" "/>
    <m/>
    <s v=" "/>
    <s v=" "/>
    <s v=" "/>
    <m/>
    <s v=" "/>
  </r>
  <r>
    <s v="LMI15899"/>
    <s v="SSA"/>
    <s v="Federal"/>
    <s v="Fee Simple"/>
    <s v="19853 W Outer Dr"/>
    <s v="Dearborn"/>
    <s v="MI"/>
    <n v="1.21"/>
    <n v="1985"/>
    <n v="14414"/>
    <n v="33319"/>
    <n v="0.4326060205888532"/>
    <n v="293516.68"/>
    <n v="20.3633051200222"/>
    <m/>
    <s v=" "/>
    <d v="1997-10-10T00:00:00"/>
    <d v="2017-10-09T00:00:00"/>
    <d v="2007-10-09T00:00:00"/>
    <n v="1.235616438356164"/>
    <n v="-8.772602739726027"/>
    <s v="Modified Gross"/>
    <s v="None"/>
    <s v="None"/>
    <n v="2200000"/>
    <n v="66.02839220864972"/>
    <s v=" "/>
    <m/>
    <d v="2016-07-15T00:00:00"/>
    <x v="1241"/>
    <s v="NAI; Haidar"/>
    <x v="879"/>
    <s v="MI"/>
    <s v="Private"/>
    <m/>
    <m/>
    <m/>
    <s v=" "/>
    <s v=" "/>
    <m/>
    <s v=" "/>
    <s v=" "/>
    <s v=" "/>
    <m/>
    <s v=" "/>
  </r>
  <r>
    <s v="LFL61851"/>
    <s v="ACOE"/>
    <s v="Federal"/>
    <s v="Fee Simple"/>
    <s v="12249 Science Dr"/>
    <s v="Orlando"/>
    <s v="FL"/>
    <n v="38.21"/>
    <n v="1986"/>
    <n v="65044"/>
    <n v="129982"/>
    <n v="0.5004077487652137"/>
    <n v="1629440.68"/>
    <n v="25.05136030994404"/>
    <n v="4183200"/>
    <n v="32.18291763474943"/>
    <d v="2011-06-01T00:00:00"/>
    <d v="2021-05-31T00:00:00"/>
    <d v="2021-05-31T00:00:00"/>
    <n v="4.887671232876713"/>
    <n v="4.887671232876713"/>
    <s v="Modified Gross"/>
    <m/>
    <s v="None"/>
    <n v="49800000"/>
    <n v="383.1299718422551"/>
    <n v="0.08400000000000001"/>
    <m/>
    <d v="2016-07-12T00:00:00"/>
    <x v="819"/>
    <s v="CBRE; Rigg"/>
    <x v="880"/>
    <m/>
    <s v="Cross-Border"/>
    <m/>
    <m/>
    <m/>
    <s v=" "/>
    <s v=" "/>
    <m/>
    <s v=" "/>
    <s v=" "/>
    <s v=" "/>
    <m/>
    <s v=" "/>
  </r>
  <r>
    <m/>
    <s v="NAFRI"/>
    <s v="Federal"/>
    <s v="Fee Simple"/>
    <s v="3265 E Universal Way"/>
    <s v="Tucson"/>
    <s v="AZ"/>
    <n v="2.4179"/>
    <n v="2004"/>
    <n v="24622"/>
    <n v="24622"/>
    <n v="1"/>
    <m/>
    <s v=" "/>
    <n v="356909"/>
    <n v="14.49553245065389"/>
    <d v="2012-04-06T00:00:00"/>
    <d v="2032-04-05T00:00:00"/>
    <d v="2027-04-06T00:00:00"/>
    <n v="15.74246575342466"/>
    <n v="10.73972602739726"/>
    <m/>
    <m/>
    <m/>
    <n v="4625000"/>
    <n v="187.8401429615791"/>
    <n v="0.07716951351351352"/>
    <m/>
    <d v="2016-07-12T00:00:00"/>
    <x v="56"/>
    <s v="Direct"/>
    <x v="1"/>
    <s v="IL"/>
    <s v="Private"/>
    <m/>
    <m/>
    <m/>
    <s v=" "/>
    <s v=" "/>
    <m/>
    <s v=" "/>
    <s v=" "/>
    <s v=" "/>
    <m/>
    <s v=" "/>
  </r>
  <r>
    <s v="LCA02437"/>
    <s v="SSA/IRS"/>
    <s v="Federal"/>
    <s v="Fee Simple"/>
    <s v="2345 South 2nd Street"/>
    <s v="El Centro"/>
    <s v="CA"/>
    <n v="2.04"/>
    <n v="2000"/>
    <n v="5120"/>
    <n v="15451"/>
    <n v="0.331370137855155"/>
    <n v="133074.92"/>
    <n v="25.9911953125"/>
    <m/>
    <s v=" "/>
    <d v="2012-04-03T00:00:00"/>
    <d v="2027-04-02T00:00:00"/>
    <d v="2022-04-02T00:00:00"/>
    <n v="10.73150684931507"/>
    <n v="5.728767123287671"/>
    <s v="Modified Gross"/>
    <s v="None"/>
    <s v="None"/>
    <n v="1600000"/>
    <n v="103.5531680797359"/>
    <s v=" "/>
    <m/>
    <d v="2016-07-11T00:00:00"/>
    <x v="104"/>
    <s v="CB; Danny Wilkinson"/>
    <x v="881"/>
    <s v="CA"/>
    <s v="Private"/>
    <m/>
    <m/>
    <m/>
    <s v=" "/>
    <s v=" "/>
    <m/>
    <s v=" "/>
    <s v=" "/>
    <s v=" "/>
    <m/>
    <s v=" "/>
  </r>
  <r>
    <s v="LAL43223"/>
    <s v="FBI"/>
    <s v="Federal"/>
    <s v="Fee Simple"/>
    <s v="1100 18th St N"/>
    <s v="Birmingham"/>
    <s v="AL"/>
    <n v="4.59"/>
    <n v="2005"/>
    <n v="96278"/>
    <n v="96278"/>
    <n v="1"/>
    <n v="2938413.84"/>
    <n v="30.5200963875444"/>
    <n v="2561428"/>
    <n v="26.60449947028397"/>
    <d v="2005-05-09T00:00:00"/>
    <d v="2020-08-31T00:00:00"/>
    <d v="2020-08-31T00:00:00"/>
    <n v="4.156164383561644"/>
    <n v="4.156164383561644"/>
    <s v="FS"/>
    <m/>
    <s v="None"/>
    <n v="39340907"/>
    <n v="408.6178254637612"/>
    <n v="0.06510851414788174"/>
    <m/>
    <d v="2016-07-06T00:00:00"/>
    <x v="461"/>
    <s v="Direct"/>
    <x v="3"/>
    <s v="DC"/>
    <s v="REIT"/>
    <m/>
    <m/>
    <m/>
    <s v=" "/>
    <s v=" "/>
    <m/>
    <s v=" "/>
    <s v=" "/>
    <s v=" "/>
    <m/>
    <s v=" "/>
  </r>
  <r>
    <s v="LAL44117"/>
    <s v="DEA"/>
    <s v="Federal"/>
    <s v="Fee Simple"/>
    <s v="1003 17th St N"/>
    <s v="Birmingham"/>
    <s v="AL"/>
    <n v="2.4946"/>
    <n v="2005"/>
    <n v="35616"/>
    <n v="35616"/>
    <n v="1"/>
    <n v="1335519.12"/>
    <n v="37.49772911051213"/>
    <n v="1091318"/>
    <n v="30.64122866127583"/>
    <m/>
    <d v="2020-12-31T00:00:00"/>
    <d v="2020-12-31T00:00:00"/>
    <n v="4.49041095890411"/>
    <n v="4.49041095890411"/>
    <s v="FS"/>
    <m/>
    <s v="None"/>
    <n v="13706363"/>
    <n v="384.8372360736748"/>
    <n v="0.07962126787390644"/>
    <m/>
    <d v="2016-07-06T00:00:00"/>
    <x v="461"/>
    <s v="Direct"/>
    <x v="3"/>
    <s v="DC"/>
    <s v="REIT"/>
    <m/>
    <m/>
    <m/>
    <s v=" "/>
    <s v=" "/>
    <m/>
    <s v=" "/>
    <s v=" "/>
    <s v=" "/>
    <m/>
    <s v=" "/>
  </r>
  <r>
    <s v="LKS00027"/>
    <s v="EPA"/>
    <s v="Federal"/>
    <s v="Fee Simple"/>
    <s v="300 Minnesota Ave"/>
    <s v="Kansas City"/>
    <s v="KS"/>
    <m/>
    <n v="2003"/>
    <n v="71979"/>
    <n v="71979"/>
    <n v="1"/>
    <n v="3062933.46"/>
    <n v="42.55315383653566"/>
    <m/>
    <s v=" "/>
    <d v="2003-03-30T00:00:00"/>
    <d v="2023-03-31T00:00:00"/>
    <d v="2023-03-31T00:00:00"/>
    <n v="6.736986301369863"/>
    <n v="6.736986301369863"/>
    <s v="Modified Gross"/>
    <s v="None"/>
    <s v="None"/>
    <n v="24152730"/>
    <n v="335.552452798733"/>
    <s v=" "/>
    <m/>
    <d v="2016-07-06T00:00:00"/>
    <x v="461"/>
    <s v="Direct"/>
    <x v="3"/>
    <s v="DC"/>
    <s v="REIT"/>
    <m/>
    <m/>
    <m/>
    <s v=" "/>
    <s v=" "/>
    <m/>
    <s v=" "/>
    <s v=" "/>
    <s v=" "/>
    <m/>
    <s v=" "/>
  </r>
  <r>
    <m/>
    <s v="DHS"/>
    <s v="State"/>
    <s v="Fee Simple"/>
    <s v="2101 W 11th Ave"/>
    <s v="Eugene"/>
    <s v="OR"/>
    <n v="1.94"/>
    <n v="1970"/>
    <n v="30100"/>
    <n v="30100"/>
    <n v="1"/>
    <n v="541805"/>
    <n v="18.00016611295681"/>
    <n v="426850"/>
    <n v="14.18106312292359"/>
    <d v="2002-10-01T00:00:00"/>
    <d v="2025-06-30T00:00:00"/>
    <d v="2021-09-01T00:00:00"/>
    <n v="9.002739726027396"/>
    <n v="5.172602739726027"/>
    <s v="Net"/>
    <s v="None"/>
    <s v="2, 5 year"/>
    <n v="4950000"/>
    <n v="164.4518272425249"/>
    <n v="0.08623232323232323"/>
    <m/>
    <d v="2016-07-01T00:00:00"/>
    <x v="1242"/>
    <s v="CP; Mack"/>
    <x v="882"/>
    <s v="WA"/>
    <s v="Private"/>
    <m/>
    <m/>
    <n v="5340000"/>
    <n v="0.07993445692883895"/>
    <n v="0.9269662921348315"/>
    <n v="5340000"/>
    <n v="0.07993445692883895"/>
    <n v="0.006297866303484279"/>
    <s v="No"/>
    <d v="2015-12-23T00:00:00"/>
    <n v="191"/>
  </r>
  <r>
    <s v="LWI17111"/>
    <s v="IRS"/>
    <s v="Federal"/>
    <s v="Fee Simple"/>
    <s v="211 W Wisconsin Ave"/>
    <s v="Milwaukee"/>
    <s v="WI"/>
    <n v="0.55"/>
    <n v="1906"/>
    <n v="75196"/>
    <n v="105000"/>
    <n v="0.716152380952381"/>
    <n v="1978314.3"/>
    <n v="26.30877041331986"/>
    <n v="1068200"/>
    <n v="10.17333333333333"/>
    <d v="2006-03-01T00:00:00"/>
    <d v="2026-02-28T00:00:00"/>
    <d v="2016-02-28T00:00:00"/>
    <n v="9.668493150684931"/>
    <n v="-0.3397260273972603"/>
    <s v="Modified Gross"/>
    <s v="None"/>
    <s v="None"/>
    <n v="9800000"/>
    <n v="93.33333333333333"/>
    <n v="0.109"/>
    <m/>
    <d v="2016-07-01T00:00:00"/>
    <x v="1243"/>
    <s v="M&amp;M; Geoff Ficke"/>
    <x v="474"/>
    <s v="PA"/>
    <s v="Private"/>
    <m/>
    <m/>
    <m/>
    <s v=" "/>
    <s v=" "/>
    <m/>
    <s v=" "/>
    <s v=" "/>
    <s v=" "/>
    <d v="2015-11-12T00:00:00"/>
    <n v="232"/>
  </r>
  <r>
    <m/>
    <s v="Multi"/>
    <s v="State"/>
    <s v="Fee Simple"/>
    <s v="2100 Comer Ave"/>
    <s v="Columbus"/>
    <s v="GA"/>
    <n v="6"/>
    <n v="1993"/>
    <n v="136707"/>
    <n v="175090"/>
    <n v="0.7807813124678736"/>
    <m/>
    <s v=" "/>
    <n v="913920"/>
    <n v="5.219715574847221"/>
    <m/>
    <m/>
    <m/>
    <s v=" "/>
    <s v=" "/>
    <s v="Full Service"/>
    <s v="Yes"/>
    <s v="None"/>
    <n v="13056000"/>
    <n v="74.5673653549603"/>
    <n v="0.07000000000000001"/>
    <m/>
    <d v="2016-06-30T00:00:00"/>
    <x v="1244"/>
    <s v="Newmark; Cobb"/>
    <x v="883"/>
    <s v="GA"/>
    <s v="Private"/>
    <m/>
    <m/>
    <m/>
    <s v=" "/>
    <s v=" "/>
    <m/>
    <s v=" "/>
    <s v=" "/>
    <s v=" "/>
    <d v="2016-03-27T00:00:00"/>
    <n v="95"/>
  </r>
  <r>
    <s v="LCA03225"/>
    <s v="SSA"/>
    <s v="Federal"/>
    <s v="Fee Simple"/>
    <s v="46845 Monroe St"/>
    <s v="Indio"/>
    <s v="CA"/>
    <n v="1.2"/>
    <n v="1997"/>
    <n v="10590"/>
    <n v="10590"/>
    <n v="1"/>
    <n v="355020"/>
    <n v="33.52407932011332"/>
    <m/>
    <s v=" "/>
    <d v="2016-01-21T00:00:00"/>
    <d v="2031-01-20T00:00:00"/>
    <d v="2026-01-21T00:00:00"/>
    <n v="14.56712328767123"/>
    <n v="9.567123287671233"/>
    <s v="Modified Gross"/>
    <s v="None"/>
    <s v="None"/>
    <n v="4606000"/>
    <n v="434.9386213408876"/>
    <s v=" "/>
    <m/>
    <d v="2016-06-30T00:00:00"/>
    <x v="345"/>
    <s v="C&amp;W; Travis Trautvetter"/>
    <x v="884"/>
    <s v="CA"/>
    <s v="Private"/>
    <s v="Michael Ruben"/>
    <s v="Presidio"/>
    <m/>
    <s v=" "/>
    <s v=" "/>
    <m/>
    <s v=" "/>
    <s v=" "/>
    <s v=" "/>
    <d v="2016-02-16T00:00:00"/>
    <n v="135"/>
  </r>
  <r>
    <s v="LNC62669"/>
    <s v="SSA"/>
    <s v="Federal"/>
    <s v="Fee Simple"/>
    <s v="204 S Lee St"/>
    <s v="Whiteville"/>
    <s v="NC"/>
    <n v="0.98"/>
    <n v="2000"/>
    <n v="9358"/>
    <n v="9358"/>
    <n v="1"/>
    <n v="154714.31"/>
    <n v="16.53283928189784"/>
    <n v="121030"/>
    <n v="12.93331908527463"/>
    <d v="2014-12-01T00:00:00"/>
    <d v="2024-11-30T00:00:00"/>
    <d v="2019-12-01T00:00:00"/>
    <n v="8.424657534246576"/>
    <n v="3.421917808219178"/>
    <s v="Modified Gross"/>
    <s v="None"/>
    <s v="None"/>
    <n v="1300000"/>
    <n v="138.9185723445181"/>
    <n v="0.0931"/>
    <m/>
    <d v="2016-06-30T00:00:00"/>
    <x v="1245"/>
    <s v="SJC; Hellwig"/>
    <x v="885"/>
    <s v="NC"/>
    <s v="Private"/>
    <s v="CBRE; Fort"/>
    <m/>
    <m/>
    <s v=" "/>
    <s v=" "/>
    <m/>
    <s v=" "/>
    <s v=" "/>
    <s v=" "/>
    <d v="2016-02-27T00:00:00"/>
    <n v="124"/>
  </r>
  <r>
    <s v="LUT14385"/>
    <s v="FS"/>
    <s v="Federal"/>
    <s v="Fee Simple"/>
    <s v="599 W Price River Dr"/>
    <s v="Price"/>
    <s v="UT"/>
    <n v="1.18"/>
    <n v="1980"/>
    <n v="15150"/>
    <n v="15150"/>
    <n v="1"/>
    <n v="321180"/>
    <n v="21.2"/>
    <n v="215394"/>
    <n v="14.21742574257426"/>
    <d v="2015-05-01T00:00:00"/>
    <d v="2025-04-30T00:00:00"/>
    <d v="2020-05-01T00:00:00"/>
    <n v="8.841095890410958"/>
    <n v="3.841095890410959"/>
    <s v="Modified Gross"/>
    <s v="None"/>
    <s v="None"/>
    <n v="2000000"/>
    <n v="132.013201320132"/>
    <n v="0.107697"/>
    <m/>
    <d v="2016-06-29T00:00:00"/>
    <x v="1246"/>
    <s v="Direct"/>
    <x v="886"/>
    <s v="UT"/>
    <s v="Private"/>
    <m/>
    <m/>
    <n v="2850000"/>
    <n v="0.07557684210526316"/>
    <n v="0.7017543859649122"/>
    <n v="2850000"/>
    <n v="0.07557684210526316"/>
    <n v="0.03212015789473684"/>
    <s v="No"/>
    <d v="2015-09-22T00:00:00"/>
    <n v="281"/>
  </r>
  <r>
    <s v="LNV02151"/>
    <s v="Multi"/>
    <s v="State &amp; Federal"/>
    <s v="Fee Simple"/>
    <s v="4220 Maryland Pkwy"/>
    <s v="Las Vegas"/>
    <s v="NV"/>
    <n v="6.13"/>
    <n v="1974"/>
    <n v="144200"/>
    <n v="144200"/>
    <n v="1"/>
    <m/>
    <s v=" "/>
    <m/>
    <s v=" "/>
    <d v="2010-01-01T00:00:00"/>
    <d v="2024-12-31T00:00:00"/>
    <d v="2020-01-01T00:00:00"/>
    <n v="8.515068493150684"/>
    <n v="3.512328767123288"/>
    <s v="Full Service"/>
    <s v="None"/>
    <s v="None"/>
    <n v="33500000"/>
    <n v="232.3162274618585"/>
    <s v=" "/>
    <m/>
    <d v="2016-06-28T00:00:00"/>
    <x v="1247"/>
    <s v="Direct"/>
    <x v="429"/>
    <s v="NY"/>
    <s v="Private"/>
    <m/>
    <m/>
    <m/>
    <s v=" "/>
    <s v=" "/>
    <m/>
    <s v=" "/>
    <s v=" "/>
    <s v=" "/>
    <m/>
    <s v=" "/>
  </r>
  <r>
    <m/>
    <s v="VA"/>
    <s v="Federal"/>
    <s v="Fee Simple"/>
    <s v="4970 Highway 90"/>
    <s v="Marianna"/>
    <s v="FL"/>
    <n v="1.06"/>
    <n v="1982"/>
    <n v="8821"/>
    <n v="8821"/>
    <n v="1"/>
    <m/>
    <s v=" "/>
    <m/>
    <s v=" "/>
    <m/>
    <d v="2018-06-30T00:00:00"/>
    <d v="2018-06-30T00:00:00"/>
    <n v="2.010958904109589"/>
    <n v="2.010958904109589"/>
    <s v="Modified Gross"/>
    <s v="OpEx 2.50% Annually"/>
    <s v="None"/>
    <n v="1253000"/>
    <n v="142.0473869175831"/>
    <s v=" "/>
    <m/>
    <d v="2016-06-26T00:00:00"/>
    <x v="1248"/>
    <m/>
    <x v="46"/>
    <s v="OK"/>
    <s v="Private"/>
    <s v="M&amp;M; Ficke"/>
    <m/>
    <m/>
    <s v=" "/>
    <s v=" "/>
    <m/>
    <s v=" "/>
    <s v=" "/>
    <s v=" "/>
    <m/>
    <s v=" "/>
  </r>
  <r>
    <m/>
    <s v="SSA"/>
    <s v="Federal"/>
    <s v="Fee Simple"/>
    <s v="2360 Westchester Ave"/>
    <s v="Bronx"/>
    <s v="NY"/>
    <m/>
    <n v="1997"/>
    <n v="18131"/>
    <n v="36742"/>
    <n v="0.4934679658156877"/>
    <m/>
    <s v=" "/>
    <n v="721000.0000000001"/>
    <n v="19.623319362038"/>
    <m/>
    <d v="2023-11-30T00:00:00"/>
    <d v="2018-11-30T00:00:00"/>
    <n v="7.441095890410959"/>
    <n v="2.438356164383562"/>
    <s v="Modified Gross"/>
    <s v="None"/>
    <s v="None"/>
    <n v="8300000"/>
    <n v="225.899515540798"/>
    <n v="0.08686746987951809"/>
    <m/>
    <d v="2016-06-23T00:00:00"/>
    <x v="1249"/>
    <s v="Direct"/>
    <x v="887"/>
    <s v="NY"/>
    <s v="Private"/>
    <m/>
    <m/>
    <n v="10300000"/>
    <n v="0.07000000000000001"/>
    <n v="0.8058252427184466"/>
    <n v="10300000"/>
    <n v="0.07000000000000001"/>
    <n v="0.01686746987951808"/>
    <s v="No"/>
    <d v="2014-09-06T00:00:00"/>
    <n v="656"/>
  </r>
  <r>
    <s v="LPA07383"/>
    <s v="SSA"/>
    <s v="Federal"/>
    <s v="Fee Simple"/>
    <s v="9090 Franklin Hill Rd"/>
    <s v="East Stroudsburg"/>
    <s v="PA"/>
    <n v="2.48"/>
    <n v="2009"/>
    <n v="6921"/>
    <n v="15352"/>
    <n v="0.4508207399687337"/>
    <n v="198101.12"/>
    <n v="28.62319318017627"/>
    <n v="248625"/>
    <n v="16.19495831162063"/>
    <d v="2009-01-16T00:00:00"/>
    <d v="2019-01-15T00:00:00"/>
    <d v="2019-01-14T00:00:00"/>
    <n v="2.56986301369863"/>
    <n v="2.567123287671233"/>
    <s v="Modified Gross"/>
    <s v="None"/>
    <s v="None"/>
    <n v="2550000"/>
    <n v="166.1021365294424"/>
    <n v="0.0975"/>
    <m/>
    <d v="2016-06-21T00:00:00"/>
    <x v="1250"/>
    <s v="Michael Baxter"/>
    <x v="888"/>
    <s v="NY"/>
    <s v="Private"/>
    <m/>
    <m/>
    <m/>
    <s v=" "/>
    <s v=" "/>
    <m/>
    <s v=" "/>
    <s v=" "/>
    <s v=" "/>
    <m/>
    <s v=" "/>
  </r>
  <r>
    <m/>
    <s v="NYSEG"/>
    <s v="State"/>
    <s v="Fee Simple"/>
    <s v="4125 State Route 22"/>
    <s v="Plattsburgh"/>
    <s v="NY"/>
    <n v="27.5"/>
    <n v="1980"/>
    <n v="73772"/>
    <n v="73772"/>
    <n v="1"/>
    <m/>
    <s v=" "/>
    <n v="319805"/>
    <n v="4.335045816841077"/>
    <d v="2014-06-05T00:00:00"/>
    <d v="2030-12-05T00:00:00"/>
    <d v="2030-12-05T00:00:00"/>
    <n v="14.46575342465753"/>
    <n v="14.46575342465753"/>
    <s v="NNN"/>
    <s v="Every 5"/>
    <s v="1, 5 year"/>
    <n v="4050000"/>
    <n v="54.89887762294637"/>
    <n v="0.0789641975308642"/>
    <m/>
    <d v="2016-06-21T00:00:00"/>
    <x v="1251"/>
    <s v="Fortis; Doug Passon"/>
    <x v="429"/>
    <s v="NY"/>
    <s v="Private"/>
    <m/>
    <m/>
    <n v="5330077"/>
    <n v="0.06000007129352915"/>
    <n v="0.7598389291561829"/>
    <n v="5330077"/>
    <n v="0.06000007129352915"/>
    <n v="0.01896412623733505"/>
    <s v="No"/>
    <d v="2015-09-01T00:00:00"/>
    <n v="294"/>
  </r>
  <r>
    <s v="LMO51002"/>
    <s v="SSA"/>
    <s v="Federal"/>
    <s v="Fee Simple"/>
    <s v="6320 Euclid Ave"/>
    <s v="Kansas City"/>
    <s v="MO"/>
    <n v="2.2"/>
    <n v="2004"/>
    <n v="11198"/>
    <n v="11198"/>
    <n v="1"/>
    <n v="379052.28"/>
    <n v="33.84999821396678"/>
    <n v="253800"/>
    <n v="22.6647615645651"/>
    <d v="2015-06-01T00:00:00"/>
    <d v="2020-05-31T00:00:00"/>
    <d v="2017-06-01T00:00:00"/>
    <n v="3.958904109589041"/>
    <n v="0.958904109589041"/>
    <s v="Modified Gross"/>
    <s v="None"/>
    <s v="None"/>
    <n v="2700000"/>
    <n v="241.114484729416"/>
    <n v="0.094"/>
    <m/>
    <d v="2016-06-16T00:00:00"/>
    <x v="1252"/>
    <s v="Kevin Curtain"/>
    <x v="46"/>
    <s v="OK"/>
    <s v="Private"/>
    <s v="M&amp;M; Ficke"/>
    <m/>
    <n v="2818000"/>
    <n v="0.0900638750887154"/>
    <n v="0.9581263307310149"/>
    <n v="2818000"/>
    <n v="0.0900638750887154"/>
    <n v="0.003936124911284603"/>
    <s v="No"/>
    <d v="2015-07-16T00:00:00"/>
    <n v="336"/>
  </r>
  <r>
    <s v="LIN17060"/>
    <s v="USDA&amp;GS"/>
    <s v="Federal"/>
    <s v="Fee Simple"/>
    <s v="5969 Lakeside Blvd"/>
    <s v="Indianapolis"/>
    <s v="IN"/>
    <n v="7.48"/>
    <n v="1985"/>
    <n v="75590"/>
    <n v="87932"/>
    <n v="0.8596415411909203"/>
    <n v="842048"/>
    <n v="11.139674560127"/>
    <m/>
    <s v=" "/>
    <d v="2002-08-01T00:00:00"/>
    <d v="2018-10-31T00:00:00"/>
    <d v="2015-11-01T00:00:00"/>
    <n v="2.378082191780822"/>
    <n v="-0.6219178082191781"/>
    <s v="Full Service"/>
    <s v="None"/>
    <s v="None"/>
    <n v="9275000"/>
    <n v="105.4792339535095"/>
    <s v=" "/>
    <m/>
    <d v="2016-06-15T00:00:00"/>
    <x v="1253"/>
    <s v="Direct"/>
    <x v="46"/>
    <s v="OK"/>
    <s v="Private"/>
    <s v="M&amp;M; Ficke"/>
    <m/>
    <m/>
    <s v=" "/>
    <s v=" "/>
    <m/>
    <s v=" "/>
    <s v=" "/>
    <s v=" "/>
    <m/>
    <s v=" "/>
  </r>
  <r>
    <s v="LIN17060"/>
    <s v="USDA&amp;GS"/>
    <s v="Federal"/>
    <s v="Fee Simple"/>
    <s v="5969 Lakeside Blvd"/>
    <s v="Indianapolis"/>
    <s v="IN"/>
    <n v="7.48"/>
    <n v="1985"/>
    <n v="75590"/>
    <n v="87932"/>
    <n v="0.8596415411909203"/>
    <n v="842048"/>
    <n v="11.139674560127"/>
    <m/>
    <s v=" "/>
    <d v="2002-08-01T00:00:00"/>
    <d v="2018-10-31T00:00:00"/>
    <d v="2015-11-01T00:00:00"/>
    <n v="2.378082191780822"/>
    <n v="-0.6219178082191781"/>
    <s v="Full Service"/>
    <s v="None"/>
    <s v="None"/>
    <n v="9275000"/>
    <n v="105.4792339535095"/>
    <s v=" "/>
    <m/>
    <d v="2016-06-15T00:00:00"/>
    <x v="1253"/>
    <m/>
    <x v="46"/>
    <s v="OK"/>
    <s v="Private"/>
    <s v="M&amp;M; Ficke"/>
    <m/>
    <m/>
    <s v=" "/>
    <s v=" "/>
    <m/>
    <s v=" "/>
    <s v=" "/>
    <s v=" "/>
    <m/>
    <s v=" "/>
  </r>
  <r>
    <m/>
    <s v="VA"/>
    <s v="Federal"/>
    <s v="Fee Simple"/>
    <s v="17440 Henderson Pass"/>
    <s v="San Antonio"/>
    <s v="TX"/>
    <n v="5.84"/>
    <n v="2006"/>
    <n v="30898"/>
    <n v="30898"/>
    <n v="1"/>
    <m/>
    <s v=" "/>
    <m/>
    <s v=" "/>
    <m/>
    <m/>
    <m/>
    <s v=" "/>
    <s v=" "/>
    <m/>
    <m/>
    <m/>
    <m/>
    <s v=" "/>
    <s v=" "/>
    <m/>
    <d v="2016-06-15T00:00:00"/>
    <x v="1254"/>
    <m/>
    <x v="1"/>
    <s v="IL"/>
    <s v="Private"/>
    <m/>
    <m/>
    <m/>
    <s v=" "/>
    <s v=" "/>
    <m/>
    <s v=" "/>
    <s v=" "/>
    <s v=" "/>
    <m/>
    <s v=" "/>
  </r>
  <r>
    <s v="LIA80014"/>
    <s v="SSA"/>
    <s v="Federal"/>
    <s v="Condominium"/>
    <s v="1100 6th St"/>
    <s v="Coralville"/>
    <s v="IA"/>
    <n v="0.36"/>
    <n v="2000"/>
    <n v="5912"/>
    <n v="5912"/>
    <n v="1"/>
    <n v="174112.84"/>
    <n v="29.45075101488498"/>
    <m/>
    <s v=" "/>
    <d v="2012-10-01T00:00:00"/>
    <d v="2027-09-30T00:00:00"/>
    <d v="2022-09-20T00:00:00"/>
    <n v="11.3041095890411"/>
    <n v="6.273972602739726"/>
    <s v="Modified Gross"/>
    <s v="None"/>
    <s v="None"/>
    <n v="1400000"/>
    <n v="236.8064952638701"/>
    <s v=" "/>
    <m/>
    <d v="2016-06-13T00:00:00"/>
    <x v="1255"/>
    <s v="Direct"/>
    <x v="889"/>
    <m/>
    <s v="Private"/>
    <m/>
    <m/>
    <m/>
    <s v=" "/>
    <s v=" "/>
    <m/>
    <s v=" "/>
    <s v=" "/>
    <s v=" "/>
    <m/>
    <s v=" "/>
  </r>
  <r>
    <s v="LCO13917"/>
    <s v="DOT"/>
    <s v="Federal"/>
    <s v="Fee Simple"/>
    <s v="12305 W Dakota Ave"/>
    <s v="Lakewood"/>
    <s v="CO"/>
    <n v="3.84"/>
    <n v="2005"/>
    <n v="19241"/>
    <n v="19241"/>
    <n v="1"/>
    <n v="459661.98"/>
    <n v="23.88971363234759"/>
    <n v="339019"/>
    <n v="17.61961436515774"/>
    <d v="2004-06-21T00:00:00"/>
    <d v="2024-06-20T00:00:00"/>
    <d v="2024-05-30T00:00:00"/>
    <n v="8.024657534246575"/>
    <n v="7.967123287671233"/>
    <s v="Modified Gross"/>
    <s v="None; $86k TI Amo"/>
    <s v="None"/>
    <n v="3879400"/>
    <n v="201.621537342134"/>
    <n v="0.0873895447749652"/>
    <m/>
    <d v="2016-06-13T00:00:00"/>
    <x v="1256"/>
    <s v="Direct"/>
    <x v="54"/>
    <s v="NC"/>
    <s v="REIT"/>
    <m/>
    <m/>
    <m/>
    <s v=" "/>
    <s v=" "/>
    <m/>
    <s v=" "/>
    <s v=" "/>
    <s v=" "/>
    <m/>
    <s v=" "/>
  </r>
  <r>
    <m/>
    <s v="DCR"/>
    <s v="State"/>
    <s v="Fee Simple"/>
    <s v="2233 E 69th St"/>
    <s v="Long Beach"/>
    <s v="CA"/>
    <n v="0.73"/>
    <n v="1987"/>
    <n v="15708"/>
    <n v="15708"/>
    <n v="1"/>
    <m/>
    <s v=" "/>
    <n v="748000"/>
    <n v="47.61904761904762"/>
    <m/>
    <d v="2020-06-30T00:00:00"/>
    <d v="2020-06-30T00:00:00"/>
    <n v="4.057534246575343"/>
    <n v="4.057534246575343"/>
    <s v="NNN"/>
    <m/>
    <m/>
    <n v="7700000"/>
    <n v="490.1960784313725"/>
    <n v="0.09714285714285714"/>
    <m/>
    <d v="2016-06-10T00:00:00"/>
    <x v="1257"/>
    <s v="CIF Group"/>
    <x v="497"/>
    <s v="TN"/>
    <s v="REIT"/>
    <m/>
    <m/>
    <m/>
    <s v=" "/>
    <s v=" "/>
    <m/>
    <s v=" "/>
    <s v=" "/>
    <s v=" "/>
    <m/>
    <s v=" "/>
  </r>
  <r>
    <s v="LOK16731"/>
    <s v="SSA"/>
    <s v="Federal"/>
    <s v="Fee Simple"/>
    <s v="200 NE 27th"/>
    <s v="Moore"/>
    <s v="OK"/>
    <n v="2.21"/>
    <n v="1999"/>
    <n v="17058"/>
    <n v="17058"/>
    <n v="1"/>
    <n v="523812.64"/>
    <n v="30.7077406495486"/>
    <n v="413632"/>
    <n v="24.24856372376598"/>
    <d v="2012-04-10T00:00:00"/>
    <d v="2027-04-09T00:00:00"/>
    <d v="2022-04-10T00:00:00"/>
    <n v="10.83561643835616"/>
    <n v="5.835616438356165"/>
    <s v="Modified Gross"/>
    <s v="None; TI Burnoff Flat"/>
    <s v="None"/>
    <n v="5249000"/>
    <n v="307.7148551999062"/>
    <n v="0.07880205753476853"/>
    <m/>
    <d v="2016-06-10T00:00:00"/>
    <x v="1256"/>
    <s v="Direct"/>
    <x v="54"/>
    <s v="NC"/>
    <s v="REIT"/>
    <m/>
    <m/>
    <m/>
    <s v=" "/>
    <s v=" "/>
    <m/>
    <s v=" "/>
    <s v=" "/>
    <s v=" "/>
    <m/>
    <s v=" "/>
  </r>
  <r>
    <s v="LMO90049"/>
    <s v="SSA"/>
    <s v="Federal"/>
    <s v="Fee Simple"/>
    <s v="800 South Bypass"/>
    <s v="Kennett"/>
    <s v="MO"/>
    <n v="1.17"/>
    <n v="1991"/>
    <n v="7316"/>
    <n v="7316"/>
    <n v="1"/>
    <n v="197388.96"/>
    <n v="26.98044833242209"/>
    <m/>
    <s v=" "/>
    <d v="2011-09-14T00:00:00"/>
    <d v="2021-09-13T00:00:00"/>
    <d v="2018-09-14T00:00:00"/>
    <n v="5.265753424657534"/>
    <n v="2.265753424657534"/>
    <s v="Modified Gross"/>
    <s v="None"/>
    <s v="None"/>
    <m/>
    <s v=" "/>
    <s v=" "/>
    <m/>
    <d v="2016-06-09T00:00:00"/>
    <x v="1258"/>
    <s v="Direct"/>
    <x v="46"/>
    <s v="OK"/>
    <s v="Private"/>
    <s v="M&amp;M; Ficke"/>
    <m/>
    <m/>
    <s v=" "/>
    <s v=" "/>
    <m/>
    <s v=" "/>
    <s v=" "/>
    <s v=" "/>
    <m/>
    <s v=" "/>
  </r>
  <r>
    <s v="LTX15713"/>
    <s v="SSA"/>
    <s v="Federal"/>
    <s v="Fee Simple"/>
    <s v="2901 Victory Ln"/>
    <s v="Brenham"/>
    <s v="TX"/>
    <n v="1.26"/>
    <n v="2006"/>
    <n v="6524"/>
    <n v="6524"/>
    <n v="1"/>
    <n v="153846.02"/>
    <n v="23.58154812998161"/>
    <n v="115498"/>
    <n v="17.70355610055181"/>
    <d v="2006-12-07T00:00:00"/>
    <d v="2021-12-06T00:00:00"/>
    <d v="2016-12-07T00:00:00"/>
    <n v="5.498630136986302"/>
    <n v="0.4986301369863014"/>
    <s v="Modified Gross"/>
    <s v="None"/>
    <s v="None"/>
    <n v="1442306.4375"/>
    <n v="221.0770137185775"/>
    <n v="0.08007868300178755"/>
    <m/>
    <d v="2016-06-08T00:00:00"/>
    <x v="1259"/>
    <s v="Oldham Goodwin"/>
    <x v="890"/>
    <s v="TX"/>
    <s v="Private"/>
    <m/>
    <m/>
    <m/>
    <s v=" "/>
    <s v=" "/>
    <m/>
    <s v=" "/>
    <s v=" "/>
    <s v=" "/>
    <d v="2015-02-27T00:00:00"/>
    <n v="467"/>
  </r>
  <r>
    <m/>
    <s v="FS"/>
    <s v="Federal"/>
    <s v="Fee Simple"/>
    <s v="595 NW Industrial Way"/>
    <s v="Estacada"/>
    <s v="OR"/>
    <n v="1.76"/>
    <n v="1984"/>
    <n v="15220"/>
    <n v="15220"/>
    <n v="1"/>
    <n v="302508"/>
    <n v="19.87568988173456"/>
    <n v="244106"/>
    <n v="16.03850197109067"/>
    <d v="2012-06-01T00:00:00"/>
    <d v="2017-05-31T00:00:00"/>
    <d v="2017-05-31T00:00:00"/>
    <n v="0.9780821917808219"/>
    <n v="0.9780821917808219"/>
    <s v="Modified Gross"/>
    <s v="None"/>
    <s v="None"/>
    <n v="2390000"/>
    <n v="157.0302233902759"/>
    <n v="0.1021364016736402"/>
    <m/>
    <d v="2016-06-08T00:00:00"/>
    <x v="680"/>
    <s v="Direct"/>
    <x v="46"/>
    <s v="OK"/>
    <s v="Private"/>
    <s v="M&amp;M; Ficke"/>
    <m/>
    <m/>
    <s v=" "/>
    <s v=" "/>
    <m/>
    <s v=" "/>
    <s v=" "/>
    <s v=" "/>
    <m/>
    <s v=" "/>
  </r>
  <r>
    <s v="LOH17910"/>
    <s v="SSA"/>
    <s v="Federal"/>
    <s v="Fee Simple"/>
    <s v="401 W North St"/>
    <s v="Lima"/>
    <s v="OH"/>
    <n v="0.93"/>
    <n v="1976"/>
    <n v="27106"/>
    <n v="27106"/>
    <n v="1"/>
    <n v="426743.74"/>
    <n v="15.74351582675422"/>
    <n v="451000"/>
    <n v="16.63838264590866"/>
    <d v="2011-01-01T00:00:00"/>
    <d v="2020-12-31T00:00:00"/>
    <d v="2016-01-01T00:00:00"/>
    <n v="4.567123287671233"/>
    <n v="-0.4356164383561644"/>
    <s v="Modified Gross"/>
    <s v="None"/>
    <s v="None"/>
    <n v="4400000"/>
    <n v="162.3256843503283"/>
    <n v="0.1025"/>
    <m/>
    <d v="2016-06-08T00:00:00"/>
    <x v="1260"/>
    <s v="Fortis; Doug Passon"/>
    <x v="46"/>
    <s v="OK"/>
    <s v="Private"/>
    <s v="M&amp;M; Ficke"/>
    <m/>
    <m/>
    <s v=" "/>
    <s v=" "/>
    <m/>
    <s v=" "/>
    <s v=" "/>
    <s v=" "/>
    <m/>
    <s v=" "/>
  </r>
  <r>
    <s v="LOH18698"/>
    <s v="SSA"/>
    <s v="Federal"/>
    <s v="Fee Simple"/>
    <s v="4906 Monroe St"/>
    <s v="Toledo"/>
    <s v="OH"/>
    <n v="1.93"/>
    <n v="1994"/>
    <n v="9862"/>
    <n v="12922"/>
    <n v="0.7631945519269463"/>
    <n v="343837.97"/>
    <n v="34.86493307645507"/>
    <m/>
    <s v=" "/>
    <d v="2012-11-29T00:00:00"/>
    <d v="2022-11-28T00:00:00"/>
    <d v="2022-11-28T00:00:00"/>
    <n v="6.47945205479452"/>
    <n v="6.47945205479452"/>
    <s v="Modified Gross"/>
    <s v="None"/>
    <s v="None"/>
    <n v="3400000"/>
    <n v="263.1171645256152"/>
    <s v=" "/>
    <m/>
    <d v="2016-06-07T00:00:00"/>
    <x v="1261"/>
    <s v="Signature"/>
    <x v="46"/>
    <s v="OK"/>
    <s v="Private"/>
    <s v="M&amp;M; Ficke"/>
    <m/>
    <m/>
    <s v=" "/>
    <s v=" "/>
    <m/>
    <s v=" "/>
    <s v=" "/>
    <s v=" "/>
    <m/>
    <s v=" "/>
  </r>
  <r>
    <s v="LOK17037"/>
    <s v="SSA"/>
    <s v="Federal"/>
    <s v="Fee Simple"/>
    <s v="1610 SW Lee Blvd"/>
    <s v="Lawton"/>
    <s v="OK"/>
    <n v="0.85"/>
    <n v="1999"/>
    <n v="9298"/>
    <n v="9298"/>
    <n v="1"/>
    <n v="287782.58"/>
    <n v="30.95101957410196"/>
    <n v="211150"/>
    <n v="22.70918477091848"/>
    <d v="2015-08-17T00:00:00"/>
    <d v="2025-08-16T00:00:00"/>
    <d v="2020-08-17T00:00:00"/>
    <n v="9.199999999999999"/>
    <n v="4.2"/>
    <s v="Modified Gross"/>
    <s v="TI Bleeds Off; $76k"/>
    <s v="None"/>
    <n v="1098500"/>
    <n v="118.1436868143687"/>
    <n v="0.1922166590805644"/>
    <m/>
    <d v="2016-06-06T00:00:00"/>
    <x v="1256"/>
    <s v="Direct"/>
    <x v="54"/>
    <s v="NC"/>
    <s v="REIT"/>
    <m/>
    <m/>
    <m/>
    <s v=" "/>
    <s v=" "/>
    <m/>
    <s v=" "/>
    <s v=" "/>
    <s v=" "/>
    <m/>
    <s v=" "/>
  </r>
  <r>
    <m/>
    <s v="Soc. Ser."/>
    <s v="State"/>
    <s v="Fee Simple"/>
    <s v="1 N Frederick St"/>
    <s v="Cumberland"/>
    <s v="MD"/>
    <n v="0.342"/>
    <n v="1998"/>
    <n v="39668.859"/>
    <n v="45770"/>
    <n v="0.8667000000000001"/>
    <m/>
    <s v=" "/>
    <n v="499000"/>
    <n v="10.9023377758357"/>
    <m/>
    <d v="2019-11-30T00:00:00"/>
    <m/>
    <n v="3.498630136986301"/>
    <s v=" "/>
    <s v="Full Service"/>
    <s v="None"/>
    <s v="None"/>
    <n v="6117000"/>
    <n v="133.6464933362464"/>
    <n v="0.08157593591629884"/>
    <m/>
    <d v="2016-06-01T00:00:00"/>
    <x v="1262"/>
    <m/>
    <x v="429"/>
    <s v="NY"/>
    <s v="Private"/>
    <m/>
    <m/>
    <m/>
    <s v=" "/>
    <s v=" "/>
    <m/>
    <s v=" "/>
    <s v=" "/>
    <s v=" "/>
    <m/>
    <s v=" "/>
  </r>
  <r>
    <s v="LOH16933"/>
    <s v="SSA"/>
    <s v="Federal"/>
    <s v="Fee Simple"/>
    <s v="6553 Winford Ave"/>
    <s v="Hamilton"/>
    <s v="OH"/>
    <n v="1.27"/>
    <n v="2003"/>
    <n v="10900"/>
    <n v="10900"/>
    <n v="1"/>
    <n v="263706.2"/>
    <n v="24.19322935779817"/>
    <m/>
    <s v=" "/>
    <d v="2003-09-09T00:00:00"/>
    <d v="2023-09-08T00:00:00"/>
    <d v="2013-09-08T00:00:00"/>
    <n v="7.273972602739726"/>
    <n v="-2.731506849315068"/>
    <s v="Modified Gross"/>
    <s v="None"/>
    <s v="None"/>
    <n v="1200000"/>
    <n v="110.0917431192661"/>
    <s v=" "/>
    <m/>
    <d v="2016-06-01T00:00:00"/>
    <x v="611"/>
    <m/>
    <x v="891"/>
    <s v="OH"/>
    <s v="Private"/>
    <m/>
    <m/>
    <m/>
    <s v=" "/>
    <s v=" "/>
    <m/>
    <s v=" "/>
    <s v=" "/>
    <s v=" "/>
    <m/>
    <s v=" "/>
  </r>
  <r>
    <m/>
    <s v="Wisconsin - Data Center"/>
    <s v="State"/>
    <s v="Fee Simple"/>
    <s v="5815 Femrite Drive"/>
    <s v="Madison"/>
    <s v="WI"/>
    <n v="11.09"/>
    <n v="2006"/>
    <n v="56889"/>
    <n v="56889"/>
    <n v="1"/>
    <m/>
    <s v=" "/>
    <n v="2125941.93"/>
    <n v="37.37"/>
    <d v="2006-04-01T00:00:00"/>
    <d v="2022-03-31T00:00:00"/>
    <d v="2022-03-31T00:00:00"/>
    <n v="5.832876712328767"/>
    <n v="5.832876712328767"/>
    <s v="NNN"/>
    <s v="2% annually"/>
    <s v="None"/>
    <n v="22500000"/>
    <n v="395.5070400253124"/>
    <n v="0.094486308"/>
    <m/>
    <d v="2016-06-01T00:00:00"/>
    <x v="1263"/>
    <s v="Orr"/>
    <x v="892"/>
    <s v="WI"/>
    <s v="User/Owner"/>
    <m/>
    <m/>
    <m/>
    <s v=" "/>
    <s v=" "/>
    <m/>
    <s v=" "/>
    <s v=" "/>
    <s v=" "/>
    <m/>
    <s v=" "/>
  </r>
  <r>
    <s v="LCA97187"/>
    <s v="DHS"/>
    <s v="Federal"/>
    <s v="Fee Simple"/>
    <s v="9020 Airway Dr"/>
    <s v="San Diego"/>
    <s v="CA"/>
    <n v="30.72"/>
    <m/>
    <n v="4000"/>
    <n v="4000"/>
    <n v="1"/>
    <n v="684175.2"/>
    <n v="171.0438"/>
    <n v="519917"/>
    <n v="129.97925"/>
    <d v="1998-08-06T00:00:00"/>
    <d v="2018-08-05T00:00:00"/>
    <m/>
    <n v="2.180821917808219"/>
    <s v=" "/>
    <s v="FS"/>
    <m/>
    <s v="None"/>
    <n v="8750000"/>
    <n v="2187.5"/>
    <n v="0.05941908571428572"/>
    <m/>
    <d v="2016-05-31T00:00:00"/>
    <x v="681"/>
    <s v="Colliers; Mark Lewkowitz"/>
    <x v="893"/>
    <s v="CA"/>
    <s v="Institutional"/>
    <m/>
    <m/>
    <m/>
    <s v=" "/>
    <s v=" "/>
    <m/>
    <s v=" "/>
    <s v=" "/>
    <s v=" "/>
    <m/>
    <s v=" "/>
  </r>
  <r>
    <s v="LCA97187"/>
    <s v="DHS"/>
    <s v="Federal"/>
    <s v="Fee Simple"/>
    <s v="9020 Airway Dr"/>
    <s v="San Diego"/>
    <s v="CA"/>
    <n v="30.72"/>
    <n v="1998"/>
    <n v="4000"/>
    <n v="4000"/>
    <n v="1"/>
    <n v="684175.2"/>
    <n v="171.0438"/>
    <n v="519917"/>
    <n v="129.97925"/>
    <d v="1998-08-06T00:00:00"/>
    <d v="2018-08-05T00:00:00"/>
    <d v="2013-08-05T00:00:00"/>
    <n v="2.180821917808219"/>
    <n v="-2.821917808219178"/>
    <s v="Modified Gross"/>
    <s v="None"/>
    <s v="None"/>
    <n v="8750000"/>
    <n v="2187.5"/>
    <n v="0.05941908571428572"/>
    <m/>
    <d v="2016-05-31T00:00:00"/>
    <x v="681"/>
    <s v="Colliers; Mark Lewkowitz"/>
    <x v="893"/>
    <s v="CA"/>
    <s v="Institutional"/>
    <m/>
    <m/>
    <n v="12350000"/>
    <n v="0.04209854251012145"/>
    <n v="0.708502024291498"/>
    <n v="12350000"/>
    <n v="0.04209854251012145"/>
    <n v="0.01732054320416426"/>
    <s v="No"/>
    <d v="2012-08-23T00:00:00"/>
    <n v="1377"/>
  </r>
  <r>
    <m/>
    <s v="SCCMHA"/>
    <s v="County"/>
    <s v="Fee Simple"/>
    <s v="1040 N Towerline Road"/>
    <s v="Saginaw"/>
    <s v="MI"/>
    <n v="3"/>
    <n v="2001"/>
    <n v="14519"/>
    <n v="14519"/>
    <n v="1"/>
    <m/>
    <s v=" "/>
    <n v="98912.5"/>
    <n v="6.812624836421241"/>
    <m/>
    <m/>
    <m/>
    <s v=" "/>
    <s v=" "/>
    <m/>
    <m/>
    <m/>
    <n v="965000"/>
    <n v="66.46463255045113"/>
    <n v="0.1025"/>
    <m/>
    <d v="2016-05-26T00:00:00"/>
    <x v="1264"/>
    <m/>
    <x v="894"/>
    <s v="MA"/>
    <s v="Private"/>
    <m/>
    <m/>
    <n v="1098666"/>
    <n v="0.09002963594031307"/>
    <n v="0.8783379116128105"/>
    <n v="1098666"/>
    <n v="0.09002963594031307"/>
    <n v="0.01247036405968692"/>
    <s v="No"/>
    <m/>
    <s v=" "/>
  </r>
  <r>
    <s v="LVA03441"/>
    <s v="SSA"/>
    <s v="Federal"/>
    <s v="Fee Simple"/>
    <s v="100 Poplar Rd"/>
    <s v="Petersburg"/>
    <s v="VA"/>
    <n v="1.84"/>
    <n v="2003"/>
    <n v="13360"/>
    <n v="13360"/>
    <n v="1"/>
    <n v="246828.49"/>
    <n v="18.47518637724551"/>
    <n v="123610"/>
    <n v="9.252245508982035"/>
    <d v="2005-05-05T00:00:00"/>
    <d v="2018-09-04T00:00:00"/>
    <d v="2018-09-04T00:00:00"/>
    <n v="2.282191780821918"/>
    <n v="2.282191780821918"/>
    <s v="Modified Gross"/>
    <s v="None"/>
    <s v="None"/>
    <n v="1200000"/>
    <n v="89.82035928143712"/>
    <n v="0.1030083333333333"/>
    <m/>
    <d v="2016-05-24T00:00:00"/>
    <x v="611"/>
    <m/>
    <x v="895"/>
    <s v="VA"/>
    <s v="Private"/>
    <m/>
    <m/>
    <m/>
    <s v=" "/>
    <s v=" "/>
    <m/>
    <s v=" "/>
    <s v=" "/>
    <s v=" "/>
    <m/>
    <s v=" "/>
  </r>
  <r>
    <m/>
    <s v="VA"/>
    <s v="Federal"/>
    <s v="Fee Simple"/>
    <s v="930-932 Furman Drive"/>
    <s v="Waupaca"/>
    <s v="WI"/>
    <n v="1.5"/>
    <n v="2000"/>
    <n v="1111"/>
    <n v="6171"/>
    <n v="0.1800356506238859"/>
    <n v="133516"/>
    <n v="120.1764176417642"/>
    <n v="110099.68"/>
    <n v="17.84146491654513"/>
    <d v="2016-01-01T00:00:00"/>
    <d v="2026-01-28T00:00:00"/>
    <d v="2021-01-28T00:00:00"/>
    <n v="9.698630136986301"/>
    <n v="4.695890410958904"/>
    <s v="Modified Gross"/>
    <s v="None; DVA 2% annually"/>
    <s v="3, 5 year"/>
    <n v="1385000"/>
    <n v="224.4368821908929"/>
    <n v="0.07949435379061372"/>
    <m/>
    <d v="2016-05-20T00:00:00"/>
    <x v="8"/>
    <s v="M&amp;M; Sharko"/>
    <x v="0"/>
    <m/>
    <m/>
    <m/>
    <m/>
    <n v="1448680"/>
    <n v="0.076"/>
    <n v="0.9560427423585609"/>
    <n v="1448640"/>
    <n v="0.07600209851999117"/>
    <n v="0.003492255270622552"/>
    <s v="Yes"/>
    <d v="2016-01-27T00:00:00"/>
    <n v="114"/>
  </r>
  <r>
    <s v="LNE30057"/>
    <s v="NPS"/>
    <s v="Federal"/>
    <s v="Fee Simple"/>
    <s v="601 Riverfront Dr"/>
    <s v="Omaha"/>
    <s v="NE"/>
    <n v="4.81"/>
    <n v="2004"/>
    <n v="62772"/>
    <n v="62772"/>
    <n v="1"/>
    <n v="1584489.87"/>
    <n v="25.24198480214108"/>
    <m/>
    <s v=" "/>
    <d v="2004-06-21T00:00:00"/>
    <d v="2024-06-20T00:00:00"/>
    <d v="2024-06-20T00:00:00"/>
    <n v="8.093150684931507"/>
    <n v="8.093150684931507"/>
    <s v="Modified Gross"/>
    <s v="None"/>
    <s v="None"/>
    <n v="17900000"/>
    <n v="285.1589880838591"/>
    <s v=" "/>
    <m/>
    <d v="2016-05-19T00:00:00"/>
    <x v="1265"/>
    <s v="Direct"/>
    <x v="3"/>
    <s v="DC"/>
    <s v="REIT"/>
    <m/>
    <m/>
    <m/>
    <s v=" "/>
    <s v=" "/>
    <m/>
    <s v=" "/>
    <s v=" "/>
    <s v=" "/>
    <m/>
    <s v=" "/>
  </r>
  <r>
    <s v="LDC01852"/>
    <s v="CBP"/>
    <s v="Federal"/>
    <s v="Fee Simple"/>
    <s v="1400 L Street NW"/>
    <s v="Washington"/>
    <s v="DC"/>
    <n v="0.38"/>
    <n v="1987"/>
    <n v="82664"/>
    <n v="173688"/>
    <n v="0.4759338584127861"/>
    <n v="3229926.51"/>
    <n v="39.07295207103455"/>
    <n v="4300000"/>
    <n v="24.75703560407167"/>
    <d v="2005-09-01T00:00:00"/>
    <d v="2018-08-31T00:00:00"/>
    <m/>
    <n v="2.287671232876712"/>
    <s v=" "/>
    <s v="FS"/>
    <m/>
    <s v="None"/>
    <n v="70000000"/>
    <n v="403.0215098337248"/>
    <n v="0.06142857142857143"/>
    <m/>
    <d v="2016-05-18T00:00:00"/>
    <x v="1266"/>
    <s v="Eastdil"/>
    <x v="896"/>
    <s v="CA"/>
    <s v="Institutional"/>
    <m/>
    <m/>
    <m/>
    <s v=" "/>
    <s v=" "/>
    <m/>
    <s v=" "/>
    <s v=" "/>
    <s v=" "/>
    <m/>
    <s v=" "/>
  </r>
  <r>
    <s v="LUT14917"/>
    <s v="BLM"/>
    <s v="Federal"/>
    <s v="Fee Simple"/>
    <s v="176 E. DL Sargent Drive"/>
    <s v="Cedar City"/>
    <s v="UT"/>
    <n v="3.07"/>
    <n v="2017"/>
    <n v="18026.3"/>
    <n v="18026"/>
    <n v="1.000016642627316"/>
    <n v="278324.7"/>
    <n v="15.43992388898443"/>
    <m/>
    <s v=" "/>
    <d v="2017-02-01T00:00:00"/>
    <d v="2036-01-31T00:00:00"/>
    <d v="2036-01-31T00:00:00"/>
    <n v="19.72328767123288"/>
    <n v="19.72328767123288"/>
    <s v="Modified Gross"/>
    <s v="None"/>
    <s v="None"/>
    <m/>
    <s v=" "/>
    <s v=" "/>
    <m/>
    <d v="2016-05-16T00:00:00"/>
    <x v="1267"/>
    <m/>
    <x v="897"/>
    <s v="UT"/>
    <s v="Private"/>
    <m/>
    <m/>
    <m/>
    <s v=" "/>
    <s v=" "/>
    <m/>
    <s v=" "/>
    <s v=" "/>
    <s v=" "/>
    <m/>
    <s v=" "/>
  </r>
  <r>
    <m/>
    <s v="ICE"/>
    <s v="Federal"/>
    <s v="Fee Simple"/>
    <s v="7355 N Woodland Dr"/>
    <s v="Indianapolis"/>
    <s v="IN"/>
    <n v="2.88"/>
    <s v="1983 | 2016"/>
    <n v="15193"/>
    <n v="15193"/>
    <n v="1"/>
    <m/>
    <s v=" "/>
    <n v="337110"/>
    <n v="22.18850786546436"/>
    <m/>
    <d v="2026-05-15T00:00:00"/>
    <d v="2026-05-15T00:00:00"/>
    <n v="10.00547945205479"/>
    <n v="10.00547945205479"/>
    <m/>
    <m/>
    <m/>
    <n v="5100000"/>
    <n v="335.6809056802475"/>
    <n v="0.06610000000000001"/>
    <m/>
    <d v="2016-05-15T00:00:00"/>
    <x v="8"/>
    <s v="M&amp;M; Trautvetter"/>
    <x v="898"/>
    <m/>
    <m/>
    <m/>
    <m/>
    <m/>
    <s v=" "/>
    <s v=" "/>
    <m/>
    <s v=" "/>
    <s v=" "/>
    <s v=" "/>
    <m/>
    <s v=" "/>
  </r>
  <r>
    <s v="LAZ03186"/>
    <s v="BLM"/>
    <s v="Federal"/>
    <s v="Fee Simple"/>
    <s v="1785 Kiowa Ave"/>
    <s v="Lake Havasu City"/>
    <s v="AZ"/>
    <n v="4.81"/>
    <n v="2016"/>
    <n v="13563"/>
    <n v="13563"/>
    <n v="1"/>
    <n v="393472.29"/>
    <n v="29.01071223180712"/>
    <n v="353125"/>
    <n v="26.03590651035907"/>
    <d v="2016-04-28T00:00:00"/>
    <d v="2036-04-27T00:00:00"/>
    <d v="2031-04-28T00:00:00"/>
    <n v="19.97534246575342"/>
    <n v="14.97260273972603"/>
    <s v="Modified Gross"/>
    <s v="None"/>
    <s v="None"/>
    <n v="5300000"/>
    <n v="390.76900390769"/>
    <n v="0.06662735849056604"/>
    <m/>
    <d v="2016-05-11T00:00:00"/>
    <x v="345"/>
    <s v="C&amp;W; Travis Trautvetter"/>
    <x v="899"/>
    <s v="CA"/>
    <s v="Private"/>
    <s v="Compass; Gregory Terry"/>
    <m/>
    <n v="5650000"/>
    <n v="0.0625"/>
    <n v="0.9380530973451328"/>
    <n v="5650000"/>
    <n v="0.0625"/>
    <n v="0.004127358490566044"/>
    <s v="No"/>
    <m/>
    <s v=" "/>
  </r>
  <r>
    <s v="LCA03054"/>
    <s v="SSA"/>
    <s v="Federal"/>
    <s v="Fee Simple"/>
    <s v="1521 N Carpenter Rd"/>
    <s v="Modesto"/>
    <s v="CA"/>
    <n v="2.29"/>
    <n v="2003"/>
    <n v="22352"/>
    <n v="24587"/>
    <n v="0.909098303981779"/>
    <n v="556379.48"/>
    <n v="24.89170901932713"/>
    <n v="282100.98"/>
    <n v="11.47358278765201"/>
    <d v="2013-11-06T00:00:00"/>
    <d v="2028-11-05T00:00:00"/>
    <d v="2023-11-06T00:00:00"/>
    <n v="12.4958904109589"/>
    <n v="7.493150684931507"/>
    <s v="Modified Gross"/>
    <s v="None"/>
    <s v="None"/>
    <n v="2336500"/>
    <n v="95.02989384634157"/>
    <n v="0.1207365632356088"/>
    <m/>
    <d v="2016-05-11T00:00:00"/>
    <x v="1268"/>
    <m/>
    <x v="900"/>
    <s v="TX"/>
    <s v="Private"/>
    <m/>
    <m/>
    <m/>
    <s v=" "/>
    <s v=" "/>
    <m/>
    <s v=" "/>
    <s v=" "/>
    <s v=" "/>
    <m/>
    <s v=" "/>
  </r>
  <r>
    <s v="LVA12694"/>
    <s v="DHS"/>
    <s v="Federal"/>
    <s v="Fee Simple"/>
    <s v="1110 N Glebe Rd"/>
    <s v="Arlington"/>
    <s v="VA"/>
    <n v="1.36"/>
    <n v="1988"/>
    <n v="120435"/>
    <n v="233929"/>
    <n v="0.514835698010935"/>
    <n v="4425986.25"/>
    <n v="36.75"/>
    <n v="4937500"/>
    <n v="21.10683156000325"/>
    <d v="2015-10-01T00:00:00"/>
    <d v="2025-09-30T00:00:00"/>
    <d v="2020-10-01T00:00:00"/>
    <n v="9.408219178082192"/>
    <n v="4.408219178082192"/>
    <s v="Modified Gross"/>
    <s v="None"/>
    <s v="None"/>
    <n v="78650000"/>
    <n v="336.2131244950391"/>
    <n v="0.06277813095994914"/>
    <m/>
    <d v="2016-05-06T00:00:00"/>
    <x v="1071"/>
    <s v="Eastdil"/>
    <x v="2"/>
    <s v="VA"/>
    <s v="Private"/>
    <m/>
    <m/>
    <m/>
    <s v=" "/>
    <s v=" "/>
    <m/>
    <s v=" "/>
    <s v=" "/>
    <s v=" "/>
    <m/>
    <s v=" "/>
  </r>
  <r>
    <s v="LGA62335"/>
    <s v="SSA"/>
    <s v="Federal"/>
    <s v="Fee Simple"/>
    <s v="220 Carl Vinson Pky"/>
    <s v="Warner Robins"/>
    <s v="GA"/>
    <n v="1.26"/>
    <n v="2001"/>
    <n v="10290"/>
    <n v="10290"/>
    <n v="1"/>
    <n v="221464.79"/>
    <n v="21.52233138969874"/>
    <n v="161200"/>
    <n v="15.66569484936832"/>
    <d v="2012-06-10T00:00:00"/>
    <d v="2027-06-09T00:00:00"/>
    <d v="2022-06-10T00:00:00"/>
    <n v="11.1041095890411"/>
    <n v="6.104109589041096"/>
    <s v="Modified Gross"/>
    <s v="None"/>
    <s v="None"/>
    <n v="2015000"/>
    <n v="195.821185617104"/>
    <n v="0.08"/>
    <m/>
    <d v="2016-05-04T00:00:00"/>
    <x v="1269"/>
    <s v="SJC; Corriston"/>
    <x v="901"/>
    <s v="MT"/>
    <s v="Private"/>
    <m/>
    <m/>
    <n v="2142083"/>
    <n v="0.07525385337542943"/>
    <n v="0.9406731671928679"/>
    <n v="2142083"/>
    <n v="0.07525385337542943"/>
    <n v="0.004746146624570569"/>
    <s v="No"/>
    <d v="2015-12-04T00:00:00"/>
    <n v="152"/>
  </r>
  <r>
    <m/>
    <s v="USPS"/>
    <s v="Federal"/>
    <s v="Fee Simple"/>
    <s v="3751 W 6th St"/>
    <s v="Los Angeles"/>
    <s v="CA"/>
    <n v="0.79"/>
    <n v="1959"/>
    <n v="16854"/>
    <n v="16854"/>
    <n v="1"/>
    <m/>
    <s v=" "/>
    <m/>
    <s v=" "/>
    <m/>
    <m/>
    <m/>
    <s v=" "/>
    <s v=" "/>
    <m/>
    <m/>
    <m/>
    <n v="14000000"/>
    <n v="830.6633440132906"/>
    <s v=" "/>
    <m/>
    <d v="2016-05-01T00:00:00"/>
    <x v="8"/>
    <m/>
    <x v="0"/>
    <m/>
    <m/>
    <m/>
    <m/>
    <m/>
    <s v=" "/>
    <s v=" "/>
    <m/>
    <s v=" "/>
    <s v=" "/>
    <s v=" "/>
    <m/>
    <s v=" "/>
  </r>
  <r>
    <s v="LCA96426"/>
    <s v="SSA"/>
    <s v="Federal"/>
    <s v="Leasehold"/>
    <s v="1051-1059 1st St"/>
    <s v="Gilroy"/>
    <s v="CA"/>
    <n v="2.27"/>
    <n v="1980"/>
    <n v="5743"/>
    <n v="22754"/>
    <n v="0.252395183264481"/>
    <n v="187713"/>
    <n v="32.68553021069128"/>
    <m/>
    <s v=" "/>
    <d v="2000-05-25T00:00:00"/>
    <d v="2017-05-31T00:00:00"/>
    <d v="2016-11-30T00:00:00"/>
    <n v="1.087671232876712"/>
    <n v="0.589041095890411"/>
    <s v="Modified Gross"/>
    <s v="None"/>
    <s v="None"/>
    <n v="1265000"/>
    <n v="55.59462072602619"/>
    <s v=" "/>
    <m/>
    <d v="2016-04-29T00:00:00"/>
    <x v="1270"/>
    <m/>
    <x v="902"/>
    <s v="CA"/>
    <s v="Private"/>
    <m/>
    <m/>
    <n v="1265000"/>
    <s v=" "/>
    <n v="1"/>
    <n v="1265000"/>
    <s v=" "/>
    <s v=" "/>
    <s v="No"/>
    <d v="2015-11-19T00:00:00"/>
    <n v="162"/>
  </r>
  <r>
    <s v="LMO90123"/>
    <s v="SSA"/>
    <s v="Federal"/>
    <s v="Fee Simple"/>
    <s v="3520 S Noland Rd"/>
    <s v="Independence"/>
    <s v="MO"/>
    <n v="1.92"/>
    <n v="1974"/>
    <n v="15737"/>
    <n v="31952"/>
    <n v="0.4925200300450676"/>
    <n v="542062.5600000001"/>
    <n v="34.44510135349813"/>
    <m/>
    <s v=" "/>
    <d v="2011-12-02T00:00:00"/>
    <d v="2021-12-01T00:00:00"/>
    <d v="2018-12-02T00:00:00"/>
    <n v="5.597260273972603"/>
    <n v="2.597260273972603"/>
    <s v="Modified Gross"/>
    <s v="None"/>
    <s v="None"/>
    <n v="5081836.5"/>
    <n v="159.0459595643465"/>
    <s v=" "/>
    <m/>
    <d v="2016-04-28T00:00:00"/>
    <x v="1271"/>
    <s v="Direct"/>
    <x v="903"/>
    <s v="MO"/>
    <s v="Private"/>
    <m/>
    <m/>
    <m/>
    <s v=" "/>
    <s v=" "/>
    <m/>
    <s v=" "/>
    <s v=" "/>
    <s v=" "/>
    <m/>
    <s v=" "/>
  </r>
  <r>
    <s v="LCA02764"/>
    <s v="FBI"/>
    <s v="Federal"/>
    <s v="Fee Simple"/>
    <s v="4000 W Metropolitan Dr"/>
    <s v="Orange"/>
    <s v="CA"/>
    <n v="7.4"/>
    <n v="1985"/>
    <n v="98643"/>
    <n v="182935"/>
    <n v="0.539224314647279"/>
    <n v="3687828.72"/>
    <n v="37.38560992670539"/>
    <n v="3528000"/>
    <n v="19.28553857927679"/>
    <d v="2012-07-11T00:00:00"/>
    <d v="2032-07-10T00:00:00"/>
    <d v="2032-07-10T00:00:00"/>
    <n v="16.22739726027397"/>
    <n v="16.22739726027397"/>
    <s v="FS"/>
    <m/>
    <s v="None"/>
    <n v="61000000"/>
    <n v="333.4517724874955"/>
    <n v="0.05783606557377049"/>
    <m/>
    <d v="2016-04-22T00:00:00"/>
    <x v="1272"/>
    <s v="Direct"/>
    <x v="1"/>
    <s v="IL"/>
    <s v="Private"/>
    <m/>
    <m/>
    <m/>
    <s v=" "/>
    <s v=" "/>
    <m/>
    <s v=" "/>
    <s v=" "/>
    <s v=" "/>
    <m/>
    <s v=" "/>
  </r>
  <r>
    <s v="LPA12002"/>
    <s v="USCIS"/>
    <s v="Federal"/>
    <s v="Fee Simple"/>
    <s v="30 N 41st St"/>
    <s v="Philadelphia"/>
    <s v="PA"/>
    <n v="0.62"/>
    <n v="2013"/>
    <n v="55288"/>
    <n v="96916"/>
    <n v="0.5704733996450535"/>
    <n v="1909979.88"/>
    <n v="34.54601143105194"/>
    <m/>
    <s v=" "/>
    <d v="2013-09-12T00:00:00"/>
    <d v="2028-09-11T00:00:00"/>
    <d v="2023-09-12T00:00:00"/>
    <n v="12.4"/>
    <n v="7.397260273972603"/>
    <s v="FS"/>
    <m/>
    <s v="None"/>
    <n v="41250000"/>
    <n v="425.6263155722481"/>
    <s v=" "/>
    <m/>
    <d v="2016-04-21T00:00:00"/>
    <x v="1273"/>
    <s v="Newmark; David Dolan"/>
    <x v="904"/>
    <m/>
    <s v="Cross-Border"/>
    <m/>
    <m/>
    <m/>
    <s v=" "/>
    <s v=" "/>
    <m/>
    <s v=" "/>
    <s v=" "/>
    <s v=" "/>
    <m/>
    <s v=" "/>
  </r>
  <r>
    <s v="LCA02109"/>
    <s v="SSA"/>
    <s v="Federal"/>
    <s v="Fee Simple"/>
    <s v="900 S Harbor Blvd"/>
    <s v="Anaheim"/>
    <s v="CA"/>
    <n v="1.27"/>
    <n v="2009"/>
    <n v="17878"/>
    <n v="17878"/>
    <n v="1"/>
    <n v="1329544.99"/>
    <n v="74.36765801543797"/>
    <m/>
    <s v=" "/>
    <d v="2009-03-05T00:00:00"/>
    <d v="2024-03-04T00:00:00"/>
    <d v="2021-03-05T00:00:00"/>
    <n v="7.882191780821918"/>
    <n v="4.882191780821918"/>
    <s v="Modified Gross"/>
    <s v="None"/>
    <s v="None"/>
    <n v="1023500"/>
    <n v="57.24913301264124"/>
    <s v=" "/>
    <m/>
    <d v="2016-04-18T00:00:00"/>
    <x v="1274"/>
    <m/>
    <x v="905"/>
    <s v="CA"/>
    <s v="Private"/>
    <m/>
    <m/>
    <m/>
    <s v=" "/>
    <s v=" "/>
    <m/>
    <s v=" "/>
    <s v=" "/>
    <s v=" "/>
    <m/>
    <s v=" "/>
  </r>
  <r>
    <s v="LTX14876"/>
    <s v="SSA-ODAR"/>
    <s v="Federal"/>
    <s v="Fee Simple"/>
    <s v="9945 Bissonnet St"/>
    <s v="Houston"/>
    <s v="TX"/>
    <n v="2.3"/>
    <n v="2003"/>
    <n v="27170"/>
    <n v="27170"/>
    <n v="1"/>
    <n v="685459.27"/>
    <n v="25.22853404490247"/>
    <m/>
    <s v=" "/>
    <d v="2003-11-17T00:00:00"/>
    <d v="2018-11-16T00:00:00"/>
    <d v="2014-05-31T00:00:00"/>
    <n v="2.580821917808219"/>
    <n v="-1.884931506849315"/>
    <s v="FS"/>
    <m/>
    <s v="None"/>
    <n v="6426180.65625"/>
    <n v="236.5175066709606"/>
    <s v=" "/>
    <m/>
    <d v="2016-04-18T00:00:00"/>
    <x v="1275"/>
    <s v="Direct"/>
    <x v="841"/>
    <s v="GA"/>
    <s v="Private"/>
    <m/>
    <m/>
    <m/>
    <s v=" "/>
    <s v=" "/>
    <m/>
    <s v=" "/>
    <s v=" "/>
    <s v=" "/>
    <m/>
    <s v=" "/>
  </r>
  <r>
    <s v="LTX14894"/>
    <s v="SSA"/>
    <s v="Federal"/>
    <s v="Fee Simple"/>
    <s v="5414 Aldine Mail Rd"/>
    <s v="Houston"/>
    <s v="TX"/>
    <n v="2.19"/>
    <n v="2001"/>
    <n v="21019"/>
    <n v="21019"/>
    <n v="1"/>
    <n v="534589.8199999999"/>
    <n v="25.43364670060421"/>
    <m/>
    <s v=" "/>
    <d v="2002-02-22T00:00:00"/>
    <d v="2017-02-21T00:00:00"/>
    <d v="2012-02-22T00:00:00"/>
    <n v="0.8465753424657534"/>
    <n v="-4.156164383561644"/>
    <s v="Modified Gross"/>
    <s v="None"/>
    <s v="None"/>
    <n v="5011779.5625"/>
    <n v="238.4404378181645"/>
    <s v=" "/>
    <m/>
    <d v="2016-04-18T00:00:00"/>
    <x v="1275"/>
    <s v="Direct"/>
    <x v="841"/>
    <s v="GA"/>
    <s v="Private"/>
    <m/>
    <m/>
    <m/>
    <s v=" "/>
    <s v=" "/>
    <m/>
    <s v=" "/>
    <s v=" "/>
    <s v=" "/>
    <m/>
    <s v=" "/>
  </r>
  <r>
    <s v="LCA01743"/>
    <s v="SSA"/>
    <s v="Federal"/>
    <s v="Fee Simple"/>
    <s v="215 N Soto St"/>
    <s v="Los Angeles"/>
    <s v="CA"/>
    <n v="0.63"/>
    <n v="2008"/>
    <n v="14372"/>
    <n v="17462"/>
    <n v="0.8230443248196083"/>
    <n v="829453.09"/>
    <n v="57.71312900083495"/>
    <n v="630000"/>
    <n v="36.07834154163326"/>
    <d v="2008-06-27T00:00:00"/>
    <d v="2028-06-26T00:00:00"/>
    <d v="2028-06-26T00:00:00"/>
    <n v="12.1972602739726"/>
    <n v="12.1972602739726"/>
    <s v="Modified Gross"/>
    <s v="None"/>
    <s v="None"/>
    <n v="10500000"/>
    <n v="601.3056923605543"/>
    <n v="0.06"/>
    <m/>
    <d v="2016-04-18T00:00:00"/>
    <x v="1276"/>
    <m/>
    <x v="884"/>
    <s v="CA"/>
    <s v="Private"/>
    <s v="NAI; Rubin"/>
    <m/>
    <n v="10500000"/>
    <n v="0.06"/>
    <n v="1"/>
    <n v="10500000"/>
    <n v="0.06"/>
    <n v="0"/>
    <s v="No"/>
    <d v="2016-01-23T00:00:00"/>
    <n v="86"/>
  </r>
  <r>
    <s v="LIA50030"/>
    <s v="SSA"/>
    <s v="Federal"/>
    <s v="Fee Simple"/>
    <s v="1610 12th Ave SW"/>
    <s v="Spencer"/>
    <s v="IA"/>
    <n v="0.92"/>
    <n v="2005"/>
    <n v="5200"/>
    <n v="5200"/>
    <n v="1"/>
    <n v="100828"/>
    <n v="19.39"/>
    <m/>
    <s v=" "/>
    <d v="2006-04-19T00:00:00"/>
    <d v="2021-04-19T00:00:00"/>
    <d v="2017-04-18T00:00:00"/>
    <n v="5.005479452054795"/>
    <n v="1"/>
    <s v="FS"/>
    <m/>
    <s v="None"/>
    <n v="945262.5"/>
    <n v="181.78125"/>
    <s v=" "/>
    <m/>
    <d v="2016-04-18T00:00:00"/>
    <x v="1277"/>
    <s v="Direct"/>
    <x v="906"/>
    <m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m/>
    <s v=" "/>
    <s v=" "/>
    <m/>
    <d v="2016-04-15T00:00:00"/>
    <x v="1278"/>
    <m/>
    <x v="907"/>
    <s v="GA"/>
    <s v="Private"/>
    <m/>
    <m/>
    <m/>
    <s v=" "/>
    <s v=" "/>
    <m/>
    <s v=" "/>
    <s v=" "/>
    <s v=" "/>
    <m/>
    <s v=" "/>
  </r>
  <r>
    <m/>
    <s v="USPS"/>
    <s v="Federal"/>
    <s v="Fee Simple"/>
    <s v="407 Midway Ave"/>
    <s v="Grand Coulee"/>
    <s v="WA"/>
    <n v="0.16"/>
    <n v="1935"/>
    <n v="2490"/>
    <n v="2490"/>
    <n v="1"/>
    <m/>
    <s v=" "/>
    <n v="16200"/>
    <n v="6.506024096385542"/>
    <m/>
    <m/>
    <m/>
    <s v=" "/>
    <s v=" "/>
    <m/>
    <m/>
    <m/>
    <n v="145796"/>
    <n v="58.55261044176707"/>
    <n v="0.111114159510549"/>
    <m/>
    <d v="2016-04-15T00:00:00"/>
    <x v="8"/>
    <m/>
    <x v="0"/>
    <m/>
    <m/>
    <m/>
    <m/>
    <m/>
    <s v=" "/>
    <s v=" "/>
    <m/>
    <s v=" "/>
    <s v=" "/>
    <s v=" "/>
    <m/>
    <s v=" "/>
  </r>
  <r>
    <m/>
    <s v="Dep't of Ag"/>
    <s v="State"/>
    <s v="Fee Simple"/>
    <s v="115 W Yakima Ave &amp; 21 N 1st St"/>
    <s v="Yakima"/>
    <s v="WA"/>
    <n v="2.41"/>
    <n v="1930"/>
    <n v="57040"/>
    <n v="57040"/>
    <n v="1"/>
    <n v="688951"/>
    <n v="12.07838359046283"/>
    <n v="533651"/>
    <n v="9.355732819074333"/>
    <d v="2014-08-01T00:00:00"/>
    <d v="2024-07-31T00:00:00"/>
    <m/>
    <n v="8.304109589041095"/>
    <s v=" "/>
    <s v="Full Service"/>
    <m/>
    <m/>
    <n v="7000000"/>
    <n v="122.7208976157083"/>
    <n v="0.07623585714285715"/>
    <m/>
    <d v="2016-04-13T00:00:00"/>
    <x v="1163"/>
    <s v="Bill Almon"/>
    <x v="429"/>
    <s v="NY"/>
    <s v="Private"/>
    <s v="James DeFalco"/>
    <m/>
    <m/>
    <s v=" "/>
    <s v=" "/>
    <m/>
    <s v=" "/>
    <s v=" "/>
    <s v=" "/>
    <m/>
    <s v=" "/>
  </r>
  <r>
    <m/>
    <s v="VA"/>
    <s v="Federal"/>
    <s v="Fee Simple"/>
    <s v="7919 Mid America Blvd"/>
    <s v="Oklahoma City"/>
    <s v="OK"/>
    <n v="3.82"/>
    <n v="2002"/>
    <n v="29575"/>
    <n v="84504"/>
    <n v="0.3499834327369118"/>
    <n v="1548330"/>
    <n v="52.35266272189349"/>
    <n v="1044348"/>
    <n v="12.3585629082647"/>
    <d v="2011-10-01T00:00:00"/>
    <d v="2031-09-30T00:00:00"/>
    <d v="2026-09-30T00:00:00"/>
    <n v="15.47671232876712"/>
    <n v="10.47397260273973"/>
    <s v="Modified Gross"/>
    <s v="None"/>
    <s v="None"/>
    <n v="11450000"/>
    <n v="135.4965445422702"/>
    <n v="0.09120943231441048"/>
    <m/>
    <d v="2016-04-12T00:00:00"/>
    <x v="1279"/>
    <s v="M&amp;M; Mann"/>
    <x v="908"/>
    <s v="OK"/>
    <s v="Private"/>
    <s v=" "/>
    <m/>
    <m/>
    <s v=" "/>
    <s v=" "/>
    <m/>
    <s v=" "/>
    <s v=" "/>
    <s v=" "/>
    <m/>
    <s v=" "/>
  </r>
  <r>
    <m/>
    <s v="SSA"/>
    <s v="Federal"/>
    <s v="Fee Simple"/>
    <s v="4198-4206 Washington St"/>
    <s v="Roslindale"/>
    <s v="MA"/>
    <n v="0.21"/>
    <n v="1899"/>
    <n v="7950"/>
    <n v="7950"/>
    <n v="1"/>
    <m/>
    <s v=" "/>
    <m/>
    <s v=" "/>
    <m/>
    <d v="2020-08-30T00:00:00"/>
    <d v="2015-08-30T00:00:00"/>
    <n v="4.386301369863014"/>
    <n v="-0.6191780821917808"/>
    <s v="Modified Gross"/>
    <s v="None"/>
    <s v="None"/>
    <n v="1630000"/>
    <n v="205.0314465408805"/>
    <s v=" "/>
    <m/>
    <d v="2016-04-12T00:00:00"/>
    <x v="1280"/>
    <s v="Todd Glaskin"/>
    <x v="909"/>
    <s v="MA"/>
    <s v="Private"/>
    <s v="Alex Beskrowni"/>
    <m/>
    <n v="1795000"/>
    <s v=" "/>
    <n v="0.9080779944289693"/>
    <n v="1795000"/>
    <s v=" "/>
    <s v=" "/>
    <s v="No"/>
    <d v="2016-01-29T00:00:00"/>
    <n v="74"/>
  </r>
  <r>
    <m/>
    <s v="HHS"/>
    <s v="Federal"/>
    <s v="Fee Simple"/>
    <s v="250114 Skyport Drive"/>
    <s v="Scottsbluff"/>
    <s v="NE"/>
    <n v="6.3"/>
    <n v="1996"/>
    <n v="79108"/>
    <n v="79108"/>
    <n v="1"/>
    <m/>
    <s v=" "/>
    <m/>
    <s v=" "/>
    <m/>
    <m/>
    <m/>
    <s v=" "/>
    <s v=" "/>
    <m/>
    <m/>
    <m/>
    <n v="1900000"/>
    <n v="24.01779845274814"/>
    <s v=" "/>
    <m/>
    <d v="2016-04-11T00:00:00"/>
    <x v="1281"/>
    <s v="Jim Gibson"/>
    <x v="910"/>
    <m/>
    <s v="Private"/>
    <m/>
    <m/>
    <n v="3626400"/>
    <s v=" "/>
    <n v="0.5239355834987867"/>
    <n v="3626400"/>
    <s v=" "/>
    <s v=" "/>
    <s v="No"/>
    <m/>
    <s v=" "/>
  </r>
  <r>
    <m/>
    <s v="USPS"/>
    <s v="Federal"/>
    <s v="Fee Simple"/>
    <s v="231 N Conner Ave"/>
    <s v="Stockton"/>
    <s v="UT"/>
    <n v="0.55"/>
    <n v="2000"/>
    <n v="3670"/>
    <n v="3670"/>
    <n v="1"/>
    <m/>
    <s v=" "/>
    <n v="67150"/>
    <n v="18.29700272479564"/>
    <d v="2000-06-29T00:00:00"/>
    <d v="2020-06-28T00:00:00"/>
    <d v="2020-06-28T00:00:00"/>
    <n v="4.216438356164383"/>
    <n v="4.216438356164383"/>
    <s v="Rider"/>
    <s v="Option"/>
    <s v="2, 5 year"/>
    <m/>
    <s v=" "/>
    <s v=" "/>
    <m/>
    <d v="2016-04-11T00:00:00"/>
    <x v="998"/>
    <s v="TCP; Harrison"/>
    <x v="911"/>
    <s v="TX"/>
    <s v="Private"/>
    <s v="Thomas Coe"/>
    <m/>
    <n v="850000"/>
    <n v="0.079"/>
    <s v=" "/>
    <n v="850000"/>
    <n v="0.079"/>
    <s v=" "/>
    <s v="No"/>
    <d v="2016-01-25T00:00:00"/>
    <n v="77"/>
  </r>
  <r>
    <s v="LCA02180"/>
    <s v="MSHA"/>
    <s v="Federal"/>
    <s v="Fee Simple"/>
    <s v="991 Nut Tree Rd"/>
    <s v="Vacaville"/>
    <s v="CA"/>
    <n v="0.8"/>
    <n v="2010"/>
    <n v="11014"/>
    <n v="11014"/>
    <n v="1"/>
    <n v="335433.71"/>
    <n v="30.45521245687307"/>
    <n v="235950"/>
    <n v="21.42273470128927"/>
    <d v="2011-08-25T00:00:00"/>
    <d v="2026-08-24T00:00:00"/>
    <d v="2021-08-25T00:00:00"/>
    <n v="10.39178082191781"/>
    <n v="5.391780821917808"/>
    <s v="Modified Gross"/>
    <s v="None"/>
    <s v="None"/>
    <n v="3175000"/>
    <n v="288.2694752133648"/>
    <n v="0.07431496062992125"/>
    <m/>
    <d v="2016-04-05T00:00:00"/>
    <x v="1282"/>
    <s v="M&amp;M; Mobin"/>
    <x v="912"/>
    <s v="CA"/>
    <s v="REIT"/>
    <m/>
    <m/>
    <m/>
    <s v=" "/>
    <s v=" "/>
    <m/>
    <s v=" "/>
    <s v=" "/>
    <s v=" "/>
    <m/>
    <s v=" "/>
  </r>
  <r>
    <m/>
    <s v="DHHS"/>
    <s v="State/Federal"/>
    <s v="Fee Simple"/>
    <s v="4130 Faber Place Dr"/>
    <s v="North Charleston"/>
    <s v="SC"/>
    <n v="4.5"/>
    <n v="1990"/>
    <n v="30000"/>
    <n v="57237"/>
    <n v="0.5241364851407306"/>
    <n v="656700"/>
    <n v="21.89"/>
    <n v="550375"/>
    <n v="9.615720600310988"/>
    <m/>
    <d v="2025-01-14T00:00:00"/>
    <d v="2025-01-14T00:00:00"/>
    <n v="8.794520547945206"/>
    <n v="8.794520547945206"/>
    <s v="Full Service"/>
    <s v="2% annually"/>
    <s v="None"/>
    <n v="6475000"/>
    <n v="113.126124709541"/>
    <n v="0.08500000000000001"/>
    <m/>
    <d v="2016-04-01T00:00:00"/>
    <x v="1283"/>
    <s v="CW; Cochoran"/>
    <x v="214"/>
    <s v="VA"/>
    <s v="Private"/>
    <m/>
    <m/>
    <m/>
    <s v=" "/>
    <s v=" "/>
    <m/>
    <s v=" "/>
    <s v=" "/>
    <s v=" "/>
    <m/>
    <s v=" "/>
  </r>
  <r>
    <s v="LIN18394"/>
    <s v="DOD"/>
    <s v="Federal"/>
    <s v="Fee Simple"/>
    <s v="135 N Pennsylvania St"/>
    <s v="Indianapolis"/>
    <s v="IN"/>
    <n v="0.9"/>
    <n v="1989"/>
    <n v="74762"/>
    <n v="455734"/>
    <n v="0.164047448731058"/>
    <n v="1985761.24"/>
    <n v="26.56110376929456"/>
    <n v="2520000"/>
    <n v="5.529541355264255"/>
    <d v="2010-07-01T00:00:00"/>
    <d v="2020-06-30T00:00:00"/>
    <m/>
    <n v="4.249315068493151"/>
    <s v=" "/>
    <s v="FS"/>
    <m/>
    <s v="None"/>
    <n v="40000000"/>
    <n v="87.77049770260722"/>
    <n v="0.063"/>
    <m/>
    <d v="2016-04-01T00:00:00"/>
    <x v="452"/>
    <s v="AY; Bill Ehret"/>
    <x v="913"/>
    <s v="IL"/>
    <s v="Institutional"/>
    <m/>
    <m/>
    <m/>
    <s v=" "/>
    <s v=" "/>
    <m/>
    <s v=" "/>
    <s v=" "/>
    <s v=" "/>
    <m/>
    <s v=" "/>
  </r>
  <r>
    <s v="LCA02706"/>
    <s v="Multi"/>
    <s v="Federal"/>
    <s v="Fee Simple"/>
    <s v="22690 Cactus Ave"/>
    <s v="Moreno Valley"/>
    <s v="CA"/>
    <n v="4.1"/>
    <n v="1989"/>
    <n v="21550"/>
    <n v="61124"/>
    <n v="0.352562005104378"/>
    <n v="555580.85"/>
    <n v="25.78101392111369"/>
    <n v="943670"/>
    <n v="15.43861658268438"/>
    <d v="2011-09-16T00:00:00"/>
    <d v="2026-09-15T00:00:00"/>
    <d v="2021-09-16T00:00:00"/>
    <n v="10.46301369863014"/>
    <n v="5.463013698630137"/>
    <s v="FS"/>
    <m/>
    <s v="None"/>
    <n v="11350000"/>
    <n v="185.688109416923"/>
    <n v="0.08314273127753304"/>
    <m/>
    <d v="2016-04-01T00:00:00"/>
    <x v="1284"/>
    <s v="CBRE"/>
    <x v="914"/>
    <s v="CA"/>
    <s v="Private"/>
    <m/>
    <m/>
    <m/>
    <s v=" "/>
    <s v=" "/>
    <m/>
    <s v=" "/>
    <s v=" "/>
    <s v=" "/>
    <m/>
    <s v=" "/>
  </r>
  <r>
    <s v="LCA01501"/>
    <s v="SSA"/>
    <s v="Federal"/>
    <s v="Fee Simple"/>
    <s v="17075 Newhope St"/>
    <s v="Fountain Valley"/>
    <s v="CA"/>
    <n v="3.388"/>
    <n v="2002"/>
    <n v="12213"/>
    <n v="56314"/>
    <n v="0.2168732464396065"/>
    <n v="299707.02"/>
    <n v="24.54"/>
    <n v="424125"/>
    <n v="7.531430905281103"/>
    <d v="2005-02-01T00:00:00"/>
    <d v="2020-01-31T00:00:00"/>
    <d v="2017-01-01T00:00:00"/>
    <n v="3.838356164383562"/>
    <n v="0.7561643835616438"/>
    <s v="Modified Gross"/>
    <s v="None"/>
    <s v="None"/>
    <n v="5600000"/>
    <n v="99.44241218879853"/>
    <n v="0.07573660714285714"/>
    <m/>
    <d v="2016-03-31T00:00:00"/>
    <x v="1285"/>
    <s v="CBRE; Stache"/>
    <x v="915"/>
    <s v="CA"/>
    <s v="User/Owner"/>
    <s v="Lee; Silva"/>
    <m/>
    <n v="5850000"/>
    <n v="0.0725"/>
    <n v="0.9572649572649573"/>
    <n v="5850000"/>
    <n v="0.0725"/>
    <n v="0.003236607142857145"/>
    <s v="No"/>
    <d v="2015-08-21T00:00:00"/>
    <n v="223"/>
  </r>
  <r>
    <m/>
    <s v="DOLI"/>
    <s v="State"/>
    <s v="Fee Simple"/>
    <s v="144 N Main St"/>
    <s v="Greensburg"/>
    <s v="PA"/>
    <n v="52"/>
    <n v="2007"/>
    <n v="81639"/>
    <n v="81639"/>
    <n v="1"/>
    <m/>
    <s v=" "/>
    <n v="1042250"/>
    <n v="12.76656989919034"/>
    <m/>
    <d v="2022-06-30T00:00:00"/>
    <m/>
    <n v="6.252054794520548"/>
    <s v=" "/>
    <m/>
    <m/>
    <m/>
    <n v="13750000"/>
    <n v="168.4244050025111"/>
    <n v="0.07580000000000001"/>
    <m/>
    <d v="2016-03-31T00:00:00"/>
    <x v="457"/>
    <s v="CBRE; Fedorko"/>
    <x v="429"/>
    <s v="NY"/>
    <s v="Private"/>
    <m/>
    <m/>
    <m/>
    <s v=" "/>
    <s v=" "/>
    <m/>
    <s v=" "/>
    <s v=" "/>
    <s v=" "/>
    <m/>
    <s v=" "/>
  </r>
  <r>
    <s v="LGA61108"/>
    <s v="TSA"/>
    <s v="Federal"/>
    <s v="Fee Simple"/>
    <s v="4245 International Pkwy"/>
    <s v="Hapeville"/>
    <s v="GA"/>
    <n v="3.35"/>
    <n v="2000"/>
    <n v="24014"/>
    <n v="43414"/>
    <n v="0.5531395402404754"/>
    <n v="520300.56"/>
    <n v="21.66655117847922"/>
    <n v="508000"/>
    <n v="11.70129451329064"/>
    <d v="2012-12-20T00:00:00"/>
    <d v="2027-12-19T00:00:00"/>
    <d v="2019-12-19T00:00:00"/>
    <n v="11.72602739726027"/>
    <n v="3.720547945205479"/>
    <s v="Modified Gross"/>
    <s v="None"/>
    <s v="None"/>
    <n v="6350000"/>
    <n v="146.266181416133"/>
    <n v="0.08"/>
    <m/>
    <d v="2016-03-31T00:00:00"/>
    <x v="1286"/>
    <s v="Colliers; Bob Cottle &amp; Kennedy"/>
    <x v="1"/>
    <s v="IL"/>
    <s v="Private"/>
    <m/>
    <m/>
    <m/>
    <s v=" "/>
    <s v=" "/>
    <m/>
    <s v=" "/>
    <s v=" "/>
    <s v=" "/>
    <m/>
    <s v=" "/>
  </r>
  <r>
    <m/>
    <s v="National Press Building"/>
    <s v="Federal"/>
    <s v="Fee Simple"/>
    <s v="529 14th St NW"/>
    <s v="Washington"/>
    <s v="DC"/>
    <n v="1.01"/>
    <n v="1928"/>
    <n v="46774"/>
    <n v="559652"/>
    <n v="0.08357693709662434"/>
    <m/>
    <s v=" "/>
    <m/>
    <s v=" "/>
    <m/>
    <m/>
    <m/>
    <s v=" "/>
    <s v=" "/>
    <m/>
    <m/>
    <m/>
    <n v="155500000"/>
    <n v="277.8512361253065"/>
    <s v=" "/>
    <m/>
    <d v="2016-03-31T00:00:00"/>
    <x v="1287"/>
    <m/>
    <x v="916"/>
    <s v="NJ"/>
    <s v="Institutional"/>
    <m/>
    <m/>
    <m/>
    <s v=" "/>
    <s v=" "/>
    <m/>
    <s v=" "/>
    <s v=" "/>
    <s v=" "/>
    <m/>
    <s v=" "/>
  </r>
  <r>
    <m/>
    <s v="USPS"/>
    <s v="Federal"/>
    <s v="Fee Simple"/>
    <s v="15 Liberty St"/>
    <s v="Thomasville"/>
    <s v="GA"/>
    <n v="1.62"/>
    <n v="1999"/>
    <n v="8640"/>
    <n v="8640"/>
    <n v="1"/>
    <m/>
    <s v=" "/>
    <n v="86220"/>
    <n v="9.979166666666666"/>
    <d v="1999-01-01T00:00:00"/>
    <d v="2018-12-31T00:00:00"/>
    <d v="2018-12-31T00:00:00"/>
    <n v="2.76986301369863"/>
    <n v="2.76986301369863"/>
    <s v="Rider"/>
    <s v="Options"/>
    <s v="3, 5 year"/>
    <n v="900000"/>
    <n v="104.1666666666667"/>
    <n v="0.0958"/>
    <m/>
    <d v="2016-03-25T00:00:00"/>
    <x v="1288"/>
    <s v="M&amp;M; Hurd"/>
    <x v="917"/>
    <s v="KS"/>
    <s v="Private"/>
    <s v="TCP; Harrison"/>
    <m/>
    <n v="1113393"/>
    <n v="0.07743896360045374"/>
    <n v="0.8083399123220641"/>
    <n v="1113393"/>
    <n v="0.07743896360045374"/>
    <n v="0.01836103639954625"/>
    <s v="No"/>
    <d v="2016-01-07T00:00:00"/>
    <n v="78"/>
  </r>
  <r>
    <s v="LCA01839"/>
    <s v="ACoE"/>
    <s v="Federal"/>
    <s v="Fee Simple"/>
    <s v="915 Wilshire Blvd"/>
    <s v="Los Angeles"/>
    <s v="CA"/>
    <n v="1.11"/>
    <n v="1980"/>
    <n v="153057"/>
    <n v="390312"/>
    <n v="0.3921401340466089"/>
    <n v="3730553.3"/>
    <n v="24.37362093860457"/>
    <n v="6000000"/>
    <n v="15.37231753059091"/>
    <d v="2006-05-03T00:00:00"/>
    <d v="2020-05-02T00:00:00"/>
    <d v="2015-05-02T00:00:00"/>
    <n v="4.126027397260274"/>
    <n v="-0.8794520547945206"/>
    <s v="Modified Gross"/>
    <s v="None"/>
    <s v="None"/>
    <n v="128450000"/>
    <n v="329.0956978007338"/>
    <n v="0.04671078240560529"/>
    <m/>
    <d v="2016-03-18T00:00:00"/>
    <x v="1087"/>
    <s v="Newmark; Kevin Shannon"/>
    <x v="918"/>
    <s v="TX"/>
    <s v="Institutional"/>
    <m/>
    <m/>
    <m/>
    <s v=" "/>
    <s v=" "/>
    <m/>
    <s v=" "/>
    <s v=" "/>
    <s v=" "/>
    <m/>
    <s v=" "/>
  </r>
  <r>
    <s v="LID07028"/>
    <s v="SSA"/>
    <s v="Federal"/>
    <s v="Fee Simple"/>
    <s v="1437 Fillmore St"/>
    <s v="Twin Falls"/>
    <s v="ID"/>
    <n v="1.58"/>
    <n v="2000"/>
    <n v="6473"/>
    <n v="6473"/>
    <n v="1"/>
    <m/>
    <s v=" "/>
    <m/>
    <s v=" "/>
    <d v="2010-05-12T00:00:00"/>
    <d v="2020-05-11T00:00:00"/>
    <d v="2020-05-11T00:00:00"/>
    <n v="4.156164383561644"/>
    <n v="4.156164383561644"/>
    <s v="Modified Gross"/>
    <s v="None"/>
    <s v="2, 6 month"/>
    <m/>
    <s v=" "/>
    <s v=" "/>
    <m/>
    <d v="2016-03-16T00:00:00"/>
    <x v="1289"/>
    <s v="Direct"/>
    <x v="919"/>
    <m/>
    <s v="Private"/>
    <m/>
    <m/>
    <m/>
    <s v=" "/>
    <s v=" "/>
    <m/>
    <s v=" "/>
    <s v=" "/>
    <s v=" "/>
    <m/>
    <s v=" "/>
  </r>
  <r>
    <s v="LOK15448"/>
    <s v="SSA"/>
    <s v="Federal"/>
    <s v="Fee Simple"/>
    <s v="912 S George Nigh Expy"/>
    <s v="McAlester"/>
    <s v="OK"/>
    <n v="2.03"/>
    <n v="2006"/>
    <n v="8511"/>
    <n v="8511"/>
    <n v="1"/>
    <n v="218255.34"/>
    <n v="25.64391258371519"/>
    <n v="159104.34"/>
    <n v="18.6939654564681"/>
    <d v="2006-05-23T00:00:00"/>
    <d v="2021-05-22T00:00:00"/>
    <d v="2016-05-23T00:00:00"/>
    <n v="5.191780821917808"/>
    <n v="0.1917808219178082"/>
    <s v="Modified Gross"/>
    <s v="None"/>
    <s v="None"/>
    <m/>
    <s v=" "/>
    <s v=" "/>
    <m/>
    <d v="2016-03-14T00:00:00"/>
    <x v="921"/>
    <s v="FORECLOSURE"/>
    <x v="920"/>
    <s v="MD"/>
    <s v="Institutional"/>
    <m/>
    <m/>
    <m/>
    <s v=" "/>
    <s v=" "/>
    <m/>
    <s v=" "/>
    <s v=" "/>
    <s v=" "/>
    <m/>
    <s v=" "/>
  </r>
  <r>
    <s v="LOK15922"/>
    <s v="SSA"/>
    <s v="Federal"/>
    <s v="Fee Simple"/>
    <s v="1306 Tarby Rd"/>
    <s v="Poteau"/>
    <s v="OK"/>
    <n v="1.95"/>
    <n v="2007"/>
    <n v="6256"/>
    <n v="6256"/>
    <n v="1"/>
    <n v="152223.47"/>
    <n v="24.33239609974424"/>
    <n v="80401.47"/>
    <n v="12.85189737851662"/>
    <d v="2007-04-06T00:00:00"/>
    <d v="2022-04-05T00:00:00"/>
    <d v="2022-04-05T00:00:00"/>
    <n v="6.063013698630137"/>
    <n v="6.063013698630137"/>
    <s v="Modified Gross"/>
    <s v="None"/>
    <s v="None"/>
    <m/>
    <s v=" "/>
    <s v=" "/>
    <m/>
    <d v="2016-03-14T00:00:00"/>
    <x v="921"/>
    <s v="FORECLOSURE"/>
    <x v="920"/>
    <s v="MD"/>
    <s v="Institutional"/>
    <m/>
    <m/>
    <m/>
    <s v=" "/>
    <s v=" "/>
    <m/>
    <s v=" "/>
    <s v=" "/>
    <s v=" "/>
    <m/>
    <s v=" "/>
  </r>
  <r>
    <m/>
    <s v="USCIS"/>
    <s v="Federal"/>
    <s v="Fee Simple"/>
    <s v="210 Kanawha Blvd W"/>
    <s v="Charleston"/>
    <s v="WV"/>
    <n v="0.08"/>
    <n v="1999"/>
    <n v="6178"/>
    <n v="6178"/>
    <n v="1"/>
    <m/>
    <s v=" "/>
    <n v="52200"/>
    <n v="8.449336354807381"/>
    <m/>
    <d v="2020-04-30T00:00:00"/>
    <d v="2015-04-30T00:00:00"/>
    <n v="4.13972602739726"/>
    <n v="-0.8657534246575342"/>
    <s v="Modified Gross"/>
    <s v="None"/>
    <s v="None"/>
    <n v="615000"/>
    <n v="99.54677889284558"/>
    <n v="0.08487804878048781"/>
    <m/>
    <d v="2016-03-11T00:00:00"/>
    <x v="1290"/>
    <s v="WV; Barth"/>
    <x v="921"/>
    <s v="CA"/>
    <s v="Private"/>
    <m/>
    <m/>
    <n v="870000"/>
    <n v="0.06"/>
    <n v="0.7068965517241379"/>
    <n v="870000"/>
    <n v="0.06"/>
    <n v="0.02487804878048781"/>
    <s v="No"/>
    <d v="2015-07-09T00:00:00"/>
    <n v="246"/>
  </r>
  <r>
    <m/>
    <s v="VA"/>
    <s v="Federal"/>
    <s v="Fee Simple"/>
    <s v="2415 7th Ave S"/>
    <s v="Birmingham"/>
    <s v="AL"/>
    <n v="2.39"/>
    <n v="2015"/>
    <n v="46161"/>
    <n v="46161"/>
    <n v="1"/>
    <m/>
    <s v=" "/>
    <m/>
    <s v=" "/>
    <m/>
    <m/>
    <m/>
    <s v=" "/>
    <s v=" "/>
    <m/>
    <m/>
    <m/>
    <n v="58932000"/>
    <n v="1276.662117371807"/>
    <s v=" "/>
    <m/>
    <d v="2016-03-09T00:00:00"/>
    <x v="1291"/>
    <m/>
    <x v="922"/>
    <s v="NH"/>
    <s v="Private"/>
    <m/>
    <m/>
    <m/>
    <s v=" "/>
    <s v=" "/>
    <m/>
    <s v=" "/>
    <s v=" "/>
    <s v=" "/>
    <m/>
    <s v=" "/>
  </r>
  <r>
    <m/>
    <s v="BLM"/>
    <s v="Federal"/>
    <s v="Fee Simple"/>
    <s v="301 Dinosaur Trl"/>
    <s v="Santa Fe"/>
    <s v="NM"/>
    <n v="3.35"/>
    <n v="2009"/>
    <n v="45320"/>
    <n v="45320"/>
    <n v="1"/>
    <n v="1692702"/>
    <n v="37.35"/>
    <n v="1309275"/>
    <n v="28.88956310679612"/>
    <d v="2009-10-15T00:00:00"/>
    <d v="2029-10-31T00:00:00"/>
    <d v="2024-10-31T00:00:00"/>
    <n v="13.66849315068493"/>
    <n v="8.665753424657535"/>
    <s v="Modified Gross"/>
    <s v="None"/>
    <s v="None"/>
    <n v="20100000"/>
    <n v="443.5127978817299"/>
    <n v="0.06513805970149254"/>
    <m/>
    <d v="2016-03-04T00:00:00"/>
    <x v="800"/>
    <s v="Colliers; Bakke &amp; Kennedy"/>
    <x v="2"/>
    <s v="VA"/>
    <s v="Private"/>
    <m/>
    <s v="Darcom"/>
    <n v="22770000"/>
    <n v="0.0575"/>
    <n v="0.8827404479578392"/>
    <n v="22770000"/>
    <n v="0.0575"/>
    <n v="0.00763805970149254"/>
    <s v="No"/>
    <d v="2015-10-09T00:00:00"/>
    <n v="147"/>
  </r>
  <r>
    <m/>
    <s v="DC"/>
    <s v="Municipal"/>
    <s v="Fee Simple"/>
    <s v="810 5th St NW"/>
    <s v="Washington"/>
    <s v="DC"/>
    <n v="0.2176308539944904"/>
    <n v="1912"/>
    <n v="32246"/>
    <n v="32246"/>
    <n v="1"/>
    <m/>
    <s v=" "/>
    <n v="1282423"/>
    <n v="39.7699869751287"/>
    <d v="2015-11-15T00:00:00"/>
    <d v="2035-11-30T00:00:00"/>
    <d v="2035-11-30T00:00:00"/>
    <n v="19.75890410958904"/>
    <n v="19.75890410958904"/>
    <s v="NN"/>
    <s v="2% annually"/>
    <s v="1, 5 year"/>
    <n v="28500000"/>
    <n v="883.8305526266823"/>
    <n v="0.04499729824561403"/>
    <m/>
    <d v="2016-03-02T00:00:00"/>
    <x v="8"/>
    <s v="SJC; Butler"/>
    <x v="0"/>
    <m/>
    <s v="Institutional"/>
    <m/>
    <m/>
    <m/>
    <s v=" "/>
    <s v=" "/>
    <m/>
    <s v=" "/>
    <s v=" "/>
    <s v=" "/>
    <m/>
    <s v=" "/>
  </r>
  <r>
    <s v="LOH18171"/>
    <s v="SSA"/>
    <s v="Federal"/>
    <s v="Fee Simple"/>
    <s v="3715 Towne Blvd"/>
    <s v="Middletown"/>
    <s v="OH"/>
    <n v="1.2"/>
    <n v="2011"/>
    <n v="8704"/>
    <n v="8704"/>
    <n v="1"/>
    <n v="226310.47"/>
    <n v="26.00074333639706"/>
    <n v="165602"/>
    <n v="19.02596507352941"/>
    <d v="2011-11-21T00:00:00"/>
    <d v="2021-11-20T00:00:00"/>
    <d v="2021-11-20T00:00:00"/>
    <n v="5.726027397260274"/>
    <n v="5.726027397260274"/>
    <s v="Modified Gross"/>
    <s v="TI Bleeds; $19k"/>
    <s v="None"/>
    <n v="2015000"/>
    <n v="231.5027573529412"/>
    <n v="0.08218461538461538"/>
    <m/>
    <d v="2016-03-01T00:00:00"/>
    <x v="1269"/>
    <s v="SJC; Corriston"/>
    <x v="873"/>
    <s v="OH"/>
    <s v="Private"/>
    <m/>
    <m/>
    <m/>
    <s v=" "/>
    <s v=" "/>
    <m/>
    <s v=" "/>
    <s v=" "/>
    <s v=" "/>
    <m/>
    <s v=" "/>
  </r>
  <r>
    <s v="LUT14746"/>
    <s v="SSA"/>
    <s v="Federal"/>
    <s v="Fee Simple"/>
    <s v="10138 S Jordan Gtwy"/>
    <s v="South Jordan"/>
    <s v="UT"/>
    <n v="0.88"/>
    <n v="1997"/>
    <n v="10020"/>
    <n v="10020"/>
    <n v="1"/>
    <n v="331229.41"/>
    <n v="33.05682734530938"/>
    <m/>
    <s v=" "/>
    <d v="2015-03-30T00:00:00"/>
    <d v="2030-03-29T00:00:00"/>
    <d v="2022-03-30T00:00:00"/>
    <n v="14.08493150684932"/>
    <n v="6.082191780821918"/>
    <s v="Modified Gross"/>
    <s v="None"/>
    <s v="None"/>
    <n v="3800000"/>
    <n v="379.2415169660679"/>
    <s v=" "/>
    <m/>
    <d v="2016-03-01T00:00:00"/>
    <x v="345"/>
    <s v="C&amp;W: Travis Trauttveter"/>
    <x v="68"/>
    <s v="AZ"/>
    <s v="Private"/>
    <s v="Duam; Migliori"/>
    <m/>
    <m/>
    <s v=" "/>
    <s v=" "/>
    <m/>
    <s v=" "/>
    <s v=" "/>
    <s v=" "/>
    <d v="2015-10-05T00:00:00"/>
    <n v="148"/>
  </r>
  <r>
    <m/>
    <s v="Police"/>
    <s v="State"/>
    <s v="Fee Simple"/>
    <s v="4000 Collins Rd"/>
    <s v="Lansing"/>
    <s v="MI"/>
    <n v="9.07"/>
    <n v="1983"/>
    <n v="77674"/>
    <n v="77674"/>
    <n v="1"/>
    <m/>
    <s v=" "/>
    <m/>
    <s v=" "/>
    <m/>
    <m/>
    <m/>
    <s v=" "/>
    <s v=" "/>
    <m/>
    <m/>
    <m/>
    <m/>
    <s v=" "/>
    <s v=" "/>
    <m/>
    <d v="2016-02-29T00:00:00"/>
    <x v="921"/>
    <m/>
    <x v="923"/>
    <s v="MI"/>
    <s v="User/Owner"/>
    <m/>
    <m/>
    <m/>
    <s v=" "/>
    <s v=" "/>
    <m/>
    <s v=" "/>
    <s v=" "/>
    <s v=" "/>
    <m/>
    <s v=" "/>
  </r>
  <r>
    <s v="LVA12670"/>
    <s v="FPS"/>
    <s v="Federal"/>
    <s v="Fee Simple"/>
    <s v="6315 Bren Mar Dr"/>
    <s v="Alexandria"/>
    <s v="VA"/>
    <n v="16.07"/>
    <n v="2001"/>
    <n v="121910"/>
    <n v="121910"/>
    <n v="1"/>
    <n v="2914307"/>
    <n v="23.90539742432942"/>
    <m/>
    <s v=" "/>
    <d v="2015-04-15T00:00:00"/>
    <d v="2025-04-14T00:00:00"/>
    <d v="2025-04-14T00:00:00"/>
    <n v="9.136986301369863"/>
    <n v="9.136986301369863"/>
    <s v="FS"/>
    <m/>
    <s v="1, 6 month"/>
    <n v="24000000"/>
    <n v="196.8665408908211"/>
    <s v=" "/>
    <m/>
    <d v="2016-02-26T00:00:00"/>
    <x v="1292"/>
    <s v="Direct"/>
    <x v="127"/>
    <s v="TX"/>
    <s v="Private"/>
    <m/>
    <m/>
    <m/>
    <s v=" "/>
    <s v=" "/>
    <m/>
    <s v=" "/>
    <s v=" "/>
    <s v=" "/>
    <m/>
    <s v=" "/>
  </r>
  <r>
    <s v="LMD01787"/>
    <s v="NIH"/>
    <s v="Federal"/>
    <s v="Fee Simple"/>
    <s v="6701 Rockledge Dr"/>
    <s v="Bethesda"/>
    <s v="MD"/>
    <n v="5.63"/>
    <n v="1985"/>
    <n v="247130"/>
    <n v="265356"/>
    <n v="0.9313149127963942"/>
    <n v="7483569.32"/>
    <n v="30.28191364868693"/>
    <n v="3219300"/>
    <n v="12.13200379867047"/>
    <d v="2017-12-01T00:00:00"/>
    <d v="2032-11-30T00:00:00"/>
    <d v="2027-11-30T00:00:00"/>
    <n v="16.77260273972603"/>
    <n v="11.76712328767123"/>
    <s v="FS"/>
    <m/>
    <s v="None"/>
    <n v="43800000"/>
    <n v="165.0612761723873"/>
    <n v="0.0735"/>
    <m/>
    <d v="2016-02-26T00:00:00"/>
    <x v="1168"/>
    <s v="TW; Gerry Trainor"/>
    <x v="1"/>
    <s v="IL"/>
    <s v="Private"/>
    <m/>
    <m/>
    <m/>
    <s v=" "/>
    <s v=" "/>
    <m/>
    <s v=" "/>
    <s v=" "/>
    <s v=" "/>
    <m/>
    <s v=" "/>
  </r>
  <r>
    <s v="LMD01787"/>
    <s v="NIH"/>
    <s v="Federal"/>
    <s v="Fee Simple"/>
    <s v="6701 Rockledge Dr"/>
    <s v="Bethesda"/>
    <s v="MD"/>
    <n v="5.63"/>
    <n v="1985"/>
    <n v="247130"/>
    <n v="265356"/>
    <n v="0.9313149127963942"/>
    <n v="7483569.32"/>
    <n v="30.28191364868693"/>
    <n v="3219300"/>
    <n v="12.13200379867047"/>
    <d v="2005-07-01T00:00:00"/>
    <d v="2017-11-30T00:00:00"/>
    <d v="2017-11-30T00:00:00"/>
    <n v="1.761643835616438"/>
    <n v="1.761643835616438"/>
    <s v="FS"/>
    <m/>
    <s v="None"/>
    <n v="40000000"/>
    <n v="150.7408914816322"/>
    <n v="0.0804825"/>
    <m/>
    <d v="2016-02-26T00:00:00"/>
    <x v="1293"/>
    <s v="Direct"/>
    <x v="924"/>
    <s v="CA"/>
    <s v="Private"/>
    <m/>
    <m/>
    <m/>
    <s v=" "/>
    <s v=" "/>
    <m/>
    <s v=" "/>
    <s v=" "/>
    <s v=" "/>
    <m/>
    <s v=" "/>
  </r>
  <r>
    <s v="LNC46084"/>
    <s v="IRS"/>
    <s v="Federal"/>
    <s v="Fee Simple"/>
    <s v="10715 David Taylor Dr"/>
    <s v="Charlotte"/>
    <s v="NC"/>
    <n v="12.11"/>
    <n v="2001"/>
    <n v="60909"/>
    <n v="152452"/>
    <n v="0.3995290320887886"/>
    <n v="1286355.6"/>
    <n v="21.11930256612323"/>
    <m/>
    <s v=" "/>
    <d v="2007-07-17T00:00:00"/>
    <d v="2017-07-16T00:00:00"/>
    <d v="2012-01-31T00:00:00"/>
    <n v="1.386301369863014"/>
    <n v="-4.073972602739726"/>
    <s v="Modified Gross"/>
    <m/>
    <s v="None"/>
    <n v="22000000"/>
    <n v="144.3077165271692"/>
    <s v=" "/>
    <m/>
    <d v="2016-02-26T00:00:00"/>
    <x v="819"/>
    <s v="HFF; Ryan Clutter"/>
    <x v="925"/>
    <s v="NC"/>
    <s v="Institutional"/>
    <m/>
    <m/>
    <m/>
    <s v=" "/>
    <s v=" "/>
    <m/>
    <s v=" "/>
    <s v=" "/>
    <s v=" "/>
    <m/>
    <s v=" "/>
  </r>
  <r>
    <m/>
    <s v="VA/CBOC"/>
    <s v="Federal"/>
    <s v="Fee Simple"/>
    <s v="500 Markaview Rd NW"/>
    <s v="Huntsville"/>
    <s v="AL"/>
    <n v="10.9"/>
    <n v="2015"/>
    <n v="60150"/>
    <n v="60150"/>
    <n v="1"/>
    <m/>
    <s v=" "/>
    <m/>
    <s v=" "/>
    <d v="2015-03-01T00:00:00"/>
    <d v="2035-02-28T00:00:00"/>
    <d v="2035-02-28T00:00:00"/>
    <n v="19.02191780821918"/>
    <n v="19.02191780821918"/>
    <s v="Modified Gross"/>
    <s v="Drops After 10"/>
    <s v="None"/>
    <n v="23627989"/>
    <n v="392.8177722360765"/>
    <s v=" "/>
    <n v="0.1200009954305"/>
    <d v="2016-02-25T00:00:00"/>
    <x v="1133"/>
    <m/>
    <x v="800"/>
    <s v="NY"/>
    <s v="Private"/>
    <m/>
    <m/>
    <m/>
    <s v=" "/>
    <s v=" "/>
    <m/>
    <s v=" "/>
    <s v=" "/>
    <s v=" "/>
    <m/>
    <s v=" "/>
  </r>
  <r>
    <m/>
    <s v="VA"/>
    <s v="Federal"/>
    <s v="Fee Simple"/>
    <s v="500 Markaview Rd NW"/>
    <s v="Huntsville"/>
    <s v="AL"/>
    <n v="10.9"/>
    <n v="2015"/>
    <n v="60150"/>
    <n v="60150"/>
    <n v="1"/>
    <n v="2581716"/>
    <n v="42.92129675810474"/>
    <m/>
    <s v=" "/>
    <d v="2015-03-01T00:00:00"/>
    <d v="2035-02-28T00:00:00"/>
    <d v="2035-02-28T00:00:00"/>
    <n v="19.02191780821918"/>
    <n v="19.02191780821918"/>
    <s v="Modified Gross"/>
    <s v="Drops After 10"/>
    <s v="None"/>
    <n v="23627989"/>
    <n v="392.8177722360765"/>
    <s v=" "/>
    <n v="0.1200009954305"/>
    <d v="2016-02-25T00:00:00"/>
    <x v="1133"/>
    <m/>
    <x v="800"/>
    <s v="NY"/>
    <s v="Private"/>
    <m/>
    <m/>
    <m/>
    <s v=" "/>
    <s v=" "/>
    <m/>
    <s v=" "/>
    <s v=" "/>
    <s v=" "/>
    <m/>
    <s v=" "/>
  </r>
  <r>
    <m/>
    <s v="USPS"/>
    <s v="Federal"/>
    <s v="Fee Simple"/>
    <s v="29895 NW Olson Rd"/>
    <s v="Gaston"/>
    <s v="OR"/>
    <n v="0.58"/>
    <m/>
    <n v="5400"/>
    <n v="5400"/>
    <n v="1"/>
    <m/>
    <s v=" "/>
    <n v="112100"/>
    <n v="20.75925925925926"/>
    <m/>
    <m/>
    <m/>
    <s v=" "/>
    <s v=" "/>
    <m/>
    <m/>
    <m/>
    <n v="1475000"/>
    <n v="273.1481481481482"/>
    <n v="0.076"/>
    <m/>
    <d v="2016-02-19T00:00:00"/>
    <x v="1294"/>
    <s v="TCP; Harrison"/>
    <x v="926"/>
    <s v="CA"/>
    <s v="Private"/>
    <m/>
    <m/>
    <n v="1595000"/>
    <n v="0.07028213166144201"/>
    <n v="0.9247648902821317"/>
    <n v="1595000"/>
    <n v="0.07028213166144201"/>
    <n v="0.005717868338557988"/>
    <s v="No"/>
    <d v="2015-11-05T00:00:00"/>
    <n v="106"/>
  </r>
  <r>
    <m/>
    <s v="DHS/ICE"/>
    <s v="Federal"/>
    <s v="Fee Simple"/>
    <s v="5441 Watson Dr SE"/>
    <s v="Albuquerque"/>
    <s v="NM"/>
    <n v="7.38"/>
    <n v="2011"/>
    <n v="71100"/>
    <n v="71100"/>
    <n v="1"/>
    <m/>
    <s v=" "/>
    <m/>
    <s v=" "/>
    <m/>
    <m/>
    <m/>
    <s v=" "/>
    <s v=" "/>
    <m/>
    <m/>
    <m/>
    <n v="34000000"/>
    <n v="478.1997187060478"/>
    <s v=" "/>
    <m/>
    <d v="2016-02-18T00:00:00"/>
    <x v="1295"/>
    <s v="C&amp;W: Travis Trauttveter"/>
    <x v="3"/>
    <s v="DC"/>
    <s v="REIT"/>
    <m/>
    <m/>
    <m/>
    <s v=" "/>
    <s v=" "/>
    <m/>
    <s v=" "/>
    <s v=" "/>
    <s v=" "/>
    <m/>
    <s v=" "/>
  </r>
  <r>
    <s v="LVA02292"/>
    <s v="FBI (G/L)"/>
    <s v="Federal"/>
    <s v="Ground Lease"/>
    <s v="15020-15030 Conference Center Dr"/>
    <s v="Chantilly"/>
    <s v="VA"/>
    <n v="28.89"/>
    <n v="2013"/>
    <n v="175000"/>
    <n v="312203"/>
    <n v="0.5605327303068837"/>
    <n v="7553764.11"/>
    <n v="43.16436634285714"/>
    <n v="1750000"/>
    <n v="5.605327303068837"/>
    <d v="2013-05-16T00:00:00"/>
    <d v="2023-05-15T00:00:00"/>
    <d v="2023-05-15T00:00:00"/>
    <n v="7.257534246575342"/>
    <n v="7.257534246575342"/>
    <s v="Modified Gross"/>
    <s v="2% annually"/>
    <s v="None"/>
    <n v="39414414"/>
    <n v="126.2461091020906"/>
    <n v="0.04440000046683429"/>
    <m/>
    <d v="2016-02-12T00:00:00"/>
    <x v="1077"/>
    <s v="JLL; William Prutting"/>
    <x v="927"/>
    <s v="IN"/>
    <s v="Institutional"/>
    <m/>
    <m/>
    <m/>
    <s v=" "/>
    <s v=" "/>
    <m/>
    <s v=" "/>
    <s v=" "/>
    <s v=" "/>
    <m/>
    <s v=" "/>
  </r>
  <r>
    <s v="LVA02292"/>
    <s v="FBI (L/H)"/>
    <s v="Federal"/>
    <s v="Leasehold"/>
    <s v="15020-15030 Conference Center Dr"/>
    <s v="Chantilly"/>
    <s v="VA"/>
    <n v="28.89"/>
    <n v="2013"/>
    <n v="175000"/>
    <n v="312203"/>
    <n v="0.5605327303068837"/>
    <n v="7553764.11"/>
    <n v="43.16436634285714"/>
    <n v="4237241"/>
    <n v="13.57207009541869"/>
    <d v="2013-05-16T00:00:00"/>
    <d v="2023-05-15T00:00:00"/>
    <d v="2023-05-15T00:00:00"/>
    <n v="7.257534246575342"/>
    <n v="7.257534246575342"/>
    <s v="Modified Gross"/>
    <s v="Yes"/>
    <s v="None"/>
    <n v="56585586"/>
    <n v="181.2461315233998"/>
    <n v="0.07488198496344987"/>
    <m/>
    <d v="2016-02-12T00:00:00"/>
    <x v="1077"/>
    <s v="JLL; William Prutting"/>
    <x v="763"/>
    <s v="VA"/>
    <s v="Private"/>
    <m/>
    <m/>
    <m/>
    <s v=" "/>
    <s v=" "/>
    <m/>
    <s v=" "/>
    <s v=" "/>
    <s v=" "/>
    <m/>
    <s v=" "/>
  </r>
  <r>
    <m/>
    <s v="Multi"/>
    <s v="Municipal"/>
    <s v="Fee Simple"/>
    <s v="6800 Burleson Rd"/>
    <s v="Austin"/>
    <s v="TX"/>
    <n v="21.07"/>
    <n v="1986"/>
    <n v="139085"/>
    <n v="208374"/>
    <n v="0.6674777083513298"/>
    <m/>
    <s v=" "/>
    <m/>
    <s v=" "/>
    <m/>
    <m/>
    <m/>
    <s v=" "/>
    <s v=" "/>
    <m/>
    <m/>
    <m/>
    <m/>
    <s v=" "/>
    <s v=" "/>
    <m/>
    <d v="2016-02-11T00:00:00"/>
    <x v="1296"/>
    <s v="Bingswanger; Davis"/>
    <x v="928"/>
    <s v="TX"/>
    <s v="Private"/>
    <m/>
    <m/>
    <m/>
    <s v=" "/>
    <s v=" "/>
    <m/>
    <s v=" "/>
    <s v=" "/>
    <s v=" "/>
    <m/>
    <s v=" "/>
  </r>
  <r>
    <m/>
    <s v="FHA"/>
    <s v="Federal"/>
    <s v="Fee Simple"/>
    <s v="6111 SW 29th St"/>
    <s v="Topeka"/>
    <s v="KS"/>
    <n v="0.8"/>
    <n v="1974"/>
    <n v="7711"/>
    <n v="7711"/>
    <n v="1"/>
    <n v="140202"/>
    <n v="18.18207755154974"/>
    <n v="83000"/>
    <n v="10.76384385942161"/>
    <m/>
    <m/>
    <m/>
    <s v=" "/>
    <s v=" "/>
    <m/>
    <m/>
    <m/>
    <n v="1000000"/>
    <n v="129.6848657761639"/>
    <n v="0.083"/>
    <m/>
    <d v="2016-02-09T00:00:00"/>
    <x v="1297"/>
    <s v="SJC; Hellwig"/>
    <x v="929"/>
    <s v="KS"/>
    <s v="Private"/>
    <m/>
    <m/>
    <n v="1025000"/>
    <n v="0.08097560975609756"/>
    <n v="0.975609756097561"/>
    <n v="1025000"/>
    <n v="0.08097560975609756"/>
    <n v="0.002024390243902441"/>
    <s v="No"/>
    <d v="2015-12-20T00:00:00"/>
    <n v="51"/>
  </r>
  <r>
    <m/>
    <s v="Multi"/>
    <s v="Federal"/>
    <s v="Fee Simple"/>
    <s v="4755 Meadow Wood Ln"/>
    <s v="Chantilly"/>
    <s v="VA"/>
    <n v="17.869"/>
    <n v="1986"/>
    <n v="104003"/>
    <n v="104003"/>
    <n v="1"/>
    <m/>
    <s v=" "/>
    <n v="2226000"/>
    <n v="21.40322875301674"/>
    <m/>
    <d v="2021-01-31T00:00:00"/>
    <m/>
    <n v="4.983561643835617"/>
    <s v=" "/>
    <m/>
    <m/>
    <m/>
    <n v="31800000"/>
    <n v="305.760410757382"/>
    <n v="0.07000000000000001"/>
    <m/>
    <d v="2016-02-08T00:00:00"/>
    <x v="1272"/>
    <s v="JLL; Prutting"/>
    <x v="1"/>
    <s v="IL"/>
    <s v="Private"/>
    <m/>
    <m/>
    <m/>
    <s v=" "/>
    <s v=" "/>
    <m/>
    <s v=" "/>
    <s v=" "/>
    <s v=" "/>
    <m/>
    <s v=" "/>
  </r>
  <r>
    <s v="LPA07358"/>
    <s v="IRS"/>
    <s v="Federal"/>
    <s v="Fee Simple"/>
    <s v="2970 Market St"/>
    <s v="Philadelphia"/>
    <s v="PA"/>
    <n v="5"/>
    <n v="1935"/>
    <n v="862692"/>
    <n v="870262"/>
    <n v="0.9913014701319832"/>
    <n v="32056800.9"/>
    <n v="37.15903346733248"/>
    <n v="20500000"/>
    <n v="23.55612447745622"/>
    <d v="2010-08-27T00:00:00"/>
    <d v="2030-08-25T00:00:00"/>
    <d v="2030-08-25T00:00:00"/>
    <n v="14.55342465753425"/>
    <n v="14.55342465753425"/>
    <s v="Modified Gross"/>
    <m/>
    <s v="None"/>
    <n v="354000000"/>
    <n v="406.7740519521707"/>
    <n v="0.05790960451977401"/>
    <m/>
    <d v="2016-02-08T00:00:00"/>
    <x v="1298"/>
    <s v="Direct"/>
    <x v="835"/>
    <m/>
    <s v="Cross-Border"/>
    <m/>
    <m/>
    <m/>
    <s v=" "/>
    <s v=" "/>
    <m/>
    <s v=" "/>
    <s v=" "/>
    <s v=" "/>
    <m/>
    <s v=" "/>
  </r>
  <r>
    <m/>
    <s v="DEA, AOC, FBI"/>
    <s v="Federal"/>
    <s v="Fee Simple"/>
    <s v="1000 Lafayette Blvd"/>
    <s v="Bridgeport"/>
    <s v="CT"/>
    <n v="1.89"/>
    <n v="2012"/>
    <n v="37750"/>
    <n v="214444"/>
    <n v="0.1760366342728172"/>
    <m/>
    <s v=" "/>
    <m/>
    <s v=" "/>
    <m/>
    <m/>
    <m/>
    <s v=" "/>
    <s v=" "/>
    <m/>
    <m/>
    <m/>
    <n v="26716389"/>
    <n v="124.5844556154521"/>
    <s v=" "/>
    <m/>
    <d v="2016-02-02T00:00:00"/>
    <x v="1299"/>
    <s v="Direct"/>
    <x v="930"/>
    <s v="NY"/>
    <s v="Private"/>
    <m/>
    <m/>
    <m/>
    <s v=" "/>
    <s v=" "/>
    <m/>
    <s v=" "/>
    <s v=" "/>
    <s v=" "/>
    <m/>
    <s v=" "/>
  </r>
  <r>
    <s v="LNY23891"/>
    <s v="SSA"/>
    <s v="Federal"/>
    <s v="Fee Simple"/>
    <s v="6344 Austin St"/>
    <s v="Rego Park"/>
    <s v="NY"/>
    <n v="0.4302"/>
    <n v="2015"/>
    <n v="16492"/>
    <n v="16492"/>
    <n v="1"/>
    <m/>
    <s v=" "/>
    <m/>
    <s v=" "/>
    <d v="2015-04-27T00:00:00"/>
    <d v="2025-04-26T00:00:00"/>
    <d v="2020-04-27T00:00:00"/>
    <n v="9.238356164383562"/>
    <n v="4.238356164383561"/>
    <s v="Modified Gross"/>
    <s v="None"/>
    <s v="None"/>
    <n v="7350000"/>
    <n v="445.6706281833617"/>
    <s v=" "/>
    <m/>
    <d v="2016-02-01T00:00:00"/>
    <x v="1300"/>
    <s v="C&amp;W"/>
    <x v="931"/>
    <s v="NY"/>
    <s v="Private"/>
    <m/>
    <m/>
    <m/>
    <s v=" "/>
    <s v=" "/>
    <m/>
    <s v=" "/>
    <s v=" "/>
    <s v=" "/>
    <m/>
    <s v=" "/>
  </r>
  <r>
    <m/>
    <s v="Multi"/>
    <s v="State"/>
    <s v="Fee Simple"/>
    <s v="801 K St"/>
    <s v="Sacramento"/>
    <s v="CA"/>
    <n v="0.72"/>
    <n v="1989"/>
    <n v="250377"/>
    <n v="337881"/>
    <n v="0.7410212471254672"/>
    <m/>
    <s v=" "/>
    <n v="5702400"/>
    <n v="16.87694780114893"/>
    <m/>
    <m/>
    <m/>
    <s v=" "/>
    <s v=" "/>
    <m/>
    <m/>
    <m/>
    <n v="79200000"/>
    <n v="234.4020527937351"/>
    <n v="0.07199999999999999"/>
    <m/>
    <d v="2016-01-29T00:00:00"/>
    <x v="1301"/>
    <s v="Eastdil"/>
    <x v="790"/>
    <s v="MA"/>
    <s v="REIT"/>
    <m/>
    <m/>
    <m/>
    <s v=" "/>
    <s v=" "/>
    <m/>
    <s v=" "/>
    <s v=" "/>
    <s v=" "/>
    <d v="2015-08-01T00:00:00"/>
    <n v="181"/>
  </r>
  <r>
    <m/>
    <s v="USPS"/>
    <s v="Federal"/>
    <s v="Fee Simple"/>
    <s v="23 Cascade Mall Dr"/>
    <s v="North Bonneville"/>
    <s v="WA"/>
    <n v="0.07000000000000001"/>
    <n v="1980"/>
    <n v="1421"/>
    <n v="1421"/>
    <n v="1"/>
    <m/>
    <s v=" "/>
    <n v="15750"/>
    <n v="11.08374384236453"/>
    <m/>
    <m/>
    <m/>
    <s v=" "/>
    <s v=" "/>
    <m/>
    <m/>
    <m/>
    <n v="200100"/>
    <n v="140.8163265306123"/>
    <n v="0.07871064467766117"/>
    <m/>
    <d v="2016-01-27T00:00:00"/>
    <x v="1302"/>
    <s v="TCP; Harrison"/>
    <x v="932"/>
    <s v="MD"/>
    <s v="Private"/>
    <m/>
    <m/>
    <n v="203225"/>
    <n v="0.07750030754090294"/>
    <n v="0.9846229548529954"/>
    <n v="203225"/>
    <n v="0.07750030754090294"/>
    <n v="0.001210337136758236"/>
    <s v="No"/>
    <d v="2015-10-16T00:00:00"/>
    <n v="103"/>
  </r>
  <r>
    <m/>
    <s v="Rowan University"/>
    <s v="State"/>
    <s v="Leasehold"/>
    <s v="220 Rowan Blvd"/>
    <s v="Glassboro"/>
    <s v="NJ"/>
    <m/>
    <m/>
    <m/>
    <m/>
    <s v=" "/>
    <m/>
    <s v=" "/>
    <m/>
    <s v=" "/>
    <m/>
    <m/>
    <m/>
    <s v=" "/>
    <s v=" "/>
    <m/>
    <m/>
    <m/>
    <n v="182100000"/>
    <s v=" "/>
    <s v=" "/>
    <m/>
    <d v="2016-01-21T00:00:00"/>
    <x v="1303"/>
    <m/>
    <x v="414"/>
    <s v="MA"/>
    <s v="Private"/>
    <m/>
    <s v="Nexus Properties"/>
    <m/>
    <s v=" "/>
    <s v=" "/>
    <m/>
    <s v=" "/>
    <s v=" "/>
    <s v=" "/>
    <m/>
    <s v=" "/>
  </r>
  <r>
    <m/>
    <s v="WRCD"/>
    <s v="State/Federal"/>
    <s v="Fee Simple"/>
    <s v="3310 El Camino Ave"/>
    <s v="Sacramento"/>
    <s v="CA"/>
    <n v="5.31"/>
    <n v="1990"/>
    <n v="128285"/>
    <n v="128285"/>
    <n v="1"/>
    <m/>
    <s v=" "/>
    <n v="1360000"/>
    <n v="10.60139533070897"/>
    <m/>
    <d v="2019-05-30T00:00:00"/>
    <m/>
    <n v="3.372602739726027"/>
    <s v=" "/>
    <m/>
    <m/>
    <m/>
    <n v="13600000"/>
    <n v="106.0139533070897"/>
    <n v="0.1"/>
    <m/>
    <d v="2016-01-15T00:00:00"/>
    <x v="1304"/>
    <s v="Palmer Capital"/>
    <x v="933"/>
    <s v="CA"/>
    <s v="Private"/>
    <m/>
    <m/>
    <m/>
    <s v=" "/>
    <s v=" "/>
    <m/>
    <s v=" "/>
    <s v=" "/>
    <s v=" "/>
    <d v="2015-08-18T00:00:00"/>
    <n v="150"/>
  </r>
  <r>
    <m/>
    <s v="VA &amp; State"/>
    <s v="Federal &amp; State"/>
    <s v="Fee Simple"/>
    <s v="1645 NE Forbes Rd"/>
    <s v="Bend"/>
    <s v="OR"/>
    <n v="2.79"/>
    <n v="1983"/>
    <n v="27249"/>
    <n v="30544"/>
    <n v="0.8921228391828182"/>
    <n v="595284"/>
    <n v="21.84608609490256"/>
    <n v="420597"/>
    <n v="13.77020036668413"/>
    <m/>
    <m/>
    <m/>
    <s v=" "/>
    <s v=" "/>
    <s v="Full Service"/>
    <s v="Various"/>
    <s v="Yes"/>
    <n v="6050000"/>
    <n v="198.074908328968"/>
    <n v="0.0695201652892562"/>
    <m/>
    <d v="2016-01-14T00:00:00"/>
    <x v="1305"/>
    <s v="PCC; Viera"/>
    <x v="934"/>
    <s v="OR"/>
    <s v="Private"/>
    <m/>
    <m/>
    <n v="6500000"/>
    <n v="0.06470723076923077"/>
    <n v="0.9307692307692308"/>
    <n v="6500000"/>
    <n v="0.06470723076923077"/>
    <n v="0.00481293452002543"/>
    <s v="No"/>
    <d v="2015-06-18T00:00:00"/>
    <n v="210"/>
  </r>
  <r>
    <m/>
    <s v="Multi"/>
    <s v="Federal &amp; State"/>
    <s v="Fee Simple"/>
    <s v="20415-20435 72nd Ave S"/>
    <s v="Kent"/>
    <s v="WA"/>
    <n v="21.05"/>
    <m/>
    <n v="50593"/>
    <n v="218426"/>
    <n v="0.2316253559557928"/>
    <m/>
    <s v=" "/>
    <n v="2223000"/>
    <n v="10.17735983811451"/>
    <m/>
    <m/>
    <m/>
    <s v=" "/>
    <s v=" "/>
    <s v="Full Service"/>
    <m/>
    <m/>
    <n v="26500000"/>
    <n v="121.322553175904"/>
    <n v="0.08388679245283019"/>
    <m/>
    <d v="2016-01-13T00:00:00"/>
    <x v="74"/>
    <s v="JLL; Kucha"/>
    <x v="935"/>
    <s v="OR"/>
    <s v="Private"/>
    <m/>
    <m/>
    <m/>
    <s v=" "/>
    <s v=" "/>
    <m/>
    <s v=" "/>
    <s v=" "/>
    <s v=" "/>
    <m/>
    <s v=" "/>
  </r>
  <r>
    <m/>
    <m/>
    <s v="Federal"/>
    <s v="Fee Simple"/>
    <s v="1900 River Rd"/>
    <s v="Burlington"/>
    <s v="NJ"/>
    <n v="116.8"/>
    <n v="1992"/>
    <n v="1050266"/>
    <n v="1050266"/>
    <n v="1"/>
    <m/>
    <s v=" "/>
    <m/>
    <s v=" "/>
    <m/>
    <d v="2020-12-31T00:00:00"/>
    <d v="2020-12-31T00:00:00"/>
    <n v="5.005479452054795"/>
    <n v="5.005479452054795"/>
    <s v="Modified Gross"/>
    <s v="None"/>
    <s v="None"/>
    <n v="61500000"/>
    <n v="58.55659423422257"/>
    <s v=" "/>
    <m/>
    <d v="2015-12-31T00:00:00"/>
    <x v="950"/>
    <s v="CBRE; Galbally"/>
    <x v="230"/>
    <s v="MA"/>
    <s v="REIT"/>
    <m/>
    <m/>
    <m/>
    <s v=" "/>
    <s v=" "/>
    <m/>
    <s v=" "/>
    <s v=" "/>
    <s v=" "/>
    <d v="2015-07-01T00:00:00"/>
    <n v="183"/>
  </r>
  <r>
    <m/>
    <s v="VA/Vet Center"/>
    <s v="Federal"/>
    <s v="Fee Simple"/>
    <s v="1604 SE 3rd Ave"/>
    <s v="Gainesville"/>
    <s v="FL"/>
    <n v="3"/>
    <n v="1946"/>
    <n v="25601"/>
    <n v="25601"/>
    <n v="1"/>
    <n v="698456"/>
    <n v="27.28237178235225"/>
    <n v="303090"/>
    <n v="11.83899066442717"/>
    <d v="2010-01-01T00:00:00"/>
    <d v="2019-12-31T00:00:00"/>
    <d v="2019-12-31T00:00:00"/>
    <n v="4.002739726027397"/>
    <n v="4.002739726027397"/>
    <s v="FS"/>
    <s v="Flat"/>
    <s v="1, 5 year"/>
    <n v="3000000"/>
    <n v="117.1829225420882"/>
    <n v="0.10103"/>
    <m/>
    <d v="2015-12-31T00:00:00"/>
    <x v="1306"/>
    <m/>
    <x v="936"/>
    <s v="FL"/>
    <s v="Private"/>
    <m/>
    <m/>
    <m/>
    <s v=" "/>
    <s v=" "/>
    <m/>
    <s v=" "/>
    <s v=" "/>
    <s v=" "/>
    <m/>
    <s v=" "/>
  </r>
  <r>
    <s v="LNV02443"/>
    <s v="FBI"/>
    <s v="Federal"/>
    <s v="Fee Simple"/>
    <s v="980 Sandhill Rd"/>
    <s v="Reno"/>
    <s v="NV"/>
    <n v="1.7673"/>
    <n v="2005"/>
    <n v="22280"/>
    <n v="31169"/>
    <n v="0.7148127947640284"/>
    <n v="592171.25"/>
    <n v="26.57860188509874"/>
    <n v="478720"/>
    <n v="15.35885013956174"/>
    <d v="2011-03-02T00:00:00"/>
    <d v="2026-03-01T00:00:00"/>
    <d v="2021-03-01T00:00:00"/>
    <n v="10.17260273972603"/>
    <n v="5.16986301369863"/>
    <s v="Modified Gross"/>
    <s v="None"/>
    <s v="None"/>
    <n v="6400000"/>
    <n v="205.3322211171356"/>
    <n v="0.07480000000000001"/>
    <m/>
    <d v="2015-12-31T00:00:00"/>
    <x v="564"/>
    <s v="Galleli"/>
    <x v="593"/>
    <s v="IL"/>
    <s v="Private"/>
    <s v="Boulder"/>
    <m/>
    <n v="6600000"/>
    <n v="0.07253333333333334"/>
    <n v="0.9696969696969697"/>
    <n v="6600000"/>
    <n v="0.07253333333333334"/>
    <n v="0.002266666666666667"/>
    <s v="No"/>
    <d v="2015-04-11T00:00:00"/>
    <n v="264"/>
  </r>
  <r>
    <s v="LTN46039"/>
    <s v="SS"/>
    <s v="Federal"/>
    <s v="Fee Simple"/>
    <s v="223 Rosa L Parks Ave"/>
    <s v="Nashville"/>
    <s v="TN"/>
    <n v="0.26"/>
    <n v="2000"/>
    <n v="8959"/>
    <n v="42000"/>
    <n v="0.2133095238095238"/>
    <n v="216793.65"/>
    <n v="24.19842058265431"/>
    <m/>
    <s v=" "/>
    <d v="2007-08-01T00:00:00"/>
    <d v="2017-07-31T00:00:00"/>
    <d v="2011-07-31T00:00:00"/>
    <n v="1.591780821917808"/>
    <n v="-4.413698630136986"/>
    <s v="FS"/>
    <m/>
    <s v="None"/>
    <n v="5800000"/>
    <n v="138.0952380952381"/>
    <s v=" "/>
    <m/>
    <d v="2015-12-28T00:00:00"/>
    <x v="1307"/>
    <s v="Direct"/>
    <x v="937"/>
    <m/>
    <s v="Private"/>
    <m/>
    <m/>
    <m/>
    <s v=" "/>
    <s v=" "/>
    <m/>
    <s v=" "/>
    <s v=" "/>
    <s v=" "/>
    <m/>
    <s v=" "/>
  </r>
  <r>
    <s v="LCO14951"/>
    <s v="USGS"/>
    <s v="Federal"/>
    <s v="Fee Simple"/>
    <s v="4620 Technology"/>
    <s v="Golden"/>
    <s v="CO"/>
    <n v="1.74"/>
    <n v="2002"/>
    <n v="8219"/>
    <n v="18773"/>
    <n v="0.4378096201992223"/>
    <n v="184112.32"/>
    <n v="22.40081761771505"/>
    <m/>
    <s v=" "/>
    <d v="2018-06-15T00:00:00"/>
    <d v="2028-06-14T00:00:00"/>
    <d v="2025-06-14T00:00:00"/>
    <n v="12.48493150684932"/>
    <n v="9.482191780821918"/>
    <s v="Modified Gross"/>
    <s v="None"/>
    <s v="None"/>
    <n v="2900000"/>
    <n v="154.4771746657433"/>
    <s v=" "/>
    <m/>
    <d v="2015-12-23T00:00:00"/>
    <x v="1308"/>
    <m/>
    <x v="938"/>
    <s v="CO"/>
    <s v="Private"/>
    <m/>
    <m/>
    <m/>
    <s v=" "/>
    <s v=" "/>
    <m/>
    <s v=" "/>
    <s v=" "/>
    <s v=" "/>
    <m/>
    <s v=" "/>
  </r>
  <r>
    <m/>
    <s v="IRS"/>
    <s v="Federal"/>
    <s v="Fee Simple"/>
    <s v="4330 Watt Ave"/>
    <s v="Sacramento"/>
    <s v="CA"/>
    <n v="6.13"/>
    <n v="1987"/>
    <n v="89440"/>
    <n v="145473"/>
    <n v="0.614821994459453"/>
    <m/>
    <s v=" "/>
    <n v="2237200"/>
    <n v="15.37879881490036"/>
    <d v="2011-06-01T00:00:00"/>
    <d v="2026-05-31T00:00:00"/>
    <d v="2021-05-31T00:00:00"/>
    <n v="10.44657534246575"/>
    <n v="5.443835616438356"/>
    <s v="Modified Gross"/>
    <s v="None"/>
    <s v="None"/>
    <n v="32900000"/>
    <n v="226.1588061014759"/>
    <n v="0.068"/>
    <m/>
    <d v="2015-12-22T00:00:00"/>
    <x v="1309"/>
    <s v="C&amp;W; Travis Trautvetter"/>
    <x v="1"/>
    <s v="IL"/>
    <s v="Private"/>
    <m/>
    <m/>
    <m/>
    <s v=" "/>
    <s v=" "/>
    <m/>
    <s v=" "/>
    <s v=" "/>
    <s v=" "/>
    <m/>
    <s v=" "/>
  </r>
  <r>
    <m/>
    <s v="CB/FWS/SSA/Colleage"/>
    <s v="Federal &amp; State"/>
    <s v="Fee Simple"/>
    <s v="201 N Bonita Ave"/>
    <s v="Tucson"/>
    <s v="AZ"/>
    <n v="5.0096"/>
    <n v="2002"/>
    <n v="39109"/>
    <n v="73826"/>
    <n v="0.5297456180749329"/>
    <n v="1167076"/>
    <n v="29.84162213301286"/>
    <n v="1178412.775"/>
    <n v="15.96202929862108"/>
    <d v="2009-07-02T00:00:00"/>
    <d v="2024-07-01T00:00:00"/>
    <d v="2019-07-02T00:00:00"/>
    <n v="8.534246575342467"/>
    <n v="3.531506849315068"/>
    <s v="Modified Gross"/>
    <s v="None"/>
    <s v="None"/>
    <n v="12404345"/>
    <n v="168.0213610381167"/>
    <n v="0.09499999999999999"/>
    <m/>
    <d v="2015-12-21T00:00:00"/>
    <x v="1310"/>
    <s v="CBRE; Sandahl"/>
    <x v="1"/>
    <s v="IL"/>
    <s v="Private"/>
    <m/>
    <m/>
    <m/>
    <s v=" "/>
    <s v=" "/>
    <m/>
    <s v=" "/>
    <s v=" "/>
    <s v=" "/>
    <d v="2015-06-11T00:00:00"/>
    <n v="193"/>
  </r>
  <r>
    <m/>
    <s v="USPS"/>
    <s v="Federal"/>
    <s v="Fee Simple"/>
    <s v="1601 W Atherton Rd"/>
    <s v="Flint"/>
    <s v="MI"/>
    <n v="1.37"/>
    <n v="1965"/>
    <n v="9664"/>
    <n v="9664"/>
    <n v="1"/>
    <m/>
    <s v=" "/>
    <n v="60800"/>
    <n v="6.291390728476821"/>
    <d v="2010-05-01T00:00:00"/>
    <d v="2020-04-30T00:00:00"/>
    <d v="2020-04-30T00:00:00"/>
    <n v="4.36986301369863"/>
    <n v="4.36986301369863"/>
    <s v="Rider"/>
    <s v="Options"/>
    <s v="2, 5 year"/>
    <n v="680000"/>
    <n v="70.36423841059603"/>
    <n v="0.08941176470588236"/>
    <m/>
    <d v="2015-12-18T00:00:00"/>
    <x v="1311"/>
    <s v="Avery Postal Group; Agnew"/>
    <x v="939"/>
    <s v="OH"/>
    <s v="Private"/>
    <m/>
    <m/>
    <n v="760000"/>
    <n v="0.08"/>
    <n v="0.8947368421052632"/>
    <n v="760000"/>
    <n v="0.08"/>
    <n v="0.009411764705882356"/>
    <s v="No"/>
    <d v="2015-01-21T00:00:00"/>
    <n v="331"/>
  </r>
  <r>
    <m/>
    <s v="BLM/USGS/County of Mendocino"/>
    <s v="Federal"/>
    <s v="Fee Simple"/>
    <s v="2550 N State St"/>
    <s v="Ukiah"/>
    <s v="CA"/>
    <n v="4.5"/>
    <n v="1997"/>
    <n v="24602"/>
    <n v="24602"/>
    <n v="1"/>
    <n v="387481.5"/>
    <n v="15.75"/>
    <n v="215605"/>
    <n v="8.763718396878303"/>
    <d v="1997-07-01T00:00:00"/>
    <d v="2017-07-01T00:00:00"/>
    <d v="2012-07-01T00:00:00"/>
    <n v="1.536986301369863"/>
    <n v="-3.465753424657534"/>
    <s v="Modified Gross"/>
    <s v="None"/>
    <s v="None"/>
    <n v="2015000"/>
    <n v="81.90391025119909"/>
    <n v="0.107"/>
    <m/>
    <d v="2015-12-18T00:00:00"/>
    <x v="1312"/>
    <s v="Direct"/>
    <x v="766"/>
    <s v="CA"/>
    <s v="Private"/>
    <m/>
    <m/>
    <n v="2415000"/>
    <n v="0.08927743271221532"/>
    <n v="0.8343685300207039"/>
    <n v="2415000"/>
    <n v="0.08927743271221532"/>
    <n v="0.01772256728778468"/>
    <s v="No"/>
    <d v="2014-11-05T00:00:00"/>
    <n v="408"/>
  </r>
  <r>
    <s v="LMD12192"/>
    <s v="FBI"/>
    <s v="Federal"/>
    <s v="Fee Simple"/>
    <s v="2600 Lord Baltimore Dr"/>
    <s v="Baltimore"/>
    <s v="MD"/>
    <n v="10.98"/>
    <n v="2004"/>
    <n v="155755"/>
    <n v="155755"/>
    <n v="1"/>
    <n v="4984160"/>
    <n v="32"/>
    <n v="3534100"/>
    <n v="22.69012230747007"/>
    <d v="2015-06-02T00:00:00"/>
    <d v="2030-06-01T00:00:00"/>
    <d v="2030-06-01T00:00:00"/>
    <n v="14.46575342465753"/>
    <n v="14.46575342465753"/>
    <s v="Modified Gross"/>
    <s v="None"/>
    <s v="None"/>
    <n v="60100000"/>
    <n v="385.8624121216012"/>
    <n v="0.05880366056572379"/>
    <m/>
    <d v="2015-12-17T00:00:00"/>
    <x v="1313"/>
    <s v="Eastdil"/>
    <x v="242"/>
    <s v="TX"/>
    <s v="Institutional"/>
    <m/>
    <m/>
    <m/>
    <s v=" "/>
    <s v=" "/>
    <m/>
    <s v=" "/>
    <s v=" "/>
    <s v=" "/>
    <m/>
    <s v=" "/>
  </r>
  <r>
    <m/>
    <s v="VA"/>
    <s v="Federal"/>
    <s v="Fee Simple"/>
    <s v="206 Rescia"/>
    <s v="Gadsden"/>
    <s v="AL"/>
    <n v="1.278696051423324"/>
    <n v="2004"/>
    <n v="6690"/>
    <n v="6690"/>
    <n v="1"/>
    <m/>
    <s v=" "/>
    <m/>
    <s v=" "/>
    <m/>
    <m/>
    <m/>
    <s v=" "/>
    <s v=" "/>
    <m/>
    <m/>
    <m/>
    <n v="1600000"/>
    <n v="239.1629297458894"/>
    <s v=" "/>
    <m/>
    <d v="2015-12-15T00:00:00"/>
    <x v="1314"/>
    <m/>
    <x v="46"/>
    <s v="OK"/>
    <s v="Private"/>
    <s v="M&amp;M; Ficke"/>
    <m/>
    <m/>
    <s v=" "/>
    <s v=" "/>
    <m/>
    <s v=" "/>
    <s v=" "/>
    <s v=" "/>
    <m/>
    <s v=" "/>
  </r>
  <r>
    <m/>
    <s v="FS"/>
    <s v="Federal"/>
    <s v="Fee Simple"/>
    <s v="4070 E Avenida Saracino"/>
    <s v="Hereford"/>
    <s v="AZ"/>
    <n v="3.52"/>
    <n v="2011"/>
    <n v="16423"/>
    <n v="16423"/>
    <n v="1"/>
    <m/>
    <s v=" "/>
    <m/>
    <s v=" "/>
    <m/>
    <m/>
    <m/>
    <s v=" "/>
    <s v=" "/>
    <m/>
    <m/>
    <m/>
    <n v="5100000"/>
    <n v="310.5400962065396"/>
    <s v=" "/>
    <m/>
    <d v="2015-12-15T00:00:00"/>
    <x v="1315"/>
    <s v="C&amp;W; Trautvetter"/>
    <x v="1"/>
    <s v="IL"/>
    <s v="Private"/>
    <s v="BW; Wells"/>
    <m/>
    <m/>
    <s v=" "/>
    <s v=" "/>
    <m/>
    <s v=" "/>
    <s v=" "/>
    <s v=" "/>
    <m/>
    <s v=" "/>
  </r>
  <r>
    <m/>
    <s v="VA/CBOC"/>
    <s v="Federal"/>
    <s v="Fee Simple"/>
    <s v="816 Featherstone Rd"/>
    <s v="Rockford"/>
    <s v="IL"/>
    <n v="3.86"/>
    <n v="2012"/>
    <n v="31000"/>
    <n v="31000"/>
    <n v="1"/>
    <n v="1062533"/>
    <n v="34.27525806451613"/>
    <n v="715004"/>
    <n v="23.06464516129032"/>
    <d v="2012-10-01T00:00:00"/>
    <d v="2032-09-30T00:00:00"/>
    <d v="2032-09-30T00:00:00"/>
    <n v="16.80547945205479"/>
    <n v="16.80547945205479"/>
    <s v="Modified Gross"/>
    <s v="None"/>
    <s v="None"/>
    <n v="11032000"/>
    <n v="355.8709677419355"/>
    <n v="0.06481182015953589"/>
    <m/>
    <d v="2015-12-15T00:00:00"/>
    <x v="111"/>
    <s v="Direct"/>
    <x v="692"/>
    <s v="TX"/>
    <s v="Private"/>
    <m/>
    <s v="WD Schorsh"/>
    <m/>
    <s v=" "/>
    <s v=" "/>
    <m/>
    <s v=" "/>
    <s v=" "/>
    <s v=" "/>
    <m/>
    <s v=" "/>
  </r>
  <r>
    <m/>
    <s v="FAA/VA"/>
    <s v="Federal"/>
    <s v="Fee Simple"/>
    <s v="2780 Airport Dr"/>
    <s v="Columbus"/>
    <s v="OH"/>
    <n v="9.300000000000001"/>
    <n v="2000"/>
    <n v="29516"/>
    <n v="105591"/>
    <n v="0.279531399456393"/>
    <m/>
    <s v=" "/>
    <n v="342000"/>
    <n v="3.238912407307441"/>
    <m/>
    <m/>
    <m/>
    <s v=" "/>
    <s v=" "/>
    <m/>
    <m/>
    <m/>
    <n v="5700000"/>
    <n v="53.98187345512402"/>
    <n v="0.06"/>
    <m/>
    <d v="2015-12-14T00:00:00"/>
    <x v="1316"/>
    <s v="Colliers; Underman"/>
    <x v="940"/>
    <s v="OH"/>
    <s v="Private"/>
    <m/>
    <m/>
    <m/>
    <s v=" "/>
    <s v=" "/>
    <m/>
    <s v=" "/>
    <s v=" "/>
    <s v=" "/>
    <m/>
    <s v=" "/>
  </r>
  <r>
    <m/>
    <s v="DFPS &amp; HHS"/>
    <s v="State"/>
    <s v="Fee Simple"/>
    <s v="3 Northpoint Dr"/>
    <s v="Houston"/>
    <s v="TX"/>
    <n v="2.65"/>
    <n v="1979"/>
    <n v="43966"/>
    <n v="43966"/>
    <n v="1"/>
    <m/>
    <s v=" "/>
    <m/>
    <s v=" "/>
    <d v="2013-08-01T00:00:00"/>
    <d v="2023-07-31T00:00:00"/>
    <m/>
    <n v="7.632876712328767"/>
    <s v=" "/>
    <s v="Full Service"/>
    <s v="None"/>
    <s v="None"/>
    <n v="3062500"/>
    <n v="69.65609789382705"/>
    <s v=" "/>
    <m/>
    <d v="2015-12-14T00:00:00"/>
    <x v="1317"/>
    <s v="AY; Betts"/>
    <x v="429"/>
    <s v="NY"/>
    <s v="Private"/>
    <m/>
    <m/>
    <m/>
    <s v=" "/>
    <s v=" "/>
    <m/>
    <s v=" "/>
    <s v=" "/>
    <s v=" "/>
    <d v="2014-11-12T00:00:00"/>
    <n v="397"/>
  </r>
  <r>
    <m/>
    <s v="FS"/>
    <s v="Federal"/>
    <s v="Fee Simple"/>
    <s v="3463 Las Palomas Rd"/>
    <s v="Alamogordo"/>
    <s v="NM"/>
    <n v="3.51"/>
    <n v="2008"/>
    <n v="19900"/>
    <n v="19900"/>
    <n v="1"/>
    <m/>
    <s v=" "/>
    <m/>
    <s v=" "/>
    <m/>
    <m/>
    <m/>
    <s v=" "/>
    <s v=" "/>
    <m/>
    <m/>
    <m/>
    <n v="7100000"/>
    <n v="356.78391959799"/>
    <s v=" "/>
    <m/>
    <d v="2015-12-11T00:00:00"/>
    <x v="1315"/>
    <s v="C&amp;W; Trautvetter"/>
    <x v="1"/>
    <s v="IL"/>
    <s v="Private"/>
    <s v="BW; Wells"/>
    <m/>
    <m/>
    <s v=" "/>
    <s v=" "/>
    <m/>
    <s v=" "/>
    <s v=" "/>
    <s v=" "/>
    <m/>
    <s v=" "/>
  </r>
  <r>
    <s v="LCA01166"/>
    <s v="IRS"/>
    <s v="Federal"/>
    <s v="Fee Simple"/>
    <s v="801 Civic Center Dr W"/>
    <s v="Santa Ana"/>
    <s v="CA"/>
    <n v="3.69"/>
    <n v="1983"/>
    <n v="59802"/>
    <n v="124489"/>
    <n v="0.4803797925921166"/>
    <n v="1401480.2"/>
    <n v="23.43533995518544"/>
    <m/>
    <s v=" "/>
    <d v="2002-10-10T00:00:00"/>
    <d v="2016-04-30T00:00:00"/>
    <d v="2014-10-10T00:00:00"/>
    <n v="0.3863013698630137"/>
    <n v="-1.16986301369863"/>
    <s v="Modified Gross"/>
    <m/>
    <s v="None"/>
    <n v="11627000"/>
    <n v="93.39781024829503"/>
    <s v=" "/>
    <m/>
    <d v="2015-12-11T00:00:00"/>
    <x v="611"/>
    <m/>
    <x v="941"/>
    <s v="CA"/>
    <s v="Institutional"/>
    <m/>
    <m/>
    <m/>
    <s v=" "/>
    <s v=" "/>
    <m/>
    <s v=" "/>
    <s v=" "/>
    <s v=" "/>
    <m/>
    <s v=" "/>
  </r>
  <r>
    <s v="LOH17778"/>
    <s v="SSA"/>
    <s v="Federal"/>
    <s v="Fee Simple"/>
    <s v="745 Innovation Dr"/>
    <s v="Bowling Green"/>
    <s v="OH"/>
    <n v="2.2"/>
    <n v="2008"/>
    <n v="5534"/>
    <n v="5534"/>
    <n v="1"/>
    <n v="148634.24"/>
    <n v="26.85837368991687"/>
    <n v="112520"/>
    <n v="20.33249006143838"/>
    <d v="2009-03-31T00:00:00"/>
    <d v="2022-03-30T00:00:00"/>
    <d v="2019-03-30T00:00:00"/>
    <n v="6.306849315068493"/>
    <n v="3.304109589041096"/>
    <s v="Modified Gross"/>
    <s v="None"/>
    <s v="None"/>
    <n v="1125000"/>
    <n v="203.2887603903144"/>
    <n v="0.1000177777777778"/>
    <m/>
    <d v="2015-12-10T00:00:00"/>
    <x v="1318"/>
    <s v="WD Schorsch"/>
    <x v="942"/>
    <s v="OH"/>
    <s v="Private"/>
    <m/>
    <m/>
    <n v="1450000"/>
    <n v="0.0776"/>
    <n v="0.7758620689655172"/>
    <n v="1450000"/>
    <n v="0.0776"/>
    <n v="0.02241777777777777"/>
    <s v="No"/>
    <d v="2014-04-17T00:00:00"/>
    <n v="602"/>
  </r>
  <r>
    <m/>
    <s v="BLM"/>
    <s v="Federal"/>
    <s v="Fee Simple"/>
    <s v="2300 River Frontage Rd"/>
    <s v="Silt"/>
    <s v="CO"/>
    <n v="3.51"/>
    <n v="2009"/>
    <n v="18813"/>
    <n v="18813"/>
    <n v="1"/>
    <n v="404485.38"/>
    <n v="21.50031254983256"/>
    <n v="258935.51"/>
    <n v="13.76364800935523"/>
    <d v="2009-10-01T00:00:00"/>
    <d v="2029-09-30T00:00:00"/>
    <d v="2024-09-30T00:00:00"/>
    <n v="13.81643835616438"/>
    <n v="8.813698630136987"/>
    <s v="Modified Gross"/>
    <s v="None"/>
    <s v="None"/>
    <n v="3675000"/>
    <n v="195.3436453516186"/>
    <n v="0.07045864217687076"/>
    <m/>
    <d v="2015-12-10T00:00:00"/>
    <x v="1319"/>
    <s v="SJC; Duff"/>
    <x v="54"/>
    <s v="NC"/>
    <s v="REIT"/>
    <m/>
    <m/>
    <m/>
    <s v=" "/>
    <s v=" "/>
    <m/>
    <s v=" "/>
    <s v=" "/>
    <s v=" "/>
    <m/>
    <s v=" "/>
  </r>
  <r>
    <m/>
    <s v="FBI"/>
    <s v="Federal"/>
    <s v="Fee Simple"/>
    <s v="1970 E Parham Rd"/>
    <s v="Richmond"/>
    <s v="VA"/>
    <n v="11.7501"/>
    <n v="2001"/>
    <n v="96607"/>
    <n v="96607"/>
    <n v="1"/>
    <n v="2690715"/>
    <n v="27.8521742730858"/>
    <m/>
    <s v=" "/>
    <d v="2016-02-01T00:00:00"/>
    <d v="2021-01-30T00:00:00"/>
    <d v="2021-01-30T00:00:00"/>
    <n v="5.147945205479452"/>
    <n v="5.147945205479452"/>
    <s v="Modified Gross"/>
    <s v="None"/>
    <s v="None"/>
    <n v="29100000"/>
    <n v="301.2204084590144"/>
    <s v=" "/>
    <m/>
    <d v="2015-12-09T00:00:00"/>
    <x v="1320"/>
    <s v="C&amp;W; Trautvetter"/>
    <x v="3"/>
    <s v="DC"/>
    <s v="REIT"/>
    <m/>
    <m/>
    <m/>
    <s v=" "/>
    <s v=" "/>
    <m/>
    <s v=" "/>
    <s v=" "/>
    <s v=" "/>
    <m/>
    <s v=" "/>
  </r>
  <r>
    <m/>
    <s v="SDSU"/>
    <s v="State"/>
    <s v="Fee Simple"/>
    <s v="5025 Collwood Blvd"/>
    <s v="San Diego"/>
    <s v="CA"/>
    <n v="6.79"/>
    <n v="2010"/>
    <n v="247200"/>
    <n v="247200"/>
    <n v="1"/>
    <m/>
    <s v=" "/>
    <n v="3822500"/>
    <n v="15.46318770226537"/>
    <m/>
    <m/>
    <m/>
    <s v=" "/>
    <s v=" "/>
    <m/>
    <m/>
    <m/>
    <n v="69500000"/>
    <n v="281.1488673139158"/>
    <n v="0.055"/>
    <m/>
    <d v="2015-12-09T00:00:00"/>
    <x v="1321"/>
    <s v="JLL"/>
    <x v="943"/>
    <s v="CA"/>
    <s v="Private"/>
    <m/>
    <m/>
    <m/>
    <s v=" "/>
    <s v=" "/>
    <m/>
    <s v=" "/>
    <s v=" "/>
    <s v=" "/>
    <m/>
    <s v=" "/>
  </r>
  <r>
    <m/>
    <s v="HHSC/DFPS"/>
    <s v="State"/>
    <s v="Fee Simple"/>
    <s v="2505 Stone Hollow"/>
    <s v="Brenham"/>
    <s v="TX"/>
    <n v="1.5"/>
    <n v="1992"/>
    <n v="10368"/>
    <n v="10368"/>
    <n v="1"/>
    <n v="72075"/>
    <n v="6.95167824074074"/>
    <n v="45546"/>
    <n v="4.392939814814815"/>
    <d v="1997-09-01T00:00:00"/>
    <d v="2012-08-31T00:00:00"/>
    <m/>
    <n v="-3.271232876712329"/>
    <s v=" "/>
    <s v="Modified Gross"/>
    <s v="None"/>
    <s v="None"/>
    <m/>
    <s v=" "/>
    <s v=" "/>
    <m/>
    <d v="2015-12-08T00:00:00"/>
    <x v="514"/>
    <m/>
    <x v="944"/>
    <s v="TX"/>
    <s v="User/Owner"/>
    <m/>
    <m/>
    <m/>
    <s v=" "/>
    <s v=" "/>
    <m/>
    <s v=" "/>
    <s v=" "/>
    <s v=" "/>
    <m/>
    <s v=" "/>
  </r>
  <r>
    <m/>
    <s v="UNLV"/>
    <s v="State"/>
    <s v="Fee Simple"/>
    <s v="935-965 Cottage Grove Ave"/>
    <s v="Las Vegas"/>
    <s v="NV"/>
    <n v="2.52"/>
    <n v="1972"/>
    <n v="76200"/>
    <n v="76200"/>
    <n v="1"/>
    <m/>
    <s v=" "/>
    <n v="390500"/>
    <n v="5.124671916010499"/>
    <m/>
    <m/>
    <m/>
    <s v=" "/>
    <s v=" "/>
    <m/>
    <m/>
    <m/>
    <n v="7100000"/>
    <n v="93.17585301837271"/>
    <n v="0.055"/>
    <m/>
    <d v="2015-12-07T00:00:00"/>
    <x v="1322"/>
    <s v="NAI; Carll"/>
    <x v="945"/>
    <s v="CA"/>
    <s v="Private"/>
    <s v="Devin Lee"/>
    <m/>
    <m/>
    <s v=" "/>
    <s v=" "/>
    <m/>
    <s v=" "/>
    <s v=" "/>
    <s v=" "/>
    <m/>
    <s v=" "/>
  </r>
  <r>
    <s v="LSC60050"/>
    <s v="Air Force"/>
    <s v="Federal"/>
    <s v="Fee Simple"/>
    <s v="3120 Ashley Phosphate Rd"/>
    <s v="North Charleston"/>
    <s v="SC"/>
    <n v="4.43"/>
    <n v="1968"/>
    <n v="75000"/>
    <n v="75000"/>
    <n v="1"/>
    <n v="562728"/>
    <n v="7.50304"/>
    <m/>
    <s v=" "/>
    <d v="2014-07-15T00:00:00"/>
    <d v="2019-06-30T00:00:00"/>
    <d v="2015-07-15T00:00:00"/>
    <n v="3.564383561643836"/>
    <n v="-0.3972602739726027"/>
    <s v="FS"/>
    <m/>
    <s v="None"/>
    <n v="5275575"/>
    <n v="70.34099999999999"/>
    <s v=" "/>
    <m/>
    <d v="2015-12-07T00:00:00"/>
    <x v="1323"/>
    <m/>
    <x v="946"/>
    <m/>
    <s v="Private"/>
    <m/>
    <m/>
    <m/>
    <s v=" "/>
    <s v=" "/>
    <m/>
    <s v=" "/>
    <s v=" "/>
    <s v=" "/>
    <m/>
    <s v=" "/>
  </r>
  <r>
    <s v="LLA17136"/>
    <s v="SSA"/>
    <s v="Federal"/>
    <s v="Fee Simple"/>
    <s v="149 W 18th St"/>
    <s v="Lake Charles"/>
    <s v="LA"/>
    <n v="0.53"/>
    <n v="2014"/>
    <n v="9000"/>
    <n v="11000"/>
    <n v="0.8181818181818182"/>
    <n v="219019.63"/>
    <n v="24.33551444444445"/>
    <m/>
    <s v=" "/>
    <d v="2014-06-24T00:00:00"/>
    <d v="2029-06-23T00:00:00"/>
    <d v="2024-06-24T00:00:00"/>
    <n v="13.56164383561644"/>
    <n v="8.561643835616438"/>
    <s v="Modified Gross"/>
    <s v="None"/>
    <s v="None"/>
    <n v="2000000"/>
    <n v="181.8181818181818"/>
    <s v=" "/>
    <m/>
    <d v="2015-12-04T00:00:00"/>
    <x v="345"/>
    <s v="C&amp;W; Trautvetter"/>
    <x v="947"/>
    <s v="MT"/>
    <s v="Private"/>
    <s v="BW; Wells"/>
    <m/>
    <m/>
    <s v=" "/>
    <s v=" "/>
    <m/>
    <s v=" "/>
    <s v=" "/>
    <s v=" "/>
    <m/>
    <s v=" "/>
  </r>
  <r>
    <m/>
    <s v="DEA"/>
    <s v="Federal"/>
    <s v="Fee Simple"/>
    <s v="10150 Technology Blvd E"/>
    <s v="Dallas"/>
    <s v="TX"/>
    <n v="4.1458"/>
    <n v="2000"/>
    <n v="49723"/>
    <n v="49723"/>
    <n v="1"/>
    <m/>
    <s v=" "/>
    <m/>
    <s v=" "/>
    <m/>
    <m/>
    <m/>
    <s v=" "/>
    <s v=" "/>
    <m/>
    <m/>
    <m/>
    <m/>
    <s v=" "/>
    <s v=" "/>
    <m/>
    <d v="2015-12-03T00:00:00"/>
    <x v="1324"/>
    <s v="Direct"/>
    <x v="3"/>
    <s v="DC"/>
    <s v="REIT"/>
    <m/>
    <m/>
    <m/>
    <s v=" "/>
    <s v=" "/>
    <m/>
    <s v=" "/>
    <s v=" "/>
    <s v=" "/>
    <m/>
    <s v=" "/>
  </r>
  <r>
    <m/>
    <s v="GSA"/>
    <s v="Federal"/>
    <s v="Fee Simple"/>
    <s v="101 S Main St"/>
    <s v="Temple"/>
    <s v="TX"/>
    <n v="2.41"/>
    <n v="1976"/>
    <n v="92148"/>
    <n v="92148"/>
    <n v="1"/>
    <m/>
    <s v=" "/>
    <m/>
    <s v=" "/>
    <m/>
    <m/>
    <m/>
    <s v=" "/>
    <s v=" "/>
    <m/>
    <m/>
    <m/>
    <m/>
    <s v=" "/>
    <s v=" "/>
    <m/>
    <d v="2015-12-03T00:00:00"/>
    <x v="1325"/>
    <s v="AY; Jaggard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8330 Manchester St"/>
    <s v="Houston"/>
    <s v="TX"/>
    <n v="0.46"/>
    <n v="1995"/>
    <n v="1823"/>
    <n v="1823"/>
    <n v="1"/>
    <m/>
    <s v=" "/>
    <n v="26926"/>
    <n v="14.77015907844213"/>
    <m/>
    <m/>
    <m/>
    <s v=" "/>
    <s v=" "/>
    <m/>
    <m/>
    <m/>
    <n v="298000"/>
    <n v="163.4668129456939"/>
    <n v="0.09035570469798658"/>
    <m/>
    <d v="2015-12-02T00:00:00"/>
    <x v="1326"/>
    <s v="TCP; Harrison"/>
    <x v="948"/>
    <s v="TX"/>
    <s v="Private"/>
    <m/>
    <m/>
    <n v="316775"/>
    <n v="0.08500039460184673"/>
    <n v="0.9407308026201563"/>
    <n v="316775"/>
    <n v="0.08500039460184673"/>
    <n v="0.005355310096139848"/>
    <s v="No"/>
    <d v="2015-11-05T00:00:00"/>
    <n v="27"/>
  </r>
  <r>
    <s v="LFL47881"/>
    <s v="SSA"/>
    <s v="Federal"/>
    <s v="Fee Simple"/>
    <s v="3415 E Frontage Rd"/>
    <s v="Tampa"/>
    <s v="FL"/>
    <n v="4.38"/>
    <n v="1962"/>
    <n v="22037"/>
    <n v="37127"/>
    <n v="0.5935572494411075"/>
    <n v="668810.66"/>
    <n v="30.3494423015837"/>
    <n v="425600"/>
    <n v="11.4633555094675"/>
    <d v="2011-02-01T00:00:00"/>
    <d v="2021-01-31T00:00:00"/>
    <d v="2016-01-31T00:00:00"/>
    <n v="5.16986301369863"/>
    <n v="0.1643835616438356"/>
    <s v="Modified Gross"/>
    <m/>
    <s v="None"/>
    <n v="4500000"/>
    <n v="121.20559161796"/>
    <n v="0.09457777777777777"/>
    <m/>
    <d v="2015-12-02T00:00:00"/>
    <x v="1327"/>
    <s v="Eshenbaugh"/>
    <x v="949"/>
    <s v="FL"/>
    <s v="Private"/>
    <m/>
    <m/>
    <n v="5300000"/>
    <n v="0.08030188679245283"/>
    <n v="0.8490566037735849"/>
    <n v="4900000"/>
    <n v="0.08685714285714285"/>
    <n v="0.00772063492063492"/>
    <s v="Yes"/>
    <d v="2014-06-06T00:00:00"/>
    <n v="544"/>
  </r>
  <r>
    <s v="LDC02184"/>
    <s v="FBI &amp; USDA"/>
    <s v="Federal"/>
    <s v="Fee Simple"/>
    <s v="375 E Street SW"/>
    <s v="Washington"/>
    <s v="DC"/>
    <n v="2.17"/>
    <n v="2009"/>
    <n v="510000"/>
    <n v="981116"/>
    <n v="0.5198162092963523"/>
    <m/>
    <s v=" "/>
    <n v="12316150"/>
    <n v="12.55320471789268"/>
    <d v="2011-04-14T00:00:00"/>
    <d v="2021-04-13T00:00:00"/>
    <m/>
    <n v="5.36986301369863"/>
    <s v=" "/>
    <s v="Modified Gross"/>
    <m/>
    <s v="None"/>
    <n v="223930000"/>
    <n v="228.240085779867"/>
    <n v="0.055"/>
    <m/>
    <d v="2015-12-01T00:00:00"/>
    <x v="1328"/>
    <s v="Direct"/>
    <x v="950"/>
    <m/>
    <s v="Cross-Border"/>
    <m/>
    <m/>
    <m/>
    <s v=" "/>
    <s v=" "/>
    <m/>
    <s v=" "/>
    <s v=" "/>
    <s v=" "/>
    <m/>
    <s v=" "/>
  </r>
  <r>
    <m/>
    <s v="IRS"/>
    <s v="Federal"/>
    <s v="Fee Simple"/>
    <s v="7350 W Camino San Xavier"/>
    <s v="Glendale"/>
    <s v="AZ"/>
    <n v="2.3372"/>
    <n v="2008"/>
    <n v="18963"/>
    <n v="18963"/>
    <n v="1"/>
    <m/>
    <s v=" "/>
    <n v="619437.5"/>
    <n v="32.6655856140906"/>
    <d v="2009-02-01T00:00:00"/>
    <d v="2029-01-31T00:00:00"/>
    <d v="2024-01-31T00:00:00"/>
    <n v="13.18082191780822"/>
    <n v="8.175342465753424"/>
    <m/>
    <m/>
    <m/>
    <n v="6950000"/>
    <n v="366.5031904234562"/>
    <n v="0.08912769784172662"/>
    <m/>
    <d v="2015-11-30T00:00:00"/>
    <x v="1329"/>
    <s v="C&amp;W; Trautvetter"/>
    <x v="1"/>
    <s v="IL"/>
    <s v="Private"/>
    <m/>
    <m/>
    <m/>
    <s v=" "/>
    <s v=" "/>
    <m/>
    <s v=" "/>
    <s v=" "/>
    <s v=" "/>
    <m/>
    <s v=" "/>
  </r>
  <r>
    <m/>
    <s v="Lakeland College"/>
    <s v="State"/>
    <s v="Fee Simple"/>
    <s v="2601 Development Drive"/>
    <s v="Bellevue"/>
    <s v="WI"/>
    <n v="2.5"/>
    <n v="2014"/>
    <n v="15179"/>
    <n v="15179"/>
    <n v="1"/>
    <m/>
    <s v=" "/>
    <n v="349117"/>
    <n v="23"/>
    <m/>
    <d v="2025-01-31T00:00:00"/>
    <m/>
    <n v="9.194520547945206"/>
    <s v=" "/>
    <s v="NN"/>
    <s v="1.5% per year in base term.  Market rent in option terms, but never less than the previous year."/>
    <m/>
    <n v="4650000"/>
    <n v="306.3442914553001"/>
    <n v="0.0750789247311828"/>
    <m/>
    <d v="2015-11-24T00:00:00"/>
    <x v="1330"/>
    <s v="Tom Fritz"/>
    <x v="951"/>
    <m/>
    <s v="Private"/>
    <m/>
    <m/>
    <n v="4815400"/>
    <n v="0.07250010383353407"/>
    <n v="0.9656518669269427"/>
    <n v="4815400"/>
    <n v="0.07250010383353407"/>
    <n v="0.002578820897648729"/>
    <s v="No"/>
    <d v="2015-09-04T00:00:00"/>
    <n v="81"/>
  </r>
  <r>
    <s v="LOK17300"/>
    <s v="SSA"/>
    <s v="Federal"/>
    <s v="Fee Simple"/>
    <s v="410 Opal Ave"/>
    <s v="Clinton"/>
    <s v="OK"/>
    <n v="6.8"/>
    <n v="1997"/>
    <n v="4859"/>
    <n v="4859"/>
    <n v="1"/>
    <n v="138256.18"/>
    <n v="28.45362831858407"/>
    <m/>
    <s v=" "/>
    <d v="2014-05-29T00:00:00"/>
    <d v="2024-05-28T00:00:00"/>
    <d v="2020-08-12T00:00:00"/>
    <n v="8.526027397260274"/>
    <n v="4.731506849315068"/>
    <s v="Modified Gross"/>
    <s v="None"/>
    <s v="None"/>
    <n v="1626000"/>
    <n v="334.6367565342663"/>
    <s v=" "/>
    <m/>
    <d v="2015-11-20T00:00:00"/>
    <x v="1331"/>
    <m/>
    <x v="952"/>
    <s v="OK"/>
    <s v="Private"/>
    <m/>
    <m/>
    <m/>
    <s v=" "/>
    <s v=" "/>
    <m/>
    <s v=" "/>
    <s v=" "/>
    <s v=" "/>
    <m/>
    <s v=" "/>
  </r>
  <r>
    <m/>
    <s v="DOD"/>
    <s v="Federal"/>
    <s v="Fee Simple"/>
    <s v="700 Westpark Dr"/>
    <s v="Peachtree City"/>
    <s v="GA"/>
    <n v="8.470000000000001"/>
    <n v="1999"/>
    <n v="48746"/>
    <n v="91628"/>
    <n v="0.5319989522853277"/>
    <m/>
    <s v=" "/>
    <n v="1303875"/>
    <n v="14.23009342122495"/>
    <m/>
    <d v="2022-04-30T00:00:00"/>
    <d v="2017-04-30T00:00:00"/>
    <n v="6.452054794520548"/>
    <n v="1.449315068493151"/>
    <s v="Modified Gross"/>
    <s v="None"/>
    <s v="None"/>
    <n v="14250000"/>
    <n v="155.5201466800541"/>
    <n v="0.0915"/>
    <m/>
    <d v="2015-11-18T00:00:00"/>
    <x v="1332"/>
    <s v="Colliers; Cottle &amp; Kennedy"/>
    <x v="1"/>
    <s v="IL"/>
    <s v="Private"/>
    <m/>
    <m/>
    <m/>
    <s v=" "/>
    <s v=" "/>
    <m/>
    <s v=" "/>
    <s v=" "/>
    <s v=" "/>
    <m/>
    <s v=" "/>
  </r>
  <r>
    <s v="LME04553"/>
    <s v="SSA"/>
    <s v="Federal"/>
    <s v="Fee Simple"/>
    <s v="14 Colby"/>
    <s v="Waterville"/>
    <s v="ME"/>
    <m/>
    <m/>
    <n v="7028"/>
    <n v="7028"/>
    <n v="1"/>
    <n v="212030.03"/>
    <n v="30.16932697780307"/>
    <m/>
    <s v=" "/>
    <d v="2009-06-07T00:00:00"/>
    <d v="2019-12-07T00:00:00"/>
    <d v="2019-12-06T00:00:00"/>
    <n v="4.057534246575343"/>
    <n v="4.054794520547945"/>
    <s v="Modified Gross"/>
    <m/>
    <s v="None"/>
    <n v="1987781.53125"/>
    <n v="282.8374404169038"/>
    <s v=" "/>
    <m/>
    <d v="2015-11-17T00:00:00"/>
    <x v="1333"/>
    <s v="Direct"/>
    <x v="953"/>
    <m/>
    <s v="Private"/>
    <m/>
    <m/>
    <m/>
    <s v=" "/>
    <s v=" "/>
    <m/>
    <s v=" "/>
    <s v=" "/>
    <s v=" "/>
    <m/>
    <s v=" "/>
  </r>
  <r>
    <m/>
    <s v="USCIS"/>
    <s v="Federal"/>
    <s v="Fee Simple"/>
    <s v="1301 W Highland Blvd"/>
    <s v="Lincoln"/>
    <s v="NE"/>
    <n v="12.16"/>
    <n v="2005"/>
    <n v="137671"/>
    <n v="137671"/>
    <n v="1"/>
    <m/>
    <s v=" "/>
    <n v="2123500"/>
    <n v="15.42445395181266"/>
    <m/>
    <d v="2020-08-30T00:00:00"/>
    <d v="2020-08-30T00:00:00"/>
    <n v="4.791780821917809"/>
    <n v="4.791780821917809"/>
    <s v="Modified Gross"/>
    <m/>
    <m/>
    <n v="31000000"/>
    <n v="225.1745102454402"/>
    <n v="0.06850000000000001"/>
    <m/>
    <d v="2015-11-16T00:00:00"/>
    <x v="1334"/>
    <s v="JLL; Saal"/>
    <x v="3"/>
    <s v="DC"/>
    <s v="REIT"/>
    <m/>
    <m/>
    <m/>
    <s v=" "/>
    <s v=" "/>
    <m/>
    <s v=" "/>
    <s v=" "/>
    <s v=" "/>
    <m/>
    <s v=" "/>
  </r>
  <r>
    <m/>
    <s v="ICE/FWS"/>
    <s v="Federal"/>
    <s v="Fee Simple"/>
    <s v="141 Paseo de Yucatan"/>
    <s v="Rio Rico"/>
    <s v="AZ"/>
    <n v="4.67"/>
    <n v="2000"/>
    <n v="34320"/>
    <n v="34320"/>
    <n v="1"/>
    <n v="675745"/>
    <n v="19.68953962703963"/>
    <n v="517420"/>
    <n v="15.07634032634033"/>
    <d v="2015-07-31T00:00:00"/>
    <d v="2020-01-31T00:00:00"/>
    <d v="2020-01-31T00:00:00"/>
    <n v="4.210958904109589"/>
    <n v="4.210958904109589"/>
    <s v="Modified Gross"/>
    <s v="None"/>
    <s v="None"/>
    <n v="5325000"/>
    <n v="155.1573426573427"/>
    <n v="0.0971680751173709"/>
    <m/>
    <d v="2015-11-16T00:00:00"/>
    <x v="1335"/>
    <s v="Lee"/>
    <x v="46"/>
    <s v="OK"/>
    <s v="Private"/>
    <s v="M&amp;M; Ficke"/>
    <m/>
    <n v="5600000"/>
    <n v="0.09239642857142857"/>
    <n v="0.9508928571428571"/>
    <n v="5600000"/>
    <n v="0.09239642857142857"/>
    <n v="0.004771646545942324"/>
    <s v="No"/>
    <d v="2015-07-17T00:00:00"/>
    <n v="122"/>
  </r>
  <r>
    <s v="LNM17289"/>
    <s v="FBI"/>
    <s v="Federal"/>
    <s v="Fee Simple"/>
    <s v="3200 W Highway 66"/>
    <s v="Gallup"/>
    <s v="NM"/>
    <n v="3.944"/>
    <m/>
    <n v="7025"/>
    <n v="7025"/>
    <n v="1"/>
    <n v="197087.91"/>
    <n v="28.05521850533808"/>
    <m/>
    <s v=" "/>
    <d v="2015-08-24T00:00:00"/>
    <d v="2027-08-23T00:00:00"/>
    <d v="2025-08-23T00:00:00"/>
    <n v="11.77808219178082"/>
    <n v="9.778082191780822"/>
    <s v="Modified Gross"/>
    <s v="None"/>
    <s v="None"/>
    <m/>
    <s v=" "/>
    <s v=" "/>
    <m/>
    <d v="2015-11-15T00:00:00"/>
    <x v="489"/>
    <m/>
    <x v="720"/>
    <s v="AZ"/>
    <s v="Private"/>
    <s v="BW; Wells"/>
    <m/>
    <m/>
    <s v=" "/>
    <s v=" "/>
    <m/>
    <s v=" "/>
    <s v=" "/>
    <s v=" "/>
    <m/>
    <s v=" "/>
  </r>
  <r>
    <s v="LNM14874"/>
    <s v="NPS"/>
    <s v="Federal"/>
    <s v="Fee Simple"/>
    <s v="3225 National Parks Hwy"/>
    <s v="Carlsbad"/>
    <s v="NM"/>
    <n v="1.28"/>
    <n v="1990"/>
    <n v="6927"/>
    <n v="6927"/>
    <n v="1"/>
    <n v="110552.91"/>
    <n v="15.95970983109571"/>
    <n v="64579.5"/>
    <n v="9.322867042009529"/>
    <d v="2001-11-01T00:00:00"/>
    <d v="2021-10-31T00:00:00"/>
    <d v="2011-11-01T00:00:00"/>
    <n v="5.96986301369863"/>
    <n v="-4.035616438356165"/>
    <s v="Modified Gross"/>
    <s v="None"/>
    <s v="None"/>
    <m/>
    <s v=" "/>
    <s v=" "/>
    <m/>
    <d v="2015-11-13T00:00:00"/>
    <x v="1336"/>
    <m/>
    <x v="954"/>
    <s v="TX"/>
    <s v="Private"/>
    <m/>
    <m/>
    <n v="635000"/>
    <n v="0.1017"/>
    <s v=" "/>
    <n v="635000"/>
    <n v="0.1017"/>
    <s v=" "/>
    <s v="No"/>
    <m/>
    <s v=" "/>
  </r>
  <r>
    <m/>
    <s v="UNC"/>
    <s v="State"/>
    <s v="Fee Simple"/>
    <s v="5110 Old Chapel Hill Rd"/>
    <s v="Durham"/>
    <s v="NC"/>
    <n v="19.91"/>
    <n v="2002"/>
    <n v="269496"/>
    <n v="269496"/>
    <n v="1"/>
    <m/>
    <s v=" "/>
    <n v="2066400"/>
    <n v="7.667646273043013"/>
    <m/>
    <m/>
    <m/>
    <s v=" "/>
    <s v=" "/>
    <m/>
    <m/>
    <m/>
    <n v="24600000"/>
    <n v="91.28150325051207"/>
    <n v="0.08400000000000001"/>
    <m/>
    <d v="2015-11-13T00:00:00"/>
    <x v="1337"/>
    <s v="CBRE; Brosseau"/>
    <x v="955"/>
    <s v="MD"/>
    <s v="Private"/>
    <m/>
    <m/>
    <m/>
    <s v=" "/>
    <s v=" "/>
    <m/>
    <s v=" "/>
    <s v=" "/>
    <s v=" "/>
    <m/>
    <s v=" "/>
  </r>
  <r>
    <m/>
    <s v="RS"/>
    <s v="State"/>
    <s v="Fee Simple"/>
    <s v="400 E Campus View Blvd"/>
    <s v="Columbus"/>
    <s v="OH"/>
    <n v="12.17"/>
    <s v="1987 | 2006"/>
    <n v="142246"/>
    <n v="142246"/>
    <n v="1"/>
    <m/>
    <s v=" "/>
    <n v="1872400"/>
    <n v="13.16311179224723"/>
    <m/>
    <m/>
    <m/>
    <s v=" "/>
    <s v=" "/>
    <m/>
    <m/>
    <m/>
    <n v="15100000"/>
    <n v="106.1541273568325"/>
    <n v="0.124"/>
    <m/>
    <d v="2015-11-12T00:00:00"/>
    <x v="1338"/>
    <m/>
    <x v="956"/>
    <s v="NY"/>
    <s v="Private"/>
    <m/>
    <m/>
    <m/>
    <s v=" "/>
    <s v=" "/>
    <m/>
    <s v=" "/>
    <s v=" "/>
    <s v=" "/>
    <m/>
    <s v=" "/>
  </r>
  <r>
    <s v="LDC02155"/>
    <s v="FAA &amp; VA"/>
    <s v="Federal"/>
    <s v="Fee Simple"/>
    <s v="1575 Eye St NW"/>
    <s v="Washington"/>
    <s v="DC"/>
    <n v="0.5"/>
    <n v="1979"/>
    <n v="129526"/>
    <n v="218923"/>
    <n v="0.5916509457663197"/>
    <n v="2671086.23"/>
    <n v="20.62200816824421"/>
    <n v="6247410"/>
    <n v="28.53701986543214"/>
    <d v="2010-12-01T00:00:00"/>
    <d v="2020-11-30T00:00:00"/>
    <d v="2015-11-30T00:00:00"/>
    <n v="5.06027397260274"/>
    <n v="0.0547945205479452"/>
    <s v="FS"/>
    <m/>
    <s v="None"/>
    <n v="107900000"/>
    <n v="492.8673551888107"/>
    <n v="0.0579"/>
    <m/>
    <d v="2015-11-10T00:00:00"/>
    <x v="807"/>
    <s v="C&amp;W; Bill Collins"/>
    <x v="957"/>
    <m/>
    <s v="Cross-Border"/>
    <m/>
    <m/>
    <m/>
    <s v=" "/>
    <s v=" "/>
    <m/>
    <s v=" "/>
    <s v=" "/>
    <s v=" "/>
    <m/>
    <s v=" "/>
  </r>
  <r>
    <s v="LCA03054"/>
    <s v="SSA"/>
    <s v="Federal"/>
    <s v="Fee Simple"/>
    <s v="1521 N Carpenter Rd"/>
    <s v="Modesto"/>
    <s v="CA"/>
    <n v="2.29"/>
    <n v="2003"/>
    <n v="22352"/>
    <n v="24587"/>
    <n v="0.909098303981779"/>
    <n v="556379.48"/>
    <n v="24.89170901932713"/>
    <n v="282100.98"/>
    <n v="11.47358278765201"/>
    <d v="2013-11-06T00:00:00"/>
    <d v="2028-11-05T00:00:00"/>
    <d v="2023-11-06T00:00:00"/>
    <n v="13"/>
    <n v="7.997260273972603"/>
    <s v="Modified Gross"/>
    <s v="None"/>
    <s v="None"/>
    <n v="3300000"/>
    <n v="134.2172692886485"/>
    <n v="0.08548514545454547"/>
    <m/>
    <d v="2015-11-09T00:00:00"/>
    <x v="921"/>
    <s v="FORECLOSURE"/>
    <x v="958"/>
    <s v="CA"/>
    <s v="Institutional"/>
    <m/>
    <m/>
    <m/>
    <s v=" "/>
    <s v=" "/>
    <m/>
    <s v=" "/>
    <s v=" "/>
    <s v=" "/>
    <m/>
    <s v=" "/>
  </r>
  <r>
    <m/>
    <s v="ODHS"/>
    <s v="State"/>
    <s v="Fee Simple"/>
    <s v="186-190 SE East Lane"/>
    <s v="Ontario"/>
    <s v="OR"/>
    <n v="4.57"/>
    <s v="1997 | 2000"/>
    <n v="34162"/>
    <n v="46701"/>
    <n v="0.7315046787006703"/>
    <m/>
    <s v=" "/>
    <m/>
    <s v=" "/>
    <m/>
    <m/>
    <m/>
    <s v=" "/>
    <s v=" "/>
    <m/>
    <m/>
    <m/>
    <n v="4000000"/>
    <n v="85.65127085073125"/>
    <s v=" "/>
    <m/>
    <d v="2015-11-06T00:00:00"/>
    <x v="1339"/>
    <s v="Norris &amp; Stevens"/>
    <x v="959"/>
    <m/>
    <s v="Private"/>
    <m/>
    <m/>
    <n v="4530000"/>
    <s v=" "/>
    <n v="0.8830022075055187"/>
    <n v="4530000"/>
    <s v=" "/>
    <s v=" "/>
    <s v="No"/>
    <d v="2015-04-10T00:00:00"/>
    <n v="210"/>
  </r>
  <r>
    <s v="LPA02330"/>
    <s v="DEA"/>
    <s v="Federal"/>
    <s v="Fee Simple"/>
    <s v="1781 McKees Rock Rd"/>
    <s v="McKees Rock"/>
    <s v="PA"/>
    <n v="6.64"/>
    <n v="2006"/>
    <n v="26575"/>
    <n v="26575"/>
    <n v="1"/>
    <n v="1224825.79"/>
    <n v="46.08939943555974"/>
    <n v="666240"/>
    <n v="25.07017873941675"/>
    <d v="2005-09-01T00:00:00"/>
    <d v="2020-08-31T00:00:00"/>
    <d v="2020-08-31T00:00:00"/>
    <n v="4.827397260273973"/>
    <n v="4.827397260273973"/>
    <s v="Modified Gross"/>
    <s v="None"/>
    <s v="None"/>
    <n v="6831000"/>
    <n v="257.0460959548448"/>
    <n v="0.09753184014053579"/>
    <m/>
    <d v="2015-11-04T00:00:00"/>
    <x v="104"/>
    <m/>
    <x v="84"/>
    <s v="IL"/>
    <s v="Private"/>
    <m/>
    <m/>
    <m/>
    <s v=" "/>
    <s v=" "/>
    <m/>
    <s v=" "/>
    <s v=" "/>
    <s v=" "/>
    <m/>
    <s v=" "/>
  </r>
  <r>
    <s v="LWV12191"/>
    <s v="CG/VA"/>
    <s v="Federal"/>
    <s v="Fee Simple"/>
    <s v="792 T J JACKSON DRIVE"/>
    <s v="Falling Waters"/>
    <s v="WV"/>
    <n v="3.56"/>
    <n v="1996"/>
    <n v="21655"/>
    <n v="21691"/>
    <n v="0.9983403254806141"/>
    <n v="424158.86"/>
    <n v="19.58710967444008"/>
    <m/>
    <s v=" "/>
    <d v="2015-12-07T00:00:00"/>
    <d v="2025-12-06T00:00:00"/>
    <d v="2025-12-06T00:00:00"/>
    <n v="10.1041095890411"/>
    <n v="10.1041095890411"/>
    <s v="Modified Gross"/>
    <s v="None"/>
    <s v="None"/>
    <n v="3600000"/>
    <n v="165.967451938592"/>
    <s v=" "/>
    <m/>
    <d v="2015-11-01T00:00:00"/>
    <x v="1340"/>
    <s v="Newmark; Gallas"/>
    <x v="1"/>
    <s v="IL"/>
    <s v="Private"/>
    <m/>
    <m/>
    <m/>
    <s v=" "/>
    <s v=" "/>
    <m/>
    <s v=" "/>
    <s v=" "/>
    <s v=" "/>
    <m/>
    <s v=" "/>
  </r>
  <r>
    <s v="LWI17002"/>
    <s v="SSA"/>
    <s v="Federal"/>
    <s v="Fee Simple"/>
    <s v="2213 8th St S"/>
    <s v="Wisconsin Rapids"/>
    <s v="WI"/>
    <m/>
    <m/>
    <n v="6966"/>
    <n v="27760"/>
    <n v="0.2509365994236311"/>
    <m/>
    <s v=" "/>
    <m/>
    <s v=" "/>
    <d v="2004-03-04T00:00:00"/>
    <d v="2024-03-03T00:00:00"/>
    <d v="2014-03-04T00:00:00"/>
    <n v="8.342465753424657"/>
    <n v="-1.663013698630137"/>
    <m/>
    <m/>
    <m/>
    <n v="1770000"/>
    <n v="63.76080691642651"/>
    <s v=" "/>
    <m/>
    <d v="2015-11-01T00:00:00"/>
    <x v="1341"/>
    <m/>
    <x v="960"/>
    <s v="NY"/>
    <s v="Private"/>
    <m/>
    <m/>
    <m/>
    <s v=" "/>
    <s v=" "/>
    <m/>
    <s v=" "/>
    <s v=" "/>
    <s v=" "/>
    <m/>
    <s v=" "/>
  </r>
  <r>
    <s v="LAL60187"/>
    <s v="SSA"/>
    <s v="Federal"/>
    <s v="Fee Simple"/>
    <s v="501 Mall Way"/>
    <s v="Jasper"/>
    <s v="AL"/>
    <n v="1.05"/>
    <n v="2003"/>
    <n v="8919"/>
    <n v="8919"/>
    <n v="1"/>
    <n v="169713.81"/>
    <n v="19.02834510595358"/>
    <n v="116550"/>
    <n v="13.06760847628658"/>
    <d v="2014-10-01T00:00:00"/>
    <d v="2024-09-30T00:00:00"/>
    <d v="2019-09-30T00:00:00"/>
    <n v="8.926027397260274"/>
    <n v="3.92054794520548"/>
    <s v="Modified Gross"/>
    <s v="TI bleeds to 8.20% cap"/>
    <s v="None"/>
    <n v="1295000"/>
    <n v="145.1956497365175"/>
    <n v="0.09"/>
    <m/>
    <d v="2015-10-30T00:00:00"/>
    <x v="139"/>
    <s v="SVN; Levin"/>
    <x v="399"/>
    <s v="AL"/>
    <s v="Private"/>
    <m/>
    <m/>
    <m/>
    <s v=" "/>
    <s v=" "/>
    <m/>
    <s v=" "/>
    <s v=" "/>
    <s v=" "/>
    <m/>
    <s v=" "/>
  </r>
  <r>
    <s v="LAL60102"/>
    <s v="IRS"/>
    <s v="Federal"/>
    <s v="Fee Simple"/>
    <s v="1285 Carmichael Wy"/>
    <s v="Montgomery"/>
    <s v="AL"/>
    <n v="1.19"/>
    <n v="2003"/>
    <n v="12347"/>
    <n v="12850"/>
    <n v="0.9608560311284047"/>
    <n v="223727.64"/>
    <n v="18.12"/>
    <m/>
    <s v=" "/>
    <d v="2015-09-01T00:00:00"/>
    <d v="2025-08-31T00:00:00"/>
    <d v="2020-09-02T00:00:00"/>
    <n v="9.846575342465753"/>
    <n v="4.849315068493151"/>
    <s v="Modified Gross"/>
    <s v="None"/>
    <s v="None"/>
    <n v="1848133"/>
    <n v="143.823579766537"/>
    <s v=" "/>
    <m/>
    <d v="2015-10-29T00:00:00"/>
    <x v="139"/>
    <s v="SVN; Levin"/>
    <x v="399"/>
    <s v="AL"/>
    <s v="Private"/>
    <m/>
    <m/>
    <m/>
    <s v=" "/>
    <s v=" "/>
    <m/>
    <s v=" "/>
    <s v=" "/>
    <s v=" "/>
    <d v="2015-03-25T00:00:00"/>
    <n v="218"/>
  </r>
  <r>
    <m/>
    <s v="FS"/>
    <s v="Federal"/>
    <s v="Fee Simple"/>
    <s v="95 US Highway 16/20"/>
    <s v="Greybull"/>
    <s v="WY"/>
    <n v="3.04"/>
    <n v="2014"/>
    <n v="9106"/>
    <n v="9106"/>
    <n v="1"/>
    <n v="224596"/>
    <n v="24.66461673621788"/>
    <n v="166487"/>
    <n v="18.28321985504063"/>
    <d v="2014-06-01T00:00:00"/>
    <d v="2034-05-31T00:00:00"/>
    <d v="2029-05-31T00:00:00"/>
    <n v="18.6027397260274"/>
    <n v="13.6"/>
    <s v="Modified Gross"/>
    <s v="None"/>
    <s v="None"/>
    <n v="2335851"/>
    <n v="256.5177904678234"/>
    <n v="0.07127466606388849"/>
    <m/>
    <d v="2015-10-28T00:00:00"/>
    <x v="774"/>
    <s v="C&amp;W; Trautvetter"/>
    <x v="961"/>
    <s v="MT"/>
    <s v="Private"/>
    <s v="BW; Wells"/>
    <m/>
    <n v="2296500"/>
    <n v="0.07249597213150447"/>
    <n v="1.017135205747877"/>
    <n v="2296500"/>
    <n v="0.07249597213150447"/>
    <n v="-0.001221306067615974"/>
    <s v="No"/>
    <d v="2014-05-08T00:00:00"/>
    <n v="538"/>
  </r>
  <r>
    <m/>
    <s v="DOC"/>
    <s v="Federal"/>
    <s v="Fee Simple"/>
    <s v="Portfolio of Ten"/>
    <m/>
    <m/>
    <n v="61.43"/>
    <m/>
    <n v="310557"/>
    <n v="310557"/>
    <n v="1"/>
    <m/>
    <s v=" "/>
    <m/>
    <s v=" "/>
    <m/>
    <m/>
    <m/>
    <s v=" "/>
    <s v=" "/>
    <m/>
    <m/>
    <m/>
    <n v="157500000"/>
    <n v="507.1532762101643"/>
    <s v=" "/>
    <m/>
    <d v="2015-10-28T00:00:00"/>
    <x v="1342"/>
    <s v="Direct"/>
    <x v="497"/>
    <s v="TN"/>
    <s v="REIT"/>
    <m/>
    <m/>
    <m/>
    <s v=" "/>
    <s v=" "/>
    <m/>
    <s v=" "/>
    <s v=" "/>
    <s v=" "/>
    <m/>
    <s v=" "/>
  </r>
  <r>
    <s v="LCO14639"/>
    <s v="BR"/>
    <s v="Federal"/>
    <s v="Fee Simple"/>
    <s v="185 Suttle St"/>
    <s v="Durango"/>
    <s v="CO"/>
    <n v="2.38"/>
    <n v="1979"/>
    <n v="8900"/>
    <n v="20000"/>
    <n v="0.445"/>
    <n v="202054.26"/>
    <n v="22.70272584269663"/>
    <n v="308000"/>
    <n v="15.4"/>
    <d v="2012-10-01T00:00:00"/>
    <d v="2022-09-30T00:00:00"/>
    <d v="2017-10-01T00:00:00"/>
    <n v="6.931506849315069"/>
    <n v="1.931506849315068"/>
    <s v="FS"/>
    <m/>
    <s v="None"/>
    <n v="3850000"/>
    <n v="192.5"/>
    <n v="0.08"/>
    <m/>
    <d v="2015-10-27T00:00:00"/>
    <x v="1343"/>
    <s v="Bill Schultz"/>
    <x v="962"/>
    <m/>
    <s v="Private"/>
    <m/>
    <m/>
    <m/>
    <s v=" "/>
    <s v=" "/>
    <m/>
    <s v=" "/>
    <s v=" "/>
    <s v=" "/>
    <m/>
    <s v=" "/>
  </r>
  <r>
    <m/>
    <s v="HHSC"/>
    <s v="State"/>
    <s v="Fee Simple"/>
    <s v="2010 La Salle Ave"/>
    <s v="Waco"/>
    <s v="TX"/>
    <n v="1.29"/>
    <n v="1989"/>
    <n v="16980"/>
    <n v="16980"/>
    <n v="1"/>
    <n v="106716"/>
    <n v="6.284805653710247"/>
    <n v="78156"/>
    <n v="4.602826855123675"/>
    <d v="1998-01-01T00:00:00"/>
    <d v="2014-12-01T00:00:00"/>
    <m/>
    <n v="-0.9041095890410958"/>
    <s v=" "/>
    <s v="Full Service"/>
    <s v="None"/>
    <s v="None"/>
    <m/>
    <s v=" "/>
    <s v=" "/>
    <m/>
    <d v="2015-10-27T00:00:00"/>
    <x v="514"/>
    <m/>
    <x v="963"/>
    <s v="TX"/>
    <s v="User/Owner"/>
    <m/>
    <m/>
    <m/>
    <s v=" "/>
    <s v=" "/>
    <m/>
    <s v=" "/>
    <s v=" "/>
    <s v=" "/>
    <m/>
    <s v=" "/>
  </r>
  <r>
    <s v="LCA02935"/>
    <s v="ICE"/>
    <s v="Federal"/>
    <s v="Fee Simple"/>
    <s v="321 Cortez Cir"/>
    <s v="Camarillo"/>
    <s v="CA"/>
    <n v="1.22"/>
    <n v="2009"/>
    <n v="16956"/>
    <n v="16956"/>
    <n v="1"/>
    <n v="578083.7"/>
    <n v="34.09316466147676"/>
    <n v="261220"/>
    <n v="15.40575607454588"/>
    <d v="2012-11-27T00:00:00"/>
    <d v="2022-11-26T00:00:00"/>
    <d v="2020-11-27T00:00:00"/>
    <n v="7.106849315068493"/>
    <n v="5.109589041095891"/>
    <s v="Modified Gross"/>
    <s v="None"/>
    <s v="None"/>
    <n v="4750000"/>
    <n v="280.136824722812"/>
    <n v="0.05499368421052631"/>
    <m/>
    <d v="2015-10-20T00:00:00"/>
    <x v="1344"/>
    <s v="NAI"/>
    <x v="964"/>
    <s v="CA"/>
    <s v="Private"/>
    <m/>
    <m/>
    <m/>
    <s v=" "/>
    <s v=" "/>
    <m/>
    <s v=" "/>
    <s v=" "/>
    <s v=" "/>
    <m/>
    <s v=" "/>
  </r>
  <r>
    <m/>
    <s v="State of Texas - Dept. of Criminal Justice"/>
    <s v="State"/>
    <s v="Fee Simple"/>
    <s v="1616 Rothwell Street"/>
    <s v="Houston"/>
    <s v="TX"/>
    <n v="1.34"/>
    <n v="1976"/>
    <n v="23604"/>
    <n v="23604"/>
    <n v="1"/>
    <m/>
    <s v=" "/>
    <n v="611100"/>
    <n v="25.88967971530249"/>
    <m/>
    <d v="2024-09-01T00:00:00"/>
    <m/>
    <n v="8.884931506849314"/>
    <s v=" "/>
    <s v="Gross"/>
    <s v="Annual Increases at 25% of CPI"/>
    <m/>
    <n v="6300000"/>
    <n v="266.9039145907473"/>
    <n v="0.097"/>
    <m/>
    <d v="2015-10-16T00:00:00"/>
    <x v="1345"/>
    <s v="SJC; Peeples"/>
    <x v="965"/>
    <s v="TX"/>
    <s v="Private"/>
    <m/>
    <m/>
    <n v="6722628"/>
    <n v="0.09090195084422342"/>
    <n v="0.9371335138579734"/>
    <n v="6722628"/>
    <n v="0.09090195084422342"/>
    <n v="0.00609804915577658"/>
    <s v="No"/>
    <d v="2015-07-07T00:00:00"/>
    <n v="101"/>
  </r>
  <r>
    <s v="LVA12695"/>
    <s v="SSA"/>
    <s v="Federal"/>
    <s v="Fee Simple"/>
    <s v="9502 Center St"/>
    <s v="Manassas"/>
    <s v="VA"/>
    <n v="2.62"/>
    <n v="2003"/>
    <n v="28492"/>
    <n v="28492"/>
    <n v="1"/>
    <n v="949068.52"/>
    <n v="33.31"/>
    <n v="708579.9999999999"/>
    <n v="24.86943703495718"/>
    <d v="2015-06-03T00:00:00"/>
    <d v="2025-06-02T00:00:00"/>
    <d v="2025-06-02T00:00:00"/>
    <n v="9.635616438356164"/>
    <n v="9.635616438356164"/>
    <s v="Modified Gross"/>
    <s v="None"/>
    <s v="None"/>
    <n v="8600000"/>
    <n v="301.8391127333988"/>
    <n v="0.08239302325581394"/>
    <m/>
    <d v="2015-10-16T00:00:00"/>
    <x v="89"/>
    <s v="CBRE; Saal"/>
    <x v="1"/>
    <s v="IL"/>
    <s v="Private"/>
    <m/>
    <m/>
    <m/>
    <s v=" "/>
    <s v=" "/>
    <m/>
    <s v=" "/>
    <s v=" "/>
    <s v=" "/>
    <m/>
    <s v=" "/>
  </r>
  <r>
    <s v="LCA02830"/>
    <s v="SSA"/>
    <s v="Federal"/>
    <s v="Fee Simple"/>
    <s v="3916 Missouri Flat Rd"/>
    <s v="Placerville"/>
    <s v="CA"/>
    <n v="1.2"/>
    <n v="2013"/>
    <n v="8554"/>
    <n v="12292"/>
    <n v="0.6958997722095672"/>
    <n v="369940.02"/>
    <n v="43.24760579845687"/>
    <n v="380339"/>
    <n v="30.94199479336154"/>
    <d v="2013-10-04T00:00:00"/>
    <d v="2028-10-03T00:00:00"/>
    <d v="2023-10-03T00:00:00"/>
    <n v="12.97534246575342"/>
    <n v="7.96986301369863"/>
    <s v="Modified Gross"/>
    <s v="None"/>
    <s v="None"/>
    <n v="6100000"/>
    <n v="496.2577286039701"/>
    <n v="0.06235065573770492"/>
    <m/>
    <d v="2015-10-16T00:00:00"/>
    <x v="1346"/>
    <s v="M&amp;M; Sergunin"/>
    <x v="966"/>
    <s v="CA"/>
    <s v="Private"/>
    <m/>
    <m/>
    <n v="6125000"/>
    <n v="0.06209616326530612"/>
    <n v="0.9959183673469387"/>
    <n v="6125000"/>
    <n v="0.06209616326530612"/>
    <n v="0.0002544924723987957"/>
    <s v="No"/>
    <d v="2015-05-01T00:00:00"/>
    <n v="168"/>
  </r>
  <r>
    <m/>
    <s v="DCR"/>
    <s v="State"/>
    <s v="Fee Simple"/>
    <s v="344 W 5th St"/>
    <s v="Hanford"/>
    <s v="CA"/>
    <n v="0.86"/>
    <n v="2010"/>
    <n v="11149"/>
    <n v="11149"/>
    <n v="1"/>
    <m/>
    <s v=" "/>
    <m/>
    <s v=" "/>
    <m/>
    <m/>
    <m/>
    <s v=" "/>
    <s v=" "/>
    <m/>
    <m/>
    <m/>
    <n v="3200000"/>
    <n v="287.0212575118845"/>
    <s v=" "/>
    <m/>
    <d v="2015-10-14T00:00:00"/>
    <x v="1347"/>
    <m/>
    <x v="967"/>
    <m/>
    <s v="Private"/>
    <m/>
    <m/>
    <n v="3200000"/>
    <s v=" "/>
    <n v="1"/>
    <n v="3200000"/>
    <s v=" "/>
    <s v=" "/>
    <s v="No"/>
    <m/>
    <s v=" "/>
  </r>
  <r>
    <m/>
    <s v="PennEPA"/>
    <s v="State"/>
    <s v="Fee Simple"/>
    <s v="131 Broadview Rd"/>
    <s v="New Stanton"/>
    <s v="PA"/>
    <n v="8.699999999999999"/>
    <n v="2014"/>
    <n v="38000"/>
    <n v="38000"/>
    <n v="1"/>
    <m/>
    <s v=" "/>
    <n v="619475"/>
    <n v="16.30197368421053"/>
    <m/>
    <d v="2024-08-31T00:00:00"/>
    <d v="2024-08-31T00:00:00"/>
    <n v="8.893150684931507"/>
    <n v="8.893150684931507"/>
    <m/>
    <m/>
    <m/>
    <n v="8725000"/>
    <n v="229.6052631578947"/>
    <n v="0.07099999999999999"/>
    <m/>
    <d v="2015-10-12T00:00:00"/>
    <x v="741"/>
    <s v="CBRE"/>
    <x v="1"/>
    <s v="IL"/>
    <s v="Private"/>
    <m/>
    <m/>
    <m/>
    <s v=" "/>
    <s v=" "/>
    <m/>
    <s v=" "/>
    <s v=" "/>
    <s v=" "/>
    <m/>
    <s v=" "/>
  </r>
  <r>
    <s v="LMD02224"/>
    <s v="NPS"/>
    <s v="Federal"/>
    <s v="Fee Simple"/>
    <s v="3300 Hubbard Rd"/>
    <s v="Landover"/>
    <s v="MD"/>
    <n v="9.880000000000001"/>
    <n v="1989"/>
    <n v="51630"/>
    <n v="125066"/>
    <n v="0.4128220299681768"/>
    <n v="784782.41"/>
    <n v="15.20012415262444"/>
    <n v="2701800"/>
    <n v="21.60299361936897"/>
    <d v="2010-02-25T00:00:00"/>
    <d v="2020-02-24T00:00:00"/>
    <d v="2020-02-24T00:00:00"/>
    <n v="4.380821917808219"/>
    <n v="4.380821917808219"/>
    <s v="Modified Gross"/>
    <s v="None"/>
    <s v="None"/>
    <n v="34200000"/>
    <n v="273.4556154350503"/>
    <n v="0.079"/>
    <m/>
    <d v="2015-10-09T00:00:00"/>
    <x v="1348"/>
    <s v="JLL"/>
    <x v="968"/>
    <s v="NY"/>
    <s v="Institutional"/>
    <m/>
    <m/>
    <m/>
    <s v=" "/>
    <s v=" "/>
    <m/>
    <s v=" "/>
    <s v=" "/>
    <s v=" "/>
    <m/>
    <s v=" "/>
  </r>
  <r>
    <m/>
    <s v="USPS"/>
    <s v="Federal"/>
    <s v="Fee Simple"/>
    <s v="341 W Saint Paul Ave"/>
    <s v="Milwaukee"/>
    <s v="WI"/>
    <n v="9.31"/>
    <n v="1967"/>
    <n v="1105000"/>
    <n v="1105000"/>
    <n v="1"/>
    <n v="3922750"/>
    <n v="3.55"/>
    <m/>
    <s v=" "/>
    <m/>
    <d v="2020-03-31T00:00:00"/>
    <m/>
    <n v="4.47945205479452"/>
    <s v=" "/>
    <s v="Rider"/>
    <s v="None"/>
    <s v="None"/>
    <n v="13100000"/>
    <n v="11.8552036199095"/>
    <s v=" "/>
    <m/>
    <d v="2015-10-09T00:00:00"/>
    <x v="1349"/>
    <s v="Barry CRE"/>
    <x v="969"/>
    <s v="IL"/>
    <s v="Private"/>
    <m/>
    <m/>
    <n v="13500000"/>
    <s v=" "/>
    <n v="0.9703703703703703"/>
    <n v="13500000"/>
    <s v=" "/>
    <s v=" "/>
    <s v="No"/>
    <d v="2015-05-15T00:00:00"/>
    <n v="147"/>
  </r>
  <r>
    <s v="LAR15477"/>
    <s v="SSA"/>
    <s v="Federal"/>
    <s v="Fee Simple"/>
    <s v="2475 Christina Ln"/>
    <s v="Conway"/>
    <s v="AR"/>
    <n v="1.73"/>
    <n v="2005"/>
    <n v="5757"/>
    <n v="5757"/>
    <n v="1"/>
    <n v="159003.6"/>
    <n v="27.61917665450756"/>
    <n v="103626.6"/>
    <n v="18.00010422094841"/>
    <d v="2005-02-08T00:00:00"/>
    <d v="2020-02-07T00:00:00"/>
    <d v="2010-02-07T00:00:00"/>
    <n v="4.33972602739726"/>
    <n v="-5.665753424657535"/>
    <s v="Modified Gross"/>
    <s v="None"/>
    <s v="None"/>
    <n v="995000"/>
    <n v="172.8330727809623"/>
    <n v="0.1041473366834171"/>
    <m/>
    <d v="2015-10-07T00:00:00"/>
    <x v="921"/>
    <m/>
    <x v="970"/>
    <s v="WY"/>
    <s v="Private"/>
    <s v="BW; Wells"/>
    <m/>
    <m/>
    <s v=" "/>
    <s v=" "/>
    <m/>
    <s v=" "/>
    <s v=" "/>
    <s v=" "/>
    <m/>
    <s v=" "/>
  </r>
  <r>
    <m/>
    <s v="FWS"/>
    <s v="Federal"/>
    <s v="Fee Simple"/>
    <s v="694 Beverly Pike"/>
    <s v="Elkins"/>
    <s v="WV"/>
    <n v="0.25"/>
    <n v="2000"/>
    <n v="5353"/>
    <n v="5353"/>
    <n v="1"/>
    <n v="77206"/>
    <n v="14.42294040724827"/>
    <n v="57722"/>
    <n v="10.7831122734915"/>
    <d v="2015-01-15T00:00:00"/>
    <d v="2024-12-31T00:00:00"/>
    <m/>
    <n v="9.254794520547945"/>
    <s v=" "/>
    <s v="Modified Gross"/>
    <s v="None"/>
    <s v="None"/>
    <n v="525000"/>
    <n v="98.07584532038109"/>
    <n v="0.1099466666666667"/>
    <m/>
    <d v="2015-10-02T00:00:00"/>
    <x v="1350"/>
    <s v="SJC; Hellwig"/>
    <x v="971"/>
    <s v="NJ"/>
    <s v="Private"/>
    <m/>
    <m/>
    <n v="641000"/>
    <n v="0.09004992199687988"/>
    <n v="0.8190327613104524"/>
    <n v="641000"/>
    <n v="0.09004992199687988"/>
    <n v="0.01989674466978679"/>
    <s v="No"/>
    <d v="2015-02-20T00:00:00"/>
    <n v="224"/>
  </r>
  <r>
    <s v="LOH18168"/>
    <s v="EPA"/>
    <s v="Federal"/>
    <s v="Fee Simple"/>
    <s v="11029 Kenwood Rd"/>
    <s v="Blue Ash"/>
    <s v="OH"/>
    <n v="40.81"/>
    <n v="1972"/>
    <n v="115000"/>
    <n v="115000"/>
    <n v="1"/>
    <n v="641914.77"/>
    <n v="5.581867565217391"/>
    <m/>
    <s v=" "/>
    <d v="2009-10-01T00:00:00"/>
    <d v="2019-09-30T00:00:00"/>
    <d v="2014-10-01T00:00:00"/>
    <n v="4"/>
    <n v="-1"/>
    <s v="Modified Gross"/>
    <s v="None"/>
    <s v="None"/>
    <n v="6017950.96875"/>
    <n v="52.33000842391304"/>
    <s v=" "/>
    <m/>
    <d v="2015-10-01T00:00:00"/>
    <x v="814"/>
    <m/>
    <x v="972"/>
    <m/>
    <s v="Cross-Border"/>
    <m/>
    <m/>
    <m/>
    <s v=" "/>
    <s v=" "/>
    <m/>
    <s v=" "/>
    <s v=" "/>
    <s v=" "/>
    <m/>
    <s v=" "/>
  </r>
  <r>
    <s v="LKY59148"/>
    <s v="SSA"/>
    <s v="Federal"/>
    <s v="Fee Simple"/>
    <s v="101 Tech Dr"/>
    <s v="Middlesboro"/>
    <s v="KY"/>
    <n v="1.7"/>
    <n v="2014"/>
    <n v="19184"/>
    <n v="19184"/>
    <n v="1"/>
    <n v="482382"/>
    <n v="25.14501668056714"/>
    <n v="352976"/>
    <n v="18.39949958298582"/>
    <d v="2014-08-07T00:00:00"/>
    <d v="2029-08-06T00:00:00"/>
    <d v="2024-08-06T00:00:00"/>
    <n v="13.85753424657534"/>
    <n v="8.854794520547944"/>
    <s v="Modified Gross"/>
    <s v="None"/>
    <s v="None"/>
    <m/>
    <s v=" "/>
    <s v=" "/>
    <m/>
    <d v="2015-10-01T00:00:00"/>
    <x v="921"/>
    <m/>
    <x v="973"/>
    <s v="WY"/>
    <s v="Private"/>
    <s v="BW; Wells"/>
    <m/>
    <m/>
    <s v=" "/>
    <s v=" "/>
    <m/>
    <s v=" "/>
    <s v=" "/>
    <s v=" "/>
    <m/>
    <s v=" "/>
  </r>
  <r>
    <m/>
    <s v="Multi"/>
    <s v="Federal"/>
    <s v="Fee Simple"/>
    <s v="Portfolio of Four"/>
    <m/>
    <m/>
    <n v="15.25"/>
    <m/>
    <n v="75123"/>
    <n v="75123"/>
    <n v="1"/>
    <m/>
    <s v=" "/>
    <n v="1566940"/>
    <n v="20.85832567921941"/>
    <m/>
    <m/>
    <m/>
    <s v=" "/>
    <s v=" "/>
    <s v="Modified Gross"/>
    <s v="None"/>
    <s v="None"/>
    <n v="20950000"/>
    <n v="278.8759767314937"/>
    <n v="0.07479427207637232"/>
    <m/>
    <d v="2015-09-30T00:00:00"/>
    <x v="531"/>
    <s v="Direct"/>
    <x v="1"/>
    <s v="IL"/>
    <s v="Private"/>
    <m/>
    <m/>
    <m/>
    <s v=" "/>
    <s v=" "/>
    <m/>
    <s v=" "/>
    <s v=" "/>
    <s v=" "/>
    <m/>
    <s v=" "/>
  </r>
  <r>
    <s v="LCA02437"/>
    <s v="SSA/IRS"/>
    <s v="Federal"/>
    <s v="Fee Simple"/>
    <s v="2345 South 2nd Street"/>
    <s v="El Centro"/>
    <s v="CA"/>
    <n v="2.04"/>
    <n v="2000"/>
    <n v="5120"/>
    <n v="15451"/>
    <n v="0.331370137855155"/>
    <n v="133074.92"/>
    <n v="25.9911953125"/>
    <m/>
    <s v=" "/>
    <d v="2012-04-03T00:00:00"/>
    <d v="2027-04-02T00:00:00"/>
    <d v="2022-04-02T00:00:00"/>
    <n v="11.51506849315068"/>
    <n v="6.512328767123288"/>
    <s v="Modified Gross"/>
    <s v="None"/>
    <s v="None"/>
    <n v="2344000"/>
    <m/>
    <s v=" "/>
    <m/>
    <d v="2015-09-29T00:00:00"/>
    <x v="921"/>
    <s v="FORECLOSURE"/>
    <x v="974"/>
    <s v="CT"/>
    <s v="Institutional"/>
    <m/>
    <m/>
    <m/>
    <s v=" "/>
    <s v=" "/>
    <m/>
    <s v=" "/>
    <s v=" "/>
    <s v=" "/>
    <m/>
    <s v=" "/>
  </r>
  <r>
    <s v="LAL62511"/>
    <s v="SSA"/>
    <s v="Federal"/>
    <s v="Fee Simple"/>
    <s v="1778 Whatley Dr"/>
    <s v="Dothan"/>
    <s v="AL"/>
    <n v="1.61"/>
    <n v="2001"/>
    <n v="13919"/>
    <n v="13919"/>
    <n v="1"/>
    <n v="290676.19"/>
    <n v="20.88341044615274"/>
    <n v="226610"/>
    <n v="16.28062360801782"/>
    <d v="2014-02-01T00:00:00"/>
    <d v="2024-01-31T00:00:00"/>
    <d v="2019-02-01T00:00:00"/>
    <n v="8.356164383561644"/>
    <n v="3.356164383561644"/>
    <s v="Modified Gross"/>
    <s v="None"/>
    <s v="None"/>
    <n v="2635000"/>
    <n v="189.3095768374165"/>
    <n v="0.08599999999999999"/>
    <m/>
    <d v="2015-09-25T00:00:00"/>
    <x v="139"/>
    <s v="SVN; Levin"/>
    <x v="399"/>
    <s v="AL"/>
    <s v="Private"/>
    <m/>
    <m/>
    <n v="2635000"/>
    <n v="0.08599999999999999"/>
    <n v="1"/>
    <n v="2635000"/>
    <n v="0.08599999999999999"/>
    <n v="0"/>
    <s v="No"/>
    <d v="2014-10-29T00:00:00"/>
    <n v="331"/>
  </r>
  <r>
    <m/>
    <s v="VA"/>
    <s v="Federal"/>
    <s v="Fee Simple"/>
    <s v="3285 S Val Vista Rd"/>
    <s v="Gilbert"/>
    <s v="AZ"/>
    <n v="9.696999999999999"/>
    <n v="2014"/>
    <n v="71259"/>
    <n v="71259"/>
    <n v="1"/>
    <n v="2855904"/>
    <n v="40.07780069885909"/>
    <n v="2187327"/>
    <n v="30.6954489959163"/>
    <d v="2014-02-20T00:00:00"/>
    <d v="2034-02-19T00:00:00"/>
    <d v="2034-02-19T00:00:00"/>
    <n v="18.41643835616438"/>
    <n v="18.41643835616438"/>
    <s v="Modified Gross"/>
    <s v="Flat"/>
    <s v="None"/>
    <n v="33306997"/>
    <n v="467.4075836034747"/>
    <n v="0.06567169655072777"/>
    <n v="0.1314715194899189"/>
    <d v="2015-09-25T00:00:00"/>
    <x v="1351"/>
    <s v="SJC; Hughes"/>
    <x v="975"/>
    <s v="CA"/>
    <s v="Private"/>
    <m/>
    <m/>
    <m/>
    <s v=" "/>
    <s v=" "/>
    <m/>
    <s v=" "/>
    <s v=" "/>
    <s v=" "/>
    <m/>
    <s v=" "/>
  </r>
  <r>
    <m/>
    <s v="VA"/>
    <s v="Federal"/>
    <s v="Fee Simple"/>
    <s v="940 Executive Dr"/>
    <s v="Osage Beach"/>
    <s v="MO"/>
    <n v="1.74"/>
    <n v="2010"/>
    <n v="6351"/>
    <n v="6850"/>
    <n v="0.9271532846715328"/>
    <n v="148176"/>
    <n v="23.33112895606991"/>
    <n v="134336"/>
    <n v="19.61109489051095"/>
    <d v="2010-07-06T00:00:00"/>
    <d v="2020-06-30T00:00:00"/>
    <d v="2015-06-30T00:00:00"/>
    <n v="4.772602739726027"/>
    <n v="-0.2328767123287671"/>
    <s v="Modified Gross"/>
    <s v="None"/>
    <s v="None"/>
    <n v="823000"/>
    <n v="120.1459854014599"/>
    <n v="0.1632272174969623"/>
    <m/>
    <d v="2015-09-23T00:00:00"/>
    <x v="1352"/>
    <s v="M&amp;M; Ficke"/>
    <x v="0"/>
    <m/>
    <m/>
    <m/>
    <m/>
    <n v="1990000"/>
    <n v="0.06750552763819095"/>
    <n v="0.4135678391959799"/>
    <n v="1990000"/>
    <n v="0.06750552763819095"/>
    <n v="0.09572168985877139"/>
    <s v="No"/>
    <d v="2014-09-10T00:00:00"/>
    <n v="378"/>
  </r>
  <r>
    <s v="LVA00143"/>
    <s v="NSF"/>
    <s v="Federal"/>
    <s v="Fee Simple"/>
    <s v="4201 Wilson Blvd"/>
    <s v="Arlington"/>
    <s v="VA"/>
    <n v="2.6"/>
    <n v="1992"/>
    <n v="570017"/>
    <n v="570017"/>
    <n v="1"/>
    <n v="22801678.1"/>
    <n v="40.00175100040876"/>
    <n v="19270000"/>
    <n v="33.80600929445964"/>
    <d v="1992-12-22T00:00:00"/>
    <d v="2017-12-31T00:00:00"/>
    <d v="2017-12-31T00:00:00"/>
    <n v="2.276712328767123"/>
    <n v="2.276712328767123"/>
    <s v="Modified Gross"/>
    <s v="Yes"/>
    <s v="1, 6 month"/>
    <n v="220050500"/>
    <n v="386.0419952387385"/>
    <n v="0.08757080761007133"/>
    <m/>
    <d v="2015-09-22T00:00:00"/>
    <x v="1353"/>
    <s v="TW; Gerry Trainor"/>
    <x v="976"/>
    <s v="MA"/>
    <s v="Institutional"/>
    <m/>
    <m/>
    <m/>
    <s v=" "/>
    <s v=" "/>
    <m/>
    <s v=" "/>
    <s v=" "/>
    <s v=" "/>
    <m/>
    <s v=" "/>
  </r>
  <r>
    <s v="LAR15460"/>
    <s v="SSA"/>
    <s v="Federal"/>
    <s v="Fee Simple"/>
    <s v="2708 E Parkway"/>
    <s v="Russellville"/>
    <s v="AR"/>
    <m/>
    <n v="2005"/>
    <n v="9540"/>
    <n v="9540"/>
    <n v="1"/>
    <n v="206112.2"/>
    <n v="21.60505241090147"/>
    <m/>
    <s v=" "/>
    <d v="2005-05-15T00:00:00"/>
    <d v="2020-05-14T00:00:00"/>
    <d v="2015-05-15T00:00:00"/>
    <n v="4.66027397260274"/>
    <n v="-0.3424657534246575"/>
    <s v="Modified Gross"/>
    <s v="None"/>
    <s v="None"/>
    <n v="1530000"/>
    <n v="160.377358490566"/>
    <s v=" "/>
    <m/>
    <d v="2015-09-17T00:00:00"/>
    <x v="921"/>
    <m/>
    <x v="977"/>
    <s v="WY"/>
    <s v="Private"/>
    <s v="BW; Wells"/>
    <m/>
    <m/>
    <s v=" "/>
    <s v=" "/>
    <m/>
    <s v=" "/>
    <s v=" "/>
    <s v=" "/>
    <m/>
    <s v=" "/>
  </r>
  <r>
    <m/>
    <s v="DHS"/>
    <s v="State"/>
    <s v="Fee Simple"/>
    <s v="315 S Beavercreek Rd"/>
    <s v="Oregon City"/>
    <s v="OR"/>
    <n v="3.82"/>
    <n v="1995"/>
    <n v="32952"/>
    <n v="32952"/>
    <n v="1"/>
    <n v="518994"/>
    <n v="15.75"/>
    <n v="454000"/>
    <n v="13.77761592619568"/>
    <m/>
    <m/>
    <m/>
    <s v=" "/>
    <s v=" "/>
    <s v="Gross"/>
    <m/>
    <m/>
    <n v="5750000"/>
    <n v="174.4962369507162"/>
    <n v="0.07895652173913044"/>
    <m/>
    <d v="2015-09-16T00:00:00"/>
    <x v="1354"/>
    <m/>
    <x v="978"/>
    <s v="OR"/>
    <s v="Private"/>
    <m/>
    <m/>
    <n v="5864000"/>
    <n v="0.07742155525238745"/>
    <n v="0.9805593451568895"/>
    <n v="5864000"/>
    <n v="0.07742155525238745"/>
    <n v="0.001534966486742992"/>
    <s v="No"/>
    <d v="2015-02-14T00:00:00"/>
    <n v="214"/>
  </r>
  <r>
    <m/>
    <s v="TBPC"/>
    <s v="State"/>
    <s v="Fee Simple"/>
    <s v="2400 Osborn Ln"/>
    <s v="Bryan"/>
    <s v="TX"/>
    <n v="1.18"/>
    <n v="1999"/>
    <n v="13914"/>
    <n v="13914"/>
    <n v="1"/>
    <n v="158870"/>
    <n v="11.41799626275693"/>
    <n v="69562"/>
    <n v="4.999425039528532"/>
    <d v="1999-02-20T00:00:00"/>
    <d v="2019-01-19T00:00:00"/>
    <m/>
    <n v="3.347945205479452"/>
    <s v=" "/>
    <s v="Full Service"/>
    <s v="None"/>
    <s v="None"/>
    <m/>
    <s v=" "/>
    <s v=" "/>
    <m/>
    <d v="2015-09-15T00:00:00"/>
    <x v="104"/>
    <m/>
    <x v="84"/>
    <s v="IL"/>
    <s v="Private"/>
    <m/>
    <m/>
    <m/>
    <s v=" "/>
    <s v=" "/>
    <m/>
    <s v=" "/>
    <s v=" "/>
    <s v=" "/>
    <m/>
    <s v=" "/>
  </r>
  <r>
    <m/>
    <s v="DHS"/>
    <s v="State"/>
    <s v="Fee Simple"/>
    <s v="7400 Diana"/>
    <s v="El Paso"/>
    <s v="TX"/>
    <n v="1.76"/>
    <n v="2002"/>
    <n v="17720"/>
    <n v="17720"/>
    <n v="1"/>
    <n v="293251.7454313136"/>
    <n v="16.54919556610122"/>
    <n v="181908.9935612841"/>
    <n v="10.26574455763454"/>
    <d v="2002-01-01T00:00:00"/>
    <d v="2020-12-31T00:00:00"/>
    <m/>
    <n v="5.301369863013699"/>
    <s v=" "/>
    <s v="Modified Gross"/>
    <s v="None"/>
    <s v="None"/>
    <n v="2670950"/>
    <n v="150.7308126410835"/>
    <n v="0.06810647655751105"/>
    <m/>
    <d v="2015-09-14T00:00:00"/>
    <x v="514"/>
    <m/>
    <x v="0"/>
    <s v="TX"/>
    <s v="User/Owner"/>
    <m/>
    <m/>
    <m/>
    <s v=" "/>
    <s v=" "/>
    <m/>
    <s v=" "/>
    <s v=" "/>
    <s v=" "/>
    <m/>
    <s v=" "/>
  </r>
  <r>
    <m/>
    <s v="HHSC/DFPS"/>
    <s v="State"/>
    <s v="Fee Simple"/>
    <s v="2505 Stone Hollow"/>
    <s v="Brenham"/>
    <s v="TX"/>
    <n v="1.5"/>
    <n v="1992"/>
    <n v="10368"/>
    <n v="10368"/>
    <n v="1"/>
    <n v="72075"/>
    <n v="6.95167824074074"/>
    <n v="45546"/>
    <n v="4.392939814814815"/>
    <d v="1997-09-01T00:00:00"/>
    <d v="2012-08-31T00:00:00"/>
    <m/>
    <n v="-3.03013698630137"/>
    <s v=" "/>
    <s v="Modified Gross"/>
    <s v="None"/>
    <s v="None"/>
    <m/>
    <s v=" "/>
    <s v=" "/>
    <m/>
    <d v="2015-09-11T00:00:00"/>
    <x v="104"/>
    <m/>
    <x v="84"/>
    <s v="IL"/>
    <s v="Private"/>
    <m/>
    <m/>
    <m/>
    <s v=" "/>
    <s v=" "/>
    <m/>
    <s v=" "/>
    <s v=" "/>
    <s v=" "/>
    <m/>
    <s v=" "/>
  </r>
  <r>
    <s v="LTX14880"/>
    <s v="INS"/>
    <s v="Federal"/>
    <s v="Fee Simple"/>
    <s v="6451 Boeing Dr"/>
    <s v="El Paso"/>
    <s v="TX"/>
    <n v="4.51"/>
    <n v="1970"/>
    <n v="20865"/>
    <n v="20865"/>
    <n v="1"/>
    <n v="657112.11"/>
    <n v="31.49351114306254"/>
    <n v="406004.11"/>
    <n v="19.45862017733046"/>
    <d v="2001-12-19T00:00:00"/>
    <d v="2016-12-18T00:00:00"/>
    <d v="2006-12-18T00:00:00"/>
    <n v="1.271232876712329"/>
    <n v="-8.736986301369862"/>
    <s v="Modified Gross"/>
    <s v="None"/>
    <s v="None"/>
    <n v="6160426.03125"/>
    <n v="295.2516669662114"/>
    <n v="0.06590520005279869"/>
    <m/>
    <d v="2015-09-11T00:00:00"/>
    <x v="104"/>
    <m/>
    <x v="84"/>
    <s v="IL"/>
    <s v="Private"/>
    <m/>
    <m/>
    <m/>
    <s v=" "/>
    <s v=" "/>
    <m/>
    <s v=" "/>
    <s v=" "/>
    <s v=" "/>
    <m/>
    <s v=" "/>
  </r>
  <r>
    <m/>
    <s v="SSA"/>
    <s v="Federal"/>
    <s v="Fee Simple"/>
    <s v="4240 Lee's Summit Road"/>
    <s v="Independence"/>
    <s v="MO"/>
    <m/>
    <n v="2001"/>
    <n v="13002"/>
    <n v="13002"/>
    <n v="1"/>
    <n v="286753"/>
    <n v="22.05453007229657"/>
    <n v="169682"/>
    <n v="13.0504537763421"/>
    <d v="2001-03-10T00:00:00"/>
    <d v="2016-03-11T00:00:00"/>
    <d v="2011-03-11T00:00:00"/>
    <n v="0.4986301369863014"/>
    <n v="-4.506849315068493"/>
    <s v="Modified Gross"/>
    <s v="None"/>
    <s v="None"/>
    <m/>
    <s v=" "/>
    <s v=" "/>
    <m/>
    <d v="2015-09-11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Multi"/>
    <s v="Federal"/>
    <s v="Fee Simple"/>
    <s v="2297 Niels Bohr Ct"/>
    <s v="San Diego"/>
    <s v="CA"/>
    <m/>
    <n v="2001"/>
    <n v="52881"/>
    <n v="52881"/>
    <n v="1"/>
    <m/>
    <s v=" "/>
    <n v="1162000"/>
    <n v="21.97386584973809"/>
    <m/>
    <m/>
    <m/>
    <s v=" "/>
    <s v=" "/>
    <m/>
    <m/>
    <m/>
    <n v="16600000"/>
    <n v="313.9123692819728"/>
    <n v="0.07000000000000001"/>
    <m/>
    <d v="2015-09-11T00:00:00"/>
    <x v="1355"/>
    <s v="Direct"/>
    <x v="3"/>
    <s v="DC"/>
    <s v="REIT"/>
    <m/>
    <m/>
    <m/>
    <s v=" "/>
    <s v=" "/>
    <m/>
    <s v=" "/>
    <s v=" "/>
    <s v=" "/>
    <m/>
    <s v=" "/>
  </r>
  <r>
    <s v="LNH04177"/>
    <s v="SSA/FWS/FMCSA"/>
    <s v="Federal"/>
    <s v="Fee Simple"/>
    <s v="70 Commercial St"/>
    <s v="Concord"/>
    <s v="NH"/>
    <n v="3.63"/>
    <n v="2000"/>
    <n v="16560"/>
    <n v="53304"/>
    <n v="0.3106708689779379"/>
    <n v="291815"/>
    <n v="17.62167874396135"/>
    <n v="499644"/>
    <n v="9.373480414227826"/>
    <d v="2001-02-01T00:00:00"/>
    <d v="2017-01-31T00:00:00"/>
    <d v="2016-10-31T00:00:00"/>
    <n v="1.410958904109589"/>
    <n v="1.158904109589041"/>
    <s v="Modified Gross"/>
    <s v="None"/>
    <s v="None"/>
    <n v="6650000"/>
    <n v="124.756115863725"/>
    <n v="0.07513443609022556"/>
    <m/>
    <d v="2015-09-04T00:00:00"/>
    <x v="1356"/>
    <m/>
    <x v="979"/>
    <s v="VT"/>
    <s v="Private"/>
    <m/>
    <m/>
    <m/>
    <s v=" "/>
    <s v=" "/>
    <m/>
    <s v=" "/>
    <s v=" "/>
    <s v=" "/>
    <m/>
    <s v=" "/>
  </r>
  <r>
    <s v="LTX16696"/>
    <s v="FBI"/>
    <s v="Federal"/>
    <s v="Fee Simple"/>
    <s v="6615 North Belt Line Rd"/>
    <s v="Irving"/>
    <s v="TX"/>
    <n v="5"/>
    <n v="2011"/>
    <n v="28417"/>
    <n v="28417"/>
    <n v="1"/>
    <n v="818105.96"/>
    <n v="28.78931484674666"/>
    <n v="688811"/>
    <n v="24.23939895133195"/>
    <d v="2011-09-23T00:00:00"/>
    <d v="2026-09-22T00:00:00"/>
    <d v="2021-09-23T00:00:00"/>
    <n v="11.05753424657534"/>
    <n v="6.057534246575343"/>
    <s v="Modified Gross"/>
    <s v="None"/>
    <s v="None"/>
    <n v="10020000"/>
    <n v="352.6058345356653"/>
    <n v="0.0687436127744511"/>
    <m/>
    <d v="2015-09-04T00:00:00"/>
    <x v="1357"/>
    <s v="SJC; Gibson"/>
    <x v="1"/>
    <s v="IL"/>
    <s v="Private"/>
    <m/>
    <m/>
    <m/>
    <s v=" "/>
    <s v=" "/>
    <m/>
    <s v=" "/>
    <s v=" "/>
    <s v=" "/>
    <m/>
    <s v=" "/>
  </r>
  <r>
    <s v="LDC02295"/>
    <s v="Multi"/>
    <s v="Federal &amp; Intergovernmental"/>
    <s v="Leasehold"/>
    <s v="1750 Pennsylvania Ave NW"/>
    <s v="Washington"/>
    <s v="DC"/>
    <n v="0.62"/>
    <n v="1964"/>
    <n v="121314"/>
    <n v="281560"/>
    <n v="0.4308637590566842"/>
    <m/>
    <s v=" "/>
    <n v="8372000"/>
    <n v="29.73433726381588"/>
    <d v="2012-02-01T00:00:00"/>
    <d v="2022-01-31T00:00:00"/>
    <d v="2022-01-31T00:00:00"/>
    <n v="6.413698630136986"/>
    <n v="6.413698630136986"/>
    <s v="Modified Gross"/>
    <s v="Yes"/>
    <s v="None"/>
    <n v="182000000"/>
    <n v="646.3986361699104"/>
    <n v="0.046"/>
    <m/>
    <d v="2015-09-04T00:00:00"/>
    <x v="1358"/>
    <s v="C&amp;W; Bill Collins"/>
    <x v="980"/>
    <s v="MA"/>
    <s v="Institutional"/>
    <m/>
    <m/>
    <m/>
    <s v=" "/>
    <s v=" "/>
    <m/>
    <s v=" "/>
    <s v=" "/>
    <s v=" "/>
    <m/>
    <s v=" "/>
  </r>
  <r>
    <s v="LTX16750"/>
    <s v="SSA"/>
    <s v="Federal"/>
    <s v="Fee Simple"/>
    <s v="1735 Coffee Port Rd"/>
    <s v="Brownsville"/>
    <s v="TX"/>
    <n v="1.47"/>
    <n v="2002"/>
    <n v="23978"/>
    <n v="23978"/>
    <n v="1"/>
    <n v="475742"/>
    <n v="19.84077070648094"/>
    <n v="405298"/>
    <n v="16.9029110017516"/>
    <d v="2011-04-01T00:00:00"/>
    <d v="2021-03-31T00:00:00"/>
    <d v="2016-03-31T00:00:00"/>
    <n v="5.583561643835616"/>
    <n v="0.5808219178082191"/>
    <s v="Modified Gross"/>
    <s v="None"/>
    <s v="None"/>
    <n v="3900000"/>
    <n v="162.6490950037534"/>
    <n v="0.1039225641025641"/>
    <m/>
    <d v="2015-09-01T00:00:00"/>
    <x v="1359"/>
    <m/>
    <x v="84"/>
    <s v="IL"/>
    <s v="Private"/>
    <m/>
    <m/>
    <m/>
    <s v=" "/>
    <s v=" "/>
    <m/>
    <s v=" "/>
    <s v=" "/>
    <s v=" "/>
    <m/>
    <s v=" "/>
  </r>
  <r>
    <m/>
    <s v="HHSC/DFPS"/>
    <s v="State"/>
    <s v="Fee Simple"/>
    <s v="605 West 4th St"/>
    <s v="Cameron"/>
    <s v="TX"/>
    <n v="1.22"/>
    <n v="1990"/>
    <n v="8125"/>
    <n v="8125"/>
    <n v="1"/>
    <n v="54650"/>
    <n v="6.726153846153847"/>
    <n v="32280"/>
    <n v="3.972923076923077"/>
    <d v="1999-02-01T00:00:00"/>
    <d v="2019-03-01T00:00:00"/>
    <m/>
    <n v="3.498630136986301"/>
    <s v=" "/>
    <s v="Full Service"/>
    <s v="None"/>
    <s v="None"/>
    <m/>
    <s v=" "/>
    <s v=" "/>
    <m/>
    <d v="2015-09-01T00:00:00"/>
    <x v="1360"/>
    <m/>
    <x v="84"/>
    <s v="IL"/>
    <s v="Private"/>
    <m/>
    <m/>
    <m/>
    <s v=" "/>
    <s v=" "/>
    <m/>
    <s v=" "/>
    <s v=" "/>
    <s v=" "/>
    <m/>
    <s v=" "/>
  </r>
  <r>
    <m/>
    <s v="HHSC/DFPS"/>
    <s v="State"/>
    <s v="Fee Simple"/>
    <s v="317 Casa Dr"/>
    <s v="Copperas Cove"/>
    <s v="TX"/>
    <n v="0.73"/>
    <n v="1988"/>
    <n v="8344"/>
    <n v="8344"/>
    <n v="1"/>
    <n v="109614"/>
    <n v="13.13686481303931"/>
    <n v="82608"/>
    <n v="9.900287631831256"/>
    <d v="1997-06-01T00:00:00"/>
    <d v="2007-05-31T00:00:00"/>
    <m/>
    <n v="-8.260273972602739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703 Church Street"/>
    <s v="East Bernard"/>
    <s v="TX"/>
    <n v="1.52"/>
    <n v="2001"/>
    <n v="7204"/>
    <n v="7204"/>
    <n v="1"/>
    <n v="79423"/>
    <n v="11.02484730705164"/>
    <n v="54620"/>
    <n v="7.581898945030539"/>
    <d v="2001-07-31T00:00:00"/>
    <d v="2021-08-01T00:00:00"/>
    <d v="2021-08-01T00:00:00"/>
    <n v="5.920547945205479"/>
    <n v="5.920547945205479"/>
    <s v="Rider"/>
    <s v="None"/>
    <s v="4, 5 yr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"/>
    <s v="State"/>
    <s v="Fee Simple"/>
    <s v="2520 South 1 Road"/>
    <s v="Edinburg"/>
    <s v="TX"/>
    <n v="3.22"/>
    <n v="1994"/>
    <n v="44613"/>
    <n v="44613"/>
    <n v="1"/>
    <n v="547031"/>
    <n v="12.26169502163047"/>
    <n v="249849"/>
    <n v="5.600363122856566"/>
    <d v="1999-11-01T00:00:00"/>
    <d v="2011-10-31T00:00:00"/>
    <m/>
    <n v="-3.838356164383562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BPC"/>
    <s v="State"/>
    <s v="Fee Simple"/>
    <s v="7450 John White Blvd"/>
    <s v="Fort Worth"/>
    <s v="TX"/>
    <n v="2.38"/>
    <n v="1996"/>
    <n v="23647"/>
    <n v="23647"/>
    <n v="1"/>
    <n v="214890"/>
    <n v="9.087410665200659"/>
    <n v="128508"/>
    <n v="5.434431428933903"/>
    <m/>
    <d v="2022-03-31T00:00:00"/>
    <m/>
    <n v="6.583561643835616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/DFPS"/>
    <s v="State"/>
    <s v="Fee Simple"/>
    <s v="103 Park Hill Dr"/>
    <s v="Hamilton"/>
    <s v="TX"/>
    <n v="0.54"/>
    <n v="1990"/>
    <n v="5865"/>
    <n v="5865"/>
    <n v="1"/>
    <n v="42460"/>
    <n v="7.239556692242115"/>
    <n v="27529"/>
    <n v="4.693776641091219"/>
    <m/>
    <d v="2018-08-31T00:00:00"/>
    <m/>
    <n v="3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"/>
    <s v="State"/>
    <s v="Fee Simple"/>
    <s v="2110 Telephone Rd"/>
    <s v="Houston"/>
    <s v="TX"/>
    <n v="1.12"/>
    <n v="1992"/>
    <n v="26865"/>
    <n v="26865"/>
    <n v="1"/>
    <n v="387160"/>
    <n v="14.41131583845152"/>
    <n v="192640"/>
    <n v="7.170668155592779"/>
    <d v="1997-02-01T00:00:00"/>
    <d v="2019-01-31T00:00:00"/>
    <m/>
    <n v="3.419178082191781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/DFPS"/>
    <s v="State"/>
    <s v="Fee Simple"/>
    <s v="1460 NW 19th St"/>
    <s v="Paris"/>
    <s v="TX"/>
    <n v="3.33"/>
    <n v="2002"/>
    <n v="36580"/>
    <n v="36580"/>
    <n v="1"/>
    <n v="381041"/>
    <n v="10.41664844177146"/>
    <n v="199838"/>
    <n v="5.463039912520503"/>
    <d v="2002-09-01T00:00:00"/>
    <d v="2017-08-31T00:00:00"/>
    <d v="2017-08-31T00:00:00"/>
    <n v="2"/>
    <n v="2"/>
    <s v="Full Service"/>
    <s v="None"/>
    <s v="None"/>
    <m/>
    <s v=" "/>
    <s v=" "/>
    <m/>
    <d v="2015-09-01T00:00:00"/>
    <x v="1361"/>
    <m/>
    <x v="84"/>
    <s v="IL"/>
    <s v="Private"/>
    <m/>
    <m/>
    <m/>
    <s v=" "/>
    <s v=" "/>
    <m/>
    <s v=" "/>
    <s v=" "/>
    <s v=" "/>
    <m/>
    <s v=" "/>
  </r>
  <r>
    <s v="LWA07205"/>
    <s v="SSA"/>
    <s v="Federal"/>
    <s v="Fee Simple"/>
    <s v="811 S Hill Park Dr"/>
    <s v="Puyallup"/>
    <s v="WA"/>
    <n v="1.21"/>
    <n v="2001"/>
    <n v="8300"/>
    <n v="10000"/>
    <n v="0.83"/>
    <n v="305572.14"/>
    <n v="36.81592048192771"/>
    <n v="248145"/>
    <n v="24.8145"/>
    <d v="2010-11-16T00:00:00"/>
    <d v="2025-11-15T00:00:00"/>
    <d v="2020-11-16T00:00:00"/>
    <n v="10.21369863013699"/>
    <n v="5.213698630136986"/>
    <s v="Modified Gross"/>
    <s v="None"/>
    <s v="None"/>
    <n v="3210000"/>
    <n v="321"/>
    <n v="0.07730373831775701"/>
    <m/>
    <d v="2015-09-01T00:00:00"/>
    <x v="1362"/>
    <s v="Direct"/>
    <x v="720"/>
    <s v="WA"/>
    <s v="Private"/>
    <m/>
    <m/>
    <m/>
    <s v=" "/>
    <s v=" "/>
    <m/>
    <s v=" "/>
    <s v=" "/>
    <s v=" "/>
    <m/>
    <s v=" "/>
  </r>
  <r>
    <m/>
    <s v="DHS"/>
    <s v="State"/>
    <s v="Fee Simple"/>
    <s v="11307 Roszell"/>
    <s v="San Antonio"/>
    <s v="TX"/>
    <n v="3.33"/>
    <n v="1993"/>
    <n v="66050"/>
    <n v="66050"/>
    <n v="1"/>
    <n v="1173708.5"/>
    <n v="17.77"/>
    <n v="727871"/>
    <n v="11.02"/>
    <d v="1998-10-01T00:00:00"/>
    <d v="2018-09-30T00:00:00"/>
    <m/>
    <n v="3.082191780821918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"/>
    <s v="State"/>
    <s v="Fee Simple"/>
    <s v="1320 E Highway 84"/>
    <s v="Teague"/>
    <s v="TX"/>
    <n v="1.1"/>
    <n v="1990"/>
    <n v="3750"/>
    <n v="3750"/>
    <n v="1"/>
    <n v="28841"/>
    <n v="7.690933333333334"/>
    <n v="11334"/>
    <n v="3.0224"/>
    <d v="1999-07-01T00:00:00"/>
    <d v="2019-08-01T00:00:00"/>
    <m/>
    <n v="3.917808219178082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HHSC"/>
    <s v="State"/>
    <s v="Fee Simple"/>
    <s v="2010 La Salle Ave"/>
    <s v="Waco"/>
    <s v="TX"/>
    <n v="1.29"/>
    <n v="1989"/>
    <n v="16980"/>
    <n v="16980"/>
    <n v="1"/>
    <n v="106716"/>
    <n v="6.284805653710247"/>
    <n v="78156"/>
    <n v="4.602826855123675"/>
    <d v="1998-01-01T00:00:00"/>
    <d v="2014-12-01T00:00:00"/>
    <m/>
    <n v="-0.7506849315068493"/>
    <s v=" "/>
    <s v="Full Service"/>
    <s v="None"/>
    <s v="None"/>
    <m/>
    <s v=" "/>
    <s v=" "/>
    <m/>
    <d v="2015-09-01T00:00:00"/>
    <x v="104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10310 Highway 72 W"/>
    <s v="Hull"/>
    <s v="GA"/>
    <n v="0.51"/>
    <n v="1981"/>
    <n v="2320"/>
    <n v="2320"/>
    <n v="1"/>
    <m/>
    <s v=" "/>
    <n v="27417"/>
    <n v="11.8176724137931"/>
    <m/>
    <d v="2021-11-30T00:00:00"/>
    <d v="2021-11-30T00:00:00"/>
    <n v="6.254794520547946"/>
    <n v="6.254794520547946"/>
    <s v="Rider"/>
    <s v="Options"/>
    <s v="2, 5 year"/>
    <n v="365800"/>
    <n v="157.6724137931035"/>
    <n v="0.07495079278294149"/>
    <m/>
    <d v="2015-08-31T00:00:00"/>
    <x v="779"/>
    <s v="Avery Postal Group; Agnew"/>
    <x v="981"/>
    <s v="UT"/>
    <s v="Private"/>
    <m/>
    <m/>
    <n v="390000"/>
    <n v="0.0703"/>
    <n v="0.9379487179487179"/>
    <n v="390000"/>
    <n v="0.0703"/>
    <n v="0.00465079278294149"/>
    <s v="No"/>
    <d v="2013-11-22T00:00:00"/>
    <n v="647"/>
  </r>
  <r>
    <s v="LMD00256"/>
    <s v="CDC"/>
    <s v="Federal"/>
    <s v="Fee Simple"/>
    <s v="3311 Toledo Rd"/>
    <s v="Hyattsville"/>
    <s v="MD"/>
    <n v="2.73"/>
    <n v="2002"/>
    <n v="104000"/>
    <n v="178450"/>
    <n v="0.5827963014850098"/>
    <n v="2804374.25"/>
    <n v="26.96513701923077"/>
    <m/>
    <s v=" "/>
    <d v="2003-01-01T00:00:00"/>
    <d v="2016-01-31T00:00:00"/>
    <d v="2016-01-31T00:00:00"/>
    <n v="0.4191780821917808"/>
    <n v="0.4191780821917808"/>
    <s v="Modified Gross"/>
    <m/>
    <s v="None"/>
    <n v="7376250"/>
    <n v="41.33510787335388"/>
    <s v=" "/>
    <m/>
    <d v="2015-08-31T00:00:00"/>
    <x v="1243"/>
    <s v="Direct"/>
    <x v="982"/>
    <m/>
    <s v="Private"/>
    <m/>
    <m/>
    <m/>
    <s v=" "/>
    <s v=" "/>
    <m/>
    <s v=" "/>
    <s v=" "/>
    <s v=" "/>
    <m/>
    <s v=" "/>
  </r>
  <r>
    <m/>
    <s v="SSA"/>
    <s v="Federal"/>
    <s v="Fee Simple"/>
    <s v="3423 Hwy 35"/>
    <s v="Cotulla"/>
    <s v="TX"/>
    <n v="8"/>
    <n v="2000"/>
    <n v="23485"/>
    <n v="23485"/>
    <n v="1"/>
    <n v="786087"/>
    <n v="33.47187566531829"/>
    <n v="487845"/>
    <n v="20.77262082180115"/>
    <d v="2000-06-01T00:00:00"/>
    <d v="2020-05-31T00:00:00"/>
    <d v="2015-05-30T00:00:00"/>
    <n v="4.76986301369863"/>
    <n v="-0.2383561643835616"/>
    <s v="Modified Gross"/>
    <m/>
    <m/>
    <n v="4300000"/>
    <n v="183.0955929316585"/>
    <n v="0.1134523255813954"/>
    <m/>
    <d v="2015-08-25T00:00:00"/>
    <x v="1324"/>
    <s v="Newmark; Gallas"/>
    <x v="84"/>
    <s v="IL"/>
    <s v="Private"/>
    <m/>
    <m/>
    <m/>
    <s v=" "/>
    <s v=" "/>
    <m/>
    <s v=" "/>
    <s v=" "/>
    <s v=" "/>
    <m/>
    <s v=" "/>
  </r>
  <r>
    <m/>
    <s v="VA"/>
    <s v="Federal"/>
    <s v="Fee Simple"/>
    <s v="310 Home Boulevard"/>
    <s v="Galesburg"/>
    <s v="IL"/>
    <n v="2.11"/>
    <n v="2013"/>
    <n v="9979"/>
    <n v="9979"/>
    <n v="1"/>
    <m/>
    <s v=" "/>
    <n v="184100"/>
    <n v="18.4487423589538"/>
    <d v="2013-08-01T00:00:00"/>
    <d v="2023-07-31T00:00:00"/>
    <d v="2023-07-31T00:00:00"/>
    <n v="7.936986301369863"/>
    <n v="7.936986301369863"/>
    <s v="Modified Gross"/>
    <s v="Flat"/>
    <s v="None"/>
    <n v="2630000"/>
    <n v="263.5534622707686"/>
    <n v="0.07000000000000001"/>
    <m/>
    <d v="2015-08-25T00:00:00"/>
    <x v="108"/>
    <s v="Newmark; Gallas"/>
    <x v="983"/>
    <s v="NY"/>
    <s v="REIT"/>
    <m/>
    <m/>
    <m/>
    <s v=" "/>
    <s v=" "/>
    <m/>
    <s v=" "/>
    <s v=" "/>
    <s v=" "/>
    <m/>
    <s v=" "/>
  </r>
  <r>
    <m/>
    <s v="VA"/>
    <s v="Federal"/>
    <s v="Fee Simple"/>
    <s v="605 Lincoln St"/>
    <s v="Worcester"/>
    <s v="MA"/>
    <n v="3.41"/>
    <n v="1993"/>
    <n v="29550"/>
    <n v="29550"/>
    <n v="1"/>
    <m/>
    <s v=" "/>
    <m/>
    <s v=" "/>
    <d v="2013-05-01T00:00:00"/>
    <d v="2023-05-01T00:00:00"/>
    <d v="2018-05-01T00:00:00"/>
    <n v="7.69041095890411"/>
    <n v="2.687671232876713"/>
    <s v="Modified Gross"/>
    <s v="None"/>
    <s v="None"/>
    <n v="7750000"/>
    <n v="262.2673434856176"/>
    <s v=" "/>
    <m/>
    <d v="2015-08-24T00:00:00"/>
    <x v="1363"/>
    <s v="Direct"/>
    <x v="429"/>
    <s v="NY"/>
    <s v="Private"/>
    <m/>
    <s v="MGMT-Etc."/>
    <n v="8200000"/>
    <s v=" "/>
    <n v="0.9451219512195121"/>
    <n v="8200000"/>
    <s v=" "/>
    <s v=" "/>
    <s v="No"/>
    <d v="2014-11-12T00:00:00"/>
    <n v="285"/>
  </r>
  <r>
    <s v="LMS62143"/>
    <s v="SSA/ODAR"/>
    <s v="Federal"/>
    <s v="Fee Simple"/>
    <s v="4717 26th Ave"/>
    <s v="Meridian"/>
    <s v="MS"/>
    <n v="1.4"/>
    <n v="2014"/>
    <n v="9796"/>
    <n v="9796"/>
    <n v="1"/>
    <n v="245951.49"/>
    <n v="25.10733870967742"/>
    <n v="150975"/>
    <n v="15.41190281747652"/>
    <d v="2014-09-01T00:00:00"/>
    <d v="2029-08-31T00:00:00"/>
    <d v="2024-08-31T00:00:00"/>
    <n v="14.04383561643836"/>
    <n v="9.04109589041096"/>
    <s v="Modified Gross"/>
    <s v="None"/>
    <s v="None"/>
    <n v="1950000"/>
    <n v="199.060841159657"/>
    <n v="0.07742307692307694"/>
    <m/>
    <d v="2015-08-19T00:00:00"/>
    <x v="103"/>
    <s v="Colliers; Cottle &amp; Kennedy"/>
    <x v="1"/>
    <s v="IL"/>
    <s v="Private"/>
    <m/>
    <s v="Rooker"/>
    <n v="2250000"/>
    <n v="0.06710000000000001"/>
    <n v="0.8666666666666667"/>
    <n v="2250000"/>
    <n v="0.06710000000000001"/>
    <n v="0.01032307692307693"/>
    <s v="No"/>
    <d v="2015-01-29T00:00:00"/>
    <n v="202"/>
  </r>
  <r>
    <m/>
    <s v="Multi"/>
    <s v="Federal"/>
    <s v="Fee Simple"/>
    <m/>
    <m/>
    <m/>
    <m/>
    <m/>
    <m/>
    <m/>
    <s v=" "/>
    <m/>
    <s v=" "/>
    <m/>
    <s v=" "/>
    <m/>
    <m/>
    <m/>
    <s v=" "/>
    <s v=" "/>
    <m/>
    <m/>
    <m/>
    <n v="42000000"/>
    <s v=" "/>
    <s v=" "/>
    <m/>
    <d v="2015-08-18T00:00:00"/>
    <x v="1364"/>
    <s v="SJC; Corriston"/>
    <x v="1"/>
    <m/>
    <s v="Private"/>
    <m/>
    <m/>
    <n v="43250000"/>
    <s v=" "/>
    <n v="0.9710982658959537"/>
    <n v="43250000"/>
    <s v=" "/>
    <s v=" "/>
    <s v="No"/>
    <m/>
    <s v=" "/>
  </r>
  <r>
    <s v="LNM16796"/>
    <s v="DEA"/>
    <s v="Federal"/>
    <s v="Fee Simple"/>
    <s v="2660 Fritts Crossing SE"/>
    <s v="Albuquerque"/>
    <s v="NM"/>
    <n v="6.5"/>
    <n v="2011"/>
    <n v="41847"/>
    <n v="41847"/>
    <n v="1"/>
    <n v="1743889.57"/>
    <n v="41.67298898367864"/>
    <n v="1442483"/>
    <n v="34.47040409109375"/>
    <d v="2011-05-04T00:00:00"/>
    <d v="2031-05-03T00:00:00"/>
    <d v="2026-05-04T00:00:00"/>
    <n v="15.72054794520548"/>
    <n v="10.72054794520548"/>
    <s v="FS"/>
    <m/>
    <s v="None"/>
    <n v="21691473.68421052"/>
    <n v="518.3519412194548"/>
    <n v="0.0665"/>
    <m/>
    <d v="2015-08-17T00:00:00"/>
    <x v="1365"/>
    <s v="SJC; Corriston"/>
    <x v="1"/>
    <s v="IL"/>
    <s v="Private"/>
    <m/>
    <m/>
    <m/>
    <s v=" "/>
    <s v=" "/>
    <m/>
    <s v=" "/>
    <s v=" "/>
    <s v=" "/>
    <m/>
    <s v=" "/>
  </r>
  <r>
    <s v="LTX16715"/>
    <s v="SSA"/>
    <s v="Federal"/>
    <s v="Fee Simple"/>
    <s v="411 Richland Hills Dr"/>
    <s v="San Antonio"/>
    <s v="TX"/>
    <n v="3.65"/>
    <n v="2009"/>
    <n v="25923"/>
    <n v="25923"/>
    <n v="1"/>
    <n v="824885.34"/>
    <n v="31.82059715310728"/>
    <n v="591908"/>
    <n v="22.83331404544227"/>
    <d v="2009-10-29T00:00:00"/>
    <d v="2024-10-28T00:00:00"/>
    <d v="2019-10-29T00:00:00"/>
    <n v="9.205479452054794"/>
    <n v="4.202739726027398"/>
    <s v="Modified Gross"/>
    <s v="None"/>
    <s v="None"/>
    <n v="6504484"/>
    <n v="250.9155576129306"/>
    <n v="0.09099999323543574"/>
    <m/>
    <d v="2015-08-17T00:00:00"/>
    <x v="1365"/>
    <s v="SJC; Corriston"/>
    <x v="1"/>
    <s v="IL"/>
    <s v="Private"/>
    <s v="Newmark; Gallas"/>
    <m/>
    <m/>
    <s v=" "/>
    <s v=" "/>
    <m/>
    <s v=" "/>
    <s v=" "/>
    <s v=" "/>
    <m/>
    <s v=" "/>
  </r>
  <r>
    <m/>
    <s v="CEC"/>
    <s v="State"/>
    <s v="Fee Simple"/>
    <s v="3950 D St"/>
    <s v="Philadelphia"/>
    <s v="PA"/>
    <n v="3.6361"/>
    <n v="1910"/>
    <n v="81245"/>
    <n v="81245"/>
    <n v="1"/>
    <m/>
    <s v=" "/>
    <m/>
    <s v=" "/>
    <m/>
    <m/>
    <m/>
    <s v=" "/>
    <s v=" "/>
    <m/>
    <m/>
    <m/>
    <n v="13500000"/>
    <n v="166.1640716351775"/>
    <s v=" "/>
    <m/>
    <d v="2015-08-15T00:00:00"/>
    <x v="1366"/>
    <s v="Direct"/>
    <x v="497"/>
    <s v="TN"/>
    <s v="REIT"/>
    <m/>
    <m/>
    <m/>
    <s v=" "/>
    <s v=" "/>
    <m/>
    <s v=" "/>
    <s v=" "/>
    <s v=" "/>
    <m/>
    <s v=" "/>
  </r>
  <r>
    <s v="LTX17165"/>
    <s v="SSA"/>
    <s v="Federal"/>
    <s v="Fee Simple"/>
    <s v="2717 Terrell Rd"/>
    <s v="Greenville"/>
    <s v="TX"/>
    <n v="1.345"/>
    <n v="2001"/>
    <n v="9463"/>
    <n v="9463"/>
    <n v="1"/>
    <n v="256174.45"/>
    <n v="27.07116664905421"/>
    <n v="256174"/>
    <n v="27.07111909542428"/>
    <d v="2015-04-28T00:00:00"/>
    <d v="2025-04-27T00:00:00"/>
    <d v="2020-04-28T00:00:00"/>
    <n v="9.712328767123287"/>
    <n v="4.712328767123288"/>
    <s v="Modified Gross"/>
    <s v="None"/>
    <s v="None"/>
    <n v="2815098.901098901"/>
    <n v="297.4848252244427"/>
    <n v="0.09099999999999998"/>
    <m/>
    <d v="2015-08-13T00:00:00"/>
    <x v="1365"/>
    <s v="SJC; Corriston"/>
    <x v="1"/>
    <s v="IL"/>
    <s v="Private"/>
    <m/>
    <m/>
    <m/>
    <s v=" "/>
    <s v=" "/>
    <m/>
    <s v=" "/>
    <s v=" "/>
    <s v=" "/>
    <m/>
    <s v=" "/>
  </r>
  <r>
    <s v="LNM16654"/>
    <s v="SSA"/>
    <s v="Federal"/>
    <s v="Fee Simple"/>
    <s v="4433 Jager Dr NE"/>
    <s v="Rio Rancho"/>
    <s v="NM"/>
    <n v="1.711"/>
    <n v="2010"/>
    <n v="9755"/>
    <n v="9755"/>
    <n v="1"/>
    <n v="489118.63"/>
    <n v="50.14030035879036"/>
    <n v="382837"/>
    <n v="39.24520758585341"/>
    <d v="2010-07-01T00:00:00"/>
    <d v="2025-06-30T00:00:00"/>
    <d v="2020-07-01T00:00:00"/>
    <n v="9.887671232876713"/>
    <n v="4.887671232876713"/>
    <s v="Modified Gross"/>
    <s v="None"/>
    <s v="None"/>
    <n v="4207000"/>
    <n v="431.2660174269606"/>
    <n v="0.091"/>
    <m/>
    <d v="2015-08-13T00:00:00"/>
    <x v="1365"/>
    <s v="SJC; Corriston"/>
    <x v="1"/>
    <s v="IL"/>
    <s v="Private"/>
    <m/>
    <m/>
    <m/>
    <s v=" "/>
    <s v=" "/>
    <m/>
    <s v=" "/>
    <s v=" "/>
    <s v=" "/>
    <m/>
    <s v=" "/>
  </r>
  <r>
    <s v="LNM17295"/>
    <s v="FS"/>
    <s v="Federal"/>
    <s v="Fee Simple"/>
    <s v="3005 E Camino Del Bosque"/>
    <s v="Silver City"/>
    <s v="NM"/>
    <n v="4"/>
    <n v="1994"/>
    <n v="29554"/>
    <n v="29554"/>
    <n v="1"/>
    <n v="539108.8"/>
    <n v="18.24148338634364"/>
    <n v="449084"/>
    <n v="15.19537118494958"/>
    <d v="2014-03-10T00:00:00"/>
    <d v="2029-03-09T00:00:00"/>
    <d v="2024-03-10T00:00:00"/>
    <n v="13.58082191780822"/>
    <n v="8.580821917808219"/>
    <s v="Modified Gross"/>
    <s v="None"/>
    <s v="None"/>
    <n v="6755000"/>
    <n v="228.5646612979631"/>
    <n v="0.06648171724648409"/>
    <m/>
    <d v="2015-08-13T00:00:00"/>
    <x v="1365"/>
    <s v="SJC; Corriston"/>
    <x v="1"/>
    <s v="IL"/>
    <s v="Private"/>
    <m/>
    <m/>
    <m/>
    <s v=" "/>
    <s v=" "/>
    <m/>
    <s v=" "/>
    <s v=" "/>
    <s v=" "/>
    <m/>
    <s v=" "/>
  </r>
  <r>
    <m/>
    <s v="HHSC"/>
    <s v="State"/>
    <s v="Fee Simple"/>
    <s v="3000 E Villa Maria"/>
    <s v="Bryan"/>
    <s v="TX"/>
    <n v="2.2"/>
    <n v="1991"/>
    <n v="28749"/>
    <n v="28749"/>
    <n v="1"/>
    <n v="259232"/>
    <n v="9.017078854916694"/>
    <n v="189084"/>
    <n v="6.577063550036523"/>
    <m/>
    <d v="2018-08-31T00:00:00"/>
    <m/>
    <n v="3.06027397260274"/>
    <s v=" "/>
    <s v="Full Service"/>
    <s v="None"/>
    <s v="None"/>
    <n v="1126920"/>
    <n v="39.19858082020244"/>
    <n v="0.1677883079544245"/>
    <m/>
    <d v="2015-08-10T00:00:00"/>
    <x v="104"/>
    <m/>
    <x v="84"/>
    <s v="IL"/>
    <s v="Private"/>
    <m/>
    <m/>
    <m/>
    <s v=" "/>
    <s v=" "/>
    <m/>
    <s v=" "/>
    <s v=" "/>
    <s v=" "/>
    <m/>
    <s v=" "/>
  </r>
  <r>
    <s v="LNV01430"/>
    <s v="DEA"/>
    <s v="Federal"/>
    <s v="Fee Simple"/>
    <s v="8790 Double Diamond Pkwy"/>
    <s v="Reno"/>
    <s v="NV"/>
    <n v="4.36"/>
    <n v="2004"/>
    <n v="15799"/>
    <n v="15799"/>
    <n v="1"/>
    <n v="519808.65"/>
    <n v="32.90136401038041"/>
    <m/>
    <s v=" "/>
    <d v="2004-08-01T00:00:00"/>
    <d v="2024-07-31T00:00:00"/>
    <d v="2019-08-01T00:00:00"/>
    <n v="8.980821917808219"/>
    <n v="3.978082191780822"/>
    <s v="Modified Gross"/>
    <s v="None"/>
    <s v="None"/>
    <m/>
    <s v=" "/>
    <s v=" "/>
    <m/>
    <d v="2015-08-10T00:00:00"/>
    <x v="1367"/>
    <m/>
    <x v="984"/>
    <s v="NV"/>
    <s v="Private"/>
    <m/>
    <m/>
    <m/>
    <s v=" "/>
    <s v=" "/>
    <m/>
    <s v=" "/>
    <s v=" "/>
    <s v=" "/>
    <m/>
    <s v=" "/>
  </r>
  <r>
    <m/>
    <s v="VA"/>
    <s v="Federal"/>
    <s v="Fee Simple"/>
    <s v="2223 Colorado Blvd"/>
    <s v="Denton"/>
    <s v="TX"/>
    <n v="1"/>
    <n v="1995"/>
    <n v="12202"/>
    <n v="12202"/>
    <n v="1"/>
    <n v="219622"/>
    <n v="17.99885264710703"/>
    <n v="175333"/>
    <n v="14.36920177020161"/>
    <d v="2007-05-03T00:00:00"/>
    <d v="2019-12-31T00:00:00"/>
    <d v="2019-12-31T00:00:00"/>
    <n v="4.402739726027397"/>
    <n v="4.402739726027397"/>
    <s v="Modified Gross"/>
    <s v="in 2017"/>
    <s v="None"/>
    <m/>
    <s v=" "/>
    <s v=" "/>
    <m/>
    <d v="2015-08-07T00:00:00"/>
    <x v="1368"/>
    <s v="M&amp;M; Ficke &amp; Wolfe"/>
    <x v="985"/>
    <s v="NV"/>
    <s v="Private"/>
    <m/>
    <m/>
    <n v="1995000"/>
    <n v="0.08788621553884712"/>
    <s v=" "/>
    <n v="1995000"/>
    <n v="0.08788621553884712"/>
    <s v=" "/>
    <s v="No"/>
    <d v="2015-01-23T00:00:00"/>
    <n v="196"/>
  </r>
  <r>
    <m/>
    <s v="DOJ"/>
    <s v="Federal"/>
    <s v="Fee Simple"/>
    <s v="520 Denison St"/>
    <s v="Muskogee"/>
    <s v="OK"/>
    <n v="4"/>
    <n v="2013"/>
    <n v="33119"/>
    <n v="33119"/>
    <n v="1"/>
    <n v="1234574"/>
    <n v="37.27691053473837"/>
    <n v="882247"/>
    <n v="26.63869682055618"/>
    <d v="2013-08-01T00:00:00"/>
    <d v="2028-07-31T00:00:00"/>
    <d v="2023-07-31T00:00:00"/>
    <n v="12.9972602739726"/>
    <n v="7.991780821917808"/>
    <s v="Modified Gross"/>
    <s v="None"/>
    <s v="None"/>
    <m/>
    <s v=" "/>
    <s v=" "/>
    <m/>
    <d v="2015-08-05T00:00:00"/>
    <x v="8"/>
    <m/>
    <x v="2"/>
    <s v="VA"/>
    <s v="Private"/>
    <m/>
    <m/>
    <m/>
    <s v=" "/>
    <s v=" "/>
    <m/>
    <s v=" "/>
    <s v=" "/>
    <s v=" "/>
    <m/>
    <s v=" "/>
  </r>
  <r>
    <m/>
    <s v="UofA Med Sci"/>
    <s v="State"/>
    <s v="Fee Simple"/>
    <s v="333 Executive Ct"/>
    <s v="Little Rock"/>
    <s v="AR"/>
    <n v="2.3"/>
    <n v="1983"/>
    <n v="28448"/>
    <n v="32000"/>
    <n v="0.889"/>
    <m/>
    <s v=" "/>
    <m/>
    <s v=" "/>
    <m/>
    <m/>
    <m/>
    <s v=" "/>
    <s v=" "/>
    <m/>
    <m/>
    <m/>
    <n v="4500000"/>
    <n v="140.625"/>
    <s v=" "/>
    <m/>
    <d v="2015-08-04T00:00:00"/>
    <x v="1369"/>
    <m/>
    <x v="429"/>
    <s v="NY"/>
    <s v="Private"/>
    <s v="GEM; Musinky"/>
    <m/>
    <m/>
    <s v=" "/>
    <s v=" "/>
    <m/>
    <s v=" "/>
    <s v=" "/>
    <s v=" "/>
    <m/>
    <s v=" "/>
  </r>
  <r>
    <s v="LAZ02808"/>
    <s v="FS"/>
    <s v="Federal"/>
    <s v="Fee Simple"/>
    <s v="2324 E McDowell Rd"/>
    <s v="Phoenix"/>
    <s v="AZ"/>
    <n v="3.9"/>
    <n v="1984"/>
    <n v="32162"/>
    <n v="32162"/>
    <n v="1"/>
    <n v="608439.04"/>
    <n v="18.91794788881289"/>
    <n v="374850"/>
    <n v="11.65505876500218"/>
    <d v="2015-09-01T00:00:00"/>
    <d v="2027-08-31T00:00:00"/>
    <d v="2022-09-01T00:00:00"/>
    <n v="12.08219178082192"/>
    <n v="7.082191780821918"/>
    <s v="Modified Gross"/>
    <s v="None"/>
    <s v="None"/>
    <n v="4900000"/>
    <n v="152.3537093464337"/>
    <n v="0.0765"/>
    <m/>
    <d v="2015-08-04T00:00:00"/>
    <x v="1370"/>
    <s v="Newmark; Galls"/>
    <x v="1"/>
    <s v="IL"/>
    <s v="Private"/>
    <m/>
    <m/>
    <m/>
    <s v=" "/>
    <s v=" "/>
    <m/>
    <s v=" "/>
    <s v=" "/>
    <s v=" "/>
    <m/>
    <s v=" "/>
  </r>
  <r>
    <s v="LIL18115"/>
    <s v="MS"/>
    <s v="Federal"/>
    <s v="Fee Simple"/>
    <s v="700 N Sacramento Blvd"/>
    <s v="Chicago"/>
    <s v="IL"/>
    <n v="3.1"/>
    <n v="1898"/>
    <n v="43644"/>
    <n v="149585"/>
    <n v="0.2917672226493298"/>
    <n v="1283091.19"/>
    <n v="29.39902827421868"/>
    <m/>
    <s v=" "/>
    <d v="2009-06-18T00:00:00"/>
    <d v="2019-06-30T00:00:00"/>
    <d v="2019-06-30T00:00:00"/>
    <n v="3.90958904109589"/>
    <n v="3.90958904109589"/>
    <s v="FS"/>
    <m/>
    <s v="None"/>
    <n v="23000000"/>
    <n v="153.7587324932313"/>
    <s v=" "/>
    <m/>
    <d v="2015-08-03T00:00:00"/>
    <x v="1371"/>
    <s v="Direct"/>
    <x v="986"/>
    <s v="CA"/>
    <s v="Institutional"/>
    <m/>
    <m/>
    <m/>
    <s v=" "/>
    <s v=" "/>
    <m/>
    <s v=" "/>
    <s v=" "/>
    <s v=" "/>
    <m/>
    <s v=" "/>
  </r>
  <r>
    <s v="LGA46051"/>
    <s v="SSA"/>
    <s v="Federal"/>
    <s v="Fee Simple"/>
    <s v="480 Riverside Pky NE"/>
    <s v="Rome"/>
    <s v="GA"/>
    <n v="2.53"/>
    <n v="2008"/>
    <n v="14300"/>
    <n v="14300"/>
    <n v="1"/>
    <n v="301594.25"/>
    <n v="21.09050699300699"/>
    <n v="169103.84"/>
    <n v="11.82544335664336"/>
    <d v="2008-03-01T00:00:00"/>
    <d v="2018-02-28T00:00:00"/>
    <d v="2013-03-01T00:00:00"/>
    <n v="2.575342465753425"/>
    <n v="-2.424657534246575"/>
    <s v="Modified Gross"/>
    <s v="None"/>
    <s v="None"/>
    <n v="1860000"/>
    <n v="130.0699300699301"/>
    <n v="0.09091604301075271"/>
    <m/>
    <d v="2015-08-03T00:00:00"/>
    <x v="1268"/>
    <s v="Chip Mack"/>
    <x v="907"/>
    <s v="GA"/>
    <s v="Private"/>
    <s v="Colliers; Cottle"/>
    <m/>
    <n v="2050000"/>
    <n v="0.0824896780487805"/>
    <n v="0.9073170731707317"/>
    <n v="2050000"/>
    <n v="0.0824896780487805"/>
    <n v="0.008426364961972202"/>
    <s v="No"/>
    <d v="2014-10-02T00:00:00"/>
    <n v="305"/>
  </r>
  <r>
    <s v="LWV80708"/>
    <s v="CG"/>
    <s v="Federal"/>
    <s v="Fee Simple"/>
    <s v="408 Coast Guard Dr"/>
    <s v="Kearneysville"/>
    <s v="WV"/>
    <n v="12.5"/>
    <n v="1991"/>
    <n v="117776"/>
    <n v="117776"/>
    <n v="1"/>
    <n v="3118179"/>
    <n v="26.47550434723543"/>
    <n v="1800000"/>
    <n v="15.2832495584839"/>
    <d v="1999-01-10T00:00:00"/>
    <d v="2020-02-09T00:00:00"/>
    <d v="2020-02-09T00:00:00"/>
    <n v="4.528767123287671"/>
    <n v="4.528767123287671"/>
    <s v="Modified Gross"/>
    <s v="None"/>
    <s v="None"/>
    <n v="25000000"/>
    <n v="212.2673549789431"/>
    <n v="0.07199999999999999"/>
    <m/>
    <d v="2015-08-01T00:00:00"/>
    <x v="1372"/>
    <s v="JLL; Mark Rampulla"/>
    <x v="1"/>
    <s v="IL"/>
    <s v="Private"/>
    <m/>
    <m/>
    <m/>
    <s v=" "/>
    <s v=" "/>
    <m/>
    <s v=" "/>
    <s v=" "/>
    <s v=" "/>
    <m/>
    <s v=" "/>
  </r>
  <r>
    <s v="LCO14772"/>
    <s v="Dep't of Energy"/>
    <s v="Federal"/>
    <s v="Fee Simple"/>
    <s v="12155 W Alameda Pky"/>
    <s v="Lakewood"/>
    <s v="CO"/>
    <n v="5.71"/>
    <n v="1999"/>
    <n v="115650"/>
    <n v="115560"/>
    <n v="1.000778816199377"/>
    <n v="2058570"/>
    <n v="17.8"/>
    <n v="1300050"/>
    <n v="11.25"/>
    <d v="2014-11-05T00:00:00"/>
    <d v="2029-11-04T00:00:00"/>
    <d v="2027-11-04T00:00:00"/>
    <n v="14.27123287671233"/>
    <n v="12.26849315068493"/>
    <s v="FS"/>
    <m/>
    <s v="None"/>
    <n v="20250000"/>
    <n v="175.2336448598131"/>
    <n v="0.06419999999999999"/>
    <m/>
    <d v="2015-08-01T00:00:00"/>
    <x v="1373"/>
    <s v="M&amp;M; Saia"/>
    <x v="3"/>
    <s v="DC"/>
    <s v="REIT"/>
    <m/>
    <m/>
    <m/>
    <s v=" "/>
    <s v=" "/>
    <m/>
    <s v=" "/>
    <s v=" "/>
    <s v=" "/>
    <m/>
    <s v=" "/>
  </r>
  <r>
    <s v="LNY23753"/>
    <s v="CBP"/>
    <s v="Federal"/>
    <s v="Fee Simple"/>
    <s v="4551 State Route 11 East"/>
    <s v="Malone"/>
    <s v="NY"/>
    <n v="10"/>
    <n v="2011"/>
    <n v="29100"/>
    <n v="29100"/>
    <n v="1"/>
    <n v="986413.87"/>
    <n v="33.89738384879725"/>
    <m/>
    <s v=" "/>
    <d v="2011-07-01T00:00:00"/>
    <d v="2031-06-30T00:00:00"/>
    <d v="2026-07-01T00:00:00"/>
    <n v="15.92328767123288"/>
    <n v="10.92328767123288"/>
    <s v="Modified Gross"/>
    <s v="None"/>
    <s v="None"/>
    <n v="9247630.03125"/>
    <n v="317.7879735824743"/>
    <s v=" "/>
    <m/>
    <d v="2015-08-01T00:00:00"/>
    <x v="461"/>
    <m/>
    <x v="987"/>
    <m/>
    <s v="Private"/>
    <m/>
    <m/>
    <m/>
    <s v=" "/>
    <s v=" "/>
    <m/>
    <s v=" "/>
    <s v=" "/>
    <s v=" "/>
    <m/>
    <s v=" "/>
  </r>
  <r>
    <s v="LMT13960"/>
    <s v="CBP"/>
    <s v="Federal"/>
    <s v="Fee Simple"/>
    <s v="10 Airport Rd"/>
    <s v="Shelby"/>
    <s v="MT"/>
    <n v="8.42"/>
    <n v="1985"/>
    <n v="16292"/>
    <n v="16292"/>
    <n v="1"/>
    <n v="339793.9"/>
    <n v="20.85648784679598"/>
    <n v="250800"/>
    <n v="15.39405843358704"/>
    <d v="2005-06-01T00:00:00"/>
    <d v="2025-05-31T00:00:00"/>
    <d v="2024-04-30T00:00:00"/>
    <n v="9.838356164383562"/>
    <n v="8.753424657534246"/>
    <s v="Modified Gross"/>
    <m/>
    <s v="None"/>
    <n v="3300000"/>
    <n v="202.5534004419347"/>
    <n v="0.076"/>
    <m/>
    <d v="2015-08-01T00:00:00"/>
    <x v="1196"/>
    <s v="M&amp;M"/>
    <x v="988"/>
    <s v="CT"/>
    <s v="Private"/>
    <m/>
    <m/>
    <m/>
    <s v=" "/>
    <s v=" "/>
    <m/>
    <s v=" "/>
    <s v=" "/>
    <s v=" "/>
    <m/>
    <s v=" "/>
  </r>
  <r>
    <s v="LTX16503"/>
    <s v="DHS"/>
    <s v="Federal"/>
    <s v="Fee Simple"/>
    <s v="1545 Hawkins Blvd"/>
    <s v="El Paso"/>
    <s v="TX"/>
    <n v="2.65"/>
    <n v="1993"/>
    <n v="53419"/>
    <n v="53419"/>
    <n v="1"/>
    <n v="1008169.55"/>
    <n v="18.87286452385855"/>
    <n v="438129"/>
    <n v="8.201744697579512"/>
    <d v="2010-02-09T00:00:00"/>
    <d v="2020-02-08T00:00:00"/>
    <d v="2013-02-08T00:00:00"/>
    <n v="4.528767123287671"/>
    <n v="-2.473972602739726"/>
    <s v="Modified Gross"/>
    <s v="None"/>
    <s v="None"/>
    <m/>
    <s v=" "/>
    <s v=" "/>
    <m/>
    <d v="2015-07-31T00:00:00"/>
    <x v="104"/>
    <m/>
    <x v="84"/>
    <s v="IL"/>
    <s v="Private"/>
    <m/>
    <m/>
    <m/>
    <s v=" "/>
    <s v=" "/>
    <m/>
    <s v=" "/>
    <s v=" "/>
    <s v=" "/>
    <m/>
    <s v=" "/>
  </r>
  <r>
    <m/>
    <s v="Multi"/>
    <s v="Federal"/>
    <s v="Fee Simple"/>
    <s v="Portfolio of Two"/>
    <s v="Elkridge"/>
    <s v="MD"/>
    <n v="15.49"/>
    <n v="2001"/>
    <n v="131730"/>
    <n v="131730"/>
    <n v="1"/>
    <m/>
    <s v=" "/>
    <n v="2331680"/>
    <n v="17.70044788582707"/>
    <m/>
    <d v="2026-09-30T00:00:00"/>
    <d v="2021-09-30T00:00:00"/>
    <n v="11.17808219178082"/>
    <n v="6.175342465753425"/>
    <m/>
    <m/>
    <m/>
    <n v="30400000"/>
    <n v="230.7750702193881"/>
    <n v="0.0767"/>
    <m/>
    <d v="2015-07-30T00:00:00"/>
    <x v="1374"/>
    <s v="TW; Watts"/>
    <x v="1"/>
    <s v="IL"/>
    <s v="Private"/>
    <m/>
    <m/>
    <m/>
    <s v=" "/>
    <s v=" "/>
    <m/>
    <s v=" "/>
    <s v=" "/>
    <s v=" "/>
    <m/>
    <s v=" "/>
  </r>
  <r>
    <m/>
    <s v="ACOE/FS"/>
    <s v="Federal"/>
    <s v="Fee Simple"/>
    <s v="308 SW 2nd Ave"/>
    <s v="Portland"/>
    <s v="OR"/>
    <n v="0.93"/>
    <n v="1991"/>
    <n v="126500"/>
    <n v="362153"/>
    <n v="0.3492998815417793"/>
    <m/>
    <s v=" "/>
    <n v="6675836"/>
    <n v="18.43374485369443"/>
    <d v="2011-10-01T00:00:00"/>
    <d v="2031-09-30T00:00:00"/>
    <d v="2026-09-30T00:00:00"/>
    <n v="16.18082191780822"/>
    <n v="11.17808219178082"/>
    <s v="Modified Gross"/>
    <s v="None"/>
    <s v="None"/>
    <n v="155252000"/>
    <n v="428.6917407835915"/>
    <n v="0.043"/>
    <m/>
    <d v="2015-07-30T00:00:00"/>
    <x v="1247"/>
    <s v="Eastdil"/>
    <x v="989"/>
    <s v="NJ"/>
    <s v="Institutional"/>
    <m/>
    <m/>
    <m/>
    <s v=" "/>
    <s v=" "/>
    <m/>
    <s v=" "/>
    <s v=" "/>
    <s v=" "/>
    <m/>
    <s v=" "/>
  </r>
  <r>
    <s v="LTX15205"/>
    <s v="SSA"/>
    <s v="Federal"/>
    <s v="Fee Simple"/>
    <s v="8028 NE Zac Lentz Pkwy"/>
    <s v="Victoria"/>
    <s v="TX"/>
    <n v="5"/>
    <n v="2003"/>
    <n v="11899"/>
    <n v="11899"/>
    <n v="1"/>
    <n v="233415.06"/>
    <n v="19.61635935792924"/>
    <n v="139953"/>
    <n v="11.76174468442726"/>
    <d v="2003-12-23T00:00:00"/>
    <d v="2018-12-22T00:00:00"/>
    <d v="2013-10-22T00:00:00"/>
    <n v="3.4"/>
    <n v="-1.76986301369863"/>
    <s v="Modified Gross"/>
    <s v="None"/>
    <s v="None"/>
    <n v="1600000"/>
    <n v="134.465081099252"/>
    <n v="0.087470625"/>
    <m/>
    <d v="2015-07-30T00:00:00"/>
    <x v="1375"/>
    <s v="Charlie Aycock"/>
    <x v="990"/>
    <s v="TX"/>
    <s v="Private"/>
    <s v="CB; Swearingen"/>
    <m/>
    <n v="1805845"/>
    <n v="0.07750000692196728"/>
    <n v="0.886011811644964"/>
    <n v="1805845"/>
    <n v="0.07750000692196728"/>
    <n v="0.00997061807803272"/>
    <s v="No"/>
    <d v="2015-03-07T00:00:00"/>
    <n v="145"/>
  </r>
  <r>
    <m/>
    <s v="VA"/>
    <s v="Federal"/>
    <s v="Fee Simple"/>
    <s v="16019 Nacogdoches"/>
    <s v="San Antonio"/>
    <s v="TX"/>
    <n v="3.02"/>
    <n v="2016"/>
    <n v="11490"/>
    <n v="29900"/>
    <n v="0.3842809364548495"/>
    <m/>
    <s v=" "/>
    <m/>
    <s v=" "/>
    <d v="2015-09-01T00:00:00"/>
    <d v="2025-08-30T00:00:00"/>
    <d v="2025-08-30T00:00:00"/>
    <n v="10.0958904109589"/>
    <n v="10.0958904109589"/>
    <s v="Modified Gross"/>
    <s v="None"/>
    <s v="None"/>
    <n v="3456300"/>
    <n v="115.5953177257525"/>
    <s v=" "/>
    <m/>
    <d v="2015-07-29T00:00:00"/>
    <x v="8"/>
    <m/>
    <x v="991"/>
    <s v="TX"/>
    <s v="Private"/>
    <m/>
    <m/>
    <m/>
    <s v=" "/>
    <s v=" "/>
    <m/>
    <s v=" "/>
    <s v=" "/>
    <s v=" "/>
    <m/>
    <s v=" "/>
  </r>
  <r>
    <s v="LWY14581"/>
    <s v="BLM"/>
    <s v="Federal"/>
    <s v="Fee Simple"/>
    <s v="430 North US Highway 189"/>
    <s v="Kemmerer"/>
    <s v="WY"/>
    <n v="13.13"/>
    <n v="2007"/>
    <n v="9537"/>
    <n v="13087"/>
    <n v="0.7287384427294261"/>
    <n v="204779.84"/>
    <n v="21.47214428017196"/>
    <n v="156415"/>
    <n v="11.95193703675403"/>
    <d v="2014-08-26T00:00:00"/>
    <d v="2034-08-25T00:00:00"/>
    <d v="2029-08-25T00:00:00"/>
    <n v="19.09041095890411"/>
    <n v="14.08767123287671"/>
    <s v="Modified Gross"/>
    <s v="None"/>
    <s v="1, 1 year"/>
    <n v="2100000"/>
    <n v="160.4645831741423"/>
    <n v="0.07448333333333333"/>
    <m/>
    <d v="2015-07-28T00:00:00"/>
    <x v="1376"/>
    <s v="CIA; Justin Zahn"/>
    <x v="174"/>
    <s v="WI"/>
    <s v="Private"/>
    <m/>
    <m/>
    <m/>
    <s v=" "/>
    <s v=" "/>
    <m/>
    <s v=" "/>
    <s v=" "/>
    <s v=" "/>
    <m/>
    <s v=" "/>
  </r>
  <r>
    <s v="LMI18338"/>
    <s v="SSA"/>
    <s v="Federal"/>
    <s v="Fee Simple"/>
    <s v="19575 Victor Pky"/>
    <s v="Livonia"/>
    <s v="MI"/>
    <n v="4.61"/>
    <n v="1998"/>
    <n v="19085"/>
    <n v="80594"/>
    <n v="0.2368042286026255"/>
    <n v="367196"/>
    <n v="19.24003143830233"/>
    <m/>
    <s v=" "/>
    <d v="2010-07-01T00:00:00"/>
    <d v="2020-06-30T00:00:00"/>
    <d v="2015-07-01T00:00:00"/>
    <n v="4.928767123287671"/>
    <n v="-0.07397260273972603"/>
    <s v="Modified Gross"/>
    <s v="None"/>
    <s v="None"/>
    <n v="8200000"/>
    <n v="101.7445467404521"/>
    <s v=" "/>
    <m/>
    <d v="2015-07-28T00:00:00"/>
    <x v="1377"/>
    <s v="CBRE; Kohn"/>
    <x v="992"/>
    <s v="FL"/>
    <s v="Private"/>
    <m/>
    <m/>
    <m/>
    <s v=" "/>
    <s v=" "/>
    <m/>
    <s v=" "/>
    <s v=" "/>
    <s v=" "/>
    <m/>
    <s v=" "/>
  </r>
  <r>
    <m/>
    <s v="FBI"/>
    <s v="Federal"/>
    <s v="Fee Simple"/>
    <s v="94 S Acoma Blvd"/>
    <s v="Lake Havasu City"/>
    <s v="AZ"/>
    <n v="1.72"/>
    <n v="2002"/>
    <n v="5137"/>
    <n v="24210"/>
    <n v="0.2121850475010326"/>
    <m/>
    <s v=" "/>
    <m/>
    <s v=" "/>
    <m/>
    <m/>
    <m/>
    <s v=" "/>
    <s v=" "/>
    <m/>
    <m/>
    <m/>
    <n v="3350000"/>
    <n v="138.3725733168112"/>
    <s v=" "/>
    <m/>
    <d v="2015-07-23T00:00:00"/>
    <x v="1378"/>
    <m/>
    <x v="993"/>
    <s v="AZ"/>
    <s v="Private"/>
    <m/>
    <m/>
    <n v="4500000"/>
    <s v=" "/>
    <n v="0.7444444444444445"/>
    <n v="4500000"/>
    <s v=" "/>
    <s v=" "/>
    <s v="No"/>
    <d v="2013-05-31T00:00:00"/>
    <n v="783"/>
  </r>
  <r>
    <s v="LVA03396"/>
    <s v="SSA"/>
    <s v="Federal"/>
    <s v="Fee Simple"/>
    <s v="324 Commerce Rd"/>
    <s v="Farmville"/>
    <s v="VA"/>
    <n v="2"/>
    <n v="2005"/>
    <n v="8086"/>
    <n v="12800"/>
    <n v="0.63171875"/>
    <n v="138533.72"/>
    <n v="17.13254019292604"/>
    <m/>
    <s v=" "/>
    <d v="2005-10-01T00:00:00"/>
    <d v="2020-09-30T00:00:00"/>
    <d v="2017-10-01T00:00:00"/>
    <n v="5.2"/>
    <n v="2.2"/>
    <s v="Modified Gross"/>
    <s v="None"/>
    <s v="None"/>
    <n v="1100000"/>
    <n v="85.9375"/>
    <s v=" "/>
    <m/>
    <d v="2015-07-21T00:00:00"/>
    <x v="1379"/>
    <s v="Tranzon Fox"/>
    <x v="994"/>
    <s v="VA"/>
    <s v="Private"/>
    <m/>
    <m/>
    <m/>
    <s v=" "/>
    <s v=" "/>
    <m/>
    <s v=" "/>
    <s v=" "/>
    <s v=" "/>
    <m/>
    <s v=" "/>
  </r>
  <r>
    <s v="LOK15481"/>
    <s v="SSA"/>
    <s v="Federal"/>
    <s v="Fee Simple"/>
    <s v="2400 E Jackson St"/>
    <s v="Hugo"/>
    <s v="OK"/>
    <n v="2"/>
    <n v="2005"/>
    <n v="6610"/>
    <n v="6610"/>
    <n v="1"/>
    <n v="144786.6"/>
    <n v="21.90417549167928"/>
    <n v="92852"/>
    <n v="14.04720121028744"/>
    <d v="2005-10-12T00:00:00"/>
    <d v="2020-10-11T00:00:00"/>
    <d v="2015-10-12T00:00:00"/>
    <n v="5.232876712328767"/>
    <n v="0.2301369863013699"/>
    <s v="Modified Gross"/>
    <s v="None"/>
    <s v="None"/>
    <m/>
    <s v=" "/>
    <s v=" "/>
    <m/>
    <d v="2015-07-20T00:00:00"/>
    <x v="921"/>
    <s v="FORECLOSURE"/>
    <x v="974"/>
    <s v="CT"/>
    <s v="Institutional"/>
    <m/>
    <m/>
    <m/>
    <s v=" "/>
    <s v=" "/>
    <m/>
    <s v=" "/>
    <s v=" "/>
    <s v=" "/>
    <m/>
    <s v=" "/>
  </r>
  <r>
    <s v="LPA00335"/>
    <s v="USGS"/>
    <s v="Federal"/>
    <s v="Fee Simple"/>
    <s v="215 Limekiln St"/>
    <s v="New Cumberland"/>
    <s v="PA"/>
    <n v="0.15"/>
    <n v="2001"/>
    <n v="30480"/>
    <n v="30279"/>
    <n v="1.006638264143466"/>
    <n v="507700.93"/>
    <n v="16.65685465879265"/>
    <n v="455766.33"/>
    <n v="15.0522253046666"/>
    <d v="2001-04-16T00:00:00"/>
    <d v="2016-04-15T00:00:00"/>
    <d v="2011-04-16T00:00:00"/>
    <n v="0.7397260273972602"/>
    <n v="-4.263013698630137"/>
    <s v="Modified Gross"/>
    <s v="None"/>
    <s v="None"/>
    <n v="3027350"/>
    <n v="99.98183559562733"/>
    <n v="0.1505495994846978"/>
    <m/>
    <d v="2015-07-20T00:00:00"/>
    <x v="1380"/>
    <s v="Landmark; Jason Grace"/>
    <x v="995"/>
    <s v="PA"/>
    <s v="Private"/>
    <m/>
    <m/>
    <m/>
    <s v=" "/>
    <s v=" "/>
    <m/>
    <s v=" "/>
    <s v=" "/>
    <s v=" "/>
    <m/>
    <s v=" "/>
  </r>
  <r>
    <s v="LNC41121"/>
    <s v="Multi"/>
    <s v="Federal"/>
    <s v="Fee Simple"/>
    <s v="4405 Bland Rd"/>
    <s v="Raleigh"/>
    <s v="NC"/>
    <n v="17.45"/>
    <n v="1987"/>
    <n v="64238"/>
    <n v="64238"/>
    <n v="1"/>
    <n v="1412153.95"/>
    <n v="21.98315560882966"/>
    <n v="1296064.15"/>
    <n v="20.17597294436315"/>
    <d v="2009-09-01T00:00:00"/>
    <d v="2019-08-31T00:00:00"/>
    <d v="2014-09-01T00:00:00"/>
    <n v="4.117808219178082"/>
    <n v="-0.8821917808219178"/>
    <s v="FS"/>
    <m/>
    <s v="None"/>
    <n v="13238943.28125"/>
    <n v="206.0920838327781"/>
    <n v="0.09789785502258212"/>
    <m/>
    <d v="2015-07-20T00:00:00"/>
    <x v="1381"/>
    <s v="Direct"/>
    <x v="996"/>
    <m/>
    <s v="Private"/>
    <m/>
    <m/>
    <m/>
    <s v=" "/>
    <s v=" "/>
    <m/>
    <s v=" "/>
    <s v=" "/>
    <s v=" "/>
    <m/>
    <s v=" "/>
  </r>
  <r>
    <m/>
    <s v="BLM, Multi"/>
    <s v="Federal &amp; State"/>
    <s v="Leasehold"/>
    <s v="1 N Central Ave"/>
    <s v="Phoenix"/>
    <s v="AZ"/>
    <n v="1.26"/>
    <n v="2001"/>
    <n v="237000"/>
    <n v="409889"/>
    <n v="0.5782053190009978"/>
    <m/>
    <s v=" "/>
    <n v="6563000"/>
    <n v="16.01165193503607"/>
    <m/>
    <d v="2021-07-31T00:00:00"/>
    <d v="2021-07-31T00:00:00"/>
    <n v="6.038356164383561"/>
    <n v="6.038356164383561"/>
    <s v="Full Service"/>
    <s v="None"/>
    <s v="None"/>
    <n v="93750000"/>
    <n v="228.7204584655846"/>
    <n v="0.07000533333333334"/>
    <m/>
    <d v="2015-07-19T00:00:00"/>
    <x v="1382"/>
    <s v="Eastdil"/>
    <x v="997"/>
    <s v="CA"/>
    <s v="Private"/>
    <m/>
    <m/>
    <m/>
    <s v=" "/>
    <s v=" "/>
    <m/>
    <s v=" "/>
    <s v=" "/>
    <s v=" "/>
    <d v="2014-08-31T00:00:00"/>
    <n v="322"/>
  </r>
  <r>
    <m/>
    <s v="USPS"/>
    <s v="Federal"/>
    <s v="Fee Simple"/>
    <s v="300 Highway 63 N"/>
    <s v="Hardy"/>
    <s v="AR"/>
    <n v="0.93"/>
    <m/>
    <n v="4630"/>
    <n v="4630"/>
    <n v="1"/>
    <m/>
    <s v=" "/>
    <n v="41370"/>
    <n v="8.935205183585314"/>
    <d v="2015-03-01T00:00:00"/>
    <d v="2020-02-28T00:00:00"/>
    <d v="2020-02-28T00:00:00"/>
    <n v="4.627397260273972"/>
    <n v="4.627397260273972"/>
    <s v="Rider"/>
    <s v="Option"/>
    <s v="1, 5 year"/>
    <n v="575000"/>
    <n v="124.1900647948164"/>
    <n v="0.07194782608695652"/>
    <m/>
    <d v="2015-07-15T00:00:00"/>
    <x v="1383"/>
    <s v="TCP; Harrison"/>
    <x v="998"/>
    <s v="TN"/>
    <s v="Private"/>
    <m/>
    <m/>
    <n v="591000"/>
    <n v="0.07000000000000001"/>
    <n v="0.9729272419627749"/>
    <n v="591000"/>
    <n v="0.07000000000000001"/>
    <n v="0.001947826086956511"/>
    <s v="No"/>
    <d v="2015-03-16T00:00:00"/>
    <n v="121"/>
  </r>
  <r>
    <s v="LMI18615"/>
    <s v="Bankrupty Court"/>
    <s v="Federal"/>
    <s v="Fee Simple"/>
    <s v="101-115 1st St"/>
    <s v="Bay City"/>
    <s v="MI"/>
    <n v="2.8"/>
    <n v="2000"/>
    <n v="39834"/>
    <n v="39834"/>
    <n v="1"/>
    <n v="836106"/>
    <n v="20.98975749359843"/>
    <n v="542548"/>
    <n v="13.62022392930662"/>
    <d v="2000-08-01T00:00:00"/>
    <d v="2017-07-31T00:00:00"/>
    <d v="2012-07-31T00:00:00"/>
    <n v="2.06027397260274"/>
    <n v="-2.942465753424658"/>
    <s v="Modified Gross"/>
    <s v="None"/>
    <s v="None"/>
    <n v="5400000"/>
    <n v="135.5625847266155"/>
    <n v="0.1004718518518519"/>
    <m/>
    <d v="2015-07-10T00:00:00"/>
    <x v="1384"/>
    <s v="M&amp;M; Danielak"/>
    <x v="692"/>
    <s v="TX"/>
    <s v="Private"/>
    <s v="Newmark; Strange"/>
    <m/>
    <n v="5915000"/>
    <n v="0.09172409129332207"/>
    <n v="0.9129332206255283"/>
    <n v="5915000"/>
    <n v="0.09172409129332207"/>
    <n v="0.008747760558529785"/>
    <s v="No"/>
    <d v="2014-04-11T00:00:00"/>
    <n v="455"/>
  </r>
  <r>
    <s v="LDC01944"/>
    <s v="FEC"/>
    <s v="Municipal"/>
    <s v="Fee Simple"/>
    <s v="999 E St NW"/>
    <s v="Washington"/>
    <s v="DC"/>
    <n v="0.5"/>
    <n v="1931"/>
    <n v="136957"/>
    <n v="174072"/>
    <n v="0.7867836297623971"/>
    <n v="5355528.92"/>
    <n v="39.10372540286367"/>
    <n v="4175000"/>
    <n v="23.98432832391195"/>
    <d v="2007-10-01T00:00:00"/>
    <d v="2017-09-30T00:00:00"/>
    <d v="2017-09-30T00:00:00"/>
    <n v="2.23013698630137"/>
    <n v="2.23013698630137"/>
    <s v="N"/>
    <m/>
    <s v="None"/>
    <n v="83500000"/>
    <n v="479.6865664782389"/>
    <n v="0.05"/>
    <m/>
    <d v="2015-07-09T00:00:00"/>
    <x v="1385"/>
    <s v="Eastdil"/>
    <x v="999"/>
    <s v="NY"/>
    <s v="Institutional"/>
    <m/>
    <m/>
    <m/>
    <s v=" "/>
    <s v=" "/>
    <m/>
    <s v=" "/>
    <s v=" "/>
    <s v=" "/>
    <m/>
    <s v=" "/>
  </r>
  <r>
    <m/>
    <s v="HHSC/DFPS"/>
    <s v="State"/>
    <s v="Fee Simple"/>
    <s v="2505 Stone Hollow"/>
    <s v="Brenham"/>
    <s v="TX"/>
    <n v="1.5"/>
    <n v="1992"/>
    <n v="10368"/>
    <n v="10368"/>
    <n v="1"/>
    <n v="72075"/>
    <n v="6.95167824074074"/>
    <n v="45546"/>
    <n v="4.392939814814815"/>
    <d v="1997-09-01T00:00:00"/>
    <d v="2012-08-31T00:00:00"/>
    <m/>
    <n v="-2.852054794520548"/>
    <s v=" "/>
    <s v="Modified Gross"/>
    <s v="None"/>
    <s v="None"/>
    <m/>
    <s v=" "/>
    <s v=" "/>
    <m/>
    <d v="2015-07-08T00:00:00"/>
    <x v="921"/>
    <m/>
    <x v="974"/>
    <s v="CT"/>
    <s v="Institutional"/>
    <m/>
    <m/>
    <m/>
    <s v=" "/>
    <s v=" "/>
    <m/>
    <s v=" "/>
    <s v=" "/>
    <s v=" "/>
    <m/>
    <s v=" "/>
  </r>
  <r>
    <m/>
    <s v="USPS"/>
    <s v="Federal"/>
    <s v="Fee Simple"/>
    <s v="92441 US Highway 93"/>
    <s v="Arlee"/>
    <s v="MT"/>
    <n v="0.64"/>
    <n v="1997"/>
    <n v="4612"/>
    <n v="4612"/>
    <n v="1"/>
    <m/>
    <s v=" "/>
    <n v="52705"/>
    <n v="11.42779705117086"/>
    <m/>
    <d v="2018-05-30T00:00:00"/>
    <d v="2018-05-30T00:00:00"/>
    <n v="2.898630136986301"/>
    <n v="2.898630136986301"/>
    <s v="Rider"/>
    <s v="Options"/>
    <s v="2, 5 year"/>
    <n v="585000"/>
    <n v="126.8430182133565"/>
    <n v="0.0900940170940171"/>
    <m/>
    <d v="2015-07-07T00:00:00"/>
    <x v="1386"/>
    <s v="Avery Postal Group; Agnew"/>
    <x v="1000"/>
    <m/>
    <s v="Private"/>
    <m/>
    <m/>
    <n v="635000"/>
    <n v="0.083"/>
    <n v="0.9212598425196851"/>
    <n v="635000"/>
    <n v="0.083"/>
    <n v="0.007094017094017094"/>
    <s v="No"/>
    <d v="2015-04-06T00:00:00"/>
    <n v="92"/>
  </r>
  <r>
    <s v="LAZ01187"/>
    <s v="ICE"/>
    <s v="Federal"/>
    <s v="Fee Simple"/>
    <s v="2334 East Highway 80"/>
    <s v="Douglas"/>
    <s v="AZ"/>
    <n v="3.49"/>
    <n v="2003"/>
    <n v="16151"/>
    <n v="16151"/>
    <n v="1"/>
    <n v="571592.08"/>
    <n v="35.39050708934431"/>
    <n v="384100"/>
    <n v="23.78180917590242"/>
    <d v="2003-07-18T00:00:00"/>
    <d v="2018-07-17T00:00:00"/>
    <d v="2013-07-17T00:00:00"/>
    <n v="3.03013698630137"/>
    <n v="-1.972602739726027"/>
    <s v="Modified Gross"/>
    <s v="None"/>
    <s v="None"/>
    <n v="4550000"/>
    <n v="281.7163023961365"/>
    <n v="0.08441758241758242"/>
    <m/>
    <d v="2015-07-07T00:00:00"/>
    <x v="921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5530 Dunsmuir Ave"/>
    <s v="Dunsmuir"/>
    <s v="CA"/>
    <n v="0.21"/>
    <n v="1958"/>
    <n v="4851"/>
    <n v="4851"/>
    <n v="1"/>
    <m/>
    <s v=" "/>
    <m/>
    <s v=" "/>
    <m/>
    <m/>
    <m/>
    <s v=" "/>
    <s v=" "/>
    <m/>
    <m/>
    <m/>
    <n v="500000"/>
    <n v="103.0715316429602"/>
    <s v=" "/>
    <m/>
    <d v="2015-07-07T00:00:00"/>
    <x v="1387"/>
    <s v="Avery Postal Group; Agnew"/>
    <x v="1001"/>
    <s v="TX"/>
    <s v="Private"/>
    <m/>
    <m/>
    <n v="535000"/>
    <s v=" "/>
    <n v="0.9345794392523364"/>
    <n v="535000"/>
    <s v=" "/>
    <s v=" "/>
    <s v="No"/>
    <d v="2010-09-08T00:00:00"/>
    <n v="1763"/>
  </r>
  <r>
    <m/>
    <s v="USPS"/>
    <s v="Federal"/>
    <s v="Fee Simple"/>
    <s v="5530 Dunsmuir Ave"/>
    <s v="Dunsmuir"/>
    <s v="CA"/>
    <n v="0.21"/>
    <n v="1958"/>
    <n v="4851"/>
    <n v="4851"/>
    <n v="1"/>
    <n v="58212"/>
    <n v="12"/>
    <n v="56100"/>
    <n v="11.56462585034014"/>
    <m/>
    <d v="2023-03-31T00:00:00"/>
    <d v="2023-03-31T00:00:00"/>
    <n v="7.736986301369863"/>
    <n v="7.736986301369863"/>
    <s v="Rider"/>
    <s v="10% at option"/>
    <s v="1, 5 yr"/>
    <n v="500000"/>
    <n v="103.0715316429602"/>
    <n v="0.1122"/>
    <m/>
    <d v="2015-07-07T00:00:00"/>
    <x v="1388"/>
    <s v="Avery Postal Group; Agnew"/>
    <x v="1002"/>
    <s v="TX"/>
    <s v="Private"/>
    <m/>
    <m/>
    <n v="535000"/>
    <n v="0.1048598130841121"/>
    <n v="0.9345794392523364"/>
    <n v="535000"/>
    <n v="0.1048598130841121"/>
    <n v="0.00734018691588785"/>
    <s v="No"/>
    <m/>
    <s v=" "/>
  </r>
  <r>
    <s v="LAZ97189"/>
    <s v="DEA"/>
    <s v="Federal"/>
    <s v="Fee Simple"/>
    <s v="1728 Paseo San Luis"/>
    <s v="Sierra Vista"/>
    <s v="AZ"/>
    <n v="0.96"/>
    <n v="1998"/>
    <n v="8052"/>
    <n v="8052"/>
    <n v="1"/>
    <n v="182630"/>
    <n v="22.68132141082961"/>
    <m/>
    <s v=" "/>
    <d v="1998-04-07T00:00:00"/>
    <d v="2013-04-06T00:00:00"/>
    <d v="2008-04-06T00:00:00"/>
    <n v="-2.252054794520548"/>
    <n v="-7.254794520547946"/>
    <s v="Modified Gross"/>
    <s v="None"/>
    <s v="None"/>
    <n v="750000"/>
    <n v="93.14456035767512"/>
    <s v=" "/>
    <m/>
    <d v="2015-07-07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BLM"/>
    <s v="Federal"/>
    <s v="Fee Simple"/>
    <s v="2555 E Gila Ridge Rd"/>
    <s v="Yuma"/>
    <s v="AZ"/>
    <n v="4.88"/>
    <n v="1996"/>
    <n v="32041"/>
    <n v="32041"/>
    <n v="1"/>
    <m/>
    <s v=" "/>
    <n v="240480"/>
    <n v="7.505383727099654"/>
    <d v="1996-04-19T00:00:00"/>
    <d v="2016-04-18T00:00:00"/>
    <d v="2011-04-18T00:00:00"/>
    <n v="0.7835616438356164"/>
    <n v="-4.221917808219178"/>
    <s v="Modified Gross"/>
    <s v="None"/>
    <s v="None"/>
    <m/>
    <s v=" "/>
    <s v=" "/>
    <m/>
    <d v="2015-07-07T00:00:00"/>
    <x v="921"/>
    <s v="FORECLOSURE"/>
    <x v="1003"/>
    <s v="NY"/>
    <s v="Institutional"/>
    <m/>
    <m/>
    <m/>
    <s v=" "/>
    <s v=" "/>
    <m/>
    <s v=" "/>
    <s v=" "/>
    <s v=" "/>
    <m/>
    <s v=" "/>
  </r>
  <r>
    <m/>
    <s v="VA"/>
    <s v="Federal"/>
    <s v="Fee Simple"/>
    <s v="3420 Veterans Cir"/>
    <s v="Beaumont"/>
    <s v="TX"/>
    <n v="3.41"/>
    <n v="1999"/>
    <n v="28180"/>
    <n v="28180"/>
    <n v="1"/>
    <n v="522408.5"/>
    <n v="18.53827182398864"/>
    <n v="425550"/>
    <n v="15.10113555713272"/>
    <d v="1998-10-30T00:00:00"/>
    <d v="2019-07-31T00:00:00"/>
    <d v="2019-07-31T00:00:00"/>
    <n v="4.084931506849315"/>
    <n v="4.084931506849315"/>
    <s v="Modified Gross"/>
    <s v="None"/>
    <s v="1, 5 year"/>
    <n v="4524000"/>
    <n v="160.5393896380412"/>
    <n v="0.09406498673740053"/>
    <m/>
    <d v="2015-07-01T00:00:00"/>
    <x v="826"/>
    <s v="SJC; Scrivner"/>
    <x v="692"/>
    <s v="TX"/>
    <s v="Private"/>
    <m/>
    <m/>
    <m/>
    <s v=" "/>
    <s v=" "/>
    <m/>
    <s v=" "/>
    <s v=" "/>
    <s v=" "/>
    <m/>
    <s v=" "/>
  </r>
  <r>
    <m/>
    <s v="TBPC"/>
    <s v="State"/>
    <s v="Fee Simple"/>
    <s v="2400 Osborn Ln"/>
    <s v="Bryan"/>
    <s v="TX"/>
    <n v="1.18"/>
    <n v="1999"/>
    <n v="13914"/>
    <n v="13914"/>
    <n v="1"/>
    <n v="158870"/>
    <n v="11.41799626275693"/>
    <n v="69562"/>
    <n v="4.999425039528532"/>
    <d v="1999-02-20T00:00:00"/>
    <d v="2019-01-19T00:00:00"/>
    <m/>
    <n v="3.556164383561644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m/>
    <s v="VA"/>
    <s v="Federal"/>
    <s v="Fee Simple"/>
    <s v="830 Chesapeake Dr"/>
    <s v="Cambridge"/>
    <s v="MD"/>
    <n v="7.75"/>
    <n v="1999"/>
    <n v="14480"/>
    <n v="14480"/>
    <n v="1"/>
    <m/>
    <s v=" "/>
    <n v="182204"/>
    <n v="12.58314917127072"/>
    <d v="2012-07-09T00:00:00"/>
    <d v="2022-07-08T00:00:00"/>
    <d v="2017-07-08T00:00:00"/>
    <n v="7.024657534246575"/>
    <n v="2.021917808219178"/>
    <s v="Modified Gross"/>
    <s v="None"/>
    <s v="None"/>
    <n v="2060100"/>
    <n v="142.2720994475138"/>
    <n v="0.08844425027911267"/>
    <m/>
    <d v="2015-07-01T00:00:00"/>
    <x v="1389"/>
    <m/>
    <x v="692"/>
    <s v="TX"/>
    <s v="Private"/>
    <s v="Strange"/>
    <m/>
    <m/>
    <s v=" "/>
    <s v=" "/>
    <m/>
    <s v=" "/>
    <s v=" "/>
    <s v=" "/>
    <m/>
    <s v=" "/>
  </r>
  <r>
    <m/>
    <s v="HHSC/DFPS"/>
    <s v="State"/>
    <s v="Fee Simple"/>
    <s v="605 West 4th St"/>
    <s v="Cameron"/>
    <s v="TX"/>
    <n v="1.22"/>
    <n v="1990"/>
    <n v="8125"/>
    <n v="8125"/>
    <n v="1"/>
    <n v="54650"/>
    <n v="6.726153846153847"/>
    <n v="32280"/>
    <n v="3.972923076923077"/>
    <d v="1999-02-01T00:00:00"/>
    <d v="2019-03-01T00:00:00"/>
    <m/>
    <n v="3.668493150684931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m/>
    <s v="HHSC/DFPS"/>
    <s v="State"/>
    <s v="Fee Simple"/>
    <s v="317 Casa Dr"/>
    <s v="Copperas Cove"/>
    <s v="TX"/>
    <n v="0.73"/>
    <n v="1988"/>
    <n v="8344"/>
    <n v="8344"/>
    <n v="1"/>
    <n v="109614"/>
    <n v="13.13686481303931"/>
    <n v="82608"/>
    <n v="9.900287631831256"/>
    <d v="1997-06-01T00:00:00"/>
    <d v="2007-05-31T00:00:00"/>
    <m/>
    <n v="-8.09041095890411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s v="LMI16777"/>
    <s v="SSA"/>
    <s v="Federal"/>
    <s v="Fee Simple"/>
    <s v="3400 Conner Road"/>
    <s v="Detroit"/>
    <s v="MI"/>
    <n v="1.96"/>
    <n v="2002"/>
    <n v="13069"/>
    <n v="13069"/>
    <n v="1"/>
    <n v="407896.35"/>
    <n v="31.21098400795776"/>
    <m/>
    <s v=" "/>
    <d v="2002-11-06T00:00:00"/>
    <d v="2018-05-05T00:00:00"/>
    <d v="2018-05-05T00:00:00"/>
    <n v="2.846575342465754"/>
    <n v="2.846575342465754"/>
    <s v="Modified Gross"/>
    <s v="None"/>
    <s v="None"/>
    <m/>
    <s v=" "/>
    <s v=" "/>
    <m/>
    <d v="2015-07-01T00:00:00"/>
    <x v="921"/>
    <s v="FORECLOSURE"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703 Church Street"/>
    <s v="East Bernard"/>
    <s v="TX"/>
    <n v="1.52"/>
    <n v="2001"/>
    <n v="7204"/>
    <n v="7204"/>
    <n v="1"/>
    <n v="79423"/>
    <n v="11.02484730705164"/>
    <n v="54620"/>
    <n v="7.581898945030539"/>
    <d v="2001-07-31T00:00:00"/>
    <d v="2021-08-01T00:00:00"/>
    <d v="2021-08-01T00:00:00"/>
    <n v="6.090410958904109"/>
    <n v="6.090410958904109"/>
    <s v="Rider"/>
    <s v="None"/>
    <s v="4, 5 yr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m/>
    <s v="HHSC"/>
    <s v="State"/>
    <s v="Fee Simple"/>
    <s v="2520 South 1 Road"/>
    <s v="Edinburg"/>
    <s v="TX"/>
    <n v="3.22"/>
    <n v="1994"/>
    <n v="44613"/>
    <n v="44613"/>
    <n v="1"/>
    <n v="547031"/>
    <n v="12.26169502163047"/>
    <n v="249849"/>
    <n v="5.600363122856566"/>
    <d v="1999-11-01T00:00:00"/>
    <d v="2011-10-31T00:00:00"/>
    <m/>
    <n v="-3.668493150684931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s v="LTX14880"/>
    <s v="INS"/>
    <s v="Federal"/>
    <s v="Fee Simple"/>
    <s v="6451 Boeing Dr"/>
    <s v="El Paso"/>
    <s v="TX"/>
    <n v="4.51"/>
    <n v="1970"/>
    <n v="20865"/>
    <n v="20865"/>
    <n v="1"/>
    <n v="657112.11"/>
    <n v="31.49351114306254"/>
    <n v="363762.11"/>
    <n v="17.43408147615624"/>
    <d v="2001-12-19T00:00:00"/>
    <d v="2016-12-18T00:00:00"/>
    <d v="2006-12-18T00:00:00"/>
    <n v="1.468493150684931"/>
    <n v="-8.53972602739726"/>
    <s v="Modified Gross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m/>
    <s v="FS"/>
    <s v="Federal"/>
    <s v="Fee Simple"/>
    <s v="1101 15th Street North "/>
    <s v="Great Falls"/>
    <s v="MT"/>
    <n v="2.58"/>
    <n v="1958"/>
    <n v="41750"/>
    <n v="41750"/>
    <n v="1"/>
    <n v="397556"/>
    <n v="9.522299401197605"/>
    <n v="221705"/>
    <n v="5.310299401197605"/>
    <m/>
    <m/>
    <m/>
    <s v=" "/>
    <s v=" "/>
    <s v="Modified Gross"/>
    <s v="None"/>
    <s v="None"/>
    <m/>
    <s v=" "/>
    <s v=" "/>
    <m/>
    <d v="2015-07-01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HHSC"/>
    <s v="State"/>
    <s v="Fee Simple"/>
    <s v="2110 Telephone Rd"/>
    <s v="Houston"/>
    <s v="TX"/>
    <n v="1.12"/>
    <n v="1992"/>
    <n v="26865"/>
    <n v="26865"/>
    <n v="1"/>
    <n v="387160"/>
    <n v="14.41131583845152"/>
    <n v="192640"/>
    <n v="7.170668155592779"/>
    <d v="1997-02-01T00:00:00"/>
    <d v="2019-01-31T00:00:00"/>
    <m/>
    <n v="3.589041095890411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s v="LTN00976"/>
    <s v="SSA"/>
    <s v="Federal"/>
    <s v="Fee Simple"/>
    <s v="3461 S 3rd St"/>
    <s v="Memphis"/>
    <s v="TN"/>
    <n v="3.64"/>
    <n v="2005"/>
    <n v="11232"/>
    <n v="11232"/>
    <n v="1"/>
    <n v="276525.78"/>
    <n v="24.61946047008547"/>
    <n v="173194"/>
    <n v="15.41969373219373"/>
    <d v="2004-04-13T00:00:00"/>
    <d v="2019-04-12T00:00:00"/>
    <d v="2014-04-13T00:00:00"/>
    <n v="3.783561643835617"/>
    <n v="-1.216438356164384"/>
    <s v="Modified Gross"/>
    <s v="None"/>
    <s v="None"/>
    <n v="1480000"/>
    <n v="131.7663817663818"/>
    <n v="0.117022972972973"/>
    <m/>
    <d v="2015-07-01T00:00:00"/>
    <x v="680"/>
    <s v="Direct"/>
    <x v="692"/>
    <s v="TX"/>
    <s v="Private"/>
    <m/>
    <m/>
    <m/>
    <s v=" "/>
    <s v=" "/>
    <m/>
    <s v=" "/>
    <s v=" "/>
    <s v=" "/>
    <m/>
    <s v=" "/>
  </r>
  <r>
    <s v="LGA50020"/>
    <s v="SSA"/>
    <s v="Federal"/>
    <s v="Fee Simple"/>
    <s v="6670 Merchants Way"/>
    <s v="Morrow"/>
    <s v="GA"/>
    <n v="2.11"/>
    <n v="2011"/>
    <n v="19015"/>
    <n v="19015"/>
    <n v="1"/>
    <n v="404353.69"/>
    <n v="21.26498501183276"/>
    <n v="283289"/>
    <n v="14.89818564291349"/>
    <d v="2011-01-26T00:00:00"/>
    <d v="2021-01-25T00:00:00"/>
    <d v="2016-01-26T00:00:00"/>
    <n v="5.575342465753424"/>
    <n v="0.5726027397260274"/>
    <s v="Modified Gross"/>
    <s v="None"/>
    <s v="None"/>
    <n v="3072800"/>
    <n v="161.5987378385485"/>
    <n v="0.09219246290028639"/>
    <m/>
    <d v="2015-07-01T00:00:00"/>
    <x v="1390"/>
    <s v="Kelco"/>
    <x v="1004"/>
    <s v="NJ"/>
    <s v="Private"/>
    <m/>
    <m/>
    <n v="3365000"/>
    <n v="0.08418692421991085"/>
    <n v="0.9131649331352154"/>
    <n v="3365000"/>
    <n v="0.08418692421991085"/>
    <n v="0.00800553868037554"/>
    <s v="No"/>
    <d v="2015-03-20T00:00:00"/>
    <n v="103"/>
  </r>
  <r>
    <s v="LIL16895"/>
    <s v="SSA"/>
    <s v="Federal"/>
    <s v="Fee Simple"/>
    <s v="10718 S Roberts Rd"/>
    <s v="Palos Hills"/>
    <s v="IL"/>
    <n v="1.14"/>
    <n v="2003"/>
    <n v="9331"/>
    <n v="9331"/>
    <n v="1"/>
    <n v="387709.07"/>
    <n v="41.55064516129033"/>
    <m/>
    <s v=" "/>
    <d v="2003-06-27T00:00:00"/>
    <d v="2023-06-26T00:00:00"/>
    <d v="2013-06-26T00:00:00"/>
    <n v="7.991780821917808"/>
    <n v="-2.013698630136986"/>
    <s v="Modified Gross"/>
    <s v="None"/>
    <s v="None"/>
    <n v="2500000"/>
    <n v="267.9241238881149"/>
    <s v=" "/>
    <m/>
    <d v="2015-07-01T00:00:00"/>
    <x v="1391"/>
    <s v="Direct"/>
    <x v="692"/>
    <s v="TX"/>
    <s v="Private"/>
    <m/>
    <m/>
    <m/>
    <s v=" "/>
    <s v=" "/>
    <m/>
    <s v=" "/>
    <s v=" "/>
    <s v=" "/>
    <m/>
    <s v=" "/>
  </r>
  <r>
    <m/>
    <s v="HHSC/DFPS"/>
    <s v="State"/>
    <s v="Fee Simple"/>
    <s v="1460 NW 19th St"/>
    <s v="Paris"/>
    <s v="TX"/>
    <n v="3.33"/>
    <n v="2002"/>
    <n v="36580"/>
    <n v="36580"/>
    <n v="1"/>
    <n v="381041"/>
    <n v="10.41664844177146"/>
    <n v="199838"/>
    <n v="5.463039912520503"/>
    <d v="2002-09-01T00:00:00"/>
    <d v="2017-08-31T00:00:00"/>
    <d v="2017-08-31T00:00:00"/>
    <n v="2.16986301369863"/>
    <n v="2.16986301369863"/>
    <s v="Full Service"/>
    <s v="None"/>
    <s v="None"/>
    <m/>
    <s v=" "/>
    <s v=" "/>
    <m/>
    <d v="2015-07-01T00:00:00"/>
    <x v="611"/>
    <m/>
    <x v="1005"/>
    <s v="CT"/>
    <s v="Institutional"/>
    <m/>
    <m/>
    <m/>
    <s v=" "/>
    <s v=" "/>
    <m/>
    <s v=" "/>
    <s v=" "/>
    <s v=" "/>
    <m/>
    <s v=" "/>
  </r>
  <r>
    <m/>
    <s v="BWC"/>
    <s v="State"/>
    <s v="Fee Simple"/>
    <s v="13430 Yarmouth Dr NW"/>
    <s v="Pickerington"/>
    <s v="OH"/>
    <n v="5.92"/>
    <n v="1981"/>
    <n v="40500"/>
    <n v="40500"/>
    <n v="1"/>
    <n v="608184"/>
    <n v="15.01688888888889"/>
    <n v="296704"/>
    <n v="7.326024691358024"/>
    <d v="1997-07-01T00:00:00"/>
    <d v="2017-06-30T00:00:00"/>
    <d v="2017-06-30T00:00:00"/>
    <n v="2"/>
    <n v="2"/>
    <s v="Full Service"/>
    <s v="None"/>
    <s v="None"/>
    <m/>
    <s v=" "/>
    <s v=" "/>
    <m/>
    <d v="2015-07-01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BLM"/>
    <s v="Federal"/>
    <s v="Fee Simple"/>
    <s v="2909 W Second St"/>
    <s v="Roswell"/>
    <s v="NM"/>
    <n v="6.49"/>
    <n v="1996"/>
    <n v="26294"/>
    <n v="39444"/>
    <n v="0.6666159618699929"/>
    <m/>
    <s v=" "/>
    <m/>
    <s v=" "/>
    <m/>
    <m/>
    <m/>
    <s v=" "/>
    <s v=" "/>
    <s v="Modified Gross"/>
    <s v="None"/>
    <s v="None"/>
    <m/>
    <s v=" "/>
    <s v=" "/>
    <m/>
    <d v="2015-07-01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VA"/>
    <s v="Federal"/>
    <s v="Fee Simple"/>
    <s v="4455 Horizon Hill Blvd"/>
    <s v="San Antonio"/>
    <s v="TX"/>
    <n v="2.61"/>
    <n v="1997"/>
    <n v="29556"/>
    <n v="29556"/>
    <n v="1"/>
    <m/>
    <s v=" "/>
    <n v="328695"/>
    <n v="11.12109216402761"/>
    <m/>
    <m/>
    <m/>
    <s v=" "/>
    <s v=" "/>
    <m/>
    <m/>
    <m/>
    <n v="3713750"/>
    <n v="125.6513059953986"/>
    <n v="0.08850757320767419"/>
    <m/>
    <d v="2015-07-01T00:00:00"/>
    <x v="1392"/>
    <s v="Newmark; Strange"/>
    <x v="692"/>
    <s v="TX"/>
    <s v="Private"/>
    <m/>
    <m/>
    <m/>
    <s v=" "/>
    <s v=" "/>
    <m/>
    <s v=" "/>
    <s v=" "/>
    <s v=" "/>
    <m/>
    <s v=" "/>
  </r>
  <r>
    <m/>
    <s v="DHS"/>
    <s v="State"/>
    <s v="Fee Simple"/>
    <s v="11307 Roszell"/>
    <s v="San Antonio"/>
    <s v="TX"/>
    <n v="3.33"/>
    <n v="1993"/>
    <n v="66050"/>
    <n v="66050"/>
    <n v="1"/>
    <n v="1173708.5"/>
    <n v="17.77"/>
    <n v="727871"/>
    <n v="11.02"/>
    <d v="1998-10-01T00:00:00"/>
    <d v="2018-09-30T00:00:00"/>
    <m/>
    <n v="3.252054794520548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s v="LOK15586"/>
    <s v="FWS"/>
    <s v="Federal"/>
    <s v="Fee Simple"/>
    <s v="9014 E 21st St S"/>
    <s v="Tulsa"/>
    <s v="OK"/>
    <n v="4.04"/>
    <n v="2006"/>
    <n v="24370"/>
    <n v="24370"/>
    <n v="1"/>
    <n v="432005.37"/>
    <n v="17.7269335248256"/>
    <m/>
    <s v=" "/>
    <d v="2006-04-01T00:00:00"/>
    <d v="2021-03-31T00:00:00"/>
    <d v="2016-04-01T00:00:00"/>
    <n v="5.753424657534246"/>
    <n v="0.7534246575342466"/>
    <s v="Modified Gross"/>
    <s v="None"/>
    <s v="None"/>
    <n v="3300000"/>
    <n v="135.412392285597"/>
    <s v=" "/>
    <m/>
    <d v="2015-07-01T00:00:00"/>
    <x v="1391"/>
    <s v="Direct"/>
    <x v="692"/>
    <s v="TX"/>
    <s v="Private"/>
    <m/>
    <m/>
    <m/>
    <s v=" "/>
    <s v=" "/>
    <m/>
    <s v=" "/>
    <s v=" "/>
    <s v=" "/>
    <m/>
    <s v=" "/>
  </r>
  <r>
    <m/>
    <s v="HHSC"/>
    <s v="State"/>
    <s v="Fee Simple"/>
    <s v="2010 La Salle Ave"/>
    <s v="Waco"/>
    <s v="TX"/>
    <n v="1.29"/>
    <n v="1989"/>
    <n v="16980"/>
    <n v="16980"/>
    <n v="1"/>
    <n v="106716"/>
    <n v="6.284805653710247"/>
    <n v="78156"/>
    <n v="4.602826855123675"/>
    <d v="1998-01-01T00:00:00"/>
    <d v="2014-12-01T00:00:00"/>
    <m/>
    <n v="-0.5808219178082191"/>
    <s v=" "/>
    <s v="Full Service"/>
    <s v="None"/>
    <s v="None"/>
    <m/>
    <s v=" "/>
    <s v=" "/>
    <m/>
    <d v="2015-07-01T00:00:00"/>
    <x v="611"/>
    <m/>
    <x v="974"/>
    <s v="CT"/>
    <s v="Institutional"/>
    <m/>
    <m/>
    <m/>
    <s v=" "/>
    <s v=" "/>
    <m/>
    <s v=" "/>
    <s v=" "/>
    <s v=" "/>
    <m/>
    <s v=" "/>
  </r>
  <r>
    <s v="LIL17900"/>
    <s v="SSA"/>
    <s v="Federal"/>
    <s v="Fee Simple"/>
    <s v="9715 S Cottage Grove Ave"/>
    <s v="Chicago"/>
    <s v="IL"/>
    <n v="7.2787"/>
    <n v="2012"/>
    <n v="17300"/>
    <n v="17300"/>
    <n v="1"/>
    <n v="889166.97"/>
    <n v="51.39693468208092"/>
    <n v="626097"/>
    <n v="36.19057803468208"/>
    <d v="2012-11-01T00:00:00"/>
    <d v="2027-10-31T00:00:00"/>
    <d v="2022-10-30T00:00:00"/>
    <n v="12.34520547945205"/>
    <n v="7.33972602739726"/>
    <s v="Modified Gross"/>
    <s v="None"/>
    <s v="None"/>
    <n v="7700000"/>
    <n v="445.0867052023121"/>
    <n v="0.0813112987012987"/>
    <m/>
    <d v="2015-06-30T00:00:00"/>
    <x v="111"/>
    <s v="C&amp;W; Trautvetter"/>
    <x v="84"/>
    <s v="IL"/>
    <s v="Private"/>
    <m/>
    <m/>
    <n v="9600000"/>
    <n v="0.0652184375"/>
    <n v="0.8020833333333334"/>
    <n v="9600000"/>
    <n v="0.0652184375"/>
    <n v="0.0160928612012987"/>
    <s v="No"/>
    <d v="2014-08-13T00:00:00"/>
    <n v="321"/>
  </r>
  <r>
    <s v="LIL16645"/>
    <s v="SSA"/>
    <s v="Federal"/>
    <s v="Fee Simple"/>
    <s v="606 W Pershing Rd"/>
    <s v="Decatur"/>
    <s v="IL"/>
    <n v="0.57"/>
    <n v="2000"/>
    <n v="10507"/>
    <n v="14907"/>
    <n v="0.7048366539209767"/>
    <n v="249373.6"/>
    <n v="23.73404397068621"/>
    <m/>
    <s v=" "/>
    <d v="2000-11-01T00:00:00"/>
    <d v="2020-10-31T00:00:00"/>
    <d v="2010-06-30T00:00:00"/>
    <n v="5.342465753424658"/>
    <n v="-5.002739726027397"/>
    <s v="Modified Gross"/>
    <s v="None"/>
    <s v="None"/>
    <n v="1900000"/>
    <n v="127.4568994432146"/>
    <s v=" "/>
    <m/>
    <d v="2015-06-30T00:00:00"/>
    <x v="1393"/>
    <m/>
    <x v="1006"/>
    <s v="IL"/>
    <s v="User/Owner"/>
    <m/>
    <m/>
    <m/>
    <s v=" "/>
    <s v=" "/>
    <m/>
    <s v=" "/>
    <s v=" "/>
    <s v=" "/>
    <m/>
    <s v=" "/>
  </r>
  <r>
    <m/>
    <s v="DHS/State Police"/>
    <s v="Federal &amp; State"/>
    <s v="Fee Simple"/>
    <s v="602 Sawyer St"/>
    <s v="Houston"/>
    <s v="TX"/>
    <n v="2.41"/>
    <n v="1982"/>
    <n v="44982"/>
    <n v="95923"/>
    <n v="0.4689386278577609"/>
    <m/>
    <s v=" "/>
    <m/>
    <s v=" "/>
    <m/>
    <d v="2021-04-30T00:00:00"/>
    <d v="2016-04-30T00:00:00"/>
    <n v="5.838356164383562"/>
    <n v="0.8356164383561644"/>
    <s v="Modified Gross"/>
    <s v="None"/>
    <s v="None"/>
    <m/>
    <s v=" "/>
    <s v=" "/>
    <m/>
    <d v="2015-06-30T00:00:00"/>
    <x v="1394"/>
    <m/>
    <x v="1007"/>
    <s v="TX"/>
    <s v="Private"/>
    <m/>
    <m/>
    <m/>
    <s v=" "/>
    <s v=" "/>
    <m/>
    <s v=" "/>
    <s v=" "/>
    <s v=" "/>
    <m/>
    <s v=" "/>
  </r>
  <r>
    <s v="LAZ03224"/>
    <s v="BLM"/>
    <s v="Federal"/>
    <s v="Fee Simple"/>
    <s v="9828 N 31st Ave"/>
    <s v="Phoenix"/>
    <s v="AZ"/>
    <n v="3.55"/>
    <n v="1994"/>
    <n v="72454"/>
    <n v="72454"/>
    <n v="1"/>
    <n v="1556895.3"/>
    <n v="21.48805172937312"/>
    <n v="1179165.6"/>
    <n v="16.27467910674359"/>
    <d v="2014-08-01T00:00:00"/>
    <d v="2019-07-31T00:00:00"/>
    <d v="2017-08-01T00:00:00"/>
    <n v="4.087671232876712"/>
    <n v="2.09041095890411"/>
    <s v="Modified Gross"/>
    <s v="None"/>
    <s v="None"/>
    <n v="10566000"/>
    <n v="145.8304579457311"/>
    <n v="0.1116"/>
    <m/>
    <d v="2015-06-30T00:00:00"/>
    <x v="1395"/>
    <s v="C&amp;W; Travis Trautvetter"/>
    <x v="84"/>
    <s v="IL"/>
    <s v="Private"/>
    <m/>
    <m/>
    <m/>
    <s v=" "/>
    <s v=" "/>
    <m/>
    <s v=" "/>
    <s v=" "/>
    <s v=" "/>
    <m/>
    <s v=" "/>
  </r>
  <r>
    <s v="LSC59114"/>
    <s v="SSA"/>
    <s v="Federal"/>
    <s v="Fee Simple"/>
    <s v="499 Lakeshore Pky"/>
    <s v="Rock Hill"/>
    <s v="SC"/>
    <n v="2.52"/>
    <n v="2011"/>
    <n v="12204"/>
    <n v="12204"/>
    <n v="1"/>
    <n v="260769.51"/>
    <n v="21.36754424778761"/>
    <n v="189585"/>
    <n v="15.53466076696165"/>
    <d v="2011-12-09T00:00:00"/>
    <d v="2021-12-10T00:00:00"/>
    <d v="2016-12-10T00:00:00"/>
    <n v="6.452054794520548"/>
    <n v="1.449315068493151"/>
    <s v="Modified Gross"/>
    <s v="None"/>
    <s v="None"/>
    <n v="2000000"/>
    <n v="163.8806948541462"/>
    <n v="0.0947925"/>
    <m/>
    <d v="2015-06-30T00:00:00"/>
    <x v="1390"/>
    <s v="Kelco Investments"/>
    <x v="825"/>
    <s v="NJ"/>
    <s v="Private"/>
    <m/>
    <m/>
    <n v="2298436"/>
    <n v="0.08248435022772006"/>
    <n v="0.8701569240996921"/>
    <n v="2298436"/>
    <n v="0.08248435022772006"/>
    <n v="0.01230814977227994"/>
    <s v="No"/>
    <d v="2015-03-20T00:00:00"/>
    <n v="102"/>
  </r>
  <r>
    <s v="LIL16186"/>
    <s v="Multi"/>
    <s v="Federal"/>
    <s v="Fee Simple"/>
    <s v="Portfolio of Six"/>
    <m/>
    <m/>
    <n v="10.58"/>
    <m/>
    <n v="109767"/>
    <n v="109767"/>
    <n v="1"/>
    <m/>
    <s v=" "/>
    <m/>
    <s v=" "/>
    <m/>
    <m/>
    <m/>
    <s v=" "/>
    <s v=" "/>
    <m/>
    <m/>
    <s v="None"/>
    <m/>
    <s v=" "/>
    <s v=" "/>
    <m/>
    <d v="2015-06-30T00:00:00"/>
    <x v="921"/>
    <m/>
    <x v="84"/>
    <s v="IL"/>
    <s v="Private"/>
    <m/>
    <m/>
    <m/>
    <s v=" "/>
    <s v=" "/>
    <m/>
    <s v=" "/>
    <s v=" "/>
    <s v=" "/>
    <m/>
    <s v=" "/>
  </r>
  <r>
    <s v="LOH18332"/>
    <s v="SSA"/>
    <s v="Federal"/>
    <s v="Fee Simple"/>
    <s v="611 Vernon St"/>
    <s v="Ironton"/>
    <s v="OH"/>
    <n v="0.16"/>
    <n v="2011"/>
    <n v="6500"/>
    <n v="6500"/>
    <n v="1"/>
    <n v="241530.61"/>
    <n v="37.15855538461538"/>
    <n v="199404"/>
    <n v="30.67753846153846"/>
    <d v="2011-10-05T00:00:00"/>
    <d v="2021-10-04T00:00:00"/>
    <d v="2021-10-04T00:00:00"/>
    <n v="6.271232876712329"/>
    <n v="6.271232876712329"/>
    <s v="Modified Gross"/>
    <s v="None"/>
    <s v="None"/>
    <n v="2212000"/>
    <n v="340.3076923076923"/>
    <n v="0.09014647377938517"/>
    <m/>
    <d v="2015-06-29T00:00:00"/>
    <x v="1396"/>
    <s v="Fortis; Doug Passon"/>
    <x v="692"/>
    <s v="TX"/>
    <s v="Private"/>
    <m/>
    <m/>
    <n v="2278903"/>
    <n v="0.08749999451490476"/>
    <n v="0.9706424538473116"/>
    <n v="2278903"/>
    <n v="0.08749999451490476"/>
    <n v="0.002646479264480417"/>
    <s v="No"/>
    <d v="2013-02-08T00:00:00"/>
    <n v="871"/>
  </r>
  <r>
    <m/>
    <s v="VA"/>
    <s v="Federal"/>
    <s v="Fee Simple"/>
    <s v="4231 S Pipkin Rd"/>
    <s v="Lakeland"/>
    <s v="FL"/>
    <n v="1.84"/>
    <n v="2008"/>
    <n v="10000"/>
    <n v="10000"/>
    <n v="1"/>
    <m/>
    <s v=" "/>
    <n v="251750"/>
    <n v="25.175"/>
    <d v="2008-11-01T00:00:00"/>
    <d v="2018-10-31T00:00:00"/>
    <d v="2013-10-31T00:00:00"/>
    <n v="3.345205479452055"/>
    <n v="-1.657534246575342"/>
    <s v="Modified Gross"/>
    <s v="None"/>
    <s v="None"/>
    <n v="2650000"/>
    <n v="265"/>
    <n v="0.095"/>
    <m/>
    <d v="2015-06-28T00:00:00"/>
    <x v="1397"/>
    <s v="Direct"/>
    <x v="692"/>
    <s v="TX"/>
    <s v="Private"/>
    <m/>
    <m/>
    <m/>
    <s v=" "/>
    <s v=" "/>
    <m/>
    <s v=" "/>
    <s v=" "/>
    <s v=" "/>
    <m/>
    <s v=" "/>
  </r>
  <r>
    <s v="LMI17728"/>
    <s v="IRS"/>
    <s v="Federal"/>
    <s v="Fee Simple"/>
    <s v="917 N Saginaw"/>
    <s v="Flint"/>
    <s v="MI"/>
    <n v="0.6899999999999999"/>
    <n v="2010"/>
    <n v="14473"/>
    <n v="14473"/>
    <n v="1"/>
    <n v="480961.41"/>
    <n v="33.23163200442202"/>
    <n v="354827"/>
    <n v="24.5164789608236"/>
    <d v="2010-12-13T00:00:00"/>
    <d v="2020-12-12T00:00:00"/>
    <d v="2020-12-12T00:00:00"/>
    <n v="5.468493150684932"/>
    <n v="5.468493150684932"/>
    <s v="Modified Gross"/>
    <s v="Dropped $84K in Year 7"/>
    <s v="None"/>
    <n v="3070100"/>
    <n v="212.1260277758585"/>
    <n v="0.1155750627015407"/>
    <m/>
    <d v="2015-06-26T00:00:00"/>
    <x v="1398"/>
    <s v="Newmark; Strange"/>
    <x v="692"/>
    <s v="TX"/>
    <s v="Private"/>
    <m/>
    <m/>
    <m/>
    <s v=" "/>
    <s v=" "/>
    <m/>
    <s v=" "/>
    <s v=" "/>
    <s v=" "/>
    <m/>
    <s v=" "/>
  </r>
  <r>
    <m/>
    <s v="VA"/>
    <s v="Federal"/>
    <s v="Fee Simple"/>
    <s v="269 S 7th St"/>
    <s v="Vinita"/>
    <s v="OK"/>
    <n v="5"/>
    <n v="2009"/>
    <n v="9994"/>
    <n v="9994"/>
    <n v="1"/>
    <m/>
    <s v=" "/>
    <n v="195500"/>
    <n v="19.56173704222534"/>
    <d v="2009-11-01T00:00:00"/>
    <d v="2019-10-31T00:00:00"/>
    <d v="2019-10-31T00:00:00"/>
    <n v="4.35068493150685"/>
    <n v="4.35068493150685"/>
    <s v="Modified Gross"/>
    <s v="None"/>
    <s v="None"/>
    <n v="2190000"/>
    <n v="219.1314788873324"/>
    <n v="0.08926940639269407"/>
    <m/>
    <d v="2015-06-26T00:00:00"/>
    <x v="1399"/>
    <m/>
    <x v="692"/>
    <s v="TX"/>
    <s v="Private"/>
    <m/>
    <m/>
    <m/>
    <s v=" "/>
    <s v=" "/>
    <m/>
    <s v=" "/>
    <s v=" "/>
    <s v=" "/>
    <m/>
    <s v=" "/>
  </r>
  <r>
    <s v="LNJ09616"/>
    <s v="SSA"/>
    <s v="Federal"/>
    <s v="Fee Simple"/>
    <s v="1350 Doughty Rd"/>
    <s v="Egg Harbor Township"/>
    <s v="NJ"/>
    <n v="2.02"/>
    <n v="2000"/>
    <n v="11321"/>
    <n v="11321"/>
    <n v="1"/>
    <n v="418321.87"/>
    <n v="36.95096457910078"/>
    <n v="242437.87"/>
    <n v="21.41488119424079"/>
    <d v="2013-10-13T00:00:00"/>
    <d v="2023-10-12T00:00:00"/>
    <d v="2018-10-13T00:00:00"/>
    <n v="8.304109589041095"/>
    <n v="3.304109589041096"/>
    <s v="Modified Gross"/>
    <s v="None"/>
    <s v="None"/>
    <m/>
    <s v=" "/>
    <s v=" "/>
    <m/>
    <d v="2015-06-25T00:00:00"/>
    <x v="921"/>
    <m/>
    <x v="84"/>
    <s v="IL"/>
    <s v="Private"/>
    <m/>
    <m/>
    <m/>
    <s v=" "/>
    <s v=" "/>
    <m/>
    <s v=" "/>
    <s v=" "/>
    <s v=" "/>
    <m/>
    <s v=" "/>
  </r>
  <r>
    <s v="LIL16186"/>
    <s v="SSA"/>
    <s v="Federal"/>
    <s v="Fee Simple"/>
    <s v="230 N Mannheim Rd"/>
    <s v="Hillside"/>
    <s v="IL"/>
    <n v="1.38"/>
    <n v="1998"/>
    <n v="14899"/>
    <n v="14899"/>
    <n v="1"/>
    <n v="383885"/>
    <n v="25.76582320961138"/>
    <n v="295138"/>
    <n v="19.80924894288207"/>
    <d v="1998-10-05T00:00:00"/>
    <d v="2018-10-31T00:00:00"/>
    <d v="2008-10-31T00:00:00"/>
    <n v="3.353424657534247"/>
    <n v="-6.652054794520548"/>
    <s v="Modified Gross"/>
    <s v="None"/>
    <s v="None"/>
    <n v="2706800"/>
    <n v="181.6766225921203"/>
    <n v="0.1090357617851337"/>
    <m/>
    <d v="2015-06-25T00:00:00"/>
    <x v="921"/>
    <m/>
    <x v="1008"/>
    <s v="IL"/>
    <s v="Private"/>
    <m/>
    <m/>
    <m/>
    <s v=" "/>
    <s v=" "/>
    <m/>
    <s v=" "/>
    <s v=" "/>
    <s v=" "/>
    <m/>
    <s v=" "/>
  </r>
  <r>
    <m/>
    <s v="BLM"/>
    <s v="Federal"/>
    <s v="Fee Simple"/>
    <s v="345 E Riverside Dr"/>
    <s v="St. George"/>
    <s v="UT"/>
    <n v="4.5"/>
    <n v="1997"/>
    <n v="29423"/>
    <n v="29423"/>
    <n v="1"/>
    <n v="365200"/>
    <n v="12.41205859361724"/>
    <n v="304275"/>
    <n v="10.34139958535839"/>
    <d v="1997-06-01T00:00:00"/>
    <d v="2017-05-31T00:00:00"/>
    <d v="2012-05-31T00:00:00"/>
    <n v="1.934246575342466"/>
    <n v="-3.068493150684931"/>
    <s v="Modified Gross"/>
    <s v="None"/>
    <s v="None"/>
    <n v="4150000"/>
    <n v="141.0461203820141"/>
    <n v="0.07331927710843374"/>
    <m/>
    <d v="2015-06-25T00:00:00"/>
    <x v="1400"/>
    <s v="Colliers; Howard"/>
    <x v="1009"/>
    <s v="UT"/>
    <s v="Private"/>
    <s v="Vantage; Kemp"/>
    <s v="William Francis"/>
    <n v="4385000"/>
    <n v="0.06938996579247435"/>
    <n v="0.9464082098061574"/>
    <n v="4385000"/>
    <n v="0.06938996579247435"/>
    <n v="0.003929311315959388"/>
    <s v="No"/>
    <m/>
    <s v=" "/>
  </r>
  <r>
    <m/>
    <s v="VA/CBOC"/>
    <s v="Federal"/>
    <s v="Fee Simple"/>
    <s v="3141 Centennial Blvd"/>
    <s v="Colorado Springs"/>
    <s v="CO"/>
    <m/>
    <n v="2013"/>
    <n v="99488"/>
    <n v="99488"/>
    <n v="1"/>
    <m/>
    <s v=" "/>
    <m/>
    <s v=" "/>
    <m/>
    <m/>
    <m/>
    <s v=" "/>
    <s v=" "/>
    <m/>
    <m/>
    <m/>
    <n v="43745042"/>
    <n v="439.7016926664522"/>
    <s v=" "/>
    <m/>
    <d v="2015-06-24T00:00:00"/>
    <x v="8"/>
    <m/>
    <x v="0"/>
    <m/>
    <m/>
    <m/>
    <m/>
    <m/>
    <s v=" "/>
    <s v=" "/>
    <m/>
    <s v=" "/>
    <s v=" "/>
    <s v=" "/>
    <m/>
    <s v=" "/>
  </r>
  <r>
    <m/>
    <s v="NOAA/NWS"/>
    <s v="Federal"/>
    <s v="Fee Simple"/>
    <s v="3401 Northern Cross Blvd"/>
    <s v="Haltom City"/>
    <s v="TX"/>
    <n v="4.55"/>
    <n v="1989"/>
    <n v="10500"/>
    <n v="10500"/>
    <n v="1"/>
    <m/>
    <s v=" "/>
    <n v="248602.5"/>
    <n v="23.67642857142857"/>
    <d v="2014-07-01T00:00:00"/>
    <d v="2029-06-30T00:00:00"/>
    <d v="2024-06-30T00:00:00"/>
    <n v="14.02739726027397"/>
    <n v="9.024657534246575"/>
    <s v="Modified Gross"/>
    <s v="None"/>
    <s v="None"/>
    <n v="3000000"/>
    <n v="285.7142857142857"/>
    <n v="0.0828675"/>
    <m/>
    <d v="2015-06-24T00:00:00"/>
    <x v="1401"/>
    <s v="Wimberly"/>
    <x v="429"/>
    <s v="NY"/>
    <s v="Private"/>
    <m/>
    <m/>
    <n v="3429000"/>
    <n v="0.0725"/>
    <n v="0.8748906386701663"/>
    <n v="3429000"/>
    <n v="0.0725"/>
    <n v="0.0103675"/>
    <s v="No"/>
    <d v="2014-12-29T00:00:00"/>
    <n v="177"/>
  </r>
  <r>
    <s v="LMI16852"/>
    <s v="SSA"/>
    <s v="Federal"/>
    <s v="Condominium"/>
    <s v="5210 Perry Robinson Cir"/>
    <s v="Lansing"/>
    <s v="MI"/>
    <n v="1.72"/>
    <n v="2002"/>
    <n v="18574"/>
    <n v="18574"/>
    <n v="1"/>
    <n v="499984.59"/>
    <n v="26.91851997415743"/>
    <n v="292546"/>
    <n v="15.75029611284591"/>
    <d v="2003-03-24T00:00:00"/>
    <d v="2023-03-23T00:00:00"/>
    <d v="2011-11-30T00:00:00"/>
    <n v="7.753424657534246"/>
    <n v="-3.564383561643836"/>
    <s v="Modified Gross"/>
    <s v="None"/>
    <s v="None"/>
    <m/>
    <s v=" "/>
    <s v=" "/>
    <m/>
    <d v="2015-06-23T00:00:00"/>
    <x v="921"/>
    <m/>
    <x v="84"/>
    <s v="IL"/>
    <s v="Private"/>
    <m/>
    <m/>
    <m/>
    <s v=" "/>
    <s v=" "/>
    <m/>
    <s v=" "/>
    <s v=" "/>
    <s v=" "/>
    <m/>
    <s v=" "/>
  </r>
  <r>
    <s v="LKS11002"/>
    <s v="FDA"/>
    <s v="Federal"/>
    <s v="Fee Simple"/>
    <s v="8050 Marshall Dr"/>
    <s v="Lenexa"/>
    <s v="KS"/>
    <n v="6.24"/>
    <n v="2001"/>
    <n v="18099"/>
    <n v="98507"/>
    <n v="0.1837331357162435"/>
    <n v="447082.77"/>
    <n v="24.70207028012598"/>
    <n v="1224525"/>
    <n v="12.43084247819952"/>
    <d v="2012-05-01T00:00:00"/>
    <d v="2022-04-30T00:00:00"/>
    <d v="2017-05-01T00:00:00"/>
    <n v="6.868493150684931"/>
    <n v="1.868493150684932"/>
    <s v="Modified Gross"/>
    <s v="None"/>
    <s v="None"/>
    <n v="14075000"/>
    <n v="142.8832468758565"/>
    <n v="0.08699999999999999"/>
    <m/>
    <d v="2015-06-19T00:00:00"/>
    <x v="734"/>
    <s v="JLL"/>
    <x v="1010"/>
    <s v="MN"/>
    <s v="Private"/>
    <m/>
    <m/>
    <m/>
    <s v=" "/>
    <s v=" "/>
    <m/>
    <s v=" "/>
    <s v=" "/>
    <s v=" "/>
    <m/>
    <s v=" "/>
  </r>
  <r>
    <s v="LWI16089"/>
    <s v="SSA"/>
    <s v="Federal"/>
    <s v="Fee Simple"/>
    <s v="6300 W Fond du Lac"/>
    <s v="Milwaukee"/>
    <s v="WI"/>
    <n v="1.14"/>
    <n v="1997"/>
    <n v="24854"/>
    <n v="24854"/>
    <n v="1"/>
    <n v="677700"/>
    <n v="27.26724068560393"/>
    <n v="475950"/>
    <n v="19.14983503661383"/>
    <d v="1997-10-10T00:00:00"/>
    <d v="2017-10-09T00:00:00"/>
    <d v="2007-10-09T00:00:00"/>
    <n v="2.309589041095891"/>
    <n v="-7.698630136986301"/>
    <s v="Modified Gross"/>
    <s v="None"/>
    <s v="None"/>
    <n v="3748000"/>
    <n v="150.8006759475336"/>
    <n v="0.1269877267876201"/>
    <m/>
    <d v="2015-06-19T00:00:00"/>
    <x v="104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4500 1st Ave S"/>
    <s v="Birmingham"/>
    <s v="AL"/>
    <n v="14.2"/>
    <n v="1970"/>
    <n v="175000"/>
    <n v="175000"/>
    <n v="1"/>
    <m/>
    <s v=" "/>
    <m/>
    <s v=" "/>
    <m/>
    <m/>
    <m/>
    <s v=" "/>
    <s v=" "/>
    <m/>
    <m/>
    <m/>
    <m/>
    <s v=" "/>
    <s v=" "/>
    <m/>
    <d v="2015-06-18T00:00:00"/>
    <x v="921"/>
    <s v="FORECLOSURE"/>
    <x v="84"/>
    <s v="IL"/>
    <s v="Private"/>
    <m/>
    <m/>
    <m/>
    <s v=" "/>
    <s v=" "/>
    <m/>
    <s v=" "/>
    <s v=" "/>
    <s v=" "/>
    <m/>
    <s v=" "/>
  </r>
  <r>
    <m/>
    <s v="Multi"/>
    <s v="Federal"/>
    <s v="Fee Simple"/>
    <s v="311-521 Progress Cir"/>
    <s v="Cheyenne"/>
    <s v="WY"/>
    <n v="3.51"/>
    <n v="2016"/>
    <n v="9850"/>
    <n v="39212"/>
    <n v="0.2511986126695909"/>
    <m/>
    <s v=" "/>
    <n v="333600"/>
    <n v="8.507599714373152"/>
    <d v="2011-06-01T00:00:00"/>
    <d v="2031-05-31T00:00:00"/>
    <d v="2021-06-01T00:00:00"/>
    <n v="15.96712328767123"/>
    <n v="5.964383561643835"/>
    <m/>
    <m/>
    <m/>
    <n v="4170000"/>
    <n v="106.3449964296644"/>
    <n v="0.08"/>
    <m/>
    <d v="2015-06-16T00:00:00"/>
    <x v="1402"/>
    <s v="Direct"/>
    <x v="1011"/>
    <s v="WY"/>
    <s v="Private"/>
    <m/>
    <m/>
    <m/>
    <s v=" "/>
    <s v=" "/>
    <m/>
    <s v=" "/>
    <s v=" "/>
    <s v=" "/>
    <m/>
    <s v=" "/>
  </r>
  <r>
    <s v="L04PL00283"/>
    <s v="BLM"/>
    <s v="Federal"/>
    <s v="Fee Simple"/>
    <s v="220 E Market St"/>
    <s v="Meeker"/>
    <s v="CO"/>
    <n v="5.5"/>
    <n v="2005"/>
    <n v="29288"/>
    <n v="29288"/>
    <n v="1"/>
    <n v="421596"/>
    <n v="14.39483747609943"/>
    <n v="275259"/>
    <n v="9.398354274788309"/>
    <d v="2007-03-12T00:00:00"/>
    <d v="2027-03-11T00:00:00"/>
    <d v="2022-03-11T00:00:00"/>
    <n v="11.74246575342466"/>
    <n v="6.739726027397261"/>
    <s v="Modified Gross"/>
    <s v="None"/>
    <s v="None"/>
    <n v="2600100"/>
    <n v="88.77697350450697"/>
    <n v="0.1058647744317526"/>
    <m/>
    <d v="2015-06-16T00:00:00"/>
    <x v="611"/>
    <s v="JFF; O''Donnell"/>
    <x v="1012"/>
    <s v="WY"/>
    <s v="Private"/>
    <m/>
    <m/>
    <m/>
    <s v=" "/>
    <s v=" "/>
    <m/>
    <s v=" "/>
    <s v=" "/>
    <s v=" "/>
    <d v="2015-02-11T00:00:00"/>
    <n v="125"/>
  </r>
  <r>
    <m/>
    <s v="FBI"/>
    <s v="Federal"/>
    <s v="Fee Simple"/>
    <s v="906 Oilfield Ave"/>
    <s v="Shelby"/>
    <s v="MT"/>
    <n v="0.4"/>
    <n v="2010"/>
    <n v="3763"/>
    <n v="3763"/>
    <n v="1"/>
    <n v="104415.78"/>
    <n v="27.74801488174329"/>
    <n v="75292"/>
    <n v="20.00850385330853"/>
    <d v="2010-06-01T00:00:00"/>
    <d v="2025-05-31T00:00:00"/>
    <d v="2025-05-31T00:00:00"/>
    <n v="9.994520547945205"/>
    <n v="9.994520547945205"/>
    <s v="Modified Gross"/>
    <s v="None"/>
    <s v="None"/>
    <n v="750000"/>
    <n v="199.3090619186819"/>
    <n v="0.1003893333333333"/>
    <m/>
    <d v="2015-06-05T00:00:00"/>
    <x v="8"/>
    <s v="M&amp;M; Ficke"/>
    <x v="1013"/>
    <s v="MT"/>
    <s v="Private"/>
    <m/>
    <m/>
    <m/>
    <s v=" "/>
    <s v=" "/>
    <m/>
    <s v=" "/>
    <s v=" "/>
    <s v=" "/>
    <m/>
    <s v=" "/>
  </r>
  <r>
    <s v="LMS43245"/>
    <s v="AOC"/>
    <s v="Federal"/>
    <s v="Fee Simple"/>
    <s v="703 Highway 145 N"/>
    <s v="Aberdeen"/>
    <s v="MS"/>
    <n v="5.6"/>
    <n v="2005"/>
    <n v="46979"/>
    <n v="46979"/>
    <n v="1"/>
    <n v="1424486.25"/>
    <n v="30.32176610826114"/>
    <n v="933625"/>
    <n v="19.87324123544563"/>
    <d v="2005-06-01T00:00:00"/>
    <d v="2025-05-31T00:00:00"/>
    <d v="2025-05-31T00:00:00"/>
    <n v="10"/>
    <n v="10"/>
    <s v="Modified Gross"/>
    <s v="None"/>
    <s v="None"/>
    <n v="14100000"/>
    <n v="300.134102471317"/>
    <n v="0.0662145390070922"/>
    <m/>
    <d v="2015-06-03T00:00:00"/>
    <x v="223"/>
    <s v="Direct"/>
    <x v="3"/>
    <s v="DC"/>
    <s v="REIT"/>
    <m/>
    <m/>
    <m/>
    <s v=" "/>
    <s v=" "/>
    <m/>
    <s v=" "/>
    <s v=" "/>
    <s v=" "/>
    <m/>
    <s v=" "/>
  </r>
  <r>
    <s v="LVA06373"/>
    <s v="JFCOM"/>
    <s v="Federal"/>
    <s v="Fee Simple"/>
    <s v="112 Lake View Pky"/>
    <s v="Suffolk"/>
    <s v="VA"/>
    <n v="14.18"/>
    <n v="1996"/>
    <n v="143130"/>
    <n v="143130"/>
    <n v="1"/>
    <n v="3698218.58"/>
    <n v="25.83817913784671"/>
    <n v="3035250"/>
    <n v="21.20624607000628"/>
    <d v="2007-09-15T00:00:00"/>
    <d v="2027-09-14T00:00:00"/>
    <d v="2017-09-14T00:00:00"/>
    <n v="12.29041095890411"/>
    <n v="2.284931506849315"/>
    <s v="Modified Gross"/>
    <s v="None"/>
    <s v="None"/>
    <n v="42750000"/>
    <n v="298.6795221127646"/>
    <n v="0.07099999999999999"/>
    <m/>
    <d v="2015-06-03T00:00:00"/>
    <x v="1403"/>
    <s v="Newmark; Gallas"/>
    <x v="1"/>
    <s v="IL"/>
    <s v="Private"/>
    <m/>
    <m/>
    <m/>
    <s v=" "/>
    <s v=" "/>
    <m/>
    <s v=" "/>
    <s v=" "/>
    <s v=" "/>
    <m/>
    <s v=" "/>
  </r>
  <r>
    <s v="LTX16750"/>
    <s v="SSA"/>
    <s v="Federal"/>
    <s v="Fee Simple"/>
    <s v="1735 Coffee Port Rd"/>
    <s v="Brownsville"/>
    <s v="TX"/>
    <n v="1.47"/>
    <n v="2002"/>
    <n v="23978"/>
    <n v="23978"/>
    <n v="1"/>
    <n v="475742"/>
    <n v="19.84077070648094"/>
    <n v="405298"/>
    <n v="16.9029110017516"/>
    <d v="2011-04-01T00:00:00"/>
    <d v="2021-03-31T00:00:00"/>
    <d v="2016-03-31T00:00:00"/>
    <n v="5.832876712328767"/>
    <n v="0.8301369863013699"/>
    <s v="Modified Gross"/>
    <s v="None"/>
    <s v="None"/>
    <m/>
    <s v=" "/>
    <s v=" "/>
    <m/>
    <d v="2015-06-02T00:00:00"/>
    <x v="921"/>
    <s v="FORECLOSURE"/>
    <x v="1014"/>
    <s v="CT"/>
    <s v="Private"/>
    <m/>
    <m/>
    <m/>
    <s v=" "/>
    <s v=" "/>
    <m/>
    <s v=" "/>
    <s v=" "/>
    <s v=" "/>
    <m/>
    <s v=" "/>
  </r>
  <r>
    <m/>
    <s v="HHSC"/>
    <s v="State"/>
    <s v="Fee Simple"/>
    <s v="3000 E Villa Maria"/>
    <s v="Bryan"/>
    <s v="TX"/>
    <n v="2.2"/>
    <n v="1991"/>
    <n v="28749"/>
    <n v="28749"/>
    <n v="1"/>
    <n v="259232"/>
    <n v="9.017078854916694"/>
    <n v="189084"/>
    <n v="6.577063550036523"/>
    <m/>
    <d v="2018-08-31T00:00:00"/>
    <m/>
    <n v="3.249315068493151"/>
    <s v=" "/>
    <s v="Full Service"/>
    <s v="None"/>
    <s v="None"/>
    <m/>
    <s v=" "/>
    <s v=" "/>
    <m/>
    <d v="2015-06-02T00:00:00"/>
    <x v="921"/>
    <m/>
    <x v="974"/>
    <s v="CT"/>
    <s v="Institutional"/>
    <m/>
    <m/>
    <m/>
    <s v=" "/>
    <s v=" "/>
    <m/>
    <s v=" "/>
    <s v=" "/>
    <s v=" "/>
    <m/>
    <s v=" "/>
  </r>
  <r>
    <s v="LTN61089"/>
    <s v="USDA"/>
    <s v="Federal"/>
    <s v="Fee Simple"/>
    <s v="1410 Kensington Sq"/>
    <s v="Murfreesboro"/>
    <s v="TN"/>
    <n v="0.8100000000000001"/>
    <n v="1997"/>
    <n v="4370"/>
    <n v="8324"/>
    <n v="0.5249879865449303"/>
    <m/>
    <s v=" "/>
    <n v="82000"/>
    <n v="9.851033157135992"/>
    <d v="2011-10-01T00:00:00"/>
    <d v="2021-09-30T00:00:00"/>
    <d v="2016-10-01T00:00:00"/>
    <n v="6.334246575342465"/>
    <n v="1.334246575342466"/>
    <s v="FS"/>
    <m/>
    <s v="None"/>
    <n v="1025000"/>
    <n v="123.1379144641999"/>
    <n v="0.08"/>
    <m/>
    <d v="2015-06-02T00:00:00"/>
    <x v="8"/>
    <m/>
    <x v="1015"/>
    <s v="PA"/>
    <s v="Private"/>
    <m/>
    <m/>
    <m/>
    <s v=" "/>
    <s v=" "/>
    <m/>
    <s v=" "/>
    <s v=" "/>
    <s v=" "/>
    <m/>
    <s v=" "/>
  </r>
  <r>
    <m/>
    <s v="DMV"/>
    <s v="State"/>
    <s v="Fee Simple"/>
    <s v="2785 Auto Plaza Dr"/>
    <s v="Tracy"/>
    <s v="CA"/>
    <n v="2.25"/>
    <n v="2007"/>
    <m/>
    <n v="10000"/>
    <s v=" "/>
    <n v="379320"/>
    <s v=" "/>
    <m/>
    <s v=" "/>
    <m/>
    <m/>
    <m/>
    <s v=" "/>
    <s v=" "/>
    <m/>
    <m/>
    <m/>
    <n v="1290000"/>
    <n v="129"/>
    <s v=" "/>
    <m/>
    <d v="2015-06-02T00:00:00"/>
    <x v="8"/>
    <m/>
    <x v="0"/>
    <m/>
    <m/>
    <m/>
    <m/>
    <m/>
    <s v=" "/>
    <s v=" "/>
    <m/>
    <s v=" "/>
    <s v=" "/>
    <s v=" "/>
    <m/>
    <s v=" "/>
  </r>
  <r>
    <s v="LVA12666"/>
    <m/>
    <s v="Federal"/>
    <s v="Fee Simple"/>
    <s v="883 S Pickett St"/>
    <s v="Alexandria"/>
    <s v="VA"/>
    <n v="4.22"/>
    <n v="1982"/>
    <n v="135888"/>
    <n v="246145"/>
    <n v="0.5520648398301814"/>
    <n v="2932463.04"/>
    <n v="21.58"/>
    <n v="1500031.626"/>
    <n v="6.094097487253448"/>
    <d v="2014-08-01T00:00:00"/>
    <d v="2024-07-31T00:00:00"/>
    <d v="2019-08-01T00:00:00"/>
    <n v="9.172602739726027"/>
    <n v="4.16986301369863"/>
    <s v="FS"/>
    <m/>
    <s v="None"/>
    <n v="21127206"/>
    <n v="85.83235897540068"/>
    <n v="0.07099999999999999"/>
    <m/>
    <d v="2015-06-01T00:00:00"/>
    <x v="92"/>
    <s v="Bruce Strasburg - HFF"/>
    <x v="1016"/>
    <s v="IL"/>
    <s v="Institutional"/>
    <m/>
    <m/>
    <m/>
    <s v=" "/>
    <s v=" "/>
    <m/>
    <s v=" "/>
    <s v=" "/>
    <s v=" "/>
    <m/>
    <s v=" "/>
  </r>
  <r>
    <s v="LVA00176"/>
    <s v="NSF"/>
    <s v="Federal"/>
    <s v="Fee Simple"/>
    <s v="4121 Wilson Blvd"/>
    <s v="Arlington"/>
    <s v="VA"/>
    <n v="0.91"/>
    <n v="1999"/>
    <n v="95079"/>
    <n v="184548"/>
    <n v="0.5151992977436765"/>
    <n v="3802320.21"/>
    <n v="39.9911674502256"/>
    <n v="5701800"/>
    <n v="30.8960270498732"/>
    <d v="2000-11-01T00:00:00"/>
    <d v="2017-12-31T00:00:00"/>
    <d v="2017-12-31T00:00:00"/>
    <n v="2.586301369863014"/>
    <n v="2.586301369863014"/>
    <s v="FS"/>
    <m/>
    <s v="None"/>
    <n v="78000000"/>
    <n v="422.654268808115"/>
    <n v="0.0731"/>
    <m/>
    <d v="2015-06-01T00:00:00"/>
    <x v="1353"/>
    <s v="TW; Trainor"/>
    <x v="976"/>
    <s v="MA"/>
    <s v="Institutional"/>
    <m/>
    <m/>
    <m/>
    <s v=" "/>
    <s v=" "/>
    <m/>
    <s v=" "/>
    <s v=" "/>
    <s v=" "/>
    <m/>
    <s v=" "/>
  </r>
  <r>
    <s v="LTX16535"/>
    <s v="IRS"/>
    <s v="Federal"/>
    <s v="Fee Simple"/>
    <s v="5015 S IH-35"/>
    <s v="Austin"/>
    <s v="TX"/>
    <n v="10.27"/>
    <n v="2007"/>
    <n v="92335"/>
    <n v="122916"/>
    <n v="0.7512040743271828"/>
    <n v="2483534.59"/>
    <n v="26.89700102886229"/>
    <n v="2100000"/>
    <n v="17.08483842624231"/>
    <d v="2009-02-18T00:00:00"/>
    <d v="2021-02-17T00:00:00"/>
    <d v="2014-02-18T00:00:00"/>
    <n v="5.720547945205479"/>
    <n v="-1.282191780821918"/>
    <s v="Modified Gross"/>
    <s v="None"/>
    <s v="None"/>
    <n v="35000000"/>
    <n v="284.7473071040386"/>
    <n v="0.06"/>
    <m/>
    <d v="2015-06-01T00:00:00"/>
    <x v="1404"/>
    <s v="CBRE"/>
    <x v="1"/>
    <s v="IL"/>
    <s v="Private"/>
    <m/>
    <m/>
    <m/>
    <s v=" "/>
    <s v=" "/>
    <m/>
    <s v=" "/>
    <s v=" "/>
    <s v=" "/>
    <m/>
    <s v=" "/>
  </r>
  <r>
    <m/>
    <s v="USPS"/>
    <s v="Federal"/>
    <s v="Fee Simple"/>
    <s v="17283 General Puller Hwy"/>
    <s v="Deltaville"/>
    <s v="VA"/>
    <n v="1.81"/>
    <n v="1999"/>
    <n v="4415"/>
    <n v="4415"/>
    <n v="1"/>
    <n v="61430.7"/>
    <n v="13.91408833522084"/>
    <n v="0"/>
    <s v=" "/>
    <m/>
    <d v="2020-01-31T00:00:00"/>
    <m/>
    <n v="4.671232876712328"/>
    <s v=" "/>
    <s v="Rider"/>
    <s v="Options"/>
    <s v="4, 5 yr"/>
    <m/>
    <s v=" "/>
    <s v=" "/>
    <m/>
    <d v="2015-06-01T00:00:00"/>
    <x v="611"/>
    <m/>
    <x v="974"/>
    <s v="CT"/>
    <s v="Institutional"/>
    <m/>
    <m/>
    <m/>
    <s v=" "/>
    <s v=" "/>
    <m/>
    <s v=" "/>
    <s v=" "/>
    <s v=" "/>
    <m/>
    <s v=" "/>
  </r>
  <r>
    <m/>
    <s v="DHS"/>
    <s v="State"/>
    <s v="Fee Simple"/>
    <s v="7400 Diana"/>
    <s v="El Paso"/>
    <s v="TX"/>
    <n v="1.76"/>
    <n v="2002"/>
    <n v="17720"/>
    <n v="17720"/>
    <n v="1"/>
    <m/>
    <m/>
    <m/>
    <m/>
    <d v="2002-01-01T00:00:00"/>
    <d v="2020-12-31T00:00:00"/>
    <m/>
    <n v="5.589041095890411"/>
    <s v=" "/>
    <s v="Modified Gross"/>
    <s v="None"/>
    <s v="None"/>
    <m/>
    <s v=" "/>
    <s v=" "/>
    <m/>
    <d v="2015-06-01T00:00:00"/>
    <x v="104"/>
    <m/>
    <x v="84"/>
    <s v="IL"/>
    <s v="Private"/>
    <m/>
    <m/>
    <m/>
    <s v=" "/>
    <s v=" "/>
    <m/>
    <s v=" "/>
    <s v=" "/>
    <s v=" "/>
    <m/>
    <s v=" "/>
  </r>
  <r>
    <m/>
    <s v="BPC"/>
    <s v="State"/>
    <s v="Fee Simple"/>
    <s v="7450 John White Blvd"/>
    <s v="Fort Worth"/>
    <s v="TX"/>
    <n v="2.38"/>
    <n v="1996"/>
    <n v="23647"/>
    <n v="23647"/>
    <n v="1"/>
    <n v="214890"/>
    <n v="9.087410665200659"/>
    <n v="128508"/>
    <n v="5.434431428933903"/>
    <m/>
    <d v="2022-03-31T00:00:00"/>
    <m/>
    <n v="6.835616438356165"/>
    <s v=" "/>
    <s v="Full Service"/>
    <s v="None"/>
    <s v="None"/>
    <m/>
    <s v=" "/>
    <s v=" "/>
    <m/>
    <d v="2015-06-01T00:00:00"/>
    <x v="611"/>
    <m/>
    <x v="974"/>
    <s v="CT"/>
    <s v="Institutional"/>
    <m/>
    <m/>
    <m/>
    <s v=" "/>
    <s v=" "/>
    <m/>
    <s v=" "/>
    <s v=" "/>
    <s v=" "/>
    <m/>
    <s v=" "/>
  </r>
  <r>
    <m/>
    <s v="HHSC/DFPS"/>
    <s v="State"/>
    <s v="Fee Simple"/>
    <s v="103 Park Hill Dr"/>
    <s v="Hamilton"/>
    <s v="TX"/>
    <n v="0.54"/>
    <n v="1990"/>
    <n v="5865"/>
    <n v="5865"/>
    <n v="1"/>
    <n v="42460"/>
    <n v="7.239556692242115"/>
    <n v="27529"/>
    <n v="4.693776641091219"/>
    <m/>
    <d v="2018-08-31T00:00:00"/>
    <m/>
    <n v="3.252054794520548"/>
    <s v=" "/>
    <s v="Full Service"/>
    <s v="None"/>
    <s v="None"/>
    <m/>
    <s v=" "/>
    <s v=" "/>
    <m/>
    <d v="2015-06-01T00:00:00"/>
    <x v="611"/>
    <m/>
    <x v="974"/>
    <s v="CT"/>
    <s v="Institutional"/>
    <m/>
    <m/>
    <m/>
    <s v=" "/>
    <s v=" "/>
    <m/>
    <s v=" "/>
    <s v=" "/>
    <s v=" "/>
    <m/>
    <s v=" "/>
  </r>
  <r>
    <s v="LLA17296"/>
    <s v="Multi"/>
    <s v="State"/>
    <s v="Fee Simple"/>
    <s v="611 Broad St"/>
    <s v="Lake Charles"/>
    <s v="LA"/>
    <m/>
    <m/>
    <n v="56570"/>
    <n v="56570"/>
    <n v="1"/>
    <n v="1051821.76"/>
    <n v="18.59327841612162"/>
    <m/>
    <s v=" "/>
    <d v="2014-05-01T00:00:00"/>
    <d v="2029-04-30T00:00:00"/>
    <d v="2024-04-30T00:00:00"/>
    <n v="13.92328767123288"/>
    <n v="8.920547945205479"/>
    <s v="Modified Gross"/>
    <s v="None"/>
    <s v="None"/>
    <n v="9860829"/>
    <n v="174.3119851511402"/>
    <s v=" "/>
    <m/>
    <d v="2015-06-01T00:00:00"/>
    <x v="1405"/>
    <m/>
    <x v="429"/>
    <s v="NY"/>
    <s v="Private"/>
    <m/>
    <m/>
    <m/>
    <s v=" "/>
    <s v=" "/>
    <m/>
    <s v=" "/>
    <s v=" "/>
    <s v=" "/>
    <m/>
    <s v=" "/>
  </r>
  <r>
    <m/>
    <s v="VA"/>
    <s v="Federal"/>
    <s v="Fee Simple"/>
    <s v="4237 S Pipkin Rd"/>
    <s v="Lakeland"/>
    <s v="FL"/>
    <n v="2.02"/>
    <n v="2008"/>
    <n v="10618"/>
    <n v="10618"/>
    <n v="1"/>
    <m/>
    <s v=" "/>
    <n v="258875"/>
    <n v="24.38076850631004"/>
    <d v="2008-11-01T00:00:00"/>
    <d v="2018-10-31T00:00:00"/>
    <d v="2013-10-31T00:00:00"/>
    <n v="3.419178082191781"/>
    <n v="-1.583561643835616"/>
    <s v="Modified Gross"/>
    <s v="None"/>
    <s v="None"/>
    <n v="2725000"/>
    <n v="256.6396684874741"/>
    <n v="0.095"/>
    <m/>
    <d v="2015-06-01T00:00:00"/>
    <x v="1397"/>
    <s v="Direct"/>
    <x v="692"/>
    <s v="TX"/>
    <s v="Private"/>
    <m/>
    <m/>
    <m/>
    <s v=" "/>
    <s v=" "/>
    <m/>
    <s v=" "/>
    <s v=" "/>
    <s v=" "/>
    <m/>
    <s v=" "/>
  </r>
  <r>
    <m/>
    <s v="Southern Highlands Preparatory School"/>
    <s v="State"/>
    <s v="Fee Simple"/>
    <s v="11500 Southern Highlands Pkwy"/>
    <s v="Las Vegas"/>
    <s v="NV"/>
    <n v="4.37"/>
    <n v="2005"/>
    <n v="34492"/>
    <n v="34492"/>
    <n v="1"/>
    <m/>
    <s v=" "/>
    <n v="691650"/>
    <n v="20.05247593644903"/>
    <m/>
    <m/>
    <m/>
    <s v=" "/>
    <s v=" "/>
    <m/>
    <m/>
    <m/>
    <n v="8700000"/>
    <n v="252.23240171634"/>
    <n v="0.0795"/>
    <m/>
    <d v="2015-06-01T00:00:00"/>
    <x v="8"/>
    <s v="Charles Moore"/>
    <x v="0"/>
    <m/>
    <m/>
    <m/>
    <m/>
    <n v="9037000"/>
    <n v="0.07653535465309284"/>
    <n v="0.9627088635609162"/>
    <n v="9037000"/>
    <n v="0.07653535465309284"/>
    <n v="0.002964645346907158"/>
    <s v="No"/>
    <d v="2014-12-04T00:00:00"/>
    <n v="179"/>
  </r>
  <r>
    <s v="LWI16089"/>
    <s v="SSA"/>
    <s v="Federal"/>
    <s v="Fee Simple"/>
    <s v="6300 W Fond du Lac"/>
    <s v="Milwaukee"/>
    <s v="WI"/>
    <n v="1.14"/>
    <n v="1997"/>
    <n v="24854"/>
    <n v="24854"/>
    <n v="1"/>
    <n v="677700"/>
    <n v="27.26724068560393"/>
    <n v="475950"/>
    <n v="19.14983503661383"/>
    <d v="1997-10-10T00:00:00"/>
    <d v="2017-10-09T00:00:00"/>
    <d v="2007-10-09T00:00:00"/>
    <n v="2.358904109589041"/>
    <n v="-7.64931506849315"/>
    <s v="Modified Gross"/>
    <s v="None"/>
    <s v="None"/>
    <n v="4600000"/>
    <n v="185.0808722941981"/>
    <n v="0.1034673913043478"/>
    <m/>
    <d v="2015-06-01T00:00:00"/>
    <x v="1406"/>
    <m/>
    <x v="974"/>
    <s v="CT"/>
    <s v="Institutional"/>
    <m/>
    <m/>
    <m/>
    <s v=" "/>
    <s v=" "/>
    <m/>
    <s v=" "/>
    <s v=" "/>
    <s v=" "/>
    <m/>
    <s v=" "/>
  </r>
  <r>
    <m/>
    <s v="VA"/>
    <s v="Federal"/>
    <s v="Fee Simple"/>
    <s v="301 N Elmire St"/>
    <s v="Sayre"/>
    <s v="PA"/>
    <m/>
    <n v="1997"/>
    <n v="21217"/>
    <n v="21217"/>
    <n v="1"/>
    <m/>
    <s v=" "/>
    <m/>
    <s v=" "/>
    <d v="1997-07-17T00:00:00"/>
    <d v="2012-07-16T00:00:00"/>
    <d v="2012-07-16T00:00:00"/>
    <n v="-2.876712328767123"/>
    <n v="-2.876712328767123"/>
    <s v="Modified Gross"/>
    <s v="None"/>
    <s v="None"/>
    <m/>
    <s v=" "/>
    <s v=" "/>
    <m/>
    <d v="2015-06-01T00:00:00"/>
    <x v="104"/>
    <m/>
    <x v="84"/>
    <s v="IL"/>
    <s v="Private"/>
    <m/>
    <m/>
    <m/>
    <s v=" "/>
    <s v=" "/>
    <m/>
    <s v=" "/>
    <s v=" "/>
    <s v=" "/>
    <m/>
    <s v=" "/>
  </r>
  <r>
    <m/>
    <s v="SS/AOC"/>
    <s v="Federal"/>
    <s v="Fee Simple"/>
    <s v="325 S 1st Ave"/>
    <s v="Sioux Falls"/>
    <s v="SD"/>
    <n v="0.98"/>
    <n v="2006"/>
    <m/>
    <n v="65129"/>
    <s v=" "/>
    <n v="1931279"/>
    <s v=" "/>
    <n v="1491696"/>
    <n v="22.90371416726804"/>
    <m/>
    <d v="2022-06-30T00:00:00"/>
    <d v="2022-06-30T00:00:00"/>
    <n v="7.084931506849315"/>
    <n v="7.084931506849315"/>
    <s v="Modified Gross"/>
    <s v="None"/>
    <s v="None"/>
    <n v="15500000"/>
    <n v="237.9892213913925"/>
    <n v="0.09623845161290323"/>
    <m/>
    <d v="2015-06-01T00:00:00"/>
    <x v="1407"/>
    <s v="Goldmark"/>
    <x v="1017"/>
    <m/>
    <m/>
    <m/>
    <m/>
    <n v="17000000"/>
    <n v="0.08774682352941177"/>
    <n v="0.9117647058823529"/>
    <n v="17000000"/>
    <n v="0.08774682352941177"/>
    <n v="0.008491628083491465"/>
    <s v="No"/>
    <m/>
    <s v=" "/>
  </r>
  <r>
    <m/>
    <s v="HHSC"/>
    <s v="State"/>
    <s v="Fee Simple"/>
    <s v="1320 E Highway 84"/>
    <s v="Teague"/>
    <s v="TX"/>
    <n v="1.1"/>
    <n v="1990"/>
    <n v="3750"/>
    <n v="3750"/>
    <n v="1"/>
    <n v="28841"/>
    <n v="7.690933333333334"/>
    <n v="11334"/>
    <n v="3.0224"/>
    <d v="1999-07-01T00:00:00"/>
    <d v="2019-08-01T00:00:00"/>
    <m/>
    <n v="4.16986301369863"/>
    <s v=" "/>
    <s v="Full Service"/>
    <s v="None"/>
    <s v="None"/>
    <m/>
    <s v=" "/>
    <s v=" "/>
    <m/>
    <d v="2015-06-01T00:00:00"/>
    <x v="611"/>
    <m/>
    <x v="974"/>
    <s v="CT"/>
    <s v="Institutional"/>
    <m/>
    <m/>
    <m/>
    <s v=" "/>
    <s v=" "/>
    <m/>
    <s v=" "/>
    <s v=" "/>
    <s v=" "/>
    <m/>
    <s v=" "/>
  </r>
  <r>
    <s v="LTX15639"/>
    <s v="CBP"/>
    <s v="Federal"/>
    <s v="Fee Simple"/>
    <s v="500 Laurel St"/>
    <s v="Van Horn"/>
    <s v="TX"/>
    <n v="10.58"/>
    <n v="2007"/>
    <n v="21358"/>
    <n v="21358"/>
    <n v="1"/>
    <n v="949751.4399999999"/>
    <n v="44.46818241408371"/>
    <n v="915310"/>
    <n v="42.8556044573462"/>
    <d v="2007-02-15T00:00:00"/>
    <d v="2027-02-14T00:00:00"/>
    <d v="2022-02-15T00:00:00"/>
    <n v="11.71506849315069"/>
    <n v="6.715068493150685"/>
    <s v="FS"/>
    <m/>
    <s v="None"/>
    <n v="11660000"/>
    <n v="545.931266972563"/>
    <n v="0.0785"/>
    <m/>
    <d v="2015-06-01T00:00:00"/>
    <x v="1408"/>
    <m/>
    <x v="84"/>
    <s v="IL"/>
    <s v="Private"/>
    <m/>
    <m/>
    <m/>
    <s v=" "/>
    <s v=" "/>
    <m/>
    <s v=" "/>
    <s v=" "/>
    <s v=" "/>
    <m/>
    <s v=" "/>
  </r>
  <r>
    <m/>
    <s v="USPS"/>
    <s v="Federal"/>
    <s v="Fee Simple"/>
    <s v="40090 Hempstead Highway"/>
    <s v="Waller"/>
    <s v="TX"/>
    <n v="2.62"/>
    <n v="2001"/>
    <n v="8695"/>
    <n v="8695"/>
    <n v="1"/>
    <n v="104907"/>
    <n v="12.06520989074181"/>
    <n v="81225"/>
    <n v="9.341575618171364"/>
    <d v="2001-04-01T00:00:00"/>
    <d v="2021-03-31T00:00:00"/>
    <d v="2021-03-31T00:00:00"/>
    <n v="5.835616438356165"/>
    <n v="5.835616438356165"/>
    <s v="Rider"/>
    <s v="None"/>
    <s v="4, 5 yr"/>
    <m/>
    <s v=" "/>
    <s v=" "/>
    <m/>
    <d v="2015-06-01T00:00:00"/>
    <x v="611"/>
    <m/>
    <x v="974"/>
    <s v="CT"/>
    <s v="Institutional"/>
    <m/>
    <m/>
    <m/>
    <s v=" "/>
    <s v=" "/>
    <m/>
    <s v=" "/>
    <s v=" "/>
    <s v=" "/>
    <m/>
    <s v=" "/>
  </r>
  <r>
    <s v="LLA17192"/>
    <s v="SSA"/>
    <s v="Federal"/>
    <s v="Fee Simple"/>
    <s v="1240 S Pointe Pky"/>
    <s v="Shreveport"/>
    <s v="LA"/>
    <n v="2.75"/>
    <n v="2002"/>
    <n v="17900"/>
    <n v="17900"/>
    <n v="1"/>
    <n v="482365.08"/>
    <n v="26.94776983240224"/>
    <m/>
    <s v=" "/>
    <d v="2013-01-14T00:00:00"/>
    <d v="2023-01-13T00:00:00"/>
    <d v="2018-01-14T00:00:00"/>
    <n v="7.627397260273972"/>
    <n v="2.627397260273973"/>
    <s v="Modified Gross"/>
    <s v="None"/>
    <s v="None"/>
    <n v="1568000"/>
    <n v="87.59776536312849"/>
    <s v=" "/>
    <m/>
    <d v="2015-05-31T00:00:00"/>
    <x v="1409"/>
    <m/>
    <x v="1018"/>
    <s v="LA"/>
    <s v="Private"/>
    <m/>
    <m/>
    <m/>
    <s v=" "/>
    <s v=" "/>
    <m/>
    <s v=" "/>
    <s v=" "/>
    <s v=" "/>
    <m/>
    <s v=" "/>
  </r>
  <r>
    <s v="LNC50010"/>
    <s v="IRS/ATF"/>
    <s v="Federal"/>
    <s v="Fee Simple"/>
    <s v="4905 Koger Blvd"/>
    <s v="Greensboro"/>
    <s v="NC"/>
    <n v="16.23"/>
    <n v="1990"/>
    <n v="86190"/>
    <n v="243539"/>
    <n v="0.3539063558608683"/>
    <n v="2220758.13"/>
    <n v="25.76584441350505"/>
    <n v="1993980"/>
    <n v="8.187518220900964"/>
    <d v="2011-07-01T00:00:00"/>
    <d v="2021-06-30T00:00:00"/>
    <d v="2016-06-30T00:00:00"/>
    <n v="6.115068493150685"/>
    <n v="1.112328767123288"/>
    <s v="Modified Gross"/>
    <s v="None"/>
    <s v="None"/>
    <n v="19900000"/>
    <n v="81.71175869162639"/>
    <n v="0.1002"/>
    <m/>
    <d v="2015-05-21T00:00:00"/>
    <x v="1410"/>
    <s v="Newmark; Gallas"/>
    <x v="1"/>
    <s v="IL"/>
    <s v="Private"/>
    <m/>
    <m/>
    <m/>
    <s v=" "/>
    <s v=" "/>
    <m/>
    <s v=" "/>
    <s v=" "/>
    <s v=" "/>
    <m/>
    <s v=" "/>
  </r>
  <r>
    <m/>
    <s v="Technical College System of Georgia"/>
    <s v="State"/>
    <s v="Fee Simple"/>
    <s v="1800 Century Pl NE"/>
    <s v="Atlanta"/>
    <s v="GA"/>
    <n v="4"/>
    <n v="1984"/>
    <n v="88251"/>
    <n v="93754"/>
    <n v="0.9413038377029247"/>
    <m/>
    <s v=" "/>
    <m/>
    <s v=" "/>
    <d v="2010-07-01T00:00:00"/>
    <d v="2020-06-30T00:00:00"/>
    <m/>
    <n v="5.131506849315069"/>
    <s v=" "/>
    <s v="Full Service"/>
    <m/>
    <m/>
    <n v="10500000"/>
    <n v="111.9952215372144"/>
    <s v=" "/>
    <m/>
    <d v="2015-05-15T00:00:00"/>
    <x v="1411"/>
    <s v="AY; Tritschler"/>
    <x v="1019"/>
    <s v="AL"/>
    <s v="Private"/>
    <m/>
    <m/>
    <m/>
    <s v=" "/>
    <s v=" "/>
    <m/>
    <s v=" "/>
    <s v=" "/>
    <s v=" "/>
    <d v="2014-09-11T00:00:00"/>
    <n v="246"/>
  </r>
  <r>
    <s v="LOK15475"/>
    <s v="SSA"/>
    <s v="Federal"/>
    <s v="Fee Simple"/>
    <s v="4750 S Garnett Rd"/>
    <s v="Tulsa"/>
    <s v="OK"/>
    <n v="4.57"/>
    <n v="2005"/>
    <n v="29225"/>
    <n v="29225"/>
    <n v="1"/>
    <n v="692179.47"/>
    <n v="23.68449854576561"/>
    <n v="436180"/>
    <n v="14.92489307100086"/>
    <d v="2005-06-08T00:00:00"/>
    <d v="2020-06-07T00:00:00"/>
    <d v="2020-06-07T00:00:00"/>
    <n v="5.071232876712329"/>
    <n v="5.071232876712329"/>
    <s v="Modified Gross"/>
    <s v="None"/>
    <s v="None"/>
    <n v="5650000"/>
    <n v="193.327630453379"/>
    <n v="0.0772"/>
    <m/>
    <d v="2015-05-14T00:00:00"/>
    <x v="1412"/>
    <s v="Colliers; Cottle &amp; Kennedy"/>
    <x v="1"/>
    <s v="IL"/>
    <s v="Private"/>
    <m/>
    <m/>
    <m/>
    <s v=" "/>
    <s v=" "/>
    <m/>
    <s v=" "/>
    <s v=" "/>
    <s v=" "/>
    <m/>
    <s v=" "/>
  </r>
  <r>
    <s v="LUT14604"/>
    <s v="MEPS"/>
    <s v="Federal"/>
    <s v="Fee Simple"/>
    <s v="5416 Amelia Earhart Dr"/>
    <s v="Salt Lake City"/>
    <s v="UT"/>
    <n v="10.83"/>
    <n v="1978"/>
    <n v="25566"/>
    <n v="132653"/>
    <n v="0.1927283966438754"/>
    <m/>
    <s v=" "/>
    <n v="1335000"/>
    <n v="10.06385079870037"/>
    <d v="2013-01-24T00:00:00"/>
    <d v="2028-01-23T00:00:00"/>
    <d v="2023-01-23T00:00:00"/>
    <n v="12.70684931506849"/>
    <n v="7.704109589041096"/>
    <s v="FS"/>
    <m/>
    <s v="None"/>
    <n v="17800000"/>
    <n v="134.1846773160049"/>
    <n v="0.075"/>
    <m/>
    <d v="2015-05-13T00:00:00"/>
    <x v="1413"/>
    <s v="CBRE; Eli Mills"/>
    <x v="1020"/>
    <s v="CA"/>
    <s v="Private"/>
    <m/>
    <m/>
    <m/>
    <s v=" "/>
    <s v=" "/>
    <m/>
    <s v=" "/>
    <s v=" "/>
    <s v=" "/>
    <m/>
    <s v=" "/>
  </r>
  <r>
    <s v="LTX14985"/>
    <s v="SSA/ODAR"/>
    <s v="Federal"/>
    <s v="Fee Simple"/>
    <s v="3801 S Port Ave"/>
    <s v="Corpus Christi"/>
    <s v="TX"/>
    <n v="1.58"/>
    <n v="2002"/>
    <n v="16847"/>
    <n v="16847"/>
    <n v="1"/>
    <n v="445702.48"/>
    <n v="26.45589600522348"/>
    <m/>
    <s v=" "/>
    <d v="2002-10-09T00:00:00"/>
    <d v="2017-10-08T00:00:00"/>
    <d v="2013-10-08T00:00:00"/>
    <n v="2.410958904109589"/>
    <n v="-1.591780821917808"/>
    <s v="Modified Gross"/>
    <s v="None"/>
    <s v="None"/>
    <n v="3250000"/>
    <n v="192.9126847509942"/>
    <s v=" "/>
    <m/>
    <d v="2015-05-12T00:00:00"/>
    <x v="1414"/>
    <s v="Colliers; Bob Cottle &amp; Kennedy"/>
    <x v="1"/>
    <s v="IL"/>
    <s v="Private"/>
    <m/>
    <m/>
    <m/>
    <s v=" "/>
    <s v=" "/>
    <m/>
    <s v=" "/>
    <s v=" "/>
    <s v=" "/>
    <m/>
    <s v=" "/>
  </r>
  <r>
    <m/>
    <s v="NIH"/>
    <s v="Federal"/>
    <s v="Fee Simple"/>
    <s v="301 N Stonestreet Ave"/>
    <s v="Rockville"/>
    <s v="MD"/>
    <n v="3.18"/>
    <n v="1991"/>
    <n v="49956"/>
    <n v="49956"/>
    <n v="1"/>
    <m/>
    <s v=" "/>
    <m/>
    <s v=" "/>
    <m/>
    <d v="2020-07-01T00:00:00"/>
    <d v="2015-07-01T00:00:00"/>
    <n v="5.153424657534247"/>
    <n v="0.1479452054794521"/>
    <s v="Modified Gross"/>
    <s v="None"/>
    <s v="None"/>
    <n v="7250000"/>
    <n v="145.1277123869005"/>
    <s v=" "/>
    <m/>
    <d v="2015-05-08T00:00:00"/>
    <x v="1415"/>
    <s v="CBRE; Haught"/>
    <x v="1021"/>
    <s v="NY"/>
    <s v="Private"/>
    <m/>
    <m/>
    <m/>
    <s v=" "/>
    <s v=" "/>
    <m/>
    <s v=" "/>
    <s v=" "/>
    <s v=" "/>
    <d v="2013-02-08T00:00:00"/>
    <n v="819"/>
  </r>
  <r>
    <s v="LVA00730"/>
    <s v="Multi"/>
    <s v="Federal"/>
    <s v="Fee Simple"/>
    <s v="5365-5505 Robin Hood Rd"/>
    <s v="Norfolk"/>
    <s v="VA"/>
    <n v="21.13"/>
    <n v="1989"/>
    <n v="56042"/>
    <n v="342116"/>
    <n v="0.1638099358112453"/>
    <n v="1114246"/>
    <n v="19.88233824631526"/>
    <n v="2354675"/>
    <n v="6.882680143577033"/>
    <m/>
    <d v="2021-06-30T00:00:00"/>
    <d v="2016-06-30T00:00:00"/>
    <n v="6.156164383561644"/>
    <n v="1.153424657534247"/>
    <s v="Modified Gross"/>
    <s v="None"/>
    <s v="None"/>
    <n v="24250000"/>
    <n v="70.88239076804359"/>
    <n v="0.09710000000000001"/>
    <m/>
    <d v="2015-05-06T00:00:00"/>
    <x v="1416"/>
    <s v="Colliers; Adams"/>
    <x v="214"/>
    <s v="VA"/>
    <s v="Private"/>
    <m/>
    <m/>
    <m/>
    <s v=" "/>
    <s v=" "/>
    <m/>
    <s v=" "/>
    <s v=" "/>
    <s v=" "/>
    <d v="2014-09-08T00:00:00"/>
    <n v="240"/>
  </r>
  <r>
    <m/>
    <s v="FCS"/>
    <s v="State"/>
    <s v="Fee Simple"/>
    <s v="823 Scranton Rd"/>
    <s v="Brunswick"/>
    <s v="GA"/>
    <n v="3.7514"/>
    <n v="2014"/>
    <n v="28800"/>
    <n v="28800"/>
    <n v="1"/>
    <n v="671036.28"/>
    <n v="23.29987083333333"/>
    <m/>
    <s v=" "/>
    <m/>
    <d v="2030-02-23T00:00:00"/>
    <d v="2030-02-23T00:00:00"/>
    <n v="14.81917808219178"/>
    <n v="14.81917808219178"/>
    <s v="Full Service"/>
    <s v="2% annually"/>
    <s v="None"/>
    <n v="6775000"/>
    <n v="235.2430555555555"/>
    <s v=" "/>
    <m/>
    <d v="2015-05-04T00:00:00"/>
    <x v="103"/>
    <s v="Colliers; Cottle &amp; Kennedy"/>
    <x v="1"/>
    <s v="IL"/>
    <s v="Private"/>
    <m/>
    <m/>
    <m/>
    <s v=" "/>
    <s v=" "/>
    <m/>
    <s v=" "/>
    <s v=" "/>
    <s v=" "/>
    <m/>
    <s v=" "/>
  </r>
  <r>
    <s v="LLA14644"/>
    <s v="FBI"/>
    <s v="Federal"/>
    <s v="Fee Simple"/>
    <s v="2901 Leon C. Simon Blvd."/>
    <s v="New Orleans"/>
    <s v="LA"/>
    <n v="6.61"/>
    <n v="1999"/>
    <n v="137279"/>
    <n v="137279"/>
    <n v="1"/>
    <n v="3257424"/>
    <n v="23.72849452574684"/>
    <m/>
    <s v=" "/>
    <d v="1999-08-03T00:00:00"/>
    <d v="2019-08-02T00:00:00"/>
    <d v="2019-08-02T00:00:00"/>
    <n v="4.257534246575342"/>
    <n v="4.257534246575342"/>
    <s v="Modified Gross"/>
    <s v="None"/>
    <s v="None"/>
    <n v="19625000"/>
    <n v="142.9570436847588"/>
    <s v=" "/>
    <m/>
    <d v="2015-05-01T00:00:00"/>
    <x v="1243"/>
    <s v="Direct"/>
    <x v="1022"/>
    <s v="CA"/>
    <s v="Private"/>
    <m/>
    <m/>
    <m/>
    <s v=" "/>
    <s v=" "/>
    <m/>
    <s v=" "/>
    <s v=" "/>
    <s v=" "/>
    <m/>
    <s v=" "/>
  </r>
  <r>
    <m/>
    <s v="USPS"/>
    <s v="Federal"/>
    <s v="Fee Simple"/>
    <s v="643 US Highway 1"/>
    <s v="North Palm Beach"/>
    <s v="FL"/>
    <n v="0.58"/>
    <n v="1964"/>
    <n v="3388"/>
    <n v="3388"/>
    <n v="1"/>
    <m/>
    <s v=" "/>
    <n v="60030"/>
    <n v="17.71841794569067"/>
    <m/>
    <m/>
    <m/>
    <s v=" "/>
    <s v=" "/>
    <m/>
    <m/>
    <m/>
    <n v="900000"/>
    <n v="265.6434474616293"/>
    <n v="0.0667"/>
    <m/>
    <d v="2015-05-01T00:00:00"/>
    <x v="1417"/>
    <s v="TWRC"/>
    <x v="1023"/>
    <s v="NV"/>
    <s v="Private"/>
    <m/>
    <m/>
    <m/>
    <s v=" "/>
    <s v=" "/>
    <m/>
    <s v=" "/>
    <s v=" "/>
    <s v=" "/>
    <m/>
    <s v=" "/>
  </r>
  <r>
    <m/>
    <s v="Multi"/>
    <s v="Municipal"/>
    <s v="Fee Simple"/>
    <s v="1200 S Madison Ave"/>
    <s v="Indianapolis"/>
    <s v="IN"/>
    <n v="4.55"/>
    <n v="1927"/>
    <n v="74204"/>
    <n v="170211"/>
    <n v="0.4359530230126137"/>
    <m/>
    <s v=" "/>
    <n v="1226874.9616"/>
    <n v="7.207965182038764"/>
    <m/>
    <d v="2022-12-31T00:00:00"/>
    <d v="2022-12-31T00:00:00"/>
    <n v="7.67945205479452"/>
    <n v="7.67945205479452"/>
    <s v="Full Service"/>
    <m/>
    <m/>
    <n v="16992728"/>
    <n v="99.83331277062"/>
    <n v="0.0722"/>
    <m/>
    <d v="2015-04-29T00:00:00"/>
    <x v="1418"/>
    <s v="JLL; Robinson"/>
    <x v="474"/>
    <s v="PA"/>
    <s v="Private"/>
    <m/>
    <m/>
    <m/>
    <s v=" "/>
    <s v=" "/>
    <m/>
    <s v=" "/>
    <s v=" "/>
    <s v=" "/>
    <m/>
    <s v=" "/>
  </r>
  <r>
    <m/>
    <s v="USPS"/>
    <s v="Federal"/>
    <s v="Fee Simple"/>
    <s v="848 Oglethorpe Ave SW"/>
    <s v="Atlanta"/>
    <s v="GA"/>
    <m/>
    <m/>
    <n v="10500"/>
    <n v="10500"/>
    <n v="1"/>
    <m/>
    <s v=" "/>
    <m/>
    <s v=" "/>
    <m/>
    <d v="2020-03-31T00:00:00"/>
    <m/>
    <n v="4.928767123287671"/>
    <s v=" "/>
    <s v="Rider"/>
    <m/>
    <m/>
    <n v="927500"/>
    <n v="88.33333333333333"/>
    <s v=" "/>
    <m/>
    <d v="2015-04-28T00:00:00"/>
    <x v="1419"/>
    <s v="Red Rock"/>
    <x v="1024"/>
    <s v="CA"/>
    <s v="Private"/>
    <m/>
    <m/>
    <n v="1000000"/>
    <s v=" "/>
    <n v="0.9275"/>
    <n v="1000000"/>
    <s v=" "/>
    <s v=" "/>
    <s v="No"/>
    <d v="2013-05-03T00:00:00"/>
    <n v="725"/>
  </r>
  <r>
    <s v="LMD12001"/>
    <s v="USCIS"/>
    <s v="Federal"/>
    <s v="Fee Simple"/>
    <s v="3701 Koppers St"/>
    <s v="Baltimore"/>
    <s v="MD"/>
    <n v="8.06"/>
    <n v="1982"/>
    <n v="45867"/>
    <n v="85000"/>
    <n v="0.5396117647058823"/>
    <n v="1366914.49"/>
    <n v="29.80169817079818"/>
    <n v="703532"/>
    <n v="8.276847058823529"/>
    <d v="2013-11-21T00:00:00"/>
    <d v="2028-11-20T00:00:00"/>
    <d v="2023-11-21T00:00:00"/>
    <n v="13.57808219178082"/>
    <n v="8.575342465753424"/>
    <s v="FS"/>
    <m/>
    <s v="None"/>
    <n v="9900000"/>
    <n v="116.4705882352941"/>
    <n v="0.07106383838383838"/>
    <m/>
    <d v="2015-04-27T00:00:00"/>
    <x v="1420"/>
    <s v="JLL; Prutting"/>
    <x v="1"/>
    <s v="IL"/>
    <s v="Private"/>
    <m/>
    <m/>
    <m/>
    <s v=" "/>
    <s v=" "/>
    <m/>
    <s v=" "/>
    <s v=" "/>
    <s v=" "/>
    <m/>
    <s v=" "/>
  </r>
  <r>
    <s v="LGA47151"/>
    <s v="SSA"/>
    <s v="Federal"/>
    <s v="Fee Simple"/>
    <s v="301 Point North Pl"/>
    <s v="Dalton"/>
    <s v="GA"/>
    <n v="1.58"/>
    <n v="2009"/>
    <n v="9235"/>
    <n v="9235"/>
    <n v="1"/>
    <n v="231287.23"/>
    <n v="25.04463779101246"/>
    <m/>
    <s v=" "/>
    <d v="2009-06-01T00:00:00"/>
    <d v="2019-05-31T00:00:00"/>
    <d v="2019-05-31T00:00:00"/>
    <n v="4.095890410958904"/>
    <n v="4.095890410958904"/>
    <s v="Modified Gross"/>
    <s v="None"/>
    <s v="None"/>
    <n v="1567000"/>
    <n v="169.6805630752572"/>
    <s v=" "/>
    <m/>
    <d v="2015-04-27T00:00:00"/>
    <x v="1421"/>
    <m/>
    <x v="841"/>
    <s v="GA"/>
    <s v="Private"/>
    <m/>
    <s v="Alliance Land Group"/>
    <m/>
    <s v=" "/>
    <s v=" "/>
    <m/>
    <s v=" "/>
    <s v=" "/>
    <s v=" "/>
    <m/>
    <s v=" "/>
  </r>
  <r>
    <s v="LTN48172"/>
    <s v="SSA"/>
    <s v="Federal"/>
    <s v="Fee Simple"/>
    <s v="637 Commons Dr"/>
    <s v="Gallatin"/>
    <s v="TN"/>
    <n v="1.84"/>
    <n v="2010"/>
    <n v="8487"/>
    <n v="8487"/>
    <n v="1"/>
    <n v="200938.86"/>
    <n v="23.67607635206787"/>
    <n v="131000"/>
    <n v="15.4353717450218"/>
    <d v="2010-08-01T00:00:00"/>
    <d v="2020-08-30T00:00:00"/>
    <d v="2020-08-30T00:00:00"/>
    <n v="5.347945205479452"/>
    <n v="5.347945205479452"/>
    <s v="Modified Gross"/>
    <s v="None"/>
    <s v="None"/>
    <n v="1444000"/>
    <n v="170.1425709909273"/>
    <n v="0.09072022160664819"/>
    <m/>
    <d v="2015-04-27T00:00:00"/>
    <x v="1422"/>
    <m/>
    <x v="841"/>
    <s v="GA"/>
    <s v="Private"/>
    <m/>
    <m/>
    <m/>
    <s v=" "/>
    <s v=" "/>
    <m/>
    <s v=" "/>
    <s v=" "/>
    <s v=" "/>
    <m/>
    <s v=" "/>
  </r>
  <r>
    <m/>
    <s v="USPS"/>
    <s v="Federal"/>
    <s v="Fee Simple"/>
    <s v="25969 NC Highway 12"/>
    <s v="Rodanthe"/>
    <s v="NC"/>
    <n v="1.15"/>
    <n v="1995"/>
    <n v="2126"/>
    <n v="2126"/>
    <n v="1"/>
    <m/>
    <s v=" "/>
    <n v="31508.4"/>
    <n v="14.82050799623706"/>
    <m/>
    <m/>
    <m/>
    <s v=" "/>
    <s v=" "/>
    <m/>
    <m/>
    <m/>
    <n v="372000"/>
    <n v="174.9764816556914"/>
    <n v="0.0847"/>
    <m/>
    <d v="2015-04-27T00:00:00"/>
    <x v="1387"/>
    <s v="Avery Postal Group; Agnew"/>
    <x v="634"/>
    <m/>
    <m/>
    <m/>
    <m/>
    <n v="455000"/>
    <n v="0.06924923076923077"/>
    <n v="0.8175824175824176"/>
    <n v="455000"/>
    <n v="0.06924923076923077"/>
    <n v="0.01545076923076923"/>
    <s v="No"/>
    <d v="2015-01-20T00:00:00"/>
    <n v="97"/>
  </r>
  <r>
    <s v="LKS11047"/>
    <s v="Multi"/>
    <s v="Federal"/>
    <s v="Fee Simple"/>
    <s v="1131 SW Winding Rd"/>
    <s v="Topeka"/>
    <s v="KS"/>
    <n v="7.02"/>
    <n v="2014"/>
    <n v="22446"/>
    <n v="39822"/>
    <n v="0.5636582793430767"/>
    <n v="645135.85"/>
    <n v="28.74168448721376"/>
    <n v="636677"/>
    <n v="15.9880719200442"/>
    <d v="2011-10-01T00:00:00"/>
    <d v="2026-09-30T00:00:00"/>
    <d v="2021-10-01T00:00:00"/>
    <n v="11.44383561643836"/>
    <n v="6.443835616438356"/>
    <s v="Modified Gross"/>
    <s v="None"/>
    <s v="None"/>
    <n v="7538734"/>
    <n v="189.3107829842801"/>
    <n v="0.08445410064872962"/>
    <m/>
    <d v="2015-04-24T00:00:00"/>
    <x v="1423"/>
    <s v="CP; Sanner"/>
    <x v="429"/>
    <s v="NY"/>
    <s v="Private"/>
    <m/>
    <m/>
    <n v="7958728"/>
    <n v="0.07999733123182498"/>
    <n v="0.9472285018409977"/>
    <n v="7958728"/>
    <n v="0.07999733123182498"/>
    <n v="0.004456769416904635"/>
    <s v="No"/>
    <d v="2014-11-11T00:00:00"/>
    <n v="164"/>
  </r>
  <r>
    <s v="LPA70133"/>
    <s v="EPA"/>
    <s v="Federal"/>
    <s v="Fee Simple"/>
    <s v="1650 Arch St"/>
    <s v="Philadelphia"/>
    <s v="PA"/>
    <n v="0.5600000000000001"/>
    <n v="1974"/>
    <n v="307847"/>
    <n v="553349"/>
    <n v="0.5563342483676667"/>
    <n v="6820937.07"/>
    <n v="22.15690609296177"/>
    <m/>
    <s v=" "/>
    <d v="1998-06-01T00:00:00"/>
    <d v="2018-05-31T00:00:00"/>
    <d v="2008-05-30T00:00:00"/>
    <n v="3.106849315068493"/>
    <n v="-6.901369863013699"/>
    <s v="FS"/>
    <m/>
    <s v="None"/>
    <n v="69790977"/>
    <n v="126.1247006861854"/>
    <s v=" "/>
    <m/>
    <d v="2015-04-23T00:00:00"/>
    <x v="1424"/>
    <s v="JLL; Rodio"/>
    <x v="1025"/>
    <s v="CA"/>
    <s v="Institutional"/>
    <m/>
    <m/>
    <m/>
    <s v=" "/>
    <s v=" "/>
    <m/>
    <s v=" "/>
    <s v=" "/>
    <s v=" "/>
    <m/>
    <s v=" "/>
  </r>
  <r>
    <m/>
    <s v="Jupiter Academy"/>
    <s v="State"/>
    <s v="Fee Simple"/>
    <s v="125 S Pennock Lane"/>
    <s v="Jupiter"/>
    <s v="FL"/>
    <n v="3"/>
    <n v="1986"/>
    <n v="18826"/>
    <n v="18826"/>
    <n v="1"/>
    <m/>
    <s v=" "/>
    <n v="345828"/>
    <n v="18.36970147668119"/>
    <m/>
    <d v="2025-02-28T00:00:00"/>
    <m/>
    <n v="9.863013698630137"/>
    <s v=" "/>
    <s v="NN"/>
    <s v="Annual CPI Escalation"/>
    <m/>
    <n v="3675000"/>
    <n v="195.2087538510571"/>
    <n v="0.09410285714285714"/>
    <m/>
    <d v="2015-04-22T00:00:00"/>
    <x v="1425"/>
    <s v="Michael Sladich"/>
    <x v="1026"/>
    <m/>
    <s v="Private"/>
    <m/>
    <m/>
    <n v="4115000"/>
    <n v="0.0840408262454435"/>
    <n v="0.8930741190765492"/>
    <n v="4115000"/>
    <n v="0.0840408262454435"/>
    <n v="0.01006203089741364"/>
    <s v="No"/>
    <d v="2014-12-12T00:00:00"/>
    <n v="131"/>
  </r>
  <r>
    <m/>
    <s v="DOD/TSA"/>
    <s v="Federal"/>
    <s v="Fee Simple"/>
    <s v="3110-3200 E Guasti Rd"/>
    <s v="Ontario"/>
    <s v="CA"/>
    <n v="7.21"/>
    <n v="2007"/>
    <n v="24861"/>
    <n v="161860"/>
    <n v="0.1535956999876436"/>
    <m/>
    <s v=" "/>
    <m/>
    <s v=" "/>
    <d v="2012-10-10T00:00:00"/>
    <d v="2022-10-09T00:00:00"/>
    <d v="2017-10-10T00:00:00"/>
    <n v="7.484931506849315"/>
    <n v="2.484931506849315"/>
    <s v="Modified Gross"/>
    <s v="None"/>
    <s v="None"/>
    <n v="30900000"/>
    <n v="190.9057209934511"/>
    <s v=" "/>
    <m/>
    <d v="2015-04-17T00:00:00"/>
    <x v="766"/>
    <s v="Newmark; Shannon"/>
    <x v="1027"/>
    <s v="CA"/>
    <s v="Private"/>
    <m/>
    <m/>
    <m/>
    <s v=" "/>
    <s v=" "/>
    <m/>
    <s v=" "/>
    <s v=" "/>
    <s v=" "/>
    <m/>
    <s v=" "/>
  </r>
  <r>
    <s v="LTX16437"/>
    <s v="CBP"/>
    <s v="Federal"/>
    <s v="Fee Simple"/>
    <s v="3000 W Military Hwy"/>
    <s v="McAllen"/>
    <s v="TX"/>
    <n v="23.84"/>
    <n v="2009"/>
    <n v="68564"/>
    <n v="68564"/>
    <n v="1"/>
    <n v="3270678.01"/>
    <n v="47.70255542267078"/>
    <m/>
    <s v=" "/>
    <d v="2009-04-09T00:00:00"/>
    <d v="2029-04-08T00:00:00"/>
    <d v="2024-04-08T00:00:00"/>
    <n v="13.99452054794521"/>
    <n v="8.991780821917809"/>
    <s v="Modified Gross"/>
    <s v="None"/>
    <s v="None"/>
    <n v="37000000"/>
    <n v="539.6417945277406"/>
    <s v=" "/>
    <m/>
    <d v="2015-04-14T00:00:00"/>
    <x v="223"/>
    <s v="HFF; Donnita Wilson"/>
    <x v="2"/>
    <s v="VA"/>
    <s v="Private"/>
    <m/>
    <m/>
    <m/>
    <s v=" "/>
    <s v=" "/>
    <m/>
    <s v=" "/>
    <s v=" "/>
    <s v=" "/>
    <m/>
    <s v=" "/>
  </r>
  <r>
    <m/>
    <s v="USDA"/>
    <s v="Federal"/>
    <s v="Fee Simple"/>
    <s v="6213 Angus Dr"/>
    <s v="Raleigh"/>
    <s v="NC"/>
    <n v="1.3"/>
    <n v="1989"/>
    <n v="4333"/>
    <n v="10680"/>
    <n v="0.4057116104868914"/>
    <m/>
    <s v=" "/>
    <m/>
    <s v=" "/>
    <m/>
    <d v="2019-04-30T00:00:00"/>
    <d v="2014-04-30T00:00:00"/>
    <n v="4.049315068493151"/>
    <n v="-0.9534246575342465"/>
    <s v="Modified Gross"/>
    <s v="None"/>
    <s v="None"/>
    <n v="1450000"/>
    <n v="135.7677902621723"/>
    <s v=" "/>
    <m/>
    <d v="2015-04-13T00:00:00"/>
    <x v="1426"/>
    <m/>
    <x v="1028"/>
    <s v="CA"/>
    <s v="Private"/>
    <m/>
    <m/>
    <m/>
    <s v=" "/>
    <s v=" "/>
    <m/>
    <s v=" "/>
    <s v=" "/>
    <s v=" "/>
    <m/>
    <s v=" "/>
  </r>
  <r>
    <s v="LTX14833"/>
    <s v="USCIS"/>
    <s v="Federal"/>
    <s v="Fee Simple"/>
    <s v="1717 Zoy St"/>
    <s v="Harlingen"/>
    <s v="TX"/>
    <n v="4.2596"/>
    <n v="2002"/>
    <n v="107836"/>
    <n v="107836"/>
    <n v="1"/>
    <n v="2703960.14"/>
    <n v="25.07474442672206"/>
    <m/>
    <s v=" "/>
    <d v="2002-10-16T00:00:00"/>
    <d v="2022-10-15T00:00:00"/>
    <d v="2020-11-14T00:00:00"/>
    <n v="7.52054794520548"/>
    <n v="5.602739726027397"/>
    <s v="Modified Gross"/>
    <s v="None"/>
    <s v="None"/>
    <n v="25349626.3125"/>
    <n v="235.0757290005193"/>
    <s v=" "/>
    <m/>
    <d v="2015-04-10T00:00:00"/>
    <x v="991"/>
    <m/>
    <x v="2"/>
    <s v="VA"/>
    <s v="Private"/>
    <m/>
    <m/>
    <m/>
    <s v=" "/>
    <s v=" "/>
    <m/>
    <s v=" "/>
    <s v=" "/>
    <s v=" "/>
    <m/>
    <s v=" "/>
  </r>
  <r>
    <m/>
    <s v="DCSS"/>
    <s v="State"/>
    <s v="Fee Simple"/>
    <s v="11150 International Dr"/>
    <s v="Rancho Cordova"/>
    <s v="CA"/>
    <n v="6.62"/>
    <n v="1999"/>
    <n v="90111"/>
    <n v="90111"/>
    <n v="1"/>
    <m/>
    <s v=" "/>
    <n v="1287000"/>
    <n v="14.28238505842794"/>
    <m/>
    <d v="2022-03-31T00:00:00"/>
    <m/>
    <n v="6.978082191780822"/>
    <s v=" "/>
    <s v="Full Service"/>
    <s v="$0.60 per SF annually"/>
    <s v="None"/>
    <n v="16500000"/>
    <n v="183.1075007490761"/>
    <n v="0.078"/>
    <m/>
    <d v="2015-04-10T00:00:00"/>
    <x v="1427"/>
    <s v="JLL; Cole"/>
    <x v="445"/>
    <s v="CA"/>
    <s v="Private"/>
    <m/>
    <m/>
    <n v="17000000"/>
    <n v="0.07570588235294118"/>
    <n v="0.9705882352941176"/>
    <n v="17000000"/>
    <n v="0.07570588235294118"/>
    <n v="0.002294117647058821"/>
    <s v="No"/>
    <d v="2014-07-23T00:00:00"/>
    <n v="261"/>
  </r>
  <r>
    <m/>
    <s v="State of Utah - DDS"/>
    <s v="State"/>
    <s v="Fee Simple"/>
    <s v="210 Harris Avenue"/>
    <s v="Salt Lake City"/>
    <s v="UT"/>
    <n v="1.98"/>
    <n v="2008"/>
    <n v="27300"/>
    <n v="27300"/>
    <n v="1"/>
    <m/>
    <s v=" "/>
    <n v="490627"/>
    <n v="17.97168498168498"/>
    <m/>
    <d v="2020-07-31T00:00:00"/>
    <m/>
    <n v="5.315068493150685"/>
    <s v=" "/>
    <s v="Gross"/>
    <s v="1.0% increase annually in base term"/>
    <m/>
    <n v="4750000"/>
    <n v="173.992673992674"/>
    <n v="0.1032898947368421"/>
    <m/>
    <d v="2015-04-09T00:00:00"/>
    <x v="1428"/>
    <s v="SJC; Corriston"/>
    <x v="562"/>
    <m/>
    <s v="Private"/>
    <m/>
    <m/>
    <n v="5900000"/>
    <n v="0.0831571186440678"/>
    <n v="0.8050847457627118"/>
    <n v="5900000"/>
    <n v="0.0831571186440678"/>
    <n v="0.02013277609277431"/>
    <s v="No"/>
    <d v="2014-10-14T00:00:00"/>
    <n v="177"/>
  </r>
  <r>
    <s v="LOK16825"/>
    <s v="SSA"/>
    <s v="Federal"/>
    <s v="Fee Simple"/>
    <s v="900 Leisure Ln"/>
    <s v="Bartlesville"/>
    <s v="OK"/>
    <n v="1"/>
    <n v="2003"/>
    <n v="5412"/>
    <n v="5412"/>
    <n v="1"/>
    <n v="130753"/>
    <n v="24.15983000739098"/>
    <n v="96392"/>
    <n v="17.81079083518108"/>
    <d v="2011-10-01T00:00:00"/>
    <d v="2021-10-01T00:00:00"/>
    <d v="2016-10-01T00:00:00"/>
    <n v="6.487671232876712"/>
    <n v="1.484931506849315"/>
    <s v="Modified Gross"/>
    <s v="None"/>
    <s v="None"/>
    <n v="1269500"/>
    <n v="234.5713229859571"/>
    <n v="0.07592910594722331"/>
    <m/>
    <d v="2015-04-08T00:00:00"/>
    <x v="1331"/>
    <m/>
    <x v="1029"/>
    <s v="MT"/>
    <s v="Private"/>
    <s v="BW; Wells"/>
    <m/>
    <m/>
    <s v=" "/>
    <s v=" "/>
    <m/>
    <s v=" "/>
    <s v=" "/>
    <s v=" "/>
    <m/>
    <s v=" "/>
  </r>
  <r>
    <m/>
    <s v="FBI"/>
    <s v="Federal"/>
    <s v="Fee Simple"/>
    <s v="2003 Chatham Center Dr"/>
    <s v="Savannah"/>
    <s v="GA"/>
    <n v="2"/>
    <n v="2007"/>
    <n v="16540"/>
    <n v="16540"/>
    <n v="1"/>
    <m/>
    <s v=" "/>
    <n v="463700"/>
    <n v="28.03506650544135"/>
    <m/>
    <d v="2027-01-31T00:00:00"/>
    <d v="2017-01-31T00:00:00"/>
    <n v="11.82465753424658"/>
    <n v="1.819178082191781"/>
    <s v="Modified Gross"/>
    <s v="None"/>
    <s v="None"/>
    <n v="5457500"/>
    <n v="329.9576783555018"/>
    <n v="0.0849656436097114"/>
    <m/>
    <d v="2015-04-08T00:00:00"/>
    <x v="1429"/>
    <s v="Colliers; Cottle &amp; Kennedy"/>
    <x v="593"/>
    <s v="IL"/>
    <s v="Private"/>
    <m/>
    <m/>
    <m/>
    <s v=" "/>
    <s v=" "/>
    <m/>
    <s v=" "/>
    <s v=" "/>
    <s v=" "/>
    <m/>
    <s v=" "/>
  </r>
  <r>
    <s v="LFL61860"/>
    <s v="Airforce/Dep't of State"/>
    <s v="Federal"/>
    <s v="Fee Simple"/>
    <s v="2765 Business Center Blvd"/>
    <s v="Melbourne"/>
    <s v="FL"/>
    <n v="5.22"/>
    <n v="1989"/>
    <n v="56004"/>
    <n v="56004"/>
    <n v="1"/>
    <n v="1131375.97"/>
    <n v="20.20169934290408"/>
    <n v="865472"/>
    <n v="15.45375330333548"/>
    <d v="2011-09-01T00:00:00"/>
    <d v="2026-08-31T00:00:00"/>
    <d v="2021-09-01T00:00:00"/>
    <n v="11.41095890410959"/>
    <n v="6.410958904109589"/>
    <s v="Modified Gross"/>
    <s v="None"/>
    <s v="None"/>
    <n v="11233367"/>
    <n v="200.5815120348547"/>
    <n v="0.07704475425756142"/>
    <m/>
    <d v="2015-04-06T00:00:00"/>
    <x v="1430"/>
    <s v="M&amp;M; Ficke"/>
    <x v="1"/>
    <s v="IL"/>
    <s v="Private"/>
    <s v="Newmark; Gallas"/>
    <m/>
    <m/>
    <s v=" "/>
    <s v=" "/>
    <m/>
    <s v=" "/>
    <s v=" "/>
    <s v=" "/>
    <m/>
    <s v=" "/>
  </r>
  <r>
    <m/>
    <s v="SAP/CACI"/>
    <s v="Contractor"/>
    <s v="Fee Simple"/>
    <s v="15040 Conference Center Dr"/>
    <s v="Chantilly"/>
    <s v="VA"/>
    <n v="7.46"/>
    <n v="2006"/>
    <n v="74649"/>
    <n v="115563"/>
    <n v="0.6459593468497703"/>
    <m/>
    <s v=" "/>
    <n v="2310000"/>
    <n v="19.98909685626022"/>
    <m/>
    <d v="2020-07-31T00:00:00"/>
    <d v="2020-07-31T00:00:00"/>
    <n v="5.336986301369863"/>
    <n v="5.336986301369863"/>
    <s v="NNN"/>
    <s v="2% annually"/>
    <s v="None"/>
    <n v="27500000"/>
    <n v="237.9654387650026"/>
    <n v="0.08400000000000001"/>
    <m/>
    <d v="2015-04-01T00:00:00"/>
    <x v="807"/>
    <s v="JLL"/>
    <x v="1030"/>
    <s v="VA"/>
    <s v="Private"/>
    <m/>
    <m/>
    <m/>
    <s v=" "/>
    <s v=" "/>
    <m/>
    <s v=" "/>
    <s v=" "/>
    <s v=" "/>
    <m/>
    <s v=" "/>
  </r>
  <r>
    <m/>
    <s v="USPS"/>
    <s v="Federal"/>
    <s v="Fee Simple"/>
    <s v="445 E Innis Ave"/>
    <s v="Columbus"/>
    <s v="OH"/>
    <n v="0.88"/>
    <n v="1969"/>
    <n v="9063"/>
    <n v="9063"/>
    <n v="1"/>
    <n v="35695"/>
    <n v="3.938541321858104"/>
    <n v="25286"/>
    <n v="2.790025377910184"/>
    <d v="2014-05-01T00:00:00"/>
    <d v="2019-04-30T00:00:00"/>
    <d v="2019-04-30T00:00:00"/>
    <n v="4.084931506849315"/>
    <n v="4.084931506849315"/>
    <s v="Rider"/>
    <s v="None"/>
    <s v="None"/>
    <n v="370000"/>
    <n v="40.8253337746883"/>
    <n v="0.06834054054054053"/>
    <m/>
    <d v="2015-03-31T00:00:00"/>
    <x v="1431"/>
    <s v="TCP; Harrison"/>
    <x v="1031"/>
    <s v="CA"/>
    <s v="Private"/>
    <m/>
    <m/>
    <n v="420000"/>
    <n v="0.06020476190476191"/>
    <n v="0.8809523809523809"/>
    <n v="420000"/>
    <n v="0.06020476190476191"/>
    <n v="0.008135778635778627"/>
    <s v="No"/>
    <d v="2015-02-09T00:00:00"/>
    <n v="50"/>
  </r>
  <r>
    <s v="LNJ23952"/>
    <s v="USDA"/>
    <s v="Federal"/>
    <s v="Fee Simple"/>
    <s v="1500 Lower Rd"/>
    <s v="Linden"/>
    <s v="NJ"/>
    <n v="1.34"/>
    <n v="1972"/>
    <n v="30297"/>
    <n v="30297"/>
    <n v="1"/>
    <n v="831287.0600000001"/>
    <n v="27.43793312869261"/>
    <n v="492750"/>
    <n v="16.26398653332013"/>
    <d v="2013-12-18T00:00:00"/>
    <d v="2028-12-17T00:00:00"/>
    <d v="2023-12-18T00:00:00"/>
    <n v="13.72876712328767"/>
    <n v="8.726027397260275"/>
    <s v="Modified Gross"/>
    <s v="None"/>
    <s v="None"/>
    <n v="7300000"/>
    <n v="240.9479486417797"/>
    <n v="0.0675"/>
    <m/>
    <d v="2015-03-30T00:00:00"/>
    <x v="1432"/>
    <s v="Newmark; Gallas"/>
    <x v="1"/>
    <s v="IL"/>
    <s v="Private"/>
    <m/>
    <m/>
    <m/>
    <s v=" "/>
    <s v=" "/>
    <m/>
    <s v=" "/>
    <s v=" "/>
    <s v=" "/>
    <d v="2014-10-14T00:00:00"/>
    <n v="167"/>
  </r>
  <r>
    <s v="LTN50022"/>
    <s v="FBI"/>
    <s v="Federal"/>
    <s v="Fee Simple"/>
    <s v="2620 Knob Creek Rd"/>
    <s v="Johnson City"/>
    <s v="TN"/>
    <n v="22.69"/>
    <n v="2011"/>
    <n v="10115"/>
    <n v="10115"/>
    <n v="1"/>
    <n v="397468.39"/>
    <n v="39.29494710825507"/>
    <n v="306027.69"/>
    <n v="30.25483835887296"/>
    <d v="2012-08-21T00:00:00"/>
    <d v="2027-08-20T00:00:00"/>
    <d v="2022-08-21T00:00:00"/>
    <n v="12.40821917808219"/>
    <n v="7.408219178082192"/>
    <s v="Modified Gross"/>
    <s v="TI Bleeds Off; $9k"/>
    <s v="None"/>
    <n v="4054054"/>
    <n v="400.7962432031636"/>
    <n v="0.07548683120649108"/>
    <m/>
    <d v="2015-03-27T00:00:00"/>
    <x v="968"/>
    <m/>
    <x v="54"/>
    <s v="NC"/>
    <s v="REIT"/>
    <m/>
    <m/>
    <m/>
    <s v=" "/>
    <s v=" "/>
    <m/>
    <s v=" "/>
    <s v=" "/>
    <s v=" "/>
    <m/>
    <s v=" "/>
  </r>
  <r>
    <m/>
    <s v="FS/BLM"/>
    <s v="Federal"/>
    <s v="Fee Simple"/>
    <s v="626 E Wisconsin Ave"/>
    <s v="Milwaukee"/>
    <s v="WI"/>
    <n v="0.88"/>
    <n v="1929"/>
    <n v="92000"/>
    <n v="133984"/>
    <n v="0.6866491521375687"/>
    <m/>
    <s v=" "/>
    <n v="1700000"/>
    <n v="12.68808215906377"/>
    <m/>
    <d v="2023-08-31T00:00:00"/>
    <d v="2018-08-31T00:00:00"/>
    <n v="8.435616438356165"/>
    <n v="3.432876712328767"/>
    <s v="Modified Gross"/>
    <s v="None"/>
    <s v="None"/>
    <n v="20500000"/>
    <n v="153.0033436828278"/>
    <n v="0.08292682926829269"/>
    <m/>
    <d v="2015-03-27T00:00:00"/>
    <x v="1433"/>
    <s v="JLL; Postweiler"/>
    <x v="1032"/>
    <s v="IL"/>
    <s v="Private"/>
    <m/>
    <m/>
    <m/>
    <s v=" "/>
    <s v=" "/>
    <m/>
    <s v=" "/>
    <s v=" "/>
    <s v=" "/>
    <d v="2014-10-09T00:00:00"/>
    <n v="169"/>
  </r>
  <r>
    <m/>
    <s v="Multi"/>
    <s v="State &amp; Federal"/>
    <s v="Fee Simple"/>
    <s v="123 William St"/>
    <s v="New York"/>
    <s v="NY"/>
    <n v="0.51"/>
    <n v="1957"/>
    <n v="172041"/>
    <n v="530500"/>
    <n v="0.3242997172478794"/>
    <m/>
    <s v=" "/>
    <n v="10120000"/>
    <n v="19.07634307257305"/>
    <m/>
    <d v="2022-06-30T00:00:00"/>
    <d v="2022-06-30T00:00:00"/>
    <n v="7.265753424657534"/>
    <n v="7.265753424657534"/>
    <s v="Full Service"/>
    <s v="2% annually"/>
    <s v="None"/>
    <n v="253000000"/>
    <n v="476.9085768143261"/>
    <n v="0.04"/>
    <m/>
    <d v="2015-03-27T00:00:00"/>
    <x v="1434"/>
    <s v="CBRE; Shanahan"/>
    <x v="1033"/>
    <s v="NY"/>
    <s v="REIT"/>
    <m/>
    <m/>
    <m/>
    <s v=" "/>
    <s v=" "/>
    <m/>
    <s v=" "/>
    <s v=" "/>
    <s v=" "/>
    <d v="2015-02-04T00:00:00"/>
    <n v="51"/>
  </r>
  <r>
    <s v="LCA02002"/>
    <s v="SSA"/>
    <s v="Federal"/>
    <s v="Fee Simple"/>
    <s v="2234 Girard St"/>
    <s v="Delano"/>
    <s v="CA"/>
    <n v="0.6899908172635445"/>
    <n v="1998"/>
    <n v="6195"/>
    <n v="10040"/>
    <n v="0.6170318725099602"/>
    <n v="198733.75"/>
    <n v="32.07970137207425"/>
    <n v="130151"/>
    <n v="12.96324701195219"/>
    <d v="2009-08-01T00:00:00"/>
    <d v="2024-07-31T00:00:00"/>
    <d v="2019-08-01T00:00:00"/>
    <n v="9.358904109589041"/>
    <n v="4.356164383561643"/>
    <s v="Modified Gross"/>
    <s v="None"/>
    <s v="None"/>
    <n v="1740000"/>
    <n v="173.3067729083665"/>
    <n v="0.07479942528735632"/>
    <m/>
    <d v="2015-03-25T00:00:00"/>
    <x v="1435"/>
    <m/>
    <x v="1034"/>
    <s v="CA"/>
    <s v="Private"/>
    <m/>
    <m/>
    <m/>
    <s v=" "/>
    <s v=" "/>
    <m/>
    <s v=" "/>
    <s v=" "/>
    <s v=" "/>
    <m/>
    <s v=" "/>
  </r>
  <r>
    <m/>
    <s v="USPS"/>
    <s v="Federal"/>
    <s v="Fee Simple"/>
    <s v="1285 Apache Ave"/>
    <s v="South Lake Tahoe"/>
    <s v="CA"/>
    <n v="0.74"/>
    <m/>
    <n v="4110"/>
    <n v="4110"/>
    <n v="1"/>
    <m/>
    <s v=" "/>
    <n v="108025"/>
    <n v="26.28345498783455"/>
    <m/>
    <m/>
    <m/>
    <s v=" "/>
    <s v=" "/>
    <m/>
    <s v="3% annually"/>
    <m/>
    <n v="2800000"/>
    <n v="681.2652068126521"/>
    <n v="0.03858035714285715"/>
    <m/>
    <d v="2015-03-25T00:00:00"/>
    <x v="8"/>
    <m/>
    <x v="0"/>
    <m/>
    <m/>
    <m/>
    <m/>
    <m/>
    <s v=" "/>
    <s v=" "/>
    <m/>
    <s v=" "/>
    <s v=" "/>
    <s v=" "/>
    <m/>
    <s v=" "/>
  </r>
  <r>
    <s v="LVA03351"/>
    <s v="SSA"/>
    <s v="Federal"/>
    <s v="Fee Simple"/>
    <s v="340 Hill Carter Pkwy"/>
    <s v="Ashland"/>
    <s v="VA"/>
    <n v="9.800000000000001"/>
    <n v="2003"/>
    <n v="8129"/>
    <n v="58526"/>
    <n v="0.1388955336089943"/>
    <n v="115107"/>
    <n v="14.16004428589002"/>
    <m/>
    <s v=" "/>
    <d v="2004-07-08T00:00:00"/>
    <d v="2017-07-07T00:00:00"/>
    <d v="2009-07-08T00:00:00"/>
    <n v="2.304109589041096"/>
    <n v="-5.698630136986301"/>
    <s v="Modified Gross"/>
    <s v="None"/>
    <s v="None"/>
    <n v="4123000"/>
    <n v="70.44732255749581"/>
    <s v=" "/>
    <m/>
    <d v="2015-03-19T00:00:00"/>
    <x v="1436"/>
    <m/>
    <x v="1035"/>
    <s v="MD"/>
    <s v="Private"/>
    <m/>
    <m/>
    <m/>
    <s v=" "/>
    <s v=" "/>
    <m/>
    <s v=" "/>
    <s v=" "/>
    <s v=" "/>
    <m/>
    <s v=" "/>
  </r>
  <r>
    <s v="LNY23481"/>
    <s v="SSA"/>
    <s v="Federal"/>
    <s v="Fee Simple"/>
    <s v="93 N 9th St"/>
    <s v="Brooklyn"/>
    <s v="NY"/>
    <n v="0.5600000000000001"/>
    <n v="1960"/>
    <n v="7207"/>
    <n v="12000"/>
    <n v="0.6005833333333334"/>
    <n v="333321.2"/>
    <n v="46.2496461773276"/>
    <m/>
    <s v=" "/>
    <d v="2007-12-21T00:00:00"/>
    <d v="2017-12-20T00:00:00"/>
    <d v="2012-12-21T00:00:00"/>
    <n v="2.775342465753424"/>
    <n v="-2.224657534246576"/>
    <s v="Modified Gross"/>
    <s v="None"/>
    <s v="None"/>
    <n v="8350000"/>
    <n v="695.8333333333334"/>
    <s v=" "/>
    <m/>
    <d v="2015-03-13T00:00:00"/>
    <x v="1437"/>
    <m/>
    <x v="1036"/>
    <m/>
    <s v="Institutional"/>
    <m/>
    <m/>
    <m/>
    <s v=" "/>
    <s v=" "/>
    <m/>
    <s v=" "/>
    <s v=" "/>
    <s v=" "/>
    <m/>
    <s v=" "/>
  </r>
  <r>
    <s v="LCA02619"/>
    <s v="ICE"/>
    <s v="Federal"/>
    <s v="Fee Simple"/>
    <s v="443 Redcliff Dr"/>
    <s v="Redding"/>
    <s v="CA"/>
    <n v="1.03"/>
    <n v="1992"/>
    <n v="10157"/>
    <n v="10157"/>
    <n v="1"/>
    <n v="450891.3"/>
    <n v="44.39217288569459"/>
    <n v="362675"/>
    <n v="35.70690164418627"/>
    <d v="2012-12-20T00:00:00"/>
    <d v="2027-12-19T00:00:00"/>
    <d v="2022-12-20T00:00:00"/>
    <n v="12.78082191780822"/>
    <n v="7.780821917808219"/>
    <s v="Modified Gross"/>
    <s v="None"/>
    <s v="None"/>
    <n v="4075000"/>
    <n v="401.2011420695087"/>
    <n v="0.089"/>
    <m/>
    <d v="2015-03-12T00:00:00"/>
    <x v="1438"/>
    <s v="Direct"/>
    <x v="429"/>
    <s v="NY"/>
    <s v="Private"/>
    <m/>
    <m/>
    <m/>
    <s v=" "/>
    <s v=" "/>
    <m/>
    <s v=" "/>
    <s v=" "/>
    <s v=" "/>
    <m/>
    <s v=" "/>
  </r>
  <r>
    <s v="LVA12598"/>
    <s v="DOD"/>
    <s v="Federal"/>
    <s v="Fee Simple"/>
    <s v="5611 Columbia Pike"/>
    <s v="Falls Church"/>
    <s v="VA"/>
    <n v="6.24"/>
    <n v="1964"/>
    <n v="258248"/>
    <n v="258248"/>
    <n v="1"/>
    <n v="9366850"/>
    <n v="36.27075524302221"/>
    <n v="6673162"/>
    <n v="25.84013041727332"/>
    <d v="2013-07-01T00:00:00"/>
    <d v="2023-06-30T00:00:00"/>
    <d v="2023-06-30T00:00:00"/>
    <n v="8.312328767123288"/>
    <n v="8.312328767123288"/>
    <s v="Modified Gross"/>
    <s v="None"/>
    <s v="None"/>
    <n v="96712497"/>
    <n v="374.494660171618"/>
    <n v="0.06899999697040186"/>
    <m/>
    <d v="2015-03-10T00:00:00"/>
    <x v="807"/>
    <s v="JLL; Prutting"/>
    <x v="2"/>
    <s v="VA"/>
    <s v="Private"/>
    <m/>
    <m/>
    <m/>
    <s v=" "/>
    <s v=" "/>
    <m/>
    <s v=" "/>
    <s v=" "/>
    <s v=" "/>
    <m/>
    <s v=" "/>
  </r>
  <r>
    <m/>
    <s v="VA"/>
    <s v="Federal"/>
    <s v="Fee Simple"/>
    <s v="3968 N Rancho Dr"/>
    <s v="Las Vegas"/>
    <s v="NV"/>
    <n v="8.57"/>
    <n v="2011"/>
    <n v="32700"/>
    <n v="32700"/>
    <n v="1"/>
    <n v="1945000"/>
    <n v="59.48012232415902"/>
    <n v="1716410.5"/>
    <n v="52.48961773700306"/>
    <m/>
    <d v="2031-08-19T00:00:00"/>
    <d v="2031-08-19T00:00:00"/>
    <n v="16.47945205479452"/>
    <n v="16.47945205479452"/>
    <s v="Full Service"/>
    <s v="Flat"/>
    <s v="None"/>
    <n v="26750000"/>
    <n v="818.0428134556574"/>
    <n v="0.0641648785046729"/>
    <m/>
    <d v="2015-03-01T00:00:00"/>
    <x v="913"/>
    <s v="CBRE"/>
    <x v="544"/>
    <s v="NY"/>
    <s v="Private"/>
    <m/>
    <m/>
    <m/>
    <s v=" "/>
    <s v=" "/>
    <m/>
    <s v=" "/>
    <s v=" "/>
    <s v=" "/>
    <m/>
    <s v=" "/>
  </r>
  <r>
    <s v="LCA97097"/>
    <s v="CBP"/>
    <s v="Federal"/>
    <s v="Fee Simple"/>
    <s v="2411 Boswell Rd"/>
    <s v="Chula Vista"/>
    <s v="CA"/>
    <n v="4.46"/>
    <n v="1998"/>
    <n v="59397"/>
    <n v="59397"/>
    <n v="1"/>
    <n v="1459141.37"/>
    <n v="24.56591023115646"/>
    <m/>
    <s v=" "/>
    <d v="1998-04-24T00:00:00"/>
    <d v="2018-04-23T00:00:00"/>
    <d v="2008-04-23T00:00:00"/>
    <n v="3.175342465753425"/>
    <n v="-6.83013698630137"/>
    <s v="FS"/>
    <m/>
    <s v="None"/>
    <n v="15426000"/>
    <n v="259.7100863679984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273"/>
    <s v="AOC"/>
    <s v="Federal"/>
    <s v="Fee Simple"/>
    <s v="2003 W Adams Ave"/>
    <s v="El Centro"/>
    <s v="CA"/>
    <n v="6.09"/>
    <n v="2004"/>
    <n v="46813"/>
    <n v="46823"/>
    <n v="0.999786429746065"/>
    <n v="3037113.2"/>
    <n v="64.87755965223336"/>
    <m/>
    <s v=" "/>
    <d v="2004-10-01T00:00:00"/>
    <d v="2019-09-30T00:00:00"/>
    <d v="2014-10-01T00:00:00"/>
    <n v="4.613698630136986"/>
    <n v="-0.3863013698630137"/>
    <s v="FS"/>
    <m/>
    <s v="None"/>
    <n v="28472936.25"/>
    <n v="608.0972225188476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587"/>
    <s v="SSA"/>
    <s v="Federal"/>
    <s v="Fee Simple"/>
    <s v="26051 Acero"/>
    <s v="Mission Viejo"/>
    <s v="CA"/>
    <n v="0.97"/>
    <n v="2005"/>
    <n v="11590"/>
    <n v="11590"/>
    <n v="1"/>
    <n v="529335.08"/>
    <n v="45.67170664365833"/>
    <m/>
    <s v=" "/>
    <d v="2005-12-10T00:00:00"/>
    <d v="2020-12-09T00:00:00"/>
    <d v="2017-12-09T00:00:00"/>
    <n v="5.808219178082192"/>
    <n v="2.805479452054795"/>
    <s v="Modified Gross"/>
    <s v="None"/>
    <s v="None"/>
    <n v="3778000"/>
    <n v="325.9706643658326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058"/>
    <s v="DEA"/>
    <s v="Federal"/>
    <s v="Fee Simple"/>
    <s v="4328 Watt Ave"/>
    <s v="North Highlands"/>
    <s v="CA"/>
    <n v="4.95"/>
    <n v="2002"/>
    <n v="37975"/>
    <n v="37975"/>
    <n v="1"/>
    <n v="1668936.79"/>
    <n v="43.94830256747861"/>
    <m/>
    <s v=" "/>
    <d v="2002-12-23T00:00:00"/>
    <d v="2017-12-22T00:00:00"/>
    <d v="2017-12-22T00:00:00"/>
    <n v="2.841095890410959"/>
    <n v="2.841095890410959"/>
    <s v="FS"/>
    <m/>
    <s v="None"/>
    <n v="15646282.40625"/>
    <n v="412.0153365701119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97427"/>
    <s v="DEA"/>
    <s v="Federal"/>
    <s v="Fee Simple"/>
    <s v="4470 Olivewood"/>
    <s v="Riverside"/>
    <s v="CA"/>
    <n v="1.45"/>
    <n v="1997"/>
    <n v="34354"/>
    <n v="34354"/>
    <n v="1"/>
    <n v="1248706.72"/>
    <n v="36.34821913023229"/>
    <m/>
    <s v=" "/>
    <d v="1997-06-23T00:00:00"/>
    <d v="2017-06-23T00:00:00"/>
    <d v="2017-06-23T00:00:00"/>
    <n v="2.342465753424658"/>
    <n v="2.342465753424658"/>
    <s v="FS"/>
    <m/>
    <s v="None"/>
    <n v="10272000"/>
    <n v="299.0044827385457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98184"/>
    <s v="DEA"/>
    <s v="Federal"/>
    <s v="Fee Simple"/>
    <s v="4920 Greencraig Ln"/>
    <s v="San Diego"/>
    <s v="CA"/>
    <n v="1.12"/>
    <n v="1999"/>
    <n v="16100"/>
    <n v="16100"/>
    <n v="1"/>
    <n v="404095.51"/>
    <n v="25.0991"/>
    <m/>
    <s v=" "/>
    <d v="1999-07-01T00:00:00"/>
    <d v="2016-05-31T00:00:00"/>
    <d v="2016-05-31T00:00:00"/>
    <n v="1.279452054794521"/>
    <n v="1.279452054794521"/>
    <s v="N"/>
    <m/>
    <s v="None"/>
    <n v="4044000"/>
    <n v="251.1801242236025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275"/>
    <s v="SSA"/>
    <s v="Federal"/>
    <s v="Fee Simple"/>
    <s v="8505 Aero Dr"/>
    <s v="San Diego"/>
    <s v="CA"/>
    <n v="0.98"/>
    <n v="2000"/>
    <n v="11743"/>
    <n v="11743"/>
    <n v="1"/>
    <n v="434021.28"/>
    <n v="36.96"/>
    <m/>
    <s v=" "/>
    <d v="2003-12-05T00:00:00"/>
    <d v="2017-12-04T00:00:00"/>
    <d v="2016-12-05T00:00:00"/>
    <n v="2.791780821917808"/>
    <n v="1.794520547945206"/>
    <s v="FS"/>
    <m/>
    <s v="None"/>
    <n v="3842000"/>
    <n v="327.1736353572341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94185"/>
    <s v="DEA"/>
    <s v="Federal"/>
    <s v="Fee Simple"/>
    <s v="2255 Niels Bohr Ct"/>
    <s v="San Diego"/>
    <s v="CA"/>
    <m/>
    <m/>
    <n v="32560"/>
    <n v="32560"/>
    <n v="1"/>
    <n v="1184502.68"/>
    <n v="36.37907493857494"/>
    <m/>
    <s v=" "/>
    <d v="1997-05-07T00:00:00"/>
    <d v="2017-05-31T00:00:00"/>
    <d v="2012-05-06T00:00:00"/>
    <n v="2.279452054794521"/>
    <n v="-2.791780821917808"/>
    <s v="FS"/>
    <m/>
    <s v="None"/>
    <n v="10062000"/>
    <n v="309.029484029484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186"/>
    <s v="DEA"/>
    <s v="Federal"/>
    <s v="Fee Simple"/>
    <s v="1900 E. First St"/>
    <s v="Santa Ana"/>
    <s v="CA"/>
    <n v="5.65"/>
    <n v="2004"/>
    <n v="39905"/>
    <n v="39905"/>
    <n v="1"/>
    <n v="2045016.01"/>
    <n v="51.24711214133567"/>
    <m/>
    <s v=" "/>
    <d v="2004-06-07T00:00:00"/>
    <d v="2024-06-06T00:00:00"/>
    <d v="2019-06-06T00:00:00"/>
    <n v="9.301369863013699"/>
    <n v="4.295890410958904"/>
    <s v="FS"/>
    <m/>
    <s v="None"/>
    <n v="17488100"/>
    <n v="438.2433279037714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GA61020"/>
    <s v="CBP"/>
    <s v="Federal"/>
    <s v="Fee Simple"/>
    <s v="1425 Chatham Pkwy"/>
    <s v="Savannah"/>
    <s v="GA"/>
    <n v="6.11"/>
    <n v="2013"/>
    <n v="35000"/>
    <n v="35000"/>
    <n v="1"/>
    <n v="2105831.88"/>
    <n v="60.16662514285714"/>
    <m/>
    <s v=" "/>
    <d v="2013-06-12T00:00:00"/>
    <d v="2033-06-11T00:00:00"/>
    <d v="2033-06-11T00:00:00"/>
    <n v="18.32054794520548"/>
    <n v="18.32054794520548"/>
    <s v="Modified Gross"/>
    <s v="None"/>
    <s v="None"/>
    <n v="19742173.875"/>
    <n v="564.0621107142857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s v="LCA01022"/>
    <s v="DEA"/>
    <s v="Federal"/>
    <s v="Fee Simple"/>
    <s v="2815 Scott St"/>
    <s v="Vista"/>
    <s v="CA"/>
    <n v="6.96"/>
    <n v="2000"/>
    <n v="54119"/>
    <n v="54119"/>
    <n v="1"/>
    <n v="2752688.43"/>
    <n v="50.86362331159113"/>
    <m/>
    <s v=" "/>
    <d v="2002-11-01T00:00:00"/>
    <d v="2020-10-31T00:00:00"/>
    <d v="2020-10-31T00:00:00"/>
    <n v="5.701369863013698"/>
    <n v="5.701369863013698"/>
    <s v="Modified Gross"/>
    <s v="None"/>
    <s v="None"/>
    <n v="31997000"/>
    <n v="591.2341321901735"/>
    <s v=" "/>
    <m/>
    <d v="2015-02-19T00:00:00"/>
    <x v="1181"/>
    <s v="Direct"/>
    <x v="3"/>
    <s v="DC"/>
    <s v="REIT"/>
    <m/>
    <m/>
    <m/>
    <s v=" "/>
    <s v=" "/>
    <m/>
    <s v=" "/>
    <s v=" "/>
    <s v=" "/>
    <m/>
    <s v=" "/>
  </r>
  <r>
    <m/>
    <s v="USGS"/>
    <s v="Federal"/>
    <s v="Fee Simple"/>
    <s v="6700-A Edith Blvd NW"/>
    <s v="Albuquerque"/>
    <s v="NM"/>
    <n v="2.4"/>
    <n v="2006"/>
    <n v="41166"/>
    <n v="41166"/>
    <n v="1"/>
    <m/>
    <s v=" "/>
    <m/>
    <s v=" "/>
    <m/>
    <m/>
    <m/>
    <s v=" "/>
    <s v=" "/>
    <m/>
    <m/>
    <m/>
    <n v="7600000"/>
    <n v="184.6183743866297"/>
    <s v=" "/>
    <m/>
    <d v="2015-02-17T00:00:00"/>
    <x v="1439"/>
    <m/>
    <x v="1037"/>
    <s v="KS"/>
    <s v="Private"/>
    <m/>
    <m/>
    <m/>
    <s v=" "/>
    <s v=" "/>
    <m/>
    <s v=" "/>
    <s v=" "/>
    <s v=" "/>
    <m/>
    <s v=" "/>
  </r>
  <r>
    <m/>
    <m/>
    <s v="Federal"/>
    <s v="Fee Simple"/>
    <s v="Portfolio of Three"/>
    <s v="Imperial"/>
    <s v="CA"/>
    <n v="4.7"/>
    <m/>
    <n v="57547"/>
    <n v="57547"/>
    <n v="1"/>
    <m/>
    <s v=" "/>
    <n v="643500"/>
    <n v="11.18216414409092"/>
    <d v="2006-08-01T00:00:00"/>
    <d v="2021-07-14T00:00:00"/>
    <d v="2016-07-14T00:00:00"/>
    <n v="6.424657534246576"/>
    <n v="1.421917808219178"/>
    <s v="Modified Gross"/>
    <s v="None"/>
    <s v="None"/>
    <n v="8250000"/>
    <n v="143.3610787703964"/>
    <n v="0.078"/>
    <m/>
    <d v="2015-02-11T00:00:00"/>
    <x v="681"/>
    <s v="C&amp;W: Travis Trauttveter"/>
    <x v="1038"/>
    <s v="CA"/>
    <s v="Private"/>
    <m/>
    <m/>
    <n v="8420000"/>
    <n v="0.0764251781472684"/>
    <n v="0.9798099762470309"/>
    <n v="8420000"/>
    <n v="0.0764251781472684"/>
    <n v="0.001574821852731598"/>
    <s v="No"/>
    <d v="2013-10-29T00:00:00"/>
    <n v="470"/>
  </r>
  <r>
    <s v="LMT13222"/>
    <s v="Multi"/>
    <s v="Federal"/>
    <s v="Fee Simple"/>
    <s v="2900 4th Ave N"/>
    <s v="Billings"/>
    <s v="MT"/>
    <n v="0.59"/>
    <n v="1994"/>
    <n v="123776"/>
    <n v="132680"/>
    <n v="0.9328911667169129"/>
    <n v="1606033.18"/>
    <n v="12.97531977119959"/>
    <n v="729663"/>
    <n v="5.499419656315948"/>
    <d v="1995-02-01T00:00:00"/>
    <d v="2015-01-31T00:00:00"/>
    <d v="2015-01-31T00:00:00"/>
    <n v="-0.02465753424657534"/>
    <n v="-0.02465753424657534"/>
    <s v="Modified Gross"/>
    <s v="None"/>
    <s v="None"/>
    <n v="10625000"/>
    <n v="80.07989146819415"/>
    <n v="0.06867416470588235"/>
    <m/>
    <d v="2015-02-09T00:00:00"/>
    <x v="554"/>
    <m/>
    <x v="1039"/>
    <m/>
    <s v="Private"/>
    <m/>
    <m/>
    <m/>
    <s v=" "/>
    <s v=" "/>
    <m/>
    <s v=" "/>
    <s v=" "/>
    <s v=" "/>
    <m/>
    <s v=" "/>
  </r>
  <r>
    <m/>
    <s v="DPS"/>
    <s v="State"/>
    <s v="Fee Simple"/>
    <s v="1425 E University Dr"/>
    <s v="Phoenix"/>
    <s v="AZ"/>
    <n v="0.62"/>
    <n v="1985"/>
    <n v="3000"/>
    <n v="3000"/>
    <n v="1"/>
    <m/>
    <s v=" "/>
    <n v="25636"/>
    <n v="8.545333333333334"/>
    <m/>
    <d v="2024-02-28T00:00:00"/>
    <m/>
    <n v="9.057534246575342"/>
    <s v=" "/>
    <s v="Full Service"/>
    <s v="Annual CPI Escalation"/>
    <s v="None"/>
    <n v="434500"/>
    <n v="144.8333333333333"/>
    <n v="0.05900115074798619"/>
    <m/>
    <d v="2015-02-09T00:00:00"/>
    <x v="1440"/>
    <s v="Lammersen"/>
    <x v="1040"/>
    <s v="CA"/>
    <s v="Private"/>
    <s v="lee"/>
    <m/>
    <n v="435000"/>
    <n v="0.05893333333333333"/>
    <n v="0.9988505747126437"/>
    <n v="435000"/>
    <n v="0.05893333333333333"/>
    <n v="6.781741465285845e-05"/>
    <s v="No"/>
    <d v="2014-02-28T00:00:00"/>
    <n v="346"/>
  </r>
  <r>
    <s v="LWI16860"/>
    <s v="SSA"/>
    <s v="Federal"/>
    <s v="Fee Simple"/>
    <s v="222 N Academy St"/>
    <s v="Janesville"/>
    <s v="WI"/>
    <n v="1.11"/>
    <n v="2002"/>
    <n v="9198"/>
    <n v="9198"/>
    <n v="1"/>
    <n v="232438"/>
    <n v="25.27049358556208"/>
    <n v="119145.8092"/>
    <n v="12.95344740160905"/>
    <d v="2002-09-04T00:00:00"/>
    <d v="2022-09-03T00:00:00"/>
    <d v="2012-09-03T00:00:00"/>
    <n v="7.578082191780822"/>
    <n v="-2.427397260273973"/>
    <s v="Modified Gross"/>
    <s v="None"/>
    <s v="None"/>
    <n v="1150000"/>
    <n v="125.0271798217004"/>
    <n v="0.1036050514782609"/>
    <m/>
    <d v="2015-02-06T00:00:00"/>
    <x v="1441"/>
    <s v="NAI; Vanevenhoven"/>
    <x v="1041"/>
    <s v="WI"/>
    <s v="Private"/>
    <m/>
    <m/>
    <n v="1371068"/>
    <n v="0.08690000000000001"/>
    <n v="0.8387621912261098"/>
    <n v="1371068"/>
    <n v="0.08690000000000001"/>
    <n v="0.01670505147826087"/>
    <s v="No"/>
    <d v="2014-07-01T00:00:00"/>
    <n v="220"/>
  </r>
  <r>
    <m/>
    <s v="FBI"/>
    <s v="Federal"/>
    <s v="Fee Simple"/>
    <s v="3600 S Lake"/>
    <s v="Milwaukee"/>
    <s v="WI"/>
    <n v="8.52"/>
    <m/>
    <n v="82546"/>
    <n v="82546"/>
    <n v="1"/>
    <m/>
    <s v=" "/>
    <n v="892500"/>
    <n v="10.81215322365711"/>
    <m/>
    <m/>
    <m/>
    <s v=" "/>
    <s v=" "/>
    <m/>
    <m/>
    <m/>
    <n v="12750000"/>
    <n v="154.4593317665302"/>
    <n v="0.07000000000000001"/>
    <m/>
    <d v="2015-02-02T00:00:00"/>
    <x v="8"/>
    <m/>
    <x v="0"/>
    <m/>
    <m/>
    <m/>
    <m/>
    <m/>
    <s v=" "/>
    <s v=" "/>
    <m/>
    <s v=" "/>
    <s v=" "/>
    <s v=" "/>
    <m/>
    <s v=" "/>
  </r>
  <r>
    <m/>
    <s v="VA"/>
    <s v="Federal"/>
    <s v="Fee Simple"/>
    <s v="4776 Eagleridge Circle"/>
    <s v="Pueblo"/>
    <s v="CO"/>
    <n v="2.85"/>
    <n v="2014"/>
    <n v="34031"/>
    <n v="34031"/>
    <n v="1"/>
    <m/>
    <s v=" "/>
    <n v="816191.9999999999"/>
    <n v="23.98377949516617"/>
    <d v="2014-07-01T00:00:00"/>
    <d v="2034-06-30T00:00:00"/>
    <d v="2034-06-30T00:00:00"/>
    <n v="19.42739726027397"/>
    <n v="19.42739726027397"/>
    <s v="Modified Gross"/>
    <s v="None"/>
    <s v="None"/>
    <n v="11336000"/>
    <n v="333.1080485439746"/>
    <n v="0.07199999999999999"/>
    <m/>
    <d v="2015-01-30T00:00:00"/>
    <x v="111"/>
    <s v="Direct"/>
    <x v="1042"/>
    <s v="IL"/>
    <s v="Private"/>
    <m/>
    <m/>
    <m/>
    <s v=" "/>
    <s v=" "/>
    <m/>
    <s v=" "/>
    <s v=" "/>
    <s v=" "/>
    <m/>
    <s v=" "/>
  </r>
  <r>
    <s v="LDC01802"/>
    <m/>
    <s v="Federal"/>
    <s v="Fee Simple"/>
    <s v="3070 V Street NE"/>
    <s v="Washington"/>
    <s v="DC"/>
    <n v="5.19"/>
    <n v="1957"/>
    <n v="56564"/>
    <n v="106266"/>
    <n v="0.5322869026781849"/>
    <n v="496801.13"/>
    <n v="8.782991478679019"/>
    <m/>
    <s v=" "/>
    <d v="2005-04-25T00:00:00"/>
    <d v="2016-02-12T00:00:00"/>
    <d v="2016-02-12T00:00:00"/>
    <n v="1.038356164383562"/>
    <n v="1.038356164383562"/>
    <s v="FS"/>
    <m/>
    <s v="None"/>
    <n v="15386390"/>
    <n v="144.7912784898274"/>
    <s v=" "/>
    <m/>
    <d v="2015-01-29T00:00:00"/>
    <x v="1442"/>
    <s v="C&amp;W; Collins"/>
    <x v="1043"/>
    <s v="CA"/>
    <s v="Institutional"/>
    <m/>
    <m/>
    <m/>
    <s v=" "/>
    <s v=" "/>
    <m/>
    <s v=" "/>
    <s v=" "/>
    <s v=" "/>
    <m/>
    <s v=" "/>
  </r>
  <r>
    <s v="LVA12567"/>
    <m/>
    <s v="Federal"/>
    <s v="Fee Simple"/>
    <s v="10803 Parkridge Blvd"/>
    <s v="Reston"/>
    <s v="VA"/>
    <n v="6.82"/>
    <n v="1985"/>
    <n v="93650"/>
    <n v="95560"/>
    <n v="0.9800125575554626"/>
    <n v="2872810.59"/>
    <n v="30.67603406300053"/>
    <n v="2534500"/>
    <n v="26.52260359983256"/>
    <d v="2012-11-18T00:00:00"/>
    <d v="2017-11-17T00:00:00"/>
    <d v="2017-11-17T00:00:00"/>
    <n v="2.810958904109589"/>
    <n v="2.810958904109589"/>
    <s v="FS"/>
    <m/>
    <s v="None"/>
    <n v="34250000"/>
    <n v="358.4135621598995"/>
    <n v="0.074"/>
    <m/>
    <d v="2015-01-26T00:00:00"/>
    <x v="1443"/>
    <s v="Eastdil"/>
    <x v="1"/>
    <s v="IL"/>
    <s v="Private"/>
    <m/>
    <m/>
    <m/>
    <s v=" "/>
    <s v=" "/>
    <m/>
    <s v=" "/>
    <s v=" "/>
    <s v=" "/>
    <m/>
    <s v=" "/>
  </r>
  <r>
    <s v="LKY42136"/>
    <s v="SSA"/>
    <s v="Federal"/>
    <s v="Fee Simple"/>
    <s v="400 Bellerive Blvd"/>
    <s v="Nicholasville"/>
    <s v="KY"/>
    <n v="3"/>
    <n v="2001"/>
    <n v="6127"/>
    <n v="21854"/>
    <n v="0.2803605747231628"/>
    <n v="105066"/>
    <n v="17.14803329525053"/>
    <n v="146223"/>
    <n v="6.690903267136451"/>
    <d v="2003-01-15T00:00:00"/>
    <d v="2023-01-14T00:00:00"/>
    <d v="2008-01-14T00:00:00"/>
    <n v="7.980821917808219"/>
    <n v="-7.03013698630137"/>
    <s v="Modified Gross"/>
    <s v="None"/>
    <s v="None"/>
    <n v="1600000"/>
    <n v="73.21314175894572"/>
    <n v="0.09138937499999999"/>
    <m/>
    <d v="2015-01-23T00:00:00"/>
    <x v="8"/>
    <s v="Schrader"/>
    <x v="1044"/>
    <s v="KY"/>
    <s v="Private"/>
    <m/>
    <m/>
    <n v="1899900"/>
    <n v="0.07696352439602085"/>
    <n v="0.842149586820359"/>
    <n v="1899900"/>
    <n v="0.07696352439602085"/>
    <n v="0.01442585060397915"/>
    <s v="No"/>
    <d v="2014-02-28T00:00:00"/>
    <n v="329"/>
  </r>
  <r>
    <s v="LOR07076"/>
    <s v="USCIS"/>
    <s v="Federal"/>
    <s v="Fee Simple"/>
    <s v="1455 NW Overton St"/>
    <s v="Portland"/>
    <s v="OR"/>
    <n v="0.92"/>
    <n v="2011"/>
    <n v="38183"/>
    <n v="62300"/>
    <n v="0.6128892455858748"/>
    <n v="1504483.98"/>
    <n v="39.40193227352486"/>
    <n v="1795348"/>
    <n v="28.8177849117175"/>
    <d v="2011-11-04T00:00:00"/>
    <d v="2026-11-03T00:00:00"/>
    <d v="2021-11-03T00:00:00"/>
    <n v="11.78630136986301"/>
    <n v="6.783561643835617"/>
    <s v="FS"/>
    <m/>
    <s v="None"/>
    <n v="30890000"/>
    <n v="495.8266452648475"/>
    <n v="0.05812068630624798"/>
    <m/>
    <d v="2015-01-23T00:00:00"/>
    <x v="1444"/>
    <s v="Colliers; Darren Duke"/>
    <x v="1045"/>
    <s v="NY"/>
    <s v="Private"/>
    <m/>
    <m/>
    <m/>
    <s v=" "/>
    <s v=" "/>
    <m/>
    <s v=" "/>
    <s v=" "/>
    <s v=" "/>
    <m/>
    <s v=" "/>
  </r>
  <r>
    <s v="LVA11334"/>
    <s v="Multi"/>
    <s v="Federal"/>
    <s v="Fee Simple"/>
    <s v="105 Tech Pky"/>
    <s v="Stafford"/>
    <s v="VA"/>
    <n v="21.684"/>
    <n v="2011"/>
    <n v="60094"/>
    <n v="98787"/>
    <n v="0.6083189083583872"/>
    <n v="1745324"/>
    <n v="29.04323226944454"/>
    <m/>
    <s v=" "/>
    <m/>
    <d v="2021-09-30T00:00:00"/>
    <d v="2021-09-30T00:00:00"/>
    <n v="6.698630136986301"/>
    <n v="6.698630136986301"/>
    <s v="Modified Gross"/>
    <s v="None"/>
    <s v="None"/>
    <n v="28250000"/>
    <n v="285.9688015629587"/>
    <s v=" "/>
    <m/>
    <d v="2015-01-20T00:00:00"/>
    <x v="1445"/>
    <s v="Direct"/>
    <x v="1"/>
    <s v="IL"/>
    <s v="Private"/>
    <m/>
    <m/>
    <m/>
    <s v=" "/>
    <s v=" "/>
    <m/>
    <s v=" "/>
    <s v=" "/>
    <s v=" "/>
    <m/>
    <s v=" "/>
  </r>
  <r>
    <s v="LMA04308"/>
    <s v="SSA"/>
    <s v="Federal"/>
    <s v="Fee Simple"/>
    <s v="140 Union St"/>
    <s v="Lynn"/>
    <s v="MA"/>
    <n v="2.15"/>
    <n v="2005"/>
    <n v="10430"/>
    <n v="62447"/>
    <n v="0.1670216343459253"/>
    <n v="219326.07"/>
    <n v="21.02838638542665"/>
    <m/>
    <s v=" "/>
    <d v="2004-03-01T00:00:00"/>
    <d v="2024-02-28T00:00:00"/>
    <d v="2010-09-01T00:00:00"/>
    <n v="9.126027397260273"/>
    <n v="-4.375342465753425"/>
    <s v="Modified Gross"/>
    <s v="None"/>
    <s v="None"/>
    <n v="2050000"/>
    <n v="32.82783800662962"/>
    <s v=" "/>
    <m/>
    <d v="2015-01-15T00:00:00"/>
    <x v="1446"/>
    <m/>
    <x v="1046"/>
    <s v="MA"/>
    <s v="Private"/>
    <m/>
    <m/>
    <m/>
    <s v=" "/>
    <s v=" "/>
    <m/>
    <s v=" "/>
    <s v=" "/>
    <s v=" "/>
    <m/>
    <s v=" "/>
  </r>
  <r>
    <s v="LMA04308"/>
    <s v="SSA"/>
    <s v="Federal"/>
    <s v="Fee Simple"/>
    <s v="138-140 Union St"/>
    <s v="Lynn"/>
    <s v="MA"/>
    <n v="1.12"/>
    <n v="1967"/>
    <n v="10430"/>
    <n v="33475"/>
    <n v="0.3115758028379388"/>
    <n v="219326.07"/>
    <n v="21.02838638542665"/>
    <m/>
    <s v=" "/>
    <d v="2004-03-01T00:00:00"/>
    <d v="2024-02-28T00:00:00"/>
    <d v="2010-09-01T00:00:00"/>
    <n v="9.128767123287671"/>
    <n v="-4.372602739726028"/>
    <s v="Modified Gross"/>
    <s v="None"/>
    <s v="None"/>
    <n v="2050000"/>
    <n v="61.23973114264376"/>
    <s v=" "/>
    <m/>
    <d v="2015-01-14T00:00:00"/>
    <x v="8"/>
    <m/>
    <x v="0"/>
    <m/>
    <m/>
    <m/>
    <m/>
    <m/>
    <s v=" "/>
    <s v=" "/>
    <m/>
    <s v=" "/>
    <s v=" "/>
    <s v=" "/>
    <m/>
    <s v=" "/>
  </r>
  <r>
    <s v="LMO01044"/>
    <s v="FDA"/>
    <s v="Federal"/>
    <s v="Fee Simple"/>
    <s v="645 S Newstead Ave"/>
    <s v="Saint Louis"/>
    <s v="MO"/>
    <n v="4.01"/>
    <n v="1978"/>
    <n v="42807.84"/>
    <n v="61308"/>
    <n v="0.6982423174789586"/>
    <n v="1710829.94"/>
    <n v="39.96534139540795"/>
    <m/>
    <s v=" "/>
    <d v="2013-08-16T00:00:00"/>
    <d v="2033-08-15T00:00:00"/>
    <d v="2023-08-15T00:00:00"/>
    <n v="18.61917808219178"/>
    <n v="8.610958904109589"/>
    <s v="FS"/>
    <m/>
    <s v="None"/>
    <n v="20500000"/>
    <n v="334.3772427741893"/>
    <s v=" "/>
    <m/>
    <d v="2015-01-06T00:00:00"/>
    <x v="1447"/>
    <s v="NAI; Carl Conceller"/>
    <x v="1"/>
    <s v="IL"/>
    <s v="Private"/>
    <m/>
    <m/>
    <m/>
    <s v=" "/>
    <s v=" "/>
    <m/>
    <s v=" "/>
    <s v=" "/>
    <s v=" "/>
    <m/>
    <s v=" "/>
  </r>
  <r>
    <s v="LKY62228"/>
    <s v="CG"/>
    <s v="Federal"/>
    <s v="Fee Simple"/>
    <s v="235 Tully St"/>
    <s v="Paducah"/>
    <s v="KY"/>
    <n v="3.33"/>
    <m/>
    <n v="11621"/>
    <n v="11621"/>
    <n v="1"/>
    <n v="234703.07"/>
    <n v="20.19646071766629"/>
    <m/>
    <s v=" "/>
    <d v="2013-09-28T00:00:00"/>
    <d v="2023-09-27T00:00:00"/>
    <d v="2018-09-27T00:00:00"/>
    <n v="8.742465753424657"/>
    <n v="3.73972602739726"/>
    <s v="FS"/>
    <m/>
    <s v="None"/>
    <n v="2200341.28125"/>
    <n v="189.3418192281215"/>
    <s v=" "/>
    <m/>
    <d v="2015-01-01T00:00:00"/>
    <x v="1448"/>
    <m/>
    <x v="84"/>
    <s v="IL"/>
    <s v="Private"/>
    <m/>
    <m/>
    <m/>
    <s v=" "/>
    <s v=" "/>
    <m/>
    <s v=" "/>
    <s v=" "/>
    <s v=" "/>
    <m/>
    <s v=" "/>
  </r>
  <r>
    <s v="LCA02650"/>
    <s v="USDA"/>
    <s v="Federal"/>
    <s v="Fee Simple"/>
    <s v="200 W 8th St"/>
    <s v="Alturas"/>
    <s v="CA"/>
    <n v="3.4"/>
    <n v="2012"/>
    <n v="25427"/>
    <n v="25427"/>
    <n v="1"/>
    <n v="620109.58"/>
    <n v="24.3878389113934"/>
    <n v="453817"/>
    <n v="17.8478389113934"/>
    <d v="2013-07-16T00:00:00"/>
    <d v="2028-07-15T00:00:00"/>
    <d v="2023-07-16T00:00:00"/>
    <n v="13.56986301369863"/>
    <n v="8.567123287671233"/>
    <s v="Modified Gross"/>
    <s v="None"/>
    <s v="None"/>
    <n v="5813527.312499999"/>
    <n v="228.6359897943131"/>
    <n v="0.078062246138282"/>
    <m/>
    <d v="2014-12-23T00:00:00"/>
    <x v="1449"/>
    <m/>
    <x v="1047"/>
    <s v="CA"/>
    <s v="Private"/>
    <m/>
    <m/>
    <m/>
    <s v=" "/>
    <s v=" "/>
    <m/>
    <s v=" "/>
    <s v=" "/>
    <s v=" "/>
    <m/>
    <s v=" "/>
  </r>
  <r>
    <s v="LAR17152"/>
    <s v="USCIS"/>
    <s v="Federal"/>
    <s v="Fee Simple"/>
    <s v="4624 Kelley Hwy"/>
    <s v="Fort Smith"/>
    <s v="AR"/>
    <n v="1.62"/>
    <n v="1990"/>
    <n v="13816"/>
    <n v="13816"/>
    <n v="1"/>
    <n v="431262"/>
    <n v="31.21467863346844"/>
    <n v="317181"/>
    <n v="22.9575130283729"/>
    <d v="2014-10-31T00:00:00"/>
    <d v="2029-10-30T00:00:00"/>
    <d v="2024-10-30T00:00:00"/>
    <n v="14.86301369863014"/>
    <n v="9.860273972602739"/>
    <s v="Modified Gross"/>
    <s v="TI Bleeds Off; $66k"/>
    <s v="None"/>
    <n v="4300000"/>
    <n v="311.2333526346265"/>
    <n v="0.07376302325581395"/>
    <m/>
    <d v="2014-12-23T00:00:00"/>
    <x v="1450"/>
    <s v="Direct"/>
    <x v="54"/>
    <s v="NC"/>
    <s v="REIT"/>
    <m/>
    <m/>
    <m/>
    <s v=" "/>
    <s v=" "/>
    <m/>
    <s v=" "/>
    <s v=" "/>
    <s v=" "/>
    <m/>
    <s v=" "/>
  </r>
  <r>
    <s v="LLA17192"/>
    <s v="SSA"/>
    <s v="Federal"/>
    <s v="Fee Simple"/>
    <s v="1240 S Pointe Pky"/>
    <s v="Shreveport"/>
    <s v="LA"/>
    <n v="2.75"/>
    <n v="2002"/>
    <n v="17900"/>
    <n v="17900"/>
    <n v="1"/>
    <n v="482365.08"/>
    <n v="26.94776983240224"/>
    <m/>
    <s v=" "/>
    <d v="2013-01-14T00:00:00"/>
    <d v="2023-01-13T00:00:00"/>
    <d v="2018-01-14T00:00:00"/>
    <n v="8.063013698630137"/>
    <n v="3.063013698630137"/>
    <s v="Modified Gross"/>
    <s v="None"/>
    <s v="None"/>
    <n v="1568000"/>
    <n v="87.59776536312849"/>
    <s v=" "/>
    <m/>
    <d v="2014-12-23T00:00:00"/>
    <x v="511"/>
    <m/>
    <x v="1048"/>
    <s v="LA"/>
    <s v="Private"/>
    <m/>
    <m/>
    <m/>
    <s v=" "/>
    <s v=" "/>
    <m/>
    <s v=" "/>
    <s v=" "/>
    <s v=" "/>
    <m/>
    <s v=" "/>
  </r>
  <r>
    <s v="LPA02362"/>
    <s v="SSA"/>
    <s v="Federal"/>
    <s v="Fee Simple"/>
    <s v="1-45 N 4th St"/>
    <s v="Allentown"/>
    <s v="PA"/>
    <n v="3.13"/>
    <n v="1969"/>
    <n v="14864"/>
    <n v="26909"/>
    <n v="0.5523802445278532"/>
    <n v="322549.64"/>
    <n v="21.7000565123789"/>
    <n v="300200"/>
    <n v="11.15611877067152"/>
    <d v="2003-06-11T00:00:00"/>
    <d v="2023-06-10T00:00:00"/>
    <d v="2014-06-11T00:00:00"/>
    <n v="8.471232876712328"/>
    <n v="-0.5315068493150685"/>
    <s v="Full Service"/>
    <s v="None"/>
    <s v="None"/>
    <n v="3160000"/>
    <n v="117.4328291649634"/>
    <n v="0.095"/>
    <m/>
    <d v="2014-12-22T00:00:00"/>
    <x v="1451"/>
    <s v="Colliers; Algatt"/>
    <x v="1049"/>
    <s v="PA"/>
    <s v="Private"/>
    <m/>
    <m/>
    <m/>
    <s v=" "/>
    <s v=" "/>
    <m/>
    <s v=" "/>
    <s v=" "/>
    <s v=" "/>
    <m/>
    <s v=" "/>
  </r>
  <r>
    <s v="LWA07231"/>
    <s v="FS"/>
    <s v="Federal"/>
    <s v="Fee Simple"/>
    <s v="1835 Black Lake Blvd SW"/>
    <s v="Olympia"/>
    <s v="WA"/>
    <n v="9.029999999999999"/>
    <n v="1991"/>
    <n v="38434"/>
    <n v="38434"/>
    <n v="1"/>
    <n v="1000993.39"/>
    <n v="26.04447598480512"/>
    <n v="839345"/>
    <n v="21.83860644221262"/>
    <d v="2014-02-01T00:00:00"/>
    <d v="2029-01-31T00:00:00"/>
    <d v="2024-01-31T00:00:00"/>
    <n v="14.12876712328767"/>
    <n v="9.123287671232877"/>
    <s v="Modified Gross"/>
    <s v="None"/>
    <s v="None"/>
    <n v="12025000"/>
    <n v="312.8740177967425"/>
    <n v="0.0698"/>
    <m/>
    <d v="2014-12-19T00:00:00"/>
    <x v="1452"/>
    <s v="C&amp;W; Trautvetter"/>
    <x v="1"/>
    <s v="IL"/>
    <s v="Private"/>
    <m/>
    <m/>
    <m/>
    <s v=" "/>
    <s v=" "/>
    <m/>
    <s v=" "/>
    <s v=" "/>
    <s v=" "/>
    <d v="2014-04-18T00:00:00"/>
    <n v="245"/>
  </r>
  <r>
    <m/>
    <s v="DMCA/IRS"/>
    <s v="Federal"/>
    <s v="Fee Simple"/>
    <s v="2300 Lake Park Dr SE"/>
    <s v="Smyrna"/>
    <s v="GA"/>
    <n v="8.779999999999999"/>
    <n v="1985"/>
    <n v="53472"/>
    <n v="90558"/>
    <n v="0.5904724044258928"/>
    <n v="847423"/>
    <n v="15.84797651107121"/>
    <n v="600000"/>
    <n v="6.625588020936858"/>
    <d v="2009-05-01T00:00:00"/>
    <d v="2019-04-30T00:00:00"/>
    <d v="2014-04-30T00:00:00"/>
    <n v="4.364383561643836"/>
    <n v="-0.6383561643835617"/>
    <s v="Modified Gross"/>
    <s v="None"/>
    <s v="None"/>
    <n v="10265000"/>
    <n v="113.3527683915281"/>
    <n v="0.05845104724792986"/>
    <m/>
    <d v="2014-12-19T00:00:00"/>
    <x v="1453"/>
    <s v="M&amp;M; Doyle"/>
    <x v="1050"/>
    <s v="CO"/>
    <s v="Private"/>
    <m/>
    <m/>
    <m/>
    <s v=" "/>
    <s v=" "/>
    <m/>
    <s v=" "/>
    <s v=" "/>
    <s v=" "/>
    <m/>
    <s v=" "/>
  </r>
  <r>
    <s v="LPA11315"/>
    <s v="SSA/IRS"/>
    <s v="Federal"/>
    <s v="Fee Simple"/>
    <s v="2670 Industrial Hwy"/>
    <s v="York"/>
    <s v="PA"/>
    <n v="4.02"/>
    <n v="2013"/>
    <n v="21564"/>
    <n v="21564"/>
    <n v="1"/>
    <n v="756916.99"/>
    <n v="35.10095483212762"/>
    <n v="541650"/>
    <n v="25.11825264329438"/>
    <d v="2013-01-16T00:00:00"/>
    <d v="2028-01-15T00:00:00"/>
    <d v="2023-01-15T00:00:00"/>
    <n v="13.08219178082192"/>
    <n v="8.079452054794521"/>
    <s v="Modified Gross"/>
    <s v="None"/>
    <s v="None"/>
    <n v="7850000"/>
    <n v="364.0326470042664"/>
    <n v="0.06900000000000001"/>
    <m/>
    <d v="2014-12-19T00:00:00"/>
    <x v="1454"/>
    <s v="M&amp;M; Appel"/>
    <x v="1"/>
    <s v="IL"/>
    <s v="Private"/>
    <m/>
    <m/>
    <m/>
    <s v=" "/>
    <s v=" "/>
    <m/>
    <s v=" "/>
    <s v=" "/>
    <s v=" "/>
    <m/>
    <s v=" "/>
  </r>
  <r>
    <s v="LTX17121"/>
    <s v="DEA"/>
    <s v="Federal"/>
    <s v="Fee Simple"/>
    <s v="1433 West Loop S"/>
    <s v="Houston"/>
    <s v="TX"/>
    <n v="1.48"/>
    <n v="1972"/>
    <n v="132995"/>
    <n v="138000"/>
    <n v="0.9637318840579711"/>
    <n v="2995916.56"/>
    <n v="22.52653528328133"/>
    <m/>
    <s v=" "/>
    <d v="2012-06-01T00:00:00"/>
    <d v="2027-05-31T00:00:00"/>
    <d v="2022-06-01T00:00:00"/>
    <n v="12.46301369863014"/>
    <n v="7.463013698630137"/>
    <s v="Modified Gross"/>
    <m/>
    <s v="None"/>
    <n v="36166108"/>
    <n v="262.0732463768116"/>
    <s v=" "/>
    <m/>
    <d v="2014-12-16T00:00:00"/>
    <x v="1455"/>
    <s v="CBRE"/>
    <x v="1051"/>
    <s v="NY"/>
    <s v="Private"/>
    <m/>
    <m/>
    <m/>
    <s v=" "/>
    <s v=" "/>
    <m/>
    <s v=" "/>
    <s v=" "/>
    <s v=" "/>
    <m/>
    <s v=" "/>
  </r>
  <r>
    <s v="LCA02341"/>
    <s v="ACoE"/>
    <s v="Federal"/>
    <s v="Fee Simple"/>
    <s v="1325 &quot;J&quot; St"/>
    <s v="Sacramento"/>
    <s v="CA"/>
    <n v="0.89"/>
    <n v="1989"/>
    <n v="227490"/>
    <n v="363723"/>
    <n v="0.6254484868979966"/>
    <n v="6499011.15"/>
    <n v="28.56833772913095"/>
    <m/>
    <s v=" "/>
    <d v="2010-06-01T00:00:00"/>
    <d v="2020-05-31T00:00:00"/>
    <d v="2020-05-31T00:00:00"/>
    <n v="5.46027397260274"/>
    <n v="5.46027397260274"/>
    <s v="Modified Gross"/>
    <s v="None"/>
    <s v="None"/>
    <n v="111983705"/>
    <n v="307.8818359025962"/>
    <s v=" "/>
    <m/>
    <d v="2014-12-16T00:00:00"/>
    <x v="1455"/>
    <s v="CBRE"/>
    <x v="1051"/>
    <s v="NY"/>
    <s v="Private"/>
    <m/>
    <m/>
    <m/>
    <s v=" "/>
    <s v=" "/>
    <m/>
    <s v=" "/>
    <s v=" "/>
    <s v=" "/>
    <m/>
    <s v=" "/>
  </r>
  <r>
    <s v="LCA03106"/>
    <s v="VA/MC"/>
    <s v="Federal"/>
    <s v="Fee Simple"/>
    <s v="8810 Rio San Diego Dr"/>
    <s v="San Diego"/>
    <s v="CA"/>
    <n v="5"/>
    <n v="1998"/>
    <n v="131986"/>
    <n v="131986"/>
    <n v="1"/>
    <n v="3976725.12"/>
    <n v="30.12990105011137"/>
    <m/>
    <s v=" "/>
    <d v="2013-10-01T00:00:00"/>
    <d v="2023-09-30T00:00:00"/>
    <d v="2023-09-30T00:00:00"/>
    <n v="8.794520547945206"/>
    <n v="8.794520547945206"/>
    <s v="Modified Gross"/>
    <s v="None"/>
    <s v="None"/>
    <n v="44976593"/>
    <n v="340.767907202279"/>
    <s v=" "/>
    <m/>
    <d v="2014-12-16T00:00:00"/>
    <x v="1455"/>
    <s v="CBRE"/>
    <x v="1051"/>
    <s v="NY"/>
    <s v="Private"/>
    <m/>
    <m/>
    <m/>
    <s v=" "/>
    <s v=" "/>
    <m/>
    <s v=" "/>
    <s v=" "/>
    <s v=" "/>
    <m/>
    <s v=" "/>
  </r>
  <r>
    <s v="LCA02059"/>
    <s v="VA/MC"/>
    <s v="Federal"/>
    <s v="Fee Simple"/>
    <s v="8808 Rio San Diego Dr"/>
    <s v="San Diego"/>
    <s v="CA"/>
    <n v="1.98"/>
    <n v="1988"/>
    <n v="12341"/>
    <n v="12341"/>
    <n v="1"/>
    <n v="400713.35"/>
    <n v="32.47008751316749"/>
    <m/>
    <s v=" "/>
    <d v="2008-10-09T00:00:00"/>
    <d v="2018-10-08T00:00:00"/>
    <d v="2015-10-09T00:00:00"/>
    <n v="3.813698630136986"/>
    <n v="0.8136986301369863"/>
    <s v="Modified Gross"/>
    <s v="None"/>
    <s v="None"/>
    <n v="4205417"/>
    <n v="340.7679280447289"/>
    <s v=" "/>
    <m/>
    <d v="2014-12-16T00:00:00"/>
    <x v="1455"/>
    <s v="CBRE"/>
    <x v="1051"/>
    <s v="NY"/>
    <s v="Private"/>
    <m/>
    <m/>
    <m/>
    <s v=" "/>
    <s v=" "/>
    <m/>
    <s v=" "/>
    <s v=" "/>
    <s v=" "/>
    <m/>
    <s v=" "/>
  </r>
  <r>
    <s v="LDC01944"/>
    <s v="FEC"/>
    <s v="Municipal"/>
    <s v="Fee Simple"/>
    <s v="999 E St NW"/>
    <s v="Washington"/>
    <s v="DC"/>
    <n v="0.5"/>
    <n v="1931"/>
    <n v="136957"/>
    <n v="174072"/>
    <n v="0.7867836297623971"/>
    <n v="5355528.92"/>
    <n v="39.10372540286367"/>
    <n v="4175000"/>
    <n v="23.98432832391195"/>
    <d v="2007-10-01T00:00:00"/>
    <d v="2017-09-30T00:00:00"/>
    <d v="2017-09-30T00:00:00"/>
    <n v="2.791780821917808"/>
    <n v="2.791780821917808"/>
    <s v="N"/>
    <m/>
    <s v="None"/>
    <n v="52668177"/>
    <n v="302.5654729077623"/>
    <n v="0.07926987865936579"/>
    <m/>
    <d v="2014-12-16T00:00:00"/>
    <x v="1455"/>
    <s v="CBRE"/>
    <x v="1051"/>
    <s v="NY"/>
    <s v="Private"/>
    <m/>
    <m/>
    <m/>
    <s v=" "/>
    <s v=" "/>
    <m/>
    <s v=" "/>
    <s v=" "/>
    <s v=" "/>
    <m/>
    <s v=" "/>
  </r>
  <r>
    <m/>
    <s v="Multi"/>
    <s v="Federal"/>
    <s v="Fee Simple"/>
    <s v="Portfolio of Five"/>
    <m/>
    <m/>
    <n v="11.99"/>
    <m/>
    <n v="651941.1800000001"/>
    <n v="825242"/>
    <n v="0.79"/>
    <m/>
    <s v=" "/>
    <m/>
    <s v=" "/>
    <m/>
    <d v="2020-05-30T00:00:00"/>
    <d v="2020-05-30T00:00:00"/>
    <n v="5.457534246575342"/>
    <n v="5.457534246575342"/>
    <s v="Modified Gross"/>
    <s v="None"/>
    <s v="None"/>
    <n v="250000000"/>
    <n v="302.941440207842"/>
    <s v=" "/>
    <m/>
    <d v="2014-12-16T00:00:00"/>
    <x v="950"/>
    <m/>
    <x v="1052"/>
    <s v="NY"/>
    <s v="Institutional"/>
    <m/>
    <m/>
    <m/>
    <s v=" "/>
    <s v=" "/>
    <m/>
    <s v=" "/>
    <s v=" "/>
    <s v=" "/>
    <m/>
    <s v=" "/>
  </r>
  <r>
    <s v="LTX15418"/>
    <s v="DOJ"/>
    <s v="Federal"/>
    <s v="Fee Simple"/>
    <s v="2450 N. Highway 118"/>
    <s v="Alpine"/>
    <s v="TX"/>
    <n v="5.11"/>
    <n v="2008"/>
    <n v="30610"/>
    <n v="30610"/>
    <n v="1"/>
    <n v="1955392"/>
    <n v="63.88082326037243"/>
    <n v="1681618"/>
    <n v="54.93688337144724"/>
    <d v="2007-07-15T00:00:00"/>
    <d v="2022-07-14T00:00:00"/>
    <d v="2022-07-13T00:00:00"/>
    <n v="7.597260273972603"/>
    <n v="7.594520547945206"/>
    <s v="Modified Gross"/>
    <s v="None"/>
    <s v="None"/>
    <n v="18331800"/>
    <n v="598.8827180659915"/>
    <n v="0.09173229033701001"/>
    <m/>
    <d v="2014-12-10T00:00:00"/>
    <x v="1456"/>
    <m/>
    <x v="2"/>
    <s v="VA"/>
    <s v="Private"/>
    <m/>
    <m/>
    <m/>
    <s v=" "/>
    <s v=" "/>
    <m/>
    <s v=" "/>
    <s v=" "/>
    <s v=" "/>
    <m/>
    <s v=" "/>
  </r>
  <r>
    <s v="LCA01470"/>
    <s v="SSA"/>
    <s v="Federal"/>
    <s v="Fee Simple"/>
    <s v="22815 Calle San Juan De Los Lagos"/>
    <s v="Moreno Valley"/>
    <s v="CA"/>
    <n v="2.17"/>
    <n v="2005"/>
    <n v="12856"/>
    <n v="12856"/>
    <n v="1"/>
    <n v="316053.06"/>
    <n v="24.58408991910392"/>
    <n v="156942.06"/>
    <n v="12.20768979464841"/>
    <d v="2005-11-23T00:00:00"/>
    <d v="2020-11-22T00:00:00"/>
    <d v="2015-11-22T00:00:00"/>
    <n v="5.961643835616439"/>
    <n v="0.9561643835616438"/>
    <s v="Modified Gross"/>
    <s v="None"/>
    <s v="None"/>
    <n v="2730000"/>
    <n v="212.352209085252"/>
    <n v="0.05748793406593407"/>
    <m/>
    <d v="2014-12-08T00:00:00"/>
    <x v="1457"/>
    <s v="Colliers; Bakke &amp; Kennedy"/>
    <x v="1053"/>
    <s v="OR"/>
    <s v="Private"/>
    <m/>
    <m/>
    <n v="2865000"/>
    <n v="0.05477907853403141"/>
    <n v="0.9528795811518325"/>
    <n v="2865000"/>
    <n v="0.05477907853403141"/>
    <n v="0.002708855531902657"/>
    <s v="No"/>
    <d v="2014-05-16T00:00:00"/>
    <n v="206"/>
  </r>
  <r>
    <s v="LCA02922"/>
    <s v="SSA"/>
    <s v="Federal"/>
    <s v="Fee Simple"/>
    <s v="2508 Verne Roberts Cir"/>
    <s v="Antioch"/>
    <s v="CA"/>
    <n v="0.23"/>
    <n v="2007"/>
    <n v="9600"/>
    <n v="9600"/>
    <n v="1"/>
    <n v="298076.79"/>
    <n v="31.049665625"/>
    <n v="197938"/>
    <n v="20.61854166666667"/>
    <d v="2013-07-25T00:00:00"/>
    <d v="2028-07-24T00:00:00"/>
    <d v="2023-07-25T00:00:00"/>
    <n v="13.65205479452055"/>
    <n v="8.64931506849315"/>
    <s v="Modified Gross"/>
    <s v="None"/>
    <s v="None"/>
    <n v="3050000"/>
    <n v="317.7083333333333"/>
    <n v="0.06489770491803279"/>
    <m/>
    <d v="2014-12-02T00:00:00"/>
    <x v="345"/>
    <s v="C&amp;W; Travis Trautvetter"/>
    <x v="1054"/>
    <s v="CA"/>
    <s v="Private"/>
    <s v="Colliers; Kavayiotidis"/>
    <s v="Presidio"/>
    <n v="3167000"/>
    <n v="0.06250015787811809"/>
    <n v="0.9630565203662772"/>
    <n v="3167000"/>
    <n v="0.06250015787811809"/>
    <n v="0.002397547039914696"/>
    <s v="No"/>
    <d v="2013-08-29T00:00:00"/>
    <n v="460"/>
  </r>
  <r>
    <s v="LAR17207"/>
    <s v="SSA"/>
    <s v="Federal"/>
    <s v="Fee Simple"/>
    <s v="112 Corporate Ter"/>
    <s v="Hot Springs"/>
    <s v="AR"/>
    <n v="1.16"/>
    <n v="2003"/>
    <n v="10980"/>
    <n v="10980"/>
    <n v="1"/>
    <n v="270547"/>
    <n v="24.63998178506375"/>
    <m/>
    <s v=" "/>
    <d v="2015-10-28T00:00:00"/>
    <d v="2025-10-27T00:00:00"/>
    <d v="2020-10-28T00:00:00"/>
    <n v="10.90958904109589"/>
    <n v="5.909589041095891"/>
    <s v="Modified Gross"/>
    <s v="None"/>
    <s v="None"/>
    <n v="1114925"/>
    <n v="101.5414389799636"/>
    <s v=" "/>
    <m/>
    <d v="2014-12-02T00:00:00"/>
    <x v="921"/>
    <s v="FORECLOSURE"/>
    <x v="920"/>
    <s v="MD"/>
    <s v="Institutional"/>
    <m/>
    <m/>
    <m/>
    <s v=" "/>
    <s v=" "/>
    <m/>
    <s v=" "/>
    <s v=" "/>
    <s v=" "/>
    <m/>
    <s v=" "/>
  </r>
  <r>
    <m/>
    <m/>
    <m/>
    <m/>
    <m/>
    <m/>
    <m/>
    <m/>
    <m/>
    <m/>
    <m/>
    <s v=" "/>
    <m/>
    <s v=" "/>
    <m/>
    <s v=" "/>
    <m/>
    <m/>
    <m/>
    <s v=" "/>
    <s v=" "/>
    <m/>
    <m/>
    <m/>
    <m/>
    <s v=" "/>
    <s v=" "/>
    <m/>
    <d v="2014-12-02T00:00:00"/>
    <x v="921"/>
    <s v="FORECLOSURE"/>
    <x v="920"/>
    <s v="MD"/>
    <s v="Institutional"/>
    <m/>
    <m/>
    <m/>
    <s v=" "/>
    <s v=" "/>
    <m/>
    <s v=" "/>
    <s v=" "/>
    <s v=" "/>
    <m/>
    <s v=" "/>
  </r>
  <r>
    <s v="LTN42156"/>
    <s v="SSA"/>
    <s v="Federal"/>
    <s v="Fee Simple"/>
    <s v="222 Keller Lane"/>
    <s v="Maryville"/>
    <s v="TN"/>
    <n v="0.8100000000000001"/>
    <n v="2003"/>
    <n v="7308"/>
    <n v="7308"/>
    <n v="1"/>
    <n v="167815.21"/>
    <n v="22.96321975916803"/>
    <m/>
    <s v=" "/>
    <d v="2004-01-23T00:00:00"/>
    <d v="2014-01-22T00:00:00"/>
    <d v="2009-01-22T00:00:00"/>
    <n v="-0.8383561643835616"/>
    <n v="-5.841095890410959"/>
    <s v="Modified Gross"/>
    <s v="None"/>
    <s v="None"/>
    <n v="509250"/>
    <n v="69.68390804597701"/>
    <s v=" "/>
    <m/>
    <d v="2014-11-24T00:00:00"/>
    <x v="680"/>
    <m/>
    <x v="1055"/>
    <s v="NC"/>
    <s v="User/Owner"/>
    <m/>
    <m/>
    <m/>
    <s v=" "/>
    <s v=" "/>
    <m/>
    <s v=" "/>
    <s v=" "/>
    <s v=" "/>
    <d v="2014-06-17T00:00:00"/>
    <n v="160"/>
  </r>
  <r>
    <s v="LGA62470"/>
    <s v="SSA"/>
    <s v="Federal"/>
    <s v="Fee Simple"/>
    <s v="510 E 15th Ave"/>
    <s v="Cordele"/>
    <s v="GA"/>
    <n v="0.74"/>
    <n v="2002"/>
    <n v="8325"/>
    <n v="8325"/>
    <n v="1"/>
    <n v="198147"/>
    <n v="23.80144144144144"/>
    <n v="123745"/>
    <n v="14.86426426426426"/>
    <d v="2014-01-01T00:00:00"/>
    <d v="2023-12-31T00:00:00"/>
    <d v="2018-12-31T00:00:00"/>
    <n v="9.12054794520548"/>
    <n v="4.117808219178082"/>
    <s v="Modified Gross"/>
    <s v="$47k TI burnoff"/>
    <s v="None"/>
    <n v="1225000"/>
    <n v="147.1471471471471"/>
    <n v="0.1010163265306122"/>
    <m/>
    <d v="2014-11-19T00:00:00"/>
    <x v="1458"/>
    <s v="Savillis Bakke"/>
    <x v="1056"/>
    <s v="MT"/>
    <s v="Private"/>
    <s v="BW; Wells"/>
    <m/>
    <n v="1257631"/>
    <n v="0.09839531627321528"/>
    <n v="0.9740535975973875"/>
    <n v="1257631"/>
    <n v="0.09839531627321528"/>
    <n v="0.002621010257396958"/>
    <s v="No"/>
    <d v="2014-02-20T00:00:00"/>
    <n v="272"/>
  </r>
  <r>
    <s v="LNC61959"/>
    <s v="MEPS"/>
    <s v="Federal"/>
    <s v="Fee Simple"/>
    <s v="2625 Appliance Ct"/>
    <s v="Raleigh"/>
    <s v="NC"/>
    <n v="2.41"/>
    <n v="1991"/>
    <n v="24129"/>
    <n v="24129"/>
    <n v="1"/>
    <n v="429610.49"/>
    <n v="17.80473662397944"/>
    <n v="267610.49"/>
    <n v="11.09082390484479"/>
    <d v="2011-11-08T00:00:00"/>
    <d v="2016-11-07T00:00:00"/>
    <d v="2013-11-07T00:00:00"/>
    <n v="1.972602739726027"/>
    <n v="-1.03013698630137"/>
    <s v="Modified Gross"/>
    <s v="None"/>
    <s v="None"/>
    <n v="1974000"/>
    <n v="81.81026979982593"/>
    <n v="0.1355676241134752"/>
    <m/>
    <d v="2014-11-18T00:00:00"/>
    <x v="1459"/>
    <s v="Colliers; David Divine"/>
    <x v="1057"/>
    <m/>
    <s v="Private"/>
    <m/>
    <m/>
    <m/>
    <s v=" "/>
    <s v=" "/>
    <m/>
    <s v=" "/>
    <s v=" "/>
    <s v=" "/>
    <m/>
    <s v=" "/>
  </r>
  <r>
    <s v="LCO14226"/>
    <s v="FBI"/>
    <s v="Federal"/>
    <s v="Fee Simple"/>
    <s v="8000 East 36th Avenue"/>
    <s v="Denver"/>
    <s v="CO"/>
    <n v="9.94"/>
    <n v="2010"/>
    <n v="175155"/>
    <n v="175155"/>
    <n v="1"/>
    <n v="6256774.99"/>
    <n v="35.72136102309383"/>
    <m/>
    <s v=" "/>
    <d v="2010-03-12T00:00:00"/>
    <d v="2030-03-11T00:00:00"/>
    <d v="2030-03-11T00:00:00"/>
    <n v="15.32876712328767"/>
    <n v="15.32876712328767"/>
    <s v="FS"/>
    <m/>
    <s v="None"/>
    <n v="64300000"/>
    <n v="367.1034226827667"/>
    <s v=" "/>
    <m/>
    <d v="2014-11-15T00:00:00"/>
    <x v="1460"/>
    <s v="Direct"/>
    <x v="1058"/>
    <m/>
    <s v="Cross-Border"/>
    <m/>
    <m/>
    <m/>
    <s v=" "/>
    <s v=" "/>
    <m/>
    <s v=" "/>
    <s v=" "/>
    <s v=" "/>
    <m/>
    <s v=" "/>
  </r>
  <r>
    <m/>
    <s v="ICE"/>
    <s v="Federal"/>
    <s v="Fee Simple"/>
    <s v="1516 Fountain Plaza Dr"/>
    <s v="Rapid City"/>
    <s v="SD"/>
    <n v="2.78"/>
    <n v="2011"/>
    <n v="29066"/>
    <n v="29066"/>
    <n v="1"/>
    <n v="959438.8"/>
    <n v="33.0089726828597"/>
    <m/>
    <s v=" "/>
    <d v="2012-05-01T00:00:00"/>
    <d v="2022-04-30T00:00:00"/>
    <d v="2022-04-30T00:00:00"/>
    <n v="7.46027397260274"/>
    <n v="7.46027397260274"/>
    <s v="Modified Gross"/>
    <s v="None"/>
    <s v="None"/>
    <n v="10367500"/>
    <n v="356.6882267941925"/>
    <s v=" "/>
    <m/>
    <d v="2014-11-15T00:00:00"/>
    <x v="540"/>
    <s v="Colliers"/>
    <x v="983"/>
    <s v="NY"/>
    <s v="REIT"/>
    <m/>
    <m/>
    <m/>
    <s v=" "/>
    <s v=" "/>
    <m/>
    <s v=" "/>
    <s v=" "/>
    <s v=" "/>
    <m/>
    <s v=" "/>
  </r>
  <r>
    <s v="LAR14797"/>
    <s v="ICE/HSI"/>
    <s v="Federal"/>
    <s v="Fee Simple"/>
    <s v="2887 Point Circle Dr"/>
    <s v="Fayetteville"/>
    <s v="AR"/>
    <n v="0.47"/>
    <n v="2000"/>
    <n v="4809"/>
    <n v="4809"/>
    <n v="1"/>
    <n v="110827.72"/>
    <n v="23.04589727594094"/>
    <n v="63658.72"/>
    <n v="13.23741318361406"/>
    <d v="2000-06-01T00:00:00"/>
    <d v="2017-05-31T00:00:00"/>
    <d v="2010-03-21T00:00:00"/>
    <n v="2.545205479452055"/>
    <n v="-4.654794520547945"/>
    <s v="Modified Gross"/>
    <s v="None"/>
    <s v="None"/>
    <m/>
    <s v=" "/>
    <s v=" "/>
    <m/>
    <d v="2014-11-14T00:00:00"/>
    <x v="921"/>
    <s v="FORECLOSURE"/>
    <x v="920"/>
    <s v="MD"/>
    <s v="Institutional"/>
    <m/>
    <m/>
    <m/>
    <s v=" "/>
    <s v=" "/>
    <m/>
    <s v=" "/>
    <s v=" "/>
    <s v=" "/>
    <m/>
    <s v=" "/>
  </r>
  <r>
    <m/>
    <s v="IRS"/>
    <s v="Federal"/>
    <s v="Fee Simple"/>
    <s v="440 Western Ave"/>
    <s v="South Portland"/>
    <s v="ME"/>
    <n v="0.73"/>
    <n v="1974"/>
    <n v="8424"/>
    <n v="8424"/>
    <n v="1"/>
    <m/>
    <s v=" "/>
    <m/>
    <s v=" "/>
    <m/>
    <d v="2019-12-01T00:00:00"/>
    <d v="2014-12-01T00:00:00"/>
    <n v="5.06027397260274"/>
    <n v="0.05753424657534247"/>
    <s v="Modified Gross"/>
    <s v="None"/>
    <s v="None"/>
    <n v="1500000"/>
    <n v="178.0626780626781"/>
    <s v=" "/>
    <m/>
    <d v="2014-11-10T00:00:00"/>
    <x v="1461"/>
    <m/>
    <x v="1059"/>
    <s v="ME"/>
    <s v="Private"/>
    <m/>
    <m/>
    <m/>
    <s v=" "/>
    <s v=" "/>
    <m/>
    <s v=" "/>
    <s v=" "/>
    <s v=" "/>
    <m/>
    <s v=" "/>
  </r>
  <r>
    <s v="LCO14102"/>
    <s v="AOC"/>
    <s v="Federal"/>
    <s v="Fee Simple"/>
    <s v="12484 E. Weaver Pl"/>
    <s v="Centennial"/>
    <s v="CO"/>
    <n v="3.92"/>
    <n v="2008"/>
    <n v="40629"/>
    <n v="40629"/>
    <n v="1"/>
    <n v="1306104.42"/>
    <n v="32.14709739348741"/>
    <n v="1050320"/>
    <n v="25.85148539220754"/>
    <d v="2009-03-01T00:00:00"/>
    <d v="2024-02-28T00:00:00"/>
    <d v="2019-03-01T00:00:00"/>
    <n v="9.326027397260274"/>
    <n v="4.326027397260274"/>
    <s v="Modified Gross"/>
    <s v="None"/>
    <s v="None"/>
    <n v="13820000"/>
    <n v="340.1511235816781"/>
    <n v="0.076"/>
    <m/>
    <d v="2014-11-03T00:00:00"/>
    <x v="35"/>
    <s v="Direct"/>
    <x v="1060"/>
    <s v="CA"/>
    <s v="Private"/>
    <m/>
    <m/>
    <m/>
    <s v=" "/>
    <s v=" "/>
    <m/>
    <s v=" "/>
    <s v=" "/>
    <s v=" "/>
    <m/>
    <s v=" "/>
  </r>
  <r>
    <s v="LNC62522"/>
    <s v="ACoE"/>
    <s v="Federal"/>
    <s v="Fee Simple"/>
    <s v="69 Darlington Ave"/>
    <s v="Wilmington"/>
    <s v="NC"/>
    <n v="7.05"/>
    <n v="1988"/>
    <n v="51800"/>
    <n v="51800"/>
    <n v="1"/>
    <n v="1167561.92"/>
    <n v="22.5398054054054"/>
    <m/>
    <s v=" "/>
    <d v="2014-06-01T00:00:00"/>
    <d v="2024-05-31T00:00:00"/>
    <d v="2019-06-01T00:00:00"/>
    <n v="9.580821917808219"/>
    <n v="4.578082191780822"/>
    <s v="Modified Gross"/>
    <s v="None"/>
    <s v="None"/>
    <n v="9750000"/>
    <n v="188.2239382239382"/>
    <s v=" "/>
    <m/>
    <d v="2014-11-03T00:00:00"/>
    <x v="1462"/>
    <s v="Direct"/>
    <x v="429"/>
    <s v="NY"/>
    <s v="Private"/>
    <m/>
    <m/>
    <m/>
    <s v=" "/>
    <s v=" "/>
    <m/>
    <s v=" "/>
    <s v=" "/>
    <s v=" "/>
    <m/>
    <s v=" "/>
  </r>
  <r>
    <m/>
    <s v="DOJ"/>
    <s v="Federal"/>
    <s v="Fee Simple"/>
    <s v="325 Broadway St"/>
    <s v="Cape Girardeau"/>
    <s v="MO"/>
    <n v="0.8100000000000001"/>
    <m/>
    <n v="6648"/>
    <n v="14448"/>
    <n v="0.4601328903654485"/>
    <m/>
    <s v=" "/>
    <m/>
    <s v=" "/>
    <m/>
    <d v="2020-01-30T00:00:00"/>
    <d v="2015-01-30T00:00:00"/>
    <n v="5.252054794520548"/>
    <n v="0.2493150684931507"/>
    <s v="Modified Gross"/>
    <s v="None"/>
    <s v="None"/>
    <n v="1000000"/>
    <n v="69.21373200442967"/>
    <s v=" "/>
    <m/>
    <d v="2014-10-31T00:00:00"/>
    <x v="1463"/>
    <m/>
    <x v="1061"/>
    <s v="MO"/>
    <s v="User/Owner"/>
    <m/>
    <m/>
    <m/>
    <s v=" "/>
    <s v=" "/>
    <m/>
    <s v=" "/>
    <s v=" "/>
    <s v=" "/>
    <m/>
    <s v=" "/>
  </r>
  <r>
    <s v="LGA46055"/>
    <s v="USCIS"/>
    <s v="Federal"/>
    <s v="Fee Simple"/>
    <s v="2150 Parklane Dr NE"/>
    <s v="Atlanta"/>
    <s v="GA"/>
    <n v="4.29"/>
    <n v="1974"/>
    <n v="70881"/>
    <n v="70881"/>
    <n v="1"/>
    <n v="1613837.98"/>
    <n v="22.76827330314189"/>
    <n v="952875"/>
    <n v="13.44330638676091"/>
    <d v="2006-12-24T00:00:00"/>
    <d v="2026-12-23T00:00:00"/>
    <d v="2016-12-23T00:00:00"/>
    <n v="12.15890410958904"/>
    <n v="2.153424657534246"/>
    <s v="FS"/>
    <m/>
    <s v="None"/>
    <n v="11550000"/>
    <n v="162.9491683243747"/>
    <n v="0.0825"/>
    <m/>
    <d v="2014-10-29T00:00:00"/>
    <x v="716"/>
    <s v="JLL; Brian Saal"/>
    <x v="1"/>
    <s v="IL"/>
    <s v="Private"/>
    <m/>
    <m/>
    <m/>
    <s v=" "/>
    <s v=" "/>
    <m/>
    <s v=" "/>
    <s v=" "/>
    <s v=" "/>
    <m/>
    <s v=" "/>
  </r>
  <r>
    <s v="LMD01473"/>
    <s v="FDA"/>
    <s v="Federal"/>
    <s v="Fee Simple"/>
    <s v="5901 Ammendale Rd"/>
    <s v="Beltsville"/>
    <s v="MD"/>
    <n v="9.359999999999999"/>
    <n v="2003"/>
    <n v="77651"/>
    <n v="104619"/>
    <n v="0.7422265554058058"/>
    <n v="2112833.41"/>
    <n v="27.20935222984894"/>
    <m/>
    <s v=" "/>
    <d v="2003-03-07T00:00:00"/>
    <d v="2018-03-06T00:00:00"/>
    <d v="2018-03-06T00:00:00"/>
    <n v="3.358904109589041"/>
    <n v="3.358904109589041"/>
    <s v="Modified Gross"/>
    <s v="None"/>
    <s v="None"/>
    <n v="16850000"/>
    <n v="161.0606104053757"/>
    <s v=" "/>
    <m/>
    <d v="2014-10-27T00:00:00"/>
    <x v="1464"/>
    <s v="JLL: Applestein &amp; Colliers; Cottle &amp; Kennedy"/>
    <x v="1"/>
    <s v="IL"/>
    <s v="Private"/>
    <m/>
    <m/>
    <m/>
    <s v=" "/>
    <s v=" "/>
    <m/>
    <s v=" "/>
    <s v=" "/>
    <s v=" "/>
    <m/>
    <s v=" "/>
  </r>
  <r>
    <s v="LNC62546"/>
    <s v="CBP"/>
    <s v="Federal"/>
    <s v="Fee Simple"/>
    <s v="721 Medical Center Dr"/>
    <s v="Wilmington"/>
    <s v="NC"/>
    <n v="2.12"/>
    <n v="2001"/>
    <n v="23420"/>
    <n v="23436"/>
    <n v="0.9993172896398703"/>
    <n v="598890.61"/>
    <n v="25.57175960717336"/>
    <m/>
    <s v=" "/>
    <d v="2014-02-01T00:00:00"/>
    <d v="2024-01-31T00:00:00"/>
    <d v="2019-01-31T00:00:00"/>
    <n v="9.287671232876713"/>
    <n v="4.284931506849315"/>
    <s v="Modified Gross"/>
    <s v="None"/>
    <s v="None"/>
    <n v="5750000"/>
    <n v="245.3490356716163"/>
    <s v=" "/>
    <m/>
    <d v="2014-10-20T00:00:00"/>
    <x v="1179"/>
    <m/>
    <x v="474"/>
    <s v="PA"/>
    <s v="Private"/>
    <m/>
    <m/>
    <m/>
    <s v=" "/>
    <s v=" "/>
    <m/>
    <s v=" "/>
    <s v=" "/>
    <s v=" "/>
    <m/>
    <s v=" "/>
  </r>
  <r>
    <m/>
    <s v="Multi"/>
    <s v="Federal"/>
    <s v="Fee Simple"/>
    <s v="300 Jackson St"/>
    <s v="Alexandria"/>
    <s v="LA"/>
    <n v="0.5302"/>
    <n v="1917"/>
    <n v="40000"/>
    <n v="40000"/>
    <n v="1"/>
    <n v="442018"/>
    <n v="11.05045"/>
    <n v="296701"/>
    <n v="7.417525"/>
    <m/>
    <d v="2022-07-17T00:00:00"/>
    <d v="2017-07-31T00:00:00"/>
    <n v="7.775342465753424"/>
    <n v="2.810958904109589"/>
    <s v="Modified Gross"/>
    <s v="None"/>
    <s v="None"/>
    <n v="3000000"/>
    <n v="75"/>
    <n v="0.09890033333333334"/>
    <m/>
    <d v="2014-10-09T00:00:00"/>
    <x v="1465"/>
    <s v="Ratcliff Development"/>
    <x v="84"/>
    <s v="IL"/>
    <s v="Private"/>
    <m/>
    <m/>
    <m/>
    <s v=" "/>
    <s v=" "/>
    <m/>
    <s v=" "/>
    <s v=" "/>
    <s v=" "/>
    <m/>
    <s v=" "/>
  </r>
  <r>
    <s v="LWA07366"/>
    <s v="Navy"/>
    <s v="Federal"/>
    <s v="Fee Simple"/>
    <s v="3230 NW Randall Way"/>
    <s v="Silverdale"/>
    <s v="WA"/>
    <n v="3.34"/>
    <n v="1993"/>
    <n v="38601"/>
    <n v="38601"/>
    <n v="1"/>
    <n v="1014874.61"/>
    <n v="26.2914072174296"/>
    <n v="639000"/>
    <n v="16.55397528561436"/>
    <d v="2012-07-01T00:00:00"/>
    <d v="2022-06-30T00:00:00"/>
    <d v="2017-06-30T00:00:00"/>
    <n v="7.728767123287671"/>
    <n v="2.726027397260274"/>
    <s v="FS"/>
    <m/>
    <s v="2, 5 year"/>
    <n v="7100000"/>
    <n v="183.9330587290485"/>
    <n v="0.09"/>
    <m/>
    <d v="2014-10-09T00:00:00"/>
    <x v="1466"/>
    <s v="Targa; Tom Petramalo"/>
    <x v="1062"/>
    <m/>
    <s v="Private"/>
    <m/>
    <m/>
    <m/>
    <s v=" "/>
    <s v=" "/>
    <m/>
    <s v=" "/>
    <s v=" "/>
    <s v=" "/>
    <m/>
    <s v=" "/>
  </r>
  <r>
    <s v="LGA62313"/>
    <s v="SSA"/>
    <s v="Federal"/>
    <s v="Fee Simple"/>
    <s v="919 Hillcrest Pky"/>
    <s v="Dublin"/>
    <s v="GA"/>
    <n v="1.02"/>
    <n v="2003"/>
    <n v="7966"/>
    <n v="8290"/>
    <n v="0.9609167671893848"/>
    <n v="197415.95"/>
    <n v="24.78231860406729"/>
    <n v="121800"/>
    <n v="14.69240048250905"/>
    <d v="2013-11-04T00:00:00"/>
    <d v="2023-11-03T00:00:00"/>
    <d v="2018-11-03T00:00:00"/>
    <n v="9.076712328767123"/>
    <n v="4.073972602739726"/>
    <s v="Modified Gross"/>
    <s v="None"/>
    <s v="None"/>
    <n v="1450000"/>
    <n v="174.9095295536791"/>
    <n v="0.08400000000000001"/>
    <m/>
    <d v="2014-10-08T00:00:00"/>
    <x v="139"/>
    <s v="SVN; Levin"/>
    <x v="824"/>
    <s v="MT"/>
    <s v="Private"/>
    <s v="BW; Wells"/>
    <m/>
    <n v="1460000"/>
    <n v="0.08342465753424659"/>
    <n v="0.9931506849315068"/>
    <n v="1460000"/>
    <n v="0.08342465753424659"/>
    <n v="0.0005753424657534145"/>
    <s v="No"/>
    <d v="2012-10-10T00:00:00"/>
    <n v="728"/>
  </r>
  <r>
    <s v="LDC12562"/>
    <s v="OJP"/>
    <s v="Federal"/>
    <s v="Fee Simple"/>
    <s v="810 7th St NW"/>
    <s v="Washington"/>
    <s v="DC"/>
    <n v="0.87"/>
    <n v="1991"/>
    <n v="251795"/>
    <n v="276795"/>
    <n v="0.9096804494300836"/>
    <n v="15292921.6"/>
    <n v="60.73560475783871"/>
    <m/>
    <s v=" "/>
    <d v="2011-11-01T00:00:00"/>
    <d v="2021-10-31T00:00:00"/>
    <d v="2021-10-31T00:00:00"/>
    <n v="7.082191780821918"/>
    <n v="7.082191780821918"/>
    <s v="FS"/>
    <m/>
    <s v="None"/>
    <n v="215000000"/>
    <n v="776.7481349012808"/>
    <s v=" "/>
    <m/>
    <d v="2014-10-03T00:00:00"/>
    <x v="1467"/>
    <m/>
    <x v="1063"/>
    <m/>
    <s v="Cross-Border"/>
    <m/>
    <m/>
    <m/>
    <s v=" "/>
    <s v=" "/>
    <m/>
    <s v=" "/>
    <s v=" "/>
    <s v=" "/>
    <m/>
    <s v=" "/>
  </r>
  <r>
    <s v="LVA12563"/>
    <s v="DIA"/>
    <s v="Federal"/>
    <s v="Fee Simple"/>
    <s v="12290 Sunrise Valley Dr"/>
    <s v="Reston"/>
    <s v="VA"/>
    <n v="8.01"/>
    <n v="1987"/>
    <n v="182423"/>
    <n v="182423"/>
    <n v="1"/>
    <n v="6503499.55"/>
    <n v="35.65065561908312"/>
    <n v="4373175.52"/>
    <n v="23.97272010656551"/>
    <d v="2013-03-07T00:00:00"/>
    <d v="2033-03-06T00:00:00"/>
    <d v="2032-09-06T00:00:00"/>
    <n v="18.43835616438356"/>
    <n v="17.94246575342466"/>
    <s v="FS"/>
    <m/>
    <s v="None"/>
    <n v="78092420"/>
    <n v="428.0842876172413"/>
    <n v="0.05600000000000001"/>
    <m/>
    <d v="2014-10-02T00:00:00"/>
    <x v="697"/>
    <s v="CT; Bill Collins"/>
    <x v="1064"/>
    <m/>
    <s v="Cross-Border"/>
    <m/>
    <m/>
    <m/>
    <s v=" "/>
    <s v=" "/>
    <m/>
    <s v=" "/>
    <s v=" "/>
    <s v=" "/>
    <m/>
    <s v=" "/>
  </r>
  <r>
    <s v="LVA02221"/>
    <s v="DIA"/>
    <s v="Federal"/>
    <s v="Fee Simple"/>
    <s v="12310 Sunrise Valley Dr"/>
    <s v="Reston"/>
    <s v="VA"/>
    <n v="8.01"/>
    <n v="1987"/>
    <n v="523482"/>
    <n v="523482"/>
    <n v="1"/>
    <n v="18565153.8"/>
    <n v="35.46474148108245"/>
    <n v="13602824.48"/>
    <n v="25.98527643739422"/>
    <d v="2012-10-01T00:00:00"/>
    <d v="2032-09-30T00:00:00"/>
    <d v="2032-09-30T00:00:00"/>
    <n v="18.00821917808219"/>
    <n v="18.00821917808219"/>
    <s v="FS"/>
    <m/>
    <s v="None"/>
    <n v="242907580"/>
    <n v="464.0227935248968"/>
    <n v="0.056"/>
    <m/>
    <d v="2014-10-02T00:00:00"/>
    <x v="697"/>
    <s v="CT; Bill Collins"/>
    <x v="1064"/>
    <m/>
    <s v="Cross-Border"/>
    <m/>
    <m/>
    <m/>
    <s v=" "/>
    <s v=" "/>
    <m/>
    <s v=" "/>
    <s v=" "/>
    <s v=" "/>
    <m/>
    <s v=" "/>
  </r>
  <r>
    <s v="LNM16374"/>
    <s v="DEA"/>
    <s v="Federal"/>
    <s v="Fee Simple"/>
    <s v="2290 E Griggs Ave"/>
    <s v="Las Cruces"/>
    <s v="NM"/>
    <n v="4.56"/>
    <n v="2009"/>
    <n v="21815"/>
    <n v="21815"/>
    <n v="1"/>
    <n v="1245494.58"/>
    <n v="57.09349438459775"/>
    <n v="1102500"/>
    <n v="50.53862021544808"/>
    <d v="2009-06-19T00:00:00"/>
    <d v="2024-06-18T00:00:00"/>
    <d v="2024-06-18T00:00:00"/>
    <n v="9.72054794520548"/>
    <n v="9.72054794520548"/>
    <s v="FS"/>
    <m/>
    <s v="None"/>
    <n v="15000000"/>
    <n v="687.60027504011"/>
    <n v="0.0735"/>
    <m/>
    <d v="2014-10-01T00:00:00"/>
    <x v="1408"/>
    <s v="SJC; Briggs"/>
    <x v="1"/>
    <s v="IL"/>
    <s v="Private"/>
    <m/>
    <m/>
    <m/>
    <s v=" "/>
    <s v=" "/>
    <m/>
    <s v=" "/>
    <s v=" "/>
    <s v=" "/>
    <m/>
    <s v=" "/>
  </r>
  <r>
    <m/>
    <s v="DSHS"/>
    <s v="State"/>
    <s v="Fee Simple"/>
    <s v="1301 E 72nd St"/>
    <s v="Tacoma"/>
    <s v="WA"/>
    <n v="2.93"/>
    <n v="1994"/>
    <n v="30000"/>
    <n v="30000"/>
    <n v="1"/>
    <n v="615000"/>
    <n v="20.5"/>
    <n v="401850"/>
    <n v="13.395"/>
    <d v="2012-08-01T00:00:00"/>
    <d v="2017-07-31T00:00:00"/>
    <d v="2012-08-01T00:00:00"/>
    <n v="2.832876712328767"/>
    <n v="-2.167123287671233"/>
    <s v="Full Service"/>
    <s v="None"/>
    <s v="2, 5 year"/>
    <n v="4500000"/>
    <n v="150"/>
    <n v="0.0893"/>
    <m/>
    <d v="2014-10-01T00:00:00"/>
    <x v="1466"/>
    <s v="Petramola"/>
    <x v="1065"/>
    <s v="WA"/>
    <s v="Private"/>
    <m/>
    <m/>
    <n v="4750000"/>
    <n v="0.08459999999999999"/>
    <n v="0.9473684210526315"/>
    <n v="4750000"/>
    <n v="0.08459999999999999"/>
    <n v="0.00470000000000001"/>
    <s v="No"/>
    <d v="2014-06-03T00:00:00"/>
    <n v="120"/>
  </r>
  <r>
    <s v="LFL50839"/>
    <s v="SSA"/>
    <s v="Federal"/>
    <s v="Fee Simple"/>
    <s v="1801 Alton Rd"/>
    <s v="Miami Beach"/>
    <s v="FL"/>
    <n v="1.1"/>
    <n v="1994"/>
    <n v="13234"/>
    <n v="20276"/>
    <n v="0.6526928388242257"/>
    <n v="404758.72"/>
    <n v="30.58476046546773"/>
    <n v="427200"/>
    <n v="21.06924442690866"/>
    <d v="2011-08-01T00:00:00"/>
    <d v="2021-07-31T00:00:00"/>
    <d v="2016-07-31T00:00:00"/>
    <n v="6.841095890410959"/>
    <n v="1.838356164383562"/>
    <s v="Modified Gross"/>
    <s v="None"/>
    <s v="None"/>
    <n v="8000000"/>
    <n v="394.5551390806865"/>
    <n v="0.0534"/>
    <m/>
    <d v="2014-09-29T00:00:00"/>
    <x v="273"/>
    <s v="M&amp;M; Medress"/>
    <x v="1066"/>
    <s v="NY"/>
    <s v="Private"/>
    <m/>
    <m/>
    <m/>
    <s v=" "/>
    <s v=" "/>
    <m/>
    <s v=" "/>
    <s v=" "/>
    <s v=" "/>
    <m/>
    <s v=" "/>
  </r>
  <r>
    <s v="LCA03110"/>
    <s v="USCIS"/>
    <s v="Federal"/>
    <s v="Fee Simple"/>
    <s v="995 Hardt St"/>
    <s v="San Bernardino"/>
    <s v="CA"/>
    <n v="2.3"/>
    <n v="2007"/>
    <n v="39024"/>
    <n v="39024"/>
    <n v="1"/>
    <n v="1403249.96"/>
    <n v="35.95863981139811"/>
    <n v="1111875"/>
    <n v="28.49208179581796"/>
    <d v="2014-03-19T00:00:00"/>
    <d v="2029-03-18T00:00:00"/>
    <d v="2029-03-18T00:00:00"/>
    <n v="14.48493150684932"/>
    <n v="14.48493150684932"/>
    <s v="Modified Gross"/>
    <s v="None"/>
    <s v="None"/>
    <n v="17790000"/>
    <n v="455.8733087330874"/>
    <n v="0.0625"/>
    <m/>
    <d v="2014-09-26T00:00:00"/>
    <x v="1468"/>
    <s v="C&amp;W; Travis Trautvetter"/>
    <x v="809"/>
    <s v="CA"/>
    <s v="Private"/>
    <s v="Bowen Cardoza"/>
    <s v="Granum Partners"/>
    <m/>
    <s v=" "/>
    <s v=" "/>
    <m/>
    <s v=" "/>
    <s v=" "/>
    <s v=" "/>
    <d v="2014-01-09T00:00:00"/>
    <n v="260"/>
  </r>
  <r>
    <s v="LOH16324"/>
    <s v="SSA"/>
    <s v="Federal"/>
    <s v="Fee Simple"/>
    <s v="1050 Hospital Dr"/>
    <s v="Batavia"/>
    <s v="OH"/>
    <n v="1.225"/>
    <n v="2000"/>
    <n v="7322"/>
    <n v="7322"/>
    <n v="1"/>
    <n v="221478.5"/>
    <n v="30.24836110352363"/>
    <n v="141184"/>
    <n v="19.28216334334881"/>
    <d v="2000-10-04T00:00:00"/>
    <d v="2020-10-03T00:00:00"/>
    <d v="2015-10-03T00:00:00"/>
    <n v="6.027397260273973"/>
    <n v="1.021917808219178"/>
    <s v="Modified Gross"/>
    <s v="None"/>
    <s v="None"/>
    <n v="1550000"/>
    <n v="211.690794864791"/>
    <n v="0.09108645161290323"/>
    <m/>
    <d v="2014-09-25T00:00:00"/>
    <x v="1469"/>
    <s v="M&amp;M; Fenn"/>
    <x v="84"/>
    <s v="IL"/>
    <s v="Private"/>
    <m/>
    <m/>
    <n v="1563000"/>
    <n v="0.09032885476647473"/>
    <n v="0.9916826615483045"/>
    <n v="1550000"/>
    <n v="0.09108645161290323"/>
    <n v="0"/>
    <s v="Yes"/>
    <d v="2014-03-01T00:00:00"/>
    <n v="208"/>
  </r>
  <r>
    <m/>
    <s v="USPS"/>
    <s v="Federal"/>
    <s v="Fee Simple"/>
    <s v="50 N Salado Ave"/>
    <s v="Patterson"/>
    <s v="CA"/>
    <n v="0.31"/>
    <n v="1967"/>
    <n v="4136"/>
    <n v="4136"/>
    <n v="1"/>
    <m/>
    <s v=" "/>
    <n v="44124"/>
    <n v="10.66827852998066"/>
    <d v="2012-07-01T00:00:00"/>
    <d v="2017-06-30T00:00:00"/>
    <d v="2017-06-30T00:00:00"/>
    <n v="2.767123287671233"/>
    <n v="2.767123287671233"/>
    <s v="Rider"/>
    <s v="None"/>
    <s v="None"/>
    <n v="685000"/>
    <n v="165.6189555125725"/>
    <n v="0.06441459854014599"/>
    <m/>
    <d v="2014-09-24T00:00:00"/>
    <x v="8"/>
    <m/>
    <x v="0"/>
    <m/>
    <m/>
    <m/>
    <m/>
    <n v="700000"/>
    <n v="0.06303428571428571"/>
    <n v="0.9785714285714285"/>
    <n v="700000"/>
    <n v="0.06303428571428571"/>
    <n v="0.001380312825860278"/>
    <s v="No"/>
    <d v="2013-07-16T00:00:00"/>
    <n v="435"/>
  </r>
  <r>
    <m/>
    <s v="Dept of Commerce"/>
    <s v="State"/>
    <s v="Fee Simple"/>
    <s v="6606 Tussing Road"/>
    <s v="Reynoldsburg"/>
    <s v="OH"/>
    <n v="29.38"/>
    <n v="1977"/>
    <n v="290283"/>
    <n v="494000"/>
    <n v="0.5876174089068826"/>
    <m/>
    <s v=" "/>
    <m/>
    <s v=" "/>
    <m/>
    <m/>
    <m/>
    <s v=" "/>
    <s v=" "/>
    <m/>
    <m/>
    <m/>
    <n v="4900000"/>
    <n v="9.919028340080972"/>
    <s v=" "/>
    <m/>
    <d v="2014-09-24T00:00:00"/>
    <x v="1470"/>
    <m/>
    <x v="1067"/>
    <s v="OH"/>
    <s v="Private"/>
    <m/>
    <m/>
    <n v="5100000"/>
    <s v=" "/>
    <n v="0.9607843137254902"/>
    <n v="5100000"/>
    <s v=" "/>
    <s v=" "/>
    <s v="No"/>
    <m/>
    <s v=" "/>
  </r>
  <r>
    <s v="LAZ99001"/>
    <s v="SSA"/>
    <s v="Federal"/>
    <s v="Fee Simple"/>
    <s v="600 E 15th St"/>
    <s v="Douglas"/>
    <s v="AZ"/>
    <m/>
    <n v="2001"/>
    <n v="4700"/>
    <n v="4700"/>
    <n v="1"/>
    <n v="142011.55"/>
    <n v="30.21522340425532"/>
    <m/>
    <s v=" "/>
    <d v="2001-02-07T00:00:00"/>
    <d v="2018-08-06T00:00:00"/>
    <d v="2018-08-06T00:00:00"/>
    <n v="3.871232876712329"/>
    <n v="3.871232876712329"/>
    <s v="Modified Gross"/>
    <s v="None"/>
    <s v="None"/>
    <n v="392390"/>
    <n v="83.4872340425532"/>
    <s v=" "/>
    <m/>
    <d v="2014-09-23T00:00:00"/>
    <x v="1240"/>
    <s v="C&amp;W; Trautvetter"/>
    <x v="84"/>
    <s v="IL"/>
    <s v="Private"/>
    <m/>
    <m/>
    <m/>
    <s v=" "/>
    <s v=" "/>
    <m/>
    <s v=" "/>
    <s v=" "/>
    <s v=" "/>
    <m/>
    <s v=" "/>
  </r>
  <r>
    <s v="LNC40164"/>
    <s v="SSA"/>
    <s v="Federal"/>
    <s v="Fee Simple"/>
    <s v="3004 Tower Blvd"/>
    <s v="Durham"/>
    <s v="NC"/>
    <n v="1.84"/>
    <n v="2003"/>
    <n v="14875"/>
    <n v="14875"/>
    <n v="1"/>
    <n v="328944.86"/>
    <n v="22.11394016806723"/>
    <n v="262080"/>
    <n v="17.61882352941176"/>
    <d v="2003-09-01T00:00:00"/>
    <d v="2016-08-31T00:00:00"/>
    <d v="2008-08-31T00:00:00"/>
    <n v="1.93972602739726"/>
    <n v="-6.065753424657534"/>
    <s v="Modified Gross"/>
    <s v="None"/>
    <s v="None"/>
    <n v="2300000"/>
    <n v="154.6218487394958"/>
    <n v="0.1139478260869565"/>
    <m/>
    <d v="2014-09-23T00:00:00"/>
    <x v="1471"/>
    <s v="M&amp;M; Greenspon"/>
    <x v="84"/>
    <s v="IL"/>
    <s v="Private"/>
    <m/>
    <m/>
    <m/>
    <s v=" "/>
    <s v=" "/>
    <m/>
    <s v=" "/>
    <s v=" "/>
    <s v=" "/>
    <m/>
    <s v=" "/>
  </r>
  <r>
    <s v="LAZ02621"/>
    <s v="SSA"/>
    <s v="Federal"/>
    <s v="Fee Simple"/>
    <s v="5907 W Kings Ave"/>
    <s v="Glendale"/>
    <s v="AZ"/>
    <m/>
    <n v="2000"/>
    <n v="17334"/>
    <n v="17334"/>
    <n v="1"/>
    <n v="452098.08"/>
    <n v="26.08157840083074"/>
    <m/>
    <s v=" "/>
    <d v="2010-09-01T00:00:00"/>
    <d v="2025-08-31T00:00:00"/>
    <d v="2019-09-01T00:00:00"/>
    <n v="10.94520547945205"/>
    <n v="4.942465753424657"/>
    <s v="Modified Gross"/>
    <s v="None"/>
    <s v="None"/>
    <n v="3346889"/>
    <n v="193.0823237567786"/>
    <s v=" "/>
    <m/>
    <d v="2014-09-23T00:00:00"/>
    <x v="1240"/>
    <s v="C&amp;W; Trautvetter"/>
    <x v="84"/>
    <s v="IL"/>
    <s v="Private"/>
    <m/>
    <m/>
    <m/>
    <s v=" "/>
    <s v=" "/>
    <m/>
    <s v=" "/>
    <s v=" "/>
    <s v=" "/>
    <m/>
    <s v=" "/>
  </r>
  <r>
    <s v="LCA98159"/>
    <s v="SSA"/>
    <s v="Federal"/>
    <s v="Fee Simple"/>
    <s v="7961-7995 University Ave"/>
    <s v="La Mesa"/>
    <s v="CA"/>
    <n v="0.57"/>
    <n v="1986"/>
    <n v="9500"/>
    <n v="9500"/>
    <n v="1"/>
    <n v="220760"/>
    <n v="23.2378947368421"/>
    <m/>
    <s v=" "/>
    <d v="2000-04-06T00:00:00"/>
    <d v="2015-04-05T00:00:00"/>
    <d v="2010-04-06T00:00:00"/>
    <n v="0.5315068493150685"/>
    <n v="-4.468493150684932"/>
    <s v="Modified Gross"/>
    <s v="None"/>
    <s v="None"/>
    <n v="1922500"/>
    <n v="202.3684210526316"/>
    <s v=" "/>
    <m/>
    <d v="2014-09-23T00:00:00"/>
    <x v="1240"/>
    <s v="C&amp;W; Trautvetter"/>
    <x v="84"/>
    <s v="IL"/>
    <s v="Private"/>
    <m/>
    <m/>
    <m/>
    <s v=" "/>
    <s v=" "/>
    <m/>
    <s v=" "/>
    <s v=" "/>
    <s v=" "/>
    <m/>
    <s v=" "/>
  </r>
  <r>
    <s v="LAZ99013"/>
    <s v="SSA"/>
    <s v="Federal"/>
    <s v="Fee Simple"/>
    <s v="16241 N Tatum Blvd"/>
    <s v="Phoenix"/>
    <s v="AZ"/>
    <m/>
    <n v="2001"/>
    <n v="29602"/>
    <n v="29602"/>
    <n v="1"/>
    <n v="799254"/>
    <n v="27"/>
    <m/>
    <s v=" "/>
    <d v="2001-12-19T00:00:00"/>
    <d v="2016-12-18T00:00:00"/>
    <d v="2011-12-18T00:00:00"/>
    <n v="2.238356164383561"/>
    <n v="-2.767123287671233"/>
    <s v="Modified Gross"/>
    <s v="None"/>
    <s v="None"/>
    <n v="2867204"/>
    <n v="96.85845550976285"/>
    <s v=" "/>
    <m/>
    <d v="2014-09-23T00:00:00"/>
    <x v="1240"/>
    <s v="C&amp;W; Trautvetter"/>
    <x v="84"/>
    <s v="IL"/>
    <s v="Private"/>
    <m/>
    <m/>
    <m/>
    <s v=" "/>
    <s v=" "/>
    <m/>
    <s v=" "/>
    <s v=" "/>
    <s v=" "/>
    <m/>
    <s v=" "/>
  </r>
  <r>
    <m/>
    <s v="Multi"/>
    <s v="Federal"/>
    <s v="Fee Simple"/>
    <s v="Portfolio of Seven"/>
    <m/>
    <m/>
    <n v="9.51"/>
    <m/>
    <n v="78837"/>
    <n v="78837"/>
    <n v="1"/>
    <m/>
    <s v=" "/>
    <n v="1126820"/>
    <n v="14.2930349962581"/>
    <m/>
    <m/>
    <m/>
    <s v=" "/>
    <s v=" "/>
    <s v="FS"/>
    <m/>
    <m/>
    <n v="10300000"/>
    <n v="130.6493144082093"/>
    <n v="0.1094"/>
    <m/>
    <d v="2014-09-23T00:00:00"/>
    <x v="1240"/>
    <s v="C&amp;W; Trautvetter"/>
    <x v="84"/>
    <s v="IL"/>
    <s v="Private"/>
    <m/>
    <m/>
    <m/>
    <s v=" "/>
    <s v=" "/>
    <m/>
    <s v=" "/>
    <s v=" "/>
    <s v=" "/>
    <m/>
    <s v=" "/>
  </r>
  <r>
    <m/>
    <s v="DHS"/>
    <s v="State"/>
    <s v="Fee Simple"/>
    <s v="444 Lafayette Rd N"/>
    <s v="Saint Paul"/>
    <s v="MN"/>
    <n v="10.47"/>
    <n v="1919"/>
    <n v="280172"/>
    <n v="280172"/>
    <n v="1"/>
    <n v="5303094"/>
    <n v="18.92799423211456"/>
    <n v="2810665"/>
    <n v="10.03192681638422"/>
    <m/>
    <d v="2021-12-31T00:00:00"/>
    <d v="2021-12-31T00:00:00"/>
    <n v="7.279452054794521"/>
    <n v="7.279452054794521"/>
    <s v="Full Service"/>
    <s v="2% annually"/>
    <s v="None"/>
    <n v="32600000"/>
    <n v="116.3570949274017"/>
    <n v="0.08621671779141105"/>
    <m/>
    <d v="2014-09-22T00:00:00"/>
    <x v="1472"/>
    <s v="CBRE"/>
    <x v="1068"/>
    <s v="NY"/>
    <s v="Institutional"/>
    <m/>
    <m/>
    <m/>
    <s v=" "/>
    <s v=" "/>
    <m/>
    <s v=" "/>
    <s v=" "/>
    <s v=" "/>
    <m/>
    <s v=" "/>
  </r>
  <r>
    <m/>
    <s v="DOL/DNR"/>
    <s v="State"/>
    <s v="Fee Simple"/>
    <s v="443-520 Lafayette Rd N"/>
    <s v="Saint Paul"/>
    <s v="MN"/>
    <n v="7.1"/>
    <m/>
    <n v="397342"/>
    <n v="397342"/>
    <n v="1"/>
    <n v="4337491"/>
    <n v="10.9162660881558"/>
    <n v="3116021"/>
    <n v="7.842163677637904"/>
    <m/>
    <d v="2022-09-30T00:00:00"/>
    <d v="2022-09-30T00:00:00"/>
    <n v="8.035616438356165"/>
    <n v="8.035616438356165"/>
    <s v="Full Service"/>
    <s v="2% annually"/>
    <s v="None"/>
    <n v="30000000"/>
    <n v="75.50170885534376"/>
    <n v="0.1038673666666667"/>
    <m/>
    <d v="2014-09-19T00:00:00"/>
    <x v="1473"/>
    <s v="CBRE"/>
    <x v="1068"/>
    <s v="NY"/>
    <s v="Institutional"/>
    <m/>
    <m/>
    <m/>
    <s v=" "/>
    <s v=" "/>
    <m/>
    <s v=" "/>
    <s v=" "/>
    <s v=" "/>
    <d v="2014-02-18T00:00:00"/>
    <n v="213"/>
  </r>
  <r>
    <m/>
    <s v="VA"/>
    <s v="Federal"/>
    <s v="Fee Simple"/>
    <s v="805 Oakley Seaver Drive"/>
    <s v="Clermont"/>
    <s v="FL"/>
    <n v="0.13"/>
    <n v="2008"/>
    <n v="5636"/>
    <n v="5636"/>
    <n v="1"/>
    <m/>
    <s v=" "/>
    <n v="96600"/>
    <n v="17.13981547196593"/>
    <m/>
    <m/>
    <m/>
    <s v=" "/>
    <s v=" "/>
    <m/>
    <m/>
    <m/>
    <n v="1200000"/>
    <n v="212.91696238467"/>
    <n v="0.0805"/>
    <m/>
    <d v="2014-09-12T00:00:00"/>
    <x v="1474"/>
    <m/>
    <x v="1069"/>
    <m/>
    <s v="Private"/>
    <m/>
    <m/>
    <m/>
    <s v=" "/>
    <s v=" "/>
    <n v="1200000"/>
    <n v="0.0805"/>
    <n v="0"/>
    <s v=" "/>
    <m/>
    <s v=" "/>
  </r>
  <r>
    <s v="LMI17728"/>
    <s v="IRS"/>
    <s v="Federal"/>
    <s v="Fee Simple"/>
    <s v="917 N Saginaw"/>
    <s v="Flint"/>
    <s v="MI"/>
    <n v="0.6899999999999999"/>
    <n v="2010"/>
    <n v="14473"/>
    <n v="14473"/>
    <n v="1"/>
    <n v="480961.41"/>
    <n v="33.23163200442202"/>
    <n v="354827"/>
    <n v="24.5164789608236"/>
    <d v="2010-12-13T00:00:00"/>
    <d v="2020-12-12T00:00:00"/>
    <d v="2020-12-12T00:00:00"/>
    <n v="6.257534246575342"/>
    <n v="6.257534246575342"/>
    <s v="Modified Gross"/>
    <s v="Dropped $84K in Year 7"/>
    <s v="None"/>
    <n v="2925000"/>
    <n v="202.1004629309749"/>
    <n v="0.1213083760683761"/>
    <m/>
    <d v="2014-09-11T00:00:00"/>
    <x v="1475"/>
    <s v="M&amp;M; Danielak"/>
    <x v="1070"/>
    <s v="OK"/>
    <s v="Private"/>
    <s v="Newmark; Strange"/>
    <m/>
    <m/>
    <s v=" "/>
    <s v=" "/>
    <m/>
    <s v=" "/>
    <s v=" "/>
    <s v=" "/>
    <m/>
    <s v=" "/>
  </r>
  <r>
    <s v="LPA12114"/>
    <s v="FCC"/>
    <s v="Federal"/>
    <s v="Fee Simple"/>
    <s v="1270 Fairfield Rd"/>
    <s v="Gettysburg"/>
    <s v="PA"/>
    <n v="5.38"/>
    <m/>
    <n v="65554"/>
    <n v="65554"/>
    <n v="1"/>
    <n v="1773720"/>
    <n v="27.05738780242243"/>
    <n v="1363547.25"/>
    <n v="20.80036687311224"/>
    <d v="2013-12-22T00:00:00"/>
    <d v="2023-12-21T00:00:00"/>
    <d v="2023-12-21T00:00:00"/>
    <n v="9.282191780821918"/>
    <n v="9.282191780821918"/>
    <s v="Modified Gross"/>
    <s v="None"/>
    <s v="None"/>
    <n v="16628625"/>
    <n v="253.6630106477103"/>
    <n v="0.082"/>
    <m/>
    <d v="2014-09-11T00:00:00"/>
    <x v="1476"/>
    <m/>
    <x v="1"/>
    <s v="IL"/>
    <s v="Private"/>
    <m/>
    <m/>
    <m/>
    <s v=" "/>
    <s v=" "/>
    <m/>
    <s v=" "/>
    <s v=" "/>
    <s v=" "/>
    <m/>
    <s v=" "/>
  </r>
  <r>
    <s v="LAZ02291"/>
    <s v="USCIS"/>
    <s v="Federal"/>
    <s v="Fee Simple"/>
    <s v="1330 S 16th St"/>
    <s v="Phoenix"/>
    <s v="AZ"/>
    <n v="6.48"/>
    <n v="1970"/>
    <n v="53314"/>
    <n v="53314"/>
    <n v="1"/>
    <n v="1920291.74"/>
    <n v="36.01852684097985"/>
    <m/>
    <s v=" "/>
    <d v="2011-08-19T00:00:00"/>
    <d v="2026-08-18T00:00:00"/>
    <d v="2021-08-18T00:00:00"/>
    <n v="11.94246575342466"/>
    <n v="6.93972602739726"/>
    <s v="Modified Gross"/>
    <s v="None"/>
    <s v="None"/>
    <n v="17600000"/>
    <n v="330.1196683797877"/>
    <s v=" "/>
    <m/>
    <d v="2014-09-11T00:00:00"/>
    <x v="1477"/>
    <s v="C&amp;W; Travis Trautvetter"/>
    <x v="474"/>
    <s v="PA"/>
    <s v="Private"/>
    <m/>
    <m/>
    <m/>
    <s v=" "/>
    <s v=" "/>
    <m/>
    <s v=" "/>
    <s v=" "/>
    <s v=" "/>
    <m/>
    <s v=" "/>
  </r>
  <r>
    <m/>
    <s v="Northern Arizona University"/>
    <s v="State"/>
    <s v="Fee Simple"/>
    <s v="15451 N 28th Ave"/>
    <s v="Phoenix"/>
    <s v="AZ"/>
    <n v="6.45"/>
    <n v="1996"/>
    <n v="66743"/>
    <n v="66743"/>
    <n v="1"/>
    <m/>
    <s v=" "/>
    <n v="936773.9999999999"/>
    <n v="14.03553930749292"/>
    <m/>
    <m/>
    <m/>
    <s v=" "/>
    <s v=" "/>
    <m/>
    <m/>
    <m/>
    <n v="13194000"/>
    <n v="197.6836522182101"/>
    <n v="0.07099999999999999"/>
    <m/>
    <d v="2014-09-10T00:00:00"/>
    <x v="1478"/>
    <s v="C&amp;W; Toci"/>
    <x v="790"/>
    <s v="MA"/>
    <s v="REIT"/>
    <m/>
    <m/>
    <m/>
    <s v=" "/>
    <s v=" "/>
    <m/>
    <s v=" "/>
    <s v=" "/>
    <s v=" "/>
    <m/>
    <s v=" "/>
  </r>
  <r>
    <m/>
    <s v="AOC"/>
    <s v="Federal"/>
    <s v="Fee Simple"/>
    <s v="1310 N Courthouse Rd"/>
    <s v="Arlington"/>
    <s v="VA"/>
    <n v="1.97"/>
    <n v="1983"/>
    <n v="71450"/>
    <n v="380499"/>
    <n v="0.1877797313527762"/>
    <m/>
    <s v=" "/>
    <m/>
    <s v=" "/>
    <m/>
    <m/>
    <m/>
    <s v=" "/>
    <s v=" "/>
    <m/>
    <m/>
    <m/>
    <n v="109500000"/>
    <n v="287.7799941655563"/>
    <s v=" "/>
    <m/>
    <d v="2014-09-09T00:00:00"/>
    <x v="1479"/>
    <s v="Eastdil"/>
    <x v="1071"/>
    <s v="DC"/>
    <s v="Private"/>
    <m/>
    <m/>
    <m/>
    <s v=" "/>
    <s v=" "/>
    <m/>
    <s v=" "/>
    <s v=" "/>
    <s v=" "/>
    <m/>
    <s v=" "/>
  </r>
  <r>
    <m/>
    <s v="Multi"/>
    <s v="State"/>
    <s v="Fee Simple"/>
    <m/>
    <s v="Portfolio of Four"/>
    <m/>
    <m/>
    <m/>
    <m/>
    <n v="686953"/>
    <s v=" "/>
    <m/>
    <s v=" "/>
    <n v="5265000"/>
    <n v="7.664279797890103"/>
    <m/>
    <m/>
    <m/>
    <s v=" "/>
    <s v=" "/>
    <m/>
    <m/>
    <m/>
    <m/>
    <s v=" "/>
    <s v=" "/>
    <m/>
    <d v="2014-09-05T00:00:00"/>
    <x v="611"/>
    <s v="NIA; Hoben"/>
    <x v="1072"/>
    <m/>
    <m/>
    <m/>
    <m/>
    <m/>
    <s v=" "/>
    <s v=" "/>
    <m/>
    <s v=" "/>
    <s v=" "/>
    <s v=" "/>
    <m/>
    <s v=" "/>
  </r>
  <r>
    <m/>
    <s v="VA"/>
    <s v="Federal"/>
    <s v="Fee Simple"/>
    <s v="4455 Horizon Hill Blvd"/>
    <s v="San Antonio"/>
    <s v="TX"/>
    <n v="2.61"/>
    <n v="1997"/>
    <n v="29556"/>
    <n v="29556"/>
    <n v="1"/>
    <m/>
    <s v=" "/>
    <n v="328695"/>
    <n v="11.12109216402761"/>
    <d v="2005-05-30T00:00:00"/>
    <m/>
    <m/>
    <s v=" "/>
    <s v=" "/>
    <m/>
    <m/>
    <m/>
    <n v="2966250"/>
    <n v="100.3603329273244"/>
    <n v="0.1108116308470291"/>
    <m/>
    <d v="2014-09-03T00:00:00"/>
    <x v="1480"/>
    <s v="Carl Bohn"/>
    <x v="1073"/>
    <s v="OK"/>
    <s v="Private"/>
    <m/>
    <m/>
    <m/>
    <s v=" "/>
    <s v=" "/>
    <m/>
    <s v=" "/>
    <s v=" "/>
    <s v=" "/>
    <m/>
    <s v=" "/>
  </r>
  <r>
    <s v="LMI17886"/>
    <s v="SSA"/>
    <s v="Federal"/>
    <s v="Fee Simple"/>
    <s v="140 N Crooks Rd"/>
    <s v="Clawson"/>
    <s v="MI"/>
    <n v="1.68"/>
    <n v="2012"/>
    <n v="11777"/>
    <n v="11777"/>
    <n v="1"/>
    <n v="501584.44"/>
    <n v="42.59017067164813"/>
    <m/>
    <s v=" "/>
    <d v="2012-06-11T00:00:00"/>
    <d v="2022-06-10T00:00:00"/>
    <d v="2022-06-10T00:00:00"/>
    <n v="7.778082191780822"/>
    <n v="7.778082191780822"/>
    <s v="Modified Gross"/>
    <s v="None"/>
    <s v="None"/>
    <n v="4696000"/>
    <n v="398.7433132376667"/>
    <s v=" "/>
    <m/>
    <d v="2014-09-01T00:00:00"/>
    <x v="2"/>
    <s v="Colliers; Bob Cottle"/>
    <x v="1074"/>
    <s v="CA"/>
    <s v="Private"/>
    <s v="BW; Wells"/>
    <m/>
    <m/>
    <s v=" "/>
    <s v=" "/>
    <m/>
    <s v=" "/>
    <s v=" "/>
    <s v=" "/>
    <m/>
    <s v=" "/>
  </r>
  <r>
    <s v="LFL41034"/>
    <s v="DEA"/>
    <s v="Federal"/>
    <s v="Fee Simple"/>
    <s v="3811 Frankford Ave"/>
    <s v="Panama City"/>
    <s v="FL"/>
    <n v="5.67"/>
    <n v="2002"/>
    <n v="22221"/>
    <n v="22221"/>
    <n v="1"/>
    <n v="399655.05"/>
    <n v="17.98546645065479"/>
    <n v="275688"/>
    <n v="12.40664236533009"/>
    <d v="2002-11-01T00:00:00"/>
    <d v="2022-10-31T00:00:00"/>
    <d v="2012-09-30T00:00:00"/>
    <n v="8.169863013698631"/>
    <n v="-1.920547945205479"/>
    <s v="FS"/>
    <m/>
    <s v="None"/>
    <n v="2735000"/>
    <n v="123.0817694973224"/>
    <n v="0.1008"/>
    <m/>
    <d v="2014-09-01T00:00:00"/>
    <x v="1481"/>
    <s v="Kelco; Kelly Huang"/>
    <x v="84"/>
    <s v="IL"/>
    <s v="Private"/>
    <m/>
    <m/>
    <m/>
    <s v=" "/>
    <s v=" "/>
    <m/>
    <s v=" "/>
    <s v=" "/>
    <s v=" "/>
    <m/>
    <s v=" "/>
  </r>
  <r>
    <s v="LME04545"/>
    <s v="CBP"/>
    <s v="Federal"/>
    <s v="Fee Simple"/>
    <s v="224 Stratton Rd"/>
    <s v="Rangeley"/>
    <s v="ME"/>
    <n v="50.13"/>
    <n v="2009"/>
    <n v="23969"/>
    <n v="23969"/>
    <n v="1"/>
    <n v="805996"/>
    <n v="33.62660102632567"/>
    <n v="591343"/>
    <n v="24.67115857983228"/>
    <d v="2009-08-10T00:00:00"/>
    <d v="2029-08-09T00:00:00"/>
    <d v="2024-08-09T00:00:00"/>
    <n v="14.94794520547945"/>
    <n v="9.945205479452055"/>
    <s v="Modified Gross"/>
    <s v="None"/>
    <s v="None"/>
    <n v="8600000"/>
    <n v="358.7967791730986"/>
    <n v="0.06876081395348838"/>
    <m/>
    <d v="2014-09-01T00:00:00"/>
    <x v="223"/>
    <s v="M&amp;M; Geoff Ficke"/>
    <x v="983"/>
    <s v="NY"/>
    <s v="REIT"/>
    <m/>
    <m/>
    <m/>
    <s v=" "/>
    <s v=" "/>
    <m/>
    <s v=" "/>
    <s v=" "/>
    <s v=" "/>
    <m/>
    <s v=" "/>
  </r>
  <r>
    <m/>
    <s v="USDA"/>
    <s v="Federal"/>
    <s v="Fee Simple"/>
    <s v="3411-3419 Arden Way"/>
    <s v="Sacramento"/>
    <s v="CA"/>
    <n v="1.07"/>
    <n v="1982"/>
    <n v="13592"/>
    <n v="33995"/>
    <n v="0.3998235034563907"/>
    <n v="312088"/>
    <n v="22.96115361977634"/>
    <n v="231775"/>
    <n v="6.81791439917635"/>
    <d v="2011-08-01T00:00:00"/>
    <d v="2021-07-31T00:00:00"/>
    <d v="2016-07-31T00:00:00"/>
    <n v="6.926027397260274"/>
    <n v="1.923287671232877"/>
    <s v="Modified Gross"/>
    <s v="None"/>
    <s v="None"/>
    <n v="2100000"/>
    <n v="61.77379026327401"/>
    <n v="0.1103690476190476"/>
    <m/>
    <d v="2014-08-29T00:00:00"/>
    <x v="1482"/>
    <s v="CB; White"/>
    <x v="1075"/>
    <s v="CA"/>
    <s v="Private"/>
    <m/>
    <m/>
    <m/>
    <s v=" "/>
    <s v=" "/>
    <m/>
    <s v=" "/>
    <s v=" "/>
    <s v=" "/>
    <d v="2011-08-31T00:00:00"/>
    <n v="1094"/>
  </r>
  <r>
    <s v="LIL16382"/>
    <s v="SSA"/>
    <s v="Federal"/>
    <s v="Fee Simple"/>
    <s v="104 S Halsted St"/>
    <s v="Chicago Heights"/>
    <s v="IL"/>
    <n v="0.52"/>
    <n v="2000"/>
    <n v="15283"/>
    <n v="15283"/>
    <n v="1"/>
    <n v="365093.56"/>
    <n v="23.88886736897206"/>
    <n v="262395"/>
    <n v="17.16907675194661"/>
    <d v="2000-06-01T00:00:00"/>
    <d v="2020-05-31T00:00:00"/>
    <d v="2010-05-31T00:00:00"/>
    <n v="5.761643835616439"/>
    <n v="-4.246575342465754"/>
    <s v="Modified Gross"/>
    <s v="None"/>
    <s v="None"/>
    <n v="2542000"/>
    <n v="166.3286004056795"/>
    <n v="0.1032238394964595"/>
    <m/>
    <d v="2014-08-28T00:00:00"/>
    <x v="921"/>
    <s v="FORECLOSURE"/>
    <x v="1076"/>
    <s v="IL"/>
    <s v="Institutional"/>
    <m/>
    <m/>
    <m/>
    <s v=" "/>
    <s v=" "/>
    <m/>
    <s v=" "/>
    <s v=" "/>
    <s v=" "/>
    <m/>
    <s v=" "/>
  </r>
  <r>
    <m/>
    <s v="VA"/>
    <s v="Federal"/>
    <s v="Fee Simple"/>
    <s v="8033 Ray Mears Blvd"/>
    <s v="Knoxville"/>
    <s v="TN"/>
    <n v="2.71"/>
    <n v="2009"/>
    <n v="72100"/>
    <n v="72100"/>
    <n v="1"/>
    <m/>
    <s v=" "/>
    <n v="1447200"/>
    <n v="20.07212205270458"/>
    <d v="2009-09-01T00:00:00"/>
    <d v="2029-08-31T00:00:00"/>
    <d v="2029-08-31T00:00:00"/>
    <n v="15.01917808219178"/>
    <n v="15.01917808219178"/>
    <s v="Modified Gross"/>
    <s v="None"/>
    <s v="None"/>
    <n v="20100000"/>
    <n v="278.7794729542302"/>
    <n v="0.07199999999999999"/>
    <m/>
    <d v="2014-08-28T00:00:00"/>
    <x v="1483"/>
    <s v="Mark Hawkins"/>
    <x v="429"/>
    <s v="NY"/>
    <s v="Private"/>
    <m/>
    <m/>
    <n v="20500000"/>
    <n v="0.07059512195121952"/>
    <n v="0.9804878048780488"/>
    <n v="20500000"/>
    <n v="0.07059512195121952"/>
    <n v="0.001404878048780478"/>
    <s v="No"/>
    <m/>
    <s v=" "/>
  </r>
  <r>
    <m/>
    <s v="IRS"/>
    <s v="Federal"/>
    <s v="Fee Simple"/>
    <s v="1901 E Capitol Dr"/>
    <s v="Appleton"/>
    <s v="WI"/>
    <n v="1.09"/>
    <n v="1994"/>
    <n v="5604"/>
    <n v="8208"/>
    <n v="0.6827485380116959"/>
    <m/>
    <s v=" "/>
    <m/>
    <s v=" "/>
    <d v="2010-06-01T00:00:00"/>
    <d v="2020-06-01T00:00:00"/>
    <d v="2015-06-01T00:00:00"/>
    <n v="5.767123287671233"/>
    <n v="0.7616438356164383"/>
    <s v="Modified Gross"/>
    <s v="None"/>
    <s v="None"/>
    <n v="750000"/>
    <n v="91.37426900584795"/>
    <s v=" "/>
    <m/>
    <d v="2014-08-27T00:00:00"/>
    <x v="1484"/>
    <s v="Direct"/>
    <x v="1077"/>
    <s v="WI"/>
    <s v="User/Owner"/>
    <m/>
    <m/>
    <m/>
    <s v=" "/>
    <s v=" "/>
    <m/>
    <s v=" "/>
    <s v=" "/>
    <s v=" "/>
    <m/>
    <s v=" "/>
  </r>
  <r>
    <s v="LTN62180"/>
    <s v="SSA"/>
    <s v="Federal"/>
    <s v="Fee Simple"/>
    <s v="1070 Vendall Rd"/>
    <s v="Dyersburg"/>
    <s v="TN"/>
    <n v="1.02"/>
    <n v="2002"/>
    <n v="9568"/>
    <n v="9568"/>
    <n v="1"/>
    <n v="165921.4"/>
    <n v="17.34128344481605"/>
    <n v="82000"/>
    <n v="8.570234113712374"/>
    <d v="2013-06-02T00:00:00"/>
    <d v="2023-06-01T00:00:00"/>
    <d v="2018-06-01T00:00:00"/>
    <n v="8.767123287671232"/>
    <n v="3.764383561643835"/>
    <s v="Modified Gross"/>
    <s v="None"/>
    <s v="None"/>
    <n v="1250100"/>
    <n v="130.6542642140468"/>
    <n v="0.06559475241980642"/>
    <m/>
    <d v="2014-08-27T00:00:00"/>
    <x v="680"/>
    <m/>
    <x v="1078"/>
    <s v="CA"/>
    <s v="Private"/>
    <m/>
    <m/>
    <m/>
    <s v=" "/>
    <s v=" "/>
    <m/>
    <s v=" "/>
    <s v=" "/>
    <s v=" "/>
    <m/>
    <s v=" "/>
  </r>
  <r>
    <m/>
    <s v="USGS"/>
    <s v="Federal"/>
    <s v="Fee Simple"/>
    <s v="11075 Black Marble Way"/>
    <s v="Redding"/>
    <s v="CA"/>
    <n v="0.45"/>
    <n v="1987"/>
    <n v="2076"/>
    <n v="2076"/>
    <n v="1"/>
    <n v="40556"/>
    <n v="19.53564547206166"/>
    <n v="17777"/>
    <n v="8.563102119460501"/>
    <d v="2005-06-15T00:00:00"/>
    <d v="2020-06-15T00:00:00"/>
    <d v="2015-06-15T00:00:00"/>
    <n v="5.810958904109589"/>
    <n v="0.8054794520547945"/>
    <s v="Modified Gross"/>
    <s v="Yes, non-firm"/>
    <s v="None"/>
    <n v="257000"/>
    <n v="123.7957610789981"/>
    <n v="0.06917120622568093"/>
    <m/>
    <d v="2014-08-25T00:00:00"/>
    <x v="1485"/>
    <s v="C&amp;W: Reiff"/>
    <x v="1079"/>
    <s v="CA"/>
    <s v="Private"/>
    <m/>
    <m/>
    <n v="270000"/>
    <n v="0.06584074074074074"/>
    <n v="0.9518518518518518"/>
    <n v="270000"/>
    <n v="0.06584074074074074"/>
    <n v="0.00333046548494019"/>
    <s v="No"/>
    <d v="2014-05-05T00:00:00"/>
    <n v="112"/>
  </r>
  <r>
    <m/>
    <s v="Children's Hospital of Philadelphia"/>
    <s v="State"/>
    <s v="Fee Simple"/>
    <s v="3535 Market St"/>
    <s v="Philadelphia"/>
    <s v="PA"/>
    <n v="0.86"/>
    <n v="1973"/>
    <n v="222688"/>
    <n v="436000"/>
    <n v="0.5107522935779817"/>
    <n v="13862500"/>
    <n v="62.25077238108923"/>
    <n v="9262500"/>
    <n v="21.24426605504587"/>
    <m/>
    <m/>
    <m/>
    <s v=" "/>
    <s v=" "/>
    <m/>
    <m/>
    <m/>
    <n v="142500000"/>
    <n v="326.8348623853211"/>
    <n v="0.065"/>
    <m/>
    <d v="2014-08-18T00:00:00"/>
    <x v="1486"/>
    <s v="Eastdil"/>
    <x v="1080"/>
    <s v="CA"/>
    <s v="REIT"/>
    <m/>
    <m/>
    <m/>
    <s v=" "/>
    <s v=" "/>
    <m/>
    <s v=" "/>
    <s v=" "/>
    <s v=" "/>
    <d v="2014-06-16T00:00:00"/>
    <n v="63"/>
  </r>
  <r>
    <m/>
    <s v="Children's Hospital of Philadelphia"/>
    <s v="State"/>
    <s v="Fee Simple"/>
    <s v="3535 Market St"/>
    <s v="Philadelphia"/>
    <s v="PA"/>
    <n v="0.86"/>
    <n v="1973"/>
    <n v="222688"/>
    <n v="436000"/>
    <n v="0.5107522935779817"/>
    <n v="13862500"/>
    <n v="62.25077238108923"/>
    <n v="9262500"/>
    <n v="21.24426605504587"/>
    <m/>
    <m/>
    <m/>
    <s v=" "/>
    <s v=" "/>
    <m/>
    <m/>
    <m/>
    <m/>
    <s v=" "/>
    <s v=" "/>
    <m/>
    <d v="2014-08-18T00:00:00"/>
    <x v="1487"/>
    <m/>
    <x v="0"/>
    <m/>
    <m/>
    <m/>
    <m/>
    <m/>
    <s v=" "/>
    <s v=" "/>
    <m/>
    <s v=" "/>
    <s v=" "/>
    <s v=" "/>
    <m/>
    <s v=" "/>
  </r>
  <r>
    <s v="LSC62021"/>
    <s v="SSA"/>
    <s v="Federal"/>
    <s v="Fee Simple"/>
    <s v="115 Enterprise Ct"/>
    <s v="Greenwood"/>
    <s v="SC"/>
    <n v="3.52"/>
    <n v="2001"/>
    <n v="8727"/>
    <n v="13111"/>
    <n v="0.6656242849515673"/>
    <n v="160338.78"/>
    <n v="18.37272602268821"/>
    <n v="126724"/>
    <n v="9.665471741285943"/>
    <d v="2012-06-22T00:00:00"/>
    <d v="2022-06-21T00:00:00"/>
    <d v="2017-06-22T00:00:00"/>
    <n v="7.854794520547945"/>
    <n v="2.854794520547945"/>
    <s v="Modified Gross"/>
    <s v="None"/>
    <s v="Drops $24k"/>
    <n v="1200000"/>
    <n v="91.52619937457096"/>
    <n v="0.1056033333333333"/>
    <m/>
    <d v="2014-08-15T00:00:00"/>
    <x v="1488"/>
    <s v="Colliers; Bakke"/>
    <x v="1081"/>
    <s v="SC"/>
    <s v="Private"/>
    <m/>
    <m/>
    <n v="1290728"/>
    <n v="0.09818025176489548"/>
    <n v="0.9297078857822872"/>
    <n v="1290728"/>
    <n v="0.09818025176489548"/>
    <n v="0.00742308156843785"/>
    <s v="No"/>
    <d v="2014-02-21T00:00:00"/>
    <n v="175"/>
  </r>
  <r>
    <m/>
    <s v="USPS"/>
    <s v="Federal"/>
    <s v="Fee Simple"/>
    <s v="2613 Empire Ranch Road"/>
    <s v="Carson City"/>
    <s v="NV"/>
    <n v="1.38"/>
    <n v="1999"/>
    <n v="8012"/>
    <n v="8012"/>
    <n v="1"/>
    <m/>
    <s v=" "/>
    <n v="150856"/>
    <n v="18.82875686470295"/>
    <d v="1999-07-02T00:00:00"/>
    <d v="2019-07-01T00:00:00"/>
    <d v="2019-07-01T00:00:00"/>
    <n v="4.882191780821918"/>
    <n v="4.882191780821918"/>
    <s v="Modified Gross"/>
    <s v="In Options"/>
    <s v="2, 5 year"/>
    <n v="1900000"/>
    <n v="237.1442835746381"/>
    <n v="0.07939789473684211"/>
    <m/>
    <d v="2014-08-14T00:00:00"/>
    <x v="800"/>
    <s v="Colliers; Bakke &amp; Kennedy"/>
    <x v="1082"/>
    <s v="NV"/>
    <s v="Private"/>
    <m/>
    <s v="Darcom"/>
    <n v="1946531"/>
    <n v="0.07749992165549893"/>
    <n v="0.9760954230885611"/>
    <n v="1946531"/>
    <n v="0.07749992165549893"/>
    <n v="0.001897973081343179"/>
    <s v="No"/>
    <d v="2014-03-07T00:00:00"/>
    <n v="160"/>
  </r>
  <r>
    <s v="LCA95749"/>
    <s v="SSA"/>
    <s v="Federal"/>
    <s v="Fee Simple"/>
    <s v="46845 Monroe St"/>
    <s v="Indio"/>
    <s v="CA"/>
    <n v="1.2"/>
    <n v="1997"/>
    <n v="6900"/>
    <n v="6900"/>
    <n v="1"/>
    <n v="133076.58"/>
    <n v="19.28646086956521"/>
    <m/>
    <s v=" "/>
    <d v="1997-11-04T00:00:00"/>
    <d v="2015-10-31T00:00:00"/>
    <d v="2013-10-31T00:00:00"/>
    <n v="1.219178082191781"/>
    <n v="-0.7808219178082192"/>
    <s v="Modified Gross"/>
    <s v="None"/>
    <s v="None"/>
    <n v="1050000"/>
    <n v="152.1739130434783"/>
    <s v=" "/>
    <m/>
    <d v="2014-08-12T00:00:00"/>
    <x v="1489"/>
    <s v="KW; Bowman"/>
    <x v="76"/>
    <s v="CA"/>
    <s v="Private"/>
    <m/>
    <m/>
    <n v="1490000"/>
    <s v=" "/>
    <n v="0.7046979865771812"/>
    <n v="1490000"/>
    <s v=" "/>
    <s v=" "/>
    <s v="No"/>
    <d v="2013-02-01T00:00:00"/>
    <n v="557"/>
  </r>
  <r>
    <s v="LCA02764"/>
    <s v="FBI"/>
    <s v="Federal"/>
    <s v="Fee Simple"/>
    <s v="4000 W Metropolitan Dr"/>
    <s v="Orange"/>
    <s v="CA"/>
    <n v="7.4"/>
    <n v="1985"/>
    <n v="98643"/>
    <n v="182935"/>
    <n v="0.539224314647279"/>
    <n v="3687828.72"/>
    <n v="37.38560992670539"/>
    <n v="3528000"/>
    <n v="19.28553857927679"/>
    <d v="2012-07-11T00:00:00"/>
    <d v="2032-07-10T00:00:00"/>
    <d v="2032-07-10T00:00:00"/>
    <n v="17.95342465753425"/>
    <n v="17.95342465753425"/>
    <s v="FS"/>
    <m/>
    <s v="None"/>
    <n v="56000000"/>
    <n v="306.1196599885205"/>
    <n v="0.063"/>
    <m/>
    <d v="2014-08-01T00:00:00"/>
    <x v="1490"/>
    <s v="Eastdil"/>
    <x v="1083"/>
    <s v="MA"/>
    <s v="Institutional"/>
    <m/>
    <m/>
    <m/>
    <s v=" "/>
    <s v=" "/>
    <m/>
    <s v=" "/>
    <s v=" "/>
    <s v=" "/>
    <m/>
    <s v=" "/>
  </r>
  <r>
    <m/>
    <s v="IRS"/>
    <s v="Federal"/>
    <s v="Fee Simple"/>
    <s v="556 S Paseo Dorotea"/>
    <s v="Palm Springs"/>
    <s v="CA"/>
    <n v="0.84"/>
    <n v="2005"/>
    <n v="7646"/>
    <n v="7646"/>
    <n v="1"/>
    <m/>
    <s v=" "/>
    <n v="180428"/>
    <n v="23.59769814281978"/>
    <d v="2008-07-22T00:00:00"/>
    <d v="2018-04-21T00:00:00"/>
    <d v="2013-07-21T00:00:00"/>
    <n v="3.723287671232877"/>
    <n v="-1.03013698630137"/>
    <s v="Modified Gross"/>
    <s v="None"/>
    <s v="None"/>
    <n v="2400000"/>
    <n v="313.889615485221"/>
    <n v="0.07517833333333333"/>
    <m/>
    <d v="2014-08-01T00:00:00"/>
    <x v="800"/>
    <s v="Colliers; Darrin Kennedy"/>
    <x v="1084"/>
    <s v="CA"/>
    <s v="Private"/>
    <s v="Ed Quigley"/>
    <s v="Darcom"/>
    <n v="2410000"/>
    <n v="0.07486639004149377"/>
    <n v="0.995850622406639"/>
    <n v="2410000"/>
    <n v="0.07486639004149377"/>
    <n v="0.0003119432918395615"/>
    <s v="No"/>
    <d v="2013-11-29T00:00:00"/>
    <n v="245"/>
  </r>
  <r>
    <s v="LFL61858"/>
    <s v="MEPS"/>
    <s v="Federal"/>
    <s v="Fee Simple"/>
    <s v="3520 W Waters Ave"/>
    <s v="Tampa"/>
    <s v="FL"/>
    <n v="2.7"/>
    <n v="1981"/>
    <n v="27398"/>
    <n v="27398"/>
    <n v="1"/>
    <n v="771760.3"/>
    <n v="28.16849040075918"/>
    <m/>
    <s v=" "/>
    <d v="2011-07-17T00:00:00"/>
    <d v="2026-07-16T00:00:00"/>
    <d v="2021-07-16T00:00:00"/>
    <n v="11.96712328767123"/>
    <n v="6.964383561643835"/>
    <s v="Modified Gross"/>
    <s v="None"/>
    <s v="None"/>
    <n v="7250000"/>
    <n v="264.6178553179064"/>
    <s v=" "/>
    <m/>
    <d v="2014-07-31T00:00:00"/>
    <x v="1097"/>
    <s v="Newmark; Gallas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269 S 7th St"/>
    <s v="Vinita"/>
    <s v="OK"/>
    <n v="5"/>
    <n v="2009"/>
    <n v="9994"/>
    <n v="9994"/>
    <n v="1"/>
    <m/>
    <s v=" "/>
    <n v="195500"/>
    <n v="19.56173704222534"/>
    <d v="2009-11-01T00:00:00"/>
    <d v="2019-10-31T00:00:00"/>
    <d v="2019-10-31T00:00:00"/>
    <n v="5.254794520547946"/>
    <n v="5.254794520547946"/>
    <s v="Modified Gross"/>
    <s v="None"/>
    <s v="None"/>
    <n v="2100000"/>
    <n v="210.1260756453872"/>
    <n v="0.09309523809523809"/>
    <m/>
    <d v="2014-07-31T00:00:00"/>
    <x v="1491"/>
    <s v="CRA; Carl Vincent"/>
    <x v="1085"/>
    <s v="OK"/>
    <s v="Private"/>
    <m/>
    <m/>
    <n v="2300000"/>
    <n v="0.08500000000000001"/>
    <n v="0.9130434782608695"/>
    <n v="2300000"/>
    <n v="0.08500000000000001"/>
    <n v="0.008095238095238086"/>
    <s v="No"/>
    <d v="2013-07-02T00:00:00"/>
    <n v="394"/>
  </r>
  <r>
    <s v="LCA02877"/>
    <s v="NPS"/>
    <s v="Federal"/>
    <s v="Fee Simple"/>
    <s v="5770 Skylane Blvd"/>
    <s v="Windsor"/>
    <s v="CA"/>
    <n v="2.22"/>
    <n v="2003"/>
    <n v="28380"/>
    <n v="28380"/>
    <n v="1"/>
    <n v="553214"/>
    <n v="19.49309372797745"/>
    <n v="375076"/>
    <n v="13.21620859760395"/>
    <d v="2013-05-01T00:00:00"/>
    <d v="2023-04-30T00:00:00"/>
    <d v="2018-04-30T00:00:00"/>
    <n v="8.761643835616438"/>
    <n v="3.758904109589041"/>
    <s v="Modified Gross"/>
    <s v="None"/>
    <s v="None"/>
    <n v="5550000"/>
    <n v="195.5602536997886"/>
    <n v="0.06758126126126127"/>
    <m/>
    <d v="2014-07-28T00:00:00"/>
    <x v="1492"/>
    <s v="M&amp;M; Alex Mobin"/>
    <x v="1086"/>
    <s v="CA"/>
    <s v="Private"/>
    <m/>
    <m/>
    <m/>
    <s v=" "/>
    <s v=" "/>
    <m/>
    <s v=" "/>
    <s v=" "/>
    <s v=" "/>
    <m/>
    <s v=" "/>
  </r>
  <r>
    <m/>
    <s v="IRS/SSA"/>
    <s v="Federal"/>
    <s v="Fee Simple"/>
    <s v="225 W Broadway"/>
    <s v="Glendale"/>
    <s v="CA"/>
    <n v="1.76"/>
    <n v="1981"/>
    <n v="47814"/>
    <n v="126509"/>
    <n v="0.3779493949047104"/>
    <m/>
    <s v=" "/>
    <n v="1904000"/>
    <n v="15.05031262597918"/>
    <m/>
    <m/>
    <m/>
    <s v=" "/>
    <s v=" "/>
    <m/>
    <m/>
    <m/>
    <n v="27200000"/>
    <n v="215.0044660854169"/>
    <n v="0.07000000000000001"/>
    <m/>
    <d v="2014-07-17T00:00:00"/>
    <x v="1493"/>
    <m/>
    <x v="1087"/>
    <s v="CA"/>
    <s v="Private"/>
    <m/>
    <m/>
    <m/>
    <s v=" "/>
    <s v=" "/>
    <m/>
    <s v=" "/>
    <s v=" "/>
    <s v=" "/>
    <m/>
    <s v=" "/>
  </r>
  <r>
    <m/>
    <s v="USPS"/>
    <s v="Federal"/>
    <s v="Fee Simple"/>
    <s v="216 Lee St"/>
    <s v="Jefferson"/>
    <s v="GA"/>
    <n v="1"/>
    <n v="1969"/>
    <n v="5794"/>
    <n v="5794"/>
    <n v="1"/>
    <m/>
    <s v=" "/>
    <n v="70493"/>
    <n v="12.16655160510873"/>
    <m/>
    <m/>
    <m/>
    <s v=" "/>
    <s v=" "/>
    <m/>
    <m/>
    <m/>
    <n v="746500"/>
    <n v="128.8401794960304"/>
    <n v="0.09443134628265237"/>
    <m/>
    <d v="2014-07-07T00:00:00"/>
    <x v="1494"/>
    <s v="Avery Postal Group; Agnew"/>
    <x v="1088"/>
    <s v="NJ"/>
    <s v="Private"/>
    <m/>
    <m/>
    <n v="751520"/>
    <n v="0.09380056418990845"/>
    <n v="0.9933202043857782"/>
    <n v="751520"/>
    <n v="0.09380056418990845"/>
    <n v="0.0006307820927439201"/>
    <s v="No"/>
    <d v="2014-05-02T00:00:00"/>
    <n v="66"/>
  </r>
  <r>
    <s v="LFL59187"/>
    <s v="CBP"/>
    <s v="Federal"/>
    <s v="Leasehold"/>
    <s v="200 George J. King Blvd"/>
    <s v="Cape Canaveral"/>
    <s v="FL"/>
    <n v="1.65"/>
    <n v="1974"/>
    <n v="14704"/>
    <n v="14704"/>
    <n v="1"/>
    <n v="674728.74"/>
    <n v="45.88742791077258"/>
    <n v="431579"/>
    <n v="29.3511289445049"/>
    <d v="2012-07-16T00:00:00"/>
    <d v="2027-07-15T00:00:00"/>
    <d v="2022-07-16T00:00:00"/>
    <n v="13.04657534246575"/>
    <n v="8.046575342465754"/>
    <s v="Modified Gross"/>
    <s v="None; TI Burnoff Flat"/>
    <s v="None"/>
    <m/>
    <s v=" "/>
    <s v=" "/>
    <m/>
    <d v="2014-07-01T00:00:00"/>
    <x v="8"/>
    <m/>
    <x v="54"/>
    <s v="NC"/>
    <s v="REIT"/>
    <m/>
    <m/>
    <m/>
    <s v=" "/>
    <s v=" "/>
    <m/>
    <s v=" "/>
    <s v=" "/>
    <s v=" "/>
    <m/>
    <s v=" "/>
  </r>
  <r>
    <s v="LME04546"/>
    <s v="CBP"/>
    <s v="Federal"/>
    <s v="Fee Simple"/>
    <s v="200 Limestone Rd"/>
    <s v="Fort Fairfield"/>
    <s v="ME"/>
    <n v="40"/>
    <n v="2009"/>
    <n v="25603"/>
    <n v="25603"/>
    <n v="1"/>
    <n v="1062340.42"/>
    <n v="41.49281021755263"/>
    <n v="863999.9999999999"/>
    <n v="33.7460453853064"/>
    <d v="2009-11-18T00:00:00"/>
    <d v="2029-11-17T00:00:00"/>
    <d v="2024-11-17T00:00:00"/>
    <n v="15.39178082191781"/>
    <n v="10.38904109589041"/>
    <s v="Modified Gross"/>
    <s v="None"/>
    <s v="20, 5 year"/>
    <n v="12000000"/>
    <n v="468.6950747959224"/>
    <n v="0.07199999999999999"/>
    <m/>
    <d v="2014-07-01T00:00:00"/>
    <x v="1196"/>
    <s v="M&amp;M; Geoff Ficke"/>
    <x v="983"/>
    <s v="NY"/>
    <s v="REIT"/>
    <m/>
    <m/>
    <m/>
    <s v=" "/>
    <s v=" "/>
    <m/>
    <s v=" "/>
    <s v=" "/>
    <s v=" "/>
    <m/>
    <s v=" "/>
  </r>
  <r>
    <s v="LNC62272"/>
    <s v="AOC"/>
    <s v="Federal"/>
    <s v="Fee Simple"/>
    <s v="150 Reade Cir"/>
    <s v="Greenville"/>
    <s v="NC"/>
    <n v="1.73"/>
    <n v="2014"/>
    <n v="25411"/>
    <n v="25411"/>
    <n v="1"/>
    <n v="890468.22"/>
    <n v="35.04262799574987"/>
    <n v="717500.0000000001"/>
    <n v="28.23580339223172"/>
    <d v="2013-11-14T00:00:00"/>
    <d v="2033-11-13T00:00:00"/>
    <d v="2028-11-14T00:00:00"/>
    <n v="19.38356164383562"/>
    <n v="14.38356164383562"/>
    <s v="FS"/>
    <m/>
    <s v="None"/>
    <n v="10250000"/>
    <n v="403.3686198890244"/>
    <n v="0.07000000000000001"/>
    <m/>
    <d v="2014-07-01T00:00:00"/>
    <x v="103"/>
    <s v="C&amp;W; Travis Trautvetter"/>
    <x v="1"/>
    <s v="IL"/>
    <s v="Private"/>
    <m/>
    <m/>
    <m/>
    <s v=" "/>
    <s v=" "/>
    <m/>
    <s v=" "/>
    <s v=" "/>
    <s v=" "/>
    <m/>
    <s v=" "/>
  </r>
  <r>
    <s v="LMD01340"/>
    <s v="NPS"/>
    <s v="Federal"/>
    <s v="Fee Simple"/>
    <s v="1850 Dual Hwy"/>
    <s v="Hagerstown"/>
    <s v="MD"/>
    <n v="3.6"/>
    <n v="1990"/>
    <n v="21998"/>
    <n v="43653"/>
    <n v="0.5039287105124505"/>
    <n v="482311.8"/>
    <n v="21.92525684153105"/>
    <n v="786250"/>
    <n v="18.01136233477653"/>
    <d v="2002-03-04T00:00:00"/>
    <d v="2022-03-03T00:00:00"/>
    <d v="2022-03-03T00:00:00"/>
    <n v="7.676712328767123"/>
    <n v="7.676712328767123"/>
    <s v="Modified Gross"/>
    <s v="None"/>
    <s v="None"/>
    <n v="9250000"/>
    <n v="211.8983804091357"/>
    <n v="0.08500000000000001"/>
    <m/>
    <d v="2014-07-01T00:00:00"/>
    <x v="1495"/>
    <s v="TW; Friedman"/>
    <x v="1089"/>
    <m/>
    <s v="Private"/>
    <m/>
    <m/>
    <m/>
    <s v=" "/>
    <s v=" "/>
    <m/>
    <s v=" "/>
    <s v=" "/>
    <s v=" "/>
    <m/>
    <s v=" "/>
  </r>
  <r>
    <m/>
    <s v="USPS"/>
    <s v="Federal"/>
    <s v="Fee Simple"/>
    <s v="22850 W Highway 71"/>
    <s v="Congress"/>
    <s v="AZ"/>
    <n v="1.56"/>
    <n v="2001"/>
    <n v="4510"/>
    <n v="4510"/>
    <n v="1"/>
    <n v="70744"/>
    <n v="15.6860310421286"/>
    <n v="62400"/>
    <n v="13.83592017738359"/>
    <m/>
    <m/>
    <m/>
    <s v=" "/>
    <s v=" "/>
    <m/>
    <m/>
    <m/>
    <n v="745000"/>
    <n v="165.1884700665188"/>
    <n v="0.08375838926174496"/>
    <m/>
    <d v="2014-06-30T00:00:00"/>
    <x v="1496"/>
    <s v="TCP; Harrison"/>
    <x v="1090"/>
    <s v="CA"/>
    <s v="Private"/>
    <m/>
    <m/>
    <n v="780000"/>
    <n v="0.08"/>
    <n v="0.9551282051282052"/>
    <n v="780000"/>
    <n v="0.08"/>
    <n v="0.00375838926174496"/>
    <s v="No"/>
    <d v="2014-04-17T00:00:00"/>
    <n v="74"/>
  </r>
  <r>
    <m/>
    <s v="FS"/>
    <s v="Federal"/>
    <s v="Fee Simple"/>
    <s v="1755 Cleveland Hwy"/>
    <s v="Gainesville"/>
    <s v="GA"/>
    <n v="3.72"/>
    <n v="1996"/>
    <n v="22278"/>
    <n v="22278"/>
    <n v="1"/>
    <n v="328600.5"/>
    <n v="14.75"/>
    <n v="234000"/>
    <n v="10.50363587395637"/>
    <d v="1998-07-01T00:00:00"/>
    <d v="2018-06-30T00:00:00"/>
    <d v="2013-06-30T00:00:00"/>
    <n v="4.002739726027397"/>
    <n v="-1"/>
    <s v="Modified Gross"/>
    <s v="None"/>
    <s v="None"/>
    <n v="2400000"/>
    <n v="107.7295987072448"/>
    <n v="0.0975"/>
    <m/>
    <d v="2014-06-30T00:00:00"/>
    <x v="1497"/>
    <s v="Direct"/>
    <x v="1091"/>
    <s v="GA"/>
    <s v="Private"/>
    <m/>
    <m/>
    <m/>
    <s v=" "/>
    <s v=" "/>
    <m/>
    <s v=" "/>
    <s v=" "/>
    <s v=" "/>
    <m/>
    <s v=" "/>
  </r>
  <r>
    <m/>
    <s v="USPS"/>
    <s v="Federal"/>
    <s v="Fee Simple"/>
    <s v="932 Perry Dr"/>
    <s v="Sardis"/>
    <s v="GA"/>
    <n v="0.6899999999999999"/>
    <n v="1987"/>
    <n v="2320"/>
    <n v="2320"/>
    <n v="1"/>
    <n v="32199"/>
    <n v="13.87887931034483"/>
    <n v="29750"/>
    <n v="12.82327586206897"/>
    <d v="2012-12-01T00:00:00"/>
    <d v="2017-11-30T00:00:00"/>
    <d v="2017-11-30T00:00:00"/>
    <n v="3.438356164383562"/>
    <n v="3.438356164383562"/>
    <s v="Rider"/>
    <s v="Option"/>
    <s v="2, 5 year"/>
    <n v="310000"/>
    <n v="133.6206896551724"/>
    <n v="0.09596774193548387"/>
    <m/>
    <d v="2014-06-24T00:00:00"/>
    <x v="1498"/>
    <s v="TCP; Harrison"/>
    <x v="1092"/>
    <s v="IA"/>
    <s v="Private"/>
    <m/>
    <m/>
    <n v="317517"/>
    <n v="0.09369577062015577"/>
    <n v="0.9763256770503627"/>
    <n v="317517"/>
    <n v="0.09369577062015577"/>
    <n v="0.002271971315328095"/>
    <s v="No"/>
    <d v="2012-12-01T00:00:00"/>
    <n v="570"/>
  </r>
  <r>
    <s v="LVA12528"/>
    <s v="PD"/>
    <s v="Federal"/>
    <s v="Fee Simple"/>
    <s v="1650 King St"/>
    <s v="Alexandria"/>
    <s v="VA"/>
    <n v="0.42"/>
    <n v="1990"/>
    <n v="12435"/>
    <n v="55000"/>
    <n v="0.2260909090909091"/>
    <n v="473000"/>
    <n v="38.0377965420185"/>
    <n v="1080000"/>
    <n v="19.63636363636364"/>
    <d v="2012-03-08T00:00:00"/>
    <d v="2022-03-07T00:00:00"/>
    <d v="2022-03-07T00:00:00"/>
    <n v="7.70958904109589"/>
    <n v="7.70958904109589"/>
    <s v="Modified Gross"/>
    <s v="None"/>
    <s v="None"/>
    <n v="18000000"/>
    <n v="327.2727272727273"/>
    <n v="0.06"/>
    <m/>
    <d v="2014-06-23T00:00:00"/>
    <x v="1499"/>
    <s v="Cresa; Meadows"/>
    <x v="860"/>
    <s v="DC"/>
    <s v="Private"/>
    <m/>
    <m/>
    <m/>
    <s v=" "/>
    <s v=" "/>
    <m/>
    <s v=" "/>
    <s v=" "/>
    <s v=" "/>
    <m/>
    <s v=" "/>
  </r>
  <r>
    <s v="LIN16969"/>
    <s v="SSA/OHO"/>
    <s v="Federal"/>
    <s v="Fee Simple"/>
    <s v="6511 Brotherhood Way"/>
    <s v="Fort Wayne"/>
    <s v="IN"/>
    <n v="2.1"/>
    <n v="2004"/>
    <n v="14500"/>
    <n v="14500"/>
    <n v="1"/>
    <n v="368478"/>
    <n v="25.41227586206897"/>
    <n v="239337"/>
    <n v="16.506"/>
    <d v="2004-06-14T00:00:00"/>
    <d v="2024-06-13T00:00:00"/>
    <d v="2014-06-13T00:00:00"/>
    <n v="9.991780821917809"/>
    <n v="-0.01643835616438356"/>
    <s v="Modified Gross"/>
    <s v="None"/>
    <s v="None"/>
    <n v="2830000"/>
    <n v="195.1724137931035"/>
    <n v="0.08457137809187279"/>
    <m/>
    <d v="2014-06-19T00:00:00"/>
    <x v="1500"/>
    <s v="WD Schorsch"/>
    <x v="1093"/>
    <s v="WY"/>
    <s v="Private"/>
    <s v="BW; Wells"/>
    <m/>
    <n v="3100000"/>
    <n v="0.07720548387096775"/>
    <n v="0.9129032258064517"/>
    <n v="2900000"/>
    <n v="0.08253000000000001"/>
    <n v="0.002041378091872784"/>
    <s v="Yes"/>
    <d v="2013-12-31T00:00:00"/>
    <n v="170"/>
  </r>
  <r>
    <s v="LFL48850"/>
    <s v="ICE"/>
    <s v="Federal"/>
    <s v="Fee Simple"/>
    <s v="2805 SW 145th Ave "/>
    <s v="Miramar"/>
    <s v="FL"/>
    <n v="4.54"/>
    <n v="2010"/>
    <n v="33500"/>
    <n v="33500"/>
    <n v="1"/>
    <n v="1257600.26"/>
    <n v="37.54030626865671"/>
    <n v="869867.9999999999"/>
    <n v="25.96620895522388"/>
    <d v="2010-09-28T00:00:00"/>
    <d v="2025-09-27T00:00:00"/>
    <d v="2025-09-27T00:00:00"/>
    <n v="11.28219178082192"/>
    <n v="11.28219178082192"/>
    <s v="Modified Gross"/>
    <s v="None"/>
    <s v="None"/>
    <n v="13140000"/>
    <n v="392.2388059701493"/>
    <n v="0.06619999999999999"/>
    <m/>
    <d v="2014-06-19T00:00:00"/>
    <x v="1181"/>
    <s v="Direct"/>
    <x v="1"/>
    <s v="IL"/>
    <s v="Private"/>
    <m/>
    <m/>
    <m/>
    <s v=" "/>
    <s v=" "/>
    <m/>
    <s v=" "/>
    <s v=" "/>
    <s v=" "/>
    <m/>
    <s v=" "/>
  </r>
  <r>
    <m/>
    <s v="ICE"/>
    <s v="Federal"/>
    <s v="Condominium"/>
    <s v="808 Harrison Ave"/>
    <s v="Blaine"/>
    <s v="WA"/>
    <n v="0.68"/>
    <n v="1995"/>
    <n v="15821"/>
    <n v="15821"/>
    <n v="1"/>
    <m/>
    <s v=" "/>
    <m/>
    <s v=" "/>
    <m/>
    <d v="2017-05-30T00:00:00"/>
    <m/>
    <n v="2.950684931506849"/>
    <s v=" "/>
    <s v="Modified Gross"/>
    <s v="None"/>
    <s v="None"/>
    <n v="1600000"/>
    <n v="101.1314076227798"/>
    <s v=" "/>
    <m/>
    <d v="2014-06-18T00:00:00"/>
    <x v="1501"/>
    <s v="Remax; Daniels"/>
    <x v="1094"/>
    <s v="HI"/>
    <s v="Private"/>
    <s v="REMAX; Campbell"/>
    <m/>
    <n v="1790000"/>
    <s v=" "/>
    <n v="0.8938547486033519"/>
    <n v="1790000"/>
    <s v=" "/>
    <s v=" "/>
    <s v="No"/>
    <d v="2014-05-11T00:00:00"/>
    <n v="38"/>
  </r>
  <r>
    <s v="LMA04308"/>
    <s v="SSA"/>
    <s v="Federal"/>
    <s v="Fee Simple"/>
    <s v="140 Union St"/>
    <s v="Lynn"/>
    <s v="MA"/>
    <n v="2.15"/>
    <n v="2005"/>
    <n v="10430"/>
    <n v="62447"/>
    <n v="0.1670216343459253"/>
    <n v="219326.07"/>
    <n v="21.02838638542665"/>
    <m/>
    <s v=" "/>
    <d v="2004-03-01T00:00:00"/>
    <d v="2024-02-28T00:00:00"/>
    <d v="2010-09-01T00:00:00"/>
    <n v="9.704109589041096"/>
    <n v="-3.797260273972603"/>
    <s v="Modified Gross"/>
    <s v="None"/>
    <s v="None"/>
    <n v="2000000"/>
    <n v="32.02715903085817"/>
    <s v=" "/>
    <m/>
    <d v="2014-06-18T00:00:00"/>
    <x v="1502"/>
    <m/>
    <x v="1095"/>
    <s v="MA"/>
    <s v="Private"/>
    <m/>
    <m/>
    <m/>
    <s v=" "/>
    <s v=" "/>
    <m/>
    <s v=" "/>
    <s v=" "/>
    <s v=" "/>
    <d v="2013-06-05T00:00:00"/>
    <n v="378"/>
  </r>
  <r>
    <s v="LAZ01956"/>
    <s v="VA/Residential Treatment"/>
    <s v="Federal"/>
    <s v="Fee Simple"/>
    <s v="7350 W Eastman Pl"/>
    <s v="Lakewood"/>
    <s v="CO"/>
    <n v="3.65"/>
    <n v="2013"/>
    <n v="25827"/>
    <n v="25827"/>
    <n v="1"/>
    <n v="1088000"/>
    <n v="42.12645680876602"/>
    <m/>
    <s v=" "/>
    <d v="2013-05-01T00:00:00"/>
    <d v="2023-04-30T00:00:00"/>
    <d v="2023-04-30T00:00:00"/>
    <n v="8.876712328767123"/>
    <n v="8.876712328767123"/>
    <s v="Modified Gross"/>
    <s v="None"/>
    <s v="None"/>
    <n v="11556300"/>
    <n v="447.4503426646532"/>
    <s v=" "/>
    <m/>
    <d v="2014-06-16T00:00:00"/>
    <x v="2"/>
    <m/>
    <x v="1096"/>
    <s v="NY"/>
    <s v="REIT"/>
    <m/>
    <m/>
    <m/>
    <s v=" "/>
    <s v=" "/>
    <m/>
    <s v=" "/>
    <s v=" "/>
    <s v=" "/>
    <m/>
    <s v=" "/>
  </r>
  <r>
    <s v="LFL50815"/>
    <s v="ICE"/>
    <s v="Federal"/>
    <s v="Fee Simple"/>
    <s v="13077 Veveras Dr"/>
    <s v="Jacksonville"/>
    <s v="FL"/>
    <n v="3.93"/>
    <n v="2012"/>
    <n v="47386"/>
    <n v="47386"/>
    <n v="1"/>
    <n v="1285945.12"/>
    <n v="27.13765922424345"/>
    <n v="923938"/>
    <n v="19.49812180812898"/>
    <d v="2012-02-01T00:00:00"/>
    <d v="2027-01-31T00:00:00"/>
    <d v="2022-02-01T00:00:00"/>
    <n v="12.64931506849315"/>
    <n v="7.64931506849315"/>
    <s v="Modified Gross"/>
    <s v="None"/>
    <s v="None"/>
    <n v="14175000"/>
    <n v="299.1389861984553"/>
    <n v="0.06518081128747795"/>
    <m/>
    <d v="2014-06-11T00:00:00"/>
    <x v="1503"/>
    <s v="C&amp;W; Travis Trautvetter"/>
    <x v="1042"/>
    <s v="IL"/>
    <s v="Private"/>
    <m/>
    <m/>
    <m/>
    <s v=" "/>
    <s v=" "/>
    <m/>
    <s v=" "/>
    <s v=" "/>
    <s v=" "/>
    <m/>
    <s v=" "/>
  </r>
  <r>
    <m/>
    <s v="USPS"/>
    <s v="Federal"/>
    <s v="Fee Simple"/>
    <s v="1 Highland Rd"/>
    <s v="North Truro"/>
    <s v="MA"/>
    <n v="0.5"/>
    <n v="2010"/>
    <n v="2226"/>
    <n v="2226"/>
    <n v="1"/>
    <n v="96500"/>
    <n v="43.35130278526505"/>
    <n v="94289"/>
    <n v="42.35804132973944"/>
    <d v="2010-06-01T00:00:00"/>
    <d v="2030-05-31T00:00:00"/>
    <m/>
    <n v="15.98356164383562"/>
    <s v=" "/>
    <s v="NN"/>
    <s v="Per Option"/>
    <s v="2, 5 year"/>
    <n v="1280000"/>
    <n v="575.0224618149147"/>
    <n v="0.07366328125"/>
    <m/>
    <d v="2014-06-10T00:00:00"/>
    <x v="1504"/>
    <s v="Horvath &amp; Tremblay"/>
    <x v="1097"/>
    <s v="MA"/>
    <s v="Private"/>
    <m/>
    <m/>
    <n v="1342857"/>
    <n v="0.07021522023566172"/>
    <n v="0.9531915907650629"/>
    <n v="1342857"/>
    <n v="0.07021522023566172"/>
    <n v="0.003448061014338283"/>
    <s v="No"/>
    <d v="2014-01-07T00:00:00"/>
    <n v="154"/>
  </r>
  <r>
    <s v="LKY31332"/>
    <s v="IRS"/>
    <s v="Federal"/>
    <s v="Fee Simple"/>
    <s v="333 Scott St"/>
    <s v="Covington"/>
    <s v="KY"/>
    <n v="2.36"/>
    <n v="1994"/>
    <n v="236744"/>
    <n v="439847"/>
    <n v="0.5382417067753105"/>
    <n v="4115096.3"/>
    <n v="17.38205107626803"/>
    <n v="6013280"/>
    <n v="13.67129933817896"/>
    <d v="1993-12-01T00:00:00"/>
    <d v="2014-01-31T00:00:00"/>
    <m/>
    <n v="-0.3424657534246575"/>
    <s v=" "/>
    <s v="N"/>
    <m/>
    <s v="None"/>
    <n v="82600000"/>
    <n v="187.792573326634"/>
    <n v="0.0728"/>
    <m/>
    <d v="2014-06-05T00:00:00"/>
    <x v="1505"/>
    <s v="FD Stonewater"/>
    <x v="1098"/>
    <s v="AZ"/>
    <s v="REIT"/>
    <m/>
    <m/>
    <m/>
    <s v=" "/>
    <s v=" "/>
    <m/>
    <s v=" "/>
    <s v=" "/>
    <s v=" "/>
    <m/>
    <s v=" "/>
  </r>
  <r>
    <s v="LWV12090"/>
    <s v="CG"/>
    <s v="Federal"/>
    <s v="Fee Simple"/>
    <s v="941 James Burr Boulevard"/>
    <s v="Kearneysville"/>
    <s v="WV"/>
    <m/>
    <m/>
    <n v="42943"/>
    <n v="42943"/>
    <n v="1"/>
    <n v="1030632"/>
    <n v="24"/>
    <m/>
    <s v=" "/>
    <d v="2014-06-13T00:00:00"/>
    <d v="2024-06-12T00:00:00"/>
    <d v="2024-06-12T00:00:00"/>
    <n v="10.03835616438356"/>
    <n v="10.03835616438356"/>
    <s v="Modified Gross"/>
    <s v="None"/>
    <s v="2, 5 year"/>
    <n v="11800000"/>
    <n v="274.7828516871201"/>
    <s v=" "/>
    <m/>
    <d v="2014-06-01T00:00:00"/>
    <x v="1506"/>
    <s v="JLL"/>
    <x v="1"/>
    <s v="IL"/>
    <s v="Private"/>
    <m/>
    <m/>
    <m/>
    <s v=" "/>
    <s v=" "/>
    <m/>
    <s v=" "/>
    <s v=" "/>
    <s v=" "/>
    <m/>
    <s v=" "/>
  </r>
  <r>
    <m/>
    <m/>
    <s v="Federal"/>
    <s v="Fee Simple"/>
    <s v="1759-1760 Business Center Dr"/>
    <s v="Reston"/>
    <s v="VA"/>
    <n v="13.2"/>
    <m/>
    <m/>
    <n v="407412"/>
    <s v=" "/>
    <m/>
    <s v=" "/>
    <n v="9316750"/>
    <n v="22.86812857745967"/>
    <m/>
    <m/>
    <m/>
    <s v=" "/>
    <s v=" "/>
    <m/>
    <m/>
    <m/>
    <n v="112250000"/>
    <n v="275.5196214151768"/>
    <n v="0.083"/>
    <m/>
    <d v="2014-05-28T00:00:00"/>
    <x v="1507"/>
    <s v="C&amp;W; Collins"/>
    <x v="790"/>
    <s v="MA"/>
    <s v="REIT"/>
    <m/>
    <m/>
    <m/>
    <s v=" "/>
    <s v=" "/>
    <m/>
    <s v=" "/>
    <s v=" "/>
    <s v=" "/>
    <m/>
    <s v=" "/>
  </r>
  <r>
    <m/>
    <s v="DSHS/DCYF/Rev."/>
    <s v="State"/>
    <s v="Fee Simple"/>
    <s v="1330 N Washington St"/>
    <s v="Spokane"/>
    <s v="WA"/>
    <n v="9.609999999999999"/>
    <n v="1998"/>
    <n v="103932"/>
    <n v="332008"/>
    <n v="0.3130406496229007"/>
    <m/>
    <s v=" "/>
    <n v="5064387.95"/>
    <n v="15.25381301052987"/>
    <m/>
    <d v="2017-12-31T00:00:00"/>
    <d v="2017-12-31T00:00:00"/>
    <n v="3.610958904109589"/>
    <n v="3.610958904109589"/>
    <s v="Full Service"/>
    <s v="None"/>
    <s v="None"/>
    <n v="52100000"/>
    <n v="156.9239295438664"/>
    <n v="0.09720514299424185"/>
    <m/>
    <d v="2014-05-23T00:00:00"/>
    <x v="1508"/>
    <s v="CBRE"/>
    <x v="1099"/>
    <s v="WA"/>
    <s v="Private"/>
    <m/>
    <m/>
    <m/>
    <s v=" "/>
    <s v=" "/>
    <m/>
    <s v=" "/>
    <s v=" "/>
    <s v=" "/>
    <m/>
    <s v=" "/>
  </r>
  <r>
    <s v="LMD01953"/>
    <s v="FEMA"/>
    <s v="Federal"/>
    <s v="Fee Simple"/>
    <s v="6511 America Blvd"/>
    <s v="Hyattsville"/>
    <s v="MD"/>
    <m/>
    <m/>
    <n v="54497"/>
    <n v="54984"/>
    <n v="0.9911428779281245"/>
    <n v="1442496.44"/>
    <n v="26.46928161183184"/>
    <m/>
    <s v=" "/>
    <d v="2008-04-01T00:00:00"/>
    <d v="2018-03-31T00:00:00"/>
    <d v="2018-03-31T00:00:00"/>
    <n v="3.86027397260274"/>
    <n v="3.86027397260274"/>
    <s v="FS"/>
    <m/>
    <s v="None"/>
    <s v="FORECLOSURE"/>
    <e v="#VALUE!"/>
    <s v=" "/>
    <m/>
    <d v="2014-05-22T00:00:00"/>
    <x v="1509"/>
    <s v="CBRE"/>
    <x v="1100"/>
    <m/>
    <s v="Private"/>
    <m/>
    <m/>
    <m/>
    <s v=" "/>
    <s v=" "/>
    <m/>
    <s v=" "/>
    <s v=" "/>
    <s v=" "/>
    <m/>
    <s v=" "/>
  </r>
  <r>
    <m/>
    <s v="DHP"/>
    <s v="State"/>
    <s v="Fee Simple"/>
    <s v="9960 Maryland Dr"/>
    <s v="Richmond"/>
    <s v="VA"/>
    <n v="13.32"/>
    <n v="1994"/>
    <n v="163843.944"/>
    <n v="173932"/>
    <n v="0.9419999999999999"/>
    <m/>
    <s v=" "/>
    <n v="1863000"/>
    <n v="10.71108249200837"/>
    <m/>
    <d v="2018-03-31T00:00:00"/>
    <m/>
    <n v="3.865753424657534"/>
    <s v=" "/>
    <s v="Full Service"/>
    <m/>
    <m/>
    <n v="22500000"/>
    <n v="129.3608996619369"/>
    <n v="0.0828"/>
    <m/>
    <d v="2014-05-20T00:00:00"/>
    <x v="1165"/>
    <s v="Colliers; Adams"/>
    <x v="790"/>
    <s v="MA"/>
    <s v="REIT"/>
    <m/>
    <m/>
    <m/>
    <s v=" "/>
    <s v=" "/>
    <m/>
    <s v=" "/>
    <s v=" "/>
    <s v=" "/>
    <m/>
    <s v=" "/>
  </r>
  <r>
    <s v="LNE90005"/>
    <s v="MEPS"/>
    <s v="Federal"/>
    <s v="Fee Simple"/>
    <s v="4245 S. 121st Plaza"/>
    <s v="Omaha"/>
    <s v="NE"/>
    <n v="3.48"/>
    <n v="2013"/>
    <n v="19983"/>
    <n v="19983"/>
    <n v="1"/>
    <n v="758841.21"/>
    <n v="37.9743386878847"/>
    <n v="544341"/>
    <n v="27.24020417354751"/>
    <d v="2013-07-01T00:00:00"/>
    <d v="2033-06-30T00:00:00"/>
    <d v="2023-06-30T00:00:00"/>
    <n v="19.13698630136986"/>
    <n v="9.128767123287671"/>
    <s v="Modified Gross"/>
    <s v="None"/>
    <s v="None"/>
    <n v="7500000"/>
    <n v="375.3190211679928"/>
    <n v="0.0725788"/>
    <m/>
    <d v="2014-05-16T00:00:00"/>
    <x v="1510"/>
    <s v="Colliers; Bob Cottle"/>
    <x v="593"/>
    <s v="IL"/>
    <s v="Private"/>
    <m/>
    <m/>
    <m/>
    <s v=" "/>
    <s v=" "/>
    <m/>
    <s v=" "/>
    <s v=" "/>
    <s v=" "/>
    <m/>
    <s v=" "/>
  </r>
  <r>
    <s v="LTX16023"/>
    <s v="FBP"/>
    <s v="Federal"/>
    <s v="Fee Simple"/>
    <s v="4211 Cedar Springs Rd"/>
    <s v="Dallas"/>
    <s v="TX"/>
    <n v="0.84"/>
    <n v="1985"/>
    <n v="39329"/>
    <n v="39329"/>
    <n v="1"/>
    <n v="689091.9"/>
    <n v="17.52121589666658"/>
    <m/>
    <s v=" "/>
    <d v="2008-01-18T00:00:00"/>
    <d v="2023-01-17T00:00:00"/>
    <d v="2018-01-17T00:00:00"/>
    <n v="8.701369863013699"/>
    <n v="3.698630136986301"/>
    <s v="FS"/>
    <m/>
    <s v="None"/>
    <n v="6460236.5625"/>
    <n v="164.2613990312492"/>
    <s v=" "/>
    <m/>
    <d v="2014-05-08T00:00:00"/>
    <x v="1511"/>
    <s v="Direct"/>
    <x v="1101"/>
    <m/>
    <s v="Private"/>
    <m/>
    <m/>
    <m/>
    <s v=" "/>
    <s v=" "/>
    <m/>
    <s v=" "/>
    <s v=" "/>
    <s v=" "/>
    <m/>
    <s v=" "/>
  </r>
  <r>
    <s v="LMN17766"/>
    <s v="CBP"/>
    <s v="Federal"/>
    <s v="Fee Simple"/>
    <s v="312 Highway 11 E"/>
    <s v="International Falls"/>
    <s v="MN"/>
    <n v="11.84"/>
    <n v="2010"/>
    <n v="33000"/>
    <n v="33000"/>
    <n v="1"/>
    <n v="1348598.24"/>
    <n v="40.86661333333333"/>
    <n v="1110000"/>
    <n v="33.63636363636363"/>
    <d v="2010-07-19T00:00:00"/>
    <d v="2025-07-18T00:00:00"/>
    <d v="2025-07-18T00:00:00"/>
    <n v="11.2027397260274"/>
    <n v="11.2027397260274"/>
    <s v="Modified Gross"/>
    <s v="None"/>
    <s v="None"/>
    <n v="14800000"/>
    <n v="448.4848484848485"/>
    <n v="0.075"/>
    <m/>
    <d v="2014-05-08T00:00:00"/>
    <x v="2"/>
    <s v="Colliers; Bob Cottle"/>
    <x v="983"/>
    <s v="NY"/>
    <s v="REIT"/>
    <m/>
    <m/>
    <m/>
    <s v=" "/>
    <s v=" "/>
    <m/>
    <s v=" "/>
    <s v=" "/>
    <s v=" "/>
    <m/>
    <s v=" "/>
  </r>
  <r>
    <m/>
    <s v="Rev."/>
    <s v="State"/>
    <s v="Fee Simple"/>
    <s v="6302 E Dr. Martin Luther King Jr. Blvd"/>
    <s v="Tampa"/>
    <s v="FL"/>
    <n v="50.16"/>
    <n v="1985"/>
    <n v="82000"/>
    <n v="350000"/>
    <n v="0.2342857142857143"/>
    <m/>
    <s v=" "/>
    <n v="3193000"/>
    <n v="9.122857142857143"/>
    <m/>
    <d v="2032-05-31T00:00:00"/>
    <d v="2022-05-31T00:00:00"/>
    <n v="18.0958904109589"/>
    <n v="8.087671232876712"/>
    <s v="Full Service"/>
    <s v="None"/>
    <s v="None"/>
    <n v="27500000"/>
    <n v="78.57142857142857"/>
    <n v="0.1161090909090909"/>
    <m/>
    <d v="2014-05-01T00:00:00"/>
    <x v="1512"/>
    <m/>
    <x v="1102"/>
    <s v="FL"/>
    <s v="Private"/>
    <m/>
    <m/>
    <m/>
    <s v=" "/>
    <s v=" "/>
    <m/>
    <s v=" "/>
    <s v=" "/>
    <s v=" "/>
    <d v="2013-06-26T00:00:00"/>
    <n v="309"/>
  </r>
  <r>
    <m/>
    <s v="DE"/>
    <s v="State"/>
    <s v="Fee Simple"/>
    <s v="2545 Rocky Ridge Ln"/>
    <s v="Birmingham"/>
    <s v="AL"/>
    <n v="8"/>
    <n v="1989"/>
    <n v="114035"/>
    <n v="114035"/>
    <n v="1"/>
    <m/>
    <s v=" "/>
    <n v="2518891"/>
    <n v="22.08875345288727"/>
    <m/>
    <d v="2028-06-30T00:00:00"/>
    <d v="2028-06-30T00:00:00"/>
    <n v="14.17808219178082"/>
    <n v="14.17808219178082"/>
    <s v="NNN"/>
    <s v="2.5% annually"/>
    <s v="1, 10 year"/>
    <n v="32300000"/>
    <n v="283.2463717279783"/>
    <n v="0.07798424148606811"/>
    <m/>
    <d v="2014-04-30T00:00:00"/>
    <x v="1513"/>
    <s v="Colliers; Bradley"/>
    <x v="1103"/>
    <s v="AZ"/>
    <s v="REIT"/>
    <m/>
    <m/>
    <m/>
    <s v=" "/>
    <s v=" "/>
    <m/>
    <s v=" "/>
    <s v=" "/>
    <s v=" "/>
    <m/>
    <s v=" "/>
  </r>
  <r>
    <s v="LTX16964"/>
    <s v="SSA"/>
    <s v="Federal"/>
    <s v="Fee Simple"/>
    <s v="2530 S Malcolm X Blvd"/>
    <s v="Dallas"/>
    <s v="TX"/>
    <n v="1.56"/>
    <n v="2013"/>
    <n v="13375"/>
    <n v="13375"/>
    <n v="1"/>
    <n v="483358.38"/>
    <n v="36.13894429906542"/>
    <n v="343100"/>
    <n v="25.65233644859813"/>
    <d v="2013-07-10T00:00:00"/>
    <d v="2028-07-09T00:00:00"/>
    <d v="2023-07-31T00:00:00"/>
    <n v="14.2027397260274"/>
    <n v="9.257534246575343"/>
    <s v="Modified Gross"/>
    <s v="None"/>
    <s v="None"/>
    <n v="4700000"/>
    <n v="351.4018691588785"/>
    <n v="0.073"/>
    <m/>
    <d v="2014-04-30T00:00:00"/>
    <x v="2"/>
    <s v="Colliers; Bob Cottle"/>
    <x v="983"/>
    <s v="NY"/>
    <s v="REIT"/>
    <m/>
    <m/>
    <m/>
    <s v=" "/>
    <s v=" "/>
    <m/>
    <s v=" "/>
    <s v=" "/>
    <s v=" "/>
    <m/>
    <s v=" "/>
  </r>
  <r>
    <s v="LTX16913"/>
    <s v="SSA"/>
    <s v="Federal"/>
    <s v="Fee Simple"/>
    <s v="1013 Business Park Dr"/>
    <s v="Mission"/>
    <s v="TX"/>
    <n v="2"/>
    <n v="2001"/>
    <n v="14989"/>
    <n v="14989"/>
    <n v="1"/>
    <n v="540839.22"/>
    <n v="36.08240843285076"/>
    <n v="375000"/>
    <n v="25.01834678764427"/>
    <d v="2012-06-21T00:00:00"/>
    <d v="2027-06-20T00:00:00"/>
    <d v="2022-06-20T00:00:00"/>
    <n v="13.14794520547945"/>
    <n v="8.145205479452056"/>
    <s v="Modified Gross"/>
    <s v="None"/>
    <s v="None"/>
    <n v="5000000"/>
    <n v="333.5779571685903"/>
    <n v="0.075"/>
    <m/>
    <d v="2014-04-30T00:00:00"/>
    <x v="2"/>
    <s v="Colliers; Bob Cottle"/>
    <x v="983"/>
    <s v="NY"/>
    <s v="REIT"/>
    <m/>
    <m/>
    <m/>
    <s v=" "/>
    <s v=" "/>
    <m/>
    <s v=" "/>
    <s v=" "/>
    <s v=" "/>
    <m/>
    <s v=" "/>
  </r>
  <r>
    <s v="LSC62106"/>
    <s v="SSA"/>
    <s v="Federal"/>
    <s v="Fee Simple"/>
    <s v="502 Robertson Blvd"/>
    <s v="Walterboro"/>
    <s v="SC"/>
    <n v="0.95"/>
    <n v="2001"/>
    <n v="7200"/>
    <n v="7200"/>
    <n v="1"/>
    <n v="162772.13"/>
    <n v="22.60724027777778"/>
    <m/>
    <s v=" "/>
    <d v="2012-10-01T00:00:00"/>
    <d v="2022-09-30T00:00:00"/>
    <d v="2017-10-01T00:00:00"/>
    <n v="8.438356164383562"/>
    <n v="3.438356164383562"/>
    <s v="Modified Gross"/>
    <s v="None"/>
    <s v="None"/>
    <n v="938750"/>
    <n v="130.3819444444445"/>
    <s v=" "/>
    <m/>
    <d v="2014-04-25T00:00:00"/>
    <x v="1514"/>
    <m/>
    <x v="1104"/>
    <s v="SC"/>
    <s v="Private"/>
    <m/>
    <m/>
    <m/>
    <s v=" "/>
    <s v=" "/>
    <m/>
    <s v=" "/>
    <s v=" "/>
    <s v=" "/>
    <m/>
    <s v=" "/>
  </r>
  <r>
    <s v="LDE09409"/>
    <s v="USCIS"/>
    <s v="Federal"/>
    <s v="Fee Simple"/>
    <s v="210 Beiser Blvd"/>
    <s v="Dover"/>
    <s v="DE"/>
    <n v="1.96"/>
    <n v="2000"/>
    <n v="9967"/>
    <n v="9967"/>
    <n v="1"/>
    <n v="358812.33"/>
    <n v="36.00003310926056"/>
    <n v="278540"/>
    <n v="27.9462225343634"/>
    <d v="2013-08-29T00:00:00"/>
    <d v="2023-08-28T00:00:00"/>
    <d v="2023-08-28T00:00:00"/>
    <n v="9.353424657534246"/>
    <n v="9.353424657534246"/>
    <s v="Modified Gross"/>
    <s v="None"/>
    <s v="1, 5 year"/>
    <n v="3665000"/>
    <n v="367.7134543995184"/>
    <n v="0.076"/>
    <m/>
    <d v="2014-04-23T00:00:00"/>
    <x v="1515"/>
    <s v="Direct"/>
    <x v="983"/>
    <s v="NY"/>
    <s v="REIT"/>
    <m/>
    <m/>
    <m/>
    <s v=" "/>
    <s v=" "/>
    <m/>
    <s v=" "/>
    <s v=" "/>
    <s v=" "/>
    <m/>
    <s v=" "/>
  </r>
  <r>
    <s v="LPA09468"/>
    <s v="SSA"/>
    <s v="Federal"/>
    <s v="Fee Simple"/>
    <s v="701 E Chelten Ave"/>
    <s v="Germantown"/>
    <s v="PA"/>
    <n v="5.51"/>
    <n v="1998"/>
    <n v="14990"/>
    <n v="14990"/>
    <n v="1"/>
    <n v="574611.8100000001"/>
    <n v="38.33300933955971"/>
    <n v="454300"/>
    <n v="30.30687124749833"/>
    <d v="2012-10-03T00:00:00"/>
    <d v="2022-10-02T00:00:00"/>
    <d v="2022-10-02T00:00:00"/>
    <n v="8.449315068493151"/>
    <n v="8.449315068493151"/>
    <s v="Modified Gross"/>
    <s v="None"/>
    <s v="None"/>
    <n v="5900000"/>
    <n v="393.5957304869913"/>
    <n v="0.077"/>
    <m/>
    <d v="2014-04-23T00:00:00"/>
    <x v="1515"/>
    <s v="Direct"/>
    <x v="1096"/>
    <s v="NY"/>
    <s v="REIT"/>
    <m/>
    <m/>
    <m/>
    <s v=" "/>
    <s v=" "/>
    <m/>
    <s v=" "/>
    <s v=" "/>
    <s v=" "/>
    <m/>
    <s v=" "/>
  </r>
  <r>
    <m/>
    <s v="VA"/>
    <s v="Federal"/>
    <s v="Fee Simple"/>
    <s v="3285 S Val Vista Rd"/>
    <s v="Gilbert"/>
    <s v="AZ"/>
    <n v="9.696999999999999"/>
    <n v="2014"/>
    <n v="71259"/>
    <n v="71259"/>
    <n v="1"/>
    <n v="2855904"/>
    <n v="40.07780069885909"/>
    <n v="2187327"/>
    <n v="30.6954489959163"/>
    <d v="2014-02-20T00:00:00"/>
    <d v="2034-02-19T00:00:00"/>
    <d v="2034-02-19T00:00:00"/>
    <n v="19.84383561643835"/>
    <n v="19.84383561643835"/>
    <s v="Modified Gross"/>
    <s v="Flat"/>
    <s v="None"/>
    <n v="29500000"/>
    <n v="413.9827951556996"/>
    <n v="0.07414667796610169"/>
    <m/>
    <d v="2014-04-22T00:00:00"/>
    <x v="1516"/>
    <s v="C&amp;W; Trautvetter"/>
    <x v="1105"/>
    <s v="TX"/>
    <s v="Private"/>
    <m/>
    <m/>
    <m/>
    <s v=" "/>
    <s v=" "/>
    <m/>
    <s v=" "/>
    <s v=" "/>
    <s v=" "/>
    <m/>
    <s v=" "/>
  </r>
  <r>
    <s v="LCA02894"/>
    <s v="SSA"/>
    <s v="Federal"/>
    <s v="Fee Simple"/>
    <s v="700 E 24th St"/>
    <s v="National City"/>
    <s v="CA"/>
    <n v="0.99"/>
    <n v="2014"/>
    <n v="12094"/>
    <n v="12094"/>
    <n v="1"/>
    <n v="512394.15"/>
    <n v="42.36763271043493"/>
    <n v="384300"/>
    <n v="31.77608731602448"/>
    <d v="2014-04-11T00:00:00"/>
    <d v="2029-04-10T00:00:00"/>
    <d v="2024-04-11T00:00:00"/>
    <n v="14.99452054794521"/>
    <n v="9.994520547945205"/>
    <s v="Modified Gross"/>
    <s v="None"/>
    <s v="None"/>
    <n v="6300000"/>
    <n v="520.9194641971226"/>
    <n v="0.061"/>
    <m/>
    <d v="2014-04-16T00:00:00"/>
    <x v="681"/>
    <s v="C&amp;W; Travis Trautvetter"/>
    <x v="1106"/>
    <s v="CA"/>
    <s v="Private"/>
    <s v="David Barrett"/>
    <m/>
    <m/>
    <s v=" "/>
    <s v=" "/>
    <m/>
    <s v=" "/>
    <s v=" "/>
    <s v=" "/>
    <m/>
    <s v=" "/>
  </r>
  <r>
    <s v="LKY42136"/>
    <s v="SSA"/>
    <s v="Federal"/>
    <s v="Fee Simple"/>
    <s v="400 Bellerive Blvd"/>
    <s v="Nicholasville"/>
    <s v="KY"/>
    <n v="3"/>
    <n v="2001"/>
    <n v="6127"/>
    <n v="21854"/>
    <n v="0.2803605747231628"/>
    <n v="105066"/>
    <n v="17.14803329525053"/>
    <n v="146223"/>
    <n v="6.690903267136451"/>
    <d v="2003-01-15T00:00:00"/>
    <d v="2023-01-14T00:00:00"/>
    <d v="2008-01-14T00:00:00"/>
    <n v="8.753424657534246"/>
    <n v="-6.257534246575342"/>
    <s v="Modified Gross"/>
    <s v="None"/>
    <s v="None"/>
    <n v="1441000"/>
    <n v="65.9375857966505"/>
    <n v="0.1014732824427481"/>
    <m/>
    <d v="2014-04-16T00:00:00"/>
    <x v="8"/>
    <m/>
    <x v="0"/>
    <s v="KY"/>
    <s v="Private"/>
    <m/>
    <m/>
    <m/>
    <s v=" "/>
    <s v=" "/>
    <m/>
    <s v=" "/>
    <s v=" "/>
    <s v=" "/>
    <m/>
    <s v=" "/>
  </r>
  <r>
    <m/>
    <s v="SSA"/>
    <s v="Federal"/>
    <s v="Fee Simple"/>
    <s v="627-701 E Chleten Ave"/>
    <s v="Philadelphia"/>
    <s v="PA"/>
    <n v="5.51"/>
    <n v="2012"/>
    <n v="15018"/>
    <n v="15018"/>
    <n v="1"/>
    <n v="578486.4300000001"/>
    <n v="38.51953855373552"/>
    <n v="451228"/>
    <n v="30.0458116926355"/>
    <d v="2012-10-03T00:00:00"/>
    <d v="2022-10-02T00:00:00"/>
    <d v="2022-10-02T00:00:00"/>
    <n v="8.471232876712328"/>
    <n v="8.471232876712328"/>
    <s v="Modified Gross"/>
    <s v="TI Burns Off"/>
    <s v="None"/>
    <n v="5860100"/>
    <n v="390.205087228659"/>
    <n v="0.07700005119366564"/>
    <m/>
    <d v="2014-04-15T00:00:00"/>
    <x v="1517"/>
    <m/>
    <x v="983"/>
    <s v="NY"/>
    <s v="REIT"/>
    <m/>
    <m/>
    <m/>
    <s v=" "/>
    <s v=" "/>
    <m/>
    <s v=" "/>
    <s v=" "/>
    <s v=" "/>
    <m/>
    <s v=" "/>
  </r>
  <r>
    <s v="LLA15388"/>
    <s v="M/T"/>
    <s v="Federal"/>
    <s v="Fee Simple"/>
    <s v="6100 Corporate Blvd"/>
    <s v="Baton Rouge"/>
    <s v="LA"/>
    <n v="1.94"/>
    <n v="2002"/>
    <n v="42633"/>
    <n v="42633"/>
    <n v="1"/>
    <n v="143890.18"/>
    <n v="3.375089250111416"/>
    <n v="684688"/>
    <n v="16.06004738113668"/>
    <d v="2004-05-27T00:00:00"/>
    <d v="2019-05-26T00:00:00"/>
    <d v="2009-09-28T00:00:00"/>
    <n v="5.128767123287671"/>
    <n v="-4.534246575342466"/>
    <s v="FS"/>
    <m/>
    <s v="None"/>
    <n v="7825000"/>
    <n v="183.5432646072291"/>
    <n v="0.08750006389776357"/>
    <m/>
    <d v="2014-04-10T00:00:00"/>
    <x v="1518"/>
    <s v="NAI; Ty Gose"/>
    <x v="1107"/>
    <m/>
    <s v="Private"/>
    <m/>
    <m/>
    <m/>
    <s v=" "/>
    <s v=" "/>
    <m/>
    <s v=" "/>
    <s v=" "/>
    <s v=" "/>
    <m/>
    <s v=" "/>
  </r>
  <r>
    <m/>
    <s v="CS"/>
    <s v="Municipal"/>
    <s v="Fee Simple"/>
    <s v="5141 Verdugo Way"/>
    <s v="Camarillo"/>
    <s v="CA"/>
    <n v="4.27"/>
    <n v="1985"/>
    <n v="79461"/>
    <n v="79461"/>
    <n v="1"/>
    <m/>
    <s v=" "/>
    <n v="915200"/>
    <n v="11.51759982884685"/>
    <m/>
    <d v="2022-01-31T00:00:00"/>
    <d v="2022-01-31T00:00:00"/>
    <n v="7.841095890410959"/>
    <n v="7.841095890410959"/>
    <s v="NNN"/>
    <m/>
    <m/>
    <n v="12800000"/>
    <n v="161.0853122915644"/>
    <n v="0.07149999999999999"/>
    <m/>
    <d v="2014-04-01T00:00:00"/>
    <x v="1519"/>
    <s v="KB"/>
    <x v="1108"/>
    <s v="CA"/>
    <s v="Private"/>
    <m/>
    <m/>
    <m/>
    <s v=" "/>
    <s v=" "/>
    <m/>
    <s v=" "/>
    <s v=" "/>
    <s v=" "/>
    <m/>
    <s v=" "/>
  </r>
  <r>
    <m/>
    <s v="CBP"/>
    <s v="Federal &amp; State"/>
    <s v="Leasehold"/>
    <s v="301 E Ocean Blvd"/>
    <s v="Long Beach"/>
    <s v="CA"/>
    <n v="1.11"/>
    <n v="1988"/>
    <n v="155500"/>
    <n v="389492"/>
    <n v="0.3992379817813973"/>
    <m/>
    <s v=" "/>
    <n v="6591759"/>
    <n v="16.92399073665185"/>
    <m/>
    <d v="2021-10-31T00:00:00"/>
    <d v="2016-10-31T00:00:00"/>
    <n v="7.589041095890411"/>
    <n v="2.586301369863014"/>
    <s v="Full Service"/>
    <s v="Ground bumps 3% annually"/>
    <m/>
    <n v="101700000"/>
    <n v="261.1093424255184"/>
    <n v="0.06481572271386431"/>
    <m/>
    <d v="2014-04-01T00:00:00"/>
    <x v="1520"/>
    <s v="CBRE; Shannon"/>
    <x v="1109"/>
    <s v="CA"/>
    <s v="Private"/>
    <m/>
    <m/>
    <m/>
    <s v=" "/>
    <s v=" "/>
    <m/>
    <s v=" "/>
    <s v=" "/>
    <s v=" "/>
    <m/>
    <s v=" "/>
  </r>
  <r>
    <m/>
    <s v="CBP"/>
    <s v="Federal"/>
    <s v="Fee Simple"/>
    <s v="301 E Ocean Blvd"/>
    <s v="Long Beach"/>
    <s v="CA"/>
    <m/>
    <n v="1988"/>
    <n v="144500"/>
    <n v="396927"/>
    <n v="0.3640467894600267"/>
    <m/>
    <s v=" "/>
    <m/>
    <s v=" "/>
    <d v="2001-10-10T00:00:00"/>
    <d v="2022-08-09T00:00:00"/>
    <d v="2016-10-09T00:00:00"/>
    <n v="8.361643835616439"/>
    <n v="2.526027397260274"/>
    <s v="Modified Gross"/>
    <s v="None"/>
    <s v="None"/>
    <n v="101700000"/>
    <n v="256.2183978414167"/>
    <s v=" "/>
    <m/>
    <d v="2014-04-01T00:00:00"/>
    <x v="1521"/>
    <s v="CBRE; Shannon"/>
    <x v="1109"/>
    <s v="CA"/>
    <s v="Private"/>
    <m/>
    <m/>
    <m/>
    <s v=" "/>
    <s v=" "/>
    <m/>
    <s v=" "/>
    <s v=" "/>
    <s v=" "/>
    <d v="2013-01-02T00:00:00"/>
    <n v="454"/>
  </r>
  <r>
    <m/>
    <s v="VA"/>
    <s v="Federal"/>
    <s v="Fee Simple"/>
    <s v="1020 S Boulder Hwy"/>
    <s v="Henderson"/>
    <s v="NV"/>
    <m/>
    <n v="2011"/>
    <n v="35407"/>
    <n v="35407"/>
    <n v="1"/>
    <m/>
    <s v=" "/>
    <m/>
    <s v=" "/>
    <d v="2011-01-01T00:00:00"/>
    <d v="2031-12-31T00:00:00"/>
    <d v="2031-12-31T00:00:00"/>
    <n v="17.76438356164384"/>
    <n v="17.76438356164384"/>
    <s v="FS"/>
    <m/>
    <s v="None"/>
    <n v="18344836"/>
    <n v="518.1132544412122"/>
    <s v=" "/>
    <n v="0.1835378064516129"/>
    <d v="2014-03-31T00:00:00"/>
    <x v="663"/>
    <s v="C&amp;W; Trautvetter"/>
    <x v="1110"/>
    <s v="TX"/>
    <s v="Private"/>
    <m/>
    <m/>
    <m/>
    <s v=" "/>
    <s v=" "/>
    <m/>
    <s v=" "/>
    <s v=" "/>
    <s v=" "/>
    <m/>
    <s v=" "/>
  </r>
  <r>
    <m/>
    <s v="VA"/>
    <s v="Federal"/>
    <s v="Fee Simple"/>
    <s v="7235 S Buffalo Dr"/>
    <s v="Las Vegas"/>
    <s v="NV"/>
    <m/>
    <n v="2012"/>
    <n v="35407"/>
    <n v="35407"/>
    <n v="1"/>
    <m/>
    <s v=" "/>
    <m/>
    <s v=" "/>
    <d v="2011-01-01T00:00:00"/>
    <d v="2031-12-31T00:00:00"/>
    <d v="2031-12-31T00:00:00"/>
    <n v="17.76438356164384"/>
    <n v="17.76438356164384"/>
    <s v="FS"/>
    <m/>
    <s v="None"/>
    <n v="28011749"/>
    <n v="791.1359053294547"/>
    <s v=" "/>
    <n v="0.1819303375527426"/>
    <d v="2014-03-31T00:00:00"/>
    <x v="663"/>
    <s v="C&amp;W; Trautvetter"/>
    <x v="1110"/>
    <s v="TX"/>
    <s v="Private"/>
    <m/>
    <m/>
    <m/>
    <s v=" "/>
    <s v=" "/>
    <m/>
    <s v=" "/>
    <s v=" "/>
    <s v=" "/>
    <m/>
    <s v=" "/>
  </r>
  <r>
    <m/>
    <s v="BLM"/>
    <s v="Federal"/>
    <s v="Fee Simple"/>
    <s v="2300 River Frontage Road"/>
    <s v="Silt"/>
    <s v="CO"/>
    <n v="3.51"/>
    <n v="2010"/>
    <n v="18813"/>
    <n v="18813"/>
    <n v="1"/>
    <n v="385316"/>
    <n v="20.48136926593313"/>
    <n v="270600"/>
    <n v="14.38367086589061"/>
    <d v="2009-10-01T00:00:00"/>
    <d v="2029-09-30T00:00:00"/>
    <d v="2024-09-30T00:00:00"/>
    <n v="15.51232876712329"/>
    <n v="10.50958904109589"/>
    <s v="Modified Gross"/>
    <s v="NOne"/>
    <s v="None"/>
    <n v="3300000"/>
    <n v="175.4106203157391"/>
    <n v="0.082"/>
    <m/>
    <d v="2014-03-31T00:00:00"/>
    <x v="1522"/>
    <s v="Short Sale"/>
    <x v="1111"/>
    <s v="CO"/>
    <s v="Private"/>
    <m/>
    <m/>
    <m/>
    <s v=" "/>
    <s v=" "/>
    <m/>
    <s v=" "/>
    <s v=" "/>
    <s v=" "/>
    <m/>
    <s v=" "/>
  </r>
  <r>
    <s v="LTN50030"/>
    <s v="IRS"/>
    <s v="Federal"/>
    <s v="Fee Simple"/>
    <s v="127 International Dr"/>
    <s v="Franklin"/>
    <s v="TN"/>
    <n v="7.71"/>
    <n v="2012"/>
    <n v="135373"/>
    <n v="135373"/>
    <n v="1"/>
    <n v="4156892.81"/>
    <n v="30.7069564093283"/>
    <n v="3243750"/>
    <n v="23.96157283948793"/>
    <d v="2012-08-09T00:00:00"/>
    <d v="2032-08-08T00:00:00"/>
    <d v="2022-08-09T00:00:00"/>
    <n v="18.37808219178082"/>
    <n v="8.372602739726027"/>
    <s v="Modified Gross"/>
    <s v="None"/>
    <s v="None"/>
    <n v="43250000"/>
    <n v="319.4876378598391"/>
    <n v="0.075"/>
    <m/>
    <d v="2014-03-28T00:00:00"/>
    <x v="913"/>
    <s v="Colliers; Joseph Massa"/>
    <x v="983"/>
    <s v="NY"/>
    <s v="REIT"/>
    <m/>
    <m/>
    <m/>
    <s v=" "/>
    <s v=" "/>
    <m/>
    <s v=" "/>
    <s v=" "/>
    <s v=" "/>
    <m/>
    <s v=" "/>
  </r>
  <r>
    <m/>
    <s v="Dep't of State"/>
    <s v="Federal"/>
    <s v="Fee Simple"/>
    <s v="3920 Pender Dr"/>
    <s v="Fairfax"/>
    <s v="VA"/>
    <n v="6"/>
    <n v="1981"/>
    <n v="83130"/>
    <n v="83130"/>
    <n v="1"/>
    <m/>
    <s v=" "/>
    <n v="1700650"/>
    <n v="20.45771682906291"/>
    <m/>
    <d v="2018-03-31T00:00:00"/>
    <m/>
    <n v="4.021917808219178"/>
    <s v=" "/>
    <s v="Modified Gross"/>
    <s v="None"/>
    <s v="None"/>
    <n v="19775000"/>
    <n v="237.8804282449176"/>
    <n v="0.08599999999999999"/>
    <m/>
    <d v="2014-03-24T00:00:00"/>
    <x v="1523"/>
    <s v="C&amp;W; Berkman"/>
    <x v="790"/>
    <s v="MA"/>
    <s v="REIT"/>
    <m/>
    <m/>
    <m/>
    <s v=" "/>
    <s v=" "/>
    <m/>
    <s v=" "/>
    <s v=" "/>
    <s v=" "/>
    <m/>
    <s v=" "/>
  </r>
  <r>
    <m/>
    <s v="USPS"/>
    <s v="Federal"/>
    <s v="Fee Simple"/>
    <s v="260 W Columbus St"/>
    <s v="Lithopolis"/>
    <s v="OH"/>
    <n v="0.6899999999999999"/>
    <n v="1997"/>
    <n v="3062"/>
    <n v="3062"/>
    <n v="1"/>
    <m/>
    <s v=" "/>
    <m/>
    <s v=" "/>
    <m/>
    <m/>
    <m/>
    <s v=" "/>
    <s v=" "/>
    <m/>
    <m/>
    <m/>
    <n v="440000"/>
    <n v="143.6969301110385"/>
    <s v=" "/>
    <m/>
    <d v="2014-03-18T00:00:00"/>
    <x v="1524"/>
    <m/>
    <x v="1112"/>
    <s v="MT"/>
    <s v="Private"/>
    <s v="BW; Wells"/>
    <m/>
    <m/>
    <s v=" "/>
    <s v=" "/>
    <m/>
    <s v=" "/>
    <s v=" "/>
    <s v=" "/>
    <m/>
    <s v=" "/>
  </r>
  <r>
    <s v="LIA80115"/>
    <s v="Multi"/>
    <s v="Federal"/>
    <s v="Fee Simple"/>
    <s v="8 S 6th St"/>
    <s v="Council Bluffs"/>
    <s v="IA"/>
    <n v="1.1"/>
    <n v="1958"/>
    <n v="50187.55"/>
    <n v="67744"/>
    <n v="0.7408412553141238"/>
    <n v="520868.03"/>
    <n v="10.37843110492542"/>
    <m/>
    <s v=" "/>
    <d v="2008-07-01T00:00:00"/>
    <d v="2023-06-30T00:00:00"/>
    <d v="2010-06-30T00:00:00"/>
    <n v="9.293150684931506"/>
    <n v="-3.715068493150685"/>
    <s v="Full Service"/>
    <s v="None"/>
    <s v="None"/>
    <n v="4883137.78125"/>
    <n v="72.08221807466344"/>
    <s v=" "/>
    <m/>
    <d v="2014-03-17T00:00:00"/>
    <x v="1525"/>
    <m/>
    <x v="1113"/>
    <s v="CA"/>
    <s v="Private"/>
    <m/>
    <m/>
    <m/>
    <s v=" "/>
    <s v=" "/>
    <m/>
    <s v=" "/>
    <s v=" "/>
    <s v=" "/>
    <m/>
    <s v=" "/>
  </r>
  <r>
    <s v="LSC60047"/>
    <s v="SSA"/>
    <s v="Federal"/>
    <s v="Fee Simple"/>
    <s v="3875 Faber Place Dr"/>
    <s v="North Charleston"/>
    <s v="SC"/>
    <n v="5.01"/>
    <n v="1996"/>
    <n v="26175"/>
    <n v="64113"/>
    <n v="0.4082635346965514"/>
    <n v="653903.15"/>
    <n v="24.98197325692455"/>
    <m/>
    <s v=" "/>
    <d v="2014-08-12T00:00:00"/>
    <d v="2024-08-11T00:00:00"/>
    <d v="2019-08-12T00:00:00"/>
    <n v="10.42739726027397"/>
    <n v="5.424657534246576"/>
    <s v="Modified Gross"/>
    <s v="None"/>
    <s v="None"/>
    <n v="9600000"/>
    <n v="149.735623040569"/>
    <s v=" "/>
    <m/>
    <d v="2014-03-11T00:00:00"/>
    <x v="1526"/>
    <m/>
    <x v="1114"/>
    <s v="IL"/>
    <s v="Private"/>
    <m/>
    <m/>
    <m/>
    <s v=" "/>
    <s v=" "/>
    <m/>
    <s v=" "/>
    <s v=" "/>
    <s v=" "/>
    <m/>
    <s v=" "/>
  </r>
  <r>
    <m/>
    <s v="USDA"/>
    <s v="Federal"/>
    <s v="Fee Simple"/>
    <s v="1297 State St"/>
    <s v="Rocky Mount"/>
    <s v="VA"/>
    <n v="0.63"/>
    <n v="1994"/>
    <n v="6200"/>
    <n v="6200"/>
    <n v="1"/>
    <m/>
    <s v=" "/>
    <n v="44306.55"/>
    <n v="7.146217741935483"/>
    <m/>
    <d v="2020-02-28T00:00:00"/>
    <d v="2015-02-28T00:00:00"/>
    <n v="5.983561643835617"/>
    <n v="0.9808219178082191"/>
    <s v="Modified Gross"/>
    <s v="None"/>
    <s v="None"/>
    <n v="492295"/>
    <n v="79.40241935483871"/>
    <n v="0.09"/>
    <m/>
    <d v="2014-03-07T00:00:00"/>
    <x v="1527"/>
    <s v="Poe &amp; Cronk"/>
    <x v="1056"/>
    <s v="MT"/>
    <s v="Private"/>
    <s v="BW; Wells"/>
    <m/>
    <n v="520000"/>
    <n v="0.08520490384615384"/>
    <n v="0.9467211538461539"/>
    <n v="520000"/>
    <n v="0.08520490384615384"/>
    <n v="0.004795096153846157"/>
    <s v="No"/>
    <d v="2013-06-06T00:00:00"/>
    <n v="274"/>
  </r>
  <r>
    <s v="LKS50038"/>
    <s v="SSA"/>
    <s v="Federal"/>
    <s v="Fee Simple"/>
    <s v="600 SW Commerce Pl"/>
    <s v="Topeka"/>
    <s v="KS"/>
    <n v="2.06"/>
    <n v="2006"/>
    <n v="13286"/>
    <n v="13286"/>
    <n v="1"/>
    <n v="311446.97"/>
    <n v="23.44174093030257"/>
    <n v="130226"/>
    <n v="9.801746199006473"/>
    <d v="2007-01-16T00:00:00"/>
    <d v="2021-01-15T00:00:00"/>
    <d v="2015-01-15T00:00:00"/>
    <n v="6.868493150684931"/>
    <n v="0.863013698630137"/>
    <s v="Modified Gross"/>
    <s v="None"/>
    <s v="None"/>
    <n v="1525000"/>
    <n v="114.7824777961764"/>
    <n v="0.08539409836065574"/>
    <m/>
    <d v="2014-03-06T00:00:00"/>
    <x v="1528"/>
    <s v="Direct"/>
    <x v="480"/>
    <s v="KS"/>
    <s v="Private"/>
    <m/>
    <m/>
    <m/>
    <s v=" "/>
    <s v=" "/>
    <m/>
    <s v=" "/>
    <s v=" "/>
    <s v=" "/>
    <m/>
    <s v=" "/>
  </r>
  <r>
    <s v="LAZ02392"/>
    <s v="ICE/FWS"/>
    <s v="Federal"/>
    <s v="Fee Simple"/>
    <s v="141-157 Paseo De Yucatan"/>
    <s v="Rio Rico"/>
    <s v="AZ"/>
    <n v="2.97"/>
    <n v="2011"/>
    <n v="29513"/>
    <n v="29513"/>
    <n v="1"/>
    <n v="1254953"/>
    <n v="42.52204113441534"/>
    <n v="1007909"/>
    <n v="34.15135702910582"/>
    <d v="2011-06-23T00:00:00"/>
    <d v="2026-06-22T00:00:00"/>
    <d v="2021-06-23T00:00:00"/>
    <n v="12.30684931506849"/>
    <n v="7.306849315068493"/>
    <s v="Modified Gross"/>
    <s v="None"/>
    <s v="None"/>
    <n v="13250000"/>
    <n v="448.9546979297259"/>
    <n v="0.0760686037735849"/>
    <m/>
    <d v="2014-03-05T00:00:00"/>
    <x v="681"/>
    <s v="C&amp;W; Trautvetter"/>
    <x v="1"/>
    <s v="IL"/>
    <s v="Private"/>
    <m/>
    <m/>
    <m/>
    <s v=" "/>
    <s v=" "/>
    <m/>
    <s v=" "/>
    <s v=" "/>
    <s v=" "/>
    <d v="2013-06-10T00:00:00"/>
    <n v="268"/>
  </r>
  <r>
    <m/>
    <s v="FS"/>
    <s v="Federal"/>
    <s v="Fee Simple"/>
    <s v="1711 S Main St"/>
    <s v="Yreka"/>
    <s v="CA"/>
    <n v="2.6"/>
    <n v="2011"/>
    <n v="19900"/>
    <n v="19900"/>
    <n v="1"/>
    <n v="636203"/>
    <n v="31.97"/>
    <n v="577500"/>
    <n v="29.02010050251256"/>
    <d v="2001-11-01T00:00:00"/>
    <d v="2021-12-31T00:00:00"/>
    <d v="2021-12-31T00:00:00"/>
    <n v="7.83013698630137"/>
    <n v="7.83013698630137"/>
    <s v="Modified Gross"/>
    <s v="None"/>
    <s v="1, 5 year"/>
    <n v="7500000"/>
    <n v="376.8844221105527"/>
    <n v="0.077"/>
    <m/>
    <d v="2014-03-05T00:00:00"/>
    <x v="1529"/>
    <s v="JLL; Psyllos"/>
    <x v="429"/>
    <s v="NY"/>
    <s v="Private"/>
    <m/>
    <m/>
    <m/>
    <s v=" "/>
    <s v=" "/>
    <m/>
    <s v=" "/>
    <s v=" "/>
    <s v=" "/>
    <d v="2013-09-16T00:00:00"/>
    <n v="170"/>
  </r>
  <r>
    <s v="LMA04756"/>
    <s v="NARA"/>
    <s v="Federal"/>
    <s v="Fee Simple"/>
    <s v="10 Conte Dr"/>
    <s v="Pittsfield"/>
    <s v="MA"/>
    <n v="13.74"/>
    <n v="1993"/>
    <n v="136720"/>
    <n v="136720"/>
    <n v="1"/>
    <n v="1020498.04"/>
    <n v="7.464145991808075"/>
    <m/>
    <s v=" "/>
    <d v="2010-02-01T00:00:00"/>
    <d v="2020-01-31T00:00:00"/>
    <d v="2020-01-31T00:00:00"/>
    <n v="5.915068493150685"/>
    <n v="5.915068493150685"/>
    <s v="Modified Gross"/>
    <s v="None"/>
    <s v="None"/>
    <n v="5850000"/>
    <n v="42.78818022235225"/>
    <s v=" "/>
    <m/>
    <d v="2014-03-04T00:00:00"/>
    <x v="1530"/>
    <s v="Direct"/>
    <x v="429"/>
    <s v="NY"/>
    <s v="Private"/>
    <m/>
    <m/>
    <m/>
    <s v=" "/>
    <s v=" "/>
    <m/>
    <s v=" "/>
    <s v=" "/>
    <s v=" "/>
    <m/>
    <s v=" "/>
  </r>
  <r>
    <m/>
    <s v="DOE"/>
    <s v="Federal"/>
    <s v="Fee Simple"/>
    <s v="93 Palladium Way"/>
    <s v="Oak Ridge"/>
    <s v="TN"/>
    <n v="5.64"/>
    <n v="2011"/>
    <n v="42591"/>
    <n v="42591"/>
    <n v="1"/>
    <m/>
    <s v=" "/>
    <n v="827010"/>
    <n v="19.41748256673945"/>
    <d v="2011-11-18T00:00:00"/>
    <d v="2021-11-17T00:00:00"/>
    <d v="2021-11-17T00:00:00"/>
    <n v="7.720547945205479"/>
    <n v="7.720547945205479"/>
    <s v="NNN"/>
    <s v="None"/>
    <s v="3, 1 year"/>
    <n v="8100000"/>
    <n v="190.1810241600338"/>
    <n v="0.1021"/>
    <m/>
    <d v="2014-03-01T00:00:00"/>
    <x v="1531"/>
    <s v="M&amp;M; Ficke"/>
    <x v="379"/>
    <s v="DC"/>
    <s v="Private"/>
    <m/>
    <m/>
    <n v="10000000"/>
    <n v="0.082701"/>
    <n v="0.8100000000000001"/>
    <n v="10000000"/>
    <n v="0.082701"/>
    <n v="0.019399"/>
    <s v="No"/>
    <d v="2013-09-09T00:00:00"/>
    <n v="173"/>
  </r>
  <r>
    <m/>
    <s v="NRC"/>
    <s v="Federal"/>
    <s v="Leasehold"/>
    <s v="11601 Landsdown St"/>
    <s v="North Bethesda"/>
    <s v="MD"/>
    <n v="1.77"/>
    <n v="2012"/>
    <n v="358440"/>
    <n v="358440"/>
    <n v="1"/>
    <m/>
    <s v=" "/>
    <n v="12480000"/>
    <n v="34.8175426849682"/>
    <d v="2012-11-01T00:00:00"/>
    <d v="2027-10-31T00:00:00"/>
    <d v="2027-10-31T00:00:00"/>
    <n v="13.67945205479452"/>
    <n v="13.67945205479452"/>
    <s v="Modified Gross"/>
    <s v="None"/>
    <s v="None"/>
    <n v="195000000"/>
    <n v="544.0241044526281"/>
    <n v="0.064"/>
    <m/>
    <d v="2014-02-28T00:00:00"/>
    <x v="1532"/>
    <s v="JLL; Meisel"/>
    <x v="242"/>
    <s v="TX"/>
    <s v="Institutional"/>
    <m/>
    <m/>
    <m/>
    <s v=" "/>
    <s v=" "/>
    <m/>
    <s v=" "/>
    <s v=" "/>
    <s v=" "/>
    <d v="2013-05-02T00:00:00"/>
    <n v="302"/>
  </r>
  <r>
    <m/>
    <s v="VA"/>
    <s v="Federal"/>
    <s v="Fee Simple"/>
    <s v="1020 S Boulder Hwy"/>
    <s v="Henderson"/>
    <s v="NV"/>
    <n v="8.33"/>
    <m/>
    <n v="68847"/>
    <n v="68847"/>
    <n v="1"/>
    <m/>
    <s v=" "/>
    <m/>
    <s v=" "/>
    <m/>
    <d v="2031-09-30T00:00:00"/>
    <d v="2031-09-30T00:00:00"/>
    <n v="17.6027397260274"/>
    <n v="17.6027397260274"/>
    <s v="Modified Gross"/>
    <s v="None"/>
    <s v="None"/>
    <n v="46356585"/>
    <n v="673.3275959736808"/>
    <s v=" "/>
    <n v="0.1544"/>
    <d v="2014-02-26T00:00:00"/>
    <x v="663"/>
    <m/>
    <x v="1110"/>
    <s v="TX"/>
    <s v="Private"/>
    <m/>
    <m/>
    <m/>
    <s v=" "/>
    <s v=" "/>
    <m/>
    <s v=" "/>
    <s v=" "/>
    <s v=" "/>
    <m/>
    <s v=" "/>
  </r>
  <r>
    <s v="LMD12541"/>
    <s v="LOC"/>
    <s v="Federal"/>
    <s v="Fee Simple"/>
    <s v="1701 Brightseat Rd"/>
    <s v="Landover"/>
    <s v="MD"/>
    <n v="7.2"/>
    <n v="1975"/>
    <n v="216500"/>
    <n v="216500"/>
    <n v="1"/>
    <n v="3235375.75"/>
    <n v="14.94399884526559"/>
    <n v="2294625"/>
    <n v="10.59872979214781"/>
    <d v="2012-02-01T00:00:00"/>
    <d v="2022-01-31T00:00:00"/>
    <d v="2022-01-31T00:00:00"/>
    <n v="7.950684931506849"/>
    <n v="7.950684931506849"/>
    <s v="FS"/>
    <m/>
    <s v="None"/>
    <n v="31650000"/>
    <n v="146.189376443418"/>
    <n v="0.0725"/>
    <m/>
    <d v="2014-02-20T00:00:00"/>
    <x v="1533"/>
    <m/>
    <x v="763"/>
    <s v="VA"/>
    <s v="Private"/>
    <m/>
    <m/>
    <m/>
    <s v=" "/>
    <s v=" "/>
    <m/>
    <s v=" "/>
    <s v=" "/>
    <s v=" "/>
    <m/>
    <s v=" "/>
  </r>
  <r>
    <s v="LCA03002"/>
    <s v="FS"/>
    <s v="Federal"/>
    <s v="Fee Simple"/>
    <s v="22830 Forest Hill Rd"/>
    <s v="Forest Hill"/>
    <s v="CA"/>
    <n v="0.83"/>
    <n v="1969"/>
    <n v="6830"/>
    <n v="6830"/>
    <n v="1"/>
    <n v="187660.77"/>
    <n v="27.47595461200585"/>
    <n v="135330"/>
    <n v="19.81405563689605"/>
    <d v="2013-12-01T00:00:00"/>
    <d v="2023-11-30T00:00:00"/>
    <d v="2023-11-30T00:00:00"/>
    <n v="9.786301369863013"/>
    <n v="9.786301369863013"/>
    <s v="Modified Gross"/>
    <s v="None"/>
    <s v="None"/>
    <n v="1500000"/>
    <n v="219.6193265007321"/>
    <n v="0.09021999999999999"/>
    <m/>
    <d v="2014-02-18T00:00:00"/>
    <x v="1534"/>
    <s v="C-B; Clark Gordon"/>
    <x v="1115"/>
    <s v="CA"/>
    <s v="Private"/>
    <m/>
    <m/>
    <n v="1735000"/>
    <n v="0.078"/>
    <n v="0.8645533141210374"/>
    <n v="1735000"/>
    <n v="0.078"/>
    <n v="0.01221999999999999"/>
    <s v="No"/>
    <d v="2013-04-01T00:00:00"/>
    <n v="323"/>
  </r>
  <r>
    <s v="LVA02005"/>
    <s v="PTO"/>
    <s v="Federal"/>
    <s v="Leasehold"/>
    <s v="2800 S Randolph St"/>
    <s v="Arlington"/>
    <s v="VA"/>
    <n v="2.51"/>
    <n v="2008"/>
    <n v="168468"/>
    <n v="207725"/>
    <n v="0.8110145625225659"/>
    <n v="5329601.38"/>
    <n v="31.63568974523352"/>
    <n v="3817140"/>
    <n v="18.37592971476712"/>
    <d v="2009-04-01T00:00:00"/>
    <d v="2019-03-31T00:00:00"/>
    <d v="2019-03-31T00:00:00"/>
    <n v="5.134246575342465"/>
    <n v="5.134246575342465"/>
    <s v="Modified Gross"/>
    <s v="None"/>
    <s v="None"/>
    <n v="56300000"/>
    <n v="271.0314117222289"/>
    <n v="0.0678"/>
    <m/>
    <d v="2014-02-11T00:00:00"/>
    <x v="1535"/>
    <s v="CT; Paul Collins"/>
    <x v="3"/>
    <s v="DC"/>
    <s v="REIT"/>
    <m/>
    <m/>
    <m/>
    <s v=" "/>
    <s v=" "/>
    <m/>
    <s v=" "/>
    <s v=" "/>
    <s v=" "/>
    <m/>
    <s v=" "/>
  </r>
  <r>
    <s v="LOH18631"/>
    <s v="CBP"/>
    <s v="Federal"/>
    <s v="Fee Simple"/>
    <s v="6747 Engle Rd"/>
    <s v="Middleburg Heights"/>
    <s v="OH"/>
    <n v="3.28"/>
    <n v="2010"/>
    <n v="33387"/>
    <n v="33387"/>
    <n v="1"/>
    <n v="873538.89"/>
    <n v="26.1640425914278"/>
    <n v="656905"/>
    <n v="19.67547248929224"/>
    <d v="2011-09-01T00:00:00"/>
    <d v="2026-08-31T00:00:00"/>
    <d v="2021-08-31T00:00:00"/>
    <n v="12.56986301369863"/>
    <n v="7.567123287671233"/>
    <s v="Modified Gross"/>
    <s v="Yes, annually"/>
    <s v="None"/>
    <n v="7962500"/>
    <n v="238.4910294425974"/>
    <n v="0.08249984301412873"/>
    <m/>
    <d v="2014-02-07T00:00:00"/>
    <x v="1536"/>
    <s v="M&amp;M; Geoff Ficke"/>
    <x v="1"/>
    <s v="IL"/>
    <s v="Private"/>
    <s v="Newmark; Gallas"/>
    <s v="Amsdell"/>
    <n v="8000000"/>
    <n v="0.082113125"/>
    <n v="0.9953125"/>
    <n v="8000000"/>
    <n v="0.082113125"/>
    <n v="0.0003867180141287341"/>
    <s v="No"/>
    <d v="2013-09-11T00:00:00"/>
    <n v="149"/>
  </r>
  <r>
    <m/>
    <s v="USPS"/>
    <s v="Federal"/>
    <s v="Fee Simple"/>
    <s v="211 NW Starr St"/>
    <s v="Sublimity"/>
    <s v="OR"/>
    <n v="1.22"/>
    <n v="2000"/>
    <n v="4583"/>
    <n v="4583"/>
    <n v="1"/>
    <m/>
    <s v=" "/>
    <n v="78755"/>
    <n v="17.18415884791621"/>
    <d v="2000-01-15T00:00:00"/>
    <d v="2020-01-14T00:00:00"/>
    <d v="2020-01-14T00:00:00"/>
    <n v="5.936986301369863"/>
    <n v="5.936986301369863"/>
    <s v="Modified Gross"/>
    <s v="In Options"/>
    <s v="2, 5 year"/>
    <n v="926000"/>
    <n v="202.0510582587825"/>
    <n v="0.08504859611231101"/>
    <m/>
    <d v="2014-02-07T00:00:00"/>
    <x v="800"/>
    <s v="Colliers; Bakke &amp; Kennedy"/>
    <x v="718"/>
    <s v="CA"/>
    <s v="Private"/>
    <m/>
    <s v="Darcom"/>
    <n v="954612"/>
    <n v="0.08249948670245084"/>
    <n v="0.9700276133130529"/>
    <n v="954612"/>
    <n v="0.08249948670245084"/>
    <n v="0.002549109409860167"/>
    <s v="No"/>
    <m/>
    <s v=" "/>
  </r>
  <r>
    <m/>
    <s v="FS"/>
    <s v="Federal"/>
    <s v="Leasehold"/>
    <s v="650 Wolfpack Way"/>
    <s v="Kalispell"/>
    <s v="MT"/>
    <n v="4.02"/>
    <n v="2007"/>
    <n v="28166"/>
    <n v="28166"/>
    <n v="1"/>
    <m/>
    <s v=" "/>
    <n v="425358"/>
    <n v="15.10182489526379"/>
    <m/>
    <m/>
    <m/>
    <s v=" "/>
    <s v=" "/>
    <m/>
    <m/>
    <m/>
    <n v="5312500"/>
    <n v="188.6139316906909"/>
    <n v="0.08006738823529412"/>
    <m/>
    <d v="2014-02-05T00:00:00"/>
    <x v="1537"/>
    <s v="Newmark; Hashimoto"/>
    <x v="1116"/>
    <s v="NJ"/>
    <s v="Private"/>
    <m/>
    <m/>
    <m/>
    <s v=" "/>
    <s v=" "/>
    <m/>
    <s v=" "/>
    <s v=" "/>
    <s v=" "/>
    <m/>
    <s v=" "/>
  </r>
  <r>
    <m/>
    <s v="VA"/>
    <s v="Federal"/>
    <s v="Fee Simple"/>
    <s v="8900 SE 165th Mulberry Ln"/>
    <s v="The Villages"/>
    <s v="FL"/>
    <n v="9.41"/>
    <n v="2010"/>
    <n v="89837"/>
    <n v="89837"/>
    <n v="1"/>
    <m/>
    <s v=" "/>
    <m/>
    <s v=" "/>
    <d v="2010-09-01T00:00:00"/>
    <d v="2030-08-30T00:00:00"/>
    <d v="2030-08-30T00:00:00"/>
    <n v="16.57808219178082"/>
    <n v="16.57808219178082"/>
    <s v="Full Service"/>
    <m/>
    <s v="1, 3 year"/>
    <n v="15000000"/>
    <n v="166.9690661976691"/>
    <s v=" "/>
    <m/>
    <d v="2014-02-04T00:00:00"/>
    <x v="663"/>
    <s v="C&amp;W; Trautvetter"/>
    <x v="1117"/>
    <s v="CA"/>
    <s v="Private"/>
    <m/>
    <m/>
    <m/>
    <s v=" "/>
    <s v=" "/>
    <m/>
    <s v=" "/>
    <s v=" "/>
    <s v=" "/>
    <m/>
    <s v=" "/>
  </r>
  <r>
    <s v="LAR14856"/>
    <s v="FBI"/>
    <s v="Federal"/>
    <s v="Fee Simple"/>
    <s v="24 W Shackleford Blvd"/>
    <s v="Little Rock"/>
    <s v="AR"/>
    <n v="6.95"/>
    <n v="2001"/>
    <n v="101977"/>
    <n v="101977"/>
    <n v="1"/>
    <n v="2026610.25"/>
    <n v="19.87320915500554"/>
    <n v="1260000"/>
    <n v="12.35572727183581"/>
    <d v="2001-09-01T00:00:00"/>
    <d v="2021-08-31T00:00:00"/>
    <d v="2021-08-31T00:00:00"/>
    <n v="7.583561643835616"/>
    <n v="7.583561643835616"/>
    <s v="Modified Gross"/>
    <m/>
    <s v="None"/>
    <n v="19550000"/>
    <n v="191.7098953685635"/>
    <n v="0.06445012787723785"/>
    <m/>
    <d v="2014-02-01T00:00:00"/>
    <x v="1538"/>
    <s v="C&amp;W; Travis Trautvetter"/>
    <x v="3"/>
    <s v="DC"/>
    <s v="REIT"/>
    <m/>
    <m/>
    <m/>
    <s v=" "/>
    <s v=" "/>
    <m/>
    <s v=" "/>
    <s v=" "/>
    <s v=" "/>
    <m/>
    <s v=" "/>
  </r>
  <r>
    <m/>
    <s v="SSA"/>
    <s v="Federal"/>
    <s v="Fee Simple"/>
    <s v="11753 W Florissant Ave"/>
    <s v="Florissant"/>
    <s v="MO"/>
    <n v="2.1"/>
    <n v="2006"/>
    <n v="12616"/>
    <n v="12616"/>
    <n v="1"/>
    <m/>
    <s v=" "/>
    <m/>
    <s v=" "/>
    <m/>
    <m/>
    <m/>
    <s v=" "/>
    <s v=" "/>
    <m/>
    <m/>
    <m/>
    <n v="1575000"/>
    <n v="124.8414711477489"/>
    <s v=" "/>
    <m/>
    <d v="2014-01-30T00:00:00"/>
    <x v="8"/>
    <s v="FORECLOSURE"/>
    <x v="1118"/>
    <m/>
    <m/>
    <m/>
    <m/>
    <m/>
    <s v=" "/>
    <s v=" "/>
    <m/>
    <s v=" "/>
    <s v=" "/>
    <s v=" "/>
    <m/>
    <s v=" "/>
  </r>
  <r>
    <s v="LFL41067"/>
    <s v="DEA"/>
    <s v="Federal"/>
    <s v="Fee Simple"/>
    <s v="3611 Alex Muxo Blvd"/>
    <s v="Homestead"/>
    <s v="FL"/>
    <n v="10.47"/>
    <n v="2008"/>
    <n v="17151"/>
    <n v="17151"/>
    <n v="1"/>
    <n v="950918"/>
    <n v="55.44388082327561"/>
    <n v="683492"/>
    <n v="39.85143723398053"/>
    <d v="2008-08-25T00:00:00"/>
    <d v="2028-08-24T00:00:00"/>
    <d v="2018-08-24T00:00:00"/>
    <n v="14.6"/>
    <n v="4.591780821917808"/>
    <s v="Modified Gross"/>
    <s v="TI Drops $71k"/>
    <s v="2, 5 year"/>
    <n v="8165000"/>
    <n v="476.0655355372865"/>
    <n v="0.08370998162890386"/>
    <m/>
    <d v="2014-01-21T00:00:00"/>
    <x v="921"/>
    <s v="BW; Wells"/>
    <x v="1119"/>
    <s v="FL"/>
    <s v="Private"/>
    <m/>
    <m/>
    <n v="8775000"/>
    <n v="0.07789082621082621"/>
    <n v="0.9304843304843304"/>
    <n v="8775000"/>
    <n v="0.07789082621082621"/>
    <n v="0.005819155418077648"/>
    <s v="No"/>
    <d v="2013-07-13T00:00:00"/>
    <n v="192"/>
  </r>
  <r>
    <s v="LFL61880"/>
    <s v="SS"/>
    <s v="Federal"/>
    <s v="Fee Simple"/>
    <s v="10350 NW 112th Ave"/>
    <s v="Medley"/>
    <s v="FL"/>
    <n v="5.96"/>
    <n v="2002"/>
    <n v="78634"/>
    <n v="78634"/>
    <n v="1"/>
    <n v="2706715.97"/>
    <n v="34.42170015514917"/>
    <n v="1894860"/>
    <n v="24.097209858331"/>
    <d v="2013-01-01T00:00:00"/>
    <d v="2027-12-31T00:00:00"/>
    <d v="2024-12-31T00:00:00"/>
    <n v="13.98082191780822"/>
    <n v="10.98082191780822"/>
    <s v="Modified Gross"/>
    <s v="None"/>
    <s v="None"/>
    <n v="29700000"/>
    <n v="377.6992140804232"/>
    <n v="0.0638"/>
    <m/>
    <d v="2014-01-10T00:00:00"/>
    <x v="1247"/>
    <s v="C&amp;W; Travis Trautvetter"/>
    <x v="1120"/>
    <s v="AZ"/>
    <s v="REIT"/>
    <m/>
    <m/>
    <m/>
    <s v=" "/>
    <s v=" "/>
    <m/>
    <s v=" "/>
    <s v=" "/>
    <s v=" "/>
    <m/>
    <s v=" "/>
  </r>
  <r>
    <s v="LMD12577"/>
    <s v="FDA"/>
    <s v="Federal"/>
    <s v="Fee Simple"/>
    <s v="5630 Fishers Ln"/>
    <s v="Rockville"/>
    <s v="MD"/>
    <n v="2.72"/>
    <n v="1967"/>
    <n v="55728"/>
    <n v="55728"/>
    <n v="1"/>
    <n v="1880782"/>
    <n v="33.74931811656618"/>
    <n v="1426569"/>
    <n v="25.59878337639966"/>
    <d v="2013-03-01T00:00:00"/>
    <d v="2023-02-28T00:00:00"/>
    <d v="2023-02-28T00:00:00"/>
    <n v="9.139726027397261"/>
    <n v="9.139726027397261"/>
    <s v="Modified Gross"/>
    <s v="None"/>
    <s v="None"/>
    <n v="18550000"/>
    <n v="332.8667815101924"/>
    <n v="0.07690398921832885"/>
    <m/>
    <d v="2014-01-10T00:00:00"/>
    <x v="1213"/>
    <s v="HFF; James Meisel"/>
    <x v="2"/>
    <s v="VA"/>
    <s v="Private"/>
    <m/>
    <m/>
    <m/>
    <s v=" "/>
    <s v=" "/>
    <m/>
    <s v=" "/>
    <s v=" "/>
    <s v=" "/>
    <m/>
    <s v=" "/>
  </r>
  <r>
    <s v="LMD02172"/>
    <s v="FDA"/>
    <s v="Federal"/>
    <s v="Fee Simple"/>
    <s v="12420 Parklawn Dr"/>
    <s v="Rockville"/>
    <s v="MD"/>
    <n v="2.4"/>
    <n v="1972"/>
    <n v="93014"/>
    <n v="93014"/>
    <n v="1"/>
    <n v="3351192"/>
    <n v="36.02889887543811"/>
    <n v="2298487"/>
    <n v="24.71119401380437"/>
    <d v="2010-12-21T00:00:00"/>
    <d v="2020-12-20T00:00:00"/>
    <d v="2020-12-20T00:00:00"/>
    <n v="6.947945205479452"/>
    <n v="6.947945205479452"/>
    <s v="Modified Gross"/>
    <s v="None"/>
    <s v="None"/>
    <n v="30055000"/>
    <n v="323.1234007783775"/>
    <n v="0.07647602728331393"/>
    <m/>
    <d v="2014-01-10T00:00:00"/>
    <x v="1213"/>
    <s v="HFF; James Meisel"/>
    <x v="2"/>
    <s v="VA"/>
    <s v="Private"/>
    <m/>
    <m/>
    <m/>
    <s v=" "/>
    <s v=" "/>
    <m/>
    <s v=" "/>
    <s v=" "/>
    <s v=" "/>
    <m/>
    <s v=" "/>
  </r>
  <r>
    <s v="LMN17486"/>
    <s v="SSA"/>
    <s v="Federal"/>
    <s v="Fee Simple"/>
    <s v="1122 E 25th St"/>
    <s v="Hibbing"/>
    <s v="MN"/>
    <n v="1.06"/>
    <n v="2005"/>
    <n v="6400"/>
    <n v="6400"/>
    <n v="1"/>
    <n v="161998.54"/>
    <n v="25.312271875"/>
    <m/>
    <s v=" "/>
    <d v="2006-07-06T00:00:00"/>
    <d v="2016-07-05T00:00:00"/>
    <d v="2016-07-05T00:00:00"/>
    <n v="2.49041095890411"/>
    <n v="2.49041095890411"/>
    <s v="Modified Gross"/>
    <s v="None"/>
    <s v="None"/>
    <n v="1518736.3125"/>
    <n v="237.302548828125"/>
    <s v=" "/>
    <m/>
    <d v="2014-01-08T00:00:00"/>
    <x v="1539"/>
    <m/>
    <x v="1121"/>
    <s v="MT"/>
    <s v="Institutional"/>
    <s v="BW; Wells"/>
    <m/>
    <m/>
    <s v=" "/>
    <s v=" "/>
    <m/>
    <s v=" "/>
    <s v=" "/>
    <s v=" "/>
    <m/>
    <s v=" "/>
  </r>
  <r>
    <s v="LMI17298"/>
    <s v="SSA"/>
    <s v="Federal"/>
    <s v="Fee Simple"/>
    <s v="1300 S Telegraph Rd"/>
    <s v="Monroe"/>
    <s v="MI"/>
    <n v="1.45"/>
    <n v="2007"/>
    <n v="6000"/>
    <n v="6000"/>
    <n v="1"/>
    <n v="172497.76"/>
    <n v="28.74962666666667"/>
    <m/>
    <s v=" "/>
    <d v="2007-10-10T00:00:00"/>
    <d v="2017-10-09T00:00:00"/>
    <d v="2017-10-09T00:00:00"/>
    <n v="3.753424657534246"/>
    <n v="3.753424657534246"/>
    <s v="Modified Gross"/>
    <s v="None"/>
    <s v="None"/>
    <n v="1617166.5"/>
    <n v="269.52775"/>
    <s v=" "/>
    <m/>
    <d v="2014-01-08T00:00:00"/>
    <x v="1539"/>
    <m/>
    <x v="1122"/>
    <s v="WY"/>
    <s v="Private"/>
    <s v="BW; Wells"/>
    <m/>
    <m/>
    <s v=" "/>
    <s v=" "/>
    <m/>
    <s v=" "/>
    <s v=" "/>
    <s v=" "/>
    <m/>
    <s v=" "/>
  </r>
  <r>
    <m/>
    <s v="DPH"/>
    <s v="State"/>
    <s v="Fee Simple"/>
    <s v="4300 Cherry Creek Dr S"/>
    <s v="Denver"/>
    <s v="CO"/>
    <n v="12.26"/>
    <n v="1962"/>
    <n v="355687"/>
    <n v="355687"/>
    <n v="1"/>
    <m/>
    <s v=" "/>
    <m/>
    <s v=" "/>
    <m/>
    <m/>
    <m/>
    <s v=" "/>
    <s v=" "/>
    <s v="Full Service"/>
    <m/>
    <m/>
    <n v="59500000"/>
    <n v="167.2819079696475"/>
    <s v=" "/>
    <m/>
    <d v="2014-01-02T00:00:00"/>
    <x v="1540"/>
    <s v="Direct"/>
    <x v="880"/>
    <m/>
    <s v="Cross-Border"/>
    <m/>
    <m/>
    <m/>
    <s v=" "/>
    <s v=" "/>
    <m/>
    <s v=" "/>
    <s v=" "/>
    <s v=" "/>
    <m/>
    <s v=" "/>
  </r>
  <r>
    <s v="LMT14104"/>
    <s v="SSA"/>
    <s v="Federal"/>
    <s v="Fee Simple"/>
    <s v="3205 N 27th Ave"/>
    <s v="Bozeman"/>
    <s v="MT"/>
    <n v="0.7939000000000001"/>
    <n v="2007"/>
    <n v="5052"/>
    <n v="5052"/>
    <n v="1"/>
    <n v="184234.76"/>
    <n v="36.46768804433888"/>
    <m/>
    <s v=" "/>
    <d v="2007-12-05T00:00:00"/>
    <d v="2022-11-30T00:00:00"/>
    <d v="2017-12-05T00:00:00"/>
    <n v="8.920547945205479"/>
    <n v="3.931506849315069"/>
    <s v="Modified Gross"/>
    <s v="None"/>
    <s v="None"/>
    <n v="1727200.875"/>
    <n v="341.884575415677"/>
    <s v=" "/>
    <m/>
    <d v="2013-12-31T00:00:00"/>
    <x v="1085"/>
    <m/>
    <x v="1056"/>
    <s v="MT"/>
    <s v="Private"/>
    <s v="BW; Wells"/>
    <m/>
    <m/>
    <s v=" "/>
    <s v=" "/>
    <m/>
    <s v=" "/>
    <s v=" "/>
    <s v=" "/>
    <m/>
    <s v=" "/>
  </r>
  <r>
    <s v="LCO14542"/>
    <s v="VA/ALC"/>
    <s v="Federal"/>
    <s v="Fee Simple"/>
    <s v="555 Corporate Circle"/>
    <s v="Golden"/>
    <s v="CO"/>
    <n v="5.19"/>
    <n v="1996"/>
    <n v="56753"/>
    <n v="56753"/>
    <n v="1"/>
    <n v="1302383.73"/>
    <n v="22.94827991471816"/>
    <n v="851558.4"/>
    <n v="15.00464116434374"/>
    <d v="2011-10-01T00:00:00"/>
    <d v="2026-09-30T00:00:00"/>
    <d v="2021-09-30T00:00:00"/>
    <n v="12.75616438356164"/>
    <n v="7.753424657534246"/>
    <s v="Modified Gross"/>
    <s v="4% every 2 in shell"/>
    <s v="None"/>
    <n v="14250000"/>
    <n v="251.0880482089053"/>
    <n v="0.05975848421052632"/>
    <m/>
    <d v="2013-12-31T00:00:00"/>
    <x v="1541"/>
    <s v="C&amp;W; Greg Margetich"/>
    <x v="1123"/>
    <s v="NC"/>
    <s v="Private"/>
    <m/>
    <m/>
    <m/>
    <s v=" "/>
    <s v=" "/>
    <m/>
    <s v=" "/>
    <s v=" "/>
    <s v=" "/>
    <m/>
    <s v=" "/>
  </r>
  <r>
    <s v="LVA80510"/>
    <s v="DEA"/>
    <s v="Federal"/>
    <s v="Fee Simple"/>
    <s v="10555 Furnace Rd"/>
    <s v="Lorton"/>
    <s v="VA"/>
    <n v="11.65"/>
    <n v="2004"/>
    <n v="90167"/>
    <n v="90167"/>
    <n v="1"/>
    <n v="2269469.88"/>
    <n v="25.16962835627225"/>
    <n v="1725910"/>
    <n v="19.1412601062473"/>
    <d v="2000-08-06T00:00:00"/>
    <d v="2020-08-05T00:00:00"/>
    <d v="2020-08-05T00:00:00"/>
    <n v="6.610958904109589"/>
    <n v="6.610958904109589"/>
    <s v="Modified Gross"/>
    <s v="None"/>
    <s v="2, 5 year"/>
    <n v="24000000"/>
    <n v="266.1727683076957"/>
    <n v="0.07191291666666667"/>
    <m/>
    <d v="2013-12-27T00:00:00"/>
    <x v="592"/>
    <s v="CBRE; Rampulla"/>
    <x v="1"/>
    <s v="IL"/>
    <s v="Private"/>
    <s v="Newmark; Tabbi"/>
    <m/>
    <m/>
    <s v=" "/>
    <s v=" "/>
    <m/>
    <s v=" "/>
    <s v=" "/>
    <s v=" "/>
    <m/>
    <s v=" "/>
  </r>
  <r>
    <s v="LOH17617"/>
    <s v="SSA"/>
    <s v="Federal"/>
    <s v="Fee Simple"/>
    <s v="258 E Market St"/>
    <s v="Warren"/>
    <s v="OH"/>
    <n v="2.34"/>
    <n v="1997"/>
    <n v="12391"/>
    <n v="43200"/>
    <n v="0.2868287037037037"/>
    <n v="297945.93"/>
    <n v="24.04534985069809"/>
    <m/>
    <s v=" "/>
    <d v="2007-04-13T00:00:00"/>
    <d v="2017-04-12T00:00:00"/>
    <d v="2017-04-12T00:00:00"/>
    <n v="3.293150684931507"/>
    <n v="3.293150684931507"/>
    <s v="Modified Gross"/>
    <s v="None"/>
    <s v="None"/>
    <n v="2500000"/>
    <n v="57.87037037037037"/>
    <s v=" "/>
    <m/>
    <d v="2013-12-27T00:00:00"/>
    <x v="1542"/>
    <s v="Platz; Joseph"/>
    <x v="1124"/>
    <s v="OH"/>
    <s v="User/Owner"/>
    <m/>
    <m/>
    <n v="3600000"/>
    <s v=" "/>
    <n v="0.6944444444444444"/>
    <n v="3600000"/>
    <s v=" "/>
    <s v=" "/>
    <s v="No"/>
    <m/>
    <s v=" "/>
  </r>
  <r>
    <s v="LHI02689"/>
    <s v="FBI"/>
    <s v="Federal"/>
    <s v="Fee Simple"/>
    <s v="91 Enterprise Ave"/>
    <s v="Kapolei"/>
    <s v="HI"/>
    <m/>
    <n v="2012"/>
    <n v="155409"/>
    <n v="155409"/>
    <n v="1"/>
    <n v="8456887.23"/>
    <n v="54.4169721830782"/>
    <n v="6580286"/>
    <n v="42.34173053040686"/>
    <d v="2012-10-22T00:00:00"/>
    <d v="2032-10-21T00:00:00"/>
    <d v="2032-10-21T00:00:00"/>
    <n v="18.83287671232877"/>
    <n v="18.83287671232877"/>
    <s v="Modified Gross"/>
    <s v="None"/>
    <s v="None"/>
    <n v="100350000"/>
    <n v="645.7154991023685"/>
    <n v="0.06557335326357748"/>
    <m/>
    <d v="2013-12-26T00:00:00"/>
    <x v="1543"/>
    <s v="SJC; Briggs"/>
    <x v="1125"/>
    <s v="IL"/>
    <s v="Private"/>
    <m/>
    <m/>
    <m/>
    <s v=" "/>
    <s v=" "/>
    <m/>
    <s v=" "/>
    <s v=" "/>
    <s v=" "/>
    <m/>
    <s v=" "/>
  </r>
  <r>
    <s v="LMD40223"/>
    <s v="FAS"/>
    <s v="State"/>
    <s v="Fee Simple"/>
    <s v="3601 Pennsy Dr"/>
    <s v="Hyattsville"/>
    <s v="MD"/>
    <n v="4"/>
    <n v="1996"/>
    <n v="71400"/>
    <n v="71400"/>
    <n v="1"/>
    <n v="695206.99"/>
    <n v="9.736792577030812"/>
    <n v="406000"/>
    <n v="5.686274509803922"/>
    <d v="1996-04-18T00:00:00"/>
    <d v="2016-04-17T00:00:00"/>
    <d v="2016-04-17T00:00:00"/>
    <n v="2.317808219178082"/>
    <n v="2.317808219178082"/>
    <s v="Modified Gross"/>
    <s v="None"/>
    <s v="None"/>
    <n v="7000000"/>
    <n v="98.03921568627452"/>
    <n v="0.058"/>
    <m/>
    <d v="2013-12-23T00:00:00"/>
    <x v="1177"/>
    <s v="NAI; Chris Kubler"/>
    <x v="1126"/>
    <s v="CA"/>
    <s v="Institutional"/>
    <m/>
    <m/>
    <m/>
    <s v=" "/>
    <s v=" "/>
    <m/>
    <s v=" "/>
    <s v=" "/>
    <s v=" "/>
    <m/>
    <s v=" "/>
  </r>
  <r>
    <m/>
    <s v="Multi"/>
    <s v="Federal &amp; State"/>
    <s v="Fee Simple"/>
    <s v="20415-20435 72nd Ave S"/>
    <s v="Kent"/>
    <s v="WA"/>
    <n v="21.05"/>
    <m/>
    <n v="50593"/>
    <n v="218426"/>
    <n v="0.2316253559557928"/>
    <m/>
    <s v=" "/>
    <n v="2223000"/>
    <n v="10.17735983811451"/>
    <m/>
    <m/>
    <m/>
    <s v=" "/>
    <s v=" "/>
    <s v="Full Service"/>
    <m/>
    <m/>
    <n v="17600000"/>
    <n v="80.57648814701547"/>
    <n v="0.1263068181818182"/>
    <m/>
    <d v="2013-12-20T00:00:00"/>
    <x v="1544"/>
    <m/>
    <x v="1099"/>
    <s v="WA"/>
    <s v="Private"/>
    <m/>
    <m/>
    <m/>
    <s v=" "/>
    <s v=" "/>
    <m/>
    <s v=" "/>
    <s v=" "/>
    <s v=" "/>
    <m/>
    <s v=" "/>
  </r>
  <r>
    <s v="LWV02357"/>
    <s v="MSHA"/>
    <s v="Federal"/>
    <s v="Fee Simple"/>
    <s v="604 Cheat Rd"/>
    <s v="Morgantown"/>
    <s v="WV"/>
    <n v="2.6"/>
    <n v="2003"/>
    <n v="19969"/>
    <n v="19969"/>
    <n v="1"/>
    <n v="529663.9300000001"/>
    <n v="26.52430917922781"/>
    <n v="373912.5"/>
    <n v="18.72464820471731"/>
    <d v="2003-06-05T00:00:00"/>
    <d v="2018-06-04T00:00:00"/>
    <d v="2018-06-04T00:00:00"/>
    <n v="4.457534246575342"/>
    <n v="4.457534246575342"/>
    <s v="Modified Gross"/>
    <s v="None"/>
    <s v="None"/>
    <n v="4225000"/>
    <n v="211.5779458160148"/>
    <n v="0.0885"/>
    <m/>
    <d v="2013-12-20T00:00:00"/>
    <x v="1545"/>
    <s v="Direct"/>
    <x v="1"/>
    <s v="IL"/>
    <s v="Private"/>
    <m/>
    <m/>
    <m/>
    <s v=" "/>
    <s v=" "/>
    <m/>
    <s v=" "/>
    <s v=" "/>
    <s v=" "/>
    <m/>
    <s v=" "/>
  </r>
  <r>
    <s v="LWV08340"/>
    <s v="USDA"/>
    <s v="Federal"/>
    <s v="Fee Simple"/>
    <s v="1550 Earl Core Rd"/>
    <s v="Morgantown"/>
    <s v="WV"/>
    <n v="1.27"/>
    <n v="2009"/>
    <n v="34904"/>
    <n v="34904"/>
    <n v="1"/>
    <n v="1113348.98"/>
    <n v="31.89746103598441"/>
    <m/>
    <s v=" "/>
    <d v="2009-08-04T00:00:00"/>
    <d v="2024-08-03T00:00:00"/>
    <d v="2024-08-03T00:00:00"/>
    <n v="10.62739726027397"/>
    <n v="10.62739726027397"/>
    <s v="Modified Gross"/>
    <s v="None"/>
    <s v="None"/>
    <n v="10850000"/>
    <n v="310.8526243410498"/>
    <s v=" "/>
    <m/>
    <d v="2013-12-20T00:00:00"/>
    <x v="1545"/>
    <s v="Direct"/>
    <x v="1"/>
    <s v="IL"/>
    <s v="Private"/>
    <m/>
    <m/>
    <m/>
    <s v=" "/>
    <s v=" "/>
    <m/>
    <s v=" "/>
    <s v=" "/>
    <s v=" "/>
    <m/>
    <s v=" "/>
  </r>
  <r>
    <m/>
    <s v="Multi"/>
    <s v="State"/>
    <s v="Fee Simple"/>
    <s v="35-45 Shawmut Rd"/>
    <s v="Canton"/>
    <s v="MA"/>
    <n v="10.65"/>
    <m/>
    <m/>
    <n v="119405"/>
    <s v=" "/>
    <m/>
    <s v=" "/>
    <m/>
    <s v=" "/>
    <m/>
    <m/>
    <m/>
    <s v=" "/>
    <s v=" "/>
    <m/>
    <m/>
    <m/>
    <n v="11505000"/>
    <n v="96.35274904735982"/>
    <s v=" "/>
    <m/>
    <d v="2013-12-19T00:00:00"/>
    <x v="1546"/>
    <m/>
    <x v="861"/>
    <s v="MA"/>
    <s v="Private"/>
    <m/>
    <m/>
    <m/>
    <s v=" "/>
    <s v=" "/>
    <m/>
    <s v=" "/>
    <s v=" "/>
    <s v=" "/>
    <m/>
    <s v=" "/>
  </r>
  <r>
    <s v="LTX17105"/>
    <s v="MEPS"/>
    <s v="Federal"/>
    <s v="Fee Simple"/>
    <s v="1100 Fillmore St"/>
    <s v="Amarillo"/>
    <s v="TX"/>
    <n v="0.96"/>
    <n v="1982"/>
    <n v="18631"/>
    <n v="34734"/>
    <n v="0.5363908562215697"/>
    <n v="281719.89"/>
    <n v="15.12102893027749"/>
    <n v="204662"/>
    <n v="5.892266943052917"/>
    <d v="2012-10-29T00:00:00"/>
    <d v="2017-10-28T00:00:00"/>
    <d v="2017-10-28T00:00:00"/>
    <n v="3.865753424657534"/>
    <n v="3.865753424657534"/>
    <s v="Modified Gross"/>
    <m/>
    <s v="1, 6 month"/>
    <n v="1255528"/>
    <n v="36.1469453561352"/>
    <n v="0.1630087102796592"/>
    <m/>
    <d v="2013-12-17T00:00:00"/>
    <x v="1547"/>
    <s v="Aaron Emerson"/>
    <x v="1127"/>
    <m/>
    <s v="Private"/>
    <m/>
    <m/>
    <m/>
    <s v=" "/>
    <s v=" "/>
    <m/>
    <s v=" "/>
    <s v=" "/>
    <s v=" "/>
    <m/>
    <s v=" "/>
  </r>
  <r>
    <s v="LAL48096"/>
    <s v="SSA"/>
    <s v="Federal"/>
    <s v="Fee Simple"/>
    <s v="4344 Carmichael Rd"/>
    <s v="Montgomery"/>
    <s v="AL"/>
    <n v="4.1"/>
    <n v="2009"/>
    <n v="49370"/>
    <n v="49370"/>
    <n v="1"/>
    <n v="1638302.97"/>
    <n v="33.18418006886773"/>
    <n v="1314050"/>
    <n v="26.61636621430018"/>
    <d v="2009-05-01T00:00:00"/>
    <d v="2029-04-30T00:00:00"/>
    <d v="2019-04-30T00:00:00"/>
    <n v="15.38904109589041"/>
    <n v="5.380821917808219"/>
    <s v="Modified Gross"/>
    <s v="None"/>
    <s v="None"/>
    <n v="16025000"/>
    <n v="324.5898318817095"/>
    <n v="0.082"/>
    <m/>
    <d v="2013-12-13T00:00:00"/>
    <x v="223"/>
    <s v="Eastdil"/>
    <x v="790"/>
    <s v="MA"/>
    <s v="REIT"/>
    <m/>
    <m/>
    <m/>
    <s v=" "/>
    <s v=" "/>
    <m/>
    <s v=" "/>
    <s v=" "/>
    <s v=" "/>
    <m/>
    <s v=" "/>
  </r>
  <r>
    <s v="LCA02931"/>
    <s v="SSA"/>
    <s v="Federal"/>
    <s v="Fee Simple"/>
    <s v="521 S Orchard Ave"/>
    <s v="Ukiah"/>
    <s v="CA"/>
    <n v="0.64"/>
    <n v="2002"/>
    <n v="6750"/>
    <n v="6750"/>
    <n v="1"/>
    <n v="183960"/>
    <n v="27.25333333333333"/>
    <n v="113870"/>
    <n v="16.86962962962963"/>
    <d v="2012-03-29T00:00:00"/>
    <d v="2027-03-28T00:00:00"/>
    <d v="2022-03-28T00:00:00"/>
    <n v="13.2958904109589"/>
    <n v="8.293150684931506"/>
    <s v="Modified Gross"/>
    <s v="None"/>
    <s v="None"/>
    <n v="1675000"/>
    <n v="248.1481481481482"/>
    <n v="0.06798208955223881"/>
    <m/>
    <d v="2013-12-13T00:00:00"/>
    <x v="1548"/>
    <s v="SIMPAC"/>
    <x v="1128"/>
    <s v="CA"/>
    <s v="Private"/>
    <s v="Bryan Hyde"/>
    <m/>
    <n v="1775000"/>
    <n v="0.06415211267605633"/>
    <n v="0.9436619718309859"/>
    <n v="1775000"/>
    <n v="0.06415211267605633"/>
    <n v="0.003829976876182473"/>
    <s v="No"/>
    <d v="2013-09-27T00:00:00"/>
    <n v="77"/>
  </r>
  <r>
    <s v="LMD01913"/>
    <s v="FEMA"/>
    <s v="Federal"/>
    <s v="Fee Simple"/>
    <s v="8335 Ardwick Ardmore Rd"/>
    <s v="Hyattsville"/>
    <s v="MD"/>
    <n v="5.33"/>
    <n v="1978"/>
    <n v="70000"/>
    <n v="100840"/>
    <n v="0.6941689805632686"/>
    <n v="701052.17"/>
    <n v="10.015031"/>
    <m/>
    <s v=" "/>
    <d v="2006-03-01T00:00:00"/>
    <d v="2016-02-29T00:00:00"/>
    <d v="2016-02-29T00:00:00"/>
    <n v="2.216438356164383"/>
    <n v="2.216438356164383"/>
    <s v="Modified Gross"/>
    <m/>
    <s v="1, 5 year"/>
    <n v="6200000"/>
    <n v="61.48353827846093"/>
    <s v=" "/>
    <m/>
    <d v="2013-12-12T00:00:00"/>
    <x v="1549"/>
    <s v="AY; Joe Friedman"/>
    <x v="1129"/>
    <s v="MA"/>
    <s v="Institutional"/>
    <m/>
    <m/>
    <m/>
    <s v=" "/>
    <s v=" "/>
    <m/>
    <s v=" "/>
    <s v=" "/>
    <s v=" "/>
    <m/>
    <s v=" "/>
  </r>
  <r>
    <s v="LMI17047"/>
    <s v="SSA"/>
    <s v="Federal"/>
    <s v="Fee Simple"/>
    <s v="2163 University Park Dr"/>
    <s v="Okemos"/>
    <s v="MI"/>
    <n v="1.63"/>
    <n v="1990"/>
    <n v="4276"/>
    <n v="17848"/>
    <n v="0.2395786642761094"/>
    <n v="107746.14"/>
    <n v="25.19788119738073"/>
    <m/>
    <s v=" "/>
    <d v="2003-09-10T00:00:00"/>
    <d v="2023-09-09T00:00:00"/>
    <d v="2013-09-10T00:00:00"/>
    <n v="9.747945205479452"/>
    <n v="-0.2547945205479452"/>
    <s v="Modified Gross"/>
    <s v="None"/>
    <s v="None"/>
    <m/>
    <s v=" "/>
    <s v=" "/>
    <m/>
    <d v="2013-12-12T00:00:00"/>
    <x v="611"/>
    <s v="Van Martin"/>
    <x v="1130"/>
    <s v="MI"/>
    <s v="Private"/>
    <m/>
    <m/>
    <n v="590000"/>
    <s v=" "/>
    <s v=" "/>
    <n v="590000"/>
    <s v=" "/>
    <s v=" "/>
    <s v="No"/>
    <d v="2013-07-01T00:00:00"/>
    <n v="164"/>
  </r>
  <r>
    <m/>
    <s v="SSA"/>
    <s v="Federal"/>
    <s v="Fee Simple"/>
    <s v="732 S 6th St"/>
    <s v="Las Vegas"/>
    <s v="NV"/>
    <n v="0.24"/>
    <n v="1992"/>
    <m/>
    <n v="13788"/>
    <s v=" "/>
    <m/>
    <s v=" "/>
    <m/>
    <s v=" "/>
    <m/>
    <m/>
    <m/>
    <s v=" "/>
    <s v=" "/>
    <m/>
    <m/>
    <m/>
    <n v="1450000"/>
    <n v="105.1639106469394"/>
    <s v=" "/>
    <m/>
    <d v="2013-12-09T00:00:00"/>
    <x v="1550"/>
    <m/>
    <x v="1131"/>
    <s v="NV"/>
    <s v="Private"/>
    <m/>
    <m/>
    <m/>
    <s v=" "/>
    <s v=" "/>
    <m/>
    <s v=" "/>
    <s v=" "/>
    <s v=" "/>
    <m/>
    <s v=" "/>
  </r>
  <r>
    <s v="LTX15037"/>
    <s v="SSA"/>
    <s v="Federal"/>
    <s v="Fee Simple"/>
    <s v="2300 Dunson Dr"/>
    <s v="Balch Springs"/>
    <s v="TX"/>
    <n v="2.1"/>
    <n v="2003"/>
    <n v="16238"/>
    <n v="16238"/>
    <n v="1"/>
    <n v="415581"/>
    <n v="25.59311491563"/>
    <n v="262766"/>
    <n v="16.18216529129203"/>
    <d v="2003-11-17T00:00:00"/>
    <d v="2018-11-16T00:00:00"/>
    <d v="2013-11-16T00:00:00"/>
    <n v="4.956164383561644"/>
    <n v="-0.04657534246575343"/>
    <s v="Modified Gross"/>
    <s v="None"/>
    <s v="None"/>
    <n v="2500000"/>
    <n v="153.9598472718315"/>
    <n v="0.1051064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s v="LTX15147"/>
    <s v="SSA"/>
    <s v="Federal"/>
    <s v="Fee Simple"/>
    <s v="2120 W Briargate Dr"/>
    <s v="Bryan"/>
    <s v="TX"/>
    <n v="1.13"/>
    <n v="2003"/>
    <n v="9774"/>
    <n v="9774"/>
    <n v="1"/>
    <n v="250103"/>
    <n v="25.58860241456927"/>
    <n v="151476"/>
    <n v="15.49785144260282"/>
    <d v="2004-04-01T00:00:00"/>
    <d v="2019-03-31T00:00:00"/>
    <d v="2015-04-01T00:00:00"/>
    <n v="5.326027397260274"/>
    <n v="1.326027397260274"/>
    <s v="Modified Gross"/>
    <s v="None"/>
    <s v="None"/>
    <m/>
    <s v=" "/>
    <s v=" 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m/>
    <s v="INS"/>
    <s v="Federal"/>
    <s v="Leasehold"/>
    <s v="2150 Stein Dr"/>
    <s v="Chattanooga"/>
    <s v="TN"/>
    <n v="1.18"/>
    <n v="2005"/>
    <n v="4853"/>
    <n v="4853"/>
    <n v="1"/>
    <m/>
    <s v=" "/>
    <m/>
    <s v=" "/>
    <m/>
    <m/>
    <m/>
    <s v=" "/>
    <s v=" "/>
    <m/>
    <m/>
    <m/>
    <m/>
    <s v=" "/>
    <s v=" 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s v="LTX14932"/>
    <s v="SSA"/>
    <s v="Federal"/>
    <s v="Fee Simple"/>
    <s v="2201 Colorado Blvd"/>
    <s v="Denton"/>
    <s v="TX"/>
    <n v="1.1701"/>
    <n v="2002"/>
    <n v="9513"/>
    <n v="9513"/>
    <n v="1"/>
    <n v="203963"/>
    <n v="21.44044991064859"/>
    <n v="106928"/>
    <n v="11.24019762430359"/>
    <d v="2002-03-22T00:00:00"/>
    <d v="2017-03-21T00:00:00"/>
    <d v="2012-03-21T00:00:00"/>
    <n v="3.298630136986302"/>
    <n v="-1.704109589041096"/>
    <s v="Modified Gross"/>
    <s v="None"/>
    <s v="None"/>
    <n v="1000000"/>
    <n v="105.1193104173237"/>
    <n v="0.106928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s v="LIN15872"/>
    <s v="SSA"/>
    <s v="Federal"/>
    <s v="Fee Simple"/>
    <s v="418 Douglas"/>
    <s v="Hammond"/>
    <s v="IN"/>
    <n v="1.41"/>
    <n v="1999"/>
    <n v="12337"/>
    <n v="12337"/>
    <n v="1"/>
    <n v="260580.85"/>
    <n v="21.12189754397341"/>
    <m/>
    <s v=" "/>
    <d v="1998-06-18T00:00:00"/>
    <d v="2018-06-17T00:00:00"/>
    <d v="2008-06-18T00:00:00"/>
    <n v="4.53972602739726"/>
    <n v="-5.463013698630137"/>
    <s v="Modified Gross"/>
    <s v="None"/>
    <s v="None"/>
    <n v="2166230"/>
    <n v="175.5880684120937"/>
    <s v=" "/>
    <m/>
    <d v="2013-12-03T00:00:00"/>
    <x v="1551"/>
    <m/>
    <x v="84"/>
    <s v="IL"/>
    <s v="Private"/>
    <m/>
    <m/>
    <m/>
    <s v=" "/>
    <s v=" "/>
    <m/>
    <s v=" "/>
    <s v=" "/>
    <s v=" "/>
    <m/>
    <s v=" "/>
  </r>
  <r>
    <s v="LAR16882"/>
    <s v="SSA"/>
    <s v="Federal"/>
    <s v="Fee Simple"/>
    <s v="131 Industrial Park Rd"/>
    <s v="Harrison"/>
    <s v="AR"/>
    <n v="0.85"/>
    <n v="1998"/>
    <n v="11492"/>
    <n v="11492"/>
    <n v="1"/>
    <n v="342287.88"/>
    <n v="29.78488339714584"/>
    <n v="258275.88"/>
    <n v="22.47440654368256"/>
    <d v="2012-08-20T00:00:00"/>
    <d v="2022-12-24T00:00:00"/>
    <d v="2017-12-24T00:00:00"/>
    <n v="9.063013698630137"/>
    <n v="4.06027397260274"/>
    <s v="Modified Gross"/>
    <s v="None"/>
    <s v="None"/>
    <m/>
    <s v=" "/>
    <s v=" 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s v="LTN60074"/>
    <s v="ICE"/>
    <s v="Federal"/>
    <s v="Fee Simple"/>
    <s v="324 Prosperity Dr"/>
    <s v="Knoxville"/>
    <s v="TN"/>
    <n v="0.9482"/>
    <n v="2003"/>
    <n v="4853"/>
    <n v="4853"/>
    <n v="1"/>
    <n v="139136"/>
    <n v="28.67010096847311"/>
    <m/>
    <s v=" "/>
    <d v="2013-10-24T00:00:00"/>
    <d v="2016-10-23T00:00:00"/>
    <d v="2014-04-24T00:00:00"/>
    <n v="2.89041095890411"/>
    <n v="0.389041095890411"/>
    <s v="Modified Gross"/>
    <s v="None"/>
    <s v="None"/>
    <m/>
    <s v=" "/>
    <s v=" 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s v="LTX15073"/>
    <s v="SSA"/>
    <s v="Federal"/>
    <s v="Fee Simple"/>
    <s v="1509 Sedberry St"/>
    <s v="Marshall"/>
    <s v="TX"/>
    <n v="1.03"/>
    <n v="2003"/>
    <n v="7198"/>
    <n v="7198"/>
    <n v="1"/>
    <n v="202861"/>
    <n v="28.18296749096971"/>
    <n v="132558"/>
    <n v="18.41594887468741"/>
    <d v="2003-12-04T00:00:00"/>
    <d v="2018-12-04T00:00:00"/>
    <d v="2013-12-04T00:00:00"/>
    <n v="5.005479452054795"/>
    <n v="0.00273972602739726"/>
    <s v="Modified Gross"/>
    <s v="NOne"/>
    <s v="None"/>
    <n v="1350000"/>
    <n v="187.5520978049458"/>
    <n v="0.09819111111111112"/>
    <m/>
    <d v="2013-12-03T00:00:00"/>
    <x v="921"/>
    <s v="FORECLOSURE"/>
    <x v="920"/>
    <s v="MD"/>
    <s v="Institutional"/>
    <m/>
    <m/>
    <m/>
    <s v=" "/>
    <s v=" "/>
    <m/>
    <s v=" "/>
    <s v=" "/>
    <s v=" "/>
    <m/>
    <s v=" "/>
  </r>
  <r>
    <m/>
    <s v="DOC"/>
    <s v="State"/>
    <s v="Fee Simple"/>
    <s v="1100 S Oakley Blvd"/>
    <s v="Chicago"/>
    <s v="IL"/>
    <n v="0.37"/>
    <n v="1903"/>
    <n v="30000"/>
    <n v="30000"/>
    <n v="1"/>
    <m/>
    <s v=" "/>
    <n v="348000"/>
    <n v="11.6"/>
    <d v="2004-10-01T00:00:00"/>
    <d v="2014-09-30T00:00:00"/>
    <m/>
    <n v="0.8410958904109589"/>
    <s v=" "/>
    <s v="Full Service"/>
    <s v="None"/>
    <s v="None"/>
    <n v="2900000"/>
    <n v="96.66666666666667"/>
    <n v="0.12"/>
    <m/>
    <d v="2013-11-27T00:00:00"/>
    <x v="1552"/>
    <s v="CRER"/>
    <x v="1132"/>
    <s v="IL"/>
    <s v="Private"/>
    <m/>
    <m/>
    <n v="3450000"/>
    <n v="0.1008695652173913"/>
    <n v="0.8405797101449275"/>
    <n v="3450000"/>
    <n v="0.1008695652173913"/>
    <n v="0.01913043478260869"/>
    <s v="No"/>
    <d v="2011-11-29T00:00:00"/>
    <n v="729"/>
  </r>
  <r>
    <m/>
    <s v="SSA"/>
    <s v="Federal"/>
    <s v="Fee Simple"/>
    <s v="1333 Front St"/>
    <s v="San Diego"/>
    <s v="CA"/>
    <n v="0.09"/>
    <m/>
    <n v="27365"/>
    <n v="27365"/>
    <n v="1"/>
    <n v="817369.76"/>
    <n v="29.86916718435958"/>
    <m/>
    <s v=" "/>
    <d v="2002-10-31T00:00:00"/>
    <d v="2017-10-30T00:00:00"/>
    <d v="2007-09-30T00:00:00"/>
    <n v="3.926027397260274"/>
    <n v="-6.164383561643835"/>
    <s v="Modified Gross"/>
    <s v="None"/>
    <s v="None"/>
    <n v="12200000"/>
    <n v="445.8249588890919"/>
    <s v=" "/>
    <m/>
    <d v="2013-11-27T00:00:00"/>
    <x v="1553"/>
    <m/>
    <x v="1133"/>
    <s v="NY"/>
    <s v="Private"/>
    <m/>
    <m/>
    <m/>
    <s v=" "/>
    <s v=" "/>
    <m/>
    <s v=" "/>
    <s v=" "/>
    <s v=" "/>
    <m/>
    <s v=" "/>
  </r>
  <r>
    <s v="LMS40122"/>
    <s v="SSA"/>
    <s v="Federal"/>
    <s v="Fee Simple"/>
    <s v="10400 Larkin Smith Dr"/>
    <s v="Gulfport"/>
    <s v="MS"/>
    <n v="2.5"/>
    <n v="2003"/>
    <n v="11124"/>
    <n v="11124"/>
    <n v="1"/>
    <n v="371680.08"/>
    <n v="33.41244875943905"/>
    <n v="181490"/>
    <n v="16.31517439769867"/>
    <d v="2003-08-06T00:00:00"/>
    <d v="2018-08-05T00:00:00"/>
    <d v="2013-08-05T00:00:00"/>
    <n v="4.693150684931507"/>
    <n v="-0.3095890410958904"/>
    <s v="Modified Gross"/>
    <s v="None"/>
    <s v="None"/>
    <m/>
    <s v=" "/>
    <s v=" "/>
    <m/>
    <d v="2013-11-26T00:00:00"/>
    <x v="511"/>
    <m/>
    <x v="84"/>
    <s v="IL"/>
    <s v="Private"/>
    <m/>
    <m/>
    <m/>
    <s v=" "/>
    <s v=" "/>
    <m/>
    <s v=" "/>
    <s v=" "/>
    <s v=" "/>
    <m/>
    <s v=" "/>
  </r>
  <r>
    <m/>
    <s v="SSA"/>
    <s v="Federal"/>
    <s v="Fee Simple"/>
    <s v="8658 S Sacramento Ave"/>
    <s v="Chicago"/>
    <s v="IL"/>
    <n v="1.25"/>
    <n v="2000"/>
    <n v="21357"/>
    <n v="21357"/>
    <n v="1"/>
    <m/>
    <s v=" "/>
    <n v="658507"/>
    <n v="30.8333099218055"/>
    <m/>
    <d v="2017-03-31T00:00:00"/>
    <d v="2012-03-31T00:00:00"/>
    <n v="3.347945205479452"/>
    <n v="-1.654794520547945"/>
    <s v="Modified Gross"/>
    <s v="None"/>
    <s v="None"/>
    <n v="5571500"/>
    <n v="260.8746546799644"/>
    <n v="0.1181920488198869"/>
    <m/>
    <d v="2013-11-25T00:00:00"/>
    <x v="1554"/>
    <s v="WD Schorsch"/>
    <x v="84"/>
    <s v="IL"/>
    <s v="Private"/>
    <m/>
    <m/>
    <m/>
    <s v=" "/>
    <s v=" "/>
    <m/>
    <s v=" "/>
    <s v=" "/>
    <s v=" "/>
    <m/>
    <s v=" "/>
  </r>
  <r>
    <s v="LOH16375"/>
    <s v="SSA"/>
    <s v="Federal"/>
    <s v="Fee Simple"/>
    <s v="1060 Georgesville Rd"/>
    <s v="Columbus"/>
    <s v="OH"/>
    <n v="5.29"/>
    <n v="2001"/>
    <n v="9625"/>
    <n v="9625"/>
    <n v="1"/>
    <n v="252371.14"/>
    <n v="26.22037818181818"/>
    <n v="151948.9"/>
    <n v="15.7868987012987"/>
    <d v="2001-03-23T00:00:00"/>
    <d v="2021-03-31T00:00:00"/>
    <d v="2011-04-01T00:00:00"/>
    <n v="7.35068493150685"/>
    <n v="-2.654794520547945"/>
    <s v="Modified Gross"/>
    <m/>
    <s v="None"/>
    <n v="1574600"/>
    <n v="163.5948051948052"/>
    <n v="0.0965"/>
    <m/>
    <d v="2013-11-25T00:00:00"/>
    <x v="680"/>
    <s v="Direct"/>
    <x v="84"/>
    <s v="IL"/>
    <s v="Private"/>
    <m/>
    <m/>
    <m/>
    <s v=" "/>
    <s v=" "/>
    <m/>
    <s v=" "/>
    <s v=" "/>
    <s v=" "/>
    <m/>
    <s v=" "/>
  </r>
  <r>
    <s v="LVA12013"/>
    <s v="SSA"/>
    <s v="Federal"/>
    <s v="Fee Simple"/>
    <s v="9911-15 Jefferson Davis Hwy"/>
    <s v="Fredericksburg"/>
    <s v="VA"/>
    <n v="1.77"/>
    <n v="2008"/>
    <n v="9139"/>
    <n v="16680"/>
    <n v="0.5479016786570743"/>
    <n v="305010.29"/>
    <n v="33.37458036984353"/>
    <m/>
    <s v=" "/>
    <d v="2012-12-10T00:00:00"/>
    <d v="2022-12-09T00:00:00"/>
    <d v="2020-12-10T00:00:00"/>
    <n v="9.043835616438356"/>
    <n v="7.046575342465753"/>
    <s v="Modified Gross"/>
    <s v="None"/>
    <s v="None"/>
    <n v="3500000"/>
    <n v="209.8321342925659"/>
    <s v=" "/>
    <m/>
    <d v="2013-11-25T00:00:00"/>
    <x v="1555"/>
    <s v="AY; Etches"/>
    <x v="1134"/>
    <s v="MD"/>
    <s v="Private"/>
    <m/>
    <m/>
    <m/>
    <s v=" "/>
    <s v=" "/>
    <m/>
    <s v=" "/>
    <s v=" "/>
    <s v=" "/>
    <d v="2013-06-18T00:00:00"/>
    <n v="160"/>
  </r>
  <r>
    <m/>
    <s v="VA"/>
    <s v="Federal"/>
    <s v="Fee Simple"/>
    <s v="401 Moye Blvd"/>
    <s v="Greenville"/>
    <s v="NC"/>
    <n v="12.18"/>
    <n v="2013"/>
    <n v="89440"/>
    <n v="89440"/>
    <n v="1"/>
    <m/>
    <s v=" "/>
    <m/>
    <s v=" "/>
    <m/>
    <m/>
    <m/>
    <s v=" "/>
    <s v=" "/>
    <m/>
    <m/>
    <m/>
    <n v="49000000"/>
    <n v="547.8533094812165"/>
    <s v=" "/>
    <n v="0.1625920583099233"/>
    <d v="2013-11-25T00:00:00"/>
    <x v="1556"/>
    <m/>
    <x v="922"/>
    <s v="NH"/>
    <s v="Private"/>
    <m/>
    <m/>
    <m/>
    <s v=" "/>
    <s v=" "/>
    <m/>
    <s v=" "/>
    <s v=" "/>
    <s v=" "/>
    <m/>
    <s v=" "/>
  </r>
  <r>
    <m/>
    <s v="VA"/>
    <s v="Federal"/>
    <s v="Fee Simple"/>
    <s v="401 Moye Blvd"/>
    <s v="Greenville"/>
    <s v="NC"/>
    <n v="12.18"/>
    <n v="2013"/>
    <n v="89440"/>
    <n v="89440"/>
    <n v="1"/>
    <m/>
    <s v=" "/>
    <m/>
    <s v=" "/>
    <m/>
    <m/>
    <m/>
    <s v=" "/>
    <s v=" "/>
    <m/>
    <m/>
    <m/>
    <n v="49000000"/>
    <n v="547.8533094812165"/>
    <s v=" "/>
    <n v="0.1625920583099233"/>
    <d v="2013-11-25T00:00:00"/>
    <x v="1556"/>
    <m/>
    <x v="922"/>
    <s v="NH"/>
    <s v="Private"/>
    <m/>
    <m/>
    <m/>
    <s v=" "/>
    <s v=" "/>
    <m/>
    <s v=" "/>
    <s v=" "/>
    <s v=" "/>
    <m/>
    <s v=" "/>
  </r>
  <r>
    <m/>
    <s v="VA"/>
    <s v="Federal"/>
    <s v="Fee Simple"/>
    <s v="1536 N Jefferson St"/>
    <s v="Jacksonville"/>
    <s v="FL"/>
    <n v="10.06"/>
    <n v="2013"/>
    <n v="135000"/>
    <n v="135000"/>
    <n v="1"/>
    <m/>
    <s v=" "/>
    <m/>
    <s v=" "/>
    <m/>
    <d v="2033-11-11T00:00:00"/>
    <m/>
    <n v="19.97534246575342"/>
    <s v=" "/>
    <m/>
    <m/>
    <m/>
    <n v="69599450.39"/>
    <n v="515.5514843703704"/>
    <s v=" "/>
    <m/>
    <d v="2013-11-25T00:00:00"/>
    <x v="1557"/>
    <m/>
    <x v="922"/>
    <s v="NH"/>
    <s v="Private"/>
    <m/>
    <m/>
    <m/>
    <s v=" "/>
    <s v=" "/>
    <m/>
    <s v=" "/>
    <s v=" "/>
    <s v=" "/>
    <m/>
    <s v=" "/>
  </r>
  <r>
    <s v="LLA14926"/>
    <s v="CBP"/>
    <s v="Federal"/>
    <s v="Fee Simple"/>
    <s v="11655 Southfork Ave"/>
    <s v="Baton Rouge"/>
    <s v="LA"/>
    <n v="1.5"/>
    <n v="2003"/>
    <n v="10686"/>
    <n v="10686"/>
    <n v="1"/>
    <n v="371664.74"/>
    <n v="34.78052966498222"/>
    <m/>
    <s v=" "/>
    <d v="2003-02-10T00:00:00"/>
    <d v="2018-02-09T00:00:00"/>
    <d v="2011-05-01T00:00:00"/>
    <n v="4.219178082191781"/>
    <n v="-2.564383561643836"/>
    <s v="Modified Gross"/>
    <s v="None"/>
    <s v="None"/>
    <n v="2789206"/>
    <n v="261.0149728616882"/>
    <s v=" "/>
    <m/>
    <d v="2013-11-22T00:00:00"/>
    <x v="511"/>
    <s v="Comm Realty Assoc; Barbara Stewart"/>
    <x v="84"/>
    <s v="IL"/>
    <s v="Private"/>
    <m/>
    <m/>
    <m/>
    <s v=" "/>
    <s v=" "/>
    <m/>
    <s v=" "/>
    <s v=" "/>
    <s v=" "/>
    <m/>
    <s v=" "/>
  </r>
  <r>
    <s v="LCA01953"/>
    <s v="SSA/Recruiting"/>
    <s v="Federal"/>
    <s v="Fee Simple"/>
    <s v="3144 Broadyway St"/>
    <s v="Eureka"/>
    <s v="CA"/>
    <n v="2.27"/>
    <n v="1989"/>
    <n v="11008"/>
    <n v="42595"/>
    <n v="0.2584340885080408"/>
    <n v="293993"/>
    <n v="26.70721293604651"/>
    <n v="562078"/>
    <n v="13.19586805963141"/>
    <d v="2010-04-01T00:00:00"/>
    <d v="2025-03-31T00:00:00"/>
    <d v="2019-04-01T00:00:00"/>
    <n v="11.38082191780822"/>
    <n v="5.378082191780821"/>
    <s v="Modified Gross"/>
    <s v="None"/>
    <s v="None"/>
    <n v="6850000"/>
    <n v="160.8169973001526"/>
    <n v="0.08205518248175182"/>
    <m/>
    <d v="2013-11-15T00:00:00"/>
    <x v="1558"/>
    <s v="CBRE; Getz"/>
    <x v="1135"/>
    <s v="CA"/>
    <s v="Private"/>
    <m/>
    <m/>
    <n v="7250000"/>
    <n v="0.077528"/>
    <n v="0.9448275862068966"/>
    <n v="7000000"/>
    <n v="0.08029685714285714"/>
    <n v="0.001758325338894681"/>
    <s v="Yes"/>
    <d v="2013-04-02T00:00:00"/>
    <n v="227"/>
  </r>
  <r>
    <s v="LTX15061"/>
    <s v="ICE"/>
    <s v="Federal"/>
    <s v="Fee Simple"/>
    <s v="4191 N. Mesa"/>
    <s v="El Paso"/>
    <s v="TX"/>
    <n v="2.77"/>
    <n v="1972"/>
    <n v="42504"/>
    <n v="42504"/>
    <n v="1"/>
    <n v="1030509.48"/>
    <n v="24.245"/>
    <m/>
    <s v=" "/>
    <d v="2003-04-11T00:00:00"/>
    <d v="2018-04-10T00:00:00"/>
    <d v="2015-04-11T00:00:00"/>
    <n v="4.408219178082192"/>
    <n v="1.408219178082192"/>
    <s v="Modified Gross"/>
    <s v="None"/>
    <s v="None"/>
    <n v="7095011"/>
    <n v="166.9257246376812"/>
    <s v=" "/>
    <m/>
    <d v="2013-11-13T00:00:00"/>
    <x v="1559"/>
    <m/>
    <x v="84"/>
    <s v="IL"/>
    <s v="Private"/>
    <m/>
    <m/>
    <m/>
    <s v=" "/>
    <s v=" "/>
    <m/>
    <s v=" "/>
    <s v=" "/>
    <s v=" "/>
    <m/>
    <s v=" "/>
  </r>
  <r>
    <s v="LVA02278"/>
    <s v="State Department"/>
    <s v="Federal"/>
    <s v="Fee Simple"/>
    <s v="10377 Mordor Dr"/>
    <s v="Lorton"/>
    <s v="VA"/>
    <n v="22.8"/>
    <n v="2013"/>
    <n v="112500"/>
    <n v="112500"/>
    <n v="1"/>
    <n v="2601879.52"/>
    <n v="23.12781795555556"/>
    <n v="1728000"/>
    <n v="15.36"/>
    <d v="2013-02-01T00:00:00"/>
    <d v="2023-02-01T00:00:00"/>
    <d v="2023-02-01T00:00:00"/>
    <n v="9.224657534246575"/>
    <n v="9.224657534246575"/>
    <s v="Modified Gross"/>
    <s v="None"/>
    <s v="None"/>
    <n v="27000000"/>
    <n v="240"/>
    <n v="0.064"/>
    <m/>
    <d v="2013-11-13T00:00:00"/>
    <x v="531"/>
    <s v="Eastdil"/>
    <x v="1136"/>
    <s v="WA"/>
    <s v="Private"/>
    <m/>
    <m/>
    <m/>
    <s v=" "/>
    <s v=" "/>
    <m/>
    <s v=" "/>
    <s v=" "/>
    <s v=" "/>
    <m/>
    <s v=" "/>
  </r>
  <r>
    <m/>
    <s v="SSA"/>
    <s v="Federal"/>
    <s v="Fee Simple"/>
    <s v="6011 Odana Rd"/>
    <s v="Madison"/>
    <s v="WI"/>
    <n v="1.43"/>
    <n v="2002"/>
    <n v="13837"/>
    <n v="13837"/>
    <n v="1"/>
    <m/>
    <s v=" "/>
    <n v="293047.5"/>
    <n v="21.17854303678543"/>
    <d v="2002-01-15T00:00:00"/>
    <d v="2022-01-31T00:00:00"/>
    <d v="2012-01-31T00:00:00"/>
    <n v="8.221917808219178"/>
    <n v="-1.786301369863014"/>
    <s v="Modified Gross"/>
    <s v="None"/>
    <s v="None"/>
    <n v="3075000"/>
    <n v="222.2302522223025"/>
    <n v="0.0953"/>
    <m/>
    <d v="2013-11-13T00:00:00"/>
    <x v="111"/>
    <m/>
    <x v="84"/>
    <s v="IL"/>
    <s v="Private"/>
    <m/>
    <m/>
    <m/>
    <s v=" "/>
    <s v=" "/>
    <m/>
    <s v=" "/>
    <s v=" "/>
    <s v=" "/>
    <m/>
    <s v=" "/>
  </r>
  <r>
    <s v="LAL40142"/>
    <s v="CBP"/>
    <s v="Federal"/>
    <s v="Fee Simple"/>
    <s v="4425 Demotropolis"/>
    <s v="Mobile"/>
    <s v="AL"/>
    <n v="1.57"/>
    <n v="2002"/>
    <n v="11615"/>
    <n v="11615"/>
    <n v="1"/>
    <n v="367389.97"/>
    <n v="31.63064743865691"/>
    <m/>
    <s v=" "/>
    <d v="2002-10-15T00:00:00"/>
    <d v="2017-10-14T00:00:00"/>
    <d v="2012-10-14T00:00:00"/>
    <n v="3.92054794520548"/>
    <n v="-1.082191780821918"/>
    <s v="Modified Gross"/>
    <s v="None"/>
    <s v="None"/>
    <n v="2739108"/>
    <n v="235.8250538097288"/>
    <s v=" "/>
    <m/>
    <d v="2013-11-13T00:00:00"/>
    <x v="511"/>
    <s v="Comm Realty Assoc; Barbara Stewart"/>
    <x v="84"/>
    <s v="IL"/>
    <s v="Private"/>
    <m/>
    <m/>
    <m/>
    <s v=" "/>
    <s v=" "/>
    <m/>
    <s v=" "/>
    <s v=" "/>
    <s v=" "/>
    <m/>
    <s v=" "/>
  </r>
  <r>
    <s v="LMS62625"/>
    <s v="SSA"/>
    <s v="Federal"/>
    <s v="Fee Simple"/>
    <s v="8760 Mid South Dr"/>
    <s v="Olive Branch"/>
    <s v="MS"/>
    <n v="1.34"/>
    <n v="2003"/>
    <n v="11388"/>
    <n v="11388"/>
    <n v="1"/>
    <n v="288954.66"/>
    <n v="25.3736090621707"/>
    <n v="194250"/>
    <n v="17.05742887249736"/>
    <d v="2013-06-11T00:00:00"/>
    <d v="2021-06-10T00:00:00"/>
    <d v="2018-12-10T00:00:00"/>
    <n v="7.578082191780822"/>
    <n v="5.076712328767123"/>
    <s v="Modified Gross"/>
    <s v="None"/>
    <s v="None"/>
    <n v="2100000"/>
    <n v="184.404636459431"/>
    <n v="0.0925"/>
    <m/>
    <d v="2013-11-13T00:00:00"/>
    <x v="1560"/>
    <s v="Kelco; Kelly Huang"/>
    <x v="84"/>
    <s v="IL"/>
    <s v="Private"/>
    <m/>
    <m/>
    <m/>
    <s v=" "/>
    <s v=" "/>
    <m/>
    <s v=" "/>
    <s v=" "/>
    <s v=" "/>
    <m/>
    <s v=" "/>
  </r>
  <r>
    <s v="LOH16928"/>
    <s v="SSA"/>
    <s v="Federal"/>
    <s v="Fee Simple"/>
    <s v="354 E Federal Plaza"/>
    <s v="Youngstown"/>
    <s v="OH"/>
    <n v="1.29"/>
    <n v="2005"/>
    <n v="12846"/>
    <n v="12846"/>
    <n v="1"/>
    <n v="327099.41"/>
    <n v="25.46313327105713"/>
    <n v="213345"/>
    <n v="16.60789350770668"/>
    <d v="2006-05-26T00:00:00"/>
    <d v="2016-05-25T00:00:00"/>
    <d v="2016-05-25T00:00:00"/>
    <n v="2.531506849315068"/>
    <n v="2.531506849315068"/>
    <s v="Modified Gross"/>
    <s v="None"/>
    <s v="None"/>
    <n v="2370500"/>
    <n v="184.5321500856298"/>
    <n v="0.09"/>
    <m/>
    <d v="2013-11-13T00:00:00"/>
    <x v="680"/>
    <s v="Direct"/>
    <x v="84"/>
    <s v="IL"/>
    <s v="Private"/>
    <m/>
    <m/>
    <m/>
    <s v=" "/>
    <s v=" "/>
    <m/>
    <s v=" "/>
    <s v=" "/>
    <s v=" "/>
    <m/>
    <s v=" "/>
  </r>
  <r>
    <s v="LIL18400"/>
    <s v="FBI"/>
    <s v="Federal"/>
    <s v="Fee Simple"/>
    <s v="3090 Normandy Rd"/>
    <s v="Springfield"/>
    <s v="IL"/>
    <n v="1.26"/>
    <n v="2001"/>
    <n v="12679"/>
    <n v="12679"/>
    <n v="1"/>
    <n v="241258.48"/>
    <n v="19.02819465257512"/>
    <m/>
    <s v=" "/>
    <d v="2011-12-01T00:00:00"/>
    <d v="2026-11-30T00:00:00"/>
    <d v="2021-11-30T00:00:00"/>
    <n v="13.06849315068493"/>
    <n v="8.065753424657535"/>
    <s v="Modified Gross"/>
    <s v="None"/>
    <s v="None"/>
    <n v="2260000"/>
    <n v="178.2474958592949"/>
    <s v=" "/>
    <m/>
    <d v="2013-11-08T00:00:00"/>
    <x v="1561"/>
    <s v="M&amp;M; Geoff Ficke"/>
    <x v="379"/>
    <s v="DC"/>
    <s v="Private"/>
    <m/>
    <m/>
    <n v="2600000"/>
    <s v=" "/>
    <n v="0.8692307692307693"/>
    <n v="2600000"/>
    <s v=" "/>
    <s v=" "/>
    <s v="No"/>
    <d v="2013-09-11T00:00:00"/>
    <n v="58"/>
  </r>
  <r>
    <s v="LIL16008"/>
    <s v="SSA"/>
    <s v="Federal"/>
    <s v="Fee Simple"/>
    <s v="8658 S Sacramento"/>
    <s v="Chicago"/>
    <s v="IL"/>
    <n v="1.249"/>
    <n v="2000"/>
    <n v="24561"/>
    <n v="24561"/>
    <n v="1"/>
    <n v="864962.51"/>
    <n v="35.2169093277961"/>
    <n v="658507"/>
    <n v="26.81108261064289"/>
    <d v="1997-08-15T00:00:00"/>
    <d v="2017-08-14T00:00:00"/>
    <d v="2007-08-14T00:00:00"/>
    <n v="3.772602739726028"/>
    <n v="-6.235616438356164"/>
    <s v="Modified Gross"/>
    <s v="None"/>
    <s v="None"/>
    <n v="5571500"/>
    <n v="226.8433695696429"/>
    <n v="0.1181920488198869"/>
    <m/>
    <d v="2013-11-06T00:00:00"/>
    <x v="1554"/>
    <s v="WD Schorsch"/>
    <x v="84"/>
    <s v="IL"/>
    <s v="Private"/>
    <m/>
    <m/>
    <m/>
    <s v=" "/>
    <s v=" "/>
    <m/>
    <s v=" "/>
    <s v=" "/>
    <s v=" "/>
    <m/>
    <s v=" "/>
  </r>
  <r>
    <m/>
    <s v="North Virginia Community College"/>
    <s v="State"/>
    <s v="Fee Simple"/>
    <s v="3922-3928 Pender Dr"/>
    <s v="Fairfax"/>
    <s v="VA"/>
    <n v="13.78"/>
    <m/>
    <n v="147112.46"/>
    <n v="171061"/>
    <n v="0.86"/>
    <m/>
    <s v=" "/>
    <n v="2463300"/>
    <n v="14.40012627074552"/>
    <m/>
    <m/>
    <m/>
    <s v=" "/>
    <s v=" "/>
    <m/>
    <m/>
    <m/>
    <n v="31500000"/>
    <n v="184.1448372218098"/>
    <n v="0.07820000000000001"/>
    <m/>
    <d v="2013-11-04T00:00:00"/>
    <x v="1562"/>
    <s v="C&amp;W; Collins"/>
    <x v="790"/>
    <s v="MA"/>
    <s v="REIT"/>
    <m/>
    <m/>
    <m/>
    <s v=" "/>
    <s v=" "/>
    <m/>
    <s v=" "/>
    <s v=" "/>
    <s v=" "/>
    <d v="2013-08-01T00:00:00"/>
    <n v="95"/>
  </r>
  <r>
    <m/>
    <s v="VA"/>
    <s v="Federal"/>
    <s v="Fee Simple"/>
    <s v="3305 Sungate Blvd"/>
    <s v="Raleigh"/>
    <s v="NC"/>
    <n v="1.84"/>
    <n v="2006"/>
    <n v="14016"/>
    <n v="14016"/>
    <n v="1"/>
    <m/>
    <s v=" "/>
    <n v="179400"/>
    <n v="12.79965753424658"/>
    <d v="2012-10-15T00:00:00"/>
    <d v="2017-10-14T00:00:00"/>
    <d v="2017-10-14T00:00:00"/>
    <n v="3.945205479452055"/>
    <n v="3.945205479452055"/>
    <s v="Full Service"/>
    <s v="None"/>
    <s v="None"/>
    <n v="1375000"/>
    <n v="98.10216894977169"/>
    <n v="0.1304727272727273"/>
    <m/>
    <d v="2013-11-04T00:00:00"/>
    <x v="1563"/>
    <s v="M&amp;M; Gilchrist"/>
    <x v="1137"/>
    <s v="NC"/>
    <s v="Private"/>
    <s v="SVN; Taylor"/>
    <m/>
    <n v="2000000"/>
    <n v="0.0897"/>
    <n v="0.6875"/>
    <n v="2000000"/>
    <n v="0.0897"/>
    <n v="0.04077272727272727"/>
    <s v="No"/>
    <d v="2013-01-29T00:00:00"/>
    <n v="279"/>
  </r>
  <r>
    <s v="LMS43245"/>
    <s v="AOC"/>
    <s v="Federal"/>
    <s v="Fee Simple"/>
    <s v="703 Highway 145 N"/>
    <s v="Aberdeen"/>
    <s v="MS"/>
    <n v="5.6"/>
    <n v="2005"/>
    <n v="46979"/>
    <n v="46979"/>
    <n v="1"/>
    <n v="1424486.25"/>
    <n v="30.32176610826114"/>
    <n v="933625"/>
    <n v="19.87324123544563"/>
    <d v="2005-06-01T00:00:00"/>
    <d v="2025-05-31T00:00:00"/>
    <d v="2025-05-31T00:00:00"/>
    <n v="11.58630136986301"/>
    <n v="11.58630136986301"/>
    <s v="Modified Gross"/>
    <s v="None"/>
    <s v="None"/>
    <n v="12125000"/>
    <n v="258.0940420187744"/>
    <n v="0.077"/>
    <m/>
    <d v="2013-11-01T00:00:00"/>
    <x v="1065"/>
    <m/>
    <x v="429"/>
    <s v="NY"/>
    <s v="Private"/>
    <m/>
    <m/>
    <m/>
    <s v=" "/>
    <s v=" "/>
    <m/>
    <s v=" "/>
    <s v=" "/>
    <s v=" "/>
    <m/>
    <s v=" "/>
  </r>
  <r>
    <s v="LUT13755"/>
    <s v="IRS"/>
    <s v="Federal"/>
    <s v="Fee Simple"/>
    <s v="105 23rd St"/>
    <s v="Ogden"/>
    <s v="UT"/>
    <n v="3.29"/>
    <n v="1906"/>
    <n v="102579"/>
    <n v="102579"/>
    <n v="1"/>
    <n v="2645630"/>
    <n v="25.7911463359947"/>
    <n v="1781425"/>
    <n v="17.36637128457092"/>
    <d v="2004-02-01T00:00:00"/>
    <d v="2024-01-31T00:00:00"/>
    <d v="2023-01-31T00:00:00"/>
    <n v="10.25479452054794"/>
    <n v="9.254794520547945"/>
    <s v="Modified Gross"/>
    <s v="None"/>
    <s v="None"/>
    <n v="22621828.3125"/>
    <n v="220.5307939490539"/>
    <n v="0.07874805587732488"/>
    <m/>
    <d v="2013-11-01T00:00:00"/>
    <x v="1564"/>
    <s v="Direct"/>
    <x v="2"/>
    <s v="VA"/>
    <s v="Private"/>
    <m/>
    <m/>
    <m/>
    <s v=" "/>
    <s v=" "/>
    <m/>
    <s v=" "/>
    <s v=" "/>
    <s v=" "/>
    <m/>
    <s v=" "/>
  </r>
  <r>
    <s v="LGA40031"/>
    <s v="ICE"/>
    <s v="Federal"/>
    <s v="Fee Simple"/>
    <s v="49 Park of Commerce Blvd"/>
    <s v="Savannah"/>
    <s v="GA"/>
    <n v="0.23"/>
    <n v="2001"/>
    <n v="5398"/>
    <n v="5398"/>
    <n v="1"/>
    <n v="94361.22"/>
    <n v="17.4807743608744"/>
    <n v="51525"/>
    <n v="9.545201926639496"/>
    <d v="2002-03-01T00:00:00"/>
    <d v="2017-02-28T00:00:00"/>
    <d v="2012-03-01T00:00:00"/>
    <n v="3.334246575342466"/>
    <n v="-1.665753424657534"/>
    <s v="Modified Gross"/>
    <s v="None"/>
    <s v="None"/>
    <n v="375000"/>
    <n v="69.47017413856985"/>
    <n v="0.1374"/>
    <m/>
    <d v="2013-10-30T00:00:00"/>
    <x v="1565"/>
    <s v="Newmark; Gallas"/>
    <x v="1138"/>
    <s v="GA"/>
    <s v="Private"/>
    <m/>
    <m/>
    <m/>
    <s v=" "/>
    <s v=" "/>
    <m/>
    <s v=" "/>
    <s v=" "/>
    <s v=" "/>
    <m/>
    <s v=" "/>
  </r>
  <r>
    <m/>
    <s v="FBI"/>
    <s v="Federal"/>
    <s v="Leasehold"/>
    <s v="9109 NE Cascades Pky"/>
    <s v="Portland"/>
    <s v="OR"/>
    <n v="7.71"/>
    <n v="2012"/>
    <n v="134159"/>
    <n v="134159"/>
    <n v="1"/>
    <n v="5235066.84"/>
    <n v="39.02136151879486"/>
    <m/>
    <s v=" "/>
    <d v="2012-03-26T00:00:00"/>
    <d v="2032-03-25T00:00:00"/>
    <d v="2032-03-25T00:00:00"/>
    <n v="18.41917808219178"/>
    <n v="18.41917808219178"/>
    <s v="Modified Gross"/>
    <s v="None"/>
    <s v="None"/>
    <m/>
    <s v=" "/>
    <s v=" "/>
    <m/>
    <d v="2013-10-28T00:00:00"/>
    <x v="1566"/>
    <m/>
    <x v="319"/>
    <s v="NH"/>
    <s v="Private"/>
    <m/>
    <m/>
    <m/>
    <s v=" "/>
    <s v=" "/>
    <m/>
    <s v=" "/>
    <s v=" "/>
    <s v=" "/>
    <m/>
    <s v=" "/>
  </r>
  <r>
    <m/>
    <s v="BAP"/>
    <s v="State"/>
    <s v="Fee Simple"/>
    <s v="10949 N Mather Blvd"/>
    <s v="Rancho Cordova"/>
    <s v="CA"/>
    <n v="6.43"/>
    <n v="2012"/>
    <n v="93807"/>
    <n v="93807"/>
    <n v="1"/>
    <n v="2222854"/>
    <n v="23.69603547709659"/>
    <n v="1695200"/>
    <n v="18.07114607651881"/>
    <d v="2012-07-01T00:00:00"/>
    <d v="2027-06-30T00:00:00"/>
    <d v="2027-06-30T00:00:00"/>
    <n v="13.67945205479452"/>
    <n v="13.67945205479452"/>
    <s v="Full Service"/>
    <s v="Annually"/>
    <s v="None"/>
    <n v="21190000"/>
    <n v="225.8893259564851"/>
    <n v="0.08"/>
    <m/>
    <d v="2013-10-28T00:00:00"/>
    <x v="1567"/>
    <s v="Direct"/>
    <x v="790"/>
    <s v="MA"/>
    <s v="REIT"/>
    <m/>
    <m/>
    <m/>
    <s v=" "/>
    <s v=" "/>
    <m/>
    <s v=" "/>
    <s v=" "/>
    <s v=" "/>
    <d v="2013-07-30T00:00:00"/>
    <n v="90"/>
  </r>
  <r>
    <m/>
    <m/>
    <s v="Federal"/>
    <s v="Fee Simple"/>
    <s v="2424 Arden Way"/>
    <s v="Sacramento"/>
    <s v="CA"/>
    <n v="0.31"/>
    <m/>
    <n v="20295"/>
    <n v="20295"/>
    <n v="1"/>
    <m/>
    <s v=" "/>
    <m/>
    <s v=" "/>
    <m/>
    <m/>
    <m/>
    <s v=" "/>
    <s v=" "/>
    <m/>
    <m/>
    <m/>
    <n v="5200000"/>
    <n v="256.2207440256221"/>
    <s v=" "/>
    <m/>
    <d v="2013-10-28T00:00:00"/>
    <x v="1568"/>
    <m/>
    <x v="1139"/>
    <m/>
    <s v="Private"/>
    <m/>
    <m/>
    <m/>
    <s v=" "/>
    <s v=" "/>
    <m/>
    <s v=" "/>
    <s v=" "/>
    <s v=" "/>
    <m/>
    <s v=" "/>
  </r>
  <r>
    <s v="LFL46115"/>
    <s v="DEA"/>
    <s v="Federal"/>
    <s v="Fee Simple"/>
    <s v="1510 Commonwealth Busines Dr"/>
    <s v="Tallahassee"/>
    <s v="FL"/>
    <n v="3.42"/>
    <n v="2009"/>
    <n v="19090"/>
    <n v="19090"/>
    <n v="1"/>
    <n v="730731.96"/>
    <n v="38.27825877422734"/>
    <n v="470475"/>
    <n v="24.64510214772132"/>
    <d v="2009-10-05T00:00:00"/>
    <d v="2024-10-04T00:00:00"/>
    <d v="2019-10-04T00:00:00"/>
    <n v="10.94246575342466"/>
    <n v="5.936986301369863"/>
    <s v="Modified Gross"/>
    <m/>
    <s v="None"/>
    <n v="6150000"/>
    <n v="322.158198009429"/>
    <n v="0.0765"/>
    <m/>
    <d v="2013-10-28T00:00:00"/>
    <x v="1481"/>
    <s v="SJC; Briggs"/>
    <x v="1"/>
    <s v="IL"/>
    <s v="Private"/>
    <m/>
    <m/>
    <m/>
    <s v=" "/>
    <s v=" "/>
    <m/>
    <s v=" "/>
    <s v=" "/>
    <s v=" "/>
    <m/>
    <s v=" "/>
  </r>
  <r>
    <m/>
    <s v="Election Board"/>
    <s v="County"/>
    <s v="Fee Simple"/>
    <s v="1630-1708 Morse Road"/>
    <s v="Columbus"/>
    <s v="OH"/>
    <n v="1"/>
    <n v="1992"/>
    <n v="75000"/>
    <n v="169151"/>
    <n v="0.4433908164894089"/>
    <m/>
    <s v=" "/>
    <m/>
    <s v=" "/>
    <m/>
    <m/>
    <m/>
    <s v=" "/>
    <s v=" "/>
    <m/>
    <m/>
    <m/>
    <n v="6250000"/>
    <n v="36.94923470745074"/>
    <s v=" "/>
    <m/>
    <d v="2013-10-24T00:00:00"/>
    <x v="1569"/>
    <m/>
    <x v="1140"/>
    <s v="OH"/>
    <s v="Private"/>
    <m/>
    <m/>
    <m/>
    <s v=" "/>
    <s v=" "/>
    <m/>
    <s v=" "/>
    <s v=" "/>
    <s v=" "/>
    <m/>
    <s v=" "/>
  </r>
  <r>
    <s v="LVA01345"/>
    <s v="SSA"/>
    <s v="Federal"/>
    <s v="Fee Simple"/>
    <s v="7618 Timberlake Rd"/>
    <s v="Lynchburg"/>
    <s v="VA"/>
    <n v="1.32"/>
    <n v="2003"/>
    <n v="13452"/>
    <n v="13452"/>
    <n v="1"/>
    <n v="227299.34"/>
    <n v="16.89706660719596"/>
    <n v="155250"/>
    <n v="11.54103479036574"/>
    <d v="2003-11-17T00:00:00"/>
    <d v="2018-11-16T00:00:00"/>
    <d v="2013-11-17T00:00:00"/>
    <n v="5.065753424657534"/>
    <n v="0.06575342465753424"/>
    <s v="Modified Gross"/>
    <s v="None"/>
    <s v="None"/>
    <n v="1725000"/>
    <n v="128.2337198929527"/>
    <n v="0.09"/>
    <m/>
    <d v="2013-10-24T00:00:00"/>
    <x v="582"/>
    <s v="CB; Read"/>
    <x v="1141"/>
    <s v="VA"/>
    <s v="Private"/>
    <s v="Gary Case &amp; Co."/>
    <m/>
    <n v="2140000"/>
    <n v="0.07254672897196261"/>
    <n v="0.8060747663551402"/>
    <n v="2140000"/>
    <n v="0.07254672897196261"/>
    <n v="0.01745327102803738"/>
    <s v="No"/>
    <d v="2011-06-09T00:00:00"/>
    <n v="868"/>
  </r>
  <r>
    <m/>
    <s v="VA"/>
    <s v="Federal"/>
    <s v="Fee Simple"/>
    <s v="1200 W Main St"/>
    <s v="Tomball"/>
    <s v="TX"/>
    <n v="4.79"/>
    <n v="2013"/>
    <n v="33417"/>
    <n v="33417"/>
    <n v="1"/>
    <n v="1662533"/>
    <n v="49.75111470209774"/>
    <n v="1018284"/>
    <n v="30.47203519166891"/>
    <d v="2013-10-01T00:00:00"/>
    <d v="2033-09-30T00:00:00"/>
    <d v="2033-09-30T00:00:00"/>
    <n v="19.98904109589041"/>
    <n v="19.98904109589041"/>
    <s v="Modified Gross"/>
    <s v="None"/>
    <s v="None"/>
    <n v="10250000"/>
    <n v="306.7301074303498"/>
    <n v="0.09934478048780487"/>
    <m/>
    <d v="2013-10-09T00:00:00"/>
    <x v="913"/>
    <s v="M&amp;M; Wachtler"/>
    <x v="1142"/>
    <s v="NY"/>
    <s v="Private"/>
    <m/>
    <m/>
    <m/>
    <s v=" "/>
    <s v=" "/>
    <m/>
    <s v=" "/>
    <s v=" "/>
    <s v=" "/>
    <m/>
    <s v=" "/>
  </r>
  <r>
    <s v="LNC40018"/>
    <s v="ICE"/>
    <s v="Federal"/>
    <s v="Fee Simple"/>
    <s v="140 Centrewest Ct"/>
    <s v="Cary"/>
    <s v="NC"/>
    <n v="1.88"/>
    <n v="2001"/>
    <n v="7977"/>
    <n v="7977"/>
    <n v="1"/>
    <n v="232112.9"/>
    <n v="29.09776858468096"/>
    <m/>
    <s v=" "/>
    <d v="2002-07-10T00:00:00"/>
    <d v="2014-07-09T00:00:00"/>
    <d v="2014-07-09T00:00:00"/>
    <n v="0.7506849315068493"/>
    <n v="0.7506849315068493"/>
    <s v="FS"/>
    <m/>
    <s v="None"/>
    <n v="1300000"/>
    <n v="162.9685345367933"/>
    <s v=" "/>
    <m/>
    <d v="2013-10-08T00:00:00"/>
    <x v="1570"/>
    <s v="CBRE; Joe Graham"/>
    <x v="1143"/>
    <s v="VA"/>
    <s v="Private"/>
    <m/>
    <m/>
    <m/>
    <s v=" "/>
    <s v=" "/>
    <m/>
    <s v=" "/>
    <s v=" "/>
    <s v=" "/>
    <m/>
    <s v=" "/>
  </r>
  <r>
    <m/>
    <s v="Multi"/>
    <s v="State &amp; Federal"/>
    <s v="Fee Simple"/>
    <s v="123 William St"/>
    <s v="New York"/>
    <s v="NY"/>
    <n v="0.51"/>
    <n v="1957"/>
    <n v="172041"/>
    <n v="530500"/>
    <n v="0.3242997172478794"/>
    <m/>
    <s v=" "/>
    <m/>
    <s v=" "/>
    <m/>
    <m/>
    <m/>
    <s v=" "/>
    <s v=" "/>
    <m/>
    <m/>
    <m/>
    <n v="134000000"/>
    <n v="252.5918944392083"/>
    <s v=" "/>
    <m/>
    <d v="2013-10-02T00:00:00"/>
    <x v="1571"/>
    <s v="CBRE; Shanahan"/>
    <x v="1144"/>
    <s v="NY"/>
    <s v="Private"/>
    <m/>
    <m/>
    <m/>
    <s v=" "/>
    <s v=" "/>
    <m/>
    <s v=" "/>
    <s v=" "/>
    <s v=" "/>
    <d v="2013-07-16T00:00:00"/>
    <n v="78"/>
  </r>
  <r>
    <s v="LGA50121"/>
    <s v="CBP"/>
    <s v="Federal"/>
    <s v="Fee Simple"/>
    <s v="157 Tradeport Drive or 4221 International Pky"/>
    <s v="Atlanta"/>
    <s v="GA"/>
    <n v="8.31"/>
    <n v="1999"/>
    <n v="60005"/>
    <n v="60005"/>
    <n v="1"/>
    <n v="1294572.8"/>
    <n v="21.57441546537789"/>
    <n v="1021200"/>
    <n v="17.01858178485126"/>
    <d v="2011-10-14T00:00:00"/>
    <d v="2026-10-13T00:00:00"/>
    <d v="2026-10-13T00:00:00"/>
    <n v="13.04109589041096"/>
    <n v="13.04109589041096"/>
    <s v="Modified Gross"/>
    <s v="None"/>
    <s v="None"/>
    <n v="13800000"/>
    <n v="229.9808349304225"/>
    <n v="0.074"/>
    <m/>
    <d v="2013-10-01T00:00:00"/>
    <x v="1286"/>
    <s v="C&amp;W; Trautvetter"/>
    <x v="1042"/>
    <s v="IL"/>
    <s v="Private"/>
    <m/>
    <m/>
    <m/>
    <s v=" "/>
    <s v=" "/>
    <m/>
    <s v=" "/>
    <s v=" "/>
    <s v=" "/>
    <m/>
    <s v=" "/>
  </r>
  <r>
    <s v="LNE60009"/>
    <s v="FBI"/>
    <s v="Federal"/>
    <s v="Fee Simple"/>
    <s v="4411 S 121 Ct"/>
    <s v="Omaha"/>
    <s v="NE"/>
    <n v="9.68"/>
    <n v="2009"/>
    <n v="112196"/>
    <n v="112196"/>
    <n v="1"/>
    <n v="4100013.52"/>
    <n v="36.54331277407394"/>
    <n v="3602180"/>
    <n v="32.10613569111198"/>
    <d v="2009-07-16T00:00:00"/>
    <d v="2024-07-15T00:00:00"/>
    <d v="2024-07-15T00:00:00"/>
    <n v="10.79452054794521"/>
    <n v="10.79452054794521"/>
    <s v="Modified Gross"/>
    <s v="None"/>
    <s v="3, 10 year"/>
    <n v="46600000"/>
    <n v="415.3445755641912"/>
    <n v="0.07729999999999999"/>
    <m/>
    <d v="2013-10-01T00:00:00"/>
    <x v="223"/>
    <s v="Eastdil"/>
    <x v="3"/>
    <s v="DC"/>
    <s v="REIT"/>
    <m/>
    <m/>
    <m/>
    <s v=" "/>
    <s v=" "/>
    <m/>
    <s v=" "/>
    <s v=" "/>
    <s v=" "/>
    <m/>
    <s v=" "/>
  </r>
  <r>
    <s v="LMD01425"/>
    <s v="HRQ"/>
    <s v="Federal"/>
    <s v="Fee Simple"/>
    <s v="540 Gaither Rd"/>
    <s v="Rockville"/>
    <s v="MD"/>
    <n v="12.61"/>
    <n v="2003"/>
    <n v="133895"/>
    <n v="133895"/>
    <n v="1"/>
    <n v="4155468.67"/>
    <n v="31.03527891258075"/>
    <n v="2730325"/>
    <n v="20.39153814556182"/>
    <d v="2003-03-23T00:00:00"/>
    <d v="2018-03-22T00:00:00"/>
    <d v="2018-03-22T00:00:00"/>
    <n v="4.473972602739726"/>
    <n v="4.473972602739726"/>
    <s v="Modified Gross"/>
    <s v="None"/>
    <s v="None"/>
    <n v="30000000"/>
    <n v="224.0561634116285"/>
    <n v="0.09101083333333333"/>
    <m/>
    <d v="2013-10-01T00:00:00"/>
    <x v="1272"/>
    <s v="CT; Paul Collins"/>
    <x v="1145"/>
    <s v="VA"/>
    <s v="REIT"/>
    <m/>
    <m/>
    <m/>
    <s v=" "/>
    <s v=" "/>
    <m/>
    <s v=" "/>
    <s v=" "/>
    <s v=" "/>
    <m/>
    <s v=" "/>
  </r>
  <r>
    <m/>
    <s v="USPS"/>
    <s v="Federal"/>
    <s v="Fee Simple"/>
    <s v="5560 Old Dixie Hwy"/>
    <s v="Grant"/>
    <s v="FL"/>
    <n v="1.5"/>
    <n v="1990"/>
    <n v="2429"/>
    <n v="2429"/>
    <n v="1"/>
    <n v="42920"/>
    <n v="17.66982297241663"/>
    <n v="42313.6"/>
    <n v="17.42017291066282"/>
    <d v="2010-12-01T00:00:00"/>
    <d v="2020-11-30T00:00:00"/>
    <d v="2020-11-30T00:00:00"/>
    <n v="7.172602739726027"/>
    <n v="7.172602739726027"/>
    <s v="Rider"/>
    <s v="Option"/>
    <s v="1, 5 year"/>
    <n v="445000"/>
    <n v="183.2029641827913"/>
    <n v="0.09508674157303371"/>
    <m/>
    <d v="2013-09-30T00:00:00"/>
    <x v="1498"/>
    <s v="TCP; Harrison"/>
    <x v="1146"/>
    <s v="TX"/>
    <s v="Private"/>
    <m/>
    <m/>
    <n v="528920"/>
    <n v="0.08"/>
    <n v="0.8413370642063072"/>
    <n v="527338"/>
    <n v="0.08023999787612499"/>
    <n v="0.01484674369690872"/>
    <s v="Yes"/>
    <d v="2012-10-20T00:00:00"/>
    <n v="345"/>
  </r>
  <r>
    <m/>
    <s v="SODC"/>
    <s v="State"/>
    <s v="Fee Simple"/>
    <s v="2757-2767 22nd St SE"/>
    <s v="Salem"/>
    <s v="OR"/>
    <n v="4.26"/>
    <n v="1979"/>
    <n v="33601"/>
    <n v="54661"/>
    <n v="0.61471615960191"/>
    <m/>
    <s v=" "/>
    <n v="461090"/>
    <n v="8.43544757688297"/>
    <d v="2013-01-01T00:00:00"/>
    <d v="2017-10-31T00:00:00"/>
    <d v="2017-10-31T00:00:00"/>
    <n v="4.101369863013699"/>
    <n v="4.101369863013699"/>
    <s v="Modified Gross"/>
    <m/>
    <m/>
    <n v="4900000"/>
    <n v="89.64343864912826"/>
    <n v="0.0941"/>
    <m/>
    <d v="2013-09-25T00:00:00"/>
    <x v="8"/>
    <m/>
    <x v="1147"/>
    <s v="OR"/>
    <s v="Private"/>
    <m/>
    <m/>
    <n v="5250000"/>
    <n v="0.08782666666666666"/>
    <n v="0.9333333333333333"/>
    <n v="5250000"/>
    <n v="0.08782666666666666"/>
    <n v="0.006273333333333339"/>
    <s v="No"/>
    <m/>
    <s v=" "/>
  </r>
  <r>
    <s v="LTX14704"/>
    <s v="CBP"/>
    <s v="Federal"/>
    <s v="Fee Simple"/>
    <s v="3902 S Expressway 77"/>
    <s v="Harlingen"/>
    <s v="TX"/>
    <n v="20"/>
    <n v="1999"/>
    <n v="53075"/>
    <n v="53075"/>
    <n v="1"/>
    <n v="1882984.82"/>
    <n v="35.47781102213848"/>
    <m/>
    <s v=" "/>
    <d v="2000-08-29T00:00:00"/>
    <d v="2020-08-28T00:00:00"/>
    <d v="2014-10-14T00:00:00"/>
    <n v="6.931506849315069"/>
    <n v="1.054794520547945"/>
    <s v="Modified Gross"/>
    <s v="None"/>
    <s v="None"/>
    <n v="16750000"/>
    <n v="315.5911446066887"/>
    <s v=" "/>
    <m/>
    <d v="2013-09-24T00:00:00"/>
    <x v="89"/>
    <s v="C&amp;W; Travis Trautvetter"/>
    <x v="474"/>
    <s v="PA"/>
    <s v="Private"/>
    <m/>
    <m/>
    <n v="17740524"/>
    <s v=" "/>
    <n v="0.9441660235064082"/>
    <n v="17740524"/>
    <s v=" "/>
    <s v=" "/>
    <s v="No"/>
    <m/>
    <s v=" "/>
  </r>
  <r>
    <s v="LCO13718"/>
    <s v="DOT"/>
    <s v="Federal"/>
    <s v="Fee Simple"/>
    <s v="12300 W Dakota Ave"/>
    <s v="Lakewood"/>
    <s v="CO"/>
    <n v="6.63"/>
    <n v="2004"/>
    <n v="122225"/>
    <n v="122225"/>
    <n v="1"/>
    <n v="3109009.01"/>
    <n v="25.43676833708325"/>
    <n v="2059000"/>
    <n v="16.84598077316424"/>
    <d v="2004-06-11T00:00:00"/>
    <d v="2024-06-10T00:00:00"/>
    <d v="2024-06-10T00:00:00"/>
    <n v="10.71780821917808"/>
    <n v="10.71780821917808"/>
    <s v="FS"/>
    <m/>
    <s v="None"/>
    <n v="29000000"/>
    <n v="237.2673348332992"/>
    <n v="0.07099999999999999"/>
    <m/>
    <d v="2013-09-24T00:00:00"/>
    <x v="1572"/>
    <s v="Eastdil"/>
    <x v="3"/>
    <s v="DC"/>
    <s v="REIT"/>
    <m/>
    <m/>
    <m/>
    <s v=" "/>
    <s v=" "/>
    <m/>
    <s v=" "/>
    <s v=" "/>
    <s v=" "/>
    <m/>
    <s v=" "/>
  </r>
  <r>
    <s v="LCA01544"/>
    <s v="SSA"/>
    <s v="Federal"/>
    <s v="Fee Simple"/>
    <s v="601 Allerton St"/>
    <s v="Redwood City"/>
    <s v="CA"/>
    <n v="1.11"/>
    <n v="1983"/>
    <n v="9824"/>
    <n v="16490"/>
    <n v="0.5957550030321407"/>
    <n v="341285.34"/>
    <n v="34.73995724755701"/>
    <n v="558501"/>
    <n v="33.86907216494846"/>
    <d v="2006-01-12T00:00:00"/>
    <d v="2021-01-11T00:00:00"/>
    <d v="2016-01-12T00:00:00"/>
    <n v="7.317808219178082"/>
    <n v="2.315068493150685"/>
    <s v="Modified Gross"/>
    <s v="None"/>
    <s v="None"/>
    <n v="5750000"/>
    <n v="348.6961795027289"/>
    <n v="0.09713060869565217"/>
    <m/>
    <d v="2013-09-19T00:00:00"/>
    <x v="1573"/>
    <s v="NCC; Steve Henry"/>
    <x v="1148"/>
    <s v="CA"/>
    <s v="Private"/>
    <m/>
    <m/>
    <n v="6700000"/>
    <n v="0.08335835820895522"/>
    <n v="0.8582089552238806"/>
    <n v="6700000"/>
    <n v="0.08335835820895522"/>
    <n v="0.01377225048669695"/>
    <s v="No"/>
    <d v="2012-01-27T00:00:00"/>
    <n v="601"/>
  </r>
  <r>
    <m/>
    <s v="DHS"/>
    <s v="State"/>
    <s v="Fee Simple"/>
    <s v="201 Larry Holmes Dr"/>
    <s v="Easton"/>
    <s v="PA"/>
    <n v="0.76"/>
    <n v="2006"/>
    <n v="21800"/>
    <n v="21800"/>
    <n v="1"/>
    <n v="343797"/>
    <n v="15.77050458715596"/>
    <n v="273000"/>
    <n v="12.52293577981651"/>
    <d v="2006-06-01T00:00:00"/>
    <d v="2021-06-15T00:00:00"/>
    <d v="2021-06-15T00:00:00"/>
    <n v="7.750684931506849"/>
    <n v="7.750684931506849"/>
    <s v="Full Service"/>
    <s v="None"/>
    <s v="None"/>
    <n v="3830000"/>
    <n v="175.6880733944954"/>
    <n v="0.07127937336814621"/>
    <m/>
    <d v="2013-09-16T00:00:00"/>
    <x v="8"/>
    <s v="Kevin Flynn"/>
    <x v="1149"/>
    <s v="PA"/>
    <s v="Private"/>
    <m/>
    <m/>
    <n v="4200000"/>
    <n v="0.065"/>
    <n v="0.9119047619047619"/>
    <n v="4200000"/>
    <n v="0.065"/>
    <n v="0.006279373368146213"/>
    <s v="No"/>
    <m/>
    <s v=" "/>
  </r>
  <r>
    <s v="LWV08356"/>
    <s v="DOE"/>
    <s v="Federal"/>
    <s v="Leasehold"/>
    <s v="99 Research Park Rd"/>
    <s v="Morgantown"/>
    <s v="WV"/>
    <n v="6"/>
    <n v="2009"/>
    <n v="58990"/>
    <n v="58990"/>
    <n v="1"/>
    <n v="1746792.98"/>
    <n v="29.611679606713"/>
    <n v="1275075"/>
    <n v="21.61510425495847"/>
    <d v="2009-09-16T00:00:00"/>
    <d v="2024-09-15T00:00:00"/>
    <d v="2019-09-16T00:00:00"/>
    <n v="11.00547945205479"/>
    <n v="6.002739726027397"/>
    <s v="Modified Gross"/>
    <s v="$1/sf every 3"/>
    <s v="1, 5 year"/>
    <n v="18890000"/>
    <n v="320.2237667401254"/>
    <n v="0.0675"/>
    <m/>
    <d v="2013-09-16T00:00:00"/>
    <x v="531"/>
    <s v="Colliers; Bob Cottle &amp; Kennedy"/>
    <x v="1"/>
    <s v="IL"/>
    <s v="Private"/>
    <m/>
    <m/>
    <m/>
    <s v=" "/>
    <s v=" "/>
    <m/>
    <s v=" "/>
    <s v=" "/>
    <s v=" "/>
    <m/>
    <s v=" "/>
  </r>
  <r>
    <s v="LTX15584"/>
    <s v="SSA"/>
    <s v="Federal"/>
    <s v="Fee Simple"/>
    <s v="600 E Peyton St"/>
    <s v="Sherman"/>
    <s v="TX"/>
    <n v="1.88"/>
    <n v="2006"/>
    <n v="10117"/>
    <n v="10117"/>
    <n v="1"/>
    <n v="208882.07"/>
    <n v="20.64664129682712"/>
    <m/>
    <s v=" "/>
    <d v="2006-06-23T00:00:00"/>
    <d v="2021-06-22T00:00:00"/>
    <d v="2016-06-23T00:00:00"/>
    <n v="7.76986301369863"/>
    <n v="2.76986301369863"/>
    <s v="Modified Gross"/>
    <s v="None"/>
    <s v="None"/>
    <m/>
    <s v=" "/>
    <s v=" "/>
    <m/>
    <d v="2013-09-16T00:00:00"/>
    <x v="1574"/>
    <m/>
    <x v="1150"/>
    <s v="TX"/>
    <s v="Private"/>
    <m/>
    <m/>
    <m/>
    <s v=" "/>
    <s v=" "/>
    <m/>
    <s v=" "/>
    <s v=" "/>
    <s v=" "/>
    <m/>
    <s v=" "/>
  </r>
  <r>
    <s v="LTX15507"/>
    <s v="SSA"/>
    <s v="Federal"/>
    <s v="Fee Simple"/>
    <s v="4314 Wendover St"/>
    <s v="Wichita Falls"/>
    <s v="TX"/>
    <n v="1.88"/>
    <n v="2006"/>
    <n v="11854"/>
    <n v="11854"/>
    <n v="1"/>
    <n v="260049.52"/>
    <n v="21.93770204150498"/>
    <m/>
    <s v=" "/>
    <d v="2006-06-08T00:00:00"/>
    <d v="2021-06-07T00:00:00"/>
    <d v="2016-06-08T00:00:00"/>
    <n v="7.728767123287671"/>
    <n v="2.728767123287671"/>
    <s v="Modified Gross"/>
    <s v="None"/>
    <s v="None"/>
    <m/>
    <s v=" "/>
    <s v=" "/>
    <m/>
    <d v="2013-09-16T00:00:00"/>
    <x v="1575"/>
    <s v="FORECLOSURE"/>
    <x v="1151"/>
    <s v="TX"/>
    <s v="Private"/>
    <m/>
    <m/>
    <m/>
    <s v=" "/>
    <s v=" "/>
    <m/>
    <s v=" "/>
    <s v=" "/>
    <s v=" "/>
    <m/>
    <s v=" "/>
  </r>
  <r>
    <s v="LCA01701"/>
    <s v="SSA"/>
    <s v="Federal"/>
    <s v="Fee Simple"/>
    <s v="2660 Park Marina Dr"/>
    <s v="Redding"/>
    <s v="CA"/>
    <n v="0.85"/>
    <n v="2010"/>
    <n v="19974"/>
    <n v="19974"/>
    <n v="1"/>
    <n v="728128.5"/>
    <n v="36.45381495944728"/>
    <n v="546000"/>
    <n v="27.33553619705617"/>
    <d v="2010-09-20T00:00:00"/>
    <d v="2025-09-19T00:00:00"/>
    <d v="2020-09-19T00:00:00"/>
    <n v="12.02739726027397"/>
    <n v="7.024657534246575"/>
    <s v="Modified Gross"/>
    <s v="None"/>
    <s v="None"/>
    <n v="7550000"/>
    <n v="377.9913888054471"/>
    <n v="0.07231788079470199"/>
    <m/>
    <d v="2013-09-12T00:00:00"/>
    <x v="681"/>
    <s v="C&amp;W; Travis Trautvetter"/>
    <x v="1152"/>
    <s v="CA"/>
    <s v="Private"/>
    <s v="C&amp;W; Hoag"/>
    <m/>
    <n v="7800000"/>
    <n v="0.07000000000000001"/>
    <n v="0.967948717948718"/>
    <n v="7800000"/>
    <n v="0.07000000000000001"/>
    <n v="0.002317880794701979"/>
    <s v="No"/>
    <d v="2012-07-23T00:00:00"/>
    <n v="416"/>
  </r>
  <r>
    <m/>
    <s v="ECU"/>
    <s v="State"/>
    <s v="Fee Simple"/>
    <s v="905 Johns Hopkins Dr"/>
    <s v="Greenville"/>
    <s v="NC"/>
    <n v="4.35"/>
    <n v="2008"/>
    <n v="20458"/>
    <n v="20458"/>
    <n v="1"/>
    <n v="337557"/>
    <n v="16.5"/>
    <n v="234226"/>
    <n v="11.44911526053378"/>
    <d v="2013-10-01T00:00:00"/>
    <d v="2023-02-28T00:00:00"/>
    <d v="2013-10-01T00:00:00"/>
    <n v="9.484931506849316"/>
    <n v="0.0684931506849315"/>
    <s v="Modified Gross"/>
    <s v="CPI annually"/>
    <s v="2, 5 yr"/>
    <n v="3600000"/>
    <n v="175.9702805748362"/>
    <n v="0.06506277777777777"/>
    <m/>
    <d v="2013-09-06T00:00:00"/>
    <x v="1576"/>
    <m/>
    <x v="1153"/>
    <s v="VA"/>
    <s v="Private"/>
    <m/>
    <m/>
    <n v="3700000"/>
    <n v="0.06330432432432433"/>
    <n v="0.972972972972973"/>
    <n v="3700000"/>
    <n v="0.06330432432432433"/>
    <n v="0.001758453453453449"/>
    <s v="No"/>
    <d v="2013-04-17T00:00:00"/>
    <n v="142"/>
  </r>
  <r>
    <s v="LWA07227"/>
    <s v="SSA"/>
    <s v="Federal"/>
    <s v="Fee Simple"/>
    <s v="3809-3811 Broadway"/>
    <s v="Everett"/>
    <s v="WA"/>
    <n v="0.77"/>
    <n v="2005"/>
    <n v="11970"/>
    <n v="19600"/>
    <n v="0.6107142857142858"/>
    <n v="377687.77"/>
    <n v="31.55286299081036"/>
    <n v="360084"/>
    <n v="18.37163265306122"/>
    <d v="2012-05-10T00:00:00"/>
    <d v="2027-05-09T00:00:00"/>
    <d v="2022-05-10T00:00:00"/>
    <n v="13.6986301369863"/>
    <n v="8.698630136986301"/>
    <s v="Modified Gross"/>
    <s v="None"/>
    <s v="None"/>
    <n v="5140000"/>
    <n v="262.2448979591837"/>
    <n v="0.07005525291828794"/>
    <m/>
    <d v="2013-08-30T00:00:00"/>
    <x v="1577"/>
    <s v="CRES; Carlton"/>
    <x v="1154"/>
    <s v="CT"/>
    <s v="Private"/>
    <m/>
    <m/>
    <n v="5335000"/>
    <n v="0.06749465791940018"/>
    <n v="0.9634489222118088"/>
    <n v="5335000"/>
    <n v="0.06749465791940018"/>
    <n v="0.002560594998887764"/>
    <s v="No"/>
    <d v="2013-05-08T00:00:00"/>
    <n v="114"/>
  </r>
  <r>
    <m/>
    <s v="GSA"/>
    <s v="Federal"/>
    <s v="Condominium"/>
    <s v="1120 S Dobson Rd"/>
    <s v="Chandler"/>
    <s v="AZ"/>
    <n v="0.87"/>
    <n v="2007"/>
    <n v="8368"/>
    <n v="8368"/>
    <n v="1"/>
    <m/>
    <s v=" "/>
    <n v="117040"/>
    <n v="13.98661567877629"/>
    <d v="2010-05-17T00:00:00"/>
    <d v="2020-05-16T00:00:00"/>
    <d v="2015-05-16T00:00:00"/>
    <n v="6.717808219178083"/>
    <n v="1.712328767123288"/>
    <s v="Modified Gross"/>
    <s v="$54k of TI burnoff"/>
    <s v="None"/>
    <n v="1520000"/>
    <n v="181.6443594646271"/>
    <n v="0.077"/>
    <m/>
    <d v="2013-08-29T00:00:00"/>
    <x v="1578"/>
    <s v="Van Robinzon"/>
    <x v="1155"/>
    <s v="AZ"/>
    <s v="Private"/>
    <s v="CPC; Naria"/>
    <m/>
    <n v="1590000"/>
    <n v="0.07361006289308177"/>
    <n v="0.9559748427672956"/>
    <n v="1590000"/>
    <n v="0.07361006289308177"/>
    <n v="0.003389937106918234"/>
    <s v="No"/>
    <d v="2013-03-04T00:00:00"/>
    <n v="178"/>
  </r>
  <r>
    <s v="LVA09461"/>
    <m/>
    <s v="Federal"/>
    <s v="Fee Simple"/>
    <s v="2101 Bermuda Hundred Rd"/>
    <s v="Chester"/>
    <s v="VA"/>
    <n v="19.38"/>
    <n v="1999"/>
    <n v="228108"/>
    <n v="228108"/>
    <n v="1"/>
    <n v="1452171.44"/>
    <n v="6.366157434197836"/>
    <n v="1037749"/>
    <n v="4.549375734301296"/>
    <d v="2010-12-01T00:00:00"/>
    <d v="2020-11-30T00:00:00"/>
    <d v="2015-12-01T00:00:00"/>
    <n v="7.263013698630137"/>
    <n v="2.26027397260274"/>
    <s v="Modified Gross"/>
    <s v="None"/>
    <s v="None"/>
    <n v="12503000"/>
    <n v="54.81175583495537"/>
    <n v="0.083"/>
    <m/>
    <d v="2013-08-28T00:00:00"/>
    <x v="1126"/>
    <s v="C&amp;W; Chris Abramson"/>
    <x v="790"/>
    <s v="MA"/>
    <s v="REIT"/>
    <m/>
    <m/>
    <m/>
    <s v=" "/>
    <s v=" "/>
    <m/>
    <s v=" "/>
    <s v=" "/>
    <s v=" "/>
    <m/>
    <s v=" "/>
  </r>
  <r>
    <s v="LWV06372"/>
    <s v="DHS-USCG"/>
    <s v="Federal"/>
    <s v="Fee Simple"/>
    <s v="100 Forbes Dr"/>
    <s v="Martinsburg"/>
    <s v="WV"/>
    <n v="4.44"/>
    <n v="2007"/>
    <n v="59547"/>
    <n v="59547"/>
    <n v="1"/>
    <n v="1550867.36"/>
    <n v="26.04442474012125"/>
    <n v="1129950"/>
    <n v="18.97576704116076"/>
    <d v="2007-12-14T00:00:00"/>
    <d v="2027-12-13T00:00:00"/>
    <d v="2022-12-14T00:00:00"/>
    <n v="14.3041095890411"/>
    <n v="9.304109589041095"/>
    <s v="Modified Gross"/>
    <s v="None"/>
    <s v="None"/>
    <n v="15500000"/>
    <n v="260.2985876702436"/>
    <n v="0.07290000000000001"/>
    <m/>
    <d v="2013-08-27T00:00:00"/>
    <x v="89"/>
    <s v="JLL; Brian Saal"/>
    <x v="3"/>
    <s v="DC"/>
    <s v="REIT"/>
    <m/>
    <m/>
    <m/>
    <s v=" "/>
    <s v=" "/>
    <m/>
    <s v=" "/>
    <s v=" "/>
    <s v=" "/>
    <m/>
    <s v=" "/>
  </r>
  <r>
    <m/>
    <s v="DMV"/>
    <s v="State"/>
    <s v="Fee Simple"/>
    <s v="2103 N Shaw Ave"/>
    <s v="Clovis"/>
    <s v="CA"/>
    <n v="3.15"/>
    <n v="2008"/>
    <n v="13284"/>
    <n v="13284"/>
    <n v="1"/>
    <n v="566844"/>
    <n v="42.67118337850045"/>
    <n v="450433"/>
    <n v="33.90793435712135"/>
    <d v="2007-07-15T00:00:00"/>
    <d v="2022-07-01T00:00:00"/>
    <d v="2017-07-14T00:00:00"/>
    <n v="8.860273972602739"/>
    <n v="3.893150684931507"/>
    <s v="Full Service"/>
    <s v="10% every 5"/>
    <s v="None"/>
    <n v="5150000"/>
    <n v="387.6844323998795"/>
    <n v="0.08746271844660194"/>
    <m/>
    <d v="2013-08-23T00:00:00"/>
    <x v="1579"/>
    <s v="Tri Com; Griffin"/>
    <x v="1156"/>
    <s v="CA"/>
    <s v="Private"/>
    <s v="CB; Janssen"/>
    <m/>
    <n v="5350000"/>
    <n v="0.08419308411214953"/>
    <n v="0.9626168224299065"/>
    <n v="5350000"/>
    <n v="0.08419308411214953"/>
    <n v="0.003269634334452418"/>
    <s v="No"/>
    <d v="2012-04-23T00:00:00"/>
    <n v="487"/>
  </r>
  <r>
    <s v="LMD01842"/>
    <s v="NIH"/>
    <s v="Federal"/>
    <s v="Fee Simple"/>
    <s v="2115 E Jefferson St"/>
    <s v="Rockville"/>
    <s v="MD"/>
    <n v="5.57"/>
    <n v="1981"/>
    <n v="128645"/>
    <n v="128645"/>
    <n v="1"/>
    <n v="2976099.17"/>
    <n v="23.13420008550663"/>
    <n v="1992847"/>
    <n v="15.4910567841735"/>
    <d v="2014-10-05T00:00:00"/>
    <d v="2016-05-19T00:00:00"/>
    <d v="2016-05-19T00:00:00"/>
    <n v="2.73972602739726"/>
    <n v="2.73972602739726"/>
    <s v="Modified Gross"/>
    <s v="None"/>
    <s v="None"/>
    <n v="18300000"/>
    <n v="142.2519336157643"/>
    <n v="0.1088987431693989"/>
    <m/>
    <d v="2013-08-23T00:00:00"/>
    <x v="719"/>
    <s v="CT; William Collins"/>
    <x v="790"/>
    <s v="MA"/>
    <s v="REIT"/>
    <m/>
    <m/>
    <m/>
    <s v=" "/>
    <s v=" "/>
    <m/>
    <s v=" "/>
    <s v=" "/>
    <s v=" "/>
    <m/>
    <s v=" "/>
  </r>
  <r>
    <m/>
    <s v="FS"/>
    <s v="Federal"/>
    <s v="Fee Simple"/>
    <s v="11 Forest Ln"/>
    <s v="Santa Fe"/>
    <s v="NM"/>
    <n v="5"/>
    <n v="2009"/>
    <n v="24150"/>
    <n v="24150"/>
    <n v="1"/>
    <n v="522315"/>
    <n v="21.627950310559"/>
    <n v="341241"/>
    <n v="14.13006211180124"/>
    <d v="2000-02-28T00:00:00"/>
    <d v="2020-02-28T00:00:00"/>
    <d v="2015-02-28T00:00:00"/>
    <n v="6.523287671232877"/>
    <n v="1.52054794520548"/>
    <s v="Modified Gross"/>
    <s v="None"/>
    <s v="None"/>
    <n v="5475000"/>
    <n v="226.7080745341615"/>
    <n v="0.06232712328767123"/>
    <m/>
    <d v="2013-08-22T00:00:00"/>
    <x v="921"/>
    <m/>
    <x v="429"/>
    <s v="NY"/>
    <s v="Private"/>
    <m/>
    <m/>
    <m/>
    <s v=" "/>
    <s v=" "/>
    <m/>
    <s v=" "/>
    <s v=" "/>
    <s v=" "/>
    <m/>
    <s v=" "/>
  </r>
  <r>
    <m/>
    <s v="USPS"/>
    <s v="Federal"/>
    <s v="Fee Simple"/>
    <s v="38775 Contreras Rd"/>
    <s v="Anza"/>
    <s v="CA"/>
    <n v="1.28"/>
    <n v="1991"/>
    <n v="4878"/>
    <n v="4878"/>
    <n v="1"/>
    <n v="88440"/>
    <n v="18.13038130381304"/>
    <n v="81900"/>
    <n v="16.78966789667897"/>
    <d v="2011-05-01T00:00:00"/>
    <d v="2016-05-01T00:00:00"/>
    <d v="2016-05-01T00:00:00"/>
    <n v="2.695890410958904"/>
    <n v="2.695890410958904"/>
    <s v="Rider"/>
    <s v="Option"/>
    <s v="1, 5 year"/>
    <n v="770000"/>
    <n v="157.8515785157851"/>
    <n v="0.1063636363636364"/>
    <m/>
    <d v="2013-08-21T00:00:00"/>
    <x v="1580"/>
    <s v="TCP; Harrison"/>
    <x v="1157"/>
    <s v="CA"/>
    <s v="Private"/>
    <m/>
    <m/>
    <n v="840000"/>
    <n v="0.0975"/>
    <n v="0.9166666666666666"/>
    <n v="840000"/>
    <n v="0.0975"/>
    <n v="0.008863636363636365"/>
    <s v="No"/>
    <d v="2013-06-10T00:00:00"/>
    <n v="72"/>
  </r>
  <r>
    <s v="LDC80535"/>
    <s v="M/T"/>
    <s v="Federal"/>
    <s v="Fee Simple"/>
    <s v="1301 New York Ave"/>
    <s v="Washington"/>
    <s v="DC"/>
    <n v="0.41"/>
    <n v="1983"/>
    <n v="201281"/>
    <n v="201281"/>
    <n v="1"/>
    <n v="10255911.31"/>
    <n v="50.95320129570104"/>
    <n v="7155000"/>
    <n v="35.54731941912053"/>
    <d v="1999-03-01T00:00:00"/>
    <d v="2014-03-14T00:00:00"/>
    <m/>
    <n v="0.5616438356164384"/>
    <s v=" "/>
    <s v="FS"/>
    <m/>
    <s v="None"/>
    <n v="135000000"/>
    <n v="670.7041399834063"/>
    <n v="0.053"/>
    <m/>
    <d v="2013-08-21T00:00:00"/>
    <x v="1581"/>
    <s v="Eastdil; Collins Ege"/>
    <x v="1158"/>
    <s v="NY"/>
    <s v="Private"/>
    <m/>
    <m/>
    <m/>
    <s v=" "/>
    <s v=" "/>
    <m/>
    <s v=" "/>
    <s v=" "/>
    <s v=" "/>
    <m/>
    <s v=" "/>
  </r>
  <r>
    <s v="LTX16724"/>
    <s v="SSA"/>
    <s v="Federal"/>
    <s v="Fee Simple"/>
    <s v="10222 San Pedro Ave"/>
    <s v="San Antonio"/>
    <s v="TX"/>
    <n v="2.21"/>
    <n v="1975"/>
    <n v="33906"/>
    <n v="33906"/>
    <n v="1"/>
    <n v="1064762.96"/>
    <n v="31.40337875302306"/>
    <m/>
    <s v=" "/>
    <d v="2012-09-20T00:00:00"/>
    <d v="2027-09-19T00:00:00"/>
    <d v="2022-09-20T00:00:00"/>
    <n v="14.09315068493151"/>
    <n v="9.093150684931507"/>
    <s v="FS"/>
    <m/>
    <s v="None"/>
    <n v="10375000"/>
    <n v="305.9930395800154"/>
    <s v=" "/>
    <m/>
    <d v="2013-08-19T00:00:00"/>
    <x v="1582"/>
    <s v="Peloton"/>
    <x v="1159"/>
    <s v="IL"/>
    <s v="Private"/>
    <m/>
    <m/>
    <m/>
    <s v=" "/>
    <s v=" "/>
    <m/>
    <s v=" "/>
    <s v=" "/>
    <s v=" "/>
    <m/>
    <s v=" "/>
  </r>
  <r>
    <s v="LLA14644"/>
    <s v="FBI"/>
    <s v="Federal"/>
    <s v="Fee Simple"/>
    <s v="2901 Leon C. Simon Blvd."/>
    <s v="New Orleans"/>
    <s v="LA"/>
    <n v="6.61"/>
    <n v="1999"/>
    <n v="137279"/>
    <n v="137279"/>
    <n v="1"/>
    <n v="3257424"/>
    <n v="23.72849452574684"/>
    <m/>
    <s v=" "/>
    <d v="1999-08-03T00:00:00"/>
    <d v="2019-08-02T00:00:00"/>
    <d v="2019-08-02T00:00:00"/>
    <n v="5.972602739726027"/>
    <n v="5.972602739726027"/>
    <s v="Modified Gross"/>
    <s v="None"/>
    <s v="None"/>
    <m/>
    <s v=" "/>
    <s v=" "/>
    <m/>
    <d v="2013-08-13T00:00:00"/>
    <x v="1583"/>
    <s v="FORECLOSURE"/>
    <x v="1160"/>
    <s v="NY"/>
    <s v="Institutional"/>
    <m/>
    <m/>
    <m/>
    <s v=" "/>
    <s v=" "/>
    <m/>
    <s v=" "/>
    <s v=" "/>
    <s v=" "/>
    <m/>
    <s v=" "/>
  </r>
  <r>
    <s v="LWI16030"/>
    <s v="SSA"/>
    <s v="Federal"/>
    <s v="Fee Simple"/>
    <s v="1603 Mirro Dr"/>
    <s v="Manitowoc"/>
    <s v="WI"/>
    <n v="0.19"/>
    <n v="1998"/>
    <n v="4584"/>
    <n v="4584"/>
    <n v="1"/>
    <n v="57143.25"/>
    <n v="12.46580497382199"/>
    <m/>
    <s v=" "/>
    <d v="1998-02-01T00:00:00"/>
    <d v="2018-01-31T00:00:00"/>
    <d v="2008-01-31T00:00:00"/>
    <n v="4.504109589041096"/>
    <n v="-5.504109589041096"/>
    <s v="Modified Gross"/>
    <s v="None"/>
    <s v="None"/>
    <n v="795000"/>
    <n v="173.4293193717278"/>
    <s v=" "/>
    <m/>
    <d v="2013-08-01T00:00:00"/>
    <x v="1584"/>
    <m/>
    <x v="1161"/>
    <s v="WI"/>
    <s v="Private"/>
    <m/>
    <m/>
    <m/>
    <s v=" "/>
    <s v=" "/>
    <m/>
    <s v=" "/>
    <s v=" "/>
    <s v=" "/>
    <m/>
    <s v=" "/>
  </r>
  <r>
    <s v="LWI17216"/>
    <s v="SSA"/>
    <s v="Federal"/>
    <s v="Fee Simple"/>
    <s v="4221 Tower Ave"/>
    <s v="Superior"/>
    <s v="WI"/>
    <n v="1.01"/>
    <n v="2006"/>
    <n v="7344"/>
    <n v="7344"/>
    <n v="1"/>
    <n v="133112.26"/>
    <n v="18.1253077342048"/>
    <n v="77612.34760000002"/>
    <n v="10.56813011982571"/>
    <d v="2006-06-20T00:00:00"/>
    <d v="2016-06-19T00:00:00"/>
    <d v="2016-06-19T00:00:00"/>
    <n v="2.884931506849315"/>
    <n v="2.884931506849315"/>
    <s v="Modified Gross"/>
    <s v="None"/>
    <s v="None"/>
    <n v="1225000"/>
    <n v="166.8028322440087"/>
    <n v="0.0633570184489796"/>
    <m/>
    <d v="2013-08-01T00:00:00"/>
    <x v="1585"/>
    <m/>
    <x v="1162"/>
    <s v="NM"/>
    <s v="Private"/>
    <m/>
    <m/>
    <m/>
    <s v=" "/>
    <s v=" "/>
    <m/>
    <s v=" "/>
    <s v=" "/>
    <s v=" "/>
    <m/>
    <s v=" "/>
  </r>
  <r>
    <m/>
    <s v="FBP"/>
    <s v="Federal"/>
    <s v="Fee Simple"/>
    <s v="2727 Boston Ave"/>
    <s v="San Diego"/>
    <s v="CA"/>
    <n v="0.3203"/>
    <n v="1986"/>
    <n v="9000"/>
    <n v="9000"/>
    <n v="1"/>
    <m/>
    <s v=" "/>
    <m/>
    <s v=" "/>
    <m/>
    <m/>
    <m/>
    <s v=" "/>
    <s v=" "/>
    <m/>
    <m/>
    <m/>
    <n v="7001500"/>
    <n v="777.9444444444445"/>
    <s v=" "/>
    <m/>
    <d v="2013-07-30T00:00:00"/>
    <x v="1586"/>
    <m/>
    <x v="497"/>
    <s v="TN"/>
    <s v="REIT"/>
    <m/>
    <m/>
    <m/>
    <s v=" "/>
    <s v=" "/>
    <m/>
    <s v=" "/>
    <s v=" "/>
    <s v=" "/>
    <m/>
    <s v=" "/>
  </r>
  <r>
    <s v="LPA09600"/>
    <s v="DEA"/>
    <s v="Federal"/>
    <s v="Fee Simple"/>
    <s v="1001 Elmerton Ave"/>
    <s v="Harrisburg"/>
    <s v="PA"/>
    <n v="1.43"/>
    <n v="2012"/>
    <n v="12404"/>
    <n v="12404"/>
    <n v="1"/>
    <n v="387622.75"/>
    <n v="31.249818606901"/>
    <n v="291649"/>
    <n v="23.51249596904225"/>
    <d v="2012-06-01T00:00:00"/>
    <d v="2027-05-31T00:00:00"/>
    <d v="2022-06-01T00:00:00"/>
    <n v="13.87945205479452"/>
    <n v="8.87945205479452"/>
    <s v="Modified Gross"/>
    <s v="None"/>
    <s v="None"/>
    <n v="3818960"/>
    <n v="307.8813286036763"/>
    <n v="0.07636869723694409"/>
    <m/>
    <d v="2013-07-17T00:00:00"/>
    <x v="982"/>
    <s v="C&amp;W; Travis Trautvetter"/>
    <x v="1"/>
    <s v="IL"/>
    <s v="Private"/>
    <m/>
    <s v="Curtis"/>
    <m/>
    <s v=" "/>
    <s v=" "/>
    <m/>
    <s v=" "/>
    <s v=" "/>
    <s v=" "/>
    <m/>
    <s v=" "/>
  </r>
  <r>
    <s v="LSC50019"/>
    <s v="DEA"/>
    <s v="Federal"/>
    <s v="Fee Simple"/>
    <s v="151 Quartz Ln"/>
    <s v="Florence"/>
    <s v="SC"/>
    <n v="2.76"/>
    <n v="2011"/>
    <n v="10628"/>
    <n v="10628"/>
    <n v="1"/>
    <n v="309936.06"/>
    <n v="29.16221866767031"/>
    <n v="233667.5"/>
    <n v="21.98602747459541"/>
    <d v="2011-04-07T00:00:00"/>
    <d v="2026-04-06T00:00:00"/>
    <d v="2021-11-06T00:00:00"/>
    <n v="12.73150684931507"/>
    <n v="8.315068493150685"/>
    <s v="Modified Gross"/>
    <s v="None"/>
    <s v="None"/>
    <n v="2938040"/>
    <n v="276.4433571697403"/>
    <n v="0.07953176267171311"/>
    <m/>
    <d v="2013-07-16T00:00:00"/>
    <x v="982"/>
    <s v="C&amp;W; Travis Trautvetter"/>
    <x v="1"/>
    <s v="IL"/>
    <s v="Private"/>
    <m/>
    <m/>
    <n v="3223000"/>
    <n v="0.0725"/>
    <n v="0.9115854793670494"/>
    <n v="3223000"/>
    <n v="0.0725"/>
    <n v="0.007031762671713113"/>
    <s v="No"/>
    <d v="2012-11-01T00:00:00"/>
    <n v="257"/>
  </r>
  <r>
    <m/>
    <s v="USDA"/>
    <s v="Federal"/>
    <s v="Fee Simple"/>
    <s v="31978 N Lake Creek Dr"/>
    <s v="Tangent"/>
    <s v="OR"/>
    <n v="2.3"/>
    <n v="2012"/>
    <n v="9471"/>
    <n v="11275"/>
    <n v="0.84"/>
    <n v="252043"/>
    <n v="26.61207897793264"/>
    <n v="210276"/>
    <n v="18.64975609756097"/>
    <d v="2012-07-01T00:00:00"/>
    <d v="2017-06-30T00:00:00"/>
    <d v="2012-10-29T00:00:00"/>
    <n v="3.975342465753425"/>
    <n v="-0.6958904109589041"/>
    <s v="Modified Gross"/>
    <s v="None"/>
    <s v="None"/>
    <n v="2125000"/>
    <n v="188.470066518847"/>
    <n v="0.09895341176470589"/>
    <m/>
    <d v="2013-07-10T00:00:00"/>
    <x v="1587"/>
    <s v="SVN; Fisher"/>
    <x v="1163"/>
    <s v="OR"/>
    <s v="Private"/>
    <s v="KM; DeJager"/>
    <m/>
    <n v="2325000"/>
    <n v="0.09044129032258065"/>
    <n v="0.9139784946236559"/>
    <n v="2325000"/>
    <n v="0.09044129032258065"/>
    <n v="0.008512121442125237"/>
    <s v="No"/>
    <d v="2013-02-25T00:00:00"/>
    <n v="135"/>
  </r>
  <r>
    <m/>
    <s v="Broward College"/>
    <s v="State"/>
    <s v="Leasehold"/>
    <m/>
    <s v="Miramar"/>
    <s v="FL"/>
    <m/>
    <m/>
    <n v="93000"/>
    <n v="93000"/>
    <n v="1"/>
    <m/>
    <s v=" "/>
    <m/>
    <s v=" "/>
    <m/>
    <m/>
    <m/>
    <s v=" "/>
    <s v=" "/>
    <m/>
    <m/>
    <m/>
    <n v="34100000"/>
    <n v="366.6666666666667"/>
    <s v=" "/>
    <m/>
    <d v="2013-07-09T00:00:00"/>
    <x v="8"/>
    <m/>
    <x v="414"/>
    <s v="MA"/>
    <s v="Private"/>
    <m/>
    <m/>
    <m/>
    <s v=" "/>
    <s v=" "/>
    <m/>
    <s v=" "/>
    <s v=" "/>
    <s v=" "/>
    <m/>
    <s v=" "/>
  </r>
  <r>
    <s v="LOH17778"/>
    <s v="SSA"/>
    <s v="Federal"/>
    <s v="Fee Simple"/>
    <s v="745 Innovation Dr"/>
    <s v="Bowling Green"/>
    <s v="OH"/>
    <n v="2.2"/>
    <n v="2008"/>
    <n v="5534"/>
    <n v="5534"/>
    <n v="1"/>
    <n v="148634.24"/>
    <n v="26.85837368991687"/>
    <n v="116480"/>
    <n v="21.04806649801229"/>
    <d v="2009-03-31T00:00:00"/>
    <d v="2022-03-30T00:00:00"/>
    <d v="2019-03-30T00:00:00"/>
    <n v="8.745205479452055"/>
    <n v="5.742465753424658"/>
    <s v="Modified Gross"/>
    <s v="None"/>
    <s v="None"/>
    <n v="1280000"/>
    <n v="231.2974340440911"/>
    <n v="0.091"/>
    <m/>
    <d v="2013-07-03T00:00:00"/>
    <x v="1588"/>
    <s v="Fortis; Doug Passon"/>
    <x v="1164"/>
    <s v="NY"/>
    <s v="Private"/>
    <s v="Boulder; Blankstein"/>
    <m/>
    <n v="1325000"/>
    <n v="0.08790943396226415"/>
    <n v="0.9660377358490566"/>
    <n v="1325000"/>
    <n v="0.08790943396226415"/>
    <n v="0.003090566037735845"/>
    <s v="No"/>
    <d v="2012-04-30T00:00:00"/>
    <n v="429"/>
  </r>
  <r>
    <s v="LPA02330"/>
    <s v="DEA"/>
    <s v="Federal"/>
    <s v="Fee Simple"/>
    <s v="1781 McKees Rock Rd"/>
    <s v="McKees Rock"/>
    <s v="PA"/>
    <n v="6.64"/>
    <n v="2006"/>
    <n v="26575"/>
    <n v="26575"/>
    <n v="1"/>
    <n v="1224825.79"/>
    <n v="46.08939943555974"/>
    <n v="666240"/>
    <n v="25.07017873941675"/>
    <d v="2005-09-01T00:00:00"/>
    <d v="2020-08-31T00:00:00"/>
    <d v="2020-08-31T00:00:00"/>
    <n v="7.172602739726027"/>
    <n v="7.172602739726027"/>
    <s v="Modified Gross"/>
    <s v="None"/>
    <s v="None"/>
    <m/>
    <s v=" "/>
    <s v=" "/>
    <m/>
    <d v="2013-07-01T00:00:00"/>
    <x v="921"/>
    <s v="FORECLOSURE"/>
    <x v="974"/>
    <s v="CT"/>
    <s v="Institutional"/>
    <m/>
    <m/>
    <m/>
    <s v=" "/>
    <s v=" "/>
    <m/>
    <s v=" "/>
    <s v=" "/>
    <s v=" "/>
    <m/>
    <s v=" "/>
  </r>
  <r>
    <s v="LNH04864"/>
    <s v="APHIS"/>
    <s v="Federal"/>
    <s v="Fee Simple"/>
    <s v="59 Chenell Dr"/>
    <s v="Concord"/>
    <s v="NH"/>
    <n v="1.53"/>
    <n v="1979"/>
    <n v="12677"/>
    <n v="12677"/>
    <n v="1"/>
    <n v="380970.72"/>
    <n v="30.05211958665299"/>
    <m/>
    <s v=" "/>
    <d v="2012-06-18T00:00:00"/>
    <d v="2022-06-17T00:00:00"/>
    <d v="2017-03-16T00:00:00"/>
    <n v="8.994520547945205"/>
    <n v="3.736986301369863"/>
    <s v="Modified Gross"/>
    <m/>
    <s v="3, 5 year"/>
    <n v="1400000"/>
    <n v="110.4362230811706"/>
    <s v=" "/>
    <m/>
    <d v="2013-06-21T00:00:00"/>
    <x v="1589"/>
    <m/>
    <x v="1165"/>
    <m/>
    <s v="Private"/>
    <m/>
    <m/>
    <m/>
    <s v=" "/>
    <s v=" "/>
    <m/>
    <s v=" "/>
    <s v=" "/>
    <s v=" "/>
    <m/>
    <s v=" "/>
  </r>
  <r>
    <s v="LSC47138"/>
    <s v="FBI"/>
    <s v="Federal"/>
    <s v="Fee Simple"/>
    <s v="1671 Belle Isle Ave"/>
    <s v="Mount Pleasant"/>
    <s v="SC"/>
    <n v="2.68"/>
    <n v="2008"/>
    <n v="14734"/>
    <n v="36999"/>
    <n v="0.3982269791075435"/>
    <n v="466538.68"/>
    <n v="31.66408850278268"/>
    <n v="643500"/>
    <n v="17.39236195572853"/>
    <d v="2008-11-01T00:00:00"/>
    <d v="2023-10-31T00:00:00"/>
    <d v="2018-11-01T00:00:00"/>
    <n v="10.36986301369863"/>
    <n v="5.36986301369863"/>
    <s v="Modified Gross"/>
    <s v="None"/>
    <s v="None"/>
    <n v="8250000"/>
    <n v="222.9789994324171"/>
    <n v="0.078"/>
    <m/>
    <d v="2013-06-20T00:00:00"/>
    <x v="1590"/>
    <s v="CBRE"/>
    <x v="1166"/>
    <s v="SC"/>
    <s v="Private"/>
    <s v="LH; Ferrer"/>
    <m/>
    <m/>
    <s v=" "/>
    <s v=" "/>
    <m/>
    <s v=" "/>
    <s v=" "/>
    <s v=" "/>
    <m/>
    <s v=" "/>
  </r>
  <r>
    <s v="LMD02247"/>
    <s v="HHS"/>
    <s v="Federal"/>
    <s v="Fee Simple"/>
    <s v="1220 Caraway Ct"/>
    <s v="Largo"/>
    <s v="MD"/>
    <n v="6.76"/>
    <n v="1987"/>
    <n v="40682"/>
    <n v="75947"/>
    <n v="0.5356630281643778"/>
    <n v="684471.76"/>
    <n v="16.82492896121135"/>
    <n v="1107925"/>
    <n v="14.58813383017104"/>
    <d v="2011-10-05T00:00:00"/>
    <d v="2021-10-04T00:00:00"/>
    <d v="2021-10-04T00:00:00"/>
    <n v="8.304109589041095"/>
    <n v="8.304109589041095"/>
    <s v="FS"/>
    <m/>
    <s v="1, 5 year"/>
    <n v="17045000"/>
    <n v="224.4328281564775"/>
    <n v="0.065"/>
    <m/>
    <d v="2013-06-17T00:00:00"/>
    <x v="1591"/>
    <s v="TW; Mark Glagola"/>
    <x v="1167"/>
    <s v="MD"/>
    <s v="Private"/>
    <m/>
    <m/>
    <m/>
    <s v=" "/>
    <s v=" "/>
    <m/>
    <s v=" "/>
    <s v=" "/>
    <s v=" "/>
    <m/>
    <s v=" "/>
  </r>
  <r>
    <m/>
    <s v="USPS"/>
    <s v="Federal"/>
    <s v="Fee Simple"/>
    <s v="1129 Center Point Dr"/>
    <s v="Moore"/>
    <s v="SC"/>
    <n v="1.15"/>
    <n v="1988"/>
    <n v="2784"/>
    <n v="2784"/>
    <n v="1"/>
    <n v="28027.1875"/>
    <n v="10.06723688936782"/>
    <n v="23823.1875"/>
    <n v="8.557179418103448"/>
    <d v="2012-11-01T00:00:00"/>
    <d v="2017-10-31T00:00:00"/>
    <d v="2017-10-31T00:00:00"/>
    <n v="4.394520547945206"/>
    <n v="4.394520547945206"/>
    <s v="Rider"/>
    <s v="Option"/>
    <s v="1, 5 year"/>
    <n v="212500"/>
    <n v="76.32902298850574"/>
    <n v="0.1121091176470588"/>
    <m/>
    <d v="2013-06-10T00:00:00"/>
    <x v="1498"/>
    <s v="TCP; Harrison"/>
    <x v="1168"/>
    <s v="NY"/>
    <s v="Private"/>
    <m/>
    <m/>
    <n v="272265"/>
    <n v="0.08749999999999999"/>
    <n v="0.7804895965327897"/>
    <n v="272265"/>
    <n v="0.08749999999999999"/>
    <n v="0.02460911764705882"/>
    <s v="No"/>
    <d v="2012-12-04T00:00:00"/>
    <n v="188"/>
  </r>
  <r>
    <s v="LCA02877"/>
    <s v="NPS"/>
    <s v="Federal"/>
    <s v="Fee Simple"/>
    <s v="5770 Skylane Blvd"/>
    <s v="Windsor"/>
    <s v="CA"/>
    <n v="2.22"/>
    <n v="2003"/>
    <n v="28380"/>
    <n v="28380"/>
    <n v="1"/>
    <n v="553214"/>
    <n v="19.49309372797745"/>
    <n v="398650"/>
    <n v="14.04686398872445"/>
    <d v="2013-05-01T00:00:00"/>
    <d v="2023-04-30T00:00:00"/>
    <d v="2018-04-30T00:00:00"/>
    <n v="9.893150684931507"/>
    <n v="4.890410958904109"/>
    <s v="Modified Gross"/>
    <s v="None"/>
    <s v="None"/>
    <n v="5186381.25"/>
    <n v="182.7477536997886"/>
    <n v="0.07686476963104091"/>
    <m/>
    <d v="2013-06-10T00:00:00"/>
    <x v="1592"/>
    <m/>
    <x v="1169"/>
    <m/>
    <s v="Private"/>
    <m/>
    <m/>
    <m/>
    <s v=" "/>
    <s v=" "/>
    <m/>
    <s v=" "/>
    <s v=" "/>
    <s v=" "/>
    <m/>
    <s v=" "/>
  </r>
  <r>
    <m/>
    <s v="VA"/>
    <s v="Federal"/>
    <s v="Fee Simple"/>
    <s v="4175 Tanners Creek Dr"/>
    <s v="Flowery Branch"/>
    <s v="GA"/>
    <m/>
    <m/>
    <n v="23887"/>
    <n v="23887"/>
    <n v="1"/>
    <m/>
    <s v=" "/>
    <m/>
    <s v=" "/>
    <m/>
    <m/>
    <m/>
    <s v=" "/>
    <s v=" "/>
    <m/>
    <m/>
    <m/>
    <n v="8475100"/>
    <n v="354.7996818353079"/>
    <s v=" "/>
    <m/>
    <d v="2013-06-05T00:00:00"/>
    <x v="8"/>
    <m/>
    <x v="0"/>
    <m/>
    <m/>
    <m/>
    <m/>
    <m/>
    <s v=" "/>
    <s v=" "/>
    <m/>
    <s v=" "/>
    <s v=" "/>
    <s v=" "/>
    <m/>
    <s v=" "/>
  </r>
  <r>
    <m/>
    <s v="DHHS"/>
    <s v="Federal"/>
    <s v="Fee Simple"/>
    <s v="4 Center Dr"/>
    <s v="North East"/>
    <s v="MD"/>
    <n v="36.74"/>
    <n v="1999"/>
    <n v="191673"/>
    <n v="345600"/>
    <n v="0.554609375"/>
    <n v="1782956"/>
    <n v="9.302071757628879"/>
    <n v="1347500"/>
    <n v="3.899016203703704"/>
    <m/>
    <d v="2021-03-31T00:00:00"/>
    <d v="2016-03-31T00:00:00"/>
    <n v="7.824657534246575"/>
    <n v="2.821917808219178"/>
    <s v="Modified Gross"/>
    <s v="None"/>
    <s v="None"/>
    <n v="19250000"/>
    <n v="55.70023148148148"/>
    <n v="0.07000000000000001"/>
    <m/>
    <d v="2013-06-05T00:00:00"/>
    <x v="1593"/>
    <s v="Newmark; Abramson"/>
    <x v="1170"/>
    <s v="NY"/>
    <s v="Private"/>
    <m/>
    <m/>
    <m/>
    <s v=" "/>
    <s v=" "/>
    <m/>
    <s v=" "/>
    <s v=" "/>
    <s v=" "/>
    <m/>
    <s v=" "/>
  </r>
  <r>
    <s v="LIN18554"/>
    <s v="AOC/Federal Bankruptcy Court"/>
    <s v="Federal"/>
    <s v="Fee Simple"/>
    <s v="401 S Michigan St"/>
    <s v="South Bend"/>
    <s v="IN"/>
    <n v="1.54"/>
    <n v="1996"/>
    <n v="30119"/>
    <n v="30119"/>
    <n v="1"/>
    <n v="810114.77"/>
    <n v="26.89713370297819"/>
    <n v="544179"/>
    <n v="18.06763172748099"/>
    <d v="2012-03-01T00:00:00"/>
    <d v="2027-02-28T00:00:00"/>
    <d v="2022-02-28T00:00:00"/>
    <n v="13.74794520547945"/>
    <n v="8.745205479452055"/>
    <s v="Modified Gross"/>
    <s v="None"/>
    <s v="None"/>
    <n v="7725000"/>
    <n v="256.4826189448521"/>
    <n v="0.07044388349514563"/>
    <m/>
    <d v="2013-06-03T00:00:00"/>
    <x v="1594"/>
    <s v="Newmark; Gallas"/>
    <x v="1171"/>
    <s v="IL"/>
    <s v="Institutional"/>
    <m/>
    <m/>
    <m/>
    <s v=" "/>
    <s v=" "/>
    <m/>
    <s v=" "/>
    <s v=" "/>
    <s v=" "/>
    <m/>
    <s v=" "/>
  </r>
  <r>
    <m/>
    <s v="USPS"/>
    <s v="Federal"/>
    <s v="Fee Simple"/>
    <s v="16 Frost Rd"/>
    <s v="Sandia Park"/>
    <s v="NM"/>
    <n v="1"/>
    <n v="1998"/>
    <n v="4169"/>
    <n v="4169"/>
    <n v="1"/>
    <n v="81503"/>
    <n v="19.54977212760854"/>
    <n v="79445"/>
    <n v="19.05612856800192"/>
    <d v="1998-01-24T00:00:00"/>
    <d v="2018-01-23T00:00:00"/>
    <d v="2018-01-31T00:00:00"/>
    <n v="4.652054794520548"/>
    <n v="4.673972602739726"/>
    <s v="Rider"/>
    <s v="Options"/>
    <s v="2, 5 year"/>
    <m/>
    <s v=" "/>
    <s v=" "/>
    <m/>
    <d v="2013-05-31T00:00:00"/>
    <x v="1595"/>
    <m/>
    <x v="1172"/>
    <s v="NM"/>
    <s v="Private"/>
    <m/>
    <m/>
    <m/>
    <s v=" "/>
    <s v=" "/>
    <m/>
    <s v=" "/>
    <s v=" "/>
    <s v=" "/>
    <m/>
    <s v=" "/>
  </r>
  <r>
    <s v="LMO70058"/>
    <s v="USDA"/>
    <s v="Federal"/>
    <s v="Fee Simple"/>
    <s v="10383 N Executive Hills Blvd"/>
    <s v="Kansas City"/>
    <s v="MO"/>
    <n v="2.91"/>
    <n v="1986"/>
    <n v="55831"/>
    <n v="55831"/>
    <n v="1"/>
    <n v="2509433"/>
    <n v="44.94694703659258"/>
    <n v="1910000"/>
    <n v="34.21038491160824"/>
    <d v="2011-03-18T00:00:00"/>
    <d v="2031-03-17T00:00:00"/>
    <d v="2031-03-17T00:00:00"/>
    <n v="17.83287671232877"/>
    <n v="17.83287671232877"/>
    <s v="Modified Gross"/>
    <m/>
    <s v="None"/>
    <n v="22500000"/>
    <n v="403.0019164980029"/>
    <n v="0.08488888888888889"/>
    <m/>
    <d v="2013-05-21T00:00:00"/>
    <x v="223"/>
    <s v="Direct"/>
    <x v="1173"/>
    <s v="NY"/>
    <s v="Private"/>
    <m/>
    <m/>
    <m/>
    <s v=" "/>
    <s v=" "/>
    <m/>
    <s v=" "/>
    <s v=" "/>
    <s v=" "/>
    <m/>
    <s v=" "/>
  </r>
  <r>
    <s v="LFL42128"/>
    <s v="ICE"/>
    <s v="Federal"/>
    <s v="Fee Simple"/>
    <s v="6643 Hazeltine National Dr"/>
    <s v="Orlando"/>
    <s v="FL"/>
    <n v="4.85"/>
    <n v="2006"/>
    <n v="22082"/>
    <n v="22082"/>
    <n v="1"/>
    <n v="949213.1"/>
    <n v="42.98583008785436"/>
    <n v="564845"/>
    <n v="25.57943121094104"/>
    <d v="2006-03-21T00:00:00"/>
    <d v="2021-03-20T00:00:00"/>
    <d v="2016-03-21T00:00:00"/>
    <n v="7.873972602739726"/>
    <n v="2.873972602739726"/>
    <s v="Modified Gross"/>
    <s v="None"/>
    <s v="None"/>
    <n v="6352500"/>
    <n v="287.6777465809257"/>
    <n v="0.08891696182605273"/>
    <m/>
    <d v="2013-05-07T00:00:00"/>
    <x v="1596"/>
    <s v="Calkain; Patrick Nutt"/>
    <x v="1174"/>
    <s v="FL"/>
    <s v="Private"/>
    <m/>
    <m/>
    <m/>
    <s v=" "/>
    <s v=" "/>
    <m/>
    <s v=" "/>
    <s v=" "/>
    <s v=" "/>
    <m/>
    <s v=" "/>
  </r>
  <r>
    <s v="LUT14638"/>
    <s v="IRS"/>
    <s v="Federal"/>
    <s v="Fee Simple"/>
    <s v="1973 N. Rulon White Blvd"/>
    <s v="Ogden"/>
    <s v="UT"/>
    <n v="13.14"/>
    <n v="2000"/>
    <n v="100000"/>
    <n v="100000"/>
    <n v="1"/>
    <n v="1886077.46"/>
    <n v="18.8607746"/>
    <m/>
    <s v=" "/>
    <d v="2012-01-12T00:00:00"/>
    <d v="2019-01-11T00:00:00"/>
    <d v="2016-01-12T00:00:00"/>
    <n v="5.701369863013698"/>
    <n v="2.701369863013698"/>
    <s v="Y"/>
    <m/>
    <s v="None"/>
    <n v="17681976.1875"/>
    <n v="176.819761875"/>
    <s v=" "/>
    <m/>
    <d v="2013-05-01T00:00:00"/>
    <x v="1597"/>
    <m/>
    <x v="1175"/>
    <m/>
    <s v="Institutional"/>
    <m/>
    <m/>
    <m/>
    <s v=" "/>
    <s v=" "/>
    <m/>
    <s v=" "/>
    <s v=" "/>
    <s v=" "/>
    <m/>
    <s v=" "/>
  </r>
  <r>
    <s v="LGA62335"/>
    <s v="SSA"/>
    <s v="Federal"/>
    <s v="Fee Simple"/>
    <s v="220 Carl Vinson Pky"/>
    <s v="Warner Robins"/>
    <s v="GA"/>
    <n v="1.26"/>
    <n v="2001"/>
    <n v="10290"/>
    <n v="10290"/>
    <n v="1"/>
    <n v="221464.79"/>
    <n v="21.52233138969874"/>
    <n v="161200"/>
    <n v="15.66569484936832"/>
    <d v="2012-06-10T00:00:00"/>
    <d v="2027-06-09T00:00:00"/>
    <d v="2022-06-10T00:00:00"/>
    <n v="14.11506849315069"/>
    <n v="9.115068493150686"/>
    <s v="Modified Gross"/>
    <s v="None"/>
    <s v="None"/>
    <n v="1635000"/>
    <n v="158.8921282798834"/>
    <n v="0.09859327217125383"/>
    <m/>
    <d v="2013-05-01T00:00:00"/>
    <x v="1598"/>
    <s v="Newmark; Gallas"/>
    <x v="1176"/>
    <s v="WY"/>
    <s v="Private"/>
    <m/>
    <m/>
    <m/>
    <s v=" "/>
    <s v=" "/>
    <m/>
    <s v=" "/>
    <s v=" "/>
    <s v=" "/>
    <m/>
    <s v=" "/>
  </r>
  <r>
    <s v="LPA09489"/>
    <s v="DEA"/>
    <s v="Federal"/>
    <s v="Fee Simple"/>
    <s v="10430 Drummond Rd"/>
    <s v="Philadelphia"/>
    <s v="PA"/>
    <n v="3.82"/>
    <n v="1973"/>
    <n v="49990"/>
    <n v="49990"/>
    <n v="1"/>
    <n v="917628.05"/>
    <n v="18.35623224644929"/>
    <n v="744750"/>
    <n v="14.89797959591918"/>
    <d v="2011-11-04T00:00:00"/>
    <d v="2026-11-03T00:00:00"/>
    <d v="2021-11-04T00:00:00"/>
    <n v="13.53150684931507"/>
    <n v="8.531506849315068"/>
    <s v="Modified Gross"/>
    <s v="None"/>
    <s v="1, 5 year"/>
    <n v="9930000"/>
    <n v="198.6397279455891"/>
    <n v="0.075"/>
    <m/>
    <d v="2013-04-26T00:00:00"/>
    <x v="1599"/>
    <s v="Newmark; Gallas"/>
    <x v="1"/>
    <s v="IL"/>
    <s v="Private"/>
    <m/>
    <m/>
    <m/>
    <s v=" "/>
    <s v=" "/>
    <m/>
    <s v=" "/>
    <s v=" "/>
    <s v=" "/>
    <m/>
    <s v=" "/>
  </r>
  <r>
    <m/>
    <s v="VA"/>
    <s v="Federal"/>
    <s v="Fee Simple"/>
    <s v="1536 N Jefferson St"/>
    <s v="Jacksonville"/>
    <s v="FL"/>
    <n v="10.06"/>
    <n v="2013"/>
    <n v="135000"/>
    <n v="135000"/>
    <n v="1"/>
    <m/>
    <s v=" "/>
    <m/>
    <s v=" "/>
    <m/>
    <d v="2033-11-11T00:00:00"/>
    <m/>
    <n v="20.56164383561644"/>
    <s v=" "/>
    <m/>
    <m/>
    <m/>
    <n v="64800000"/>
    <n v="480"/>
    <s v=" "/>
    <n v="0.2472040639297556"/>
    <d v="2013-04-25T00:00:00"/>
    <x v="1600"/>
    <m/>
    <x v="1177"/>
    <s v="IL"/>
    <s v="Private"/>
    <m/>
    <m/>
    <m/>
    <s v=" "/>
    <s v=" "/>
    <m/>
    <s v=" "/>
    <s v=" "/>
    <s v=" "/>
    <m/>
    <s v=" "/>
  </r>
  <r>
    <s v="LFL59804"/>
    <s v="MEPS"/>
    <s v="Federal"/>
    <s v="Fee Simple"/>
    <s v="7178 Baymeadows Way"/>
    <s v="Jacksonville"/>
    <s v="FL"/>
    <n v="6.43"/>
    <n v="2010"/>
    <n v="30000"/>
    <n v="30000"/>
    <n v="1"/>
    <n v="1857088.84"/>
    <n v="61.90296133333334"/>
    <n v="1472000"/>
    <n v="49.06666666666667"/>
    <d v="2010-09-29T00:00:00"/>
    <d v="2025-09-28T00:00:00"/>
    <d v="2020-09-28T00:00:00"/>
    <n v="12.44383561643836"/>
    <n v="7.441095890410959"/>
    <s v="FS"/>
    <m/>
    <s v="None"/>
    <n v="16790400"/>
    <n v="559.6799999999999"/>
    <n v="0.08766914427291786"/>
    <m/>
    <d v="2013-04-22T00:00:00"/>
    <x v="1181"/>
    <s v="Direct"/>
    <x v="3"/>
    <s v="DC"/>
    <s v="REIT"/>
    <m/>
    <m/>
    <m/>
    <s v=" "/>
    <s v=" "/>
    <m/>
    <s v=" "/>
    <s v=" "/>
    <s v=" "/>
    <m/>
    <s v=" "/>
  </r>
  <r>
    <m/>
    <s v="SSA/HHS"/>
    <s v="Federal &amp; State"/>
    <s v="Fee Simple"/>
    <s v="20 E Clinton St"/>
    <s v="Newton"/>
    <s v="NJ"/>
    <n v="1.63"/>
    <n v="1955"/>
    <n v="27000"/>
    <n v="30000"/>
    <n v="0.9"/>
    <m/>
    <s v=" "/>
    <m/>
    <s v=" "/>
    <m/>
    <d v="2020-07-31T00:00:00"/>
    <d v="2015-07-31T00:00:00"/>
    <n v="7.29041095890411"/>
    <n v="2.284931506849315"/>
    <s v="Modified Gross"/>
    <s v="None"/>
    <s v="None"/>
    <n v="2561000"/>
    <n v="85.36666666666666"/>
    <s v=" "/>
    <m/>
    <d v="2013-04-18T00:00:00"/>
    <x v="1601"/>
    <m/>
    <x v="1178"/>
    <s v="NJ"/>
    <s v="Private"/>
    <m/>
    <m/>
    <m/>
    <s v=" "/>
    <s v=" "/>
    <m/>
    <s v=" "/>
    <s v=" "/>
    <s v=" "/>
    <m/>
    <s v=" "/>
  </r>
  <r>
    <s v="LSD14660"/>
    <s v="SSA"/>
    <s v="Federal"/>
    <s v="Fee Simple"/>
    <s v="1720 S Southeastern Ave"/>
    <s v="Sioux Falls"/>
    <s v="SD"/>
    <n v="0.99"/>
    <n v="2002"/>
    <n v="10417"/>
    <n v="15588"/>
    <n v="0.668270464459841"/>
    <n v="292046"/>
    <n v="28.03551886339637"/>
    <n v="179151"/>
    <n v="11.49287913779831"/>
    <d v="2012-12-17T00:00:00"/>
    <d v="2022-12-16T00:00:00"/>
    <d v="2017-12-17T00:00:00"/>
    <n v="9.676712328767124"/>
    <n v="4.676712328767123"/>
    <s v="Modified Gross"/>
    <s v="None"/>
    <s v="None"/>
    <n v="2140000"/>
    <n v="137.2850910957146"/>
    <n v="0.08371542056074767"/>
    <m/>
    <d v="2013-04-15T00:00:00"/>
    <x v="1602"/>
    <m/>
    <x v="1179"/>
    <s v="SD"/>
    <s v="Private"/>
    <m/>
    <m/>
    <m/>
    <s v=" "/>
    <s v=" "/>
    <m/>
    <s v=" "/>
    <s v=" "/>
    <s v=" "/>
    <m/>
    <s v=" "/>
  </r>
  <r>
    <s v="LPA11315"/>
    <s v="SSA/IRS"/>
    <s v="Federal"/>
    <s v="Fee Simple"/>
    <s v="2670 Industrial Hwy"/>
    <s v="York"/>
    <s v="PA"/>
    <n v="4.02"/>
    <n v="2013"/>
    <n v="21564"/>
    <n v="21564"/>
    <n v="1"/>
    <n v="756916.99"/>
    <n v="35.10095483212762"/>
    <n v="504516.16"/>
    <n v="23.39622333518827"/>
    <d v="2013-01-16T00:00:00"/>
    <d v="2028-01-15T00:00:00"/>
    <d v="2023-01-15T00:00:00"/>
    <n v="14.76712328767123"/>
    <n v="9.764383561643836"/>
    <s v="Modified Gross"/>
    <s v="None"/>
    <s v="None"/>
    <n v="8408601"/>
    <n v="389.9369782971619"/>
    <n v="0.06000001189258474"/>
    <m/>
    <d v="2013-04-13T00:00:00"/>
    <x v="1515"/>
    <s v="M&amp;M; Early"/>
    <x v="1180"/>
    <s v="OH"/>
    <s v="Private"/>
    <m/>
    <m/>
    <m/>
    <s v=" "/>
    <s v=" "/>
    <m/>
    <s v=" "/>
    <s v=" "/>
    <s v=" "/>
    <m/>
    <s v=" "/>
  </r>
  <r>
    <s v="LCA01912"/>
    <s v="SSA"/>
    <s v="Federal"/>
    <s v="Fee Simple"/>
    <s v="115 Table Mountain Blvd"/>
    <s v="Oroville"/>
    <s v="CA"/>
    <n v="1.1"/>
    <n v="2008"/>
    <n v="8347"/>
    <n v="8347"/>
    <n v="1"/>
    <n v="325533"/>
    <n v="39"/>
    <n v="290614.5"/>
    <n v="34.81664070923685"/>
    <d v="2008-10-15T00:00:00"/>
    <d v="2023-10-14T00:00:00"/>
    <d v="2018-10-14T00:00:00"/>
    <n v="10.51232876712329"/>
    <n v="5.50958904109589"/>
    <s v="FS"/>
    <m/>
    <s v="None"/>
    <n v="3059100"/>
    <n v="366.4909548340721"/>
    <n v="0.095"/>
    <m/>
    <d v="2013-04-12T00:00:00"/>
    <x v="1603"/>
    <s v="Direct"/>
    <x v="1181"/>
    <m/>
    <s v="Private"/>
    <m/>
    <m/>
    <m/>
    <s v=" "/>
    <s v=" "/>
    <m/>
    <s v=" "/>
    <s v=" "/>
    <s v=" "/>
    <m/>
    <s v=" "/>
  </r>
  <r>
    <s v="LSC59099"/>
    <s v="ICE"/>
    <s v="Federal"/>
    <s v="Fee Simple"/>
    <s v="3950 Faber Place"/>
    <s v="North Charleston"/>
    <s v="SC"/>
    <n v="3.7"/>
    <n v="1994"/>
    <n v="65124"/>
    <n v="86733"/>
    <n v="0.7508560755421811"/>
    <n v="2976825.81"/>
    <n v="45.71011931085314"/>
    <n v="2243825.81"/>
    <n v="25.87049692735176"/>
    <d v="2012-02-01T00:00:00"/>
    <d v="2027-01-31T00:00:00"/>
    <d v="2027-01-31T00:00:00"/>
    <n v="13.82191780821918"/>
    <n v="13.82191780821918"/>
    <s v="FS"/>
    <m/>
    <s v="None"/>
    <n v="32013185"/>
    <n v="369.1004000784015"/>
    <n v="0.07009067701323689"/>
    <m/>
    <d v="2013-04-09T00:00:00"/>
    <x v="1181"/>
    <s v="Direct"/>
    <x v="3"/>
    <s v="DC"/>
    <s v="REIT"/>
    <m/>
    <m/>
    <m/>
    <s v=" "/>
    <s v=" "/>
    <m/>
    <s v=" "/>
    <s v=" "/>
    <s v=" "/>
    <m/>
    <s v=" "/>
  </r>
  <r>
    <m/>
    <s v="SSA/ODAR"/>
    <s v="Federal"/>
    <s v="Fee Simple"/>
    <s v="2241 Buena Vista Rd"/>
    <s v="Lexington"/>
    <s v="KY"/>
    <n v="3.24"/>
    <n v="2012"/>
    <n v="44000"/>
    <n v="44000"/>
    <n v="1"/>
    <m/>
    <s v=" "/>
    <n v="711680.0000000001"/>
    <n v="16.17454545454546"/>
    <d v="2012-05-01T00:00:00"/>
    <d v="2027-04-30T00:00:00"/>
    <d v="2022-04-30T00:00:00"/>
    <n v="14.06849315068493"/>
    <n v="9.065753424657535"/>
    <s v="Modified Gross"/>
    <s v="None"/>
    <s v="None"/>
    <n v="10240000"/>
    <n v="232.7272727272727"/>
    <n v="0.06950000000000001"/>
    <m/>
    <d v="2013-04-08T00:00:00"/>
    <x v="103"/>
    <m/>
    <x v="1"/>
    <s v="IL"/>
    <s v="Private"/>
    <m/>
    <m/>
    <m/>
    <s v=" "/>
    <s v=" "/>
    <m/>
    <s v=" "/>
    <s v=" "/>
    <s v=" "/>
    <m/>
    <s v=" "/>
  </r>
  <r>
    <s v="LAR14739"/>
    <s v="SSA"/>
    <s v="Federal"/>
    <s v="Fee Simple"/>
    <s v="701 Airport Loop"/>
    <s v="Searcy"/>
    <s v="AR"/>
    <n v="1"/>
    <n v="1999"/>
    <n v="5627"/>
    <n v="5627"/>
    <n v="1"/>
    <n v="112060.25"/>
    <n v="19.91474142527101"/>
    <n v="72000"/>
    <n v="12.79545050648658"/>
    <d v="2000-02-15T00:00:00"/>
    <d v="2018-02-14T00:00:00"/>
    <d v="2016-02-15T00:00:00"/>
    <n v="4.873972602739726"/>
    <n v="2.873972602739726"/>
    <s v="Modified Gross"/>
    <s v="None"/>
    <s v="None"/>
    <n v="600000"/>
    <n v="106.6287542207215"/>
    <n v="0.12"/>
    <m/>
    <d v="2013-04-02T00:00:00"/>
    <x v="1604"/>
    <s v="HB; Greg Haag"/>
    <x v="1182"/>
    <s v="AR"/>
    <s v="Private"/>
    <m/>
    <m/>
    <n v="750000"/>
    <n v="0.096"/>
    <n v="0.8"/>
    <n v="750000"/>
    <n v="0.096"/>
    <n v="0.02399999999999999"/>
    <s v="No"/>
    <d v="2012-04-16T00:00:00"/>
    <n v="351"/>
  </r>
  <r>
    <s v="LGA61116"/>
    <s v="PA"/>
    <s v="Federal"/>
    <s v="Fee Simple"/>
    <s v="1166 Athens Tech Rd"/>
    <s v="Elberton"/>
    <s v="GA"/>
    <n v="3"/>
    <n v="2001"/>
    <n v="21500"/>
    <n v="21500"/>
    <n v="1"/>
    <n v="307661.3"/>
    <n v="14.30982790697674"/>
    <m/>
    <s v=" "/>
    <d v="2011-06-15T00:00:00"/>
    <d v="2021-06-14T00:00:00"/>
    <d v="2016-06-14T00:00:00"/>
    <n v="8.208219178082192"/>
    <n v="3.205479452054794"/>
    <s v="Modified Gross"/>
    <s v="None"/>
    <s v="None"/>
    <n v="1250000"/>
    <n v="58.13953488372093"/>
    <s v=" "/>
    <m/>
    <d v="2013-04-01T00:00:00"/>
    <x v="1293"/>
    <s v="Newmark Grubb; Gino Tabbi"/>
    <x v="1183"/>
    <m/>
    <s v="Private"/>
    <m/>
    <m/>
    <m/>
    <s v=" "/>
    <s v=" "/>
    <m/>
    <s v=" "/>
    <s v=" "/>
    <s v=" "/>
    <m/>
    <s v=" "/>
  </r>
  <r>
    <s v="LTX16345"/>
    <s v="SSA"/>
    <s v="Federal"/>
    <s v="Fee Simple"/>
    <s v="10703 Stancliff"/>
    <s v="Houston"/>
    <s v="TX"/>
    <n v="2.2"/>
    <n v="1981"/>
    <n v="27840"/>
    <n v="27840"/>
    <n v="1"/>
    <n v="1120650.86"/>
    <n v="40.25326364942529"/>
    <n v="844820"/>
    <n v="30.34554597701149"/>
    <d v="2008-02-20T00:00:00"/>
    <d v="2018-02-19T00:00:00"/>
    <d v="2013-10-13T00:00:00"/>
    <n v="4.904109589041096"/>
    <n v="0.547945205479452"/>
    <s v="Modified Gross"/>
    <s v="None"/>
    <s v="None"/>
    <n v="7970000"/>
    <n v="286.2787356321839"/>
    <n v="0.106"/>
    <m/>
    <d v="2013-03-27T00:00:00"/>
    <x v="1605"/>
    <s v="SJC; Corriston"/>
    <x v="84"/>
    <s v="IL"/>
    <s v="Private"/>
    <m/>
    <m/>
    <m/>
    <s v=" "/>
    <s v=" "/>
    <m/>
    <s v=" "/>
    <s v=" "/>
    <s v=" "/>
    <m/>
    <s v=" "/>
  </r>
  <r>
    <s v="LFL43838"/>
    <s v="SSA"/>
    <s v="Federal"/>
    <s v="Fee Simple"/>
    <s v="1685 Dunn Ave"/>
    <s v="Jacksonville"/>
    <s v="FL"/>
    <n v="2.33"/>
    <n v="2005"/>
    <n v="11676"/>
    <n v="11676"/>
    <n v="1"/>
    <n v="216952.93"/>
    <n v="18.58110054813292"/>
    <n v="105000"/>
    <n v="8.992805755395683"/>
    <d v="2006-01-11T00:00:00"/>
    <d v="2016-01-10T00:00:00"/>
    <d v="2011-01-10T00:00:00"/>
    <n v="2.791780821917808"/>
    <n v="-2.210958904109589"/>
    <s v="FS"/>
    <m/>
    <s v="None"/>
    <n v="1200000"/>
    <n v="102.7749229188078"/>
    <n v="0.08749999999999999"/>
    <m/>
    <d v="2013-03-27T00:00:00"/>
    <x v="1606"/>
    <s v="KW; Scott Dahin"/>
    <x v="84"/>
    <s v="IL"/>
    <s v="Private"/>
    <m/>
    <m/>
    <m/>
    <s v=" "/>
    <s v=" "/>
    <m/>
    <s v=" "/>
    <s v=" "/>
    <s v=" "/>
    <m/>
    <s v=" "/>
  </r>
  <r>
    <s v="LTX14146"/>
    <s v="AOC"/>
    <s v="Federal"/>
    <s v="Fee Simple"/>
    <s v="410 S Cedar St"/>
    <s v="Pecos"/>
    <s v="TX"/>
    <n v="8"/>
    <n v="1995"/>
    <n v="36001"/>
    <n v="36001"/>
    <n v="1"/>
    <n v="857741.41"/>
    <n v="23.82548845865393"/>
    <m/>
    <s v=" "/>
    <d v="1995-11-20T00:00:00"/>
    <d v="2015-11-19T00:00:00"/>
    <d v="2015-11-18T00:00:00"/>
    <n v="2.649315068493151"/>
    <n v="2.646575342465753"/>
    <s v="FS"/>
    <m/>
    <s v="1, 10 year"/>
    <n v="4000000"/>
    <n v="111.1080247770895"/>
    <s v=" "/>
    <m/>
    <d v="2013-03-27T00:00:00"/>
    <x v="1324"/>
    <m/>
    <x v="84"/>
    <s v="IL"/>
    <s v="Private"/>
    <m/>
    <m/>
    <m/>
    <s v=" "/>
    <s v=" "/>
    <m/>
    <s v=" "/>
    <s v=" "/>
    <s v=" "/>
    <m/>
    <s v=" "/>
  </r>
  <r>
    <s v="LGA50076"/>
    <s v="SSA"/>
    <s v="Federal"/>
    <s v="Fee Simple"/>
    <s v="389 E Broad St"/>
    <s v="Winder"/>
    <s v="GA"/>
    <n v="2.12"/>
    <n v="2011"/>
    <n v="8960"/>
    <n v="8960"/>
    <n v="1"/>
    <n v="251360.81"/>
    <n v="28.05366183035714"/>
    <n v="124600"/>
    <n v="13.90625"/>
    <d v="2012-04-02T00:00:00"/>
    <d v="2022-04-01T00:00:00"/>
    <d v="2017-04-01T00:00:00"/>
    <n v="9.019178082191781"/>
    <n v="4.016438356164383"/>
    <s v="FS"/>
    <m/>
    <s v="None"/>
    <n v="1400000"/>
    <n v="156.25"/>
    <n v="0.089"/>
    <m/>
    <d v="2013-03-27T00:00:00"/>
    <x v="1199"/>
    <s v="M&amp;M; Wise"/>
    <x v="84"/>
    <s v="IL"/>
    <s v="Private"/>
    <m/>
    <m/>
    <m/>
    <s v=" "/>
    <s v=" "/>
    <m/>
    <s v=" "/>
    <s v=" "/>
    <s v=" "/>
    <m/>
    <s v=" "/>
  </r>
  <r>
    <s v="LFL44819"/>
    <s v="SSA"/>
    <s v="Federal"/>
    <s v="Fee Simple"/>
    <s v="Portfolio of THree"/>
    <m/>
    <m/>
    <n v="6.36"/>
    <m/>
    <n v="59951"/>
    <n v="59951"/>
    <n v="1"/>
    <m/>
    <s v=" "/>
    <n v="1129737"/>
    <n v="18.8443395439609"/>
    <m/>
    <m/>
    <m/>
    <s v=" "/>
    <s v=" "/>
    <s v="FS"/>
    <m/>
    <s v="None"/>
    <n v="11695000"/>
    <n v="195.0759787159514"/>
    <n v="0.09660000000000001"/>
    <m/>
    <d v="2013-03-27T00:00:00"/>
    <x v="1607"/>
    <s v="Greysteel; Henry Schuldinger"/>
    <x v="84"/>
    <s v="IL"/>
    <s v="Private"/>
    <m/>
    <m/>
    <m/>
    <s v=" "/>
    <s v=" "/>
    <m/>
    <s v=" "/>
    <s v=" "/>
    <s v=" "/>
    <m/>
    <s v=" "/>
  </r>
  <r>
    <s v="LDC12554"/>
    <s v="DOJ"/>
    <s v="Federal"/>
    <s v="Fee Simple"/>
    <s v="1400 NEW YORK AVE NW"/>
    <s v="Washington"/>
    <s v="DC"/>
    <n v="0.41"/>
    <n v="1901"/>
    <n v="168496"/>
    <n v="171920"/>
    <n v="0.9800837598883202"/>
    <n v="8651761.810000001"/>
    <n v="51.34698633795461"/>
    <n v="6177966"/>
    <n v="35.93512098650535"/>
    <d v="2014-09-01T00:00:00"/>
    <d v="2029-08-31T00:00:00"/>
    <d v="2029-08-31T00:00:00"/>
    <n v="16.45479452054795"/>
    <n v="16.45479452054795"/>
    <s v="FS"/>
    <m/>
    <s v="None"/>
    <n v="109000000"/>
    <n v="634.0158213122382"/>
    <n v="0.0566785871559633"/>
    <m/>
    <d v="2013-03-22T00:00:00"/>
    <x v="1608"/>
    <s v="Eastdil"/>
    <x v="1184"/>
    <s v="NY"/>
    <s v="Private"/>
    <m/>
    <m/>
    <m/>
    <s v=" "/>
    <s v=" "/>
    <m/>
    <s v=" "/>
    <s v=" "/>
    <s v=" "/>
    <m/>
    <s v=" "/>
  </r>
  <r>
    <m/>
    <s v="Kern County"/>
    <s v="County"/>
    <s v="Fee Simple"/>
    <s v="100 E California Ave"/>
    <s v="Bakersfield"/>
    <s v="CA"/>
    <n v="17.48"/>
    <s v="1988 | 2006"/>
    <n v="166585"/>
    <n v="166585"/>
    <n v="1"/>
    <n v="3845483"/>
    <n v="23.08420926253864"/>
    <n v="2779336"/>
    <n v="16.68419125371432"/>
    <m/>
    <m/>
    <m/>
    <s v=" "/>
    <s v=" "/>
    <m/>
    <m/>
    <m/>
    <n v="32825000"/>
    <n v="197.0465528108773"/>
    <n v="0.0846713175932978"/>
    <m/>
    <d v="2013-03-14T00:00:00"/>
    <x v="1609"/>
    <m/>
    <x v="1185"/>
    <s v="NY"/>
    <s v="Private"/>
    <m/>
    <m/>
    <m/>
    <s v=" "/>
    <s v=" "/>
    <m/>
    <s v=" "/>
    <s v=" "/>
    <s v=" "/>
    <m/>
    <s v=" "/>
  </r>
  <r>
    <s v="LIA01056"/>
    <s v="SSA"/>
    <s v="Federal"/>
    <s v="Fee Simple"/>
    <s v="4319 N Brady St"/>
    <s v="Davenport"/>
    <s v="IA"/>
    <n v="3.67"/>
    <n v="1982"/>
    <n v="11877"/>
    <n v="11887"/>
    <n v="0.9991587448473122"/>
    <n v="330092"/>
    <n v="27.79254020375516"/>
    <n v="221337"/>
    <n v="18.62008917304619"/>
    <d v="2012-03-01T00:00:00"/>
    <d v="2027-02-28T00:00:00"/>
    <d v="2022-02-28T00:00:00"/>
    <n v="13.97260273972603"/>
    <n v="8.96986301369863"/>
    <s v="Modified Gross"/>
    <s v="TI Burns Off"/>
    <s v="None"/>
    <n v="2905000"/>
    <n v="244.3846218558089"/>
    <n v="0.07619173838209983"/>
    <m/>
    <d v="2013-03-13T00:00:00"/>
    <x v="1610"/>
    <m/>
    <x v="1186"/>
    <m/>
    <m/>
    <m/>
    <m/>
    <m/>
    <s v=" "/>
    <s v=" "/>
    <m/>
    <s v=" "/>
    <s v=" "/>
    <s v=" "/>
    <m/>
    <s v=" "/>
  </r>
  <r>
    <s v="LOH18171"/>
    <s v="SSA"/>
    <s v="Federal"/>
    <s v="Fee Simple"/>
    <s v="3715 Towne Blvd"/>
    <s v="Middletown"/>
    <s v="OH"/>
    <n v="1.2"/>
    <n v="2011"/>
    <n v="8561"/>
    <n v="8561"/>
    <n v="1"/>
    <n v="288040"/>
    <n v="33.64560214928163"/>
    <n v="181548"/>
    <n v="21.20640112136433"/>
    <d v="2011-06-01T00:00:00"/>
    <d v="2021-05-30T00:00:00"/>
    <d v="2016-05-30T00:00:00"/>
    <n v="8.219178082191782"/>
    <n v="3.216438356164383"/>
    <s v="Modified Gross"/>
    <s v="TI Bleeds; $19k"/>
    <s v="None"/>
    <n v="2216669"/>
    <n v="258.9264104660671"/>
    <n v="0.08190126717159847"/>
    <m/>
    <d v="2013-03-13T00:00:00"/>
    <x v="1611"/>
    <s v="Lutter; Mark Lutter"/>
    <x v="1176"/>
    <s v="WY"/>
    <s v="Private"/>
    <s v="Jack Sauther"/>
    <m/>
    <n v="2342555"/>
    <n v="0.07749999466394598"/>
    <n v="0.9462612403977708"/>
    <n v="2342555"/>
    <n v="0.07749999466394598"/>
    <n v="0.004401272507652487"/>
    <s v="No"/>
    <m/>
    <s v=" "/>
  </r>
  <r>
    <s v="LTN61004"/>
    <s v="ICE"/>
    <s v="Federal"/>
    <s v="Fee Simple"/>
    <s v="501 Brick Church Park Dr"/>
    <s v="Nashville"/>
    <s v="TN"/>
    <n v="2.71"/>
    <n v="1997"/>
    <n v="23350"/>
    <n v="23350"/>
    <n v="1"/>
    <n v="929712.38"/>
    <n v="39.81637601713062"/>
    <n v="640250"/>
    <n v="27.41970021413276"/>
    <d v="2012-01-11T00:00:00"/>
    <d v="2027-01-10T00:00:00"/>
    <d v="2022-01-10T00:00:00"/>
    <n v="13.85753424657534"/>
    <n v="8.854794520547944"/>
    <s v="Modified Gross"/>
    <s v="None"/>
    <s v="None"/>
    <n v="9850000"/>
    <n v="421.8415417558887"/>
    <n v="0.065"/>
    <m/>
    <d v="2013-03-06T00:00:00"/>
    <x v="3"/>
    <s v="C&amp;W; Travis Trautvetter"/>
    <x v="1"/>
    <s v="IL"/>
    <s v="Private"/>
    <m/>
    <m/>
    <m/>
    <s v=" "/>
    <s v=" "/>
    <m/>
    <s v=" "/>
    <s v=" "/>
    <s v=" "/>
    <m/>
    <s v=" "/>
  </r>
  <r>
    <s v="LNM14802"/>
    <s v="CBP"/>
    <s v="Federal"/>
    <s v="Fee Simple"/>
    <s v="3400 J St"/>
    <s v="Deming"/>
    <s v="NM"/>
    <n v="25"/>
    <n v="2000"/>
    <n v="45988"/>
    <n v="45988"/>
    <n v="1"/>
    <n v="1513275.99"/>
    <n v="32.90588827520223"/>
    <n v="1064949"/>
    <n v="23.15710620161781"/>
    <d v="2000-08-22T00:00:00"/>
    <d v="2015-08-21T00:00:00"/>
    <d v="2015-08-21T00:00:00"/>
    <n v="2.473972602739726"/>
    <n v="2.473972602739726"/>
    <s v="Modified Gross"/>
    <s v="None"/>
    <s v="None"/>
    <n v="6950000"/>
    <n v="151.12638079499"/>
    <n v="0.153230071942446"/>
    <m/>
    <d v="2013-03-01T00:00:00"/>
    <x v="1324"/>
    <s v="Newmark; Tim Strange"/>
    <x v="84"/>
    <s v="IL"/>
    <s v="Private"/>
    <m/>
    <m/>
    <m/>
    <s v=" "/>
    <s v=" "/>
    <m/>
    <s v=" "/>
    <s v=" "/>
    <s v=" "/>
    <m/>
    <s v=" "/>
  </r>
  <r>
    <s v="LOK13584"/>
    <s v="IRS"/>
    <s v="Federal"/>
    <s v="Fee Simple"/>
    <s v="55 N Robinson Ave"/>
    <s v="Oklahoma City"/>
    <s v="OK"/>
    <n v="1.05"/>
    <n v="1992"/>
    <n v="148704"/>
    <n v="185881"/>
    <n v="0.7999956961712064"/>
    <n v="1443689.19"/>
    <n v="9.708475831181406"/>
    <n v="1514000"/>
    <n v="8.144995992059435"/>
    <d v="1992-10-05T00:00:00"/>
    <d v="2014-02-28T00:00:00"/>
    <d v="2002-11-01T00:00:00"/>
    <n v="1.002739726027397"/>
    <n v="-10.33150684931507"/>
    <s v="Modified Gross"/>
    <s v="None"/>
    <s v="None"/>
    <n v="16300000"/>
    <n v="87.69051167144571"/>
    <n v="0.09288343558282208"/>
    <m/>
    <d v="2013-02-27T00:00:00"/>
    <x v="247"/>
    <s v="Direct"/>
    <x v="1187"/>
    <s v="CA"/>
    <s v="Private"/>
    <m/>
    <m/>
    <m/>
    <s v=" "/>
    <s v=" "/>
    <m/>
    <s v=" "/>
    <s v=" "/>
    <s v=" "/>
    <m/>
    <s v=" "/>
  </r>
  <r>
    <m/>
    <s v="VA"/>
    <s v="Federal"/>
    <s v="Fee Simple"/>
    <s v="7968 Essen Park Ave"/>
    <s v="Baton Rouge"/>
    <s v="LA"/>
    <n v="4.77"/>
    <n v="2004"/>
    <n v="30000"/>
    <n v="30000"/>
    <n v="1"/>
    <m/>
    <s v=" "/>
    <m/>
    <s v=" "/>
    <m/>
    <m/>
    <m/>
    <s v=" "/>
    <s v=" "/>
    <m/>
    <m/>
    <m/>
    <n v="28000000"/>
    <n v="933.3333333333334"/>
    <s v=" "/>
    <m/>
    <d v="2013-02-11T00:00:00"/>
    <x v="1612"/>
    <s v="Direct"/>
    <x v="1188"/>
    <s v="CA"/>
    <s v="Private"/>
    <m/>
    <m/>
    <m/>
    <s v=" "/>
    <s v=" "/>
    <m/>
    <s v=" "/>
    <s v=" "/>
    <s v=" "/>
    <m/>
    <s v=" "/>
  </r>
  <r>
    <m/>
    <s v="DCR"/>
    <s v="State"/>
    <s v="Fee Simple"/>
    <s v="344 W 5th St"/>
    <s v="Hanford"/>
    <s v="CA"/>
    <n v="0.86"/>
    <n v="2010"/>
    <n v="11149"/>
    <n v="11149"/>
    <n v="1"/>
    <m/>
    <s v=" "/>
    <n v="279000"/>
    <n v="25.02466588931743"/>
    <m/>
    <m/>
    <m/>
    <s v=" "/>
    <s v=" "/>
    <m/>
    <m/>
    <m/>
    <n v="3100000"/>
    <n v="278.0518432146381"/>
    <n v="0.09"/>
    <m/>
    <d v="2013-02-06T00:00:00"/>
    <x v="1613"/>
    <m/>
    <x v="1189"/>
    <m/>
    <s v="Private"/>
    <m/>
    <m/>
    <n v="3400000"/>
    <n v="0.08205882352941177"/>
    <n v="0.9117647058823529"/>
    <n v="3400000"/>
    <n v="0.08205882352941177"/>
    <n v="0.007941176470588229"/>
    <s v="No"/>
    <m/>
    <s v=" "/>
  </r>
  <r>
    <s v="LKY50110"/>
    <s v="SSA-ODAR"/>
    <s v="Federal"/>
    <s v="Fee Simple"/>
    <s v="2241 Buena Vista Rd"/>
    <s v="Lexington"/>
    <s v="KY"/>
    <n v="3.24"/>
    <n v="2012"/>
    <n v="44000"/>
    <n v="44000"/>
    <n v="1"/>
    <n v="986160.53"/>
    <n v="22.41273931818182"/>
    <n v="711680.0000000001"/>
    <n v="16.17454545454546"/>
    <d v="2012-04-03T00:00:00"/>
    <d v="2027-04-02T00:00:00"/>
    <d v="2027-04-02T00:00:00"/>
    <n v="14.17534246575342"/>
    <n v="14.17534246575342"/>
    <s v="Modified Gross"/>
    <s v="None"/>
    <s v="None"/>
    <n v="10240000"/>
    <n v="232.7272727272727"/>
    <n v="0.06950000000000001"/>
    <m/>
    <d v="2013-01-31T00:00:00"/>
    <x v="103"/>
    <s v="Direct"/>
    <x v="1"/>
    <s v="IL"/>
    <s v="Private"/>
    <m/>
    <m/>
    <m/>
    <s v=" "/>
    <s v=" "/>
    <m/>
    <s v=" "/>
    <s v=" "/>
    <s v=" "/>
    <m/>
    <s v=" "/>
  </r>
  <r>
    <s v="LAZ02607"/>
    <s v="USMS"/>
    <s v="Federal"/>
    <s v="Fee Simple"/>
    <s v="5365 N 99th Ave"/>
    <s v="Glendale"/>
    <s v="AZ"/>
    <n v="2.22"/>
    <n v="2008"/>
    <n v="16632"/>
    <n v="16632"/>
    <n v="1"/>
    <n v="443569.98"/>
    <n v="26.66967171717172"/>
    <n v="279500"/>
    <n v="16.8049543049543"/>
    <d v="2011-11-16T00:00:00"/>
    <d v="2021-11-15T00:00:00"/>
    <d v="2021-11-15T00:00:00"/>
    <n v="8.816438356164383"/>
    <n v="8.816438356164383"/>
    <s v="Modified Gross"/>
    <s v="None"/>
    <s v="None"/>
    <n v="4100000"/>
    <n v="246.5127465127465"/>
    <n v="0.06817073170731708"/>
    <m/>
    <d v="2013-01-23T00:00:00"/>
    <x v="1614"/>
    <s v="CBRE; Barry Gabel"/>
    <x v="1"/>
    <s v="IL"/>
    <s v="Private"/>
    <m/>
    <m/>
    <m/>
    <s v=" "/>
    <s v=" "/>
    <m/>
    <s v=" "/>
    <s v=" "/>
    <s v=" "/>
    <m/>
    <s v=" "/>
  </r>
  <r>
    <m/>
    <s v="IRS"/>
    <s v="Federal"/>
    <s v="Fee Simple"/>
    <s v="981 West 12th Street"/>
    <s v="Ogden"/>
    <s v="UT"/>
    <n v="6.47"/>
    <m/>
    <n v="63362"/>
    <n v="63362"/>
    <n v="1"/>
    <m/>
    <s v=" "/>
    <m/>
    <s v=" "/>
    <m/>
    <m/>
    <m/>
    <s v=" "/>
    <s v=" "/>
    <m/>
    <m/>
    <m/>
    <n v="10117153"/>
    <n v="159.6722483507465"/>
    <s v=" "/>
    <m/>
    <d v="2013-01-16T00:00:00"/>
    <x v="1615"/>
    <m/>
    <x v="0"/>
    <m/>
    <m/>
    <m/>
    <m/>
    <m/>
    <s v=" "/>
    <s v=" "/>
    <m/>
    <s v=" "/>
    <s v=" "/>
    <s v=" "/>
    <m/>
    <s v=" "/>
  </r>
  <r>
    <m/>
    <s v="VA/CPAC"/>
    <s v="Federal"/>
    <s v="Leasehold"/>
    <s v="1412 Hazelwood Dr."/>
    <s v="Smyrna"/>
    <s v="TN"/>
    <n v="6.47"/>
    <n v="2010"/>
    <n v="63362"/>
    <n v="63362"/>
    <n v="1"/>
    <n v="1112883"/>
    <n v="17.56388687225782"/>
    <n v="650776"/>
    <n v="10.27076165525078"/>
    <d v="2010-07-01T00:00:00"/>
    <d v="2030-06-30T00:00:00"/>
    <d v="2030-06-30T00:00:00"/>
    <n v="17.46301369863014"/>
    <n v="17.46301369863014"/>
    <s v="Modified Gross"/>
    <s v="Every 5 Years"/>
    <s v="None"/>
    <n v="10100000"/>
    <n v="159.401534042486"/>
    <n v="0.06443326732673267"/>
    <n v="0.1376247631765851"/>
    <d v="2013-01-16T00:00:00"/>
    <x v="1616"/>
    <s v="SJC; Clary"/>
    <x v="1190"/>
    <m/>
    <s v="Private"/>
    <m/>
    <m/>
    <n v="10270000"/>
    <n v="0.06336669912366115"/>
    <n v="0.9834469328140214"/>
    <n v="10270000"/>
    <n v="0.06336669912366115"/>
    <n v="0.001066568203071522"/>
    <s v="No"/>
    <m/>
    <s v=" "/>
  </r>
  <r>
    <s v="LIL16200"/>
    <s v="FAA"/>
    <s v="Federal"/>
    <s v="Fee Simple"/>
    <s v="2300 E Devon Ave"/>
    <s v="Des Plaines"/>
    <s v="IL"/>
    <n v="7.16"/>
    <n v="1968"/>
    <n v="209970"/>
    <n v="209970"/>
    <n v="1"/>
    <n v="4973006"/>
    <n v="23.68436443301424"/>
    <n v="3572400"/>
    <n v="17.01385912273182"/>
    <d v="2000-10-01T00:00:00"/>
    <d v="2014-10-20T00:00:00"/>
    <d v="2014-08-20T00:00:00"/>
    <n v="1.764383561643836"/>
    <n v="1.597260273972603"/>
    <s v="Modified Gross"/>
    <s v="None"/>
    <s v="None"/>
    <n v="39000000"/>
    <n v="185.7408201171596"/>
    <n v="0.0916"/>
    <m/>
    <d v="2013-01-14T00:00:00"/>
    <x v="1617"/>
    <s v="TW; Thomas Gorman"/>
    <x v="1191"/>
    <s v="CA"/>
    <s v="Institutional"/>
    <m/>
    <m/>
    <n v="48500000"/>
    <n v="0.07365773195876289"/>
    <n v="0.8041237113402062"/>
    <n v="48500000"/>
    <n v="0.07365773195876289"/>
    <n v="0.01794226804123711"/>
    <s v="No"/>
    <d v="2012-01-31T00:00:00"/>
    <n v="349"/>
  </r>
  <r>
    <s v="LFL61877"/>
    <s v="DEA"/>
    <s v="Federal"/>
    <s v="Fee Simple"/>
    <s v="650 NW Peacock Blvd"/>
    <s v="Port Saint Lucie"/>
    <s v="FL"/>
    <n v="3.56"/>
    <n v="2002"/>
    <n v="24858"/>
    <n v="24858"/>
    <n v="1"/>
    <n v="559647.41"/>
    <n v="22.51377463995495"/>
    <n v="369499"/>
    <n v="14.86438973368734"/>
    <d v="2012-06-01T00:00:00"/>
    <d v="2027-05-31T00:00:00"/>
    <d v="2022-06-01T00:00:00"/>
    <n v="14.41095890410959"/>
    <n v="9.41095890410959"/>
    <s v="Modified Gross"/>
    <s v="Yes, $12k in Non-Firm"/>
    <s v="None"/>
    <n v="4519000"/>
    <n v="181.7925818649932"/>
    <n v="0.08176565611861031"/>
    <m/>
    <d v="2013-01-04T00:00:00"/>
    <x v="1618"/>
    <m/>
    <x v="54"/>
    <s v="NC"/>
    <s v="REIT"/>
    <m/>
    <m/>
    <m/>
    <s v=" "/>
    <s v=" "/>
    <m/>
    <s v=" "/>
    <s v=" "/>
    <s v=" "/>
    <m/>
    <s v=" "/>
  </r>
  <r>
    <s v="LOH17083"/>
    <s v="SSA"/>
    <s v="Federal"/>
    <s v="Fee Simple"/>
    <s v="1720 E Melrose Ave"/>
    <s v="Findlay"/>
    <s v="OH"/>
    <n v="1.28"/>
    <n v="2006"/>
    <n v="6898"/>
    <n v="6898"/>
    <n v="1"/>
    <n v="180376.56"/>
    <n v="26.14910988692375"/>
    <m/>
    <s v=" "/>
    <d v="2006-07-14T00:00:00"/>
    <d v="2016-07-13T00:00:00"/>
    <d v="2016-07-13T00:00:00"/>
    <n v="3.526027397260274"/>
    <n v="3.526027397260274"/>
    <s v="FS"/>
    <m/>
    <s v="None"/>
    <n v="1150000"/>
    <n v="166.7149898521311"/>
    <s v=" "/>
    <m/>
    <d v="2013-01-03T00:00:00"/>
    <x v="1619"/>
    <s v="C21; James Koehler"/>
    <x v="1192"/>
    <s v="OH"/>
    <s v="Private"/>
    <m/>
    <m/>
    <m/>
    <s v=" "/>
    <s v=" "/>
    <m/>
    <s v=" "/>
    <s v=" "/>
    <s v=" "/>
    <m/>
    <s v=" "/>
  </r>
  <r>
    <s v="LTX16689"/>
    <s v="SSA"/>
    <s v="Federal"/>
    <s v="Fee Simple"/>
    <s v="2475 Cliff Creek Crossing"/>
    <s v="Dallas"/>
    <s v="TX"/>
    <n v="2.85"/>
    <n v="2011"/>
    <n v="17256"/>
    <n v="17256"/>
    <n v="1"/>
    <n v="747017"/>
    <n v="43.29027584608252"/>
    <n v="558900"/>
    <n v="32.38873435326843"/>
    <d v="2011-09-21T00:00:00"/>
    <d v="2021-09-20T00:00:00"/>
    <d v="2021-09-20T00:00:00"/>
    <n v="8.723287671232876"/>
    <n v="8.723287671232876"/>
    <s v="Modified Gross"/>
    <s v="None"/>
    <s v="None"/>
    <m/>
    <s v=" "/>
    <s v=" "/>
    <m/>
    <d v="2013-01-01T00:00:00"/>
    <x v="223"/>
    <m/>
    <x v="1098"/>
    <s v="AZ"/>
    <s v="Private"/>
    <m/>
    <m/>
    <m/>
    <s v=" "/>
    <s v=" "/>
    <m/>
    <s v=" "/>
    <s v=" "/>
    <s v=" "/>
    <m/>
    <s v=" "/>
  </r>
  <r>
    <s v="LTX15584"/>
    <s v="SSA"/>
    <s v="Federal"/>
    <s v="Fee Simple"/>
    <s v="600 E Peyton St"/>
    <s v="Sherman"/>
    <s v="TX"/>
    <n v="1.88"/>
    <n v="2006"/>
    <n v="10117"/>
    <n v="10117"/>
    <n v="1"/>
    <n v="208882.07"/>
    <n v="20.64664129682712"/>
    <m/>
    <s v=" "/>
    <d v="2006-06-23T00:00:00"/>
    <d v="2021-06-22T00:00:00"/>
    <d v="2016-06-23T00:00:00"/>
    <n v="8.476712328767123"/>
    <n v="3.476712328767123"/>
    <s v="Modified Gross"/>
    <s v="None"/>
    <s v="None"/>
    <m/>
    <s v=" "/>
    <s v=" "/>
    <m/>
    <d v="2013-01-01T00:00:00"/>
    <x v="1620"/>
    <s v="FORECLOSURE"/>
    <x v="1193"/>
    <s v="TX"/>
    <m/>
    <m/>
    <m/>
    <m/>
    <s v=" "/>
    <s v=" "/>
    <m/>
    <s v=" "/>
    <s v=" "/>
    <s v=" "/>
    <m/>
    <s v=" "/>
  </r>
  <r>
    <m/>
    <s v="VA"/>
    <s v="Federal"/>
    <s v="Fee Simple"/>
    <s v="975 Ninth Ave SW"/>
    <s v="Bessemer"/>
    <s v="AL"/>
    <m/>
    <n v="2006"/>
    <n v="15005"/>
    <n v="110000"/>
    <n v="0.1364090909090909"/>
    <m/>
    <s v=" "/>
    <n v="1812500"/>
    <n v="16.47727272727273"/>
    <m/>
    <m/>
    <m/>
    <s v=" "/>
    <s v=" "/>
    <m/>
    <m/>
    <m/>
    <n v="25000000"/>
    <n v="227.2727272727273"/>
    <n v="0.0725"/>
    <m/>
    <d v="2012-12-31T00:00:00"/>
    <x v="1133"/>
    <s v="Cain"/>
    <x v="1194"/>
    <s v="CA"/>
    <s v="REIT"/>
    <m/>
    <m/>
    <m/>
    <s v=" "/>
    <s v=" "/>
    <m/>
    <s v=" "/>
    <s v=" "/>
    <s v=" "/>
    <m/>
    <s v=" "/>
  </r>
  <r>
    <s v="LNY23481"/>
    <s v="SSA"/>
    <s v="Federal"/>
    <s v="Fee Simple"/>
    <s v="93 N 9th St"/>
    <s v="Brooklyn"/>
    <s v="NY"/>
    <n v="0.5600000000000001"/>
    <n v="1960"/>
    <n v="7207"/>
    <n v="12000"/>
    <n v="0.6005833333333334"/>
    <n v="333321.2"/>
    <n v="46.2496461773276"/>
    <m/>
    <s v=" "/>
    <d v="2007-12-21T00:00:00"/>
    <d v="2017-12-20T00:00:00"/>
    <d v="2012-12-21T00:00:00"/>
    <n v="4.972602739726027"/>
    <n v="-0.0273972602739726"/>
    <s v="Modified Gross"/>
    <s v="None"/>
    <s v="None"/>
    <n v="4500000"/>
    <n v="375"/>
    <s v=" "/>
    <m/>
    <d v="2012-12-31T00:00:00"/>
    <x v="1621"/>
    <m/>
    <x v="1195"/>
    <m/>
    <s v="Private"/>
    <m/>
    <m/>
    <m/>
    <s v=" "/>
    <s v=" "/>
    <m/>
    <s v=" "/>
    <s v=" "/>
    <s v=" "/>
    <m/>
    <s v=" "/>
  </r>
  <r>
    <s v="LKY61999"/>
    <s v="IRS"/>
    <s v="Federal"/>
    <s v="Fee Simple"/>
    <s v="7125 Industrial Rd"/>
    <s v="Florence"/>
    <s v="KY"/>
    <n v="37.86"/>
    <n v="1980"/>
    <n v="167939"/>
    <n v="167939"/>
    <n v="1"/>
    <n v="2446001.71"/>
    <n v="14.56482240575447"/>
    <n v="1474200"/>
    <n v="8.778187318014279"/>
    <d v="2012-06-17T00:00:00"/>
    <d v="2022-06-16T00:00:00"/>
    <d v="2017-06-16T00:00:00"/>
    <n v="9.463013698630137"/>
    <n v="4.46027397260274"/>
    <s v="Modified Gross"/>
    <s v="None"/>
    <s v="None"/>
    <n v="18200000"/>
    <n v="108.3726829384479"/>
    <n v="0.081"/>
    <m/>
    <d v="2012-12-31T00:00:00"/>
    <x v="1622"/>
    <s v="CBRE; James Vondran"/>
    <x v="790"/>
    <s v="MA"/>
    <s v="REIT"/>
    <m/>
    <m/>
    <m/>
    <s v=" "/>
    <s v=" "/>
    <m/>
    <s v=" "/>
    <s v=" "/>
    <s v=" "/>
    <m/>
    <s v=" "/>
  </r>
  <r>
    <m/>
    <s v="VA"/>
    <s v="Federal"/>
    <s v="Fee Simple"/>
    <s v="205 S Enterprise Pky"/>
    <s v="Corpus Christi"/>
    <s v="TX"/>
    <n v="5.2"/>
    <n v="2012"/>
    <n v="37444"/>
    <n v="37444"/>
    <n v="1"/>
    <m/>
    <s v=" "/>
    <n v="874219.2252202253"/>
    <n v="23.3473780904878"/>
    <d v="2012-09-16T00:00:00"/>
    <d v="2032-09-15T00:00:00"/>
    <d v="2032-09-15T00:00:00"/>
    <n v="19.73150684931507"/>
    <n v="19.73150684931507"/>
    <s v="Modified Gross"/>
    <s v="None"/>
    <s v="None"/>
    <n v="14250000"/>
    <n v="380.568315350924"/>
    <n v="0.06134871755931406"/>
    <n v="0.25"/>
    <d v="2012-12-27T00:00:00"/>
    <x v="1623"/>
    <s v="C&amp;W; Travis Trautvetter"/>
    <x v="1196"/>
    <s v="TX"/>
    <s v="Private"/>
    <m/>
    <m/>
    <m/>
    <s v=" "/>
    <s v=" "/>
    <m/>
    <s v=" "/>
    <s v=" "/>
    <s v=" "/>
    <m/>
    <s v=" "/>
  </r>
  <r>
    <m/>
    <s v="Lottery"/>
    <s v="State"/>
    <s v="Fee Simple"/>
    <s v="601-621 E 6th St"/>
    <s v="Austin"/>
    <s v="TX"/>
    <n v="5.25"/>
    <m/>
    <n v="87986"/>
    <n v="87986"/>
    <n v="1"/>
    <m/>
    <s v=" "/>
    <n v="1476562.5"/>
    <n v="16.78178914827359"/>
    <m/>
    <m/>
    <m/>
    <s v=" "/>
    <s v=" "/>
    <m/>
    <m/>
    <m/>
    <n v="19687500"/>
    <n v="223.7571886436479"/>
    <n v="0.075"/>
    <m/>
    <d v="2012-12-19T00:00:00"/>
    <x v="1624"/>
    <s v="Colliers; Cottle &amp; Kennedy"/>
    <x v="0"/>
    <m/>
    <m/>
    <m/>
    <m/>
    <m/>
    <s v=" "/>
    <s v=" "/>
    <m/>
    <s v=" "/>
    <s v=" "/>
    <s v=" "/>
    <m/>
    <s v=" "/>
  </r>
  <r>
    <s v="LIN17990"/>
    <s v="SSA"/>
    <s v="Federal"/>
    <s v="Fee Simple"/>
    <s v="2300 N Green River Rd"/>
    <s v="Evansville"/>
    <s v="IN"/>
    <n v="1.67"/>
    <n v="2010"/>
    <n v="14000"/>
    <n v="14000"/>
    <n v="1"/>
    <n v="413943.86"/>
    <n v="29.56741857142857"/>
    <n v="296149"/>
    <n v="21.1535"/>
    <d v="2010-10-13T00:00:00"/>
    <d v="2020-10-12T00:00:00"/>
    <d v="2020-10-12T00:00:00"/>
    <n v="7.81917808219178"/>
    <n v="7.81917808219178"/>
    <s v="Modified Gross"/>
    <s v="None"/>
    <s v="None"/>
    <n v="3987500"/>
    <n v="284.8214285714286"/>
    <n v="0.07426934169278997"/>
    <m/>
    <d v="2012-12-19T00:00:00"/>
    <x v="1539"/>
    <s v="Direct"/>
    <x v="1197"/>
    <s v="Y"/>
    <s v="Private"/>
    <m/>
    <m/>
    <m/>
    <s v=" "/>
    <s v=" "/>
    <m/>
    <s v=" "/>
    <s v=" "/>
    <s v=" "/>
    <m/>
    <s v=" "/>
  </r>
  <r>
    <s v="LUT14172"/>
    <s v="FBI"/>
    <s v="Federal"/>
    <s v="Fee Simple"/>
    <s v="5425 W. Amelia Earhart Dr."/>
    <s v="Salt Lake City"/>
    <s v="UT"/>
    <n v="7.46"/>
    <n v="2012"/>
    <n v="163040"/>
    <n v="163040"/>
    <n v="1"/>
    <n v="6364395.34"/>
    <n v="39.03579084887144"/>
    <n v="4902159"/>
    <n v="30.06721663395486"/>
    <d v="2012-10-23T00:00:00"/>
    <d v="2032-10-22T00:00:00"/>
    <d v="2032-10-22T00:00:00"/>
    <n v="19.85479452054794"/>
    <n v="19.85479452054794"/>
    <s v="Modified Gross"/>
    <s v="None"/>
    <s v="None"/>
    <n v="77141000"/>
    <n v="473.1415603532876"/>
    <n v="0.06354803541566742"/>
    <m/>
    <d v="2012-12-19T00:00:00"/>
    <x v="1625"/>
    <s v="M&amp;M"/>
    <x v="1198"/>
    <s v="Kuwai"/>
    <s v="Cross-Border"/>
    <m/>
    <m/>
    <m/>
    <s v=" "/>
    <s v=" "/>
    <m/>
    <s v=" "/>
    <s v=" "/>
    <s v=" "/>
    <m/>
    <s v=" "/>
  </r>
  <r>
    <m/>
    <s v="USPS"/>
    <s v="Federal"/>
    <s v="Fee Simple"/>
    <s v="4702 Park 370 Blvd"/>
    <s v="Hazelwood"/>
    <s v="MO"/>
    <n v="18.09"/>
    <n v="2006"/>
    <n v="299004"/>
    <n v="494333"/>
    <n v="0.6048635231716272"/>
    <m/>
    <s v=" "/>
    <n v="1730165.5"/>
    <n v="3.5"/>
    <m/>
    <d v="2024-08-31T00:00:00"/>
    <d v="2024-08-31T00:00:00"/>
    <n v="11.71780821917808"/>
    <n v="11.71780821917808"/>
    <s v="Rider"/>
    <s v="None"/>
    <s v="None"/>
    <n v="23139432"/>
    <n v="46.80940175954266"/>
    <n v="0.07477130380728447"/>
    <m/>
    <d v="2012-12-15T00:00:00"/>
    <x v="1626"/>
    <s v="JLL"/>
    <x v="1199"/>
    <s v="NY"/>
    <s v="Private"/>
    <m/>
    <m/>
    <m/>
    <s v=" "/>
    <s v=" "/>
    <m/>
    <s v=" "/>
    <s v=" "/>
    <s v=" "/>
    <m/>
    <s v=" "/>
  </r>
  <r>
    <m/>
    <s v="BLM"/>
    <s v="Federal"/>
    <s v="Fee Simple"/>
    <s v="1661 S 4th St"/>
    <s v="El Centro"/>
    <s v="CA"/>
    <n v="2.1"/>
    <m/>
    <n v="16399"/>
    <n v="16399"/>
    <n v="1"/>
    <n v="300000"/>
    <n v="18.29379840234161"/>
    <n v="206850"/>
    <n v="12.61357399841454"/>
    <m/>
    <m/>
    <m/>
    <s v=" "/>
    <s v=" "/>
    <m/>
    <m/>
    <m/>
    <n v="1970000"/>
    <n v="120.1292761753765"/>
    <n v="0.105"/>
    <m/>
    <d v="2012-12-13T00:00:00"/>
    <x v="1627"/>
    <s v="CB; Pat Seay"/>
    <x v="1200"/>
    <s v="CA"/>
    <s v="Private"/>
    <s v="Michael Bufano"/>
    <m/>
    <n v="2213865"/>
    <n v="0.09343388146973731"/>
    <n v="0.8898464901879745"/>
    <n v="2213865"/>
    <n v="0.09343388146973731"/>
    <n v="0.01156611853026268"/>
    <s v="No"/>
    <d v="2012-06-25T00:00:00"/>
    <n v="171"/>
  </r>
  <r>
    <s v="LMD02297"/>
    <s v="FDA"/>
    <s v="Federal"/>
    <s v="Fee Simple"/>
    <s v="12100 Parklawn Dr"/>
    <s v="Rockville"/>
    <s v="MD"/>
    <n v="2.3"/>
    <n v="1963"/>
    <n v="78177"/>
    <n v="85231"/>
    <n v="0.9172366861822576"/>
    <n v="1122883"/>
    <n v="14.36334215945866"/>
    <n v="945000.0000000001"/>
    <n v="11.08751510600603"/>
    <d v="2011-06-21T00:00:00"/>
    <d v="2021-06-21T00:00:00"/>
    <d v="2021-06-29T00:00:00"/>
    <n v="8.528767123287672"/>
    <n v="8.550684931506849"/>
    <s v="Modified Gross"/>
    <s v="None"/>
    <s v="None"/>
    <n v="11912500"/>
    <n v="139.767220846875"/>
    <n v="0.07932843651626444"/>
    <m/>
    <d v="2012-12-12T00:00:00"/>
    <x v="1628"/>
    <s v="TW; Bob Filley"/>
    <x v="429"/>
    <s v="NY"/>
    <s v="Private"/>
    <m/>
    <m/>
    <n v="13500000"/>
    <n v="0.07000000000000001"/>
    <n v="0.8824074074074074"/>
    <n v="13500000"/>
    <n v="0.07000000000000001"/>
    <n v="0.009328436516264429"/>
    <s v="No"/>
    <d v="2012-03-23T00:00:00"/>
    <n v="264"/>
  </r>
  <r>
    <s v="LAZ02895"/>
    <s v="ICE"/>
    <s v="Federal"/>
    <s v="Fee Simple"/>
    <s v="5710 W Chandler Blvd"/>
    <s v="Chandler"/>
    <s v="AZ"/>
    <n v="4.51"/>
    <n v="2008"/>
    <n v="38440"/>
    <n v="55908"/>
    <n v="0.6875581312155684"/>
    <n v="773797.2"/>
    <n v="20.13"/>
    <m/>
    <s v=" "/>
    <d v="2012-08-03T00:00:00"/>
    <d v="2022-08-02T00:00:00"/>
    <d v="2022-08-02T00:00:00"/>
    <n v="9.657534246575343"/>
    <n v="9.657534246575343"/>
    <s v="Modified Gross"/>
    <s v="None"/>
    <s v="None"/>
    <n v="5041118"/>
    <n v="90.16809758889605"/>
    <s v=" "/>
    <m/>
    <d v="2012-12-07T00:00:00"/>
    <x v="1629"/>
    <s v="C&amp;W; Scott Baumgarten"/>
    <x v="1201"/>
    <s v="AZ"/>
    <s v="Private"/>
    <m/>
    <m/>
    <m/>
    <s v=" "/>
    <s v=" "/>
    <m/>
    <s v=" "/>
    <s v=" "/>
    <s v=" "/>
    <m/>
    <s v=" "/>
  </r>
  <r>
    <s v="LIL15681"/>
    <s v="SSA"/>
    <s v="Federal"/>
    <s v="Fee Simple"/>
    <s v="5130 W North Ave"/>
    <s v="Chicago"/>
    <s v="IL"/>
    <n v="1.1"/>
    <n v="1960"/>
    <n v="22003"/>
    <n v="22003"/>
    <n v="1"/>
    <n v="395479.33"/>
    <n v="17.97388219788211"/>
    <m/>
    <s v=" "/>
    <d v="1995-04-29T00:00:00"/>
    <d v="2017-04-29T00:00:00"/>
    <d v="2016-04-29T00:00:00"/>
    <n v="4.413698630136986"/>
    <n v="3.413698630136986"/>
    <s v="N"/>
    <m/>
    <s v="None"/>
    <n v="3707618.71875"/>
    <n v="168.5051456051447"/>
    <s v=" "/>
    <m/>
    <d v="2012-11-30T00:00:00"/>
    <x v="1630"/>
    <m/>
    <x v="1202"/>
    <m/>
    <s v="Private"/>
    <m/>
    <m/>
    <m/>
    <s v=" "/>
    <s v=" "/>
    <m/>
    <s v=" "/>
    <s v=" "/>
    <s v=" "/>
    <m/>
    <s v=" "/>
  </r>
  <r>
    <s v="LMI18191"/>
    <s v="SSA"/>
    <s v="Federal"/>
    <s v="Fee Simple"/>
    <s v="340 Morris Ave"/>
    <s v="Muskegon"/>
    <s v="MI"/>
    <n v="1.09"/>
    <n v="2012"/>
    <n v="9999"/>
    <n v="9999"/>
    <n v="1"/>
    <n v="325364.79"/>
    <n v="32.53973297329733"/>
    <n v="229600"/>
    <n v="22.96229622962296"/>
    <d v="2012-05-31T00:00:00"/>
    <d v="2022-05-30T00:00:00"/>
    <d v="2022-05-30T00:00:00"/>
    <n v="9.501369863013698"/>
    <n v="9.501369863013698"/>
    <s v="Modified Gross"/>
    <s v="None"/>
    <s v="None"/>
    <n v="2300000"/>
    <n v="230.02300230023"/>
    <n v="0.09982608695652175"/>
    <m/>
    <d v="2012-11-30T00:00:00"/>
    <x v="1631"/>
    <s v="Newmark; Gallas"/>
    <x v="1"/>
    <s v="IL"/>
    <s v="Private"/>
    <m/>
    <m/>
    <n v="2800000"/>
    <n v="0.082"/>
    <n v="0.8214285714285714"/>
    <n v="2800000"/>
    <n v="0.082"/>
    <n v="0.01782608695652174"/>
    <s v="No"/>
    <d v="2011-12-02T00:00:00"/>
    <n v="364"/>
  </r>
  <r>
    <s v="LVA01928"/>
    <s v="FBI"/>
    <s v="Federal"/>
    <s v="Fee Simple"/>
    <s v="801 Follin Ln SE"/>
    <s v="Vienna"/>
    <s v="VA"/>
    <n v="33.66"/>
    <n v="1971"/>
    <n v="190038"/>
    <n v="190038"/>
    <n v="1"/>
    <n v="6612327.87"/>
    <n v="34.7947666782433"/>
    <n v="5703500"/>
    <n v="30.01241856891779"/>
    <d v="2011-01-20T00:00:00"/>
    <d v="2021-01-19T00:00:00"/>
    <d v="2021-01-19T00:00:00"/>
    <n v="8.142465753424657"/>
    <n v="8.142465753424657"/>
    <s v="Modified Gross"/>
    <s v="None"/>
    <s v="None"/>
    <n v="93500000"/>
    <n v="492.0068617855376"/>
    <n v="0.061"/>
    <m/>
    <d v="2012-11-30T00:00:00"/>
    <x v="1632"/>
    <s v="Eastdil"/>
    <x v="1203"/>
    <s v="CA"/>
    <s v="Private"/>
    <m/>
    <m/>
    <m/>
    <s v=" "/>
    <s v=" "/>
    <m/>
    <s v=" "/>
    <s v=" "/>
    <s v=" "/>
    <m/>
    <s v=" "/>
  </r>
  <r>
    <m/>
    <s v="ATF"/>
    <s v="Federal"/>
    <s v="Fee Simple"/>
    <s v="166 S Roadrunner Pky"/>
    <s v="Las Cruces"/>
    <s v="NM"/>
    <n v="2.59"/>
    <n v="2002"/>
    <n v="6978"/>
    <n v="13894"/>
    <n v="0.5022311789261552"/>
    <m/>
    <s v=" "/>
    <m/>
    <s v=" "/>
    <d v="2011-09-01T00:00:00"/>
    <d v="2021-09-02T00:00:00"/>
    <d v="2016-09-02T00:00:00"/>
    <n v="8.772602739726027"/>
    <n v="3.76986301369863"/>
    <s v="Modified Gross"/>
    <s v="None"/>
    <s v="None"/>
    <n v="1959800"/>
    <n v="141.0536922412552"/>
    <s v=" "/>
    <m/>
    <d v="2012-11-26T00:00:00"/>
    <x v="1633"/>
    <m/>
    <x v="1204"/>
    <s v="NM"/>
    <s v="Private"/>
    <m/>
    <m/>
    <m/>
    <s v=" "/>
    <s v=" "/>
    <m/>
    <s v=" "/>
    <s v=" "/>
    <s v=" "/>
    <m/>
    <s v=" "/>
  </r>
  <r>
    <s v="LMT14191"/>
    <s v="DEA"/>
    <s v="Federal"/>
    <s v="Fee Simple"/>
    <s v="2970 King Ave W"/>
    <s v="Billings"/>
    <s v="MT"/>
    <n v="3.07"/>
    <n v="2008"/>
    <n v="13599"/>
    <n v="13599"/>
    <n v="1"/>
    <n v="487294.66"/>
    <n v="35.83312449444812"/>
    <n v="288179"/>
    <n v="21.19119052871535"/>
    <d v="2008-12-09T00:00:00"/>
    <d v="2023-12-08T00:00:00"/>
    <d v="2023-12-08T00:00:00"/>
    <n v="11.06849315068493"/>
    <n v="11.06849315068493"/>
    <s v="Modified Gross"/>
    <s v="None"/>
    <s v="None"/>
    <n v="3830000"/>
    <n v="281.6383557614531"/>
    <n v="0.0752425587467363"/>
    <m/>
    <d v="2012-11-15T00:00:00"/>
    <x v="540"/>
    <m/>
    <x v="1"/>
    <s v="IL"/>
    <s v="Private"/>
    <m/>
    <m/>
    <m/>
    <s v=" "/>
    <s v=" "/>
    <m/>
    <s v=" "/>
    <s v=" "/>
    <s v=" "/>
    <m/>
    <s v=" "/>
  </r>
  <r>
    <s v="LMD09605"/>
    <s v="CMS"/>
    <s v="Federal"/>
    <s v="Fee Simple"/>
    <s v="7210 Ambassador Rd"/>
    <s v="Windsor Mill"/>
    <s v="MD"/>
    <n v="7.96"/>
    <n v="1972"/>
    <n v="78361"/>
    <n v="78361"/>
    <n v="1"/>
    <n v="1882143.78"/>
    <n v="24.01888413879353"/>
    <n v="1315658"/>
    <n v="16.7897040619696"/>
    <d v="2011-04-01T00:00:00"/>
    <d v="2021-03-31T00:00:00"/>
    <d v="2016-04-01T00:00:00"/>
    <n v="8.38082191780822"/>
    <n v="3.380821917808219"/>
    <s v="Modified Gross"/>
    <s v="None"/>
    <s v="1, 5 year"/>
    <n v="14450000"/>
    <n v="184.4029555518689"/>
    <n v="0.09104899653979238"/>
    <m/>
    <d v="2012-11-14T00:00:00"/>
    <x v="1634"/>
    <s v="C&amp;W; Carpenter"/>
    <x v="790"/>
    <s v="MA"/>
    <s v="REIT"/>
    <m/>
    <m/>
    <m/>
    <s v=" "/>
    <s v=" "/>
    <m/>
    <s v=" "/>
    <s v=" "/>
    <s v=" "/>
    <d v="2012-07-30T00:00:00"/>
    <n v="107"/>
  </r>
  <r>
    <m/>
    <s v="Multi"/>
    <s v="Federal"/>
    <s v="Fee Simple"/>
    <s v="15109 Heathrow Forest Pky"/>
    <s v="Houston"/>
    <s v="TX"/>
    <n v="4.26"/>
    <n v="2009"/>
    <n v="34488"/>
    <n v="63594"/>
    <n v="0.5423153127653553"/>
    <m/>
    <s v=" "/>
    <m/>
    <s v=" "/>
    <m/>
    <d v="2026-01-31T00:00:00"/>
    <d v="2021-01-31T00:00:00"/>
    <n v="13.23561643835616"/>
    <n v="8.232876712328768"/>
    <s v="Modified Gross"/>
    <s v="None"/>
    <s v="None"/>
    <m/>
    <s v=" "/>
    <s v=" "/>
    <m/>
    <d v="2012-11-09T00:00:00"/>
    <x v="1635"/>
    <s v="JLL; Miller"/>
    <x v="1205"/>
    <s v="TX"/>
    <s v="Private"/>
    <m/>
    <m/>
    <m/>
    <s v=" "/>
    <s v=" "/>
    <m/>
    <s v=" "/>
    <s v=" "/>
    <s v=" "/>
    <m/>
    <s v=" "/>
  </r>
  <r>
    <s v="LNC42087"/>
    <s v="INS"/>
    <s v="Federal"/>
    <s v="Fee Simple"/>
    <s v="6130 Tyvola Centre Dr"/>
    <s v="Charlotte"/>
    <s v="NC"/>
    <n v="8"/>
    <n v="2003"/>
    <n v="52000"/>
    <n v="52000"/>
    <n v="1"/>
    <n v="1127300.03"/>
    <n v="21.67884673076923"/>
    <n v="695475"/>
    <n v="13.37451923076923"/>
    <d v="2003-07-29T00:00:00"/>
    <d v="2023-07-28T00:00:00"/>
    <d v="2018-07-29T00:00:00"/>
    <n v="10.72328767123288"/>
    <n v="5.723287671232876"/>
    <s v="Modified Gross"/>
    <s v="None"/>
    <s v="None"/>
    <n v="7025000"/>
    <n v="135.0961538461538"/>
    <n v="0.099"/>
    <m/>
    <d v="2012-11-08T00:00:00"/>
    <x v="973"/>
    <s v="Colliers; Jonathan Barry"/>
    <x v="1206"/>
    <s v="NY"/>
    <s v="Private"/>
    <m/>
    <m/>
    <m/>
    <s v=" "/>
    <s v=" "/>
    <m/>
    <s v=" "/>
    <s v=" "/>
    <s v=" "/>
    <m/>
    <s v=" "/>
  </r>
  <r>
    <s v="LMS29037"/>
    <s v="MEPS"/>
    <s v="Federal"/>
    <s v="Fee Simple"/>
    <s v="664 S State St"/>
    <s v="Jackson"/>
    <s v="MS"/>
    <m/>
    <n v="1990"/>
    <n v="23803"/>
    <n v="23803"/>
    <n v="1"/>
    <n v="339458.55"/>
    <n v="14.26116665966475"/>
    <m/>
    <s v=" "/>
    <d v="1990-10-12T00:00:00"/>
    <d v="2014-06-30T00:00:00"/>
    <d v="2013-06-30T00:00:00"/>
    <n v="1.657534246575342"/>
    <n v="0.6575342465753424"/>
    <s v="Full Service"/>
    <m/>
    <s v="None"/>
    <n v="3182423.90625"/>
    <n v="133.698437434357"/>
    <s v=" "/>
    <m/>
    <d v="2012-11-02T00:00:00"/>
    <x v="1636"/>
    <m/>
    <x v="1207"/>
    <m/>
    <s v="Private"/>
    <m/>
    <m/>
    <m/>
    <s v=" "/>
    <s v=" "/>
    <m/>
    <s v=" "/>
    <s v=" "/>
    <s v=" "/>
    <m/>
    <s v=" "/>
  </r>
  <r>
    <m/>
    <s v="SSA"/>
    <s v="Federal"/>
    <s v="Fee Simple"/>
    <s v="2010 S Church St"/>
    <s v="Burlington"/>
    <s v="NC"/>
    <n v="1.68"/>
    <n v="2002"/>
    <n v="5206"/>
    <n v="5206"/>
    <n v="1"/>
    <m/>
    <s v=" "/>
    <m/>
    <s v=" "/>
    <m/>
    <m/>
    <m/>
    <s v=" "/>
    <s v=" "/>
    <m/>
    <m/>
    <m/>
    <n v="600000"/>
    <n v="115.2516327314637"/>
    <s v=" "/>
    <m/>
    <d v="2012-10-24T00:00:00"/>
    <x v="1637"/>
    <m/>
    <x v="1208"/>
    <s v="NC"/>
    <s v="User/Owner"/>
    <m/>
    <m/>
    <m/>
    <s v=" "/>
    <s v=" "/>
    <m/>
    <s v=" "/>
    <s v=" "/>
    <s v=" "/>
    <m/>
    <s v=" "/>
  </r>
  <r>
    <s v="LFL59824"/>
    <s v="DEA"/>
    <s v="Federal"/>
    <s v="Fee Simple"/>
    <s v="2205 NW 132nd Pl"/>
    <s v="Miami"/>
    <s v="FL"/>
    <n v="9.140000000000001"/>
    <n v="2011"/>
    <n v="57055"/>
    <n v="57055"/>
    <n v="1"/>
    <n v="3931439.92"/>
    <n v="68.90614179300675"/>
    <n v="3066000"/>
    <n v="53.73762159319956"/>
    <d v="2011-08-09T00:00:00"/>
    <d v="2031-08-08T00:00:00"/>
    <d v="2031-08-08T00:00:00"/>
    <n v="18.80547945205479"/>
    <n v="18.80547945205479"/>
    <s v="Modified Gross"/>
    <s v="None"/>
    <s v="None"/>
    <n v="43800000"/>
    <n v="767.6803084742792"/>
    <n v="0.07000000000000001"/>
    <m/>
    <d v="2012-10-22T00:00:00"/>
    <x v="758"/>
    <s v="Direct"/>
    <x v="1209"/>
    <m/>
    <s v="Cross-Border"/>
    <m/>
    <m/>
    <m/>
    <s v=" "/>
    <s v=" "/>
    <m/>
    <s v=" "/>
    <s v=" "/>
    <s v=" "/>
    <m/>
    <s v=" "/>
  </r>
  <r>
    <s v="LPA90321"/>
    <s v="FBI"/>
    <s v="Federal"/>
    <s v="Fee Simple"/>
    <s v="1385 Eisenhower Blvd"/>
    <s v="Johnstown"/>
    <s v="PA"/>
    <n v="3.6"/>
    <n v="2011"/>
    <n v="13834"/>
    <n v="13834"/>
    <n v="1"/>
    <n v="535687"/>
    <n v="38.72249530143126"/>
    <n v="414470.0000000001"/>
    <n v="29.96024287986122"/>
    <d v="2011-09-29T00:00:00"/>
    <d v="2021-09-28T00:00:00"/>
    <d v="2021-09-28T00:00:00"/>
    <n v="8.947945205479453"/>
    <n v="8.947945205479453"/>
    <s v="Modified Gross"/>
    <s v="None"/>
    <s v="None"/>
    <n v="5254530"/>
    <n v="379.8272372415787"/>
    <n v="0.07887860569832127"/>
    <m/>
    <d v="2012-10-19T00:00:00"/>
    <x v="1638"/>
    <s v="M&amp;M; Geoff Ficke"/>
    <x v="429"/>
    <s v="NY"/>
    <s v="Private"/>
    <m/>
    <m/>
    <m/>
    <s v=" "/>
    <s v=" "/>
    <m/>
    <s v=" "/>
    <s v=" "/>
    <s v=" "/>
    <m/>
    <s v=" "/>
  </r>
  <r>
    <s v="LFL43819"/>
    <s v="CBP"/>
    <s v="Federal"/>
    <s v="Fee Simple"/>
    <s v="3301 Lakeshore Dr"/>
    <s v="Riviera Beach"/>
    <s v="FL"/>
    <n v="3.64"/>
    <n v="2004"/>
    <n v="23653"/>
    <n v="23653"/>
    <n v="1"/>
    <n v="1009353.11"/>
    <n v="42.67336532363759"/>
    <m/>
    <s v=" "/>
    <d v="2004-07-01T00:00:00"/>
    <d v="2014-06-30T00:00:00"/>
    <d v="2014-06-30T00:00:00"/>
    <n v="1.695890410958904"/>
    <n v="1.695890410958904"/>
    <s v="Full Service"/>
    <m/>
    <s v="None"/>
    <n v="7211784"/>
    <n v="304.8993362364182"/>
    <s v=" "/>
    <m/>
    <d v="2012-10-19T00:00:00"/>
    <x v="1639"/>
    <s v="Direct"/>
    <x v="1143"/>
    <s v="IL"/>
    <s v="Private"/>
    <m/>
    <m/>
    <m/>
    <s v=" "/>
    <s v=" "/>
    <m/>
    <s v=" "/>
    <s v=" "/>
    <s v=" "/>
    <m/>
    <s v=" "/>
  </r>
  <r>
    <s v="LCA02551"/>
    <s v="SSA"/>
    <s v="Federal"/>
    <s v="Fee Simple"/>
    <s v="510 Commerce Ct"/>
    <s v="Manteca"/>
    <s v="CA"/>
    <n v="1.38"/>
    <n v="2011"/>
    <n v="8959"/>
    <n v="8959"/>
    <n v="1"/>
    <n v="391265"/>
    <n v="43.67284295122224"/>
    <n v="300000"/>
    <n v="33.48588012054917"/>
    <d v="2011-10-12T00:00:00"/>
    <d v="2026-10-11T00:00:00"/>
    <d v="2021-10-12T00:00:00"/>
    <n v="14.01095890410959"/>
    <n v="9.010958904109589"/>
    <s v="Modified Gross"/>
    <s v="None"/>
    <s v="None"/>
    <n v="4000000"/>
    <n v="446.4784016073223"/>
    <n v="0.075"/>
    <m/>
    <d v="2012-10-10T00:00:00"/>
    <x v="681"/>
    <s v="M&amp;M; Travis Trautvetter"/>
    <x v="1210"/>
    <s v="CA"/>
    <s v="Private"/>
    <m/>
    <m/>
    <m/>
    <s v=" "/>
    <s v=" "/>
    <m/>
    <s v=" "/>
    <s v=" "/>
    <s v=" "/>
    <m/>
    <s v=" "/>
  </r>
  <r>
    <s v="LFL42864"/>
    <s v="CBP"/>
    <s v="Federal"/>
    <s v="Fee Simple"/>
    <s v="489 Dundas Drive"/>
    <s v="Jacksonville"/>
    <s v="FL"/>
    <n v="3.51"/>
    <n v="2004"/>
    <n v="12160"/>
    <n v="12160"/>
    <n v="1"/>
    <n v="477965"/>
    <n v="39.3063322368421"/>
    <n v="230384"/>
    <n v="18.94605263157895"/>
    <d v="2004-05-01T00:00:00"/>
    <d v="2019-04-30T00:00:00"/>
    <d v="2014-05-01T00:00:00"/>
    <n v="6.56986301369863"/>
    <n v="1.56986301369863"/>
    <s v="Full Service"/>
    <m/>
    <s v="1, 10 year"/>
    <n v="3321216"/>
    <n v="273.1263157894737"/>
    <n v="0.06936736424249433"/>
    <m/>
    <d v="2012-10-05T00:00:00"/>
    <x v="531"/>
    <s v="Direct"/>
    <x v="1143"/>
    <s v="VA"/>
    <s v="Private"/>
    <m/>
    <m/>
    <m/>
    <s v=" "/>
    <s v=" "/>
    <m/>
    <s v=" "/>
    <s v=" "/>
    <s v=" "/>
    <m/>
    <s v=" "/>
  </r>
  <r>
    <s v="LTX16355"/>
    <s v="FBI &amp; CBP"/>
    <s v="Federal"/>
    <s v="Fee Simple"/>
    <s v="114 W Broadway St"/>
    <s v="Del Rio"/>
    <s v="TX"/>
    <n v="0.89"/>
    <n v="2011"/>
    <n v="10879"/>
    <n v="10879"/>
    <n v="1"/>
    <n v="585516.78"/>
    <n v="53.8208272819193"/>
    <m/>
    <s v=" "/>
    <d v="2011-03-24T00:00:00"/>
    <d v="2021-03-23T00:00:00"/>
    <d v="2021-03-23T00:00:00"/>
    <n v="8.476712328767123"/>
    <n v="8.476712328767123"/>
    <s v="Modified Gross"/>
    <s v="None"/>
    <s v="None"/>
    <n v="6000000"/>
    <n v="551.5212795293685"/>
    <s v=" "/>
    <m/>
    <d v="2012-10-02T00:00:00"/>
    <x v="1640"/>
    <s v="C&amp;W; Trautvetter"/>
    <x v="474"/>
    <s v="PA"/>
    <s v="Private"/>
    <m/>
    <m/>
    <m/>
    <s v=" "/>
    <s v=" "/>
    <m/>
    <s v=" "/>
    <s v=" "/>
    <s v=" "/>
    <m/>
    <s v=" "/>
  </r>
  <r>
    <s v="LMO79031"/>
    <s v="FBI"/>
    <s v="Federal"/>
    <s v="Fee Simple"/>
    <s v="1300 Summit Rd"/>
    <s v="Kansas City"/>
    <s v="MO"/>
    <n v="2.76"/>
    <n v="1998"/>
    <n v="86739"/>
    <n v="86739"/>
    <n v="1"/>
    <n v="2056211"/>
    <n v="23.70572637452588"/>
    <n v="1177500"/>
    <n v="13.57520838377201"/>
    <d v="1998-06-19T00:00:00"/>
    <d v="2018-06-18T00:00:00"/>
    <d v="2013-06-19T00:00:00"/>
    <n v="5.726027397260274"/>
    <n v="0.726027397260274"/>
    <s v="Modified Gross"/>
    <s v="None"/>
    <s v="None"/>
    <n v="15700000"/>
    <n v="181.0027784502934"/>
    <n v="0.075"/>
    <m/>
    <d v="2012-09-27T00:00:00"/>
    <x v="1641"/>
    <s v="M&amp;M; Travis Trautvetter"/>
    <x v="790"/>
    <s v="MA"/>
    <s v="REIT"/>
    <m/>
    <m/>
    <m/>
    <s v=" "/>
    <s v=" "/>
    <m/>
    <s v=" "/>
    <s v=" "/>
    <s v=" "/>
    <m/>
    <s v=" "/>
  </r>
  <r>
    <m/>
    <s v="Multi"/>
    <s v="State &amp; Federal"/>
    <s v="Fee Simple"/>
    <s v="765 Third Ave"/>
    <s v="Chula Vista"/>
    <s v="CA"/>
    <n v="1.22"/>
    <n v="1990"/>
    <n v="42290"/>
    <n v="42290"/>
    <n v="1"/>
    <n v="1205424"/>
    <n v="28.50375975407898"/>
    <n v="887129"/>
    <n v="20.97727595176164"/>
    <m/>
    <m/>
    <m/>
    <s v=" "/>
    <s v=" "/>
    <s v="Gross"/>
    <m/>
    <m/>
    <n v="11400000"/>
    <n v="269.5672735871364"/>
    <n v="0.07781833333333334"/>
    <m/>
    <d v="2012-09-17T00:00:00"/>
    <x v="1642"/>
    <s v="M&amp;M; Mobin"/>
    <x v="1211"/>
    <s v="CA"/>
    <s v="Private"/>
    <m/>
    <m/>
    <n v="11400000"/>
    <n v="0.07781833333333334"/>
    <n v="1"/>
    <n v="11400000"/>
    <n v="0.07781833333333334"/>
    <n v="0"/>
    <s v="No"/>
    <m/>
    <s v=" "/>
  </r>
  <r>
    <m/>
    <s v="BLM"/>
    <s v="Federal"/>
    <s v="Fee Simple"/>
    <s v="4610 Third St"/>
    <s v="Tillamook"/>
    <s v="OR"/>
    <m/>
    <m/>
    <m/>
    <m/>
    <s v=" "/>
    <m/>
    <s v=" "/>
    <m/>
    <s v=" "/>
    <m/>
    <m/>
    <m/>
    <s v=" "/>
    <s v=" "/>
    <m/>
    <m/>
    <m/>
    <m/>
    <s v=" "/>
    <s v=" "/>
    <m/>
    <d v="2012-09-12T00:00:00"/>
    <x v="631"/>
    <m/>
    <x v="1212"/>
    <s v="OR"/>
    <s v="Private"/>
    <m/>
    <m/>
    <m/>
    <s v=" "/>
    <s v=" "/>
    <m/>
    <s v=" "/>
    <s v=" "/>
    <s v=" "/>
    <m/>
    <s v=" "/>
  </r>
  <r>
    <s v="LID07308"/>
    <s v="NRC/USCIS/BLM"/>
    <s v="Federal"/>
    <s v="Fee Simple"/>
    <s v="1185-1387 S Vinnell St"/>
    <s v="Boise"/>
    <s v="ID"/>
    <n v="3.63"/>
    <n v="1996"/>
    <n v="152020"/>
    <n v="152020"/>
    <n v="1"/>
    <m/>
    <s v=" "/>
    <n v="3292000"/>
    <n v="21.65504538876464"/>
    <d v="2011-10-22T00:00:00"/>
    <d v="2021-10-21T00:00:00"/>
    <d v="2021-10-21T00:00:00"/>
    <n v="9.115068493150686"/>
    <n v="9.115068493150686"/>
    <s v="Modified Gross"/>
    <s v="None"/>
    <s v="2, 5 year"/>
    <n v="41150000"/>
    <n v="270.688067359558"/>
    <n v="0.08"/>
    <m/>
    <d v="2012-09-11T00:00:00"/>
    <x v="1247"/>
    <s v="M&amp;M; Travis Trautvetter"/>
    <x v="790"/>
    <s v="MA"/>
    <s v="REIT"/>
    <m/>
    <m/>
    <m/>
    <s v=" "/>
    <s v=" "/>
    <m/>
    <s v=" "/>
    <s v=" "/>
    <s v=" "/>
    <m/>
    <s v=" "/>
  </r>
  <r>
    <m/>
    <s v="FBP"/>
    <s v="Federal"/>
    <s v="Fee Simple"/>
    <s v="11900 E Cornell Ave"/>
    <s v="Aurora"/>
    <s v="CO"/>
    <n v="9.77"/>
    <n v="1984"/>
    <n v="80694"/>
    <n v="285840"/>
    <n v="0.2823047858942065"/>
    <m/>
    <s v=" "/>
    <m/>
    <s v=" "/>
    <m/>
    <d v="2021-03-31T00:00:00"/>
    <d v="2021-03-31T00:00:00"/>
    <n v="8.558904109589042"/>
    <n v="8.558904109589042"/>
    <s v="Modified Gross"/>
    <s v="None"/>
    <s v="None"/>
    <n v="90846892"/>
    <n v="317.8242793171005"/>
    <s v=" "/>
    <m/>
    <d v="2012-09-10T00:00:00"/>
    <x v="1643"/>
    <m/>
    <x v="1213"/>
    <s v="CA"/>
    <s v="REIT"/>
    <m/>
    <m/>
    <m/>
    <s v=" "/>
    <s v=" "/>
    <m/>
    <s v=" "/>
    <s v=" "/>
    <s v=" "/>
    <m/>
    <s v=" "/>
  </r>
  <r>
    <m/>
    <s v="SSA"/>
    <s v="Federal"/>
    <s v="Fee Simple"/>
    <s v="215 Medical Dr."/>
    <s v="Palestine"/>
    <s v="TX"/>
    <n v="1.4"/>
    <n v="2011"/>
    <n v="7302"/>
    <n v="7302"/>
    <n v="1"/>
    <m/>
    <s v=" "/>
    <n v="179018"/>
    <n v="24.51629690495755"/>
    <d v="2011-05-01T00:00:00"/>
    <d v="2026-04-30T00:00:00"/>
    <d v="2021-04-30T00:00:00"/>
    <n v="13.65205479452055"/>
    <n v="8.64931506849315"/>
    <s v="Modified Gross"/>
    <s v="None"/>
    <s v="None"/>
    <n v="2210000"/>
    <n v="302.6568063544235"/>
    <n v="0.08100361990950226"/>
    <m/>
    <d v="2012-09-07T00:00:00"/>
    <x v="1644"/>
    <m/>
    <x v="1214"/>
    <s v="MT"/>
    <s v="Private"/>
    <m/>
    <m/>
    <n v="2207465"/>
    <n v="0.08109664252887362"/>
    <n v="1.001148376078443"/>
    <n v="2207465"/>
    <n v="0.08109664252887362"/>
    <n v="-9.302261937135792e-05"/>
    <s v="No"/>
    <m/>
    <s v=" "/>
  </r>
  <r>
    <s v="LIL17685"/>
    <s v="IRS"/>
    <s v="Federal"/>
    <s v="Fee Simple"/>
    <s v="1201 N Mitsubishi Motorway"/>
    <s v="Bloomington"/>
    <s v="IL"/>
    <n v="9.779999999999999"/>
    <n v="2008"/>
    <n v="133512"/>
    <n v="133512"/>
    <n v="1"/>
    <n v="1906496.18"/>
    <n v="14.27958670381689"/>
    <n v="1467991"/>
    <n v="10.9951989334292"/>
    <d v="2008-05-19T00:00:00"/>
    <d v="2023-05-18T00:00:00"/>
    <d v="2018-05-19T00:00:00"/>
    <n v="10.71780821917808"/>
    <n v="5.717808219178083"/>
    <s v="Modified Gross"/>
    <s v="None"/>
    <s v="None"/>
    <n v="16350000"/>
    <n v="122.4609023907963"/>
    <n v="0.08978538226299694"/>
    <m/>
    <d v="2012-08-31T00:00:00"/>
    <x v="540"/>
    <s v="Boulder Group"/>
    <x v="1215"/>
    <m/>
    <s v="Private"/>
    <m/>
    <m/>
    <m/>
    <s v=" "/>
    <s v=" "/>
    <m/>
    <s v=" "/>
    <s v=" "/>
    <s v=" "/>
    <m/>
    <s v=" "/>
  </r>
  <r>
    <m/>
    <s v="IRS"/>
    <s v="Federal"/>
    <s v="Fee Simple"/>
    <s v="5123 NW. Research Dr."/>
    <s v="Huntsville"/>
    <s v="AL"/>
    <n v="9.800000000000001"/>
    <n v="2011"/>
    <n v="13670"/>
    <n v="13670"/>
    <n v="1"/>
    <n v="409280"/>
    <n v="29.94001463057791"/>
    <n v="312770"/>
    <n v="22.88002926115582"/>
    <d v="2011-03-01T00:00:00"/>
    <d v="2021-02-28T00:00:00"/>
    <d v="2021-02-28T00:00:00"/>
    <n v="8.512328767123288"/>
    <n v="8.512328767123288"/>
    <s v="Modified Gross"/>
    <s v="None"/>
    <s v="None"/>
    <n v="2700000"/>
    <n v="197.5128017556694"/>
    <n v="0.1158407407407407"/>
    <m/>
    <d v="2012-08-27T00:00:00"/>
    <x v="568"/>
    <s v="Colliers; Cottle"/>
    <x v="1"/>
    <s v="IL"/>
    <s v="Private"/>
    <m/>
    <m/>
    <m/>
    <s v=" "/>
    <s v=" "/>
    <m/>
    <s v=" "/>
    <s v=" "/>
    <s v=" "/>
    <m/>
    <s v=" "/>
  </r>
  <r>
    <m/>
    <s v="Multi"/>
    <s v="Federal"/>
    <s v="Fee Simple"/>
    <s v="Portfolio of Nine"/>
    <m/>
    <m/>
    <n v="13.68"/>
    <m/>
    <n v="86429"/>
    <n v="86429"/>
    <n v="1"/>
    <m/>
    <s v=" "/>
    <n v="1638000"/>
    <n v="18.95197213898113"/>
    <m/>
    <m/>
    <m/>
    <s v=" "/>
    <s v=" "/>
    <s v="FS"/>
    <m/>
    <s v="None"/>
    <n v="15600000"/>
    <n v="180.4949727522012"/>
    <n v="0.105"/>
    <m/>
    <d v="2012-08-22T00:00:00"/>
    <x v="568"/>
    <s v="Colliers; Cottle &amp; Kennedy"/>
    <x v="84"/>
    <s v="IL"/>
    <s v="Private"/>
    <m/>
    <m/>
    <m/>
    <s v=" "/>
    <s v=" "/>
    <m/>
    <s v=" "/>
    <s v=" "/>
    <s v=" "/>
    <m/>
    <s v=" "/>
  </r>
  <r>
    <s v="LMI17017"/>
    <s v="SSA"/>
    <s v="Federal"/>
    <s v="Fee Simple"/>
    <s v="34010 Plymouth Rd"/>
    <s v="Livonia"/>
    <s v="MI"/>
    <n v="1.08"/>
    <n v="2005"/>
    <n v="8228"/>
    <n v="8228"/>
    <n v="1"/>
    <n v="334988.83"/>
    <n v="40.71327540106952"/>
    <n v="220475.99"/>
    <n v="26.79581793874575"/>
    <d v="2005-10-28T00:00:00"/>
    <d v="2018-04-30T00:00:00"/>
    <d v="2018-04-30T00:00:00"/>
    <n v="5.695890410958904"/>
    <n v="5.695890410958904"/>
    <s v="Modified Gross"/>
    <s v="None"/>
    <s v="None"/>
    <n v="2249755"/>
    <n v="273.4267136606709"/>
    <n v="0.098"/>
    <m/>
    <d v="2012-08-20T00:00:00"/>
    <x v="921"/>
    <s v="NAI; Paul DeBono"/>
    <x v="84"/>
    <s v="IL"/>
    <s v="Private"/>
    <m/>
    <m/>
    <m/>
    <s v=" "/>
    <s v=" "/>
    <m/>
    <s v=" "/>
    <s v=" "/>
    <s v=" "/>
    <m/>
    <s v=" "/>
  </r>
  <r>
    <s v="LMS43266"/>
    <s v="ICE"/>
    <s v="Federal"/>
    <s v="Fee Simple"/>
    <s v="202 Metroplex Blvd"/>
    <s v="Pearl"/>
    <s v="MS"/>
    <n v="2.9"/>
    <n v="2006"/>
    <n v="17663"/>
    <n v="17663"/>
    <n v="1"/>
    <n v="647709"/>
    <n v="36.6703844194078"/>
    <n v="416036"/>
    <n v="23.55409613315971"/>
    <d v="2006-03-24T00:00:00"/>
    <d v="2021-03-23T00:00:00"/>
    <d v="2016-03-23T00:00:00"/>
    <n v="8.594520547945205"/>
    <n v="3.591780821917808"/>
    <s v="Modified Gross"/>
    <m/>
    <s v="None"/>
    <n v="5250328"/>
    <n v="297.2500707694049"/>
    <n v="0.07924000176750862"/>
    <m/>
    <d v="2012-08-20T00:00:00"/>
    <x v="921"/>
    <s v="NAI; Paul DeBono"/>
    <x v="84"/>
    <s v="IL"/>
    <s v="Private"/>
    <m/>
    <m/>
    <m/>
    <s v=" "/>
    <s v=" "/>
    <m/>
    <s v=" "/>
    <s v=" "/>
    <s v=" "/>
    <m/>
    <s v=" "/>
  </r>
  <r>
    <m/>
    <s v="FBI"/>
    <s v="Federal"/>
    <s v="Fee Simple"/>
    <s v="2155 W Riverstone Dr"/>
    <s v="Ceour d'Alene"/>
    <s v="ID"/>
    <n v="1.125"/>
    <n v="2012"/>
    <n v="9350"/>
    <n v="9350"/>
    <n v="1"/>
    <m/>
    <s v=" "/>
    <m/>
    <s v=" "/>
    <m/>
    <m/>
    <m/>
    <s v=" "/>
    <s v=" "/>
    <m/>
    <m/>
    <m/>
    <m/>
    <s v=" "/>
    <s v=" "/>
    <m/>
    <d v="2012-08-06T00:00:00"/>
    <x v="1645"/>
    <m/>
    <x v="1216"/>
    <s v="CA"/>
    <s v="Private"/>
    <m/>
    <m/>
    <m/>
    <s v=" "/>
    <s v=" "/>
    <m/>
    <s v=" "/>
    <s v=" "/>
    <s v=" "/>
    <m/>
    <s v=" "/>
  </r>
  <r>
    <s v="LFL42128"/>
    <s v="ICE"/>
    <s v="Federal"/>
    <s v="Fee Simple"/>
    <s v="6643 Hazeltine National Dr"/>
    <s v="Orlando"/>
    <s v="FL"/>
    <n v="4.85"/>
    <n v="2006"/>
    <n v="22082"/>
    <n v="22082"/>
    <n v="1"/>
    <n v="949213.1"/>
    <n v="42.98583008785436"/>
    <n v="635280"/>
    <n v="28.76913323068563"/>
    <d v="2006-03-21T00:00:00"/>
    <d v="2021-03-20T00:00:00"/>
    <d v="2016-03-21T00:00:00"/>
    <n v="8.632876712328768"/>
    <n v="3.632876712328767"/>
    <s v="Modified Gross"/>
    <s v="None"/>
    <s v="None"/>
    <m/>
    <s v=" "/>
    <s v=" "/>
    <m/>
    <d v="2012-08-03T00:00:00"/>
    <x v="1646"/>
    <s v="FORECLOSURE"/>
    <x v="958"/>
    <s v="CA"/>
    <s v="Institutional"/>
    <m/>
    <m/>
    <m/>
    <s v=" "/>
    <s v=" "/>
    <m/>
    <s v=" "/>
    <s v=" "/>
    <s v=" "/>
    <m/>
    <s v=" "/>
  </r>
  <r>
    <m/>
    <s v="SBA"/>
    <s v="Federal"/>
    <s v="Fee Simple"/>
    <s v="409 3rd St SW"/>
    <s v="Washington"/>
    <s v="DC"/>
    <n v="1.22"/>
    <n v="1929"/>
    <n v="344500.04"/>
    <n v="420122"/>
    <n v="0.82"/>
    <m/>
    <s v=" "/>
    <n v="13200000"/>
    <n v="31.41944482793093"/>
    <d v="2010-11-24T00:00:00"/>
    <d v="2022-11-23T00:00:00"/>
    <d v="2022-11-23T00:00:00"/>
    <n v="10.33424657534247"/>
    <n v="10.33424657534247"/>
    <s v="Modified Gross"/>
    <s v="None"/>
    <s v="None"/>
    <n v="200000000"/>
    <n v="476.0521943625899"/>
    <n v="0.066"/>
    <m/>
    <d v="2012-07-26T00:00:00"/>
    <x v="1358"/>
    <s v="C&amp;W; Benzinger"/>
    <x v="1217"/>
    <s v="OK"/>
    <s v="Private"/>
    <m/>
    <m/>
    <m/>
    <s v=" "/>
    <s v=" "/>
    <m/>
    <s v=" "/>
    <s v=" "/>
    <s v=" "/>
    <m/>
    <s v=" "/>
  </r>
  <r>
    <s v="LGA46001"/>
    <s v="DHS"/>
    <s v="Federal"/>
    <s v="Fee Simple"/>
    <s v="180 SW Spring St"/>
    <s v="Atlanta"/>
    <s v="GA"/>
    <n v="0.98"/>
    <n v="2007"/>
    <n v="90688"/>
    <n v="90688"/>
    <n v="1"/>
    <n v="3607020"/>
    <n v="39.77395024700071"/>
    <m/>
    <s v=" "/>
    <d v="2007-09-07T00:00:00"/>
    <d v="2022-09-06T00:00:00"/>
    <d v="2017-09-07T00:00:00"/>
    <n v="10.12328767123288"/>
    <n v="5.123287671232877"/>
    <s v="Modified Gross"/>
    <s v="None"/>
    <s v="None"/>
    <n v="33020420"/>
    <n v="364.1101358503881"/>
    <s v=" "/>
    <m/>
    <d v="2012-07-25T00:00:00"/>
    <x v="1286"/>
    <s v="Direct"/>
    <x v="790"/>
    <s v="MA"/>
    <s v="REIT"/>
    <m/>
    <m/>
    <m/>
    <s v=" "/>
    <s v=" "/>
    <m/>
    <s v=" "/>
    <s v=" "/>
    <s v=" "/>
    <m/>
    <s v=" "/>
  </r>
  <r>
    <s v="LMS47105"/>
    <s v="FBI"/>
    <s v="Federal"/>
    <s v="Fee Simple"/>
    <s v="1220 Echelon Pky"/>
    <s v="Jackson"/>
    <s v="MS"/>
    <n v="10.68"/>
    <n v="2009"/>
    <n v="109819"/>
    <n v="109819"/>
    <n v="1"/>
    <n v="3251929.08"/>
    <n v="29.61171636966281"/>
    <n v="2396761"/>
    <n v="21.82464782961054"/>
    <d v="2009-11-05T00:00:00"/>
    <d v="2024-11-04T00:00:00"/>
    <d v="2024-11-04T00:00:00"/>
    <n v="12.28767123287671"/>
    <n v="12.28767123287671"/>
    <s v="Modified Gross"/>
    <s v="None"/>
    <s v="None"/>
    <n v="29813598"/>
    <n v="271.4794161301778"/>
    <n v="0.08039153811626494"/>
    <m/>
    <d v="2012-07-25T00:00:00"/>
    <x v="1286"/>
    <s v="Direct"/>
    <x v="790"/>
    <s v="MA"/>
    <s v="REIT"/>
    <m/>
    <m/>
    <m/>
    <s v=" "/>
    <s v=" "/>
    <m/>
    <s v=" "/>
    <s v=" "/>
    <s v=" "/>
    <m/>
    <s v=" "/>
  </r>
  <r>
    <m/>
    <s v="DHS"/>
    <s v="Federal"/>
    <s v="Leasehold"/>
    <s v="603-621 San Juan Ave"/>
    <s v="Stockton"/>
    <s v="CA"/>
    <n v="1.79"/>
    <n v="2012"/>
    <n v="22012"/>
    <n v="22012"/>
    <n v="1"/>
    <m/>
    <s v=" "/>
    <n v="584526"/>
    <n v="26.55487915682355"/>
    <d v="2012-04-15T00:00:00"/>
    <d v="2027-04-14T00:00:00"/>
    <d v="2027-04-14T00:00:00"/>
    <n v="14.72876712328767"/>
    <n v="14.72876712328767"/>
    <s v="Modified Gross"/>
    <s v="2.6% annually"/>
    <s v="None"/>
    <n v="8300000"/>
    <n v="377.0670543339996"/>
    <n v="0.07042481927710843"/>
    <m/>
    <d v="2012-07-25T00:00:00"/>
    <x v="1647"/>
    <s v="CBRE; Wilcox"/>
    <x v="790"/>
    <s v="MA"/>
    <s v="REIT"/>
    <m/>
    <m/>
    <m/>
    <s v=" "/>
    <s v=" "/>
    <m/>
    <s v=" "/>
    <s v=" "/>
    <s v=" "/>
    <d v="2012-05-01T00:00:00"/>
    <n v="85"/>
  </r>
  <r>
    <s v="LCA02330"/>
    <s v="ICE"/>
    <s v="Federal"/>
    <s v="Fee Simple"/>
    <s v="603 San Juan Ave"/>
    <s v="Stockton"/>
    <s v="CA"/>
    <n v="1.26"/>
    <n v="2012"/>
    <n v="22012"/>
    <n v="22012"/>
    <n v="1"/>
    <n v="873079.9399999999"/>
    <n v="39.66381700890423"/>
    <n v="584526"/>
    <n v="26.55487915682355"/>
    <d v="2012-04-12T00:00:00"/>
    <d v="2027-04-11T00:00:00"/>
    <d v="2027-04-11T00:00:00"/>
    <n v="14.72054794520548"/>
    <n v="14.72054794520548"/>
    <s v="FS"/>
    <s v="avg. 2.6% annually"/>
    <s v="None"/>
    <n v="8300000"/>
    <n v="377.0670543339996"/>
    <n v="0.07042481927710843"/>
    <m/>
    <d v="2012-07-25T00:00:00"/>
    <x v="1647"/>
    <s v="JLL; Cole"/>
    <x v="790"/>
    <s v="MA"/>
    <s v="REIT"/>
    <m/>
    <m/>
    <m/>
    <s v=" "/>
    <s v=" "/>
    <m/>
    <s v=" "/>
    <s v=" "/>
    <s v=" "/>
    <m/>
    <s v=" "/>
  </r>
  <r>
    <s v="LTN47835"/>
    <s v="FBI"/>
    <s v="Federal"/>
    <s v="Fee Simple"/>
    <s v="1501 Dowell Springs Blvd"/>
    <s v="Knoxville"/>
    <s v="TN"/>
    <n v="9.210000000000001"/>
    <n v="2009"/>
    <n v="99130"/>
    <n v="99130"/>
    <n v="1"/>
    <n v="3346794.43"/>
    <n v="33.7616708362756"/>
    <n v="2391016"/>
    <n v="24.12000403510542"/>
    <d v="2010-08-10T00:00:00"/>
    <d v="2025-08-09T00:00:00"/>
    <d v="2025-08-09T00:00:00"/>
    <n v="13.05205479452055"/>
    <n v="13.05205479452055"/>
    <s v="Modified Gross"/>
    <s v="None"/>
    <s v="None"/>
    <n v="31700000"/>
    <n v="319.782104307475"/>
    <n v="0.07542637223974763"/>
    <m/>
    <d v="2012-07-24T00:00:00"/>
    <x v="1648"/>
    <m/>
    <x v="1218"/>
    <s v="FL"/>
    <s v="Private"/>
    <m/>
    <m/>
    <m/>
    <s v=" "/>
    <s v=" "/>
    <m/>
    <s v=" "/>
    <s v=" "/>
    <s v=" "/>
    <m/>
    <s v=" "/>
  </r>
  <r>
    <s v="LTX16857"/>
    <s v="ICE"/>
    <s v="Federal"/>
    <s v="Fee Simple"/>
    <s v="5901 S International Pky"/>
    <s v="McAllen"/>
    <s v="TX"/>
    <n v="2.48"/>
    <n v="2000"/>
    <n v="24063"/>
    <n v="24063"/>
    <n v="1"/>
    <n v="703618.83"/>
    <n v="29.24069442712879"/>
    <m/>
    <s v=" "/>
    <d v="2012-04-12T00:00:00"/>
    <d v="2022-04-11T00:00:00"/>
    <d v="2017-04-12T00:00:00"/>
    <n v="9.734246575342466"/>
    <n v="4.734246575342466"/>
    <s v="Modified Gross"/>
    <s v="None"/>
    <s v="None"/>
    <n v="6225000"/>
    <n v="258.6959232015958"/>
    <s v=" "/>
    <m/>
    <d v="2012-07-19T00:00:00"/>
    <x v="531"/>
    <s v="M&amp;M; Travis Trautvetter"/>
    <x v="429"/>
    <s v="NY"/>
    <s v="Private"/>
    <m/>
    <m/>
    <m/>
    <s v=" "/>
    <s v=" "/>
    <m/>
    <s v=" "/>
    <s v=" "/>
    <s v=" "/>
    <m/>
    <s v=" "/>
  </r>
  <r>
    <s v="LTN46037"/>
    <s v="MEPS"/>
    <s v="Federal"/>
    <s v="Fee Simple"/>
    <s v="20 Bridgestone Pk"/>
    <s v="Nashville"/>
    <s v="TN"/>
    <n v="5.59"/>
    <n v="2007"/>
    <n v="23391"/>
    <n v="23391"/>
    <n v="1"/>
    <n v="476433.92"/>
    <n v="20.36825787696122"/>
    <n v="248336"/>
    <n v="10.61673293146937"/>
    <d v="2007-08-01T00:00:00"/>
    <d v="2017-07-31T00:00:00"/>
    <d v="2012-07-31T00:00:00"/>
    <n v="5.035616438356165"/>
    <n v="0.03287671232876712"/>
    <s v="FS"/>
    <m/>
    <s v="None"/>
    <n v="3500000"/>
    <n v="149.6301996494378"/>
    <n v="0.07095314285714287"/>
    <m/>
    <d v="2012-07-19T00:00:00"/>
    <x v="1649"/>
    <s v="AY; Todd Prevost"/>
    <x v="1143"/>
    <s v="IL"/>
    <s v="Private"/>
    <m/>
    <m/>
    <m/>
    <s v=" "/>
    <s v=" "/>
    <m/>
    <s v=" "/>
    <s v=" "/>
    <s v=" "/>
    <m/>
    <s v=" "/>
  </r>
  <r>
    <s v="LME04545"/>
    <s v="CBP"/>
    <s v="Federal"/>
    <s v="Fee Simple"/>
    <s v="224 Stratton Rd"/>
    <s v="Rangeley"/>
    <s v="ME"/>
    <n v="50.13"/>
    <n v="2009"/>
    <n v="23969"/>
    <n v="23969"/>
    <n v="1"/>
    <n v="805996"/>
    <n v="33.62660102632567"/>
    <n v="591343"/>
    <n v="24.67115857983228"/>
    <d v="2009-08-10T00:00:00"/>
    <d v="2029-08-09T00:00:00"/>
    <d v="2024-08-09T00:00:00"/>
    <n v="17.07945205479452"/>
    <n v="12.07671232876712"/>
    <s v="Modified Gross"/>
    <s v="None"/>
    <s v="None"/>
    <n v="7437500"/>
    <n v="310.2966331511536"/>
    <n v="0.07950830252100841"/>
    <m/>
    <d v="2012-07-15T00:00:00"/>
    <x v="1650"/>
    <s v="M&amp;M; Geoff Ficke"/>
    <x v="429"/>
    <s v="NY"/>
    <s v="Private"/>
    <m/>
    <m/>
    <m/>
    <s v=" "/>
    <s v=" "/>
    <m/>
    <s v=" "/>
    <s v=" "/>
    <s v=" "/>
    <m/>
    <s v=" "/>
  </r>
  <r>
    <m/>
    <s v="VA"/>
    <s v="Federal"/>
    <s v="Fee Simple"/>
    <s v="4337 Union Road"/>
    <s v="Middletown"/>
    <s v="OH"/>
    <n v="3.28"/>
    <n v="2010"/>
    <n v="20284"/>
    <n v="20284"/>
    <n v="1"/>
    <m/>
    <s v=" "/>
    <n v="537932"/>
    <n v="26.52001577598107"/>
    <d v="2020-11-01T00:00:00"/>
    <d v="2030-10-31T00:00:00"/>
    <d v="2030-10-31T00:00:00"/>
    <n v="18.33424657534247"/>
    <n v="18.33424657534247"/>
    <s v="Modified Gross"/>
    <s v="None"/>
    <s v="None"/>
    <n v="7610400"/>
    <n v="375.1922697692763"/>
    <n v="0.07068380111426469"/>
    <n v="0.1274666666666667"/>
    <d v="2012-07-05T00:00:00"/>
    <x v="1651"/>
    <s v="SJC"/>
    <x v="1219"/>
    <s v="NC"/>
    <s v="Private"/>
    <m/>
    <m/>
    <m/>
    <s v=" "/>
    <s v=" "/>
    <m/>
    <s v=" "/>
    <s v=" "/>
    <s v=" "/>
    <m/>
    <s v=" "/>
  </r>
  <r>
    <m/>
    <s v="Multi"/>
    <s v="Federal"/>
    <s v="Fee Simple"/>
    <m/>
    <s v="Portfolio of Three"/>
    <m/>
    <n v="40.46"/>
    <m/>
    <n v="552571"/>
    <n v="552571"/>
    <n v="1"/>
    <m/>
    <s v=" "/>
    <n v="6100000"/>
    <n v="11.03930535623476"/>
    <m/>
    <m/>
    <m/>
    <s v=" "/>
    <s v=" "/>
    <m/>
    <m/>
    <m/>
    <n v="86500000"/>
    <n v="156.540969395788"/>
    <n v="0.07052023121387284"/>
    <m/>
    <d v="2012-07-01T00:00:00"/>
    <x v="1652"/>
    <s v="Direct"/>
    <x v="790"/>
    <s v="MA"/>
    <s v="REIT"/>
    <m/>
    <m/>
    <m/>
    <s v=" "/>
    <s v=" "/>
    <m/>
    <s v=" "/>
    <s v=" "/>
    <s v=" "/>
    <d v="2012-02-06T00:00:00"/>
    <n v="146"/>
  </r>
  <r>
    <m/>
    <s v="FS"/>
    <s v="Federal"/>
    <s v="Fee Simple"/>
    <s v="30 S Chiricahua St"/>
    <s v="Springerville"/>
    <s v="AZ"/>
    <n v="2"/>
    <n v="2006"/>
    <n v="21000"/>
    <n v="21000"/>
    <n v="1"/>
    <n v="381795"/>
    <n v="18.18071428571428"/>
    <n v="271183"/>
    <n v="12.91347619047619"/>
    <d v="2006-08-01T00:00:00"/>
    <d v="2026-07-31T00:00:00"/>
    <d v="2016-07-31T00:00:00"/>
    <n v="14.09041095890411"/>
    <n v="4.084931506849315"/>
    <s v="Modified Gross"/>
    <s v="Every 5 Years"/>
    <s v="None"/>
    <n v="3520000"/>
    <n v="167.6190476190476"/>
    <n v="0.077040625"/>
    <m/>
    <d v="2012-07-01T00:00:00"/>
    <x v="1653"/>
    <s v="Direct"/>
    <x v="1098"/>
    <s v="AZ"/>
    <s v="REIT"/>
    <m/>
    <m/>
    <m/>
    <s v=" "/>
    <s v=" "/>
    <m/>
    <s v=" "/>
    <s v=" "/>
    <s v=" "/>
    <m/>
    <s v=" "/>
  </r>
  <r>
    <m/>
    <s v="FS"/>
    <s v="Federal"/>
    <s v="Fee Simple"/>
    <s v="335 National Forge Rd"/>
    <s v="Irvine"/>
    <s v="PA"/>
    <n v="3.44"/>
    <n v="2008"/>
    <n v="22509"/>
    <n v="22509"/>
    <n v="1"/>
    <m/>
    <s v=" "/>
    <n v="370500"/>
    <n v="16.46008263361322"/>
    <m/>
    <m/>
    <m/>
    <s v=" "/>
    <s v=" "/>
    <m/>
    <m/>
    <m/>
    <n v="3900000"/>
    <n v="173.2640277222444"/>
    <n v="0.095"/>
    <m/>
    <d v="2012-06-30T00:00:00"/>
    <x v="1654"/>
    <m/>
    <x v="1098"/>
    <s v="AZ"/>
    <s v="REIT"/>
    <m/>
    <m/>
    <m/>
    <s v=" "/>
    <s v=" "/>
    <m/>
    <s v=" "/>
    <s v=" "/>
    <s v=" "/>
    <m/>
    <s v=" "/>
  </r>
  <r>
    <s v="LOR07163"/>
    <s v="ICE"/>
    <s v="Federal"/>
    <s v="Fee Simple"/>
    <s v="4310 SW Macadam Ave"/>
    <s v="Portland"/>
    <s v="OR"/>
    <n v="1.11"/>
    <n v="1982"/>
    <n v="54618"/>
    <n v="64723"/>
    <n v="0.8438731208380329"/>
    <n v="2139253.48"/>
    <n v="39.16755428613278"/>
    <m/>
    <s v=" "/>
    <d v="2013-09-27T00:00:00"/>
    <d v="2033-09-26T00:00:00"/>
    <d v="2033-09-26T00:00:00"/>
    <n v="21.25753424657534"/>
    <n v="21.25753424657534"/>
    <s v="FS"/>
    <m/>
    <s v="None"/>
    <n v="20055501.375"/>
    <n v="309.8666837909244"/>
    <s v=" "/>
    <m/>
    <d v="2012-06-29T00:00:00"/>
    <x v="1655"/>
    <m/>
    <x v="1220"/>
    <m/>
    <s v="Private"/>
    <m/>
    <m/>
    <m/>
    <s v=" "/>
    <s v=" "/>
    <m/>
    <s v=" "/>
    <s v=" "/>
    <s v=" "/>
    <m/>
    <s v=" "/>
  </r>
  <r>
    <s v="LAZ02625"/>
    <s v="DEA"/>
    <s v="Federal"/>
    <s v="Fee Simple"/>
    <s v="6970 S Palo Verde Rd"/>
    <s v="Tucson"/>
    <s v="AZ"/>
    <n v="4.84"/>
    <n v="2009"/>
    <n v="63501"/>
    <n v="63501"/>
    <n v="1"/>
    <n v="1524232.28"/>
    <n v="24.00327994834727"/>
    <n v="1015740"/>
    <n v="15.99565361175415"/>
    <d v="2011-12-01T00:00:00"/>
    <d v="2026-11-30T00:00:00"/>
    <d v="2026-11-30T00:00:00"/>
    <n v="14.43013698630137"/>
    <n v="14.43013698630137"/>
    <s v="FS"/>
    <m/>
    <s v="None"/>
    <n v="13365000"/>
    <n v="210.4691264704493"/>
    <n v="0.076"/>
    <m/>
    <d v="2012-06-29T00:00:00"/>
    <x v="1656"/>
    <s v="CBRE; Sandahl"/>
    <x v="1"/>
    <s v="IL"/>
    <s v="Private"/>
    <m/>
    <m/>
    <m/>
    <s v=" "/>
    <s v=" "/>
    <m/>
    <s v=" "/>
    <s v=" "/>
    <s v=" "/>
    <m/>
    <s v=" "/>
  </r>
  <r>
    <m/>
    <s v="DAM"/>
    <s v="State"/>
    <s v="Fee Simple"/>
    <s v="10B Airline Dr"/>
    <s v="Albany"/>
    <s v="NY"/>
    <n v="5.67"/>
    <n v="2003"/>
    <n v="64000"/>
    <n v="64000"/>
    <n v="1"/>
    <m/>
    <s v=" "/>
    <n v="733150"/>
    <n v="11.45546875"/>
    <d v="2004-01-01T00:00:00"/>
    <d v="2018-12-31T00:00:00"/>
    <d v="2018-12-31T00:00:00"/>
    <n v="6.515068493150685"/>
    <n v="6.515068493150685"/>
    <s v="Full Service"/>
    <s v="2% annually"/>
    <s v="None"/>
    <n v="8525000"/>
    <n v="133.203125"/>
    <n v="0.08599999999999999"/>
    <m/>
    <d v="2012-06-27T00:00:00"/>
    <x v="1657"/>
    <s v="Direct"/>
    <x v="790"/>
    <s v="MA"/>
    <s v="REIT"/>
    <m/>
    <m/>
    <m/>
    <s v=" "/>
    <s v=" "/>
    <m/>
    <s v=" "/>
    <s v=" "/>
    <s v=" "/>
    <m/>
    <s v=" "/>
  </r>
  <r>
    <m/>
    <m/>
    <s v="State"/>
    <s v="Fee Simple"/>
    <s v="840 North Broadway"/>
    <s v="Everett"/>
    <s v="WA"/>
    <n v="5.82"/>
    <n v="1985"/>
    <n v="111908"/>
    <n v="111908"/>
    <n v="1"/>
    <n v="2360353"/>
    <n v="21.09190585123494"/>
    <n v="1710741"/>
    <n v="15.28703041784323"/>
    <m/>
    <d v="2020-12-31T00:00:00"/>
    <d v="2020-12-31T00:00:00"/>
    <n v="8.520547945205479"/>
    <n v="8.520547945205479"/>
    <s v="Full Service"/>
    <s v="2% annually"/>
    <s v="None"/>
    <n v="20425000"/>
    <n v="182.5159952818387"/>
    <n v="0.08375720930232558"/>
    <m/>
    <d v="2012-06-26T00:00:00"/>
    <x v="1658"/>
    <s v="GE; Reitz"/>
    <x v="790"/>
    <s v="MA"/>
    <s v="REIT"/>
    <m/>
    <m/>
    <n v="24000000"/>
    <n v="0.07128087499999999"/>
    <n v="0.8510416666666667"/>
    <n v="24000000"/>
    <n v="0.07128087499999999"/>
    <n v="0.01247633430232559"/>
    <s v="No"/>
    <d v="2011-12-01T00:00:00"/>
    <n v="208"/>
  </r>
  <r>
    <s v="LCO14375"/>
    <s v="NARA"/>
    <s v="Federal"/>
    <s v="Fee Simple"/>
    <s v="17101 Huron St"/>
    <s v="Broomfield"/>
    <s v="CO"/>
    <n v="11.57"/>
    <n v="2012"/>
    <n v="161730"/>
    <n v="161730"/>
    <n v="1"/>
    <n v="2107013.41"/>
    <n v="13.02796889878192"/>
    <n v="1365000"/>
    <n v="8.439992580226303"/>
    <d v="2012-05-21T00:00:00"/>
    <d v="2032-05-20T00:00:00"/>
    <d v="2032-05-20T00:00:00"/>
    <n v="19.92328767123288"/>
    <n v="19.92328767123288"/>
    <s v="Modified Gross"/>
    <s v="None"/>
    <s v="None"/>
    <n v="19500000"/>
    <n v="120.5713225746615"/>
    <n v="0.07000000000000001"/>
    <m/>
    <d v="2012-06-22T00:00:00"/>
    <x v="1659"/>
    <s v="Direct"/>
    <x v="1221"/>
    <s v="CO"/>
    <s v="Private"/>
    <m/>
    <m/>
    <m/>
    <s v=" "/>
    <s v=" "/>
    <m/>
    <s v=" "/>
    <s v=" "/>
    <s v=" "/>
    <m/>
    <s v=" "/>
  </r>
  <r>
    <s v="LMD80561"/>
    <m/>
    <s v="Federal"/>
    <s v="Fee Simple"/>
    <s v="6120 &amp; 6130 Executive Blvd"/>
    <s v="Rockville"/>
    <s v="MD"/>
    <m/>
    <m/>
    <n v="216479"/>
    <m/>
    <s v=" "/>
    <n v="8452486.85"/>
    <n v="39.04529700340449"/>
    <m/>
    <s v=" "/>
    <d v="1999-10-01T00:00:00"/>
    <d v="2013-09-30T00:00:00"/>
    <d v="2013-09-30T00:00:00"/>
    <n v="1.273972602739726"/>
    <n v="1.273972602739726"/>
    <s v="Modified Gross"/>
    <s v="None"/>
    <s v="None"/>
    <n v="79242064.21874999"/>
    <s v=" "/>
    <s v=" "/>
    <m/>
    <d v="2012-06-22T00:00:00"/>
    <x v="1660"/>
    <m/>
    <x v="1222"/>
    <s v="NY"/>
    <s v="Institutional"/>
    <m/>
    <m/>
    <m/>
    <s v=" "/>
    <s v=" "/>
    <m/>
    <s v=" "/>
    <s v=" "/>
    <s v=" "/>
    <m/>
    <s v=" "/>
  </r>
  <r>
    <s v="LVA50089"/>
    <s v="FWS"/>
    <s v="Federal"/>
    <s v="Fee Simple"/>
    <s v="6669 Short Ln"/>
    <s v="Gloucester"/>
    <s v="VA"/>
    <n v="2.4"/>
    <n v="1997"/>
    <n v="11951"/>
    <n v="11951"/>
    <n v="1"/>
    <n v="269865.99"/>
    <n v="22.58103840682788"/>
    <n v="198000"/>
    <n v="16.56765124257384"/>
    <d v="1997-03-07T00:00:00"/>
    <d v="2017-03-06T00:00:00"/>
    <d v="2017-03-06T00:00:00"/>
    <n v="4.712328767123288"/>
    <n v="4.712328767123288"/>
    <s v="Modified Gross"/>
    <s v="None"/>
    <s v="None"/>
    <n v="2200000"/>
    <n v="184.085013806376"/>
    <n v="0.09"/>
    <m/>
    <d v="2012-06-20T00:00:00"/>
    <x v="1661"/>
    <s v="ETR; Tim McEvoy"/>
    <x v="1103"/>
    <s v="AZ"/>
    <s v="REIT"/>
    <m/>
    <m/>
    <n v="2400000"/>
    <n v="0.0825"/>
    <n v="0.9166666666666666"/>
    <n v="2400000"/>
    <n v="0.0825"/>
    <n v="0.007499999999999993"/>
    <s v="No"/>
    <d v="2010-12-15T00:00:00"/>
    <n v="553"/>
  </r>
  <r>
    <s v="LAL61983"/>
    <s v="AOC"/>
    <s v="Federal"/>
    <s v="Fee Simple"/>
    <s v="201 St. Michael St"/>
    <s v="Mobile"/>
    <s v="AL"/>
    <n v="0.6035812672176308"/>
    <n v="1994"/>
    <n v="24754"/>
    <n v="24754"/>
    <n v="1"/>
    <n v="545942.36"/>
    <n v="22.05471277369314"/>
    <n v="378488.66"/>
    <n v="15.29"/>
    <d v="2011-09-08T00:00:00"/>
    <d v="2021-09-07T00:00:00"/>
    <d v="2016-09-07T00:00:00"/>
    <n v="9.224657534246575"/>
    <n v="4.221917808219178"/>
    <s v="Modified Gross"/>
    <s v="None"/>
    <s v="None"/>
    <n v="4043682.264957265"/>
    <n v="163.3547008547008"/>
    <n v="0.0936"/>
    <m/>
    <d v="2012-06-19T00:00:00"/>
    <x v="1662"/>
    <m/>
    <x v="983"/>
    <s v="NY"/>
    <s v="REIT"/>
    <m/>
    <m/>
    <m/>
    <s v=" "/>
    <s v=" "/>
    <m/>
    <s v=" "/>
    <s v=" "/>
    <s v=" "/>
    <m/>
    <s v=" "/>
  </r>
  <r>
    <s v="LAL61991"/>
    <s v="ARMY"/>
    <s v="Federal"/>
    <s v="Fee Simple"/>
    <s v="109 St Joseph St"/>
    <s v="Mobile"/>
    <s v="AL"/>
    <n v="0.6035812672176308"/>
    <n v="1994"/>
    <n v="14748"/>
    <n v="14748"/>
    <n v="1"/>
    <n v="212622.64"/>
    <n v="14.41704909140222"/>
    <n v="225496.92"/>
    <n v="15.29"/>
    <d v="2011-09-08T00:00:00"/>
    <d v="2021-09-07T00:00:00"/>
    <d v="2016-09-08T00:00:00"/>
    <n v="9.224657534246575"/>
    <n v="4.224657534246576"/>
    <s v="Modified Gross"/>
    <m/>
    <s v="None"/>
    <n v="2409155.128205128"/>
    <n v="163.3547008547008"/>
    <n v="0.0936"/>
    <m/>
    <d v="2012-06-19T00:00:00"/>
    <x v="1663"/>
    <m/>
    <x v="983"/>
    <s v="NY"/>
    <s v="REIT"/>
    <m/>
    <m/>
    <m/>
    <s v=" "/>
    <s v=" "/>
    <m/>
    <s v=" "/>
    <s v=" "/>
    <s v=" "/>
    <m/>
    <s v=" "/>
  </r>
  <r>
    <s v="LNY23488"/>
    <s v="DEA"/>
    <s v="Federal"/>
    <s v="Fee Simple"/>
    <s v="23 Brinkerhoff St | 59 Dunning Way"/>
    <s v="Plattsburgh"/>
    <s v="NY"/>
    <n v="0.75"/>
    <n v="1960"/>
    <n v="18640"/>
    <n v="18640"/>
    <n v="1"/>
    <n v="659694.12"/>
    <n v="35.39131545064377"/>
    <n v="488670.0000000001"/>
    <n v="26.2162017167382"/>
    <d v="2008-10-09T00:00:00"/>
    <d v="2018-10-08T00:00:00"/>
    <d v="2018-10-08T00:00:00"/>
    <n v="6.306849315068493"/>
    <n v="6.306849315068493"/>
    <s v="Modified Gross"/>
    <s v="None"/>
    <s v="None"/>
    <n v="5835000"/>
    <n v="313.0364806866953"/>
    <n v="0.08374807197943446"/>
    <m/>
    <d v="2012-06-19T00:00:00"/>
    <x v="1664"/>
    <m/>
    <x v="1103"/>
    <s v="AZ"/>
    <s v="REIT"/>
    <m/>
    <m/>
    <m/>
    <s v=" "/>
    <s v=" "/>
    <m/>
    <s v=" "/>
    <s v=" "/>
    <s v=" "/>
    <m/>
    <s v=" "/>
  </r>
  <r>
    <m/>
    <s v="FS"/>
    <s v="Federal"/>
    <s v="Fee Simple"/>
    <s v="4 Farm Colony Dr"/>
    <s v="Warren"/>
    <s v="PA"/>
    <n v="3.44"/>
    <n v="2008"/>
    <n v="22206"/>
    <n v="22206"/>
    <n v="1"/>
    <n v="419417.58"/>
    <n v="18.88757903269387"/>
    <n v="365583.73"/>
    <n v="16.46328604881564"/>
    <d v="2008-08-01T00:00:00"/>
    <d v="2018-07-31T00:00:00"/>
    <d v="2018-07-31T00:00:00"/>
    <n v="6.117808219178082"/>
    <n v="6.117808219178082"/>
    <s v="Modified Gross"/>
    <s v="Every 5"/>
    <s v="2, 5 year"/>
    <n v="3890000"/>
    <n v="175.1778798522922"/>
    <n v="0.09398039331619538"/>
    <m/>
    <d v="2012-06-19T00:00:00"/>
    <x v="1665"/>
    <s v="C&amp;W; McCombs"/>
    <x v="1098"/>
    <s v="AZ"/>
    <s v="REIT"/>
    <s v="Erin Collins"/>
    <m/>
    <n v="4280000"/>
    <n v="0.0854167593457944"/>
    <n v="0.9088785046728972"/>
    <n v="4200000"/>
    <n v="0.08704374523809524"/>
    <n v="0.006936648078100141"/>
    <s v="Yes"/>
    <d v="2010-08-06T00:00:00"/>
    <n v="683"/>
  </r>
  <r>
    <s v="LAZ01937"/>
    <s v="IRS"/>
    <s v="Federal"/>
    <s v="Fee Simple"/>
    <s v="1818 E Southern Ave"/>
    <s v="Mesa"/>
    <s v="AZ"/>
    <n v="1.46"/>
    <n v="1986"/>
    <n v="24853"/>
    <n v="30462"/>
    <n v="0.8158689514805332"/>
    <n v="823928"/>
    <n v="33.15205407797851"/>
    <n v="669503"/>
    <n v="21.97830083382575"/>
    <d v="2014-04-08T00:00:00"/>
    <d v="2014-03-28T00:00:00"/>
    <d v="2014-04-18T00:00:00"/>
    <n v="1.775342465753425"/>
    <n v="1.832876712328767"/>
    <s v="Modified Gross"/>
    <s v="None"/>
    <s v="None"/>
    <n v="7100000"/>
    <n v="233.0772766069201"/>
    <n v="0.09429619718309859"/>
    <m/>
    <d v="2012-06-18T00:00:00"/>
    <x v="1666"/>
    <s v="M&amp;M; Travis Trautvetter"/>
    <x v="1"/>
    <s v="IL"/>
    <s v="Private"/>
    <m/>
    <m/>
    <m/>
    <s v=" "/>
    <s v=" "/>
    <m/>
    <s v=" "/>
    <s v=" "/>
    <s v=" "/>
    <m/>
    <s v=" "/>
  </r>
  <r>
    <m/>
    <s v="DHS"/>
    <s v="State"/>
    <s v="Fee Simple"/>
    <s v="444 Lafayette Rd N"/>
    <s v="Saint Paul"/>
    <s v="MN"/>
    <n v="10.47"/>
    <n v="1919"/>
    <n v="280172"/>
    <n v="280172"/>
    <n v="1"/>
    <n v="5446533"/>
    <n v="19.43996188055909"/>
    <n v="2954104"/>
    <n v="10.54389446482875"/>
    <m/>
    <d v="2021-12-31T00:00:00"/>
    <d v="2021-12-31T00:00:00"/>
    <n v="9.550684931506849"/>
    <n v="9.550684931506849"/>
    <s v="Full Service"/>
    <s v="2% annually"/>
    <s v="None"/>
    <n v="27250000"/>
    <n v="97.26168210956126"/>
    <n v="0.1084074862385321"/>
    <m/>
    <d v="2012-06-15T00:00:00"/>
    <x v="1667"/>
    <s v="CBRE"/>
    <x v="1223"/>
    <s v="MN"/>
    <s v="Private"/>
    <m/>
    <m/>
    <m/>
    <s v=" "/>
    <s v=" "/>
    <m/>
    <s v=" "/>
    <s v=" "/>
    <s v=" "/>
    <m/>
    <s v=" "/>
  </r>
  <r>
    <s v="LAR16759"/>
    <s v="SSA"/>
    <s v="Federal"/>
    <s v="Fee Simple"/>
    <s v="1809 Latourette Dr"/>
    <s v="Jonesboro"/>
    <s v="AR"/>
    <n v="3.36"/>
    <n v="2012"/>
    <n v="16439"/>
    <n v="16439"/>
    <n v="1"/>
    <n v="625807.7"/>
    <n v="38.06847740130178"/>
    <n v="506616.18"/>
    <n v="30.81794391386337"/>
    <d v="2012-01-12T00:00:00"/>
    <d v="2027-01-11T00:00:00"/>
    <d v="2022-01-11T00:00:00"/>
    <n v="14.61095890410959"/>
    <n v="9.608219178082193"/>
    <s v="Modified Gross"/>
    <s v="TI Bleeds Off; $71k"/>
    <s v="None"/>
    <n v="6060000"/>
    <n v="368.6355617738305"/>
    <n v="0.0836000297029703"/>
    <m/>
    <d v="2012-06-05T00:00:00"/>
    <x v="1256"/>
    <s v="Direct"/>
    <x v="54"/>
    <s v="NC"/>
    <s v="REIT"/>
    <m/>
    <m/>
    <m/>
    <s v=" "/>
    <s v=" "/>
    <m/>
    <s v=" "/>
    <s v=" "/>
    <s v=" "/>
    <m/>
    <s v=" "/>
  </r>
  <r>
    <s v="LTX16561"/>
    <s v="SSA"/>
    <s v="Federal"/>
    <s v="Fee Simple"/>
    <s v="2901 Altamesa Blvd"/>
    <s v="Fort Worth"/>
    <s v="TX"/>
    <n v="0.63"/>
    <n v="2010"/>
    <n v="15843"/>
    <n v="15843"/>
    <n v="1"/>
    <n v="603055"/>
    <n v="38.06444486524017"/>
    <n v="442200"/>
    <n v="27.91138042037493"/>
    <d v="2011-02-01T00:00:00"/>
    <d v="2026-01-31T00:00:00"/>
    <d v="2021-01-31T00:00:00"/>
    <n v="13.67671232876712"/>
    <n v="8.673972602739726"/>
    <s v="Modified Gross"/>
    <s v="None"/>
    <s v="None"/>
    <n v="5500000"/>
    <n v="347.1564728902354"/>
    <n v="0.0804"/>
    <m/>
    <d v="2012-06-01T00:00:00"/>
    <x v="1668"/>
    <s v="TW;"/>
    <x v="983"/>
    <s v="NY"/>
    <s v="REIT"/>
    <m/>
    <m/>
    <m/>
    <s v=" "/>
    <s v=" "/>
    <m/>
    <s v=" "/>
    <s v=" "/>
    <s v=" "/>
    <m/>
    <s v=" "/>
  </r>
  <r>
    <m/>
    <s v="SBA"/>
    <s v="Federal"/>
    <s v="Fee Simple"/>
    <s v="13221 Woodland Park Rd"/>
    <s v="Herndon"/>
    <s v="VA"/>
    <n v="6.27"/>
    <n v="1988"/>
    <n v="55620"/>
    <n v="127585"/>
    <n v="0.4359446643414194"/>
    <m/>
    <s v=" "/>
    <n v="1757850"/>
    <n v="13.77787357447976"/>
    <m/>
    <d v="2021-01-31T00:00:00"/>
    <d v="2016-01-31T00:00:00"/>
    <n v="8.698630136986301"/>
    <n v="3.693150684931507"/>
    <s v="Modified Gross"/>
    <s v="None"/>
    <s v="None"/>
    <n v="23438000"/>
    <n v="183.7049809930635"/>
    <n v="0.075"/>
    <m/>
    <d v="2012-05-23T00:00:00"/>
    <x v="938"/>
    <s v="TW; Trainor"/>
    <x v="387"/>
    <s v="MA"/>
    <s v="Institutional"/>
    <m/>
    <m/>
    <m/>
    <s v=" "/>
    <s v=" "/>
    <m/>
    <s v=" "/>
    <s v=" "/>
    <s v=" "/>
    <d v="2011-08-22T00:00:00"/>
    <n v="275"/>
  </r>
  <r>
    <s v="LMO90129"/>
    <s v="DEA"/>
    <s v="Federal"/>
    <s v="Fee Simple"/>
    <s v="3031 S Fort Ave"/>
    <s v="Springfield"/>
    <s v="MO"/>
    <n v="5.54"/>
    <n v="2011"/>
    <n v="12187"/>
    <n v="12187"/>
    <n v="1"/>
    <n v="389870.19"/>
    <n v="31.99066136046607"/>
    <m/>
    <s v=" "/>
    <d v="2011-11-01T00:00:00"/>
    <d v="2026-10-31T00:00:00"/>
    <d v="2021-11-01T00:00:00"/>
    <n v="14.46301369863014"/>
    <n v="9.463013698630137"/>
    <s v="Full Service"/>
    <m/>
    <s v="None"/>
    <n v="3125000"/>
    <n v="256.4207762369738"/>
    <s v=" "/>
    <m/>
    <d v="2012-05-18T00:00:00"/>
    <x v="1669"/>
    <s v="Murney Commercial"/>
    <x v="1103"/>
    <s v="AZ"/>
    <s v="REIT"/>
    <m/>
    <m/>
    <m/>
    <s v=" "/>
    <s v=" "/>
    <m/>
    <s v=" "/>
    <s v=" "/>
    <s v=" "/>
    <m/>
    <s v=" "/>
  </r>
  <r>
    <s v="LOH16937"/>
    <s v="NARA"/>
    <s v="Federal"/>
    <s v="Fee Simple"/>
    <s v="8801 Kingsridge Dr"/>
    <s v="Dayton"/>
    <s v="OH"/>
    <n v="12.316"/>
    <n v="2002"/>
    <n v="217394"/>
    <n v="217394"/>
    <n v="1"/>
    <n v="1980120.93"/>
    <n v="9.108443333302667"/>
    <m/>
    <s v=" "/>
    <d v="2003-02-01T00:00:00"/>
    <d v="2023-01-31T00:00:00"/>
    <d v="2017-07-01T00:00:00"/>
    <n v="10.71780821917808"/>
    <n v="5.128767123287671"/>
    <s v="Modified Gross"/>
    <s v="None"/>
    <s v="None"/>
    <n v="10000000"/>
    <n v="45.99942960707287"/>
    <s v=" "/>
    <m/>
    <d v="2012-05-16T00:00:00"/>
    <x v="1646"/>
    <s v="FORECLOSURE"/>
    <x v="958"/>
    <s v="CA"/>
    <s v="Institutional"/>
    <m/>
    <m/>
    <m/>
    <s v=" "/>
    <s v=" "/>
    <m/>
    <s v=" "/>
    <s v=" "/>
    <s v=" "/>
    <m/>
    <s v=" "/>
  </r>
  <r>
    <m/>
    <s v="USPS"/>
    <s v="Federal"/>
    <s v="Fee Simple"/>
    <s v="811 N La Brea Ave"/>
    <s v="Inglewood"/>
    <s v="CA"/>
    <n v="0.84"/>
    <n v="1956"/>
    <n v="12221"/>
    <n v="12221"/>
    <n v="1"/>
    <n v="205000"/>
    <n v="16.77440471319859"/>
    <n v="186900"/>
    <n v="15.29334751656984"/>
    <m/>
    <d v="2012-11-30T00:00:00"/>
    <m/>
    <n v="0.5753424657534246"/>
    <s v=" "/>
    <s v="Rider"/>
    <s v="None"/>
    <s v="None"/>
    <n v="2100000"/>
    <n v="171.8353653547173"/>
    <n v="0.089"/>
    <m/>
    <d v="2012-05-04T00:00:00"/>
    <x v="1670"/>
    <s v="Colliers; Gloege"/>
    <x v="1224"/>
    <s v="CA"/>
    <s v="Private"/>
    <s v="Torkan"/>
    <m/>
    <n v="2199000"/>
    <n v="0.08499317871759891"/>
    <n v="0.9549795361527967"/>
    <n v="2199000"/>
    <n v="0.08499317871759891"/>
    <n v="0.004006821282401082"/>
    <s v="No"/>
    <d v="2011-11-09T00:00:00"/>
    <n v="177"/>
  </r>
  <r>
    <s v="LCA01511"/>
    <s v="SSA"/>
    <s v="Federal"/>
    <s v="Fee Simple"/>
    <s v="560 E Hoover Ave"/>
    <s v="Crescent City"/>
    <s v="CA"/>
    <n v="1.5"/>
    <n v="2007"/>
    <n v="5250"/>
    <n v="5250"/>
    <n v="1"/>
    <n v="179539.58"/>
    <n v="34.19801523809524"/>
    <n v="117824.58"/>
    <n v="22.44277714285714"/>
    <d v="2007-01-18T00:00:00"/>
    <d v="2022-01-17T00:00:00"/>
    <d v="2017-01-17T00:00:00"/>
    <n v="9.715068493150685"/>
    <n v="4.712328767123288"/>
    <s v="Modified Gross"/>
    <s v="None"/>
    <s v="None"/>
    <n v="1200000"/>
    <n v="228.5714285714286"/>
    <n v="0.09818714999999999"/>
    <m/>
    <d v="2012-05-03T00:00:00"/>
    <x v="1671"/>
    <m/>
    <x v="1225"/>
    <s v="CA"/>
    <s v="Private"/>
    <m/>
    <m/>
    <m/>
    <s v=" "/>
    <s v=" "/>
    <m/>
    <s v=" "/>
    <s v=" "/>
    <s v=" "/>
    <m/>
    <s v=" "/>
  </r>
  <r>
    <m/>
    <s v="MPS"/>
    <s v="State"/>
    <s v="Fee Simple"/>
    <s v="15-45 W Gude Dr"/>
    <s v="Rockville"/>
    <s v="MD"/>
    <n v="24.16"/>
    <n v="1986"/>
    <n v="112474"/>
    <n v="229186"/>
    <n v="0.4907542345518487"/>
    <m/>
    <s v=" "/>
    <n v="3409295"/>
    <n v="14.87566867086122"/>
    <m/>
    <d v="2022-12-31T00:00:00"/>
    <d v="2022-12-31T00:00:00"/>
    <n v="10.67397260273973"/>
    <n v="10.67397260273973"/>
    <s v="Full Service"/>
    <s v="2% annually"/>
    <s v="None"/>
    <n v="50885000"/>
    <n v="222.0249055352421"/>
    <n v="0.067"/>
    <m/>
    <d v="2012-05-01T00:00:00"/>
    <x v="1672"/>
    <s v="CT"/>
    <x v="1226"/>
    <s v="MD"/>
    <s v="Private"/>
    <m/>
    <m/>
    <m/>
    <s v=" "/>
    <s v=" "/>
    <m/>
    <s v=" "/>
    <s v=" "/>
    <s v=" "/>
    <m/>
    <s v=" "/>
  </r>
  <r>
    <m/>
    <s v="Multi"/>
    <s v="State"/>
    <s v="Fee Simple"/>
    <s v="1000-1100 San Leandro Blvd"/>
    <s v="San Leandro"/>
    <s v="CA"/>
    <n v="2.31"/>
    <m/>
    <n v="230458"/>
    <n v="230438"/>
    <n v="1.000086791241028"/>
    <m/>
    <s v=" "/>
    <m/>
    <s v=" "/>
    <m/>
    <m/>
    <m/>
    <s v=" "/>
    <s v=" "/>
    <m/>
    <m/>
    <m/>
    <m/>
    <s v=" "/>
    <s v=" "/>
    <m/>
    <d v="2012-04-25T00:00:00"/>
    <x v="1673"/>
    <m/>
    <x v="1227"/>
    <s v="CA"/>
    <s v="Private"/>
    <m/>
    <m/>
    <m/>
    <s v=" "/>
    <s v=" "/>
    <m/>
    <s v=" "/>
    <s v=" "/>
    <s v=" "/>
    <m/>
    <s v=" "/>
  </r>
  <r>
    <m/>
    <s v="SSA"/>
    <s v="Federal"/>
    <s v="Fee Simple"/>
    <s v="1050 S Harper Rd"/>
    <s v="Corinth"/>
    <s v="MS"/>
    <n v="2.6"/>
    <n v="2008"/>
    <n v="8395"/>
    <n v="8395"/>
    <n v="1"/>
    <m/>
    <s v=" "/>
    <m/>
    <s v=" "/>
    <d v="2008-05-01T00:00:00"/>
    <d v="2018-04-30T00:00:00"/>
    <d v="2018-04-30T00:00:00"/>
    <n v="6.021917808219178"/>
    <n v="6.021917808219178"/>
    <s v="Modified Gross"/>
    <s v="None"/>
    <s v="None"/>
    <m/>
    <s v=" "/>
    <s v=" "/>
    <m/>
    <d v="2012-04-23T00:00:00"/>
    <x v="1674"/>
    <m/>
    <x v="1228"/>
    <m/>
    <m/>
    <m/>
    <m/>
    <m/>
    <s v=" "/>
    <s v=" "/>
    <m/>
    <s v=" "/>
    <s v=" "/>
    <s v=" "/>
    <m/>
    <s v=" "/>
  </r>
  <r>
    <s v="LIN18397"/>
    <s v="SSA"/>
    <s v="Federal"/>
    <s v="Fee Simple"/>
    <s v="6745 Network Place"/>
    <s v="Indianapolis"/>
    <s v="IN"/>
    <n v="17.04"/>
    <n v="2011"/>
    <n v="12299"/>
    <n v="12299"/>
    <n v="1"/>
    <n v="381879.37"/>
    <n v="31.04962761200098"/>
    <n v="335000"/>
    <n v="27.23798682819741"/>
    <d v="2012-04-12T00:00:00"/>
    <d v="2022-04-11T00:00:00"/>
    <d v="2022-04-11T00:00:00"/>
    <n v="9.989041095890411"/>
    <n v="9.989041095890411"/>
    <s v="Modified Gross"/>
    <s v="None"/>
    <s v="None"/>
    <n v="4146222"/>
    <n v="337.1186275306936"/>
    <n v="0.08079644553523666"/>
    <m/>
    <d v="2012-04-17T00:00:00"/>
    <x v="1101"/>
    <s v="SJC; Duff"/>
    <x v="1"/>
    <s v="IL"/>
    <s v="Private"/>
    <s v="SJC; Briggs"/>
    <m/>
    <m/>
    <s v=" "/>
    <s v=" "/>
    <m/>
    <s v=" "/>
    <s v=" "/>
    <s v=" "/>
    <m/>
    <s v=" "/>
  </r>
  <r>
    <s v="LCA01170"/>
    <s v="IRS"/>
    <s v="Federal"/>
    <s v="Fee Simple"/>
    <s v="1325 Broadway Plz"/>
    <s v="Fresno"/>
    <s v="CA"/>
    <n v="3"/>
    <n v="2003"/>
    <n v="180481"/>
    <n v="180481"/>
    <n v="1"/>
    <n v="6684404"/>
    <n v="37.03660773156177"/>
    <n v="4240800"/>
    <n v="23.49721023265607"/>
    <d v="2003-12-01T00:00:00"/>
    <d v="2018-11-30T00:00:00"/>
    <d v="2013-11-30T00:00:00"/>
    <n v="6.635616438356164"/>
    <n v="1.632876712328767"/>
    <s v="Modified Gross"/>
    <s v="None"/>
    <s v="None"/>
    <n v="55800000"/>
    <n v="309.1738188507377"/>
    <n v="0.076"/>
    <m/>
    <d v="2012-04-13T00:00:00"/>
    <x v="1675"/>
    <s v="Madison Ptrs; Bob Safai"/>
    <x v="3"/>
    <s v="DC"/>
    <s v="REIT"/>
    <m/>
    <m/>
    <m/>
    <s v=" "/>
    <s v=" "/>
    <m/>
    <s v=" "/>
    <s v=" "/>
    <s v=" "/>
    <m/>
    <s v=" "/>
  </r>
  <r>
    <s v="LCA01916"/>
    <s v="ATF"/>
    <s v="Federal"/>
    <s v="Fee Simple"/>
    <s v="355 N Wiget Ln"/>
    <s v="Walnut Creek"/>
    <s v="CA"/>
    <n v="0.52"/>
    <n v="1980"/>
    <n v="22500"/>
    <n v="22500"/>
    <n v="1"/>
    <n v="958556"/>
    <n v="42.60248888888889"/>
    <n v="792990.86"/>
    <n v="35.24403822222222"/>
    <d v="2008-10-15T00:00:00"/>
    <d v="2018-10-14T00:00:00"/>
    <d v="2008-10-15T00:00:00"/>
    <n v="6.512328767123288"/>
    <n v="-3.49041095890411"/>
    <s v="Modified Gross"/>
    <s v="None"/>
    <s v="None"/>
    <n v="9867000"/>
    <n v="438.5333333333334"/>
    <n v="0.08036798013580622"/>
    <m/>
    <d v="2012-04-11T00:00:00"/>
    <x v="1676"/>
    <s v="Seneca; Tom Morabito"/>
    <x v="593"/>
    <s v="IL"/>
    <s v="Private"/>
    <s v="Morabito"/>
    <m/>
    <m/>
    <s v=" "/>
    <s v=" "/>
    <m/>
    <s v=" "/>
    <s v=" "/>
    <s v=" "/>
    <m/>
    <s v=" "/>
  </r>
  <r>
    <s v="LME04803"/>
    <s v="CBP"/>
    <s v="Federal"/>
    <s v="Fee Simple"/>
    <s v="155 Gannett Dr"/>
    <s v="South Portland"/>
    <s v="ME"/>
    <n v="3.11"/>
    <n v="1996"/>
    <n v="23420"/>
    <n v="23420"/>
    <n v="1"/>
    <n v="788129.14"/>
    <n v="33.65197011101623"/>
    <n v="622564"/>
    <n v="26.58257899231426"/>
    <d v="2012-02-22T00:00:00"/>
    <d v="2022-02-21T00:00:00"/>
    <d v="2016-02-21T00:00:00"/>
    <n v="9.876712328767123"/>
    <n v="3.871232876712329"/>
    <s v="Modified Gross"/>
    <s v="None"/>
    <s v="None"/>
    <n v="7100000"/>
    <n v="303.1596925704526"/>
    <n v="0.08768507042253521"/>
    <m/>
    <d v="2012-04-09T00:00:00"/>
    <x v="1677"/>
    <s v="M&amp;M; Geoff Ficke"/>
    <x v="429"/>
    <s v="NY"/>
    <s v="Private"/>
    <m/>
    <s v="Robert Clark"/>
    <n v="7550000"/>
    <n v="0.08245880794701987"/>
    <n v="0.9403973509933775"/>
    <n v="7550000"/>
    <n v="0.08245880794701987"/>
    <n v="0.005226262475515331"/>
    <s v="No"/>
    <d v="2012-01-22T00:00:00"/>
    <n v="78"/>
  </r>
  <r>
    <s v="LMD01603"/>
    <s v="DHS"/>
    <s v="Federal"/>
    <s v="Fee Simple"/>
    <s v="6340 Columbia Park Rd"/>
    <s v="Landover"/>
    <s v="MD"/>
    <n v="6.4"/>
    <n v="1991"/>
    <n v="60389"/>
    <n v="101362"/>
    <n v="0.5957755371835599"/>
    <n v="338556.62"/>
    <n v="5.606263061153522"/>
    <m/>
    <s v=" "/>
    <d v="2003-09-18T00:00:00"/>
    <d v="2023-09-17T00:00:00"/>
    <d v="2013-09-17T00:00:00"/>
    <n v="11.45753424657534"/>
    <n v="1.452054794520548"/>
    <s v="Modified Gross"/>
    <s v="None"/>
    <s v="None"/>
    <n v="8168140"/>
    <n v="80.58384799037114"/>
    <s v=" "/>
    <m/>
    <d v="2012-04-05T00:00:00"/>
    <x v="1678"/>
    <m/>
    <x v="1229"/>
    <m/>
    <s v="Institutional"/>
    <m/>
    <m/>
    <m/>
    <s v=" "/>
    <s v=" "/>
    <m/>
    <s v=" "/>
    <s v=" "/>
    <s v=" "/>
    <m/>
    <s v=" "/>
  </r>
  <r>
    <s v="LKY50080"/>
    <s v="AOC"/>
    <s v="Federal"/>
    <s v="Fee Simple"/>
    <s v="717 W Broadway"/>
    <s v="Louisville"/>
    <s v="KY"/>
    <n v="1.36"/>
    <n v="2012"/>
    <n v="60000"/>
    <n v="60000"/>
    <n v="1"/>
    <n v="2439692.12"/>
    <n v="40.66153533333333"/>
    <n v="1729280"/>
    <n v="28.82133333333333"/>
    <d v="2011-12-22T00:00:00"/>
    <d v="2031-12-21T00:00:00"/>
    <d v="2026-12-21T00:00:00"/>
    <n v="19.72602739726027"/>
    <n v="14.72328767123288"/>
    <s v="Modified Gross"/>
    <s v="None"/>
    <s v="None"/>
    <n v="24704000"/>
    <n v="411.7333333333333"/>
    <n v="0.07000000000000001"/>
    <m/>
    <d v="2012-04-04T00:00:00"/>
    <x v="842"/>
    <s v="AJ Belt"/>
    <x v="1230"/>
    <s v="FL"/>
    <s v="Private"/>
    <m/>
    <m/>
    <m/>
    <s v=" "/>
    <s v=" "/>
    <m/>
    <s v=" "/>
    <s v=" "/>
    <s v=" "/>
    <m/>
    <s v=" "/>
  </r>
  <r>
    <m/>
    <s v="Remington College"/>
    <s v="State"/>
    <s v="Fee Simple"/>
    <s v="4368 Downtowner Loop S"/>
    <s v="Mobile"/>
    <s v="AL"/>
    <n v="0.85"/>
    <m/>
    <n v="8000"/>
    <n v="8000"/>
    <n v="1"/>
    <m/>
    <s v=" "/>
    <n v="131840"/>
    <n v="16.48"/>
    <d v="2011-01-01T00:00:00"/>
    <d v="2020-12-31T00:00:00"/>
    <d v="2020-12-31T00:00:00"/>
    <n v="8.756164383561643"/>
    <n v="8.756164383561643"/>
    <s v="NNN"/>
    <s v="3% annually"/>
    <s v="2, 5 year"/>
    <n v="1443000"/>
    <n v="180.375"/>
    <n v="0.09136521136521136"/>
    <m/>
    <d v="2012-04-01T00:00:00"/>
    <x v="8"/>
    <s v="CP;"/>
    <x v="0"/>
    <m/>
    <m/>
    <m/>
    <m/>
    <n v="1506743"/>
    <n v="0.08749999170396013"/>
    <n v="0.9576948424515661"/>
    <n v="1506743"/>
    <n v="0.08749999170396013"/>
    <n v="0.003865219661251237"/>
    <s v="No"/>
    <d v="2011-03-16T00:00:00"/>
    <n v="382"/>
  </r>
  <r>
    <s v="LAZ02196"/>
    <s v="FBI"/>
    <s v="Federal"/>
    <s v="Fee Simple"/>
    <s v="21711 N 7th St"/>
    <s v="Phoenix"/>
    <s v="AZ"/>
    <n v="12.3"/>
    <n v="2012"/>
    <n v="210202"/>
    <n v="210202"/>
    <n v="1"/>
    <n v="7746703.09"/>
    <n v="36.85361266781477"/>
    <n v="5621250"/>
    <n v="26.74213375705274"/>
    <d v="2012-02-01T00:00:00"/>
    <d v="2032-01-31T00:00:00"/>
    <d v="2032-01-31T00:00:00"/>
    <n v="19.85479452054794"/>
    <n v="19.85479452054794"/>
    <s v="Modified Gross"/>
    <s v="None"/>
    <s v="None"/>
    <n v="74950000"/>
    <n v="356.5617834273698"/>
    <n v="0.075"/>
    <m/>
    <d v="2012-03-29T00:00:00"/>
    <x v="1679"/>
    <s v="CBRE; Thomas Holtz"/>
    <x v="1231"/>
    <m/>
    <s v="Cross-Border"/>
    <m/>
    <m/>
    <m/>
    <s v=" "/>
    <s v=" "/>
    <m/>
    <s v=" "/>
    <s v=" "/>
    <s v=" "/>
    <m/>
    <s v=" "/>
  </r>
  <r>
    <s v="LCO14568"/>
    <s v="SSA"/>
    <s v="Federal"/>
    <s v="Fee Simple"/>
    <s v="111 Waverly Ave"/>
    <s v="Trindad"/>
    <s v="CO"/>
    <n v="0.43"/>
    <n v="2011"/>
    <n v="4184"/>
    <n v="4184"/>
    <n v="1"/>
    <n v="120879.94"/>
    <n v="28.89099904397706"/>
    <n v="91266"/>
    <n v="21.81309751434035"/>
    <d v="2012-01-17T00:00:00"/>
    <d v="2032-01-16T00:00:00"/>
    <d v="2027-01-17T00:00:00"/>
    <n v="19.82191780821918"/>
    <n v="14.82191780821918"/>
    <s v="Modified Gross"/>
    <s v="None"/>
    <s v="None"/>
    <n v="1230000"/>
    <n v="293.9770554493308"/>
    <n v="0.0742"/>
    <m/>
    <d v="2012-03-26T00:00:00"/>
    <x v="1680"/>
    <m/>
    <x v="1232"/>
    <s v="WY"/>
    <s v="Private"/>
    <m/>
    <m/>
    <m/>
    <s v=" "/>
    <s v=" "/>
    <m/>
    <s v=" "/>
    <s v=" "/>
    <s v=" "/>
    <m/>
    <s v=" "/>
  </r>
  <r>
    <m/>
    <s v="USPS"/>
    <s v="Federal"/>
    <s v="Fee Simple"/>
    <s v="15 Onondaga Ave"/>
    <s v="San Francisco"/>
    <s v="CA"/>
    <n v="0.11"/>
    <n v="1952"/>
    <n v="4367"/>
    <n v="4367"/>
    <n v="1"/>
    <n v="79385"/>
    <n v="18.17838332951683"/>
    <n v="72250"/>
    <n v="16.54453858484085"/>
    <m/>
    <m/>
    <m/>
    <s v=" "/>
    <s v=" "/>
    <s v="Rider"/>
    <s v="None"/>
    <s v="None"/>
    <n v="814000"/>
    <n v="186.3979848866499"/>
    <n v="0.08875921375921376"/>
    <m/>
    <d v="2012-03-16T00:00:00"/>
    <x v="1681"/>
    <s v="TCP; Harrison"/>
    <x v="1233"/>
    <s v="CA"/>
    <s v="Private"/>
    <s v="Lawrence Lee"/>
    <m/>
    <n v="850000"/>
    <n v="0.08500000000000001"/>
    <n v="0.9576470588235294"/>
    <n v="825000"/>
    <n v="0.08757575757575757"/>
    <n v="0.001183456183456194"/>
    <s v="Yes"/>
    <d v="2012-01-23T00:00:00"/>
    <n v="53"/>
  </r>
  <r>
    <s v="LIL17779"/>
    <s v="IRS"/>
    <s v="Federal"/>
    <s v="Fee Simple"/>
    <s v="2415 W Cornerstone Ct"/>
    <s v="Peoria"/>
    <s v="IL"/>
    <n v="2.95"/>
    <n v="2008"/>
    <n v="11413"/>
    <n v="11413"/>
    <n v="1"/>
    <n v="316359"/>
    <n v="27.71917988259003"/>
    <n v="212122.2"/>
    <n v="18.58601594672742"/>
    <d v="2009-01-01T00:00:00"/>
    <d v="2018-12-31T00:00:00"/>
    <d v="2015-12-31T00:00:00"/>
    <n v="6.816438356164384"/>
    <n v="3.813698630136986"/>
    <s v="Modified Gross"/>
    <s v="Drops at Firm"/>
    <s v="None"/>
    <n v="1700000"/>
    <n v="148.9529483921843"/>
    <n v="0.1247777647058824"/>
    <m/>
    <d v="2012-03-09T00:00:00"/>
    <x v="1682"/>
    <s v="NKF; Gallas"/>
    <x v="1234"/>
    <s v="IL"/>
    <s v="Private"/>
    <m/>
    <m/>
    <n v="2026000"/>
    <n v="0.1047"/>
    <n v="0.8390918065153011"/>
    <n v="2026000"/>
    <n v="0.1047"/>
    <n v="0.02007776470588236"/>
    <s v="No"/>
    <d v="2011-04-20T00:00:00"/>
    <n v="324"/>
  </r>
  <r>
    <m/>
    <s v="DOC"/>
    <s v="State"/>
    <s v="Fee Simple"/>
    <s v="1900-1960 Birkmont Dr"/>
    <s v="Rancho Cordova"/>
    <s v="CA"/>
    <n v="18.91"/>
    <n v="1984"/>
    <n v="96000"/>
    <n v="96000"/>
    <n v="1"/>
    <m/>
    <s v=" "/>
    <m/>
    <s v=" "/>
    <d v="2011-01-01T00:00:00"/>
    <d v="2019-12-31T00:00:00"/>
    <d v="2015-12-31T00:00:00"/>
    <n v="7.821917808219178"/>
    <n v="3.819178082191781"/>
    <s v="Full Service"/>
    <s v="CPI annually"/>
    <s v="None"/>
    <n v="9000000"/>
    <n v="93.75"/>
    <s v=" "/>
    <m/>
    <d v="2012-03-07T00:00:00"/>
    <x v="1683"/>
    <s v="Newmark; Golubchik"/>
    <x v="1235"/>
    <s v="CA"/>
    <s v="Private"/>
    <m/>
    <m/>
    <m/>
    <s v=" "/>
    <s v=" "/>
    <m/>
    <s v=" "/>
    <s v=" "/>
    <s v=" "/>
    <m/>
    <s v=" "/>
  </r>
  <r>
    <s v="LKY41105"/>
    <s v="SSA"/>
    <s v="Federal"/>
    <s v="Fee Simple"/>
    <s v="103 Belinda Blvd"/>
    <s v="Danville"/>
    <s v="KY"/>
    <n v="2.7"/>
    <n v="2004"/>
    <n v="8089"/>
    <n v="8089"/>
    <n v="1"/>
    <n v="172158.93"/>
    <n v="21.28309185313389"/>
    <m/>
    <s v=" "/>
    <d v="2004-05-13T00:00:00"/>
    <d v="2014-05-12T00:00:00"/>
    <d v="2009-05-12T00:00:00"/>
    <n v="2.197260273972603"/>
    <n v="-2.805479452054795"/>
    <s v="Modified Gross"/>
    <s v="None"/>
    <s v="None"/>
    <m/>
    <s v=" "/>
    <s v=" "/>
    <m/>
    <d v="2012-03-01T00:00:00"/>
    <x v="1684"/>
    <m/>
    <x v="1236"/>
    <s v="KY"/>
    <s v="Private"/>
    <m/>
    <m/>
    <m/>
    <s v=" "/>
    <s v=" "/>
    <m/>
    <s v=" "/>
    <s v=" "/>
    <s v=" "/>
    <m/>
    <s v=" "/>
  </r>
  <r>
    <m/>
    <s v="FS"/>
    <s v="Federal"/>
    <s v="Fee Simple"/>
    <s v="104 Airport Rd"/>
    <s v="Grangeville"/>
    <s v="ID"/>
    <n v="13.2"/>
    <n v="2007"/>
    <n v="36990"/>
    <n v="36990"/>
    <n v="1"/>
    <m/>
    <s v=" "/>
    <n v="467200"/>
    <n v="12.63044065963774"/>
    <d v="2007-11-01T00:00:00"/>
    <d v="2022-10-31T00:00:00"/>
    <d v="2022-10-31T00:00:00"/>
    <n v="10.67397260273973"/>
    <n v="10.67397260273973"/>
    <s v="Modified Gross"/>
    <s v="None"/>
    <s v="None"/>
    <n v="7300000"/>
    <n v="197.3506353068397"/>
    <n v="0.064"/>
    <m/>
    <d v="2012-03-01T00:00:00"/>
    <x v="1685"/>
    <m/>
    <x v="1098"/>
    <s v="AZ"/>
    <s v="REIT"/>
    <m/>
    <m/>
    <m/>
    <s v=" "/>
    <s v=" "/>
    <m/>
    <s v=" "/>
    <s v=" "/>
    <s v=" "/>
    <m/>
    <s v=" "/>
  </r>
  <r>
    <s v="LTN47024"/>
    <s v="SSA/OHO"/>
    <s v="Federal"/>
    <s v="Fee Simple"/>
    <s v="309 Monroe Ave"/>
    <s v="Memphis"/>
    <s v="TN"/>
    <n v="1.56"/>
    <n v="1940"/>
    <n v="22677"/>
    <n v="22677"/>
    <n v="1"/>
    <n v="505745"/>
    <n v="22.30211227234643"/>
    <n v="347428"/>
    <n v="15.32072143581603"/>
    <d v="2008-06-01T00:00:00"/>
    <d v="2023-05-31T00:00:00"/>
    <d v="2018-05-31T00:00:00"/>
    <n v="11.25479452054794"/>
    <n v="6.252054794520548"/>
    <s v="Modified Gross"/>
    <s v="Option"/>
    <s v="None"/>
    <n v="3325000"/>
    <n v="146.6243330246505"/>
    <n v="0.1044896240601504"/>
    <m/>
    <d v="2012-03-01T00:00:00"/>
    <x v="1686"/>
    <s v="NAI; Stag"/>
    <x v="474"/>
    <s v="PA"/>
    <s v="Private"/>
    <s v="M&amp;M; Ficke"/>
    <m/>
    <n v="4200000"/>
    <n v="0.08272095238095238"/>
    <n v="0.7916666666666666"/>
    <n v="4200000"/>
    <n v="0.08272095238095238"/>
    <n v="0.02176867167919799"/>
    <s v="No"/>
    <m/>
    <s v=" "/>
  </r>
  <r>
    <s v="LAZ01535"/>
    <s v="SSA"/>
    <s v="Federal"/>
    <s v="Fee Simple"/>
    <s v="702 Jerome Avenue"/>
    <s v="Mesa"/>
    <s v="AZ"/>
    <n v="4.04"/>
    <n v="2005"/>
    <n v="23084"/>
    <n v="23084"/>
    <n v="1"/>
    <n v="616236"/>
    <n v="26.69537341881823"/>
    <n v="457347"/>
    <n v="19.81229422976954"/>
    <d v="2006-01-20T00:00:00"/>
    <d v="2021-01-19T00:00:00"/>
    <d v="2021-01-19T00:00:00"/>
    <n v="8.893150684931507"/>
    <n v="8.893150684931507"/>
    <s v="Modified Gross"/>
    <s v="None"/>
    <s v="None"/>
    <n v="5500000"/>
    <n v="238.2602668514989"/>
    <n v="0.08315400000000001"/>
    <m/>
    <d v="2012-03-01T00:00:00"/>
    <x v="1687"/>
    <s v="Kawa Assoc; Robert Kawa"/>
    <x v="1"/>
    <s v="IL"/>
    <s v="Private"/>
    <s v="Newmark; Gallas"/>
    <m/>
    <m/>
    <s v=" "/>
    <s v=" "/>
    <m/>
    <s v=" "/>
    <s v=" "/>
    <s v=" "/>
    <m/>
    <s v=" "/>
  </r>
  <r>
    <s v="LKY44097"/>
    <s v="SSA"/>
    <s v="Federal"/>
    <s v="Fee Simple"/>
    <s v="4532 Lucky Stripe Loop"/>
    <s v="Owensboro"/>
    <s v="KY"/>
    <n v="1.578"/>
    <n v="2006"/>
    <n v="9747"/>
    <n v="9747"/>
    <n v="1"/>
    <n v="189285.3"/>
    <n v="19.41985226223453"/>
    <m/>
    <s v=" "/>
    <d v="2006-01-25T00:00:00"/>
    <d v="2018-02-24T00:00:00"/>
    <d v="2011-01-24T00:00:00"/>
    <n v="5.989041095890411"/>
    <n v="-1.101369863013699"/>
    <s v="Modified Gross"/>
    <s v="None"/>
    <s v="None"/>
    <n v="1072400"/>
    <n v="110.0235970042064"/>
    <s v=" "/>
    <m/>
    <d v="2012-03-01T00:00:00"/>
    <x v="1684"/>
    <m/>
    <x v="1236"/>
    <s v="KY"/>
    <s v="Private"/>
    <m/>
    <m/>
    <m/>
    <s v=" "/>
    <s v=" "/>
    <m/>
    <s v=" "/>
    <s v=" "/>
    <s v=" "/>
    <m/>
    <s v=" "/>
  </r>
  <r>
    <s v="LWI17487"/>
    <s v="DEA"/>
    <s v="Federal"/>
    <s v="Fee Simple"/>
    <s v="4725 W Electric Ave"/>
    <s v="Milwaukee"/>
    <s v="WI"/>
    <n v="5.25"/>
    <n v="2007"/>
    <n v="29931"/>
    <n v="51368"/>
    <n v="0.5826779317863261"/>
    <n v="1402295.21"/>
    <n v="46.85093080752397"/>
    <n v="972900"/>
    <n v="18.93980688366298"/>
    <d v="2008-05-19T00:00:00"/>
    <d v="2023-05-18T00:00:00"/>
    <d v="2023-05-18T00:00:00"/>
    <n v="11.22465753424657"/>
    <n v="11.22465753424657"/>
    <s v="Modified Gross"/>
    <s v="None"/>
    <s v="None"/>
    <n v="14100000"/>
    <n v="274.4899548356954"/>
    <n v="0.06900000000000001"/>
    <m/>
    <d v="2012-02-28T00:00:00"/>
    <x v="1688"/>
    <m/>
    <x v="1"/>
    <s v="IL"/>
    <s v="Private"/>
    <m/>
    <m/>
    <m/>
    <s v=" "/>
    <s v=" "/>
    <m/>
    <s v=" "/>
    <s v=" "/>
    <s v=" "/>
    <m/>
    <s v=" "/>
  </r>
  <r>
    <s v="LFL61860"/>
    <s v="Airforce/Dep't of State"/>
    <s v="Federal"/>
    <s v="Fee Simple"/>
    <s v="2765 Business Center Blvd"/>
    <s v="Melbourne"/>
    <s v="FL"/>
    <n v="5.22"/>
    <n v="1989"/>
    <n v="56004"/>
    <n v="56004"/>
    <n v="1"/>
    <n v="1131375.97"/>
    <n v="20.20169934290408"/>
    <n v="865472"/>
    <n v="15.45375330333548"/>
    <d v="2011-09-01T00:00:00"/>
    <d v="2026-08-31T00:00:00"/>
    <d v="2021-09-01T00:00:00"/>
    <n v="14.53150684931507"/>
    <n v="9.531506849315068"/>
    <s v="Modified Gross"/>
    <s v="None"/>
    <s v="None"/>
    <n v="10100000"/>
    <n v="180.3442611242054"/>
    <n v="0.08569029702970297"/>
    <m/>
    <d v="2012-02-22T00:00:00"/>
    <x v="1689"/>
    <s v="Newmark; Gallas"/>
    <x v="1237"/>
    <s v="FL"/>
    <s v="Private"/>
    <m/>
    <m/>
    <m/>
    <s v=" "/>
    <s v=" "/>
    <m/>
    <s v=" "/>
    <s v=" "/>
    <s v=" "/>
    <m/>
    <s v=" "/>
  </r>
  <r>
    <s v="LNY23111"/>
    <s v="DEA"/>
    <s v="Federal"/>
    <s v="Fee Simple"/>
    <s v="10 Hastings Blvd"/>
    <s v="Latham"/>
    <s v="NY"/>
    <n v="11.74"/>
    <n v="2004"/>
    <n v="31976"/>
    <n v="31976"/>
    <n v="1"/>
    <n v="1103739"/>
    <n v="34.51773204903678"/>
    <n v="843160"/>
    <n v="26.3685263947961"/>
    <d v="2004-08-01T00:00:00"/>
    <d v="2014-07-31T00:00:00"/>
    <d v="2014-07-31T00:00:00"/>
    <n v="2.441095890410959"/>
    <n v="2.441095890410959"/>
    <s v="Modified Gross"/>
    <s v="None"/>
    <s v="None"/>
    <n v="10700000"/>
    <n v="334.6259694771078"/>
    <n v="0.0788"/>
    <m/>
    <d v="2012-02-21T00:00:00"/>
    <x v="1690"/>
    <s v="NAI; "/>
    <x v="3"/>
    <s v="DC"/>
    <s v="REIT"/>
    <m/>
    <m/>
    <m/>
    <s v=" "/>
    <s v=" "/>
    <m/>
    <s v=" "/>
    <s v=" "/>
    <s v=" "/>
    <m/>
    <s v=" "/>
  </r>
  <r>
    <s v="LNC48055"/>
    <s v="FBI"/>
    <s v="Federal"/>
    <s v="Fee Simple"/>
    <s v="110 Pinedale Springs Way"/>
    <s v="Cary"/>
    <s v="NC"/>
    <n v="2.21"/>
    <n v="2009"/>
    <n v="25458"/>
    <n v="25458"/>
    <n v="1"/>
    <n v="850260"/>
    <n v="33.39853876973839"/>
    <n v="687800"/>
    <n v="27.01704768638542"/>
    <d v="2009-09-18T00:00:00"/>
    <d v="2024-09-17T00:00:00"/>
    <d v="2019-09-17T00:00:00"/>
    <n v="12.5945205479452"/>
    <n v="7.589041095890411"/>
    <s v="Modified Gross"/>
    <s v="None"/>
    <s v="None"/>
    <n v="9050000"/>
    <n v="355.4874695577029"/>
    <n v="0.076"/>
    <m/>
    <d v="2012-02-16T00:00:00"/>
    <x v="775"/>
    <s v="Colliers; Baxter Walker"/>
    <x v="1"/>
    <s v="IL"/>
    <s v="Private"/>
    <m/>
    <m/>
    <m/>
    <s v=" "/>
    <s v=" "/>
    <m/>
    <s v=" "/>
    <s v=" "/>
    <s v=" "/>
    <m/>
    <s v=" "/>
  </r>
  <r>
    <s v="LAK06271"/>
    <s v="DEA"/>
    <s v="Federal"/>
    <s v="Fee Simple"/>
    <s v="1630 E Tudor Rd"/>
    <s v="Anchorage"/>
    <s v="AK"/>
    <n v="2.31"/>
    <n v="2000"/>
    <n v="27763"/>
    <n v="27763"/>
    <n v="1"/>
    <n v="596083"/>
    <n v="21.47041025825739"/>
    <n v="376800"/>
    <n v="13.57202031480748"/>
    <d v="2001-04-01T00:00:00"/>
    <d v="2016-03-31T00:00:00"/>
    <d v="2016-03-31T00:00:00"/>
    <n v="4.126027397260274"/>
    <n v="4.126027397260274"/>
    <s v="Modified Gross"/>
    <s v="None"/>
    <s v="2, 5 year"/>
    <n v="4825000"/>
    <n v="173.7924575874365"/>
    <n v="0.07809326424870466"/>
    <m/>
    <d v="2012-02-15T00:00:00"/>
    <x v="223"/>
    <s v="Jack White; Brian Edmondson"/>
    <x v="1238"/>
    <m/>
    <s v="Private"/>
    <m/>
    <m/>
    <m/>
    <s v=" "/>
    <s v=" "/>
    <m/>
    <s v=" "/>
    <s v=" "/>
    <s v=" "/>
    <m/>
    <s v=" "/>
  </r>
  <r>
    <s v="LWA07153"/>
    <s v="MEPS"/>
    <s v="Federal"/>
    <s v="Fee Simple"/>
    <s v="8510 US 2"/>
    <s v="Spokane"/>
    <s v="WA"/>
    <n v="7.16"/>
    <n v="2011"/>
    <n v="20328"/>
    <n v="20328"/>
    <n v="1"/>
    <n v="624270.91"/>
    <n v="30.70990308933491"/>
    <n v="455000"/>
    <n v="22.38292011019284"/>
    <d v="2011-01-19T00:00:00"/>
    <d v="2026-01-18T00:00:00"/>
    <d v="2025-01-18T00:00:00"/>
    <n v="13.93424657534247"/>
    <n v="12.93424657534247"/>
    <s v="Modified Gross"/>
    <s v="None"/>
    <s v="None"/>
    <n v="6500000"/>
    <n v="319.7560015741834"/>
    <n v="0.07000000000000001"/>
    <m/>
    <d v="2012-02-15T00:00:00"/>
    <x v="1691"/>
    <s v="Direct"/>
    <x v="1"/>
    <s v="IL"/>
    <s v="Private"/>
    <m/>
    <m/>
    <m/>
    <s v=" "/>
    <s v=" "/>
    <m/>
    <s v=" "/>
    <s v=" "/>
    <s v=" "/>
    <m/>
    <s v=" "/>
  </r>
  <r>
    <s v="LSD14397"/>
    <s v="SSA"/>
    <s v="Federal"/>
    <s v="Fee Simple"/>
    <s v="5021 S Nevada Ave"/>
    <s v="Sioux Falls"/>
    <s v="SD"/>
    <n v="1.73"/>
    <n v="2011"/>
    <n v="13126"/>
    <n v="13126"/>
    <n v="1"/>
    <n v="363779"/>
    <n v="27.7143836660064"/>
    <n v="275500"/>
    <n v="20.98887703793997"/>
    <d v="2011-06-24T00:00:00"/>
    <d v="2021-06-23T00:00:00"/>
    <d v="2021-06-23T00:00:00"/>
    <n v="9.361643835616439"/>
    <n v="9.361643835616439"/>
    <s v="Modified Gross"/>
    <s v="None"/>
    <s v="None"/>
    <n v="3600000"/>
    <n v="274.2648179186348"/>
    <n v="0.07652777777777778"/>
    <m/>
    <d v="2012-02-14T00:00:00"/>
    <x v="1692"/>
    <s v="Legacy; Aaron Hultgren"/>
    <x v="1179"/>
    <s v="SD"/>
    <s v="Private"/>
    <m/>
    <m/>
    <n v="3800000"/>
    <n v="0.0725"/>
    <n v="0.9473684210526315"/>
    <n v="3800000"/>
    <n v="0.0725"/>
    <n v="0.004027777777777783"/>
    <s v="No"/>
    <d v="2011-06-01T00:00:00"/>
    <n v="258"/>
  </r>
  <r>
    <m/>
    <s v="Multi"/>
    <s v="Federal"/>
    <s v="Fee Simple"/>
    <s v="495 Commerce Center Dr"/>
    <s v="McAllen"/>
    <s v="TX"/>
    <n v="3.55"/>
    <n v="2010"/>
    <n v="29323"/>
    <n v="29323"/>
    <n v="1"/>
    <m/>
    <s v=" "/>
    <n v="616300"/>
    <n v="21.01763121099478"/>
    <m/>
    <m/>
    <m/>
    <s v=" "/>
    <s v=" "/>
    <s v="Modified Gross"/>
    <s v="None"/>
    <s v="None"/>
    <n v="8000000"/>
    <n v="272.8233809637486"/>
    <n v="0.07703749999999999"/>
    <m/>
    <d v="2012-02-01T00:00:00"/>
    <x v="2"/>
    <m/>
    <x v="1"/>
    <s v="IL"/>
    <s v="Private"/>
    <m/>
    <m/>
    <n v="8000000"/>
    <n v="0.07703749999999999"/>
    <n v="1"/>
    <n v="8000000"/>
    <n v="0.07703749999999999"/>
    <n v="0"/>
    <s v="No"/>
    <m/>
    <s v=" "/>
  </r>
  <r>
    <m/>
    <s v="VA"/>
    <s v="Federal"/>
    <s v="Fee Simple"/>
    <s v="7600 Metropolis Dr"/>
    <s v="Austin"/>
    <s v="TX"/>
    <n v="16.183"/>
    <n v="2008"/>
    <n v="150500"/>
    <n v="150500"/>
    <n v="1"/>
    <n v="5817644"/>
    <n v="38.65544186046512"/>
    <n v="4836718"/>
    <n v="32.13766112956811"/>
    <d v="2012-06-01T00:00:00"/>
    <d v="2022-05-23T00:00:00"/>
    <d v="2017-05-23T00:00:00"/>
    <n v="10.32876712328767"/>
    <n v="5.326027397260274"/>
    <s v="Modified Gross"/>
    <s v="None"/>
    <s v="None"/>
    <n v="54000000"/>
    <n v="358.8039867109634"/>
    <n v="0.08956885185185186"/>
    <m/>
    <d v="2012-01-26T00:00:00"/>
    <x v="1693"/>
    <s v="Macke"/>
    <x v="2"/>
    <s v="VA"/>
    <s v="Private"/>
    <m/>
    <m/>
    <m/>
    <s v=" "/>
    <s v=" "/>
    <m/>
    <s v=" "/>
    <s v=" "/>
    <s v=" "/>
    <m/>
    <s v=" "/>
  </r>
  <r>
    <m/>
    <s v="DOD/TSA"/>
    <s v="Federal"/>
    <s v="Fee Simple"/>
    <s v="3110-3200 E Guasti Rd"/>
    <s v="Ontario"/>
    <s v="CA"/>
    <n v="7.21"/>
    <n v="2007"/>
    <n v="24861"/>
    <n v="161860"/>
    <n v="0.1535956999876436"/>
    <m/>
    <s v=" "/>
    <m/>
    <s v=" "/>
    <d v="2012-10-10T00:00:00"/>
    <d v="2022-10-09T00:00:00"/>
    <d v="2017-10-10T00:00:00"/>
    <n v="10.72876712328767"/>
    <n v="5.728767123287671"/>
    <s v="Modified Gross"/>
    <s v="None"/>
    <s v="None"/>
    <n v="34000000"/>
    <n v="210.0580748795255"/>
    <s v=" "/>
    <m/>
    <d v="2012-01-19T00:00:00"/>
    <x v="1694"/>
    <s v="Newmark; Shannon"/>
    <x v="1239"/>
    <s v="IL"/>
    <s v="Private"/>
    <m/>
    <m/>
    <m/>
    <s v=" "/>
    <s v=" "/>
    <m/>
    <s v=" "/>
    <s v=" "/>
    <s v=" "/>
    <m/>
    <s v=" "/>
  </r>
  <r>
    <s v="LFL48869"/>
    <s v="ICE"/>
    <s v="Federal"/>
    <s v="Fee Simple"/>
    <s v="3500 SE Commerce Ave"/>
    <s v="Stuart"/>
    <s v="FL"/>
    <n v="3.27"/>
    <n v="2011"/>
    <n v="12736"/>
    <n v="12736"/>
    <n v="1"/>
    <n v="562285"/>
    <n v="44.14926193467337"/>
    <n v="402716"/>
    <n v="31.62028894472362"/>
    <d v="2011-03-04T00:00:00"/>
    <d v="2021-03-03T00:00:00"/>
    <d v="2021-03-03T00:00:00"/>
    <n v="9.131506849315068"/>
    <n v="9.131506849315068"/>
    <s v="Modified Gross"/>
    <s v="None"/>
    <s v="None"/>
    <n v="4852000"/>
    <n v="380.9673366834171"/>
    <n v="0.083"/>
    <m/>
    <d v="2012-01-17T00:00:00"/>
    <x v="638"/>
    <s v="Abs Invest; Jeffrey Cotter"/>
    <x v="1098"/>
    <s v="AZ"/>
    <s v="REIT"/>
    <m/>
    <m/>
    <m/>
    <s v=" "/>
    <s v=" "/>
    <m/>
    <s v=" "/>
    <s v=" "/>
    <s v=" "/>
    <m/>
    <s v=" "/>
  </r>
  <r>
    <s v="LCO14426"/>
    <s v="MSHA"/>
    <s v="Federal"/>
    <s v="Fee Simple"/>
    <s v="415 Green St"/>
    <s v="Craig"/>
    <s v="CO"/>
    <n v="0.59"/>
    <n v="2010"/>
    <n v="4328"/>
    <n v="4328"/>
    <n v="1"/>
    <n v="189962.26"/>
    <n v="43.89146487985213"/>
    <n v="135000"/>
    <n v="31.19223659889094"/>
    <d v="2010-11-23T00:00:00"/>
    <d v="2025-11-22T00:00:00"/>
    <d v="2020-11-23T00:00:00"/>
    <n v="13.87397260273973"/>
    <n v="8.873972602739727"/>
    <s v="Modified Gross"/>
    <s v="None"/>
    <s v="None"/>
    <n v="1570000"/>
    <n v="362.7541589648799"/>
    <n v="0.08598726114649681"/>
    <m/>
    <d v="2012-01-11T00:00:00"/>
    <x v="1695"/>
    <s v="Direct"/>
    <x v="1098"/>
    <s v="AZ"/>
    <s v="REIT"/>
    <m/>
    <m/>
    <m/>
    <s v=" "/>
    <s v=" "/>
    <m/>
    <s v=" "/>
    <s v=" "/>
    <s v=" "/>
    <m/>
    <s v=" "/>
  </r>
  <r>
    <s v="LNY23512"/>
    <s v="SSA"/>
    <s v="Federal"/>
    <s v="Fee Simple"/>
    <s v="84 N Main St"/>
    <s v="Freeport"/>
    <s v="NY"/>
    <n v="0.35"/>
    <n v="1962"/>
    <n v="12009"/>
    <n v="12009"/>
    <n v="1"/>
    <n v="538210"/>
    <n v="44.81722041801982"/>
    <n v="397106.25"/>
    <n v="33.06738695978017"/>
    <d v="2009-03-01T00:00:00"/>
    <d v="2019-02-28T00:00:00"/>
    <d v="2019-02-28T00:00:00"/>
    <n v="7.13972602739726"/>
    <n v="7.13972602739726"/>
    <s v="Modified Gross"/>
    <s v="None"/>
    <s v="None"/>
    <n v="4848738"/>
    <n v="403.758680989258"/>
    <n v="0.08189888791681464"/>
    <m/>
    <d v="2012-01-10T00:00:00"/>
    <x v="1696"/>
    <s v="Fortis; Doug Passon"/>
    <x v="1103"/>
    <s v="AZ"/>
    <s v="REIT"/>
    <m/>
    <m/>
    <n v="5294750"/>
    <n v="0.075"/>
    <n v="0.9157633504886916"/>
    <n v="5294750"/>
    <n v="0.075"/>
    <n v="0.006898887916814644"/>
    <s v="No"/>
    <d v="2011-02-11T00:00:00"/>
    <n v="333"/>
  </r>
  <r>
    <s v="LWA07147"/>
    <s v="SSA"/>
    <s v="Federal"/>
    <s v="Fee Simple"/>
    <s v="840 Ocean Beach Hwy"/>
    <s v="Longview"/>
    <s v="WA"/>
    <n v="0.68"/>
    <n v="1982"/>
    <n v="5101"/>
    <n v="11000"/>
    <n v="0.4637272727272727"/>
    <n v="124712.96"/>
    <n v="24.44872770045089"/>
    <m/>
    <s v=" "/>
    <d v="2011-12-02T00:00:00"/>
    <d v="2026-12-01T00:00:00"/>
    <d v="2026-12-01T00:00:00"/>
    <n v="14.91232876712329"/>
    <n v="14.91232876712329"/>
    <s v="Modified Gross"/>
    <s v="None"/>
    <s v="None"/>
    <n v="1570000"/>
    <n v="142.7272727272727"/>
    <s v=" "/>
    <m/>
    <d v="2012-01-06T00:00:00"/>
    <x v="1697"/>
    <s v="Todd Wade"/>
    <x v="1240"/>
    <s v="WA"/>
    <s v="Private"/>
    <s v="Chris Roewe"/>
    <m/>
    <n v="1600000"/>
    <s v=" "/>
    <n v="0.98125"/>
    <n v="1600000"/>
    <s v=" "/>
    <s v=" "/>
    <s v="No"/>
    <d v="2011-01-12T00:00:00"/>
    <n v="359"/>
  </r>
  <r>
    <s v="LNC42087"/>
    <s v="INS"/>
    <s v="Federal"/>
    <s v="Fee Simple"/>
    <s v="6130 Tyvola Centre Dr"/>
    <s v="Charlotte"/>
    <s v="NC"/>
    <n v="8"/>
    <n v="2003"/>
    <n v="52000"/>
    <n v="52000"/>
    <n v="1"/>
    <n v="1127300.03"/>
    <n v="21.67884673076923"/>
    <n v="695475"/>
    <n v="13.37451923076923"/>
    <d v="2003-07-29T00:00:00"/>
    <d v="2023-07-28T00:00:00"/>
    <d v="2018-07-29T00:00:00"/>
    <n v="11.57260273972603"/>
    <n v="6.572602739726028"/>
    <s v="Modified Gross"/>
    <s v="None"/>
    <s v="None"/>
    <n v="8235428"/>
    <n v="158.3736153846154"/>
    <n v="0.08444916281218171"/>
    <m/>
    <d v="2012-01-03T00:00:00"/>
    <x v="1646"/>
    <s v="FORECLOSURE"/>
    <x v="958"/>
    <s v="CA"/>
    <s v="Institutional"/>
    <m/>
    <m/>
    <m/>
    <s v=" "/>
    <s v=" "/>
    <m/>
    <s v=" "/>
    <s v=" "/>
    <s v=" "/>
    <m/>
    <s v=" "/>
  </r>
  <r>
    <s v="LWA07237"/>
    <s v="SSA"/>
    <s v="Federal"/>
    <s v="Fee Simple"/>
    <s v="13510-13530 Aurora Ave N"/>
    <s v="Seattle"/>
    <s v="WA"/>
    <n v="1.44"/>
    <n v="1986"/>
    <n v="6110"/>
    <n v="22737"/>
    <n v="0.2687249857061178"/>
    <n v="164769.41"/>
    <n v="26.96717021276596"/>
    <n v="503124.9999999999"/>
    <n v="22.1280292035009"/>
    <d v="2011-08-10T00:00:00"/>
    <d v="2021-08-09T00:00:00"/>
    <d v="2016-08-09T00:00:00"/>
    <n v="9.605479452054794"/>
    <n v="4.602739726027397"/>
    <s v="Modified Gross"/>
    <s v="None"/>
    <s v="None"/>
    <m/>
    <s v=" "/>
    <s v=" "/>
    <m/>
    <d v="2012-01-03T00:00:00"/>
    <x v="1698"/>
    <m/>
    <x v="1241"/>
    <s v="WA"/>
    <s v="Private"/>
    <m/>
    <m/>
    <m/>
    <s v=" "/>
    <s v=" "/>
    <m/>
    <s v=" "/>
    <s v=" "/>
    <s v=" "/>
    <m/>
    <s v=" "/>
  </r>
  <r>
    <s v="LAL50005"/>
    <s v="IRS"/>
    <s v="Federal"/>
    <s v="Fee Simple"/>
    <s v="5123 Research Dr NW"/>
    <s v="Huntsville"/>
    <s v="AL"/>
    <n v="2.5"/>
    <n v="2011"/>
    <n v="13670"/>
    <n v="13670"/>
    <n v="1"/>
    <n v="412284"/>
    <n v="30.15976591075347"/>
    <n v="312770"/>
    <n v="22.88002926115582"/>
    <d v="2011-03-01T00:00:00"/>
    <d v="2021-02-28T00:00:00"/>
    <d v="2016-03-01T00:00:00"/>
    <n v="9.169863013698631"/>
    <n v="4.16986301369863"/>
    <s v="Modified Gross"/>
    <s v="None"/>
    <s v="None"/>
    <n v="2700000"/>
    <n v="197.5128017556694"/>
    <n v="0.1158407407407407"/>
    <m/>
    <d v="2011-12-31T00:00:00"/>
    <x v="1699"/>
    <s v="Colliers; Cottle"/>
    <x v="1"/>
    <s v="IL"/>
    <s v="Private"/>
    <m/>
    <m/>
    <m/>
    <s v=" "/>
    <s v=" "/>
    <m/>
    <s v=" "/>
    <s v=" "/>
    <s v=" "/>
    <m/>
    <s v=" "/>
  </r>
  <r>
    <m/>
    <s v="DR&amp;C"/>
    <s v="State"/>
    <s v="Fee Simple"/>
    <s v="501 Thompson Rd"/>
    <s v="Conneaut"/>
    <s v="OH"/>
    <n v="52"/>
    <n v="2000"/>
    <n v="273479"/>
    <n v="273479"/>
    <n v="1"/>
    <m/>
    <s v=" "/>
    <n v="4831945.264"/>
    <n v="17.66843254509487"/>
    <d v="2011-11-30T00:00:00"/>
    <d v="2031-11-29T00:00:00"/>
    <d v="2031-11-29T00:00:00"/>
    <n v="19.92876712328767"/>
    <n v="19.92876712328767"/>
    <m/>
    <m/>
    <m/>
    <n v="72770260"/>
    <n v="266.0908515827541"/>
    <n v="0.0664"/>
    <m/>
    <d v="2011-12-30T00:00:00"/>
    <x v="1700"/>
    <s v="Direct"/>
    <x v="497"/>
    <s v="TN"/>
    <s v="REIT"/>
    <m/>
    <m/>
    <m/>
    <s v=" "/>
    <s v=" "/>
    <m/>
    <s v=" "/>
    <s v=" "/>
    <s v=" "/>
    <m/>
    <s v=" "/>
  </r>
  <r>
    <s v="LCO13718"/>
    <s v="DOT"/>
    <s v="Federal"/>
    <s v="Fee Simple"/>
    <s v="12300 W Dakota Ave"/>
    <s v="Lakewood"/>
    <s v="CO"/>
    <n v="6.63"/>
    <n v="2004"/>
    <n v="122225"/>
    <n v="122225"/>
    <n v="1"/>
    <n v="3109009.01"/>
    <n v="25.43676833708325"/>
    <n v="2059000"/>
    <n v="16.84598077316424"/>
    <d v="2004-06-11T00:00:00"/>
    <d v="2024-06-10T00:00:00"/>
    <d v="2024-06-10T00:00:00"/>
    <n v="12.45753424657534"/>
    <n v="12.45753424657534"/>
    <s v="FS"/>
    <m/>
    <s v="None"/>
    <n v="30750000"/>
    <n v="251.5851912456535"/>
    <n v="0.06695934959349593"/>
    <m/>
    <d v="2011-12-29T00:00:00"/>
    <x v="750"/>
    <s v="C&amp;W; Tim Richey"/>
    <x v="651"/>
    <s v="CT"/>
    <s v="Institutional"/>
    <m/>
    <m/>
    <m/>
    <s v=" "/>
    <s v=" "/>
    <m/>
    <s v=" "/>
    <s v=" "/>
    <s v=" "/>
    <m/>
    <s v=" "/>
  </r>
  <r>
    <m/>
    <s v="HUD/Edu."/>
    <s v="Federal"/>
    <s v="Fee Simple"/>
    <s v="550 12th St SW"/>
    <s v="Washington"/>
    <s v="DC"/>
    <n v="1.54"/>
    <n v="1969"/>
    <n v="427463"/>
    <n v="539713"/>
    <n v="0.7920190916283284"/>
    <n v="16017660"/>
    <n v="37.47145366967433"/>
    <n v="12139000"/>
    <n v="22.49158348974362"/>
    <d v="2004-04-01T00:00:00"/>
    <d v="2014-03-31T00:00:00"/>
    <d v="2014-03-31T00:00:00"/>
    <n v="2.254794520547945"/>
    <n v="2.254794520547945"/>
    <s v="Modified Gross"/>
    <s v="None"/>
    <s v="None"/>
    <n v="199000000"/>
    <n v="368.7144834384201"/>
    <n v="0.061"/>
    <m/>
    <d v="2011-12-29T00:00:00"/>
    <x v="1507"/>
    <s v="JLL; Conley"/>
    <x v="1242"/>
    <s v="FL"/>
    <s v="Institutional"/>
    <m/>
    <m/>
    <m/>
    <s v=" "/>
    <s v=" "/>
    <m/>
    <s v=" "/>
    <s v=" "/>
    <s v=" "/>
    <m/>
    <s v=" "/>
  </r>
  <r>
    <m/>
    <s v="DOC"/>
    <s v="State"/>
    <s v="Fee Simple"/>
    <s v="1900-1960 Birkmont Dr"/>
    <s v="Rancho Cordova"/>
    <s v="CA"/>
    <n v="18.91"/>
    <n v="1984"/>
    <n v="96000"/>
    <n v="96000"/>
    <n v="1"/>
    <m/>
    <s v=" "/>
    <m/>
    <s v=" "/>
    <d v="2011-01-01T00:00:00"/>
    <d v="2019-12-31T00:00:00"/>
    <d v="2015-12-31T00:00:00"/>
    <n v="8.013698630136986"/>
    <n v="4.010958904109589"/>
    <s v="Full Service"/>
    <s v="CPI annually"/>
    <s v="None"/>
    <n v="9000000"/>
    <n v="93.75"/>
    <s v=" "/>
    <m/>
    <d v="2011-12-28T00:00:00"/>
    <x v="1701"/>
    <s v="Newmark; Golubchik"/>
    <x v="1243"/>
    <s v="IL"/>
    <s v="Private"/>
    <m/>
    <m/>
    <m/>
    <s v=" "/>
    <s v=" "/>
    <m/>
    <s v=" "/>
    <s v=" "/>
    <s v=" "/>
    <m/>
    <s v=" "/>
  </r>
  <r>
    <m/>
    <s v="VA"/>
    <s v="Federal"/>
    <s v="Fee Simple"/>
    <s v="1300 Rancho Del Oro Rd"/>
    <s v="Oceanside"/>
    <s v="CA"/>
    <n v="8.44"/>
    <n v="2010"/>
    <n v="65536"/>
    <n v="65536"/>
    <n v="1"/>
    <m/>
    <s v=" "/>
    <n v="3983950"/>
    <n v="60.79025268554688"/>
    <d v="2010-03-26T00:00:00"/>
    <d v="2030-03-25T00:00:00"/>
    <d v="2025-03-25T00:00:00"/>
    <n v="18.25479452054795"/>
    <n v="13.25205479452055"/>
    <s v="Modified Gross"/>
    <s v="10% every 5"/>
    <s v="None"/>
    <n v="54500000"/>
    <n v="831.60400390625"/>
    <n v="0.0731"/>
    <m/>
    <d v="2011-12-27T00:00:00"/>
    <x v="1572"/>
    <s v="Eastdil"/>
    <x v="1098"/>
    <s v="AZ"/>
    <s v="REIT"/>
    <m/>
    <m/>
    <m/>
    <s v=" "/>
    <s v=" "/>
    <m/>
    <s v=" "/>
    <s v=" "/>
    <s v=" "/>
    <m/>
    <s v=" "/>
  </r>
  <r>
    <m/>
    <s v="UofA Med Sci"/>
    <s v="State"/>
    <s v="Fee Simple"/>
    <s v="333 Executive Ct"/>
    <s v="Little Rock"/>
    <s v="AR"/>
    <n v="2.3"/>
    <n v="1983"/>
    <n v="28448"/>
    <n v="32000"/>
    <n v="0.889"/>
    <m/>
    <s v=" "/>
    <m/>
    <s v=" "/>
    <m/>
    <m/>
    <m/>
    <s v=" "/>
    <s v=" "/>
    <m/>
    <m/>
    <m/>
    <n v="3700000"/>
    <n v="115.625"/>
    <s v=" "/>
    <m/>
    <d v="2011-12-23T00:00:00"/>
    <x v="1702"/>
    <m/>
    <x v="1244"/>
    <s v="AR"/>
    <s v="Private"/>
    <m/>
    <m/>
    <m/>
    <s v=" "/>
    <s v=" "/>
    <m/>
    <s v=" "/>
    <s v=" "/>
    <s v=" "/>
    <m/>
    <s v=" "/>
  </r>
  <r>
    <m/>
    <s v="DHS"/>
    <s v="State"/>
    <s v="Fee Simple"/>
    <s v="4600 25th Ave NE"/>
    <s v="Salem"/>
    <s v="OR"/>
    <n v="24.45"/>
    <m/>
    <n v="146112"/>
    <n v="233358"/>
    <n v="0.6261280950299539"/>
    <m/>
    <s v=" "/>
    <n v="2937875"/>
    <n v="12.58956196059274"/>
    <m/>
    <d v="2019-07-31T00:00:00"/>
    <d v="2019-07-31T00:00:00"/>
    <n v="7.610958904109589"/>
    <n v="7.610958904109589"/>
    <s v="Full Service"/>
    <s v="2% annually"/>
    <s v="None"/>
    <n v="30925000"/>
    <n v="132.5217048483446"/>
    <n v="0.095"/>
    <m/>
    <d v="2011-12-22T00:00:00"/>
    <x v="1703"/>
    <s v="JLL; Seifer"/>
    <x v="790"/>
    <s v="MA"/>
    <s v="REIT"/>
    <m/>
    <m/>
    <m/>
    <s v=" "/>
    <s v=" "/>
    <m/>
    <s v=" "/>
    <s v=" "/>
    <s v=" "/>
    <d v="2011-08-01T00:00:00"/>
    <n v="143"/>
  </r>
  <r>
    <s v="LFL48804"/>
    <s v="SSA"/>
    <s v="Federal"/>
    <s v="Fee Simple"/>
    <s v="310 Canaveral Groves Blvd"/>
    <s v="Cocoa"/>
    <s v="FL"/>
    <n v="0.84"/>
    <n v="2010"/>
    <n v="6097"/>
    <n v="6097"/>
    <n v="1"/>
    <n v="227478.81"/>
    <n v="37.30995735607676"/>
    <n v="157904"/>
    <n v="25.89863867475808"/>
    <d v="2010-03-03T00:00:00"/>
    <d v="2020-03-02T00:00:00"/>
    <d v="2020-03-02T00:00:00"/>
    <n v="8.208219178082192"/>
    <n v="8.208219178082192"/>
    <s v="Modified Gross"/>
    <s v="None"/>
    <s v="None"/>
    <n v="1973375"/>
    <n v="323.663277021486"/>
    <n v="0.080017229365934"/>
    <m/>
    <d v="2011-12-19T00:00:00"/>
    <x v="638"/>
    <s v="Abs Invest; Jeffrey Cotter"/>
    <x v="1103"/>
    <s v="AZ"/>
    <s v="REIT"/>
    <m/>
    <m/>
    <n v="2070000"/>
    <n v="0.07628212560386473"/>
    <n v="0.9533212560386474"/>
    <n v="2070000"/>
    <n v="0.07628212560386473"/>
    <n v="0.003735103762069272"/>
    <s v="No"/>
    <d v="2010-03-14T00:00:00"/>
    <n v="645"/>
  </r>
  <r>
    <s v="LLA16741"/>
    <s v="SSA"/>
    <s v="Federal"/>
    <s v="Fee Simple"/>
    <s v="64285 Highway 434"/>
    <s v="Lacombe"/>
    <s v="LA"/>
    <n v="2.07"/>
    <n v="2011"/>
    <n v="11360"/>
    <n v="11360"/>
    <n v="1"/>
    <n v="441471"/>
    <n v="38.8618838028169"/>
    <n v="284700"/>
    <n v="25.06161971830986"/>
    <d v="2011-05-19T00:00:00"/>
    <d v="2026-05-18T00:00:00"/>
    <d v="2021-05-18T00:00:00"/>
    <n v="14.43835616438356"/>
    <n v="9.435616438356165"/>
    <s v="Modified Gross"/>
    <s v="None"/>
    <s v="None"/>
    <n v="3250000"/>
    <n v="286.0915492957747"/>
    <n v="0.0876"/>
    <m/>
    <d v="2011-12-13T00:00:00"/>
    <x v="568"/>
    <s v="Colliers; Cottle"/>
    <x v="1"/>
    <s v="IL"/>
    <s v="Private"/>
    <m/>
    <s v="LBA Properties"/>
    <m/>
    <s v=" "/>
    <s v=" "/>
    <m/>
    <s v=" "/>
    <s v=" "/>
    <s v=" "/>
    <m/>
    <s v=" "/>
  </r>
  <r>
    <s v="LTN44046"/>
    <s v="FBI"/>
    <s v="Federal"/>
    <s v="Fee Simple"/>
    <s v="2868 Elm Hill Pke"/>
    <s v="Nashville"/>
    <s v="TN"/>
    <n v="3"/>
    <n v="2005"/>
    <n v="30858"/>
    <n v="30858"/>
    <n v="1"/>
    <n v="681312.61"/>
    <n v="22.07896201957353"/>
    <n v="415933.61"/>
    <n v="13.47895553827208"/>
    <d v="2006-02-09T00:00:00"/>
    <d v="2021-02-08T00:00:00"/>
    <d v="2016-02-09T00:00:00"/>
    <n v="9.167123287671233"/>
    <n v="4.164383561643835"/>
    <s v="Modified Gross"/>
    <s v="None"/>
    <s v="None"/>
    <n v="5075000"/>
    <n v="164.4630241752544"/>
    <n v="0.08195736157635468"/>
    <m/>
    <d v="2011-12-12T00:00:00"/>
    <x v="1268"/>
    <s v="C&amp;W; Johnston"/>
    <x v="1245"/>
    <s v="LA"/>
    <s v="Private"/>
    <s v="Fortis; Passon"/>
    <m/>
    <m/>
    <s v=" "/>
    <s v=" "/>
    <m/>
    <s v=" "/>
    <s v=" "/>
    <s v=" "/>
    <m/>
    <s v=" "/>
  </r>
  <r>
    <s v="LWV08333"/>
    <s v="FSB"/>
    <s v="Federal"/>
    <s v="Fee Simple"/>
    <s v="257 Bosley Industrial Park Dr"/>
    <s v="Parkersburg"/>
    <s v="WV"/>
    <n v="11.16"/>
    <n v="2001"/>
    <n v="63500"/>
    <n v="63500"/>
    <n v="1"/>
    <n v="1140928.01"/>
    <n v="17.96737023622047"/>
    <n v="780640"/>
    <n v="12.29354330708661"/>
    <d v="2009-05-04T00:00:00"/>
    <d v="2024-05-03T00:00:00"/>
    <d v="2024-05-03T00:00:00"/>
    <n v="12.4"/>
    <n v="12.4"/>
    <s v="Modified Gross"/>
    <s v="None"/>
    <s v="1, 5 year"/>
    <n v="9363767"/>
    <n v="147.4608976377953"/>
    <n v="0.08336815728114551"/>
    <m/>
    <d v="2011-12-12T00:00:00"/>
    <x v="1704"/>
    <s v="M&amp;M; Ficke"/>
    <x v="1246"/>
    <s v="AZ"/>
    <s v="REIT"/>
    <m/>
    <m/>
    <m/>
    <s v=" "/>
    <s v=" "/>
    <m/>
    <s v=" "/>
    <s v=" "/>
    <s v=" "/>
    <m/>
    <s v=" "/>
  </r>
  <r>
    <s v="LDC02296"/>
    <s v="Dep't of Education"/>
    <s v="Federal"/>
    <s v="Fee Simple"/>
    <s v="830 1ST ST NE"/>
    <s v="Washington"/>
    <s v="DC"/>
    <n v="0.7"/>
    <n v="2000"/>
    <n v="247337"/>
    <n v="247337"/>
    <n v="1"/>
    <n v="9671892.24"/>
    <n v="39.10410589600423"/>
    <m/>
    <s v=" "/>
    <d v="2011-08-01T00:00:00"/>
    <d v="2026-07-31T00:00:00"/>
    <d v="2026-07-31T00:00:00"/>
    <n v="14.64383561643836"/>
    <n v="14.64383561643836"/>
    <s v="Full Service"/>
    <s v="None"/>
    <s v="None"/>
    <n v="72312637"/>
    <n v="292.3648180417811"/>
    <s v=" "/>
    <m/>
    <d v="2011-12-12T00:00:00"/>
    <x v="1705"/>
    <s v="Direct"/>
    <x v="1247"/>
    <s v="CA"/>
    <s v="Private"/>
    <m/>
    <m/>
    <m/>
    <s v=" "/>
    <s v=" "/>
    <m/>
    <s v=" "/>
    <s v=" "/>
    <s v=" "/>
    <m/>
    <s v=" "/>
  </r>
  <r>
    <m/>
    <s v="BLM"/>
    <s v="Federal"/>
    <s v="Fee Simple"/>
    <s v="3801 Pegasus"/>
    <s v="Bakersfield"/>
    <s v="CA"/>
    <m/>
    <m/>
    <m/>
    <m/>
    <s v=" "/>
    <m/>
    <s v=" "/>
    <m/>
    <s v=" "/>
    <m/>
    <m/>
    <m/>
    <s v=" "/>
    <s v=" "/>
    <m/>
    <m/>
    <m/>
    <m/>
    <s v=" "/>
    <s v=" "/>
    <m/>
    <d v="2011-12-09T00:00:00"/>
    <x v="8"/>
    <m/>
    <x v="0"/>
    <m/>
    <m/>
    <m/>
    <m/>
    <m/>
    <s v=" "/>
    <s v=" "/>
    <m/>
    <s v=" "/>
    <s v=" "/>
    <s v=" "/>
    <m/>
    <s v=" "/>
  </r>
  <r>
    <m/>
    <s v="Raytheon"/>
    <s v="Contractor"/>
    <s v="Fee Simple"/>
    <s v="8985 Town Center Pky"/>
    <s v="Bradenton"/>
    <s v="FL"/>
    <n v="11.85"/>
    <n v="2004"/>
    <n v="106790"/>
    <n v="106790"/>
    <n v="1"/>
    <m/>
    <s v=" "/>
    <n v="1441170"/>
    <n v="13.4953647345257"/>
    <m/>
    <d v="2021-12-31T00:00:00"/>
    <d v="2021-12-31T00:00:00"/>
    <n v="10.07123287671233"/>
    <n v="10.07123287671233"/>
    <s v="NNN"/>
    <s v="2% annually"/>
    <s v="2, 5 yr"/>
    <n v="20100000"/>
    <n v="188.2198707744171"/>
    <n v="0.0717"/>
    <m/>
    <d v="2011-12-08T00:00:00"/>
    <x v="1706"/>
    <m/>
    <x v="1098"/>
    <s v="AZ"/>
    <s v="REIT"/>
    <m/>
    <m/>
    <m/>
    <s v=" "/>
    <s v=" "/>
    <m/>
    <s v=" "/>
    <s v=" "/>
    <s v=" "/>
    <m/>
    <s v=" "/>
  </r>
  <r>
    <s v="LPA09489"/>
    <s v="DEA"/>
    <s v="Federal"/>
    <s v="Fee Simple"/>
    <s v="10430 Drummond Rd"/>
    <s v="Philadelphia"/>
    <s v="PA"/>
    <n v="3.82"/>
    <n v="1973"/>
    <n v="49990"/>
    <n v="49990"/>
    <n v="1"/>
    <n v="917628.05"/>
    <n v="18.35623224644929"/>
    <n v="744750"/>
    <n v="14.89797959591918"/>
    <d v="2011-11-04T00:00:00"/>
    <d v="2026-11-03T00:00:00"/>
    <d v="2021-11-04T00:00:00"/>
    <n v="14.93150684931507"/>
    <n v="9.931506849315069"/>
    <s v="Modified Gross"/>
    <s v="None"/>
    <s v="1, 5 year"/>
    <n v="8500000"/>
    <n v="170.0340068013603"/>
    <n v="0.08761764705882354"/>
    <m/>
    <d v="2011-12-02T00:00:00"/>
    <x v="1707"/>
    <m/>
    <x v="1248"/>
    <s v="IL"/>
    <s v="Private"/>
    <m/>
    <m/>
    <m/>
    <s v=" "/>
    <s v=" "/>
    <m/>
    <s v=" "/>
    <s v=" "/>
    <s v=" "/>
    <m/>
    <s v=" "/>
  </r>
  <r>
    <s v="LMS59086"/>
    <s v="SSA"/>
    <s v="Federal"/>
    <s v="Fee Simple"/>
    <s v="100 Pilot St"/>
    <s v="Philadelphia"/>
    <s v="MS"/>
    <n v="1.29"/>
    <n v="2009"/>
    <n v="7075"/>
    <n v="7075"/>
    <n v="1"/>
    <n v="176769.46"/>
    <n v="24.98508268551237"/>
    <n v="126750"/>
    <n v="17.91519434628975"/>
    <d v="2009-10-01T00:00:00"/>
    <d v="2024-09-30T00:00:00"/>
    <d v="2019-10-01T00:00:00"/>
    <n v="12.84109589041096"/>
    <n v="7.838356164383562"/>
    <s v="Modified Gross"/>
    <s v="None"/>
    <s v="None"/>
    <n v="1300000"/>
    <n v="183.7455830388693"/>
    <n v="0.0975"/>
    <m/>
    <d v="2011-12-01T00:00:00"/>
    <x v="568"/>
    <s v="Colliers; Cottle"/>
    <x v="1"/>
    <s v="IL"/>
    <s v="Private"/>
    <m/>
    <m/>
    <m/>
    <s v=" "/>
    <s v=" "/>
    <m/>
    <s v=" "/>
    <s v=" "/>
    <s v=" "/>
    <m/>
    <s v=" "/>
  </r>
  <r>
    <s v="LVA04320"/>
    <s v="DOD"/>
    <s v="Federal"/>
    <s v="Fee Simple"/>
    <s v="115 Lake View Pky"/>
    <s v="Suffolk"/>
    <s v="VA"/>
    <n v="6.6"/>
    <n v="2004"/>
    <n v="115000"/>
    <n v="115000"/>
    <n v="1"/>
    <n v="2855420"/>
    <n v="24.82973913043478"/>
    <n v="2186800"/>
    <n v="19.01565217391304"/>
    <d v="2004-12-01T00:00:00"/>
    <d v="2019-12-31T00:00:00"/>
    <d v="2014-12-31T00:00:00"/>
    <n v="8.087671232876712"/>
    <n v="3.084931506849315"/>
    <s v="Modified Gross"/>
    <s v="None"/>
    <s v="None"/>
    <n v="24850000"/>
    <n v="216.0869565217391"/>
    <n v="0.08799999999999999"/>
    <m/>
    <d v="2011-12-01T00:00:00"/>
    <x v="1708"/>
    <s v="JLL; Saal"/>
    <x v="1249"/>
    <s v="NC"/>
    <s v="Private"/>
    <m/>
    <m/>
    <m/>
    <s v=" "/>
    <s v=" "/>
    <m/>
    <s v=" "/>
    <s v=" "/>
    <s v=" "/>
    <d v="2011-04-01T00:00:00"/>
    <n v="244"/>
  </r>
  <r>
    <s v="LFL42129"/>
    <s v="CBP"/>
    <s v="Federal"/>
    <s v="Fee Simple"/>
    <s v="15720 Pines Blvd"/>
    <s v="Hollywood"/>
    <s v="FL"/>
    <n v="5.55"/>
    <n v="2006"/>
    <n v="30183"/>
    <n v="30183"/>
    <n v="1"/>
    <n v="1323111"/>
    <n v="43.83629857867011"/>
    <n v="885616"/>
    <n v="29.341549879071"/>
    <d v="2006-07-18T00:00:00"/>
    <d v="2021-07-17T00:00:00"/>
    <d v="2021-07-17T00:00:00"/>
    <n v="9.654794520547945"/>
    <n v="9.654794520547945"/>
    <s v="Modified Gross"/>
    <s v="None"/>
    <s v="None"/>
    <n v="12872586"/>
    <n v="426.4846436735911"/>
    <n v="0.06879860814291705"/>
    <m/>
    <d v="2011-11-23T00:00:00"/>
    <x v="1709"/>
    <s v="Direct"/>
    <x v="2"/>
    <s v="VA"/>
    <s v="Private"/>
    <m/>
    <m/>
    <m/>
    <s v=" "/>
    <s v=" "/>
    <m/>
    <s v=" "/>
    <s v=" "/>
    <s v=" "/>
    <m/>
    <s v=" "/>
  </r>
  <r>
    <s v="LCO14200"/>
    <s v="DEA"/>
    <s v="Federal"/>
    <s v="Fee Simple"/>
    <s v="12154 E Easter Ave"/>
    <s v="Englewood"/>
    <s v="CO"/>
    <n v="9.99"/>
    <n v="2009"/>
    <n v="74708"/>
    <n v="74708"/>
    <n v="1"/>
    <n v="2907494"/>
    <n v="38.91810783316379"/>
    <n v="1969567"/>
    <n v="26.36353536435188"/>
    <d v="2009-04-14T00:00:00"/>
    <d v="2029-04-13T00:00:00"/>
    <d v="2024-04-13T00:00:00"/>
    <n v="17.41369863013699"/>
    <n v="12.41095890410959"/>
    <s v="Modified Gross"/>
    <s v="None"/>
    <s v="1, 5 year"/>
    <n v="30020000"/>
    <n v="401.8311291963378"/>
    <n v="0.06560849433710859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TX15581"/>
    <s v="DEA"/>
    <s v="Federal"/>
    <s v="Fee Simple"/>
    <s v="8909 San Dario"/>
    <s v="Laredo"/>
    <s v="TX"/>
    <n v="3.2"/>
    <n v="2006"/>
    <n v="36017"/>
    <n v="36017"/>
    <n v="1"/>
    <n v="910892"/>
    <n v="25.29061276619374"/>
    <n v="733191"/>
    <n v="20.3568037315712"/>
    <d v="2006-04-18T00:00:00"/>
    <d v="2026-04-17T00:00:00"/>
    <d v="2021-04-18T00:00:00"/>
    <n v="14.42191780821918"/>
    <n v="9.421917808219177"/>
    <s v="Modified Gross"/>
    <s v="None"/>
    <s v="None"/>
    <n v="10193103"/>
    <n v="283.0081072826721"/>
    <n v="0.07193010803481531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TX16227"/>
    <s v="DEA"/>
    <s v="Federal"/>
    <s v="Fee Simple"/>
    <s v="1200 N Commerce Center St"/>
    <s v="McAllen"/>
    <s v="TX"/>
    <n v="4.59"/>
    <n v="2008"/>
    <n v="80789"/>
    <n v="80789"/>
    <n v="1"/>
    <n v="2544306"/>
    <n v="31.49322308730149"/>
    <n v="1652035"/>
    <n v="20.44876158883016"/>
    <d v="2008-09-18T00:00:00"/>
    <d v="2028-09-17T00:00:00"/>
    <d v="2023-09-18T00:00:00"/>
    <n v="16.84383561643835"/>
    <n v="11.84109589041096"/>
    <s v="Modified Gross"/>
    <s v="None"/>
    <s v="None"/>
    <n v="23600000"/>
    <n v="292.1189765933481"/>
    <n v="0.07000148305084745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NE40007"/>
    <s v="ICE"/>
    <s v="Federal"/>
    <s v="Fee Simple"/>
    <s v="1717 Ave H East"/>
    <s v="Omaha"/>
    <s v="NE"/>
    <n v="36.88"/>
    <n v="2005"/>
    <n v="73459"/>
    <n v="73459"/>
    <n v="1"/>
    <n v="2129635"/>
    <n v="28.99079758777005"/>
    <n v="1388384"/>
    <n v="18.900121156019"/>
    <d v="2005-10-11T00:00:00"/>
    <d v="2025-10-10T00:00:00"/>
    <d v="2020-10-10T00:00:00"/>
    <n v="13.9041095890411"/>
    <n v="8.901369863013699"/>
    <s v="Modified Gross"/>
    <s v="None"/>
    <s v="None"/>
    <n v="20413089"/>
    <n v="277.8841122258675"/>
    <n v="0.06801439997640729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VA05331"/>
    <s v="SSA"/>
    <s v="Federal"/>
    <s v="Fee Simple"/>
    <s v="612 Jefferson St SE"/>
    <s v="Roanoke"/>
    <s v="VA"/>
    <n v="1.23"/>
    <n v="2009"/>
    <n v="64000"/>
    <n v="64000"/>
    <n v="1"/>
    <n v="1838013"/>
    <n v="28.718953125"/>
    <n v="1341851"/>
    <n v="20.966421875"/>
    <d v="2009-06-30T00:00:00"/>
    <d v="2019-06-29T00:00:00"/>
    <d v="2019-06-28T00:00:00"/>
    <n v="7.616438356164384"/>
    <n v="7.613698630136986"/>
    <s v="Modified Gross"/>
    <s v="None"/>
    <s v="None"/>
    <n v="19462069"/>
    <n v="304.094828125"/>
    <n v="0.06894698605785439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MO00028"/>
    <s v="DEA"/>
    <s v="Federal"/>
    <s v="Fee Simple"/>
    <s v="315 S 16th St"/>
    <s v="St. Louis"/>
    <s v="MO"/>
    <n v="1.98"/>
    <n v="2002"/>
    <n v="87824"/>
    <n v="87824"/>
    <n v="1"/>
    <n v="3737620"/>
    <n v="42.5580706868282"/>
    <n v="2794468"/>
    <n v="31.81895609400619"/>
    <d v="2002-09-01T00:00:00"/>
    <d v="2022-08-31T00:00:00"/>
    <d v="2018-08-31T00:00:00"/>
    <n v="10.79178082191781"/>
    <n v="6.789041095890411"/>
    <s v="Modified Gross"/>
    <s v="None"/>
    <s v="None"/>
    <n v="34598187"/>
    <n v="393.9491141373657"/>
    <n v="0.08076920331114459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m/>
    <s v="Multi"/>
    <s v="Federal"/>
    <s v="Fee Simple"/>
    <s v="Porfolio of Eleven"/>
    <m/>
    <m/>
    <n v="5.5481"/>
    <n v="2006"/>
    <n v="457085"/>
    <n v="457085"/>
    <n v="1"/>
    <m/>
    <s v=" "/>
    <n v="11084922.8304"/>
    <n v="24.25133800146581"/>
    <m/>
    <m/>
    <m/>
    <s v=" "/>
    <s v=" "/>
    <m/>
    <m/>
    <m/>
    <n v="151433372"/>
    <n v="331.3024317140138"/>
    <n v="0.0732"/>
    <m/>
    <d v="2011-11-18T00:00:00"/>
    <x v="1709"/>
    <s v="Direct"/>
    <x v="2"/>
    <s v="VA"/>
    <s v="Private"/>
    <m/>
    <m/>
    <m/>
    <s v=" "/>
    <s v=" "/>
    <m/>
    <s v=" "/>
    <s v=" "/>
    <s v=" "/>
    <m/>
    <s v=" "/>
  </r>
  <r>
    <s v="LTX15328"/>
    <s v="SSA"/>
    <s v="Federal"/>
    <s v="Fee Simple"/>
    <s v="702 E Denman Ave"/>
    <s v="Lufkin"/>
    <s v="TX"/>
    <n v="2.76"/>
    <n v="2004"/>
    <n v="12804"/>
    <n v="12804"/>
    <n v="1"/>
    <n v="214189"/>
    <n v="16.72828803498907"/>
    <n v="101427.5"/>
    <n v="7.921547953764448"/>
    <d v="2004-12-06T00:00:00"/>
    <d v="2019-12-31T00:00:00"/>
    <d v="2014-12-31T00:00:00"/>
    <n v="8.128767123287671"/>
    <n v="3.126027397260274"/>
    <s v="Modified Gross"/>
    <s v="None"/>
    <s v="None"/>
    <n v="1040625"/>
    <n v="81.27343017806935"/>
    <n v="0.09746786786786787"/>
    <m/>
    <d v="2011-11-16T00:00:00"/>
    <x v="1710"/>
    <s v="Datavest; Marshall"/>
    <x v="1250"/>
    <s v="CA"/>
    <s v="Private"/>
    <m/>
    <m/>
    <n v="1399000"/>
    <n v="0.0725"/>
    <n v="0.7438348820586133"/>
    <n v="1399000"/>
    <n v="0.0725"/>
    <n v="0.02496786786786788"/>
    <s v="No"/>
    <d v="2009-07-06T00:00:00"/>
    <n v="863"/>
  </r>
  <r>
    <s v="LLA14155"/>
    <s v="SSA"/>
    <s v="Federal"/>
    <s v="Fee Simple"/>
    <s v="115 Terry Pky"/>
    <s v="Gretna"/>
    <s v="LA"/>
    <n v="1.48"/>
    <n v="1995"/>
    <n v="15402"/>
    <n v="15402"/>
    <n v="1"/>
    <n v="381832.73"/>
    <n v="24.79111349175432"/>
    <m/>
    <s v=" "/>
    <d v="1995-07-11T00:00:00"/>
    <d v="2013-07-10T00:00:00"/>
    <d v="2013-07-10T00:00:00"/>
    <n v="1.652054794520548"/>
    <n v="1.652054794520548"/>
    <s v="Modified Gross"/>
    <s v="None"/>
    <s v="None"/>
    <n v="1075000"/>
    <n v="69.79613037267887"/>
    <s v=" "/>
    <m/>
    <d v="2011-11-15T00:00:00"/>
    <x v="1711"/>
    <m/>
    <x v="1251"/>
    <m/>
    <m/>
    <m/>
    <m/>
    <m/>
    <s v=" "/>
    <s v=" "/>
    <m/>
    <s v=" "/>
    <s v=" "/>
    <s v=" "/>
    <m/>
    <s v=" "/>
  </r>
  <r>
    <s v="LME04546"/>
    <s v="CBP"/>
    <s v="Federal"/>
    <s v="Fee Simple"/>
    <s v="200 Limestone Rd"/>
    <s v="Fort Fairfield"/>
    <s v="ME"/>
    <n v="40"/>
    <n v="2009"/>
    <n v="25603"/>
    <n v="25603"/>
    <n v="1"/>
    <n v="1062340.42"/>
    <n v="41.49281021755263"/>
    <n v="863999.9999999999"/>
    <n v="33.7460453853064"/>
    <d v="2009-11-18T00:00:00"/>
    <d v="2029-11-17T00:00:00"/>
    <d v="2024-11-17T00:00:00"/>
    <n v="18.04931506849315"/>
    <n v="13.04657534246575"/>
    <s v="Modified Gross"/>
    <s v="None"/>
    <s v="20, 5 year"/>
    <n v="8500000"/>
    <n v="331.9923446471117"/>
    <n v="0.1016470588235294"/>
    <m/>
    <d v="2011-11-04T00:00:00"/>
    <x v="1712"/>
    <s v="M&amp;M; Geoff Ficke"/>
    <x v="1252"/>
    <s v="AZ"/>
    <s v="Private"/>
    <m/>
    <m/>
    <m/>
    <s v=" "/>
    <s v=" "/>
    <m/>
    <s v=" "/>
    <s v=" "/>
    <s v=" "/>
    <m/>
    <s v=" "/>
  </r>
  <r>
    <m/>
    <s v="FS"/>
    <s v="Federal"/>
    <s v="Fee Simple"/>
    <s v="3900-4000 Masthead St NE"/>
    <s v="Albuquerque"/>
    <s v="NM"/>
    <n v="10.05"/>
    <n v="2006"/>
    <n v="191175"/>
    <n v="191175"/>
    <n v="1"/>
    <m/>
    <s v=" "/>
    <m/>
    <s v=" "/>
    <d v="2011-07-01T00:00:00"/>
    <d v="2026-06-30T00:00:00"/>
    <d v="2021-06-30T00:00:00"/>
    <n v="14.66575342465753"/>
    <n v="9.663013698630136"/>
    <s v="Modified Gross"/>
    <s v="None"/>
    <s v="None"/>
    <n v="51500000"/>
    <n v="269.3866875899045"/>
    <s v=" "/>
    <m/>
    <d v="2011-11-03T00:00:00"/>
    <x v="1713"/>
    <s v="C&amp;W; Trautvetter"/>
    <x v="3"/>
    <s v="DC"/>
    <s v="REIT"/>
    <m/>
    <m/>
    <m/>
    <s v=" "/>
    <s v=" "/>
    <m/>
    <s v=" "/>
    <s v=" "/>
    <s v=" "/>
    <m/>
    <s v=" "/>
  </r>
  <r>
    <s v="LOH16933"/>
    <s v="SSA"/>
    <s v="Federal"/>
    <s v="Fee Simple"/>
    <s v="6553 Winford Ave"/>
    <s v="Hamilton"/>
    <s v="OH"/>
    <n v="1.27"/>
    <n v="2003"/>
    <n v="10900"/>
    <n v="10900"/>
    <n v="1"/>
    <n v="263706.2"/>
    <n v="24.19322935779817"/>
    <m/>
    <s v=" "/>
    <d v="2003-09-09T00:00:00"/>
    <d v="2023-09-08T00:00:00"/>
    <d v="2013-09-08T00:00:00"/>
    <n v="11.85479452054794"/>
    <n v="1.849315068493151"/>
    <s v="Modified Gross"/>
    <s v="None"/>
    <s v="None"/>
    <n v="1360000"/>
    <n v="124.7706422018349"/>
    <s v=" "/>
    <m/>
    <d v="2011-11-03T00:00:00"/>
    <x v="1646"/>
    <s v="FORECLOSURE"/>
    <x v="920"/>
    <s v="MD"/>
    <s v="Institutional"/>
    <m/>
    <m/>
    <m/>
    <s v=" "/>
    <s v=" "/>
    <m/>
    <s v=" "/>
    <s v=" "/>
    <s v=" "/>
    <m/>
    <s v=" "/>
  </r>
  <r>
    <m/>
    <s v="Dep't of State"/>
    <s v="Federal"/>
    <s v="Fee Simple"/>
    <s v="1400 Wilson Blvd"/>
    <s v="Arlington"/>
    <s v="VA"/>
    <n v="0.83"/>
    <n v="1965"/>
    <n v="180296"/>
    <n v="180296"/>
    <n v="1"/>
    <n v="4069645"/>
    <n v="22.57202045525137"/>
    <n v="3189645"/>
    <n v="17.69115787371877"/>
    <m/>
    <d v="2021-03-31T00:00:00"/>
    <d v="2021-03-31T00:00:00"/>
    <n v="9.419178082191781"/>
    <n v="9.419178082191781"/>
    <s v="Modified Gross"/>
    <s v="None"/>
    <s v="1, 3 year"/>
    <n v="52650000"/>
    <n v="292.0197896791942"/>
    <n v="0.06058205128205128"/>
    <m/>
    <d v="2011-11-01T00:00:00"/>
    <x v="1714"/>
    <s v="HFF; Brennan"/>
    <x v="1249"/>
    <s v="NC"/>
    <s v="Private"/>
    <s v="JLL; Brennan"/>
    <m/>
    <m/>
    <s v=" "/>
    <s v=" "/>
    <m/>
    <s v=" "/>
    <s v=" "/>
    <s v=" "/>
    <d v="2011-07-06T00:00:00"/>
    <n v="118"/>
  </r>
  <r>
    <s v="LNY23753"/>
    <s v="CBP"/>
    <s v="Federal"/>
    <s v="Fee Simple"/>
    <s v="4551 State Route 11 East"/>
    <s v="Malone"/>
    <s v="NY"/>
    <n v="10"/>
    <n v="2011"/>
    <n v="29100"/>
    <n v="29100"/>
    <n v="1"/>
    <n v="982798"/>
    <n v="33.77312714776632"/>
    <m/>
    <s v=" "/>
    <d v="2011-07-01T00:00:00"/>
    <d v="2031-06-30T00:00:00"/>
    <d v="2026-07-01T00:00:00"/>
    <n v="19.67671232876712"/>
    <n v="14.67671232876712"/>
    <s v="FS"/>
    <m/>
    <s v="None"/>
    <n v="9000000"/>
    <n v="309.2783505154639"/>
    <s v=" "/>
    <m/>
    <d v="2011-10-31T00:00:00"/>
    <x v="1659"/>
    <s v="Direct"/>
    <x v="1098"/>
    <s v="AZ"/>
    <s v="REIT"/>
    <m/>
    <m/>
    <m/>
    <s v=" "/>
    <s v=" "/>
    <m/>
    <s v=" "/>
    <s v=" "/>
    <s v=" "/>
    <m/>
    <s v=" "/>
  </r>
  <r>
    <s v="L04PL00283"/>
    <s v="BLM"/>
    <s v="Federal"/>
    <s v="Fee Simple"/>
    <s v="220 E Market St"/>
    <s v="Meeker"/>
    <s v="CO"/>
    <n v="5.5"/>
    <n v="2005"/>
    <n v="29288"/>
    <n v="29288"/>
    <n v="1"/>
    <n v="421596"/>
    <n v="14.39483747609943"/>
    <n v="275259"/>
    <n v="9.398354274788309"/>
    <d v="2007-03-12T00:00:00"/>
    <d v="2027-03-11T00:00:00"/>
    <d v="2022-03-11T00:00:00"/>
    <n v="15.38630136986301"/>
    <n v="10.38356164383562"/>
    <s v="Modified Gross"/>
    <s v="None"/>
    <s v="None"/>
    <m/>
    <s v=" "/>
    <s v=" "/>
    <m/>
    <d v="2011-10-25T00:00:00"/>
    <x v="1646"/>
    <s v="FORECLOSURE"/>
    <x v="920"/>
    <s v="MD"/>
    <s v="Institutional"/>
    <m/>
    <m/>
    <m/>
    <s v=" "/>
    <s v=" "/>
    <m/>
    <s v=" "/>
    <s v=" "/>
    <s v=" "/>
    <m/>
    <s v=" "/>
  </r>
  <r>
    <s v="LTX16689"/>
    <s v="SSA"/>
    <s v="Federal"/>
    <s v="Fee Simple"/>
    <s v="2475 Cliff Creek Crossing"/>
    <s v="Dallas"/>
    <s v="TX"/>
    <n v="2.85"/>
    <n v="2011"/>
    <n v="17256"/>
    <n v="17256"/>
    <n v="1"/>
    <n v="747017"/>
    <n v="43.29027584608252"/>
    <n v="558900"/>
    <n v="32.38873435326843"/>
    <d v="2011-09-21T00:00:00"/>
    <d v="2021-09-20T00:00:00"/>
    <d v="2021-09-20T00:00:00"/>
    <n v="9.923287671232877"/>
    <n v="9.923287671232877"/>
    <s v="Modified Gross"/>
    <s v="None"/>
    <s v="None"/>
    <n v="6750000"/>
    <n v="391.1682892906815"/>
    <n v="0.0828"/>
    <m/>
    <d v="2011-10-21T00:00:00"/>
    <x v="1644"/>
    <s v="SJC; Steele"/>
    <x v="429"/>
    <s v="NY"/>
    <s v="Private"/>
    <m/>
    <m/>
    <n v="6982400"/>
    <n v="0.08004411090742439"/>
    <n v="0.9667163153070577"/>
    <n v="6982400"/>
    <n v="0.08004411090742439"/>
    <n v="0.002755889092575611"/>
    <s v="No"/>
    <m/>
    <s v=" "/>
  </r>
  <r>
    <s v="LTX14925"/>
    <s v="DEA"/>
    <s v="Federal"/>
    <s v="Fee Simple"/>
    <s v="3381 E Main St"/>
    <s v="Eagle Pass"/>
    <s v="TX"/>
    <n v="1.49"/>
    <n v="2002"/>
    <n v="22289"/>
    <n v="22289"/>
    <n v="1"/>
    <n v="453992.88"/>
    <n v="20.36847234061645"/>
    <m/>
    <s v=" "/>
    <d v="2003-04-01T00:00:00"/>
    <d v="2023-03-31T00:00:00"/>
    <d v="2021-03-31T00:00:00"/>
    <n v="11.45205479452055"/>
    <n v="9.452054794520548"/>
    <s v="Modified Gross"/>
    <s v="None"/>
    <s v="None"/>
    <m/>
    <s v=" "/>
    <s v=" "/>
    <m/>
    <d v="2011-10-20T00:00:00"/>
    <x v="1636"/>
    <m/>
    <x v="1098"/>
    <s v="NY"/>
    <s v="REIT"/>
    <m/>
    <m/>
    <m/>
    <s v=" "/>
    <s v=" "/>
    <m/>
    <s v=" "/>
    <s v=" "/>
    <s v=" "/>
    <m/>
    <s v=" "/>
  </r>
  <r>
    <s v="LTX15360"/>
    <s v="DEA"/>
    <s v="Federal"/>
    <s v="Fee Simple"/>
    <s v="3369 E Main St"/>
    <s v="Eagle Pass"/>
    <s v="TX"/>
    <n v="0.86"/>
    <n v="2002"/>
    <n v="9052"/>
    <n v="9052"/>
    <n v="1"/>
    <n v="203272.64"/>
    <n v="22.45610251878038"/>
    <m/>
    <s v=" "/>
    <d v="2004-02-01T00:00:00"/>
    <d v="2024-01-31T00:00:00"/>
    <d v="2022-01-21T00:00:00"/>
    <n v="12.29041095890411"/>
    <n v="10.26301369863014"/>
    <s v="Modified Gross"/>
    <s v="None"/>
    <s v="None"/>
    <m/>
    <s v=" "/>
    <s v=" "/>
    <m/>
    <d v="2011-10-20T00:00:00"/>
    <x v="1636"/>
    <m/>
    <x v="1098"/>
    <s v="NY"/>
    <s v="REIT"/>
    <m/>
    <m/>
    <m/>
    <s v=" "/>
    <s v=" "/>
    <m/>
    <s v=" "/>
    <s v=" "/>
    <s v=" "/>
    <m/>
    <s v=" "/>
  </r>
  <r>
    <s v="LTN59104"/>
    <s v="SSA-ODAR"/>
    <s v="Federal"/>
    <s v="Fee Simple"/>
    <s v="135 Circle Ln"/>
    <s v="Knoxville"/>
    <s v="TN"/>
    <n v="5"/>
    <n v="2011"/>
    <n v="25508"/>
    <n v="25508"/>
    <n v="1"/>
    <n v="812065.79"/>
    <n v="31.83572957503528"/>
    <n v="564260"/>
    <n v="22.12090324604046"/>
    <d v="2011-08-01T00:00:00"/>
    <d v="2026-07-31T00:00:00"/>
    <d v="2021-08-01T00:00:00"/>
    <n v="14.78904109589041"/>
    <n v="9.789041095890411"/>
    <s v="Modified Gross"/>
    <s v="None"/>
    <s v="None"/>
    <n v="6600000"/>
    <n v="258.7423553395013"/>
    <n v="0.0854939393939394"/>
    <m/>
    <d v="2011-10-20T00:00:00"/>
    <x v="103"/>
    <s v="Colliers; Bob Cottle &amp; Kennedy"/>
    <x v="1103"/>
    <s v="NY"/>
    <s v="REIT"/>
    <m/>
    <m/>
    <m/>
    <s v=" "/>
    <s v=" "/>
    <m/>
    <s v=" "/>
    <s v=" "/>
    <s v=" "/>
    <m/>
    <s v=" "/>
  </r>
  <r>
    <s v="LIN17523"/>
    <s v="CBP"/>
    <s v="Federal"/>
    <s v="Fee Simple"/>
    <s v="Portfolio of Three"/>
    <s v="Indianapolis"/>
    <s v="IN"/>
    <n v="20.14"/>
    <n v="2001"/>
    <n v="242999.12"/>
    <n v="433927"/>
    <n v="0.5600000000000001"/>
    <m/>
    <s v=" "/>
    <n v="6375000"/>
    <n v="14.69141122815589"/>
    <d v="2005-07-01T00:00:00"/>
    <d v="2024-06-30T00:00:00"/>
    <d v="2023-03-31T00:00:00"/>
    <n v="12.72054794520548"/>
    <n v="11.46849315068493"/>
    <s v="Modified Gross"/>
    <s v="None"/>
    <s v="None"/>
    <n v="85000000"/>
    <n v="195.8854830420785"/>
    <n v="0.075"/>
    <m/>
    <d v="2011-10-14T00:00:00"/>
    <x v="1715"/>
    <s v="TW; Thomas Gorman"/>
    <x v="790"/>
    <s v="MA"/>
    <s v="REIT"/>
    <m/>
    <m/>
    <m/>
    <s v=" "/>
    <s v=" "/>
    <m/>
    <s v=" "/>
    <s v=" "/>
    <s v=" "/>
    <d v="2010-08-20T00:00:00"/>
    <n v="420"/>
  </r>
  <r>
    <m/>
    <s v="VA"/>
    <s v="Federal"/>
    <s v="Fee Simple"/>
    <s v="940 Executive Dr"/>
    <s v="Osage Beach"/>
    <s v="MO"/>
    <n v="1.74"/>
    <n v="2010"/>
    <n v="6351"/>
    <n v="6850"/>
    <n v="0.9271532846715328"/>
    <n v="148176"/>
    <n v="23.33112895606991"/>
    <n v="134336"/>
    <n v="19.61109489051095"/>
    <d v="2010-07-06T00:00:00"/>
    <d v="2020-06-30T00:00:00"/>
    <d v="2015-06-30T00:00:00"/>
    <n v="8.736986301369862"/>
    <n v="3.731506849315068"/>
    <s v="Modified Gross"/>
    <s v="None"/>
    <s v="None"/>
    <m/>
    <s v=" "/>
    <s v=" "/>
    <m/>
    <d v="2011-10-07T00:00:00"/>
    <x v="8"/>
    <m/>
    <x v="1253"/>
    <s v="MI"/>
    <s v="Private"/>
    <s v="BW; Wells"/>
    <m/>
    <m/>
    <s v=" "/>
    <s v=" "/>
    <m/>
    <s v=" "/>
    <s v=" "/>
    <s v=" "/>
    <m/>
    <s v=" "/>
  </r>
  <r>
    <m/>
    <s v="Community College"/>
    <s v="State"/>
    <s v="Fee Simple"/>
    <s v="2121 Miller Dr"/>
    <s v="Longmont"/>
    <s v="CO"/>
    <n v="7.79"/>
    <n v="1988"/>
    <n v="117106"/>
    <n v="117106"/>
    <n v="1"/>
    <m/>
    <s v=" "/>
    <m/>
    <s v=" "/>
    <m/>
    <d v="2020-10-30T00:00:00"/>
    <d v="2020-10-30T00:00:00"/>
    <n v="9.073972602739726"/>
    <n v="9.073972602739726"/>
    <s v="NNN"/>
    <m/>
    <m/>
    <n v="28100000"/>
    <n v="239.9535463597083"/>
    <s v=" "/>
    <m/>
    <d v="2011-10-06T00:00:00"/>
    <x v="1535"/>
    <s v="Newmark; Sullivan"/>
    <x v="1254"/>
    <s v="NY"/>
    <s v="Institutional"/>
    <m/>
    <m/>
    <m/>
    <s v=" "/>
    <s v=" "/>
    <m/>
    <s v=" "/>
    <s v=" "/>
    <s v=" "/>
    <m/>
    <s v=" "/>
  </r>
  <r>
    <s v="LFL44142"/>
    <s v="SSA"/>
    <s v="Federal"/>
    <s v="Fee Simple"/>
    <s v="17 S De Villier St"/>
    <s v="Pensacola"/>
    <s v="FL"/>
    <n v="1.62"/>
    <n v="2003"/>
    <n v="25629"/>
    <n v="25629"/>
    <n v="1"/>
    <n v="840492"/>
    <n v="32.79456865269812"/>
    <n v="388172"/>
    <n v="15.14581138553982"/>
    <d v="2004-08-15T00:00:00"/>
    <d v="2014-08-14T00:00:00"/>
    <d v="2009-08-14T00:00:00"/>
    <n v="2.86027397260274"/>
    <n v="-2.142465753424657"/>
    <s v="Modified Gross"/>
    <s v="None"/>
    <s v="None"/>
    <n v="3610900"/>
    <n v="140.8911779624644"/>
    <n v="0.1075000692348168"/>
    <m/>
    <d v="2011-10-05T00:00:00"/>
    <x v="1716"/>
    <s v="Granger Properties"/>
    <x v="1255"/>
    <s v="FL"/>
    <s v="Private"/>
    <s v="Lang Realty"/>
    <m/>
    <n v="3847096.134786918"/>
    <n v="0.1009"/>
    <n v="0.9386040466597282"/>
    <n v="3847096.134786918"/>
    <n v="0.1009"/>
    <n v="0.006600069234816805"/>
    <s v="No"/>
    <m/>
    <s v=" "/>
  </r>
  <r>
    <m/>
    <s v="DOT"/>
    <s v="State"/>
    <s v="Fee Simple"/>
    <s v="600 W Peachtree ST NW"/>
    <s v="Atlanta"/>
    <s v="GA"/>
    <n v="2.14"/>
    <n v="1968"/>
    <n v="308360"/>
    <n v="375952"/>
    <n v="0.8202110907775461"/>
    <n v="7487629"/>
    <n v="24.28210208846803"/>
    <n v="3888000"/>
    <n v="10.34174575477721"/>
    <m/>
    <d v="2018-07-31T00:00:00"/>
    <d v="2018-07-31T00:00:00"/>
    <n v="6.838356164383562"/>
    <n v="6.838356164383562"/>
    <s v="Full Service"/>
    <s v="2% annually"/>
    <s v="None"/>
    <n v="48600000"/>
    <n v="129.2718219347151"/>
    <n v="0.08"/>
    <m/>
    <d v="2011-09-30T00:00:00"/>
    <x v="1136"/>
    <s v="C&amp;W; Calhoun"/>
    <x v="790"/>
    <s v="MA"/>
    <s v="REIT"/>
    <m/>
    <m/>
    <m/>
    <s v=" "/>
    <s v=" "/>
    <m/>
    <s v=" "/>
    <s v=" "/>
    <s v=" "/>
    <m/>
    <s v=" "/>
  </r>
  <r>
    <m/>
    <s v="Multi"/>
    <s v="State"/>
    <s v="Fee Simple"/>
    <s v="32 Bridge St S"/>
    <s v="Martinsville "/>
    <s v="VA"/>
    <n v="1.18"/>
    <n v="1999"/>
    <n v="11270"/>
    <n v="11270"/>
    <n v="1"/>
    <m/>
    <s v=" "/>
    <n v="56000"/>
    <n v="4.968944099378882"/>
    <m/>
    <d v="2017-09-30T00:00:00"/>
    <d v="2017-09-30T00:00:00"/>
    <n v="6.005479452054795"/>
    <n v="6.005479452054795"/>
    <s v="Full Service"/>
    <s v="CPI annually"/>
    <s v="None"/>
    <n v="700000"/>
    <n v="62.11180124223603"/>
    <n v="0.08"/>
    <m/>
    <d v="2011-09-30T00:00:00"/>
    <x v="1717"/>
    <s v="BCR"/>
    <x v="1256"/>
    <s v="VA"/>
    <s v="Private"/>
    <m/>
    <m/>
    <n v="800000"/>
    <n v="0.07000000000000001"/>
    <n v="0.875"/>
    <n v="800000"/>
    <n v="0.07000000000000001"/>
    <n v="0.009999999999999995"/>
    <s v="No"/>
    <d v="2011-02-15T00:00:00"/>
    <n v="227"/>
  </r>
  <r>
    <m/>
    <s v="USPS"/>
    <s v="Federal"/>
    <s v="Fee Simple"/>
    <s v="228 Main St"/>
    <s v="Staten Island"/>
    <s v="NY"/>
    <n v="0.28"/>
    <n v="1961"/>
    <n v="3417"/>
    <n v="3417"/>
    <n v="1"/>
    <m/>
    <s v=" "/>
    <n v="65025"/>
    <n v="19.02985074626866"/>
    <m/>
    <m/>
    <m/>
    <s v=" "/>
    <s v=" "/>
    <m/>
    <m/>
    <m/>
    <n v="850000"/>
    <n v="248.7562189054727"/>
    <n v="0.0765"/>
    <m/>
    <d v="2011-09-28T00:00:00"/>
    <x v="1718"/>
    <s v="C&amp;W; Schneider"/>
    <x v="1257"/>
    <m/>
    <s v="Private"/>
    <m/>
    <m/>
    <n v="850000"/>
    <n v="0.0765"/>
    <n v="1"/>
    <n v="850000"/>
    <n v="0.0765"/>
    <n v="0"/>
    <s v="No"/>
    <d v="2011-08-13T00:00:00"/>
    <n v="46"/>
  </r>
  <r>
    <m/>
    <s v="VA"/>
    <s v="Federal"/>
    <s v="Fee Simple"/>
    <s v="9912 Little Rd."/>
    <s v="New Port Richey"/>
    <s v="FL"/>
    <n v="9.199999999999999"/>
    <n v="2000"/>
    <n v="38219"/>
    <n v="38219"/>
    <n v="1"/>
    <m/>
    <s v=" "/>
    <n v="720701"/>
    <n v="18.85713911928622"/>
    <d v="2000-04-01T00:00:00"/>
    <d v="2020-03-31T00:00:00"/>
    <d v="2015-03-31T00:00:00"/>
    <n v="8.515068493150684"/>
    <n v="3.50958904109589"/>
    <s v="Modified Gross"/>
    <s v="None"/>
    <s v="None"/>
    <n v="8590000"/>
    <n v="224.7573196577619"/>
    <n v="0.0839"/>
    <m/>
    <d v="2011-09-27T00:00:00"/>
    <x v="826"/>
    <s v="SJC; Scrivner"/>
    <x v="429"/>
    <s v="NY"/>
    <s v="Private"/>
    <m/>
    <m/>
    <n v="9000000"/>
    <n v="0.08007788888888889"/>
    <n v="0.9544444444444444"/>
    <m/>
    <s v=" "/>
    <s v=" "/>
    <s v=" "/>
    <m/>
    <s v=" "/>
  </r>
  <r>
    <m/>
    <s v="SSA"/>
    <s v="Federal"/>
    <s v="Fee Simple"/>
    <s v="1050 S Harper Rd"/>
    <s v="Corinth"/>
    <s v="MS"/>
    <n v="2.6"/>
    <n v="2008"/>
    <n v="8395"/>
    <n v="8395"/>
    <n v="1"/>
    <m/>
    <s v=" "/>
    <m/>
    <s v=" "/>
    <d v="2008-05-01T00:00:00"/>
    <d v="2018-04-30T00:00:00"/>
    <d v="2018-04-30T00:00:00"/>
    <n v="6.608219178082192"/>
    <n v="6.608219178082192"/>
    <s v="Modified Gross"/>
    <s v="None"/>
    <s v="None"/>
    <m/>
    <s v=" "/>
    <s v=" "/>
    <m/>
    <d v="2011-09-22T00:00:00"/>
    <x v="1719"/>
    <m/>
    <x v="1258"/>
    <m/>
    <m/>
    <m/>
    <m/>
    <m/>
    <s v=" "/>
    <s v=" "/>
    <m/>
    <s v=" "/>
    <s v=" "/>
    <s v=" "/>
    <m/>
    <s v=" "/>
  </r>
  <r>
    <s v="LNV02789"/>
    <s v="ICE"/>
    <s v="Federal"/>
    <s v="Fee Simple"/>
    <s v="501 S Las Vegas Blvd"/>
    <s v="Las Vegas"/>
    <s v="NV"/>
    <m/>
    <n v="2015"/>
    <n v="65062"/>
    <n v="140000"/>
    <n v="0.4647285714285714"/>
    <n v="2400558.51"/>
    <n v="36.89647582306107"/>
    <m/>
    <s v=" "/>
    <d v="2016-02-18T00:00:00"/>
    <d v="2031-02-17T00:00:00"/>
    <d v="2028-02-18T00:00:00"/>
    <n v="19.42191780821918"/>
    <n v="16.42191780821918"/>
    <s v="FS"/>
    <m/>
    <s v="None"/>
    <m/>
    <s v=" "/>
    <s v=" "/>
    <m/>
    <d v="2011-09-21T00:00:00"/>
    <x v="1085"/>
    <s v="Direct"/>
    <x v="2"/>
    <s v="VA"/>
    <s v="Private"/>
    <m/>
    <m/>
    <m/>
    <s v=" "/>
    <s v=" "/>
    <m/>
    <s v=" "/>
    <s v=" "/>
    <s v=" "/>
    <m/>
    <s v=" "/>
  </r>
  <r>
    <s v="LIA90056"/>
    <s v="DEA"/>
    <s v="Federal"/>
    <s v="Fee Simple"/>
    <s v="2600 Voyager Ave"/>
    <s v="Sioux City"/>
    <s v="IA"/>
    <n v="1.11"/>
    <n v="2011"/>
    <n v="11747"/>
    <n v="11747"/>
    <n v="1"/>
    <n v="479488"/>
    <n v="40.81791095598876"/>
    <n v="348419"/>
    <n v="29.6602536817911"/>
    <d v="2011-08-01T00:00:00"/>
    <d v="2026-07-31T00:00:00"/>
    <d v="2021-07-31T00:00:00"/>
    <n v="14.87123287671233"/>
    <n v="9.868493150684932"/>
    <s v="FS"/>
    <m/>
    <s v="None"/>
    <n v="4355000"/>
    <n v="370.7329530944071"/>
    <n v="0.08000436280137772"/>
    <m/>
    <d v="2011-09-20T00:00:00"/>
    <x v="1720"/>
    <s v="M-A; Tom Fritz"/>
    <x v="1098"/>
    <s v="AZ"/>
    <s v="REIT"/>
    <m/>
    <m/>
    <m/>
    <s v=" "/>
    <s v=" "/>
    <m/>
    <s v=" "/>
    <s v=" "/>
    <s v=" "/>
    <m/>
    <s v=" "/>
  </r>
  <r>
    <m/>
    <s v="Housing Authority"/>
    <s v="Municipal"/>
    <s v="Fee Simple"/>
    <s v="521 E 4th St"/>
    <s v="Long Beach"/>
    <s v="CA"/>
    <n v="0.35"/>
    <m/>
    <n v="13622"/>
    <n v="13622"/>
    <n v="1"/>
    <n v="177780"/>
    <n v="13.05094699750404"/>
    <n v="141848"/>
    <n v="10.41315519013361"/>
    <d v="2010-04-01T00:00:00"/>
    <d v="2015-03-31T00:00:00"/>
    <m/>
    <n v="3.53972602739726"/>
    <s v=" "/>
    <s v="Full Service"/>
    <s v="None"/>
    <s v="None"/>
    <n v="1725000"/>
    <n v="126.6333871678168"/>
    <n v="0.08223072463768116"/>
    <m/>
    <d v="2011-09-16T00:00:00"/>
    <x v="1721"/>
    <s v="M&amp;M; Mobin"/>
    <x v="1259"/>
    <s v="CA"/>
    <s v="Private"/>
    <m/>
    <m/>
    <n v="1774000"/>
    <n v="0.07995941375422773"/>
    <n v="0.9723788049605412"/>
    <n v="1774000"/>
    <n v="0.07995941375422773"/>
    <n v="0.002271310883453434"/>
    <s v="No"/>
    <d v="2011-06-02T00:00:00"/>
    <n v="106"/>
  </r>
  <r>
    <m/>
    <s v="EDD"/>
    <s v="State"/>
    <s v="Fee Simple"/>
    <s v="9815 Goethe Rd"/>
    <s v="Sacramento"/>
    <s v="CA"/>
    <n v="4.74"/>
    <n v="1992"/>
    <n v="87863"/>
    <n v="87863"/>
    <n v="1"/>
    <n v="1703408"/>
    <n v="19.38709126708626"/>
    <n v="1156000"/>
    <n v="13.15684645413883"/>
    <m/>
    <d v="2022-07-31T00:00:00"/>
    <d v="2022-07-31T00:00:00"/>
    <n v="10.88219178082192"/>
    <n v="10.88219178082192"/>
    <s v="Full Service"/>
    <s v="2% annually"/>
    <s v="None"/>
    <n v="13600000"/>
    <n v="154.7864288722215"/>
    <n v="0.08500000000000001"/>
    <m/>
    <d v="2011-09-15T00:00:00"/>
    <x v="1722"/>
    <s v="C&amp;W; Thomas"/>
    <x v="790"/>
    <s v="MA"/>
    <s v="REIT"/>
    <m/>
    <m/>
    <m/>
    <s v=" "/>
    <s v=" "/>
    <m/>
    <s v=" "/>
    <s v=" "/>
    <s v=" "/>
    <d v="2011-05-03T00:00:00"/>
    <n v="135"/>
  </r>
  <r>
    <s v="LOH18175"/>
    <s v="SSA"/>
    <s v="Federal"/>
    <s v="Fee Simple"/>
    <s v="221 W 5th St"/>
    <s v="Lorain"/>
    <s v="OH"/>
    <n v="0.6899999999999999"/>
    <n v="2010"/>
    <n v="11607"/>
    <n v="11607"/>
    <n v="1"/>
    <n v="436560"/>
    <n v="37.6117859912122"/>
    <n v="265410"/>
    <n v="22.86637373998449"/>
    <d v="2011-04-01T00:00:00"/>
    <d v="2024-03-31T00:00:00"/>
    <d v="2021-04-01T00:00:00"/>
    <n v="12.55342465753425"/>
    <n v="9.553424657534247"/>
    <s v="Modified Gross"/>
    <s v="TI Bleeds Off; $62k"/>
    <s v="None"/>
    <n v="3200000"/>
    <n v="275.6957008701646"/>
    <n v="0.082940625"/>
    <m/>
    <d v="2011-09-14T00:00:00"/>
    <x v="505"/>
    <s v="Lutter; Mark Lutter"/>
    <x v="54"/>
    <s v="NC"/>
    <s v="REIT"/>
    <m/>
    <m/>
    <n v="3212000"/>
    <n v="0.0826307596513076"/>
    <n v="0.9962640099626401"/>
    <n v="3212000"/>
    <n v="0.0826307596513076"/>
    <n v="0.0003098653486924008"/>
    <s v="No"/>
    <d v="2010-11-17T00:00:00"/>
    <n v="301"/>
  </r>
  <r>
    <m/>
    <s v="USDA"/>
    <s v="Federal"/>
    <s v="Fee Simple"/>
    <s v="1310-1340 Braddock Pl"/>
    <s v="Alexandria"/>
    <s v="VA"/>
    <n v="3.56"/>
    <m/>
    <n v="131000"/>
    <n v="372287"/>
    <n v="0.351879061046988"/>
    <m/>
    <s v=" "/>
    <n v="6969000.000000001"/>
    <n v="18.71942882775923"/>
    <m/>
    <d v="2019-12-01T00:00:00"/>
    <d v="2019-12-01T00:00:00"/>
    <n v="8.221917808219178"/>
    <n v="8.221917808219178"/>
    <s v="Modified Gross"/>
    <s v="None"/>
    <s v="None"/>
    <n v="101000000"/>
    <n v="271.2960699675251"/>
    <n v="0.06900000000000001"/>
    <m/>
    <d v="2011-09-13T00:00:00"/>
    <x v="1723"/>
    <s v="C&amp;W; "/>
    <x v="1260"/>
    <s v="DC"/>
    <s v="REIT"/>
    <m/>
    <m/>
    <m/>
    <s v=" "/>
    <s v=" "/>
    <m/>
    <s v=" "/>
    <s v=" "/>
    <s v=" "/>
    <d v="2010-08-27T00:00:00"/>
    <n v="382"/>
  </r>
  <r>
    <s v="LVA03441"/>
    <s v="SSA"/>
    <s v="Federal"/>
    <s v="Fee Simple"/>
    <s v="100 Poplar Rd"/>
    <s v="Petersburg"/>
    <s v="VA"/>
    <n v="1.84"/>
    <n v="2003"/>
    <n v="13360"/>
    <n v="13360"/>
    <n v="1"/>
    <n v="246828.49"/>
    <n v="18.47518637724551"/>
    <n v="123610"/>
    <n v="9.252245508982035"/>
    <d v="2005-05-05T00:00:00"/>
    <d v="2018-09-04T00:00:00"/>
    <d v="2018-09-04T00:00:00"/>
    <n v="6.980821917808219"/>
    <n v="6.980821917808219"/>
    <s v="Modified Gross"/>
    <s v="None"/>
    <s v="None"/>
    <n v="1400000"/>
    <n v="104.7904191616767"/>
    <n v="0.08829285714285715"/>
    <m/>
    <d v="2011-09-13T00:00:00"/>
    <x v="1724"/>
    <s v="FORECLOSURE"/>
    <x v="920"/>
    <s v="MD"/>
    <s v="Institutional"/>
    <m/>
    <m/>
    <m/>
    <s v=" "/>
    <s v=" "/>
    <m/>
    <s v=" "/>
    <s v=" "/>
    <s v=" "/>
    <m/>
    <s v=" "/>
  </r>
  <r>
    <s v="LWI16089"/>
    <s v="SSA"/>
    <s v="Federal"/>
    <s v="Fee Simple"/>
    <s v="6300 W Fond du Lac"/>
    <s v="Milwaukee"/>
    <s v="WI"/>
    <n v="1.14"/>
    <n v="1997"/>
    <n v="24854"/>
    <n v="24854"/>
    <n v="1"/>
    <n v="677700"/>
    <n v="27.26724068560393"/>
    <n v="475950"/>
    <n v="19.14983503661383"/>
    <d v="1997-10-10T00:00:00"/>
    <d v="2017-10-09T00:00:00"/>
    <d v="2007-10-09T00:00:00"/>
    <n v="6.082191780821918"/>
    <n v="-3.926027397260274"/>
    <s v="Modified Gross"/>
    <s v="None"/>
    <s v="None"/>
    <m/>
    <s v=" "/>
    <s v=" "/>
    <m/>
    <d v="2011-09-11T00:00:00"/>
    <x v="921"/>
    <s v="FORECLOSURE"/>
    <x v="1003"/>
    <m/>
    <m/>
    <m/>
    <m/>
    <m/>
    <s v=" "/>
    <s v=" "/>
    <m/>
    <s v=" "/>
    <s v=" "/>
    <s v=" "/>
    <m/>
    <s v=" "/>
  </r>
  <r>
    <s v="LCO14319"/>
    <s v="ARMY"/>
    <s v="Federal"/>
    <s v="Fee Simple"/>
    <s v="1555 N Newport Rd"/>
    <s v="Colorado Springs"/>
    <s v="CO"/>
    <n v="4.87"/>
    <n v="1983"/>
    <n v="64455"/>
    <n v="64455"/>
    <n v="1"/>
    <n v="1084873.06"/>
    <n v="16.83148025754402"/>
    <n v="694920.3100000001"/>
    <n v="10.78148025754402"/>
    <d v="2011-01-01T00:00:00"/>
    <d v="2018-12-31T00:00:00"/>
    <d v="2018-12-31T00:00:00"/>
    <n v="7.317808219178082"/>
    <n v="7.317808219178082"/>
    <s v="Modified Gross"/>
    <s v="None"/>
    <s v="None"/>
    <n v="7250000"/>
    <n v="112.4815762935381"/>
    <n v="0.09585107724137931"/>
    <m/>
    <d v="2011-09-08T00:00:00"/>
    <x v="1725"/>
    <s v="Direct"/>
    <x v="1098"/>
    <s v="AZ"/>
    <s v="REIT"/>
    <m/>
    <m/>
    <m/>
    <s v=" "/>
    <s v=" "/>
    <m/>
    <s v=" "/>
    <s v=" "/>
    <s v=" "/>
    <m/>
    <s v=" "/>
  </r>
  <r>
    <s v="LAZ02614"/>
    <s v="DI"/>
    <s v="Federal"/>
    <s v="Fee Simple"/>
    <s v="354 S Hwy 92"/>
    <s v="Sierra Vista"/>
    <s v="AZ"/>
    <n v="1.75"/>
    <n v="2005"/>
    <n v="20778"/>
    <n v="20778"/>
    <n v="1"/>
    <n v="805290.72"/>
    <n v="38.75689286745596"/>
    <n v="616776"/>
    <n v="29.68408894022524"/>
    <d v="2011-04-21T00:00:00"/>
    <d v="2021-04-20T00:00:00"/>
    <d v="2021-04-20T00:00:00"/>
    <n v="9.638356164383561"/>
    <n v="9.638356164383561"/>
    <s v="FS"/>
    <m/>
    <s v="None"/>
    <n v="7423642"/>
    <n v="357.2837616709982"/>
    <n v="0.08308267020419358"/>
    <m/>
    <d v="2011-09-02T00:00:00"/>
    <x v="1726"/>
    <s v="Newmark Grubb; Mark Phillips"/>
    <x v="1098"/>
    <s v="AZ"/>
    <s v="REIT"/>
    <m/>
    <m/>
    <m/>
    <s v=" "/>
    <s v=" "/>
    <m/>
    <s v=" "/>
    <s v=" "/>
    <s v=" "/>
    <m/>
    <s v=" "/>
  </r>
  <r>
    <m/>
    <s v="DHS"/>
    <s v="State"/>
    <s v="Fee Simple"/>
    <s v="7400 Diana"/>
    <s v="El Paso"/>
    <s v="TX"/>
    <n v="1.76"/>
    <n v="2002"/>
    <n v="17720"/>
    <n v="17720"/>
    <n v="1"/>
    <m/>
    <m/>
    <m/>
    <m/>
    <d v="2002-01-01T00:00:00"/>
    <d v="2010-12-31T00:00:00"/>
    <m/>
    <n v="-0.6684931506849315"/>
    <s v=" "/>
    <s v="Modified Gross"/>
    <s v="None"/>
    <s v="None"/>
    <m/>
    <s v=" "/>
    <s v=" "/>
    <m/>
    <d v="2011-09-01T00:00:00"/>
    <x v="921"/>
    <m/>
    <x v="974"/>
    <s v="CT"/>
    <s v="Institutional"/>
    <m/>
    <m/>
    <m/>
    <s v=" "/>
    <s v=" "/>
    <m/>
    <s v=" "/>
    <s v=" "/>
    <s v=" "/>
    <m/>
    <s v=" "/>
  </r>
  <r>
    <m/>
    <s v="CG"/>
    <s v="Federal"/>
    <s v="Fee Simple"/>
    <s v="7707 Harborside Dr"/>
    <s v="Galveston"/>
    <s v="TX"/>
    <n v="1.17"/>
    <m/>
    <m/>
    <n v="14120"/>
    <s v=" "/>
    <n v="127900"/>
    <s v=" "/>
    <m/>
    <s v=" "/>
    <m/>
    <m/>
    <m/>
    <s v=" "/>
    <s v=" "/>
    <m/>
    <m/>
    <m/>
    <n v="1375000"/>
    <n v="97.37960339943342"/>
    <s v=" "/>
    <m/>
    <d v="2011-09-01T00:00:00"/>
    <x v="8"/>
    <m/>
    <x v="0"/>
    <m/>
    <m/>
    <m/>
    <m/>
    <m/>
    <s v=" "/>
    <s v=" "/>
    <m/>
    <s v=" "/>
    <s v=" "/>
    <s v=" "/>
    <m/>
    <s v=" "/>
  </r>
  <r>
    <s v="LIL16186"/>
    <s v="SSA"/>
    <s v="Federal"/>
    <s v="Fee Simple"/>
    <s v="230 N Mannheim Rd"/>
    <s v="Hillside"/>
    <s v="IL"/>
    <n v="1.38"/>
    <n v="1998"/>
    <n v="14899"/>
    <n v="14899"/>
    <n v="1"/>
    <n v="383885"/>
    <n v="25.76582320961138"/>
    <n v="295138"/>
    <n v="19.80924894288207"/>
    <d v="1998-10-05T00:00:00"/>
    <d v="2018-10-31T00:00:00"/>
    <d v="2008-10-31T00:00:00"/>
    <n v="7.16986301369863"/>
    <n v="-2.835616438356164"/>
    <s v="Modified Gross"/>
    <s v="None"/>
    <s v="None"/>
    <n v="2706800"/>
    <n v="181.6766225921203"/>
    <n v="0.1090357617851337"/>
    <m/>
    <d v="2011-09-01T00:00:00"/>
    <x v="921"/>
    <s v="FORECLOSURE"/>
    <x v="0"/>
    <m/>
    <m/>
    <m/>
    <m/>
    <m/>
    <s v=" "/>
    <s v=" "/>
    <m/>
    <s v=" "/>
    <s v=" "/>
    <s v=" "/>
    <m/>
    <s v=" "/>
  </r>
  <r>
    <s v="LTX16218"/>
    <s v="SSA"/>
    <s v="Federal"/>
    <s v="Fee Simple"/>
    <s v="16200 Dillard Dr"/>
    <s v="Jersey Village"/>
    <s v="TX"/>
    <n v="4.2"/>
    <n v="2008"/>
    <n v="31504"/>
    <n v="31504"/>
    <n v="1"/>
    <n v="1015697"/>
    <n v="32.24025520568816"/>
    <n v="678599"/>
    <n v="21.54009014728289"/>
    <d v="2009-05-01T00:00:00"/>
    <d v="2024-04-30T00:00:00"/>
    <d v="2019-04-30T00:00:00"/>
    <n v="12.67123287671233"/>
    <n v="7.665753424657535"/>
    <s v="Modified Gross"/>
    <s v="None"/>
    <s v="None"/>
    <n v="7825000"/>
    <n v="248.3811579481971"/>
    <n v="0.08672191693290734"/>
    <m/>
    <d v="2011-09-01T00:00:00"/>
    <x v="1605"/>
    <s v="SJC; Steele"/>
    <x v="2"/>
    <s v="VA"/>
    <s v="Private"/>
    <s v="SJC; Scrivner"/>
    <m/>
    <m/>
    <s v=" "/>
    <s v=" "/>
    <m/>
    <s v=" "/>
    <s v=" "/>
    <s v=" "/>
    <m/>
    <s v=" "/>
  </r>
  <r>
    <m/>
    <s v="Police"/>
    <s v="State"/>
    <s v="Fee Simple"/>
    <s v="4000 Collins Rd"/>
    <s v="Lansing"/>
    <s v="MI"/>
    <n v="9.07"/>
    <n v="1983"/>
    <n v="77674"/>
    <n v="77674"/>
    <n v="1"/>
    <m/>
    <s v=" "/>
    <m/>
    <s v=" "/>
    <m/>
    <d v="2016-02-28T00:00:00"/>
    <d v="2016-02-28T00:00:00"/>
    <n v="4.495890410958904"/>
    <n v="4.495890410958904"/>
    <s v="Full Service"/>
    <s v="None"/>
    <s v="None"/>
    <m/>
    <s v=" "/>
    <s v=" "/>
    <m/>
    <d v="2011-09-01T00:00:00"/>
    <x v="921"/>
    <s v="FORECLOSURE"/>
    <x v="0"/>
    <m/>
    <m/>
    <m/>
    <m/>
    <m/>
    <s v=" "/>
    <s v=" "/>
    <m/>
    <s v=" "/>
    <s v=" "/>
    <s v=" "/>
    <m/>
    <s v=" "/>
  </r>
  <r>
    <s v="LKY50023"/>
    <s v="ICE"/>
    <s v="Federal"/>
    <s v="Fee Simple"/>
    <s v="654 S. 7th St."/>
    <s v="Louisville"/>
    <s v="KY"/>
    <n v="1.3"/>
    <n v="2011"/>
    <n v="17420"/>
    <n v="17420"/>
    <n v="1"/>
    <n v="690390.1"/>
    <n v="39.63203788748564"/>
    <n v="508160"/>
    <n v="29.17106773823192"/>
    <d v="2011-06-01T00:00:00"/>
    <d v="2021-05-31T00:00:00"/>
    <d v="2018-06-01T00:00:00"/>
    <n v="9.753424657534246"/>
    <n v="6.753424657534246"/>
    <s v="Modified Gross"/>
    <s v="None"/>
    <s v="None"/>
    <n v="6352000"/>
    <n v="364.638346727899"/>
    <n v="0.08"/>
    <m/>
    <d v="2011-09-01T00:00:00"/>
    <x v="842"/>
    <s v="AJ Belt"/>
    <x v="1230"/>
    <s v="FL"/>
    <s v="Private"/>
    <m/>
    <m/>
    <m/>
    <s v=" "/>
    <s v=" "/>
    <m/>
    <s v=" "/>
    <s v=" "/>
    <s v=" "/>
    <m/>
    <s v=" "/>
  </r>
  <r>
    <s v="LMS38432"/>
    <s v="DOJ/US Attorney"/>
    <s v="Federal"/>
    <s v="Fee Simple"/>
    <s v="900 Jefferson Ave"/>
    <s v="Oxford"/>
    <s v="MS"/>
    <n v="1.6"/>
    <n v="2000"/>
    <n v="54676"/>
    <n v="54676"/>
    <n v="1"/>
    <n v="1585776.17"/>
    <n v="29.00314891360011"/>
    <n v="1237950"/>
    <n v="22.64156119686883"/>
    <d v="2000-06-09T00:00:00"/>
    <d v="2020-06-08T00:00:00"/>
    <d v="2014-07-31T00:00:00"/>
    <n v="8.775342465753425"/>
    <n v="2.915068493150685"/>
    <s v="Modified Gross"/>
    <s v="None"/>
    <s v="None"/>
    <n v="13500000"/>
    <n v="246.9090643060941"/>
    <n v="0.0917"/>
    <m/>
    <d v="2011-09-01T00:00:00"/>
    <x v="1727"/>
    <s v="M&amp;M; Ficke"/>
    <x v="2"/>
    <s v="VA"/>
    <s v="Private"/>
    <s v="Tim Feagans"/>
    <m/>
    <m/>
    <s v=" "/>
    <s v=" "/>
    <m/>
    <s v=" "/>
    <s v=" "/>
    <s v=" "/>
    <m/>
    <s v=" "/>
  </r>
  <r>
    <m/>
    <s v="VA"/>
    <s v="Federal"/>
    <s v="Fee Simple"/>
    <s v="5460 Reno Corporate Dr"/>
    <s v="Reno"/>
    <s v="NV"/>
    <n v="2.55"/>
    <n v="2006"/>
    <n v="36027"/>
    <n v="36027"/>
    <n v="1"/>
    <n v="812914"/>
    <n v="22.56402142837316"/>
    <n v="579313"/>
    <n v="16.07996780192633"/>
    <d v="2007-03-01T00:00:00"/>
    <d v="2022-02-28T00:00:00"/>
    <d v="2022-02-28T00:00:00"/>
    <n v="10.5013698630137"/>
    <n v="10.5013698630137"/>
    <s v="Full Service"/>
    <s v="None"/>
    <s v="None"/>
    <n v="8700000"/>
    <n v="241.4855525022899"/>
    <n v="0.06658770114942529"/>
    <m/>
    <d v="2011-09-01T00:00:00"/>
    <x v="1085"/>
    <s v="Direct"/>
    <x v="2"/>
    <s v="VA"/>
    <s v="Private"/>
    <m/>
    <m/>
    <m/>
    <s v=" "/>
    <s v=" "/>
    <m/>
    <s v=" "/>
    <s v=" "/>
    <s v=" "/>
    <m/>
    <s v=" "/>
  </r>
  <r>
    <m/>
    <s v="VA"/>
    <s v="Federal"/>
    <s v="Fee Simple"/>
    <s v="301 N Elmire St"/>
    <s v="Sayre"/>
    <s v="PA"/>
    <m/>
    <n v="1997"/>
    <n v="21217"/>
    <n v="21217"/>
    <n v="1"/>
    <m/>
    <s v=" "/>
    <m/>
    <s v=" "/>
    <d v="1997-07-17T00:00:00"/>
    <d v="2012-07-16T00:00:00"/>
    <d v="2012-07-16T00:00:00"/>
    <n v="0.873972602739726"/>
    <n v="0.873972602739726"/>
    <s v="Modified Gross"/>
    <s v="None"/>
    <s v="None"/>
    <m/>
    <s v=" "/>
    <s v=" "/>
    <m/>
    <d v="2011-09-01T00:00:00"/>
    <x v="921"/>
    <m/>
    <x v="974"/>
    <s v="CT"/>
    <s v="Institutional"/>
    <m/>
    <m/>
    <m/>
    <s v=" "/>
    <s v=" "/>
    <m/>
    <s v=" "/>
    <s v=" "/>
    <s v=" "/>
    <m/>
    <s v=" "/>
  </r>
  <r>
    <m/>
    <s v="IRS &amp; USCIS"/>
    <s v="Federal"/>
    <s v="Fee Simple"/>
    <s v="5000 Corporate Ct"/>
    <s v="Holtsville"/>
    <s v="NY"/>
    <n v="26.76"/>
    <n v="2000"/>
    <n v="216875.24"/>
    <n v="264482"/>
    <n v="0.82"/>
    <m/>
    <s v=" "/>
    <n v="3414750"/>
    <n v="12.91108657678027"/>
    <m/>
    <m/>
    <m/>
    <s v=" "/>
    <s v=" "/>
    <s v="Modified Gross"/>
    <s v="None"/>
    <s v="None"/>
    <n v="39250000"/>
    <n v="148.4032939859802"/>
    <n v="0.08699999999999999"/>
    <m/>
    <d v="2011-08-31T00:00:00"/>
    <x v="865"/>
    <s v="JLL; Garibaldi"/>
    <x v="790"/>
    <s v="MA"/>
    <s v="REIT"/>
    <m/>
    <m/>
    <m/>
    <s v=" "/>
    <s v=" "/>
    <m/>
    <s v=" "/>
    <s v=" "/>
    <s v=" "/>
    <m/>
    <s v=" "/>
  </r>
  <r>
    <m/>
    <s v="USPS"/>
    <s v="Federal"/>
    <s v="Fee Simple"/>
    <s v="3324 E Ray Rd"/>
    <s v="Gilbert"/>
    <s v="AZ"/>
    <n v="1.7"/>
    <n v="1989"/>
    <n v="5117"/>
    <n v="5117"/>
    <n v="1"/>
    <m/>
    <s v=" "/>
    <n v="86900"/>
    <n v="16.98260699628689"/>
    <d v="2009-09-01T00:00:00"/>
    <d v="2014-08-31T00:00:00"/>
    <d v="2014-08-31T00:00:00"/>
    <n v="3.008219178082192"/>
    <n v="3.008219178082192"/>
    <s v="Rider"/>
    <s v="Options"/>
    <s v="3, 5 year"/>
    <n v="1100000"/>
    <n v="214.9697088137581"/>
    <n v="0.079"/>
    <m/>
    <d v="2011-08-29T00:00:00"/>
    <x v="1728"/>
    <s v="Gary Myers"/>
    <x v="1261"/>
    <s v="WY"/>
    <s v="Private"/>
    <s v="Thomas Coe"/>
    <m/>
    <m/>
    <s v=" "/>
    <s v=" "/>
    <m/>
    <s v=" "/>
    <s v=" "/>
    <s v=" "/>
    <m/>
    <s v=" "/>
  </r>
  <r>
    <m/>
    <s v="USPS"/>
    <s v="Federal"/>
    <s v="Fee Simple"/>
    <s v="1661 Ringling Blvd"/>
    <s v="Sarasota"/>
    <s v="FL"/>
    <n v="3.26"/>
    <n v="1964"/>
    <n v="48105"/>
    <n v="48105"/>
    <n v="1"/>
    <m/>
    <s v=" "/>
    <m/>
    <s v=" "/>
    <m/>
    <m/>
    <m/>
    <s v=" "/>
    <s v=" "/>
    <m/>
    <m/>
    <m/>
    <n v="1062600"/>
    <n v="22.08917991892735"/>
    <s v=" "/>
    <m/>
    <d v="2011-08-29T00:00:00"/>
    <x v="1729"/>
    <m/>
    <x v="6"/>
    <s v="DC"/>
    <s v="User"/>
    <m/>
    <m/>
    <m/>
    <s v=" "/>
    <s v=" "/>
    <m/>
    <s v=" "/>
    <s v=" "/>
    <s v=" "/>
    <m/>
    <s v=" "/>
  </r>
  <r>
    <m/>
    <s v="Multi"/>
    <s v="State"/>
    <s v="Fee Simple"/>
    <s v="4345 N Lincoln Blvd"/>
    <s v="Oklahoma City"/>
    <s v="OK"/>
    <n v="4.84"/>
    <n v="1967"/>
    <n v="154000"/>
    <n v="154000"/>
    <n v="1"/>
    <m/>
    <s v=" "/>
    <m/>
    <s v=" "/>
    <m/>
    <m/>
    <m/>
    <s v=" "/>
    <s v=" "/>
    <m/>
    <m/>
    <m/>
    <n v="2600000"/>
    <n v="16.88311688311688"/>
    <s v=" "/>
    <m/>
    <d v="2011-08-11T00:00:00"/>
    <x v="8"/>
    <m/>
    <x v="46"/>
    <s v="OK"/>
    <s v="Private"/>
    <s v="M&amp;M; Ficke"/>
    <m/>
    <m/>
    <s v=" "/>
    <s v=" "/>
    <m/>
    <s v=" "/>
    <s v=" "/>
    <s v=" "/>
    <m/>
    <s v=" "/>
  </r>
  <r>
    <m/>
    <s v="DEA"/>
    <s v="Federal"/>
    <s v="Fee Simple"/>
    <s v="2600 Voyager Ave"/>
    <s v="Sioux City"/>
    <s v="IA"/>
    <n v="2.22"/>
    <n v="2010"/>
    <n v="11407"/>
    <n v="11407"/>
    <n v="1"/>
    <n v="484545"/>
    <n v="42.47786446918559"/>
    <n v="348419"/>
    <n v="30.54431489436311"/>
    <d v="2011-04-01T00:00:00"/>
    <d v="2026-03-31T00:00:00"/>
    <d v="2021-03-31T00:00:00"/>
    <n v="14.65205479452055"/>
    <n v="9.64931506849315"/>
    <s v="Modified Gross"/>
    <s v="None"/>
    <s v="None"/>
    <n v="4311000"/>
    <n v="377.9258350135881"/>
    <n v="0.0808209232196706"/>
    <m/>
    <d v="2011-08-09T00:00:00"/>
    <x v="1730"/>
    <s v="Mid-America"/>
    <x v="1098"/>
    <s v="AZ"/>
    <s v="REIT"/>
    <m/>
    <m/>
    <n v="4495000"/>
    <n v="0.07751256952169076"/>
    <n v="0.9590656284760846"/>
    <n v="4495000"/>
    <n v="0.07751256952169076"/>
    <n v="0.003308353697979841"/>
    <s v="No"/>
    <d v="2011-01-18T00:00:00"/>
    <n v="203"/>
  </r>
  <r>
    <m/>
    <s v="FBI"/>
    <s v="Federal"/>
    <s v="Leasehold"/>
    <s v="1269 Holland St."/>
    <s v="Charleston"/>
    <s v="SC"/>
    <m/>
    <m/>
    <n v="12000"/>
    <n v="12000"/>
    <n v="1"/>
    <m/>
    <s v=" "/>
    <m/>
    <s v=" "/>
    <m/>
    <m/>
    <m/>
    <s v=" "/>
    <s v=" "/>
    <m/>
    <m/>
    <m/>
    <n v="6400000"/>
    <n v="533.3333333333334"/>
    <s v=" "/>
    <m/>
    <d v="2011-08-03T00:00:00"/>
    <x v="8"/>
    <m/>
    <x v="0"/>
    <m/>
    <m/>
    <m/>
    <m/>
    <m/>
    <s v=" "/>
    <s v=" "/>
    <m/>
    <s v=" "/>
    <s v=" "/>
    <s v=" "/>
    <m/>
    <s v=" "/>
  </r>
  <r>
    <s v="LTX16554"/>
    <s v="SSA"/>
    <s v="Federal"/>
    <s v="Fee Simple"/>
    <s v="2805 Pine Mill Rd"/>
    <s v="Paris"/>
    <s v="TX"/>
    <n v="2.47"/>
    <n v="2010"/>
    <n v="10803"/>
    <n v="10803"/>
    <n v="1"/>
    <n v="465562.67"/>
    <n v="43.09568360640563"/>
    <n v="372772"/>
    <n v="34.50634083125058"/>
    <d v="2010-09-08T00:00:00"/>
    <d v="2020-09-07T00:00:00"/>
    <d v="2020-09-07T00:00:00"/>
    <n v="9.104109589041096"/>
    <n v="9.104109589041096"/>
    <s v="Modified Gross"/>
    <s v="None"/>
    <s v="None"/>
    <n v="4546000"/>
    <n v="420.8090345274461"/>
    <n v="0.082"/>
    <m/>
    <d v="2011-08-03T00:00:00"/>
    <x v="1256"/>
    <s v="Barry Silver"/>
    <x v="1103"/>
    <s v="NY"/>
    <s v="REIT"/>
    <m/>
    <m/>
    <m/>
    <s v=" "/>
    <s v=" "/>
    <m/>
    <s v=" "/>
    <s v=" "/>
    <s v=" "/>
    <m/>
    <s v=" "/>
  </r>
  <r>
    <s v="LNV02148"/>
    <s v="USCIS"/>
    <s v="Federal"/>
    <s v="Fee Simple"/>
    <s v="790 Sandhill Rd"/>
    <s v="Reno"/>
    <s v="NV"/>
    <n v="1.74"/>
    <n v="2010"/>
    <n v="18254"/>
    <n v="18254"/>
    <n v="1"/>
    <n v="899991.72"/>
    <n v="49.30380848033307"/>
    <n v="763200"/>
    <n v="41.81001424345349"/>
    <d v="2010-10-06T00:00:00"/>
    <d v="2025-10-05T00:00:00"/>
    <d v="2020-10-05T00:00:00"/>
    <n v="14.1972602739726"/>
    <n v="9.194520547945206"/>
    <s v="Modified Gross"/>
    <s v="None"/>
    <s v="None"/>
    <n v="7781000"/>
    <n v="426.2627369343705"/>
    <n v="0.09808507903868398"/>
    <m/>
    <d v="2011-07-29T00:00:00"/>
    <x v="1731"/>
    <s v="Direct"/>
    <x v="1262"/>
    <s v="CA"/>
    <s v="Private"/>
    <m/>
    <m/>
    <m/>
    <s v=" "/>
    <s v=" "/>
    <m/>
    <s v=" "/>
    <s v=" "/>
    <s v=" "/>
    <m/>
    <s v=" "/>
  </r>
  <r>
    <m/>
    <s v="FBI"/>
    <s v="Federal"/>
    <s v="Fee Simple"/>
    <s v="1000 Falls Run Dr"/>
    <s v="Fredericksburg"/>
    <s v="VA"/>
    <n v="11.8123"/>
    <n v="1979"/>
    <n v="164579"/>
    <n v="164579"/>
    <n v="1"/>
    <n v="3033884"/>
    <n v="18.43421092605983"/>
    <n v="2452966"/>
    <n v="14.90448963719551"/>
    <d v="2008-01-01T00:00:00"/>
    <d v="2023-12-31T00:00:00"/>
    <d v="2018-12-31T00:00:00"/>
    <n v="12.43561643835617"/>
    <n v="7.432876712328767"/>
    <s v="Modified Gross"/>
    <s v="None"/>
    <s v="None"/>
    <n v="30268337"/>
    <n v="183.9137253234009"/>
    <n v="0.08104065974949334"/>
    <m/>
    <d v="2011-07-28T00:00:00"/>
    <x v="1732"/>
    <s v="C&amp;W; Sullivan"/>
    <x v="2"/>
    <s v="VA"/>
    <s v="Private"/>
    <s v="C&amp;W; Margetich"/>
    <m/>
    <m/>
    <s v=" "/>
    <s v=" "/>
    <m/>
    <s v=" "/>
    <s v=" "/>
    <s v=" "/>
    <m/>
    <s v=" "/>
  </r>
  <r>
    <m/>
    <s v="USPS"/>
    <s v="Federal"/>
    <s v="Fee Simple"/>
    <s v="1050 Market St"/>
    <s v="Parkersburg"/>
    <s v="WV"/>
    <n v="1.05"/>
    <n v="1999"/>
    <n v="6918"/>
    <n v="6918"/>
    <n v="1"/>
    <n v="154922"/>
    <n v="22.39404452153802"/>
    <n v="146589"/>
    <n v="21.18950563746748"/>
    <d v="2009-08-01T00:00:00"/>
    <d v="2014-07-31T00:00:00"/>
    <m/>
    <n v="3.054794520547945"/>
    <s v=" "/>
    <s v="Rider"/>
    <m/>
    <m/>
    <n v="1375000"/>
    <n v="198.7568661462851"/>
    <n v="0.1066101818181818"/>
    <m/>
    <d v="2011-07-12T00:00:00"/>
    <x v="1733"/>
    <s v="M&amp;M; Thomson"/>
    <x v="1263"/>
    <s v="WV"/>
    <s v="Private"/>
    <m/>
    <m/>
    <m/>
    <s v=" "/>
    <s v=" "/>
    <m/>
    <s v=" "/>
    <s v=" "/>
    <s v=" "/>
    <m/>
    <s v=" "/>
  </r>
  <r>
    <m/>
    <s v="FBI"/>
    <s v="Federal"/>
    <s v="Fee Simple"/>
    <s v="2721 Jefferson Davis Hwy"/>
    <s v="Stafford"/>
    <s v="VA"/>
    <n v="3.43"/>
    <n v="1989"/>
    <n v="64488"/>
    <n v="64448"/>
    <n v="1.000620655412115"/>
    <m/>
    <s v=" "/>
    <n v="970000"/>
    <n v="15.05089374379345"/>
    <m/>
    <d v="2016-12-31T00:00:00"/>
    <d v="2016-12-31T00:00:00"/>
    <n v="5.476712328767123"/>
    <n v="5.476712328767123"/>
    <s v="Modified Gross"/>
    <s v="None"/>
    <s v="None"/>
    <n v="11550000"/>
    <n v="179.2142502482622"/>
    <n v="0.08398268398268398"/>
    <m/>
    <d v="2011-07-12T00:00:00"/>
    <x v="892"/>
    <s v="C&amp;W; Berkman"/>
    <x v="790"/>
    <s v="MA"/>
    <s v="REIT"/>
    <m/>
    <m/>
    <m/>
    <s v=" "/>
    <s v=" "/>
    <m/>
    <s v=" "/>
    <s v=" "/>
    <s v=" "/>
    <d v="2011-04-07T00:00:00"/>
    <n v="96"/>
  </r>
  <r>
    <s v="LIN17742"/>
    <s v="SSA"/>
    <s v="Federal"/>
    <s v="Fee Simple"/>
    <s v="353 W Alto Rd"/>
    <s v="Kokomo"/>
    <s v="IN"/>
    <n v="1.02"/>
    <n v="2008"/>
    <n v="9684"/>
    <n v="9684"/>
    <n v="1"/>
    <n v="264983.77"/>
    <n v="27.36304935976869"/>
    <n v="190175"/>
    <n v="19.63806278397356"/>
    <d v="2008-05-01T00:00:00"/>
    <d v="2018-04-30T00:00:00"/>
    <d v="2018-04-30T00:00:00"/>
    <n v="6.816438356164384"/>
    <n v="6.816438356164384"/>
    <s v="Modified Gross"/>
    <s v="None"/>
    <s v="None"/>
    <n v="2272800"/>
    <n v="234.6964064436183"/>
    <n v="0.0836743224216825"/>
    <m/>
    <d v="2011-07-08T00:00:00"/>
    <x v="540"/>
    <s v="Boulder Group"/>
    <x v="1264"/>
    <s v="NY"/>
    <s v="Private"/>
    <m/>
    <m/>
    <n v="2278000"/>
    <n v="0.08348331870061458"/>
    <n v="0.9977172958735733"/>
    <n v="2278000"/>
    <n v="0.08348331870061458"/>
    <n v="0.0001910037210679227"/>
    <s v="No"/>
    <d v="2011-04-16T00:00:00"/>
    <n v="83"/>
  </r>
  <r>
    <s v="LTX16201"/>
    <s v="FBI"/>
    <s v="Federal"/>
    <s v="Fee Simple"/>
    <s v="2305 Hudson Blvd"/>
    <s v="Brownsville"/>
    <s v="TX"/>
    <n v="1.74"/>
    <n v="2008"/>
    <n v="10850"/>
    <n v="10850"/>
    <n v="1"/>
    <n v="622510.79"/>
    <n v="57.37426635944701"/>
    <n v="480000"/>
    <n v="44.23963133640553"/>
    <d v="2009-02-11T00:00:00"/>
    <d v="2019-02-10T00:00:00"/>
    <d v="2019-02-10T00:00:00"/>
    <n v="7.619178082191781"/>
    <n v="7.619178082191781"/>
    <s v="Modified Gross"/>
    <s v="None"/>
    <s v="None"/>
    <n v="6000000"/>
    <n v="552.9953917050691"/>
    <n v="0.08"/>
    <m/>
    <d v="2011-07-01T00:00:00"/>
    <x v="1640"/>
    <s v="C&amp;W; Trautvetter"/>
    <x v="429"/>
    <s v="NY"/>
    <s v="Private"/>
    <m/>
    <m/>
    <m/>
    <s v=" "/>
    <s v=" "/>
    <m/>
    <s v=" "/>
    <s v=" "/>
    <s v=" "/>
    <m/>
    <s v=" "/>
  </r>
  <r>
    <s v="LCO14317"/>
    <s v="SSA"/>
    <s v="Federal"/>
    <s v="Fee Simple"/>
    <s v="825 N Crest St"/>
    <s v="Grand Junction"/>
    <s v="CO"/>
    <n v="0.99"/>
    <n v="2007"/>
    <n v="7975"/>
    <n v="7975"/>
    <n v="1"/>
    <n v="250076.82"/>
    <n v="31.35759498432602"/>
    <m/>
    <s v=" "/>
    <d v="2012-01-24T00:00:00"/>
    <d v="2027-01-23T00:00:00"/>
    <d v="2022-01-24T00:00:00"/>
    <n v="15.57534246575342"/>
    <n v="10.57534246575342"/>
    <s v="Modified Gross"/>
    <s v="None"/>
    <s v="None"/>
    <n v="2755000"/>
    <n v="345.4545454545454"/>
    <s v=" "/>
    <m/>
    <d v="2011-07-01T00:00:00"/>
    <x v="555"/>
    <s v="Direct"/>
    <x v="1265"/>
    <s v="MT"/>
    <s v="Private"/>
    <m/>
    <m/>
    <m/>
    <s v=" "/>
    <s v=" "/>
    <m/>
    <s v=" "/>
    <s v=" "/>
    <s v=" "/>
    <m/>
    <s v=" "/>
  </r>
  <r>
    <m/>
    <s v="AOC"/>
    <s v="Federal"/>
    <s v="Fee Simple"/>
    <s v="110 W A St"/>
    <s v="San Diego"/>
    <s v="CA"/>
    <n v="1.38"/>
    <n v="1971"/>
    <n v="121000"/>
    <n v="307374"/>
    <n v="0.3936572384131384"/>
    <m/>
    <s v=" "/>
    <n v="6400000"/>
    <n v="20.82153988300897"/>
    <m/>
    <m/>
    <m/>
    <s v=" "/>
    <s v=" "/>
    <m/>
    <m/>
    <m/>
    <n v="80000000"/>
    <n v="260.2692485376122"/>
    <n v="0.08"/>
    <m/>
    <d v="2011-07-01T00:00:00"/>
    <x v="1734"/>
    <s v="Eastdil"/>
    <x v="624"/>
    <s v="CA"/>
    <s v="Private"/>
    <m/>
    <m/>
    <m/>
    <s v=" "/>
    <s v=" "/>
    <m/>
    <s v=" "/>
    <s v=" "/>
    <s v=" "/>
    <m/>
    <s v=" "/>
  </r>
  <r>
    <s v="LGA40162"/>
    <s v="SSA"/>
    <s v="Federal"/>
    <s v="Fee Simple"/>
    <s v="510 E 15th Ave"/>
    <s v="Cordele"/>
    <s v="GA"/>
    <n v="0.74"/>
    <n v="2002"/>
    <n v="8325"/>
    <n v="8325"/>
    <n v="1"/>
    <n v="121979.27"/>
    <n v="14.65216456456456"/>
    <m/>
    <s v=" "/>
    <d v="2002-04-19T00:00:00"/>
    <d v="2013-04-28T00:00:00"/>
    <d v="2007-04-18T00:00:00"/>
    <n v="1.83013698630137"/>
    <n v="-4.202739726027398"/>
    <s v="Modified Gross"/>
    <s v="None"/>
    <s v="None"/>
    <m/>
    <s v=" "/>
    <s v=" "/>
    <m/>
    <d v="2011-06-30T00:00:00"/>
    <x v="1735"/>
    <s v="FORECLOSURE"/>
    <x v="1266"/>
    <s v="GA"/>
    <s v="Private"/>
    <m/>
    <m/>
    <m/>
    <s v=" "/>
    <s v=" "/>
    <m/>
    <s v=" "/>
    <s v=" "/>
    <s v=" "/>
    <m/>
    <s v=" "/>
  </r>
  <r>
    <s v="LSC39150"/>
    <s v="SSA"/>
    <s v="Federal"/>
    <s v="Fee Simple"/>
    <s v="115 Enterprise Ct"/>
    <s v="Greenwood"/>
    <s v="SC"/>
    <n v="3.52"/>
    <n v="2001"/>
    <n v="8727"/>
    <n v="13111"/>
    <n v="0.6656242849515673"/>
    <n v="160338.78"/>
    <n v="18.37272602268821"/>
    <n v="126724"/>
    <n v="9.665471741285943"/>
    <d v="2001-06-22T00:00:00"/>
    <d v="2012-06-21T00:00:00"/>
    <d v="2011-06-22T00:00:00"/>
    <n v="0.9780821917808219"/>
    <n v="-0.02191780821917808"/>
    <s v="Modified Gross"/>
    <s v="None"/>
    <s v="Drops $24k"/>
    <m/>
    <s v=" "/>
    <s v=" "/>
    <m/>
    <d v="2011-06-30T00:00:00"/>
    <x v="1736"/>
    <s v="FORECLOSURE"/>
    <x v="1267"/>
    <s v="FL"/>
    <s v="Private"/>
    <m/>
    <m/>
    <m/>
    <s v=" "/>
    <s v=" "/>
    <m/>
    <s v=" "/>
    <s v=" "/>
    <s v=" "/>
    <m/>
    <s v=" "/>
  </r>
  <r>
    <m/>
    <s v="SSA"/>
    <s v="Federal"/>
    <s v="Fee Simple"/>
    <s v="220 Carl Vinson Pky"/>
    <s v="Warner Robins"/>
    <s v="GA"/>
    <n v="1.26"/>
    <n v="2001"/>
    <n v="10290"/>
    <n v="10290"/>
    <n v="1"/>
    <m/>
    <s v=" "/>
    <m/>
    <s v=" "/>
    <m/>
    <m/>
    <m/>
    <s v=" "/>
    <s v=" "/>
    <m/>
    <m/>
    <m/>
    <n v="1012728"/>
    <n v="98.41865889212828"/>
    <s v=" "/>
    <m/>
    <d v="2011-06-30T00:00:00"/>
    <x v="1737"/>
    <s v="FORECLOSURE"/>
    <x v="1267"/>
    <s v="FL"/>
    <m/>
    <m/>
    <m/>
    <m/>
    <s v=" "/>
    <s v=" "/>
    <m/>
    <s v=" "/>
    <s v=" "/>
    <s v=" "/>
    <m/>
    <s v=" "/>
  </r>
  <r>
    <s v="LVA09397"/>
    <m/>
    <s v="Federal"/>
    <s v="Fee Simple"/>
    <s v="2529 Celebrate Virginia Pky"/>
    <s v="Fredericksburg"/>
    <s v="VA"/>
    <n v="9.57"/>
    <n v="2008"/>
    <n v="50200"/>
    <n v="50200"/>
    <n v="1"/>
    <n v="1432711.59"/>
    <n v="28.54007151394422"/>
    <n v="1181250"/>
    <n v="23.5308764940239"/>
    <d v="2011-02-01T00:00:00"/>
    <d v="2026-01-31T00:00:00"/>
    <d v="2021-02-01T00:00:00"/>
    <n v="14.60547945205479"/>
    <n v="9.605479452054794"/>
    <s v="Modified Gross"/>
    <s v="None"/>
    <s v="1, 5 year"/>
    <n v="7070781"/>
    <n v="140.8522111553785"/>
    <n v="0.1670607532604955"/>
    <m/>
    <d v="2011-06-28T00:00:00"/>
    <x v="1738"/>
    <m/>
    <x v="1268"/>
    <m/>
    <s v="Private"/>
    <m/>
    <m/>
    <m/>
    <s v=" "/>
    <s v=" "/>
    <m/>
    <s v=" "/>
    <s v=" "/>
    <s v=" "/>
    <m/>
    <s v=" "/>
  </r>
  <r>
    <s v="LCA02494"/>
    <s v="SSA"/>
    <s v="Federal"/>
    <s v="Fee Simple"/>
    <s v="745 Morning Star Dr"/>
    <s v="Sonora"/>
    <s v="CA"/>
    <n v="0.31"/>
    <n v="2011"/>
    <n v="5801"/>
    <n v="5801"/>
    <n v="1"/>
    <n v="337244.41"/>
    <n v="58.13556455783485"/>
    <n v="261360"/>
    <n v="45.05430098258921"/>
    <d v="2011-02-08T00:00:00"/>
    <d v="2026-02-07T00:00:00"/>
    <d v="2021-02-07T00:00:00"/>
    <n v="14.62465753424657"/>
    <n v="9.621917808219179"/>
    <m/>
    <m/>
    <m/>
    <n v="3300000"/>
    <n v="568.8674366488536"/>
    <n v="0.07920000000000001"/>
    <m/>
    <d v="2011-06-28T00:00:00"/>
    <x v="681"/>
    <s v="M&amp;M; Trautvetter"/>
    <x v="1269"/>
    <s v="CA"/>
    <s v="Private"/>
    <m/>
    <m/>
    <m/>
    <s v=" "/>
    <s v=" "/>
    <m/>
    <s v=" "/>
    <s v=" "/>
    <s v=" "/>
    <m/>
    <s v=" "/>
  </r>
  <r>
    <s v="LAZ02206"/>
    <s v="IRS"/>
    <s v="Federal"/>
    <s v="Fee Simple"/>
    <s v="1120 S Dobson Rd"/>
    <s v="Chandler"/>
    <s v="AZ"/>
    <n v="0.87"/>
    <n v="2007"/>
    <n v="8368"/>
    <n v="8368"/>
    <n v="1"/>
    <n v="207476.53"/>
    <n v="24.79404039196941"/>
    <n v="164970"/>
    <n v="19.71438814531549"/>
    <d v="2010-05-17T00:00:00"/>
    <d v="2020-05-16T00:00:00"/>
    <d v="2015-05-17T00:00:00"/>
    <n v="8.901369863013699"/>
    <n v="3.898630136986301"/>
    <s v="FS"/>
    <m/>
    <s v="None"/>
    <n v="1375000"/>
    <n v="164.3164435946463"/>
    <n v="0.1199781818181818"/>
    <m/>
    <d v="2011-06-24T00:00:00"/>
    <x v="1739"/>
    <s v="Colliers; Marcus Muirhead"/>
    <x v="1270"/>
    <m/>
    <s v="Private"/>
    <m/>
    <m/>
    <m/>
    <s v=" "/>
    <s v=" "/>
    <m/>
    <s v=" "/>
    <s v=" "/>
    <s v=" "/>
    <m/>
    <s v=" "/>
  </r>
  <r>
    <m/>
    <s v="DPH"/>
    <s v="State"/>
    <s v="Fee Simple"/>
    <s v="4300 Cherry Creek Dr S"/>
    <s v="Denver"/>
    <s v="CO"/>
    <n v="12.26"/>
    <n v="1962"/>
    <n v="355687"/>
    <n v="355687"/>
    <n v="1"/>
    <m/>
    <s v=" "/>
    <n v="3800562.5"/>
    <n v="10.68513187156123"/>
    <m/>
    <m/>
    <m/>
    <s v=" "/>
    <s v=" "/>
    <s v="Full Service"/>
    <m/>
    <m/>
    <n v="62050000"/>
    <n v="174.4511325969181"/>
    <n v="0.06125"/>
    <m/>
    <d v="2011-06-22T00:00:00"/>
    <x v="1740"/>
    <s v="JLL"/>
    <x v="1271"/>
    <s v="UT"/>
    <s v="Private"/>
    <m/>
    <m/>
    <m/>
    <s v=" "/>
    <s v=" "/>
    <m/>
    <s v=" "/>
    <s v=" "/>
    <s v=" "/>
    <m/>
    <s v=" "/>
  </r>
  <r>
    <s v="LAZ02206"/>
    <s v="OHO"/>
    <s v="Federal"/>
    <s v="Fee Simple"/>
    <s v="131 Clayton St"/>
    <s v="Montgomery"/>
    <s v="AL"/>
    <n v="2.6"/>
    <n v="2006"/>
    <n v="57815"/>
    <n v="57815"/>
    <n v="1"/>
    <n v="1478833"/>
    <n v="25.57870794776442"/>
    <n v="970200.0000000001"/>
    <n v="16.78111216812246"/>
    <d v="2007-07-06T00:00:00"/>
    <d v="2017-07-05T00:00:00"/>
    <d v="2014-07-05T00:00:00"/>
    <n v="6.041095890410959"/>
    <n v="3.038356164383562"/>
    <s v="Modified Gross"/>
    <s v="None"/>
    <s v="None"/>
    <n v="11550000"/>
    <n v="199.7751448586007"/>
    <n v="0.08400000000000001"/>
    <m/>
    <d v="2011-06-22T00:00:00"/>
    <x v="1741"/>
    <s v="M&amp;M; John Wise"/>
    <x v="790"/>
    <s v="MA"/>
    <s v="REIT"/>
    <m/>
    <m/>
    <m/>
    <s v=" "/>
    <s v=" "/>
    <m/>
    <s v=" "/>
    <s v=" "/>
    <s v=" "/>
    <m/>
    <s v=" "/>
  </r>
  <r>
    <m/>
    <s v="DCR"/>
    <s v="State"/>
    <s v="Fee Simple"/>
    <s v="9825 Goethe Rd"/>
    <s v="Sacramento"/>
    <s v="CA"/>
    <n v="3.92"/>
    <n v="1990"/>
    <n v="28238"/>
    <n v="45500"/>
    <n v="0.6206153846153846"/>
    <m/>
    <s v=" "/>
    <n v="488000"/>
    <n v="10.72527472527472"/>
    <m/>
    <m/>
    <m/>
    <s v=" "/>
    <s v=" "/>
    <m/>
    <m/>
    <m/>
    <n v="5750000"/>
    <n v="126.3736263736264"/>
    <n v="0.08486956521739131"/>
    <m/>
    <d v="2011-06-22T00:00:00"/>
    <x v="1742"/>
    <s v="JLL; Cole"/>
    <x v="1272"/>
    <s v="CA"/>
    <s v="Private"/>
    <s v="Rocco Cortese"/>
    <m/>
    <n v="6100000"/>
    <n v="0.08"/>
    <n v="0.9426229508196722"/>
    <n v="6100000"/>
    <n v="0.08"/>
    <n v="0.004869565217391306"/>
    <s v="No"/>
    <d v="2010-10-01T00:00:00"/>
    <n v="264"/>
  </r>
  <r>
    <s v="LTX16034"/>
    <s v="SSA"/>
    <s v="Federal"/>
    <s v="Fee Simple"/>
    <s v="2304 W Ferguson Rd"/>
    <s v="Mount Pleasant"/>
    <s v="TX"/>
    <n v="0.84"/>
    <n v="2004"/>
    <n v="4964"/>
    <n v="4964"/>
    <n v="1"/>
    <n v="127011.16"/>
    <n v="25.58645447219984"/>
    <m/>
    <s v=" "/>
    <d v="2005-08-15T00:00:00"/>
    <d v="2020-08-14T00:00:00"/>
    <d v="2015-08-15T00:00:00"/>
    <n v="9.156164383561643"/>
    <n v="4.153424657534247"/>
    <s v="Modified Gross"/>
    <s v="None"/>
    <s v="None"/>
    <m/>
    <s v=" "/>
    <s v=" "/>
    <m/>
    <d v="2011-06-21T00:00:00"/>
    <x v="921"/>
    <m/>
    <x v="1273"/>
    <s v="TX"/>
    <s v="Private"/>
    <m/>
    <m/>
    <m/>
    <s v=" "/>
    <s v=" "/>
    <m/>
    <s v=" "/>
    <s v=" "/>
    <s v=" "/>
    <m/>
    <s v=" "/>
  </r>
  <r>
    <m/>
    <s v="Los Angeles County"/>
    <s v="Municipal"/>
    <s v="Fee Simple"/>
    <s v="9320 Telstar Ave"/>
    <s v="El Monte"/>
    <s v="CA"/>
    <n v="7.95"/>
    <m/>
    <n v="178776"/>
    <n v="246912"/>
    <n v="0.724047433903577"/>
    <m/>
    <s v=" "/>
    <n v="2992530"/>
    <n v="12.11982406687403"/>
    <m/>
    <d v="2019-09-30T00:00:00"/>
    <d v="2019-09-30T00:00:00"/>
    <n v="8.298630136986301"/>
    <n v="8.298630136986301"/>
    <s v="Full Service"/>
    <m/>
    <m/>
    <n v="33250000"/>
    <n v="134.6633618455158"/>
    <n v="0.0900009022556391"/>
    <m/>
    <d v="2011-06-15T00:00:00"/>
    <x v="8"/>
    <m/>
    <x v="0"/>
    <m/>
    <m/>
    <m/>
    <m/>
    <m/>
    <s v=" "/>
    <s v=" "/>
    <m/>
    <s v=" "/>
    <s v=" "/>
    <s v=" "/>
    <m/>
    <s v=" "/>
  </r>
  <r>
    <m/>
    <s v="SSA"/>
    <s v="Federal"/>
    <s v="Fee Simple"/>
    <s v="1118 Academy St N"/>
    <s v="Ahoskie"/>
    <s v="NC"/>
    <n v="0.57"/>
    <n v="1999"/>
    <n v="5400"/>
    <n v="5400"/>
    <n v="1"/>
    <m/>
    <s v=" "/>
    <m/>
    <s v=" "/>
    <m/>
    <m/>
    <m/>
    <s v=" "/>
    <s v=" "/>
    <s v="Modified Gross"/>
    <s v="None"/>
    <s v="None"/>
    <m/>
    <s v=" "/>
    <s v=" "/>
    <m/>
    <d v="2011-06-14T00:00:00"/>
    <x v="1743"/>
    <m/>
    <x v="1274"/>
    <s v="NC"/>
    <s v="Private"/>
    <m/>
    <m/>
    <m/>
    <s v=" "/>
    <s v=" "/>
    <m/>
    <s v=" "/>
    <s v=" "/>
    <s v=" "/>
    <m/>
    <s v=" "/>
  </r>
  <r>
    <m/>
    <s v="HHSC"/>
    <s v="State"/>
    <s v="Fee Simple"/>
    <s v="2010 La Salle Ave"/>
    <s v="Waco"/>
    <s v="TX"/>
    <n v="1.29"/>
    <n v="1989"/>
    <n v="16980"/>
    <n v="16980"/>
    <n v="1"/>
    <n v="106716"/>
    <n v="6.284805653710247"/>
    <n v="78156"/>
    <n v="4.602826855123675"/>
    <d v="1998-01-01T00:00:00"/>
    <d v="2014-12-01T00:00:00"/>
    <m/>
    <n v="3.476712328767123"/>
    <s v=" "/>
    <s v="Full Service"/>
    <s v="None"/>
    <s v="None"/>
    <m/>
    <s v=" "/>
    <s v=" "/>
    <m/>
    <d v="2011-06-11T00:00:00"/>
    <x v="921"/>
    <m/>
    <x v="920"/>
    <s v="MD"/>
    <s v="Institutional"/>
    <m/>
    <m/>
    <m/>
    <s v=" "/>
    <s v=" "/>
    <m/>
    <s v=" "/>
    <s v=" "/>
    <s v=" "/>
    <m/>
    <s v=" "/>
  </r>
  <r>
    <s v="LAZ02302"/>
    <s v="SSA"/>
    <s v="Federal"/>
    <s v="Fee Simple"/>
    <s v="3737 N 7th St"/>
    <s v="Phoenix"/>
    <s v="AZ"/>
    <n v="3.47"/>
    <n v="1982"/>
    <n v="17834"/>
    <n v="57933"/>
    <n v="0.3078383650078539"/>
    <n v="493885.5"/>
    <n v="27.693478748458"/>
    <n v="783756"/>
    <n v="13.52866242038217"/>
    <d v="2010-06-15T00:00:00"/>
    <d v="2025-06-14T00:00:00"/>
    <d v="2020-06-14T00:00:00"/>
    <n v="14.02465753424658"/>
    <n v="9.021917808219179"/>
    <s v="Modified Gross"/>
    <s v="None"/>
    <s v="None"/>
    <n v="8600000"/>
    <n v="148.4473443460549"/>
    <n v="0.09113441860465116"/>
    <m/>
    <d v="2011-06-09T00:00:00"/>
    <x v="1744"/>
    <s v="C&amp;W; Toci"/>
    <x v="1275"/>
    <s v="CA"/>
    <s v="Private"/>
    <m/>
    <m/>
    <m/>
    <s v=" "/>
    <s v=" "/>
    <m/>
    <s v=" "/>
    <s v=" "/>
    <s v=" "/>
    <m/>
    <s v=" "/>
  </r>
  <r>
    <s v="LWI17422"/>
    <s v="MEPS"/>
    <s v="Federal"/>
    <s v="Fee Simple"/>
    <s v="11050 W Liberty Dr"/>
    <s v="Milwaukee"/>
    <s v="WI"/>
    <n v="7"/>
    <n v="2006"/>
    <n v="29297"/>
    <n v="29297"/>
    <n v="1"/>
    <n v="918460.95"/>
    <n v="31.35"/>
    <n v="609750"/>
    <n v="20.81271119909889"/>
    <d v="2006-07-01T00:00:00"/>
    <d v="2016-06-30T00:00:00"/>
    <d v="2016-06-30T00:00:00"/>
    <n v="5.065753424657534"/>
    <n v="5.065753424657534"/>
    <s v="Modified Gross"/>
    <s v="None"/>
    <s v="None"/>
    <n v="6775000"/>
    <n v="231.2523466566543"/>
    <n v="0.09"/>
    <m/>
    <d v="2011-06-08T00:00:00"/>
    <x v="1745"/>
    <s v="Newmark; John Gavin"/>
    <x v="790"/>
    <s v="MA"/>
    <s v="REIT"/>
    <m/>
    <m/>
    <m/>
    <s v=" "/>
    <s v=" "/>
    <m/>
    <s v=" "/>
    <s v=" "/>
    <s v=" "/>
    <d v="2011-01-08T00:00:00"/>
    <n v="151"/>
  </r>
  <r>
    <s v="LAR16487"/>
    <s v="SSA"/>
    <s v="Federal"/>
    <s v="Fee Simple"/>
    <s v="6801 Dallas St"/>
    <s v="Fort Smith"/>
    <s v="AR"/>
    <n v="2.42"/>
    <n v="2010"/>
    <n v="15079"/>
    <n v="15079"/>
    <n v="1"/>
    <n v="463508"/>
    <n v="30.73864314609722"/>
    <n v="350497.5"/>
    <n v="23.24408117249154"/>
    <d v="2010-03-17T00:00:00"/>
    <d v="2025-03-16T00:00:00"/>
    <d v="2020-03-17T00:00:00"/>
    <n v="13.7972602739726"/>
    <n v="8.797260273972602"/>
    <s v="Modified Gross"/>
    <s v="None"/>
    <s v="None"/>
    <n v="4123500"/>
    <n v="273.4597784999006"/>
    <n v="0.08500000000000001"/>
    <m/>
    <d v="2011-06-02T00:00:00"/>
    <x v="1256"/>
    <s v="The Silver Group; Barry Silver"/>
    <x v="1042"/>
    <s v="IL"/>
    <s v="Private"/>
    <m/>
    <m/>
    <m/>
    <s v=" "/>
    <s v=" "/>
    <m/>
    <s v=" "/>
    <s v=" "/>
    <s v=" "/>
    <m/>
    <s v=" "/>
  </r>
  <r>
    <m/>
    <s v="TBPC"/>
    <s v="State"/>
    <s v="Fee Simple"/>
    <s v="2400 Osborn Ln"/>
    <s v="Bryan"/>
    <s v="TX"/>
    <n v="1.18"/>
    <n v="1999"/>
    <n v="13914"/>
    <n v="13914"/>
    <n v="1"/>
    <n v="158870"/>
    <n v="11.41799626275693"/>
    <n v="69562"/>
    <n v="4.999425039528532"/>
    <d v="1999-02-20T00:00:00"/>
    <d v="2019-01-19T00:00:00"/>
    <m/>
    <n v="7.641095890410959"/>
    <s v=" "/>
    <s v="Full Service"/>
    <s v="None"/>
    <s v="None"/>
    <m/>
    <s v=" "/>
    <s v=" "/>
    <m/>
    <d v="2011-06-01T00:00:00"/>
    <x v="921"/>
    <s v="FORECLOSURE"/>
    <x v="920"/>
    <s v="MD"/>
    <s v="Institutional"/>
    <m/>
    <m/>
    <m/>
    <s v=" "/>
    <s v=" "/>
    <m/>
    <s v=" "/>
    <s v=" "/>
    <s v=" "/>
    <m/>
    <s v=" "/>
  </r>
  <r>
    <m/>
    <s v="HHSC/DFPS"/>
    <s v="State"/>
    <s v="Fee Simple"/>
    <s v="605 West 4th St"/>
    <s v="Cameron"/>
    <s v="TX"/>
    <n v="1.22"/>
    <n v="1990"/>
    <n v="8125"/>
    <n v="8125"/>
    <n v="1"/>
    <n v="54650"/>
    <n v="6.726153846153847"/>
    <n v="32280"/>
    <n v="3.972923076923077"/>
    <d v="1999-02-01T00:00:00"/>
    <d v="2019-03-01T00:00:00"/>
    <m/>
    <n v="7.753424657534246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/DFPS"/>
    <s v="State"/>
    <s v="Fee Simple"/>
    <s v="317 Casa Dr"/>
    <s v="Copperas Cove"/>
    <s v="TX"/>
    <n v="0.73"/>
    <n v="1988"/>
    <n v="8344"/>
    <n v="8344"/>
    <n v="1"/>
    <n v="109614"/>
    <n v="13.13686481303931"/>
    <n v="82608"/>
    <n v="9.900287631831256"/>
    <d v="1997-06-01T00:00:00"/>
    <d v="2007-05-31T00:00:00"/>
    <m/>
    <n v="-4.005479452054795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USPS"/>
    <s v="Federal"/>
    <s v="Fee Simple"/>
    <s v="17283 General Puller Hwy"/>
    <s v="Deltaville"/>
    <s v="VA"/>
    <n v="1.81"/>
    <n v="1999"/>
    <n v="4415"/>
    <n v="4415"/>
    <n v="1"/>
    <n v="61430.7"/>
    <n v="13.91408833522084"/>
    <n v="0"/>
    <s v=" "/>
    <m/>
    <d v="2020-01-31T00:00:00"/>
    <m/>
    <n v="8.673972602739726"/>
    <s v=" "/>
    <s v="Rider"/>
    <s v="Options"/>
    <s v="4, 5 yr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USPS"/>
    <s v="Federal"/>
    <s v="Fee Simple"/>
    <s v="703 Church Street"/>
    <s v="East Bernard"/>
    <s v="TX"/>
    <n v="1.52"/>
    <n v="2001"/>
    <n v="7204"/>
    <n v="7204"/>
    <n v="1"/>
    <n v="79423"/>
    <n v="11.02484730705164"/>
    <n v="54620"/>
    <n v="7.581898945030539"/>
    <d v="2001-07-31T00:00:00"/>
    <d v="2021-08-01T00:00:00"/>
    <d v="2021-08-01T00:00:00"/>
    <n v="10.17534246575342"/>
    <n v="10.17534246575342"/>
    <s v="Rider"/>
    <s v="None"/>
    <s v="4, 5 yr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"/>
    <s v="State"/>
    <s v="Fee Simple"/>
    <s v="2520 South 1 Road"/>
    <s v="Edinburg"/>
    <s v="TX"/>
    <n v="3.22"/>
    <n v="1994"/>
    <n v="44613"/>
    <n v="44613"/>
    <n v="1"/>
    <n v="547031"/>
    <n v="12.26169502163047"/>
    <n v="249849"/>
    <n v="5.600363122856566"/>
    <d v="1999-11-01T00:00:00"/>
    <d v="2011-10-31T00:00:00"/>
    <m/>
    <n v="0.4164383561643836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s v="LTX14880"/>
    <s v="INS"/>
    <s v="Federal"/>
    <s v="Fee Simple"/>
    <s v="6451 Boeing Dr"/>
    <s v="El Paso"/>
    <s v="TX"/>
    <n v="4.51"/>
    <n v="1970"/>
    <n v="20865"/>
    <n v="20865"/>
    <n v="1"/>
    <n v="657112.11"/>
    <n v="31.49351114306254"/>
    <n v="363762.11"/>
    <n v="17.43408147615624"/>
    <d v="2001-12-19T00:00:00"/>
    <d v="2016-12-18T00:00:00"/>
    <d v="2006-12-18T00:00:00"/>
    <n v="5.553424657534246"/>
    <n v="-4.454794520547945"/>
    <s v="Modified Gross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s v="LTX16503"/>
    <s v="DHS"/>
    <s v="Federal"/>
    <s v="Fee Simple"/>
    <s v="1545 Hawkins Blvd"/>
    <s v="El Paso"/>
    <s v="TX"/>
    <n v="2.65"/>
    <n v="1993"/>
    <n v="53419"/>
    <n v="53419"/>
    <n v="1"/>
    <n v="1008169.55"/>
    <n v="18.87286452385855"/>
    <n v="438129"/>
    <n v="8.201744697579512"/>
    <d v="2010-02-09T00:00:00"/>
    <d v="2020-02-08T00:00:00"/>
    <d v="2013-02-08T00:00:00"/>
    <n v="8.695890410958905"/>
    <n v="1.693150684931507"/>
    <s v="Modified Gross"/>
    <s v="None"/>
    <s v="None"/>
    <m/>
    <s v=" "/>
    <s v=" "/>
    <m/>
    <d v="2011-06-01T00:00:00"/>
    <x v="921"/>
    <s v="FORECLOSURE"/>
    <x v="974"/>
    <s v="CT"/>
    <s v="Institutional"/>
    <m/>
    <m/>
    <m/>
    <s v=" "/>
    <s v=" "/>
    <m/>
    <s v=" "/>
    <s v=" "/>
    <s v=" "/>
    <m/>
    <s v=" "/>
  </r>
  <r>
    <m/>
    <s v="BPC"/>
    <s v="State"/>
    <s v="Fee Simple"/>
    <s v="7450 John White Blvd"/>
    <s v="Fort Worth"/>
    <s v="TX"/>
    <n v="2.38"/>
    <n v="1996"/>
    <n v="23647"/>
    <n v="23647"/>
    <n v="1"/>
    <n v="214890"/>
    <n v="9.087410665200659"/>
    <n v="128508"/>
    <n v="5.434431428933903"/>
    <m/>
    <d v="2012-03-31T00:00:00"/>
    <m/>
    <n v="0.8328767123287671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/DFPS"/>
    <s v="State"/>
    <s v="Fee Simple"/>
    <s v="103 Park Hill Dr"/>
    <s v="Hamilton"/>
    <s v="TX"/>
    <n v="0.54"/>
    <n v="1990"/>
    <n v="5865"/>
    <n v="5865"/>
    <n v="1"/>
    <n v="42460"/>
    <n v="7.239556692242115"/>
    <n v="27529"/>
    <n v="4.693776641091219"/>
    <m/>
    <d v="2018-08-31T00:00:00"/>
    <m/>
    <n v="7.254794520547946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"/>
    <s v="State"/>
    <s v="Fee Simple"/>
    <s v="2110 Telephone Rd"/>
    <s v="Houston"/>
    <s v="TX"/>
    <n v="1.12"/>
    <n v="1992"/>
    <n v="26865"/>
    <n v="26865"/>
    <n v="1"/>
    <n v="387160"/>
    <n v="14.41131583845152"/>
    <n v="192640"/>
    <n v="7.170668155592779"/>
    <d v="1997-02-01T00:00:00"/>
    <d v="2019-01-31T00:00:00"/>
    <m/>
    <n v="7.673972602739726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/DFPS"/>
    <s v="State"/>
    <s v="Fee Simple"/>
    <s v="1460 NW 19th St"/>
    <s v="Paris"/>
    <s v="TX"/>
    <n v="3.33"/>
    <n v="2002"/>
    <n v="36580"/>
    <n v="36580"/>
    <n v="1"/>
    <n v="381041"/>
    <n v="10.41664844177146"/>
    <n v="199838"/>
    <n v="5.463039912520503"/>
    <d v="2002-09-01T00:00:00"/>
    <d v="2012-08-31T00:00:00"/>
    <d v="2012-08-31T00:00:00"/>
    <n v="1.252054794520548"/>
    <n v="1.252054794520548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DHS"/>
    <s v="State"/>
    <s v="Fee Simple"/>
    <s v="11307 Roszell"/>
    <s v="San Antonio"/>
    <s v="TX"/>
    <n v="3.33"/>
    <n v="1993"/>
    <n v="66050"/>
    <n v="66050"/>
    <n v="1"/>
    <n v="1173708.5"/>
    <n v="17.77"/>
    <n v="727871"/>
    <n v="11.02"/>
    <d v="1998-10-01T00:00:00"/>
    <d v="2018-09-30T00:00:00"/>
    <m/>
    <n v="7.336986301369863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HHSC"/>
    <s v="State"/>
    <s v="Fee Simple"/>
    <s v="1320 E Highway 84"/>
    <s v="Teague"/>
    <s v="TX"/>
    <n v="1.1"/>
    <n v="1990"/>
    <n v="3750"/>
    <n v="3750"/>
    <n v="1"/>
    <n v="28841"/>
    <n v="7.690933333333334"/>
    <n v="11334"/>
    <n v="3.0224"/>
    <d v="1999-07-01T00:00:00"/>
    <d v="2019-08-01T00:00:00"/>
    <m/>
    <n v="8.172602739726027"/>
    <s v=" "/>
    <s v="Full Service"/>
    <s v="None"/>
    <s v="None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USPS"/>
    <s v="Federal"/>
    <s v="Fee Simple"/>
    <s v="40090 Hempstead Highway"/>
    <s v="Waller"/>
    <s v="TX"/>
    <n v="2.62"/>
    <n v="2001"/>
    <n v="8695"/>
    <n v="8695"/>
    <n v="1"/>
    <n v="104907"/>
    <n v="12.06520989074181"/>
    <n v="81225"/>
    <n v="9.341575618171364"/>
    <d v="2001-04-01T00:00:00"/>
    <d v="2021-03-31T00:00:00"/>
    <d v="2021-03-31T00:00:00"/>
    <n v="9.838356164383562"/>
    <n v="9.838356164383562"/>
    <s v="Rider"/>
    <s v="None"/>
    <s v="4, 5 yr"/>
    <m/>
    <s v=" "/>
    <s v=" "/>
    <m/>
    <d v="2011-06-01T00:00:00"/>
    <x v="921"/>
    <m/>
    <x v="920"/>
    <s v="MD"/>
    <s v="Institutional"/>
    <m/>
    <m/>
    <m/>
    <s v=" "/>
    <s v=" "/>
    <m/>
    <s v=" "/>
    <s v=" "/>
    <s v=" "/>
    <m/>
    <s v=" "/>
  </r>
  <r>
    <m/>
    <s v="USDA"/>
    <s v="Federal"/>
    <s v="Fee Simple"/>
    <s v="245 Jimmy Doolittle Rd"/>
    <s v="Salt Lake City"/>
    <s v="UT"/>
    <n v="0.8"/>
    <n v="1989"/>
    <n v="10768"/>
    <n v="10768"/>
    <n v="1"/>
    <m/>
    <s v=" "/>
    <m/>
    <s v=" "/>
    <d v="2005-10-01T00:00:00"/>
    <d v="2020-09-30T00:00:00"/>
    <d v="2015-08-30T00:00:00"/>
    <n v="9.342465753424657"/>
    <n v="4.252054794520548"/>
    <s v="Modified Gross"/>
    <s v="None"/>
    <s v="None"/>
    <m/>
    <s v=" "/>
    <s v=" "/>
    <m/>
    <d v="2011-05-31T00:00:00"/>
    <x v="1746"/>
    <m/>
    <x v="1276"/>
    <s v="UT"/>
    <s v="Private"/>
    <m/>
    <m/>
    <m/>
    <s v=" "/>
    <s v=" "/>
    <m/>
    <s v=" "/>
    <s v=" "/>
    <s v=" "/>
    <m/>
    <s v=" "/>
  </r>
  <r>
    <m/>
    <s v="USPS"/>
    <s v="Federal"/>
    <s v="Fee Simple"/>
    <s v="5100 W 36th St"/>
    <s v="St Louis Park"/>
    <s v="MN"/>
    <n v="4.31"/>
    <n v="1965"/>
    <n v="39397"/>
    <n v="39397"/>
    <n v="1"/>
    <m/>
    <s v=" "/>
    <n v="493480"/>
    <n v="12.52582683960708"/>
    <m/>
    <m/>
    <m/>
    <s v=" "/>
    <s v=" "/>
    <s v="Rider"/>
    <m/>
    <m/>
    <n v="7300000"/>
    <n v="185.2932964438917"/>
    <n v="0.06759999999999999"/>
    <m/>
    <d v="2011-05-31T00:00:00"/>
    <x v="1747"/>
    <m/>
    <x v="1098"/>
    <s v="AZ"/>
    <s v="REIT"/>
    <m/>
    <m/>
    <m/>
    <s v=" "/>
    <s v=" "/>
    <m/>
    <s v=" "/>
    <s v=" "/>
    <s v=" "/>
    <m/>
    <s v=" "/>
  </r>
  <r>
    <m/>
    <s v="United Nations"/>
    <s v="Intergovernmental"/>
    <s v="Fee Simple"/>
    <s v="305 E 46th St"/>
    <s v="New York"/>
    <s v="NY"/>
    <n v="0.23"/>
    <n v="1971"/>
    <n v="187060"/>
    <n v="187060"/>
    <n v="1"/>
    <m/>
    <s v=" "/>
    <n v="8094000"/>
    <n v="43.26953918528815"/>
    <m/>
    <d v="2018-01-31T00:00:00"/>
    <d v="2018-01-31T00:00:00"/>
    <n v="6.687671232876713"/>
    <n v="6.687671232876713"/>
    <s v="Full Service"/>
    <s v="2% annually"/>
    <s v="None"/>
    <n v="114050000"/>
    <n v="609.697423286646"/>
    <n v="0.07096887330118369"/>
    <m/>
    <d v="2011-05-27T00:00:00"/>
    <x v="1748"/>
    <s v="James Gross"/>
    <x v="790"/>
    <s v="MA"/>
    <s v="REIT"/>
    <s v="SJC; Briggs"/>
    <m/>
    <m/>
    <s v=" "/>
    <s v=" "/>
    <m/>
    <s v=" "/>
    <s v=" "/>
    <s v=" "/>
    <m/>
    <s v=" "/>
  </r>
  <r>
    <s v="LFL47879"/>
    <s v="SSA"/>
    <s v="Federal"/>
    <s v="Fee Simple"/>
    <s v="5195 Coconut Creek Pkwy"/>
    <s v="Margate"/>
    <s v="FL"/>
    <n v="1.8"/>
    <n v="2009"/>
    <n v="15839"/>
    <n v="15839"/>
    <n v="1"/>
    <n v="640345.2"/>
    <n v="40.42838563040596"/>
    <n v="379328"/>
    <n v="23.94898667845192"/>
    <d v="2009-09-01T00:00:00"/>
    <d v="2019-08-31T00:00:00"/>
    <d v="2019-08-31T00:00:00"/>
    <n v="8.27945205479452"/>
    <n v="8.27945205479452"/>
    <s v="Modified Gross"/>
    <s v="None"/>
    <s v="None"/>
    <n v="5000000"/>
    <n v="315.6764947282026"/>
    <n v="0.07586560000000001"/>
    <m/>
    <d v="2011-05-23T00:00:00"/>
    <x v="1749"/>
    <s v="Kelco; Kelly Huang"/>
    <x v="1277"/>
    <s v="FL"/>
    <s v="Private"/>
    <m/>
    <m/>
    <m/>
    <s v=" "/>
    <s v=" "/>
    <m/>
    <s v=" "/>
    <s v=" "/>
    <s v=" "/>
    <m/>
    <s v=" "/>
  </r>
  <r>
    <s v="LTX16023"/>
    <s v="FBP"/>
    <s v="Federal"/>
    <s v="Fee Simple"/>
    <s v="4211 Cedar Springs Rd"/>
    <s v="Dallas"/>
    <s v="TX"/>
    <n v="0.84"/>
    <n v="1985"/>
    <n v="39329"/>
    <n v="39329"/>
    <n v="1"/>
    <n v="689091.9"/>
    <n v="17.52121589666658"/>
    <n v="422517"/>
    <n v="10.74314119352132"/>
    <d v="2008-01-18T00:00:00"/>
    <d v="2023-01-17T00:00:00"/>
    <d v="2018-01-17T00:00:00"/>
    <n v="11.66575342465753"/>
    <n v="6.663013698630137"/>
    <s v="FS"/>
    <m/>
    <s v="None"/>
    <n v="4325000"/>
    <n v="109.9697424292507"/>
    <n v="0.09769179190751445"/>
    <m/>
    <d v="2011-05-22T00:00:00"/>
    <x v="1750"/>
    <s v="TW; Jim Sager"/>
    <x v="1278"/>
    <m/>
    <s v="Private"/>
    <m/>
    <m/>
    <m/>
    <s v=" "/>
    <s v=" "/>
    <m/>
    <s v=" "/>
    <s v=" "/>
    <s v=" "/>
    <m/>
    <s v=" "/>
  </r>
  <r>
    <s v="LMO79029"/>
    <s v="NOAA"/>
    <s v="Federal"/>
    <s v="Fee Simple"/>
    <s v="7220 NW 101st Ter"/>
    <s v="Kansas City"/>
    <s v="MO"/>
    <n v="6.62"/>
    <n v="1997"/>
    <n v="94378"/>
    <n v="94378"/>
    <n v="1"/>
    <n v="675309.12"/>
    <n v="7.155365869164424"/>
    <m/>
    <s v=" "/>
    <d v="1998-12-22T00:00:00"/>
    <d v="2018-12-21T00:00:00"/>
    <d v="2007-12-22T00:00:00"/>
    <n v="7.597260273972603"/>
    <n v="-3.408219178082192"/>
    <s v="Modified Gross"/>
    <s v="None"/>
    <s v="None"/>
    <n v="6331022.999999999"/>
    <n v="67.08155502341647"/>
    <s v=" "/>
    <m/>
    <d v="2011-05-19T00:00:00"/>
    <x v="1751"/>
    <m/>
    <x v="1279"/>
    <s v="VA"/>
    <s v="Private"/>
    <m/>
    <m/>
    <m/>
    <s v=" "/>
    <s v=" "/>
    <m/>
    <s v=" "/>
    <s v=" "/>
    <s v=" "/>
    <m/>
    <s v=" "/>
  </r>
  <r>
    <s v="LOH18332"/>
    <s v="SSA"/>
    <s v="Federal"/>
    <s v="Fee Simple"/>
    <s v="611 Vernon St"/>
    <s v="Ironton"/>
    <s v="OH"/>
    <n v="0.16"/>
    <n v="2011"/>
    <n v="6500"/>
    <n v="6500"/>
    <n v="1"/>
    <n v="241530.61"/>
    <n v="37.15855538461538"/>
    <n v="204030"/>
    <n v="31.38923076923077"/>
    <d v="2011-10-05T00:00:00"/>
    <d v="2021-10-04T00:00:00"/>
    <d v="2021-10-04T00:00:00"/>
    <n v="10.38904109589041"/>
    <n v="10.38904109589041"/>
    <s v="Modified Gross"/>
    <s v="None"/>
    <s v="None"/>
    <m/>
    <s v=" "/>
    <s v=" "/>
    <m/>
    <d v="2011-05-18T00:00:00"/>
    <x v="1752"/>
    <s v="Kase Group"/>
    <x v="1280"/>
    <s v="OH"/>
    <s v="Private"/>
    <m/>
    <m/>
    <n v="2550375"/>
    <n v="0.08"/>
    <s v=" "/>
    <n v="2550375"/>
    <n v="0.08"/>
    <s v=" "/>
    <s v="No"/>
    <d v="2010-10-22T00:00:00"/>
    <n v="208"/>
  </r>
  <r>
    <s v="LFL59135"/>
    <s v="IRS"/>
    <s v="Federal"/>
    <s v="Fee Simple"/>
    <s v="7850 SW 6 Ct"/>
    <s v="Fort Lauderdale"/>
    <s v="FL"/>
    <n v="11.02"/>
    <n v="1999"/>
    <n v="135819"/>
    <n v="135819"/>
    <n v="1"/>
    <n v="4691867.16"/>
    <n v="34.54499856426568"/>
    <n v="3300000"/>
    <n v="24.29704238729486"/>
    <d v="2009-05-01T00:00:00"/>
    <d v="2019-04-30T00:00:00"/>
    <d v="2019-04-30T00:00:00"/>
    <n v="7.964383561643835"/>
    <n v="7.964383561643835"/>
    <s v="FS"/>
    <m/>
    <s v="None"/>
    <n v="40750000"/>
    <n v="300.0316597825047"/>
    <n v="0.08098159509202454"/>
    <m/>
    <d v="2011-05-15T00:00:00"/>
    <x v="1753"/>
    <s v="CBRE; Christian Lee"/>
    <x v="790"/>
    <s v="MA"/>
    <s v="REIT"/>
    <m/>
    <m/>
    <m/>
    <s v=" "/>
    <s v=" "/>
    <m/>
    <s v=" "/>
    <s v=" "/>
    <s v=" "/>
    <m/>
    <s v=" "/>
  </r>
  <r>
    <s v="LMD01425"/>
    <s v="HRQ"/>
    <s v="Federal"/>
    <s v="Fee Simple"/>
    <s v="540 Gaither Rd"/>
    <s v="Rockville"/>
    <s v="MD"/>
    <n v="12.61"/>
    <n v="2003"/>
    <n v="133895"/>
    <n v="133895"/>
    <n v="1"/>
    <n v="4155468.67"/>
    <n v="31.03527891258075"/>
    <n v="2730325"/>
    <n v="20.39153814556182"/>
    <d v="2003-03-23T00:00:00"/>
    <d v="2018-03-22T00:00:00"/>
    <d v="2018-03-22T00:00:00"/>
    <n v="6.873972602739726"/>
    <n v="6.873972602739726"/>
    <s v="Modified Gross"/>
    <s v="None"/>
    <s v="None"/>
    <n v="35230000"/>
    <n v="263.1166212330558"/>
    <n v="0.0775"/>
    <m/>
    <d v="2011-05-09T00:00:00"/>
    <x v="1754"/>
    <s v="HFF; James Meisel"/>
    <x v="1083"/>
    <s v="MA"/>
    <s v="Institutional"/>
    <m/>
    <m/>
    <m/>
    <s v=" "/>
    <s v=" "/>
    <m/>
    <s v=" "/>
    <s v=" "/>
    <s v=" "/>
    <m/>
    <s v=" "/>
  </r>
  <r>
    <m/>
    <s v="SSA"/>
    <s v="Federal"/>
    <s v="Fee Simple"/>
    <s v="1333 Front St"/>
    <s v="San Diego"/>
    <s v="CA"/>
    <n v="0.09"/>
    <m/>
    <n v="27365"/>
    <n v="27365"/>
    <n v="1"/>
    <n v="817369.76"/>
    <n v="29.86916718435958"/>
    <m/>
    <s v=" "/>
    <d v="2002-10-31T00:00:00"/>
    <d v="2017-10-30T00:00:00"/>
    <d v="2007-09-30T00:00:00"/>
    <n v="6.495890410958904"/>
    <n v="-3.594520547945205"/>
    <s v="Modified Gross"/>
    <s v="None"/>
    <s v="None"/>
    <n v="9550500"/>
    <n v="349.004202448383"/>
    <s v=" "/>
    <m/>
    <d v="2011-05-04T00:00:00"/>
    <x v="1755"/>
    <s v="FORECLOSURE"/>
    <x v="1281"/>
    <s v="CA"/>
    <s v="Private"/>
    <m/>
    <m/>
    <m/>
    <s v=" "/>
    <s v=" "/>
    <m/>
    <s v=" "/>
    <s v=" "/>
    <s v=" "/>
    <m/>
    <s v=" "/>
  </r>
  <r>
    <s v="LTX16035"/>
    <s v="SSA"/>
    <s v="Federal"/>
    <s v="Fee Simple"/>
    <s v="221 S 45th St"/>
    <s v="Corsicana"/>
    <s v="TX"/>
    <n v="2"/>
    <n v="2007"/>
    <n v="8008"/>
    <n v="8008"/>
    <n v="1"/>
    <n v="216814"/>
    <n v="27.07467532467533"/>
    <n v="142638"/>
    <n v="17.81193806193806"/>
    <d v="2007-09-01T00:00:00"/>
    <d v="2022-08-31T00:00:00"/>
    <d v="2017-08-31T00:00:00"/>
    <n v="11.34246575342466"/>
    <n v="6.33972602739726"/>
    <s v="Modified Gross"/>
    <s v="None"/>
    <s v="None"/>
    <n v="1700000"/>
    <n v="212.2877122877123"/>
    <n v="0.08390470588235294"/>
    <m/>
    <d v="2011-05-01T00:00:00"/>
    <x v="1256"/>
    <s v="Silver Group"/>
    <x v="1282"/>
    <s v="AR"/>
    <s v="Private"/>
    <s v="Hathaway"/>
    <m/>
    <n v="1696200"/>
    <n v="0.0840926777502653"/>
    <n v="1.002240301851197"/>
    <n v="1696200"/>
    <n v="0.0840926777502653"/>
    <n v="-0.0001879718679123621"/>
    <s v="No"/>
    <d v="2009-04-12T00:00:00"/>
    <n v="749"/>
  </r>
  <r>
    <m/>
    <s v="SSA"/>
    <s v="Federal"/>
    <s v="Fee Simple"/>
    <s v="277 Looney Rd"/>
    <s v="Piqua"/>
    <s v="OH"/>
    <n v="1"/>
    <n v="1995"/>
    <n v="9634"/>
    <n v="9634"/>
    <n v="1"/>
    <m/>
    <s v=" "/>
    <n v="292572"/>
    <n v="30.36869420801329"/>
    <m/>
    <m/>
    <m/>
    <s v=" "/>
    <s v=" "/>
    <m/>
    <m/>
    <m/>
    <n v="2753800"/>
    <n v="285.8418102553456"/>
    <n v="0.1062430096593798"/>
    <m/>
    <d v="2011-05-01T00:00:00"/>
    <x v="1756"/>
    <m/>
    <x v="1283"/>
    <s v="CA"/>
    <s v="Private"/>
    <m/>
    <m/>
    <m/>
    <s v=" "/>
    <s v=" "/>
    <m/>
    <s v=" "/>
    <s v=" "/>
    <s v=" "/>
    <m/>
    <s v=" "/>
  </r>
  <r>
    <m/>
    <s v="IRS"/>
    <s v="Federal"/>
    <s v="Fee Simple"/>
    <s v="7850 SW 6th Ct"/>
    <s v="Plantation"/>
    <s v="FL"/>
    <n v="11.02"/>
    <n v="1999"/>
    <n v="135819"/>
    <n v="135819"/>
    <n v="1"/>
    <n v="4312253"/>
    <n v="31.74999815931497"/>
    <m/>
    <s v=" "/>
    <d v="2019-05-01T00:00:00"/>
    <d v="2019-04-30T00:00:00"/>
    <d v="2014-04-30T00:00:00"/>
    <n v="8.002739726027396"/>
    <n v="3"/>
    <s v="Modified Gross"/>
    <s v="None"/>
    <s v="None"/>
    <n v="40750000"/>
    <n v="300.0316597825047"/>
    <s v=" "/>
    <m/>
    <d v="2011-05-01T00:00:00"/>
    <x v="1046"/>
    <s v="CBRE; Lee"/>
    <x v="790"/>
    <s v="MA"/>
    <s v="REIT"/>
    <m/>
    <m/>
    <m/>
    <s v=" "/>
    <s v=" "/>
    <m/>
    <s v=" "/>
    <s v=" "/>
    <s v=" "/>
    <m/>
    <s v=" "/>
  </r>
  <r>
    <s v="LTX16535"/>
    <s v="IRS"/>
    <s v="Federal"/>
    <s v="Fee Simple"/>
    <s v="5015 S IH-35"/>
    <s v="Austin"/>
    <s v="TX"/>
    <n v="10.27"/>
    <n v="2007"/>
    <n v="92335"/>
    <n v="122916"/>
    <n v="0.7512040743271828"/>
    <n v="2483534.59"/>
    <n v="26.89700102886229"/>
    <n v="1920000"/>
    <n v="15.62042370399297"/>
    <d v="2009-02-18T00:00:00"/>
    <d v="2021-02-17T00:00:00"/>
    <d v="2014-02-18T00:00:00"/>
    <n v="9.852054794520548"/>
    <n v="2.849315068493151"/>
    <s v="Modified Gross"/>
    <m/>
    <s v="None"/>
    <n v="24000000"/>
    <n v="195.2552962999121"/>
    <n v="0.08"/>
    <m/>
    <d v="2011-04-15T00:00:00"/>
    <x v="1757"/>
    <s v="CBRE"/>
    <x v="651"/>
    <s v="CT"/>
    <s v="Institutional"/>
    <m/>
    <m/>
    <m/>
    <s v=" "/>
    <s v=" "/>
    <m/>
    <s v=" "/>
    <s v=" "/>
    <s v=" "/>
    <m/>
    <s v=" "/>
  </r>
  <r>
    <m/>
    <s v="FS"/>
    <s v="Federal"/>
    <s v="Fee Simple"/>
    <s v="30 S Chiricahua St"/>
    <s v="Springerville"/>
    <s v="AZ"/>
    <n v="2"/>
    <n v="2006"/>
    <n v="21000"/>
    <n v="21000"/>
    <n v="1"/>
    <n v="381795"/>
    <n v="18.18071428571428"/>
    <n v="271183"/>
    <n v="12.91347619047619"/>
    <d v="2006-08-01T00:00:00"/>
    <d v="2026-07-31T00:00:00"/>
    <d v="2016-07-31T00:00:00"/>
    <n v="15.30684931506849"/>
    <n v="5.301369863013699"/>
    <s v="Modified Gross"/>
    <s v="Every 5 Years"/>
    <s v="None"/>
    <n v="2930000"/>
    <n v="139.5238095238095"/>
    <n v="0.09255392491467576"/>
    <m/>
    <d v="2011-04-14T00:00:00"/>
    <x v="1758"/>
    <s v="CIA; Zahn"/>
    <x v="1284"/>
    <s v="CO"/>
    <s v="Private"/>
    <m/>
    <m/>
    <n v="3100000"/>
    <n v="0.08747838709677419"/>
    <n v="0.9451612903225807"/>
    <n v="2970000"/>
    <n v="0.09130740740740741"/>
    <n v="0.001246517507268355"/>
    <s v="Yes"/>
    <d v="2010-02-24T00:00:00"/>
    <n v="414"/>
  </r>
  <r>
    <m/>
    <s v="FEMA"/>
    <s v="Federal"/>
    <s v="Fee Simple"/>
    <s v="3900 Karina Ln"/>
    <s v="Denton"/>
    <s v="TX"/>
    <n v="10.46"/>
    <n v="2002"/>
    <n v="83481"/>
    <n v="83481"/>
    <n v="1"/>
    <n v="2838027"/>
    <n v="33.9960829410285"/>
    <n v="1735136"/>
    <n v="20.78480133203962"/>
    <d v="2017-06-01T00:00:00"/>
    <d v="2022-05-31T00:00:00"/>
    <d v="2022-05-31T00:00:00"/>
    <n v="11.15616438356164"/>
    <n v="11.15616438356164"/>
    <s v="Modified Gross"/>
    <s v="None"/>
    <s v="None"/>
    <n v="20600000"/>
    <n v="246.7627364310442"/>
    <n v="0.08422990291262136"/>
    <m/>
    <d v="2011-04-07T00:00:00"/>
    <x v="1467"/>
    <s v="JLL; Savage"/>
    <x v="2"/>
    <s v="VA"/>
    <s v="Private"/>
    <m/>
    <m/>
    <m/>
    <s v=" "/>
    <s v=" "/>
    <m/>
    <s v=" "/>
    <s v=" "/>
    <s v=" "/>
    <d v="2010-06-30T00:00:00"/>
    <n v="281"/>
  </r>
  <r>
    <s v="LNV01134"/>
    <s v="FBI"/>
    <s v="Federal"/>
    <s v="Fee Simple"/>
    <s v="1787 W Lake Mead Blvd"/>
    <s v="Las Vegas"/>
    <s v="NV"/>
    <n v="5.32"/>
    <n v="2006"/>
    <n v="106955"/>
    <n v="106955"/>
    <n v="1"/>
    <n v="3639673"/>
    <n v="34.02994717404516"/>
    <n v="2527627"/>
    <n v="23.63262119583002"/>
    <d v="2006-10-17T00:00:00"/>
    <d v="2021-10-16T00:00:00"/>
    <d v="2021-10-16T00:00:00"/>
    <n v="10.53424657534247"/>
    <n v="10.53424657534247"/>
    <s v="Modified Gross"/>
    <s v="None"/>
    <s v="None"/>
    <n v="31700000"/>
    <n v="296.3863306998271"/>
    <n v="0.07973586750788643"/>
    <m/>
    <d v="2011-04-07T00:00:00"/>
    <x v="1467"/>
    <s v="HFF; Todd Savage"/>
    <x v="2"/>
    <s v="VA"/>
    <s v="Private"/>
    <m/>
    <m/>
    <m/>
    <s v=" "/>
    <s v=" "/>
    <m/>
    <s v=" "/>
    <s v=" "/>
    <s v=" "/>
    <d v="2010-06-30T00:00:00"/>
    <n v="281"/>
  </r>
  <r>
    <s v="LKY47065"/>
    <s v="FBI"/>
    <s v="Federal"/>
    <s v="Fee Simple"/>
    <s v="12401 Sycamore Station Pl"/>
    <s v="Louisville"/>
    <s v="KY"/>
    <n v="8.690799999999999"/>
    <n v="2009"/>
    <n v="120197"/>
    <n v="120197"/>
    <n v="1"/>
    <n v="4293728"/>
    <n v="35.7224223566312"/>
    <n v="3319765"/>
    <n v="27.61936653993028"/>
    <d v="2009-03-17T00:00:00"/>
    <d v="2024-03-16T00:00:00"/>
    <d v="2024-03-16T00:00:00"/>
    <n v="12.95068493150685"/>
    <n v="12.95068493150685"/>
    <s v="Modified Gross"/>
    <s v="None"/>
    <s v="None"/>
    <n v="41184811.03125"/>
    <n v="342.644250948443"/>
    <n v="0.08060653714013756"/>
    <m/>
    <d v="2011-04-07T00:00:00"/>
    <x v="1759"/>
    <m/>
    <x v="2"/>
    <s v="VA"/>
    <s v="Private"/>
    <m/>
    <m/>
    <m/>
    <s v=" "/>
    <s v=" "/>
    <m/>
    <s v=" "/>
    <s v=" "/>
    <s v=" "/>
    <m/>
    <s v=" "/>
  </r>
  <r>
    <m/>
    <s v="GSA"/>
    <s v="Federal"/>
    <s v="Fee Simple"/>
    <s v="4725 Nautilus Ct"/>
    <s v="Boulder"/>
    <s v="CO"/>
    <n v="1.54"/>
    <n v="1979"/>
    <n v="3830"/>
    <n v="21940"/>
    <n v="0.174567000911577"/>
    <m/>
    <s v=" "/>
    <n v="155241"/>
    <n v="7.075706472196901"/>
    <d v="2010-03-03T00:00:00"/>
    <d v="2015-03-02T00:00:00"/>
    <d v="2013-03-02T00:00:00"/>
    <n v="3.93972602739726"/>
    <n v="1.93972602739726"/>
    <s v="Modified Gross"/>
    <s v="None"/>
    <s v="None"/>
    <n v="1575000"/>
    <n v="71.78669097538742"/>
    <n v="0.09856571428571428"/>
    <m/>
    <d v="2011-03-25T00:00:00"/>
    <x v="1760"/>
    <s v="GW; Topel"/>
    <x v="1285"/>
    <s v="CO"/>
    <s v="Private"/>
    <m/>
    <m/>
    <n v="1650000"/>
    <n v="0.09408545454545454"/>
    <n v="0.9545454545454546"/>
    <n v="1650000"/>
    <n v="0.09408545454545454"/>
    <n v="0.004480259740259743"/>
    <s v="No"/>
    <d v="2010-07-09T00:00:00"/>
    <n v="259"/>
  </r>
  <r>
    <s v="LIL17616"/>
    <s v="SSA"/>
    <s v="Federal"/>
    <s v="Fee Simple"/>
    <s v="1325 Lake St"/>
    <s v="Aurora"/>
    <s v="IL"/>
    <n v="2.25"/>
    <n v="2008"/>
    <n v="12500"/>
    <n v="12500"/>
    <n v="1"/>
    <n v="395259"/>
    <n v="31.62072"/>
    <m/>
    <s v=" "/>
    <d v="2007-10-23T00:00:00"/>
    <d v="2017-10-22T00:00:00"/>
    <d v="2017-10-22T00:00:00"/>
    <n v="6.589041095890411"/>
    <n v="6.589041095890411"/>
    <s v="Modified Gross"/>
    <s v="None"/>
    <s v="None"/>
    <n v="3300000"/>
    <n v="264"/>
    <s v=" "/>
    <m/>
    <d v="2011-03-23T00:00:00"/>
    <x v="1761"/>
    <m/>
    <x v="1042"/>
    <s v="IL"/>
    <s v="Private"/>
    <m/>
    <m/>
    <m/>
    <s v=" "/>
    <s v=" "/>
    <m/>
    <s v=" "/>
    <s v=" "/>
    <s v=" "/>
    <m/>
    <s v=" "/>
  </r>
  <r>
    <m/>
    <s v="DAU"/>
    <s v="Federal"/>
    <s v="Fee Simple"/>
    <s v="7115 Old Madison Pike"/>
    <s v="Huntsville"/>
    <s v="AL"/>
    <n v="9.5"/>
    <n v="2010"/>
    <n v="62500"/>
    <n v="62500"/>
    <n v="1"/>
    <n v="1621634"/>
    <n v="25.946144"/>
    <n v="1112193"/>
    <n v="17.795088"/>
    <d v="2010-02-01T00:00:00"/>
    <d v="2020-01-31T00:00:00"/>
    <d v="2020-01-31T00:00:00"/>
    <n v="8.87945205479452"/>
    <n v="8.87945205479452"/>
    <s v="Modified Gross"/>
    <s v="None"/>
    <s v="None"/>
    <n v="15200000"/>
    <n v="243.2"/>
    <n v="0.07317059210526315"/>
    <m/>
    <d v="2011-03-18T00:00:00"/>
    <x v="1762"/>
    <m/>
    <x v="2"/>
    <s v="VA"/>
    <s v="Private"/>
    <m/>
    <m/>
    <m/>
    <s v=" "/>
    <s v=" "/>
    <m/>
    <s v=" "/>
    <s v=" "/>
    <s v=" "/>
    <m/>
    <s v=" "/>
  </r>
  <r>
    <m/>
    <s v="VA/IRS/DEA"/>
    <s v="Federal"/>
    <s v="Fee Simple"/>
    <s v="100 SW Main St"/>
    <s v="Portland"/>
    <s v="OR"/>
    <n v="1"/>
    <n v="2010"/>
    <n v="278149"/>
    <n v="364779"/>
    <n v="0.7625137411967245"/>
    <n v="12500000"/>
    <n v="44.93994226116218"/>
    <n v="8900000"/>
    <n v="24.39833433393918"/>
    <d v="2020-09-01T00:00:00"/>
    <d v="2020-08-30T00:00:00"/>
    <d v="2020-08-30T00:00:00"/>
    <n v="9.479452054794521"/>
    <n v="9.479452054794521"/>
    <s v="Modified Gross"/>
    <s v="None"/>
    <s v="None"/>
    <n v="129434224"/>
    <n v="354.8291540905589"/>
    <n v="0.06876079389945583"/>
    <m/>
    <d v="2011-03-11T00:00:00"/>
    <x v="1763"/>
    <s v="Eastdil"/>
    <x v="1286"/>
    <s v="CA"/>
    <s v="REIT"/>
    <m/>
    <m/>
    <m/>
    <s v=" "/>
    <s v=" "/>
    <m/>
    <s v=" "/>
    <s v=" "/>
    <s v=" "/>
    <m/>
    <s v=" "/>
  </r>
  <r>
    <s v="LMN17868"/>
    <s v="CBP"/>
    <s v="Federal"/>
    <s v="Fee Simple"/>
    <s v="4431 Endeavor Dr"/>
    <s v="Duluth"/>
    <s v="MN"/>
    <n v="5.24"/>
    <n v="2009"/>
    <n v="31779"/>
    <n v="31779"/>
    <n v="1"/>
    <n v="861213.83"/>
    <n v="27.10009219925108"/>
    <m/>
    <s v=" "/>
    <d v="2009-09-01T00:00:00"/>
    <d v="2024-08-31T00:00:00"/>
    <d v="2024-08-31T00:00:00"/>
    <n v="13.4958904109589"/>
    <n v="13.4958904109589"/>
    <s v="FS"/>
    <m/>
    <s v="None"/>
    <n v="7850000"/>
    <n v="247.0184713175368"/>
    <s v=" "/>
    <m/>
    <d v="2011-03-07T00:00:00"/>
    <x v="555"/>
    <m/>
    <x v="429"/>
    <s v="NY"/>
    <s v="Private"/>
    <m/>
    <m/>
    <m/>
    <s v=" "/>
    <s v=" "/>
    <m/>
    <s v=" "/>
    <s v=" "/>
    <s v=" "/>
    <m/>
    <s v=" "/>
  </r>
  <r>
    <m/>
    <s v="DFPS"/>
    <s v="State"/>
    <s v="Fee Simple"/>
    <s v="2534 Castroville Rd"/>
    <s v="San Antonio"/>
    <s v="TX"/>
    <m/>
    <n v="1983"/>
    <n v="51000"/>
    <n v="51000"/>
    <n v="1"/>
    <m/>
    <s v=" "/>
    <n v="288000"/>
    <n v="5.647058823529412"/>
    <m/>
    <m/>
    <m/>
    <s v=" "/>
    <s v=" "/>
    <m/>
    <m/>
    <m/>
    <n v="2850000"/>
    <n v="55.88235294117647"/>
    <n v="0.1010526315789474"/>
    <m/>
    <d v="2011-03-01T00:00:00"/>
    <x v="1764"/>
    <s v="DH Realty"/>
    <x v="657"/>
    <m/>
    <m/>
    <s v="Jorge Herrero"/>
    <m/>
    <n v="3200000"/>
    <n v="0.09"/>
    <n v="0.890625"/>
    <n v="3200000"/>
    <n v="0.09"/>
    <n v="0.01105263157894737"/>
    <s v="No"/>
    <d v="2009-05-01T00:00:00"/>
    <n v="669"/>
  </r>
  <r>
    <s v="LMT14266"/>
    <s v="CBP"/>
    <s v="Federal"/>
    <s v="Fee Simple"/>
    <s v="2108-2208 23rd St S"/>
    <s v="Great Falls"/>
    <s v="MT"/>
    <n v="1.3"/>
    <n v="2008"/>
    <n v="9987"/>
    <n v="9987"/>
    <n v="1"/>
    <n v="290857.17"/>
    <n v="29.12357765094623"/>
    <m/>
    <s v=" "/>
    <d v="2009-07-16T00:00:00"/>
    <d v="2019-07-15T00:00:00"/>
    <d v="2019-07-15T00:00:00"/>
    <n v="8.394520547945206"/>
    <n v="8.394520547945206"/>
    <s v="Modified Gross"/>
    <s v="None"/>
    <s v="None"/>
    <m/>
    <s v=" "/>
    <s v=" "/>
    <m/>
    <d v="2011-02-23T00:00:00"/>
    <x v="555"/>
    <m/>
    <x v="1265"/>
    <s v="CO"/>
    <s v="Private"/>
    <m/>
    <m/>
    <m/>
    <s v=" "/>
    <s v=" "/>
    <m/>
    <s v=" "/>
    <s v=" "/>
    <s v=" "/>
    <m/>
    <s v=" "/>
  </r>
  <r>
    <m/>
    <s v="RMV"/>
    <s v="State"/>
    <s v="Fee Simple"/>
    <s v="25 Newport Ave Ex"/>
    <s v="Quincy"/>
    <s v="MA"/>
    <n v="4.77"/>
    <n v="1985"/>
    <n v="83294.10000000001"/>
    <n v="92549"/>
    <n v="0.9"/>
    <m/>
    <s v=" "/>
    <m/>
    <s v=" "/>
    <m/>
    <m/>
    <m/>
    <s v=" "/>
    <s v=" "/>
    <m/>
    <m/>
    <m/>
    <n v="14000000"/>
    <n v="151.2712184896649"/>
    <s v=" "/>
    <m/>
    <d v="2011-02-16T00:00:00"/>
    <x v="1765"/>
    <s v="Newmark; Griffin"/>
    <x v="790"/>
    <s v="MA"/>
    <s v="REIT"/>
    <m/>
    <m/>
    <m/>
    <s v=" "/>
    <s v=" "/>
    <m/>
    <s v=" "/>
    <s v=" "/>
    <s v=" "/>
    <m/>
    <s v=" "/>
  </r>
  <r>
    <s v="LTN44046"/>
    <s v="FBI"/>
    <s v="Federal"/>
    <s v="Fee Simple"/>
    <s v="2868 Elm Hill Pke"/>
    <s v="Nashville"/>
    <s v="TN"/>
    <n v="3"/>
    <n v="2005"/>
    <n v="30858"/>
    <n v="30858"/>
    <n v="1"/>
    <n v="681312.61"/>
    <n v="22.07896201957353"/>
    <n v="415933.61"/>
    <n v="13.47895553827208"/>
    <d v="2006-02-09T00:00:00"/>
    <d v="2021-02-08T00:00:00"/>
    <d v="2016-02-09T00:00:00"/>
    <n v="9.991780821917809"/>
    <n v="4.989041095890411"/>
    <s v="Modified Gross"/>
    <s v="None"/>
    <s v="None"/>
    <n v="3000000"/>
    <n v="97.21952167995333"/>
    <n v="0.1386445366666667"/>
    <m/>
    <d v="2011-02-14T00:00:00"/>
    <x v="1646"/>
    <s v="FORECLOSURE"/>
    <x v="958"/>
    <s v="CA"/>
    <s v="Institutional"/>
    <m/>
    <m/>
    <m/>
    <s v=" "/>
    <s v=" "/>
    <m/>
    <s v=" "/>
    <s v=" "/>
    <s v=" "/>
    <m/>
    <s v=" "/>
  </r>
  <r>
    <m/>
    <s v="SSA"/>
    <s v="Federal"/>
    <s v="Fee Simple"/>
    <s v="6300-6340 Security Blvd"/>
    <s v="Woodlawn"/>
    <s v="MD"/>
    <n v="8.1"/>
    <m/>
    <n v="152844.5"/>
    <n v="184150"/>
    <n v="0.83"/>
    <m/>
    <s v=" "/>
    <n v="2492000"/>
    <n v="13.53244637523758"/>
    <m/>
    <m/>
    <m/>
    <s v=" "/>
    <s v=" "/>
    <m/>
    <m/>
    <m/>
    <n v="28000000"/>
    <n v="152.0499592723323"/>
    <n v="0.089"/>
    <m/>
    <d v="2011-02-14T00:00:00"/>
    <x v="686"/>
    <s v="JLL; Molloy"/>
    <x v="790"/>
    <s v="MA"/>
    <s v="REIT"/>
    <m/>
    <m/>
    <m/>
    <s v=" "/>
    <s v=" "/>
    <m/>
    <s v=" "/>
    <s v=" "/>
    <s v=" "/>
    <m/>
    <s v=" "/>
  </r>
  <r>
    <m/>
    <s v="Soc. Ser."/>
    <s v="County"/>
    <s v="Fee Simple"/>
    <s v="7987 Ashton Ave"/>
    <s v="Manassas"/>
    <s v="VA"/>
    <n v="5.52"/>
    <n v="1987"/>
    <n v="69374"/>
    <n v="69374"/>
    <n v="1"/>
    <m/>
    <s v=" "/>
    <n v="1044000"/>
    <n v="15.04886556923343"/>
    <m/>
    <m/>
    <m/>
    <s v=" "/>
    <s v=" "/>
    <m/>
    <m/>
    <m/>
    <n v="13050000"/>
    <n v="188.1108196154179"/>
    <n v="0.08"/>
    <m/>
    <d v="2011-02-03T00:00:00"/>
    <x v="1766"/>
    <s v="TW; Trainor"/>
    <x v="1287"/>
    <s v="VA"/>
    <s v="Private"/>
    <m/>
    <m/>
    <m/>
    <s v=" "/>
    <s v=" "/>
    <m/>
    <s v=" "/>
    <s v=" "/>
    <s v=" "/>
    <m/>
    <s v=" "/>
  </r>
  <r>
    <s v="LGA60077"/>
    <s v="SSA"/>
    <s v="Federal"/>
    <s v="Fee Simple"/>
    <s v="9180 Covington Byp"/>
    <s v="Covington"/>
    <s v="GA"/>
    <n v="1.55"/>
    <n v="2004"/>
    <n v="9604"/>
    <n v="9604"/>
    <n v="1"/>
    <n v="185694"/>
    <n v="19.3350687213661"/>
    <n v="120770"/>
    <n v="12.57496876301541"/>
    <d v="2004-05-13T00:00:00"/>
    <d v="2014-05-12T00:00:00"/>
    <d v="2004-07-12T00:00:00"/>
    <n v="3.276712328767123"/>
    <n v="-6.561643835616438"/>
    <s v="Modified Gross"/>
    <s v="None"/>
    <s v="None"/>
    <n v="998000"/>
    <n v="103.9150354019159"/>
    <n v="0.1210120240480962"/>
    <m/>
    <d v="2011-02-01T00:00:00"/>
    <x v="139"/>
    <s v="SVN; Levin"/>
    <x v="1288"/>
    <s v="AL"/>
    <s v="Private"/>
    <s v="LeCrew"/>
    <m/>
    <n v="1200000"/>
    <n v="0.1006416666666667"/>
    <n v="0.8316666666666667"/>
    <n v="1200000"/>
    <n v="0.1006416666666667"/>
    <n v="0.02037035738142952"/>
    <s v="No"/>
    <d v="2010-09-21T00:00:00"/>
    <n v="133"/>
  </r>
  <r>
    <m/>
    <s v="FL Coastal School of Law"/>
    <s v="State"/>
    <s v="Fee Simple"/>
    <s v="8787 Baypine Rd"/>
    <s v="Jacksonville"/>
    <s v="FL"/>
    <n v="9.99"/>
    <n v="1980"/>
    <n v="231021"/>
    <n v="231021"/>
    <n v="1"/>
    <m/>
    <s v=" "/>
    <n v="2025000"/>
    <n v="8.765436908333008"/>
    <d v="2011-02-01T00:00:00"/>
    <d v="2030-12-31T00:00:00"/>
    <d v="2030-12-31T00:00:00"/>
    <n v="19.92602739726027"/>
    <n v="19.92602739726027"/>
    <s v="NNN"/>
    <s v="2% annually"/>
    <s v="4, 5 yr"/>
    <n v="27000000"/>
    <n v="116.8724921111068"/>
    <n v="0.075"/>
    <m/>
    <d v="2011-02-01T00:00:00"/>
    <x v="1767"/>
    <m/>
    <x v="1289"/>
    <s v="NY"/>
    <s v="REIT"/>
    <m/>
    <m/>
    <m/>
    <s v=" "/>
    <s v=" "/>
    <m/>
    <s v=" "/>
    <s v=" "/>
    <s v=" "/>
    <m/>
    <s v=" "/>
  </r>
  <r>
    <m/>
    <s v="VA"/>
    <s v="Federal"/>
    <s v="Fee Simple"/>
    <s v="340 E Yosemite Ave"/>
    <s v="Merced"/>
    <s v="CA"/>
    <n v="0.64"/>
    <n v="2010"/>
    <n v="8620"/>
    <n v="8620"/>
    <n v="1"/>
    <m/>
    <s v=" "/>
    <n v="239975"/>
    <n v="27.83932714617169"/>
    <d v="2011-02-16T00:00:00"/>
    <d v="2021-02-15T00:00:00"/>
    <d v="2021-02-15T00:00:00"/>
    <n v="10.04657534246575"/>
    <n v="10.04657534246575"/>
    <s v="Modified Gross"/>
    <s v="2.5% annually"/>
    <s v="None"/>
    <n v="3250000"/>
    <n v="377.030162412993"/>
    <n v="0.07383846153846153"/>
    <m/>
    <d v="2011-02-01T00:00:00"/>
    <x v="1731"/>
    <s v="M&amp;M; Travis Trautvetter"/>
    <x v="1290"/>
    <s v="CA"/>
    <s v="Private"/>
    <s v="NAI; Chris Jackson"/>
    <s v="California Gold"/>
    <m/>
    <s v=" "/>
    <s v=" "/>
    <m/>
    <s v=" "/>
    <s v=" "/>
    <s v=" "/>
    <m/>
    <s v=" "/>
  </r>
  <r>
    <m/>
    <s v="Multi"/>
    <s v="State"/>
    <s v="Fee Simple"/>
    <s v="35-45 Shawmut Rd"/>
    <s v="Canton"/>
    <s v="MA"/>
    <n v="10.65"/>
    <m/>
    <m/>
    <n v="119405"/>
    <s v=" "/>
    <m/>
    <s v=" "/>
    <m/>
    <s v=" "/>
    <m/>
    <m/>
    <m/>
    <s v=" "/>
    <s v=" "/>
    <m/>
    <m/>
    <m/>
    <n v="11150000"/>
    <n v="93.37967421799758"/>
    <s v=" "/>
    <m/>
    <d v="2011-01-20T00:00:00"/>
    <x v="1768"/>
    <m/>
    <x v="1291"/>
    <s v="MA"/>
    <s v="Private"/>
    <m/>
    <m/>
    <m/>
    <s v=" "/>
    <s v=" "/>
    <m/>
    <s v=" "/>
    <s v=" "/>
    <s v=" "/>
    <m/>
    <s v=" "/>
  </r>
  <r>
    <s v="LOH17594"/>
    <s v="SSA"/>
    <s v="Federal"/>
    <s v="Fee Simple"/>
    <s v="1051 Worthington Woods Loop Rd"/>
    <s v="Columbus"/>
    <s v="OH"/>
    <n v="1.39"/>
    <n v="2007"/>
    <n v="10035"/>
    <n v="10035"/>
    <n v="1"/>
    <n v="318886.69"/>
    <n v="31.77744793223717"/>
    <n v="205653.6200793431"/>
    <n v="20.49363428792657"/>
    <d v="2007-10-31T00:00:00"/>
    <d v="2017-10-30T00:00:00"/>
    <d v="2017-10-30T00:00:00"/>
    <n v="6.797260273972602"/>
    <n v="6.797260273972602"/>
    <s v="Modified Gross"/>
    <s v="None"/>
    <s v="None"/>
    <n v="2800000"/>
    <n v="279.023418036871"/>
    <n v="0.07344772145690825"/>
    <m/>
    <d v="2011-01-14T00:00:00"/>
    <x v="24"/>
    <m/>
    <x v="1042"/>
    <s v="IL"/>
    <s v="Private"/>
    <m/>
    <m/>
    <m/>
    <s v=" "/>
    <s v=" "/>
    <m/>
    <s v=" "/>
    <s v=" "/>
    <s v=" "/>
    <m/>
    <s v=" "/>
  </r>
  <r>
    <s v="LCA01401"/>
    <s v="SSA"/>
    <s v="Federal"/>
    <s v="Fee Simple"/>
    <s v="3095 W Devonshire Ave"/>
    <s v="Hemet"/>
    <s v="CA"/>
    <n v="1.84"/>
    <n v="2005"/>
    <n v="14741"/>
    <n v="14741"/>
    <n v="1"/>
    <n v="515864.42"/>
    <n v="34.9952119937589"/>
    <n v="376800"/>
    <n v="25.5613594735771"/>
    <d v="2005-03-03T00:00:00"/>
    <d v="2020-03-02T00:00:00"/>
    <d v="2020-03-02T00:00:00"/>
    <n v="9.156164383561643"/>
    <n v="9.156164383561643"/>
    <s v="Modified Gross"/>
    <s v="None"/>
    <s v="None"/>
    <n v="4710000"/>
    <n v="319.5169934197137"/>
    <n v="0.08"/>
    <m/>
    <d v="2011-01-07T00:00:00"/>
    <x v="1769"/>
    <s v="REMAX; Sharon Chang"/>
    <x v="1292"/>
    <s v="CA"/>
    <s v="Private"/>
    <m/>
    <m/>
    <m/>
    <s v=" "/>
    <s v=" "/>
    <m/>
    <s v=" "/>
    <s v=" "/>
    <s v=" "/>
    <m/>
    <s v=" "/>
  </r>
  <r>
    <s v="LIN17550"/>
    <s v="SSA"/>
    <s v="Federal"/>
    <s v="Fee Simple"/>
    <s v="5515 N Post Rd"/>
    <s v="Indianapolis"/>
    <s v="IN"/>
    <n v="1.82"/>
    <n v="2008"/>
    <n v="12800"/>
    <n v="12800"/>
    <n v="1"/>
    <n v="380454.81"/>
    <n v="29.72303203125"/>
    <m/>
    <s v=" "/>
    <d v="2008-03-20T00:00:00"/>
    <d v="2018-03-19T00:00:00"/>
    <d v="2018-03-19T00:00:00"/>
    <n v="7.205479452054795"/>
    <n v="7.205479452054795"/>
    <s v="Modified Gross"/>
    <s v="None"/>
    <s v="None"/>
    <n v="3280000"/>
    <n v="256.25"/>
    <s v=" "/>
    <m/>
    <d v="2011-01-05T00:00:00"/>
    <x v="1770"/>
    <s v="Mid-America"/>
    <x v="1042"/>
    <s v="IL"/>
    <s v="Private"/>
    <m/>
    <m/>
    <m/>
    <s v=" "/>
    <s v=" "/>
    <m/>
    <s v=" "/>
    <s v=" "/>
    <s v=" "/>
    <m/>
    <s v=" "/>
  </r>
  <r>
    <m/>
    <s v="VA"/>
    <s v="Federal"/>
    <s v="Fee Simple"/>
    <s v="4337 Union Road"/>
    <s v="Middletown"/>
    <s v="OH"/>
    <n v="3.28"/>
    <n v="2010"/>
    <n v="20284"/>
    <n v="20284"/>
    <n v="1"/>
    <m/>
    <s v=" "/>
    <n v="537932"/>
    <n v="26.52001577598107"/>
    <d v="2020-11-01T00:00:00"/>
    <d v="2030-10-31T00:00:00"/>
    <d v="2030-10-31T00:00:00"/>
    <n v="19.84657534246575"/>
    <n v="19.84657534246575"/>
    <s v="Modified Gross"/>
    <s v="None"/>
    <s v="None"/>
    <n v="6000000"/>
    <n v="295.799645040426"/>
    <n v="0.08965533333333334"/>
    <m/>
    <d v="2010-12-31T00:00:00"/>
    <x v="1771"/>
    <s v="CBRE"/>
    <x v="692"/>
    <s v="TX"/>
    <s v="Private"/>
    <m/>
    <m/>
    <m/>
    <s v=" "/>
    <s v=" "/>
    <m/>
    <s v=" "/>
    <s v=" "/>
    <s v=" "/>
    <d v="2010-09-17T00:00:00"/>
    <n v="105"/>
  </r>
  <r>
    <m/>
    <s v="VA"/>
    <s v="Federal"/>
    <s v="Fee Simple"/>
    <s v="2216 N. John Redditt Drive"/>
    <s v="Lufkin"/>
    <s v="TX"/>
    <n v="7"/>
    <n v="2009"/>
    <n v="37000"/>
    <n v="37000"/>
    <n v="1"/>
    <n v="625878"/>
    <n v="16.91562162162162"/>
    <m/>
    <s v=" "/>
    <m/>
    <m/>
    <m/>
    <s v=" "/>
    <s v=" "/>
    <m/>
    <m/>
    <m/>
    <n v="6900000"/>
    <n v="186.4864864864865"/>
    <s v=" "/>
    <m/>
    <d v="2010-12-30T00:00:00"/>
    <x v="8"/>
    <m/>
    <x v="0"/>
    <m/>
    <m/>
    <m/>
    <m/>
    <m/>
    <s v=" "/>
    <s v=" "/>
    <m/>
    <s v=" "/>
    <s v=" "/>
    <s v=" "/>
    <m/>
    <s v=" "/>
  </r>
  <r>
    <m/>
    <s v="Multi"/>
    <s v="State &amp; Federal"/>
    <s v="Fee Simple"/>
    <s v="1 State Street Sq"/>
    <s v="Trenton"/>
    <s v="NJ"/>
    <m/>
    <m/>
    <n v="285428.64"/>
    <n v="339796"/>
    <n v="0.8400000000000001"/>
    <m/>
    <s v=" "/>
    <n v="3549700"/>
    <n v="10.44656205487999"/>
    <m/>
    <m/>
    <m/>
    <s v=" "/>
    <s v=" "/>
    <m/>
    <m/>
    <m/>
    <n v="46100000"/>
    <n v="135.6696370763635"/>
    <n v="0.077"/>
    <m/>
    <d v="2010-12-30T00:00:00"/>
    <x v="1772"/>
    <s v="CBRE; Fahey"/>
    <x v="790"/>
    <s v="MA"/>
    <s v="REIT"/>
    <m/>
    <m/>
    <m/>
    <s v=" "/>
    <s v=" "/>
    <m/>
    <s v=" "/>
    <s v=" "/>
    <s v=" "/>
    <d v="2010-05-07T00:00:00"/>
    <n v="237"/>
  </r>
  <r>
    <m/>
    <s v="SSA"/>
    <s v="Federal"/>
    <s v="Fee Simple"/>
    <s v="iou"/>
    <s v="Ahoskie"/>
    <s v="NC"/>
    <n v="0.57"/>
    <n v="1999"/>
    <n v="5400"/>
    <n v="5400"/>
    <n v="1"/>
    <m/>
    <s v=" "/>
    <m/>
    <s v=" "/>
    <m/>
    <m/>
    <m/>
    <s v=" "/>
    <s v=" "/>
    <s v="Modified Gross"/>
    <s v="None"/>
    <s v="None"/>
    <m/>
    <s v=" "/>
    <s v=" "/>
    <m/>
    <d v="2010-12-29T00:00:00"/>
    <x v="1773"/>
    <m/>
    <x v="1293"/>
    <s v="CT"/>
    <s v="Institutional"/>
    <m/>
    <m/>
    <m/>
    <s v=" "/>
    <s v=" "/>
    <m/>
    <s v=" "/>
    <s v=" "/>
    <s v=" "/>
    <m/>
    <s v=" "/>
  </r>
  <r>
    <m/>
    <s v="BLM"/>
    <s v="Federal"/>
    <s v="Fee Simple"/>
    <s v="669 S US Highway 89A"/>
    <s v="Kanab"/>
    <s v="UT"/>
    <n v="1"/>
    <n v="1972"/>
    <n v="6800"/>
    <n v="6800"/>
    <n v="1"/>
    <m/>
    <s v=" "/>
    <m/>
    <s v=" "/>
    <d v="2003-05-01T00:00:00"/>
    <d v="2023-04-30T00:00:00"/>
    <d v="2023-04-30T00:00:00"/>
    <n v="12.34246575342466"/>
    <n v="12.34246575342466"/>
    <s v="Modified Gross"/>
    <s v="None"/>
    <s v="None"/>
    <m/>
    <s v=" "/>
    <s v=" "/>
    <m/>
    <d v="2010-12-29T00:00:00"/>
    <x v="1774"/>
    <m/>
    <x v="1294"/>
    <s v="CO"/>
    <s v="Private"/>
    <m/>
    <m/>
    <m/>
    <s v=" "/>
    <s v=" "/>
    <m/>
    <s v=" "/>
    <s v=" "/>
    <s v=" "/>
    <m/>
    <s v=" "/>
  </r>
  <r>
    <m/>
    <s v="SSA"/>
    <s v="Federal"/>
    <s v="Fee Simple"/>
    <s v="18905 33rd Ave W"/>
    <s v="Lynnwood"/>
    <s v="WA"/>
    <n v="1.22"/>
    <n v="1982"/>
    <n v="6960"/>
    <n v="23200"/>
    <n v="0.3"/>
    <m/>
    <s v=" "/>
    <n v="456239"/>
    <n v="19.66547413793104"/>
    <d v="2008-11-01T00:00:00"/>
    <d v="2018-11-01T00:00:00"/>
    <d v="2013-11-01T00:00:00"/>
    <n v="7.846575342465753"/>
    <n v="2.843835616438356"/>
    <s v="Modified Gross"/>
    <s v="None"/>
    <s v="None"/>
    <n v="3530000"/>
    <n v="152.1551724137931"/>
    <n v="0.1292461756373938"/>
    <m/>
    <d v="2010-12-29T00:00:00"/>
    <x v="1775"/>
    <s v="AGM; Gordon"/>
    <x v="1295"/>
    <s v="WA"/>
    <s v="Private"/>
    <m/>
    <m/>
    <m/>
    <s v=" "/>
    <s v=" "/>
    <m/>
    <s v=" "/>
    <s v=" "/>
    <s v=" "/>
    <m/>
    <s v=" "/>
  </r>
  <r>
    <s v="LNE60009"/>
    <s v="FBI"/>
    <s v="Federal"/>
    <s v="Fee Simple"/>
    <s v="4411 S 121 Ct"/>
    <s v="Omaha"/>
    <s v="NE"/>
    <n v="9.68"/>
    <n v="2009"/>
    <n v="112196"/>
    <n v="112196"/>
    <n v="1"/>
    <n v="4100013.52"/>
    <n v="36.54331277407394"/>
    <n v="3275000.64"/>
    <n v="29.18999465221577"/>
    <d v="2009-07-16T00:00:00"/>
    <d v="2024-07-15T00:00:00"/>
    <d v="2024-07-15T00:00:00"/>
    <n v="13.55342465753425"/>
    <n v="13.55342465753425"/>
    <s v="Modified Gross"/>
    <s v="None"/>
    <s v="3, 10 year"/>
    <n v="43500000"/>
    <n v="387.7143570180755"/>
    <n v="0.07528737103448276"/>
    <m/>
    <d v="2010-12-29T00:00:00"/>
    <x v="1265"/>
    <s v="Direct"/>
    <x v="429"/>
    <s v="NY"/>
    <s v="Private"/>
    <m/>
    <m/>
    <m/>
    <s v=" "/>
    <s v=" "/>
    <m/>
    <s v=" "/>
    <s v=" "/>
    <s v=" "/>
    <m/>
    <s v=" "/>
  </r>
  <r>
    <m/>
    <m/>
    <s v="Federal"/>
    <s v="Fee Simple"/>
    <s v="Portfolio of 10"/>
    <m/>
    <m/>
    <m/>
    <m/>
    <m/>
    <n v="1177813"/>
    <s v=" "/>
    <m/>
    <s v=" "/>
    <m/>
    <s v=" "/>
    <m/>
    <m/>
    <m/>
    <s v=" "/>
    <s v=" "/>
    <m/>
    <m/>
    <m/>
    <n v="284000000"/>
    <n v="241.1248644733926"/>
    <s v=" "/>
    <m/>
    <d v="2010-12-28T00:00:00"/>
    <x v="1776"/>
    <m/>
    <x v="1188"/>
    <s v="CA"/>
    <s v="Private"/>
    <m/>
    <m/>
    <m/>
    <s v=" "/>
    <s v=" "/>
    <m/>
    <s v=" "/>
    <s v=" "/>
    <s v=" "/>
    <m/>
    <s v=" "/>
  </r>
  <r>
    <m/>
    <s v="DEA"/>
    <s v="Federal"/>
    <s v="Fee Simple"/>
    <s v="10160 W Technology Blvd"/>
    <s v="Dallas"/>
    <s v="TX"/>
    <n v="7.5085"/>
    <n v="2001"/>
    <n v="71827"/>
    <n v="71827"/>
    <n v="1"/>
    <m/>
    <s v=" "/>
    <m/>
    <s v=" "/>
    <m/>
    <m/>
    <m/>
    <s v=" "/>
    <s v=" "/>
    <m/>
    <m/>
    <m/>
    <n v="11750000"/>
    <n v="163.5875088754925"/>
    <s v=" "/>
    <m/>
    <d v="2010-12-23T00:00:00"/>
    <x v="1777"/>
    <s v="Direct"/>
    <x v="3"/>
    <s v="DC"/>
    <s v="REIT"/>
    <m/>
    <m/>
    <m/>
    <s v=" "/>
    <s v=" "/>
    <m/>
    <s v=" "/>
    <s v=" "/>
    <s v=" "/>
    <m/>
    <s v=" "/>
  </r>
  <r>
    <s v="LAL48096"/>
    <s v="SSA"/>
    <s v="Federal"/>
    <s v="Fee Simple"/>
    <s v="4344 Carmichael Rd"/>
    <s v="Montgomery"/>
    <s v="AL"/>
    <n v="4.1"/>
    <n v="2009"/>
    <n v="49370"/>
    <n v="49370"/>
    <n v="1"/>
    <n v="1633223.76"/>
    <n v="33.08129957464047"/>
    <n v="1275000"/>
    <n v="25.82540004051043"/>
    <d v="2009-05-01T00:00:00"/>
    <d v="2029-04-30T00:00:00"/>
    <d v="2019-04-30T00:00:00"/>
    <n v="18.36438356164384"/>
    <n v="8.356164383561644"/>
    <s v="Modified Gross"/>
    <s v="None"/>
    <s v="None"/>
    <n v="15000000"/>
    <n v="303.8282357707109"/>
    <n v="0.08500000000000001"/>
    <m/>
    <d v="2010-12-23T00:00:00"/>
    <x v="1778"/>
    <s v="JLL; Daniel Macke"/>
    <x v="429"/>
    <s v="NY"/>
    <s v="Private"/>
    <m/>
    <m/>
    <m/>
    <s v=" "/>
    <s v=" "/>
    <m/>
    <s v=" "/>
    <s v=" "/>
    <s v=" "/>
    <m/>
    <s v=" "/>
  </r>
  <r>
    <s v="LNM15222"/>
    <s v="FBI"/>
    <s v="Federal"/>
    <s v="Fee Simple"/>
    <s v="4200 Luecking Park Ave NE"/>
    <s v="Albuquerque"/>
    <s v="NM"/>
    <n v="8.880000000000001"/>
    <n v="2010"/>
    <n v="153082"/>
    <n v="153082"/>
    <n v="1"/>
    <n v="2698776.98"/>
    <n v="17.62961667602984"/>
    <n v="1892000"/>
    <n v="12.35938908558811"/>
    <d v="2004-06-10T00:00:00"/>
    <d v="2024-06-09T00:00:00"/>
    <d v="2024-06-09T00:00:00"/>
    <n v="13.47397260273973"/>
    <n v="13.47397260273973"/>
    <s v="Modified Gross"/>
    <s v="None"/>
    <s v="None"/>
    <n v="22000000"/>
    <n v="143.713826576606"/>
    <n v="0.08599999999999999"/>
    <m/>
    <d v="2010-12-22T00:00:00"/>
    <x v="1759"/>
    <s v="Direct"/>
    <x v="2"/>
    <s v="VA"/>
    <s v="Private"/>
    <m/>
    <m/>
    <m/>
    <s v=" "/>
    <s v=" "/>
    <m/>
    <s v=" "/>
    <s v=" "/>
    <s v=" "/>
    <m/>
    <s v=" "/>
  </r>
  <r>
    <m/>
    <s v="FBI"/>
    <s v="Federal"/>
    <s v="Fee Simple"/>
    <s v="2915 Rocky Mountain Ave"/>
    <s v="Loveland"/>
    <s v="CO"/>
    <n v="3.55"/>
    <n v="2008"/>
    <n v="13234"/>
    <n v="58111"/>
    <n v="0.2277365731100824"/>
    <m/>
    <s v=" "/>
    <m/>
    <s v=" "/>
    <m/>
    <d v="2021-10-31T00:00:00"/>
    <m/>
    <n v="10.86575342465753"/>
    <s v=" "/>
    <m/>
    <m/>
    <m/>
    <n v="14200000"/>
    <n v="244.3599318545542"/>
    <s v=" "/>
    <m/>
    <d v="2010-12-22T00:00:00"/>
    <x v="1779"/>
    <m/>
    <x v="1296"/>
    <s v="CO"/>
    <s v="Private"/>
    <m/>
    <m/>
    <m/>
    <s v=" "/>
    <s v=" "/>
    <m/>
    <s v=" "/>
    <s v=" "/>
    <s v=" "/>
    <m/>
    <s v=" "/>
  </r>
  <r>
    <s v="LMI17902"/>
    <s v="IRS"/>
    <s v="Federal"/>
    <s v="Fee Simple"/>
    <s v="3251 N Evergreen Dr"/>
    <s v="Grand Rapids"/>
    <s v="MI"/>
    <n v="3.21"/>
    <n v="2009"/>
    <n v="30664"/>
    <n v="30664"/>
    <n v="1"/>
    <n v="770317.16"/>
    <n v="25.12122228019828"/>
    <m/>
    <s v=" "/>
    <d v="2009-01-09T00:00:00"/>
    <d v="2022-01-08T00:00:00"/>
    <d v="2021-01-08T00:00:00"/>
    <n v="11.05753424657534"/>
    <n v="10.05753424657534"/>
    <m/>
    <m/>
    <m/>
    <m/>
    <s v=" "/>
    <s v=" "/>
    <m/>
    <d v="2010-12-21T00:00:00"/>
    <x v="8"/>
    <m/>
    <x v="1"/>
    <s v="IL"/>
    <s v="Private"/>
    <m/>
    <m/>
    <m/>
    <s v=" "/>
    <s v=" "/>
    <m/>
    <s v=" "/>
    <s v=" "/>
    <s v=" "/>
    <m/>
    <s v=" "/>
  </r>
  <r>
    <s v="LFL47841"/>
    <s v="SSA"/>
    <s v="Federal"/>
    <s v="Fee Simple"/>
    <s v="7185 Bonneval Rd"/>
    <s v="Jacksonville"/>
    <s v="FL"/>
    <n v="2.67"/>
    <n v="2008"/>
    <n v="27273"/>
    <n v="27273"/>
    <n v="1"/>
    <n v="738799"/>
    <n v="27.0890257764089"/>
    <n v="531574"/>
    <n v="19.49085175814908"/>
    <d v="2008-12-01T00:00:00"/>
    <d v="2018-11-30T00:00:00"/>
    <d v="2013-07-01T00:00:00"/>
    <n v="7.958904109589041"/>
    <n v="2.53972602739726"/>
    <s v="Modified Gross"/>
    <s v="$202k burnoff"/>
    <s v="None"/>
    <n v="3675000"/>
    <n v="134.7486525134749"/>
    <n v="0.1446459863945578"/>
    <m/>
    <d v="2010-12-17T00:00:00"/>
    <x v="1780"/>
    <s v="M&amp;M; Henry Schuldinger"/>
    <x v="1297"/>
    <s v="CT"/>
    <s v="Private"/>
    <m/>
    <m/>
    <n v="3838000"/>
    <n v="0.1385028660760813"/>
    <n v="0.9575299635226681"/>
    <n v="3838000"/>
    <n v="0.1385028660760813"/>
    <n v="0.006143120318476553"/>
    <s v="No"/>
    <d v="2010-06-24T00:00:00"/>
    <n v="176"/>
  </r>
  <r>
    <s v="LAL61983"/>
    <s v="AOC"/>
    <s v="Federal"/>
    <s v="Fee Simple"/>
    <s v="201 St. Michael St"/>
    <s v="Mobile"/>
    <s v="AL"/>
    <n v="0.6035812672176308"/>
    <n v="1994"/>
    <n v="24754"/>
    <n v="24754"/>
    <n v="1"/>
    <n v="545942.36"/>
    <n v="22.05471277369314"/>
    <n v="378488.66"/>
    <n v="15.29"/>
    <d v="2011-09-08T00:00:00"/>
    <d v="2021-09-07T00:00:00"/>
    <d v="2016-09-07T00:00:00"/>
    <n v="10.73424657534247"/>
    <n v="5.731506849315068"/>
    <s v="Modified Gross"/>
    <s v="None"/>
    <s v="None"/>
    <n v="5118209.625"/>
    <n v="206.7629322533732"/>
    <n v="0.07394942523480562"/>
    <m/>
    <d v="2010-12-16T00:00:00"/>
    <x v="1781"/>
    <m/>
    <x v="1298"/>
    <s v="AL"/>
    <s v="Private"/>
    <m/>
    <m/>
    <m/>
    <s v=" "/>
    <s v=" "/>
    <m/>
    <s v=" "/>
    <s v=" "/>
    <s v=" "/>
    <m/>
    <s v=" "/>
  </r>
  <r>
    <s v="LTX16270"/>
    <s v="USCIS"/>
    <s v="Federal"/>
    <s v="Fee Simple"/>
    <s v="6500 Campus Circle Dr E"/>
    <s v="Irving"/>
    <s v="TX"/>
    <n v="11.49"/>
    <n v="2007"/>
    <n v="56700"/>
    <n v="56700"/>
    <n v="1"/>
    <n v="2235859.08"/>
    <n v="39.43314074074074"/>
    <m/>
    <s v=" "/>
    <d v="2008-11-21T00:00:00"/>
    <d v="2023-11-20T00:00:00"/>
    <d v="2018-10-31T00:00:00"/>
    <n v="12.96438356164384"/>
    <n v="7.906849315068493"/>
    <s v="Modified Gross"/>
    <s v="None"/>
    <s v="None"/>
    <m/>
    <s v=" "/>
    <s v=" "/>
    <m/>
    <d v="2010-12-06T00:00:00"/>
    <x v="842"/>
    <s v="Direct"/>
    <x v="763"/>
    <s v="NC"/>
    <s v="Private"/>
    <m/>
    <m/>
    <m/>
    <s v=" "/>
    <s v=" "/>
    <m/>
    <s v=" "/>
    <s v=" "/>
    <s v=" "/>
    <m/>
    <s v=" "/>
  </r>
  <r>
    <m/>
    <s v="AOC"/>
    <s v="Federal"/>
    <s v="Fee Simple"/>
    <s v="111 E Broadway St"/>
    <s v="Del Rio"/>
    <s v="TX"/>
    <n v="0.31"/>
    <n v="1993"/>
    <n v="89980"/>
    <n v="89880"/>
    <n v="1.001112594570539"/>
    <m/>
    <s v=" "/>
    <m/>
    <s v=" "/>
    <m/>
    <m/>
    <m/>
    <s v=" "/>
    <s v=" "/>
    <m/>
    <m/>
    <m/>
    <n v="23020000"/>
    <n v="256.1192701379617"/>
    <s v=" "/>
    <m/>
    <d v="2010-12-03T00:00:00"/>
    <x v="1324"/>
    <s v="Direct"/>
    <x v="3"/>
    <s v="DC"/>
    <s v="REIT"/>
    <m/>
    <m/>
    <m/>
    <s v=" "/>
    <s v=" "/>
    <m/>
    <s v=" "/>
    <s v=" "/>
    <s v=" "/>
    <m/>
    <s v=" "/>
  </r>
  <r>
    <m/>
    <s v="USPS"/>
    <s v="Federal"/>
    <s v="Fee Simple"/>
    <s v="603 Rose St"/>
    <s v="Edna"/>
    <s v="TX"/>
    <n v="1.67"/>
    <m/>
    <m/>
    <n v="6297"/>
    <s v=" "/>
    <n v="42829"/>
    <s v=" "/>
    <m/>
    <s v=" "/>
    <m/>
    <m/>
    <m/>
    <s v=" "/>
    <s v=" "/>
    <m/>
    <m/>
    <m/>
    <n v="565000"/>
    <n v="89.72526599968239"/>
    <s v=" "/>
    <m/>
    <d v="2010-12-01T00:00:00"/>
    <x v="8"/>
    <m/>
    <x v="0"/>
    <m/>
    <m/>
    <m/>
    <m/>
    <m/>
    <s v=" "/>
    <s v=" "/>
    <m/>
    <s v=" "/>
    <s v=" "/>
    <s v=" "/>
    <m/>
    <s v=" "/>
  </r>
  <r>
    <m/>
    <s v="USPS"/>
    <s v="Federal"/>
    <s v="Fee Simple"/>
    <s v="12790 FM 1560 N"/>
    <s v="Helotes"/>
    <s v="TX"/>
    <n v="1.72"/>
    <m/>
    <m/>
    <n v="6297"/>
    <s v=" "/>
    <n v="58819"/>
    <s v=" "/>
    <m/>
    <s v=" "/>
    <m/>
    <m/>
    <m/>
    <s v=" "/>
    <s v=" "/>
    <m/>
    <m/>
    <m/>
    <n v="762892"/>
    <n v="121.1516595204065"/>
    <s v=" "/>
    <m/>
    <d v="2010-12-01T00:00:00"/>
    <x v="8"/>
    <m/>
    <x v="0"/>
    <m/>
    <m/>
    <m/>
    <m/>
    <m/>
    <s v=" "/>
    <s v=" "/>
    <m/>
    <s v=" "/>
    <s v=" "/>
    <s v=" "/>
    <m/>
    <s v=" "/>
  </r>
  <r>
    <s v="LGA44104"/>
    <s v="SSA"/>
    <s v="Federal"/>
    <s v="Fee Simple"/>
    <s v="4365 Shackleford Rd"/>
    <s v="Norcross"/>
    <s v="GA"/>
    <n v="2.11"/>
    <n v="2004"/>
    <n v="21034"/>
    <n v="21034"/>
    <n v="1"/>
    <n v="316141"/>
    <n v="15.0299990491585"/>
    <n v="208459"/>
    <n v="9.910573357421319"/>
    <d v="2006-03-01T00:00:00"/>
    <d v="2016-02-29T00:00:00"/>
    <d v="2011-02-28T00:00:00"/>
    <n v="5.249315068493151"/>
    <n v="0.2438356164383562"/>
    <s v="Modified Gross"/>
    <s v="$38k TI Burnoff"/>
    <s v="None"/>
    <n v="1960000"/>
    <n v="93.18246648283731"/>
    <n v="0.1063566326530612"/>
    <m/>
    <d v="2010-12-01T00:00:00"/>
    <x v="139"/>
    <s v="SVN; Levin"/>
    <x v="1299"/>
    <s v="GA"/>
    <s v="Private"/>
    <m/>
    <m/>
    <n v="2125000"/>
    <n v="0.09809835294117647"/>
    <n v="0.9223529411764706"/>
    <n v="2125000"/>
    <n v="0.09809835294117647"/>
    <n v="0.008258279711884753"/>
    <s v="No"/>
    <d v="2010-09-17T00:00:00"/>
    <n v="75"/>
  </r>
  <r>
    <m/>
    <s v="USPS"/>
    <s v="Federal"/>
    <s v="Fee Simple"/>
    <s v="350 W Brazos Ave"/>
    <s v="West Columbia"/>
    <s v="TX"/>
    <n v="1.58"/>
    <n v="1985"/>
    <n v="4792"/>
    <n v="4792"/>
    <n v="1"/>
    <n v="59582"/>
    <n v="12.43363939899833"/>
    <m/>
    <s v=" "/>
    <m/>
    <m/>
    <m/>
    <s v=" "/>
    <s v=" "/>
    <m/>
    <m/>
    <m/>
    <n v="772789"/>
    <n v="161.2664858096828"/>
    <s v=" "/>
    <m/>
    <d v="2010-12-01T00:00:00"/>
    <x v="8"/>
    <m/>
    <x v="0"/>
    <m/>
    <m/>
    <m/>
    <m/>
    <m/>
    <s v=" "/>
    <s v=" "/>
    <m/>
    <s v=" "/>
    <s v=" "/>
    <s v=" "/>
    <m/>
    <s v=" "/>
  </r>
  <r>
    <s v="LCO14148"/>
    <s v="ICE"/>
    <s v="Federal"/>
    <s v="Fee Simple"/>
    <s v="12445 E Caley Ave"/>
    <s v="Englewood"/>
    <s v="CO"/>
    <n v="5.09"/>
    <n v="2008"/>
    <n v="56200"/>
    <n v="56200"/>
    <n v="1"/>
    <n v="2024970.77"/>
    <n v="36.03150836298932"/>
    <n v="1561882.77"/>
    <n v="27.79150836298932"/>
    <d v="2009-09-01T00:00:00"/>
    <d v="2024-08-31T00:00:00"/>
    <d v="2019-09-01T00:00:00"/>
    <n v="13.76438356164384"/>
    <n v="8.761643835616438"/>
    <s v="Modified Gross"/>
    <s v="None"/>
    <s v="None"/>
    <n v="19640000"/>
    <n v="349.4661921708185"/>
    <n v="0.07952559928716904"/>
    <m/>
    <d v="2010-11-29T00:00:00"/>
    <x v="1782"/>
    <s v="Direct"/>
    <x v="2"/>
    <s v="VA"/>
    <s v="Private"/>
    <m/>
    <m/>
    <m/>
    <s v=" "/>
    <s v=" "/>
    <m/>
    <s v=" "/>
    <s v=" "/>
    <s v=" "/>
    <m/>
    <s v=" "/>
  </r>
  <r>
    <s v="LFL47042"/>
    <s v="FBI"/>
    <s v="Federal"/>
    <s v="Fee Simple"/>
    <s v="6061 Gate Pkwy"/>
    <s v="Jacksonville"/>
    <s v="FL"/>
    <n v="10.44"/>
    <n v="2008"/>
    <n v="129895"/>
    <n v="129985"/>
    <n v="0.9993076124168173"/>
    <n v="4923378.65"/>
    <n v="37.90275722699104"/>
    <n v="3168139.05"/>
    <n v="24.37311266684617"/>
    <d v="2009-02-20T00:00:00"/>
    <d v="2024-02-19T00:00:00"/>
    <d v="2024-02-19T00:00:00"/>
    <n v="13.23287671232877"/>
    <n v="13.23287671232877"/>
    <s v="Modified Gross"/>
    <s v="None"/>
    <s v="None"/>
    <n v="47560000"/>
    <n v="365.8883717352002"/>
    <n v="0.06661352081581161"/>
    <m/>
    <d v="2010-11-29T00:00:00"/>
    <x v="1782"/>
    <s v="Direct"/>
    <x v="2"/>
    <s v="VA"/>
    <s v="Private"/>
    <m/>
    <m/>
    <m/>
    <s v=" "/>
    <s v=" "/>
    <m/>
    <s v=" "/>
    <s v=" "/>
    <s v=" "/>
    <m/>
    <s v=" "/>
  </r>
  <r>
    <m/>
    <s v="IRS"/>
    <s v="Federal"/>
    <s v="Fee Simple"/>
    <s v="1901 E Capitol Dr"/>
    <s v="Appleton"/>
    <s v="WI"/>
    <n v="1.09"/>
    <n v="1994"/>
    <n v="5604"/>
    <n v="8208"/>
    <n v="0.6827485380116959"/>
    <m/>
    <s v=" "/>
    <m/>
    <s v=" "/>
    <d v="2010-06-01T00:00:00"/>
    <d v="2020-06-01T00:00:00"/>
    <d v="2015-06-01T00:00:00"/>
    <n v="9.528767123287672"/>
    <n v="4.523287671232877"/>
    <s v="Modified Gross"/>
    <s v="None"/>
    <s v="None"/>
    <n v="650000"/>
    <n v="79.19103313840156"/>
    <s v=" "/>
    <m/>
    <d v="2010-11-23T00:00:00"/>
    <x v="1783"/>
    <s v="Direct"/>
    <x v="1300"/>
    <s v="WI"/>
    <s v="Private"/>
    <m/>
    <m/>
    <m/>
    <s v=" "/>
    <s v=" "/>
    <m/>
    <s v=" "/>
    <s v=" "/>
    <s v=" "/>
    <m/>
    <s v=" "/>
  </r>
  <r>
    <s v="LVA12611"/>
    <m/>
    <s v="Federal"/>
    <s v="Fee Simple"/>
    <s v="45600 Woodland Rd"/>
    <s v="Sterling"/>
    <s v="VA"/>
    <n v="14.01"/>
    <m/>
    <n v="82116"/>
    <n v="220995"/>
    <n v="0.3715740175117084"/>
    <n v="2229449"/>
    <n v="27.14999512884213"/>
    <n v="1935000"/>
    <n v="8.755854204846264"/>
    <d v="2005-04-08T00:00:00"/>
    <d v="2015-04-08T00:00:00"/>
    <d v="2015-04-08T00:00:00"/>
    <n v="4.378082191780821"/>
    <n v="4.378082191780821"/>
    <s v="Modified Gross"/>
    <s v="None"/>
    <s v="None"/>
    <n v="22500000"/>
    <n v="101.8122581958868"/>
    <n v="0.08599999999999999"/>
    <m/>
    <d v="2010-11-22T00:00:00"/>
    <x v="1784"/>
    <s v="CBRE; Gast"/>
    <x v="1145"/>
    <s v="MD"/>
    <s v="REIT"/>
    <m/>
    <m/>
    <m/>
    <s v=" "/>
    <s v=" "/>
    <m/>
    <s v=" "/>
    <s v=" "/>
    <s v=" "/>
    <m/>
    <s v=" "/>
  </r>
  <r>
    <s v="LMT14131"/>
    <s v="DOJ"/>
    <s v="Federal"/>
    <s v="Fee Simple"/>
    <s v="125 W Central Ave"/>
    <s v="Great Falls"/>
    <s v="MT"/>
    <n v="2.89"/>
    <n v="2008"/>
    <n v="48411"/>
    <n v="48411"/>
    <n v="1"/>
    <n v="2211529.89"/>
    <n v="45.68238396232262"/>
    <n v="1635806.82"/>
    <n v="33.78998202887774"/>
    <d v="2009-06-26T00:00:00"/>
    <d v="2029-06-25T00:00:00"/>
    <d v="2029-06-25T00:00:00"/>
    <n v="18.61095890410959"/>
    <n v="18.61095890410959"/>
    <s v="Modified Gross"/>
    <s v="Every 5 Years"/>
    <s v="None"/>
    <n v="20733092.71875"/>
    <n v="428.2723496467745"/>
    <n v="0.07889835067976404"/>
    <m/>
    <d v="2010-11-19T00:00:00"/>
    <x v="1782"/>
    <s v="Direct"/>
    <x v="2"/>
    <s v="VA"/>
    <s v="Private"/>
    <m/>
    <m/>
    <m/>
    <s v=" "/>
    <s v=" "/>
    <m/>
    <s v=" "/>
    <s v=" "/>
    <s v=" "/>
    <m/>
    <s v=" "/>
  </r>
  <r>
    <s v="LMT14221"/>
    <s v="CBP"/>
    <s v="Federal"/>
    <s v="Fee Simple"/>
    <s v="37 Nine Mile Rd"/>
    <s v="Sunburst"/>
    <s v="MT"/>
    <n v="21.243"/>
    <n v="2009"/>
    <n v="36792"/>
    <n v="36792"/>
    <n v="1"/>
    <n v="1549977.3"/>
    <n v="42.12810665362036"/>
    <n v="1235040"/>
    <n v="33.56816699282453"/>
    <d v="2008-12-01T00:00:00"/>
    <d v="2028-11-30T00:00:00"/>
    <d v="2028-11-30T00:00:00"/>
    <n v="18.04383561643836"/>
    <n v="18.04383561643836"/>
    <s v="Modified Gross"/>
    <s v="None"/>
    <s v="None"/>
    <n v="13260000"/>
    <n v="360.4044357469015"/>
    <n v="0.09314027149321268"/>
    <m/>
    <d v="2010-11-19T00:00:00"/>
    <x v="772"/>
    <s v="M&amp;M; Travis Trautvetter"/>
    <x v="3"/>
    <s v="DC"/>
    <s v="REIT"/>
    <m/>
    <m/>
    <m/>
    <s v=" "/>
    <s v=" "/>
    <m/>
    <s v=" "/>
    <s v=" "/>
    <s v=" "/>
    <m/>
    <s v=" "/>
  </r>
  <r>
    <s v="LTX16402"/>
    <s v="SSA"/>
    <s v="Federal"/>
    <s v="Fee Simple"/>
    <s v="8455 Dishman Rd"/>
    <s v="Beaumont"/>
    <s v="TX"/>
    <n v="3.34"/>
    <n v="2009"/>
    <n v="18609"/>
    <n v="18609"/>
    <n v="1"/>
    <n v="553108"/>
    <n v="29.72260734053415"/>
    <n v="416392"/>
    <n v="22.3758396474824"/>
    <d v="2010-02-01T00:00:00"/>
    <d v="2025-01-31T00:00:00"/>
    <d v="2020-01-31T00:00:00"/>
    <n v="14.21643835616438"/>
    <n v="9.210958904109589"/>
    <s v="Modified Gross"/>
    <s v="None"/>
    <s v="None"/>
    <n v="4823608"/>
    <n v="259.2083400505132"/>
    <n v="0.08632376428598676"/>
    <m/>
    <d v="2010-11-17T00:00:00"/>
    <x v="1256"/>
    <s v="Silver Group"/>
    <x v="2"/>
    <s v="MD"/>
    <s v="Private"/>
    <m/>
    <m/>
    <n v="5205000"/>
    <n v="0.07999846301633046"/>
    <n v="0.9267258405379443"/>
    <n v="5205000"/>
    <n v="0.07999846301633046"/>
    <n v="0.006325301269656303"/>
    <s v="No"/>
    <d v="2009-05-06T00:00:00"/>
    <n v="560"/>
  </r>
  <r>
    <s v="LOH17112"/>
    <s v="FBI"/>
    <s v="Federal"/>
    <s v="Fee Simple"/>
    <s v="7747 Clyo Rd"/>
    <s v="Centerville"/>
    <s v="OH"/>
    <n v="1.6"/>
    <n v="2008"/>
    <n v="16100"/>
    <n v="16100"/>
    <n v="1"/>
    <n v="502494"/>
    <n v="31.21080745341615"/>
    <n v="343845"/>
    <n v="21.35683229813664"/>
    <d v="2008-07-01T00:00:00"/>
    <d v="2018-06-30T00:00:00"/>
    <d v="2018-06-30T00:00:00"/>
    <n v="7.621917808219179"/>
    <n v="7.621917808219179"/>
    <s v="Modified Gross"/>
    <s v="None"/>
    <s v="None"/>
    <n v="4347300"/>
    <n v="270.0186335403727"/>
    <n v="0.07909392036436409"/>
    <m/>
    <d v="2010-11-17T00:00:00"/>
    <x v="842"/>
    <s v="Ramm Commercial"/>
    <x v="2"/>
    <s v="VA"/>
    <s v="Private"/>
    <s v="CBRE; Jones"/>
    <m/>
    <m/>
    <s v=" "/>
    <s v=" "/>
    <m/>
    <s v=" "/>
    <s v=" "/>
    <s v=" "/>
    <m/>
    <s v=" "/>
  </r>
  <r>
    <m/>
    <s v="NOAA"/>
    <s v="Federal"/>
    <s v="Fee Simple"/>
    <s v="55 Great Republic Dr"/>
    <s v="Gloucester"/>
    <s v="MA"/>
    <n v="7.48"/>
    <n v="2008"/>
    <n v="95000"/>
    <n v="95000"/>
    <n v="1"/>
    <n v="1840556"/>
    <n v="19.37427368421053"/>
    <n v="1099000"/>
    <n v="11.56842105263158"/>
    <d v="2007-05-01T00:00:00"/>
    <d v="2023-04-30T00:00:00"/>
    <d v="2023-04-30T00:00:00"/>
    <n v="12.45753424657534"/>
    <n v="12.45753424657534"/>
    <s v="Modified Gross"/>
    <s v="None"/>
    <s v="None"/>
    <n v="14000000"/>
    <n v="147.3684210526316"/>
    <n v="0.0785"/>
    <m/>
    <d v="2010-11-17T00:00:00"/>
    <x v="842"/>
    <s v="Ramm Commercial"/>
    <x v="2"/>
    <s v="VA"/>
    <s v="Private"/>
    <s v="CBRE; Jones"/>
    <m/>
    <m/>
    <s v=" "/>
    <s v=" "/>
    <m/>
    <s v=" "/>
    <s v=" "/>
    <s v=" "/>
    <d v="2010-03-22T00:00:00"/>
    <n v="240"/>
  </r>
  <r>
    <s v="LVT04570"/>
    <s v="CBP"/>
    <s v="Federal"/>
    <s v="Fee Simple"/>
    <s v="1668 St Albans Rd"/>
    <s v="Richford"/>
    <s v="VT"/>
    <n v="35.86"/>
    <n v="2009"/>
    <n v="26456"/>
    <n v="26456"/>
    <n v="1"/>
    <n v="953474"/>
    <n v="36.03999092833384"/>
    <n v="647474"/>
    <n v="24.47361657091019"/>
    <d v="2009-11-20T00:00:00"/>
    <d v="2029-11-19T00:00:00"/>
    <d v="2024-11-19T00:00:00"/>
    <n v="19.01917808219178"/>
    <n v="14.01643835616438"/>
    <s v="Modified Gross"/>
    <s v="None"/>
    <s v="None"/>
    <n v="8621765"/>
    <n v="325.8907242213486"/>
    <n v="0.07509761632333983"/>
    <m/>
    <d v="2010-11-17T00:00:00"/>
    <x v="842"/>
    <s v="Ramm Commercial"/>
    <x v="2"/>
    <s v="VA"/>
    <s v="Private"/>
    <s v="CBRE; Jones"/>
    <m/>
    <m/>
    <s v=" "/>
    <s v=" "/>
    <m/>
    <s v=" "/>
    <s v=" "/>
    <s v=" "/>
    <d v="2010-04-19T00:00:00"/>
    <n v="212"/>
  </r>
  <r>
    <s v="LTX16202"/>
    <s v="SSA"/>
    <s v="Federal"/>
    <s v="Fee Simple"/>
    <s v="3438 E Southcross Blvd"/>
    <s v="San Antonio"/>
    <s v="TX"/>
    <n v="3"/>
    <n v="2008"/>
    <n v="20700"/>
    <n v="20700"/>
    <n v="1"/>
    <n v="550128"/>
    <n v="26.57623188405797"/>
    <n v="384724"/>
    <n v="18.58570048309179"/>
    <d v="2008-02-15T00:00:00"/>
    <d v="2023-02-14T00:00:00"/>
    <d v="2018-02-14T00:00:00"/>
    <n v="12.25205479452055"/>
    <n v="7.249315068493151"/>
    <s v="Modified Gross"/>
    <s v="None"/>
    <s v="None"/>
    <n v="4349992"/>
    <n v="210.1445410628019"/>
    <n v="0.08844246150337748"/>
    <m/>
    <d v="2010-11-17T00:00:00"/>
    <x v="1256"/>
    <s v="Silver Group"/>
    <x v="2"/>
    <s v="VA"/>
    <s v="Private"/>
    <m/>
    <m/>
    <m/>
    <s v=" "/>
    <s v=" "/>
    <m/>
    <s v=" "/>
    <s v=" "/>
    <s v=" "/>
    <m/>
    <s v=" "/>
  </r>
  <r>
    <s v="LTX16482"/>
    <s v="SSA"/>
    <s v="Federal"/>
    <s v="Fee Simple"/>
    <s v="1700 Lakeair Dr"/>
    <s v="Waco"/>
    <s v="TX"/>
    <n v="2.32"/>
    <n v="2009"/>
    <n v="15943"/>
    <n v="15943"/>
    <n v="1"/>
    <n v="617523"/>
    <n v="38.73317443392084"/>
    <n v="461280"/>
    <n v="28.93307407639717"/>
    <d v="2009-09-01T00:00:00"/>
    <d v="2024-08-30T00:00:00"/>
    <d v="2019-08-30T00:00:00"/>
    <n v="13.79452054794521"/>
    <n v="8.789041095890411"/>
    <s v="Modified Gross"/>
    <s v="None"/>
    <s v="None"/>
    <n v="5513956"/>
    <n v="345.8543561437622"/>
    <n v="0.08365681554223502"/>
    <m/>
    <d v="2010-11-17T00:00:00"/>
    <x v="1256"/>
    <s v="Silver Group"/>
    <x v="2"/>
    <s v="VA"/>
    <s v="Private"/>
    <m/>
    <m/>
    <n v="5766000"/>
    <n v="0.08"/>
    <n v="0.9562878945542838"/>
    <n v="5766000"/>
    <n v="0.08"/>
    <n v="0.003656815542235015"/>
    <s v="No"/>
    <d v="2009-05-06T00:00:00"/>
    <n v="560"/>
  </r>
  <r>
    <s v="LFL46822"/>
    <s v="USCIS"/>
    <s v="Federal"/>
    <s v="Fee Simple"/>
    <s v="6680 Corporate Centre Blvd"/>
    <s v="Orlando"/>
    <s v="FL"/>
    <n v="5.83"/>
    <n v="2008"/>
    <n v="43668"/>
    <n v="43668"/>
    <n v="1"/>
    <n v="1543195.66"/>
    <n v="35.33927956398278"/>
    <n v="1215074"/>
    <n v="27.82527251076303"/>
    <d v="2008-09-02T00:00:00"/>
    <d v="2023-08-31T00:00:00"/>
    <d v="2018-08-31T00:00:00"/>
    <n v="12.8027397260274"/>
    <n v="7.8"/>
    <s v="Modified Gross"/>
    <s v="None"/>
    <s v="None"/>
    <n v="13800000"/>
    <n v="316.0208848584776"/>
    <n v="0.08804884057971014"/>
    <m/>
    <d v="2010-11-14T00:00:00"/>
    <x v="1659"/>
    <s v="M&amp;M; Travis Trautvetter"/>
    <x v="2"/>
    <s v="VA"/>
    <s v="Private"/>
    <m/>
    <m/>
    <m/>
    <s v=" "/>
    <s v=" "/>
    <m/>
    <s v=" "/>
    <s v=" "/>
    <s v=" "/>
    <m/>
    <s v=" "/>
  </r>
  <r>
    <s v="LOH17602"/>
    <s v="MEPS"/>
    <s v="Federal"/>
    <s v="Fee Simple"/>
    <s v="20637 Emerald Parkway"/>
    <s v="Cleveland"/>
    <s v="OH"/>
    <n v="4.08"/>
    <n v="2007"/>
    <n v="24881"/>
    <n v="24881"/>
    <n v="1"/>
    <n v="762704.4300000001"/>
    <n v="30.6540906715968"/>
    <n v="448115"/>
    <n v="18.01032916683413"/>
    <d v="2007-09-14T00:00:00"/>
    <d v="2022-09-13T00:00:00"/>
    <d v="2017-09-13T00:00:00"/>
    <n v="11.84931506849315"/>
    <n v="6.846575342465753"/>
    <s v="Modified Gross"/>
    <s v="None"/>
    <s v="None"/>
    <n v="4566067"/>
    <n v="183.5162171938427"/>
    <n v="0.09814025943990748"/>
    <m/>
    <d v="2010-11-10T00:00:00"/>
    <x v="842"/>
    <s v="Ramm Commercial"/>
    <x v="2"/>
    <s v="VA"/>
    <s v="Private"/>
    <s v="CBRE; Jones"/>
    <m/>
    <m/>
    <s v=" "/>
    <s v=" "/>
    <m/>
    <s v=" "/>
    <s v=" "/>
    <s v=" "/>
    <m/>
    <s v=" "/>
  </r>
  <r>
    <m/>
    <s v="USCIS"/>
    <s v="Federal"/>
    <s v="Fee Simple"/>
    <s v="2 Mill St"/>
    <s v="Lawrence"/>
    <s v="MA"/>
    <n v="1.8421"/>
    <n v="2009"/>
    <n v="28235"/>
    <n v="28325"/>
    <n v="0.9968225948808473"/>
    <n v="1369569"/>
    <n v="48.50607402160439"/>
    <n v="1024569"/>
    <n v="36.17189761694616"/>
    <d v="2010-06-08T00:00:00"/>
    <d v="2024-06-30T00:00:00"/>
    <d v="2019-06-30T00:00:00"/>
    <n v="13.64657534246575"/>
    <n v="8.641095890410959"/>
    <s v="Modified Gross"/>
    <s v="None"/>
    <s v="None"/>
    <n v="13481044"/>
    <n v="475.9415357458076"/>
    <n v="0.07600071626500143"/>
    <m/>
    <d v="2010-11-10T00:00:00"/>
    <x v="842"/>
    <s v="Ramm Commercial"/>
    <x v="2"/>
    <s v="VA"/>
    <s v="Private"/>
    <s v="CBRE; Jones"/>
    <m/>
    <m/>
    <s v=" "/>
    <s v=" "/>
    <m/>
    <s v=" "/>
    <s v=" "/>
    <s v=" "/>
    <d v="2010-04-12T00:00:00"/>
    <n v="212"/>
  </r>
  <r>
    <s v="LTN44145"/>
    <s v="DOT"/>
    <s v="Federal"/>
    <s v="Fee Simple"/>
    <s v="1827 Jack Delozier Rd"/>
    <s v="Sevierville"/>
    <s v="TN"/>
    <n v="5.03"/>
    <n v="2008"/>
    <n v="23121"/>
    <n v="23121"/>
    <n v="1"/>
    <n v="582528"/>
    <n v="25.1947580121967"/>
    <n v="407528"/>
    <n v="17.62588123351066"/>
    <d v="2008-07-01T00:00:00"/>
    <d v="2018-06-30T00:00:00"/>
    <d v="2018-06-30T00:00:00"/>
    <n v="7.641095890410959"/>
    <n v="7.641095890410959"/>
    <s v="Modified Gross"/>
    <s v="None"/>
    <s v="None"/>
    <n v="5168185"/>
    <n v="223.5277453397345"/>
    <n v="0.07885321442634116"/>
    <m/>
    <d v="2010-11-10T00:00:00"/>
    <x v="842"/>
    <s v="Ramm Commercial"/>
    <x v="2"/>
    <s v="VA"/>
    <s v="Private"/>
    <s v="CBRE; Jones"/>
    <m/>
    <m/>
    <s v=" "/>
    <s v=" "/>
    <m/>
    <s v=" "/>
    <s v=" "/>
    <s v=" "/>
    <m/>
    <s v=" "/>
  </r>
  <r>
    <s v="LCO00717"/>
    <s v="ICE"/>
    <s v="Federal"/>
    <s v="Fee Simple"/>
    <s v="799 Tech Center Dr"/>
    <s v="Durango"/>
    <s v="CO"/>
    <n v="3.6"/>
    <n v="2002"/>
    <n v="7132"/>
    <n v="13166"/>
    <n v="0.5416983138386754"/>
    <n v="161311.9"/>
    <n v="22.61804542905216"/>
    <m/>
    <s v=" "/>
    <d v="2011-06-22T00:00:00"/>
    <d v="2021-06-10T00:00:00"/>
    <d v="2021-06-10T00:00:00"/>
    <n v="10.61369863013699"/>
    <n v="10.61369863013699"/>
    <s v="Modified Gross"/>
    <s v="None"/>
    <s v="None"/>
    <m/>
    <s v=" "/>
    <s v=" "/>
    <m/>
    <d v="2010-11-01T00:00:00"/>
    <x v="1785"/>
    <m/>
    <x v="1301"/>
    <s v="OH"/>
    <s v="Private"/>
    <m/>
    <m/>
    <m/>
    <s v=" "/>
    <s v=" "/>
    <m/>
    <s v=" "/>
    <s v=" "/>
    <s v=" "/>
    <m/>
    <s v=" "/>
  </r>
  <r>
    <s v="LNC45113"/>
    <s v="USCIS"/>
    <s v="Federal"/>
    <s v="Fee Simple"/>
    <s v="301 Roycroft Dr"/>
    <s v="Durham"/>
    <s v="NC"/>
    <n v="5.83"/>
    <n v="2007"/>
    <n v="23530"/>
    <n v="23530"/>
    <n v="1"/>
    <n v="966093"/>
    <n v="41.0579260518487"/>
    <n v="716796.1"/>
    <n v="30.46307267318317"/>
    <d v="2008-03-11T00:00:00"/>
    <d v="2018-03-10T00:00:00"/>
    <d v="2018-03-10T00:00:00"/>
    <n v="7.358904109589041"/>
    <n v="7.358904109589041"/>
    <s v="Modified Gross"/>
    <s v="None"/>
    <s v="None"/>
    <n v="8315500"/>
    <n v="353.3999150021249"/>
    <n v="0.0862"/>
    <m/>
    <d v="2010-11-01T00:00:00"/>
    <x v="842"/>
    <s v="Ramm Commercial"/>
    <x v="2"/>
    <s v="VA"/>
    <s v="Private"/>
    <s v="CBRE; Jones"/>
    <m/>
    <m/>
    <s v=" "/>
    <s v=" "/>
    <m/>
    <s v=" "/>
    <s v=" "/>
    <s v=" "/>
    <m/>
    <s v=" "/>
  </r>
  <r>
    <m/>
    <s v="USPS"/>
    <s v="Federal"/>
    <s v="Fee Simple"/>
    <s v="4832 E Highway 27"/>
    <s v="Iron Station"/>
    <s v="NC"/>
    <n v="0.87"/>
    <n v="1975"/>
    <n v="2142"/>
    <n v="2142"/>
    <n v="1"/>
    <m/>
    <s v=" "/>
    <m/>
    <s v=" "/>
    <m/>
    <m/>
    <m/>
    <s v=" "/>
    <s v=" "/>
    <m/>
    <m/>
    <m/>
    <m/>
    <s v=" "/>
    <s v=" "/>
    <m/>
    <d v="2010-11-01T00:00:00"/>
    <x v="8"/>
    <m/>
    <x v="1302"/>
    <s v="NC"/>
    <s v="Private"/>
    <m/>
    <m/>
    <m/>
    <s v=" "/>
    <s v=" "/>
    <m/>
    <s v=" "/>
    <s v=" "/>
    <s v=" "/>
    <m/>
    <s v=" "/>
  </r>
  <r>
    <m/>
    <m/>
    <s v="Federal"/>
    <s v="Fee Simple"/>
    <s v="Portfolio of 21"/>
    <m/>
    <m/>
    <m/>
    <m/>
    <n v="2187375"/>
    <n v="2187375"/>
    <n v="1"/>
    <m/>
    <s v=" "/>
    <n v="36099000"/>
    <n v="16.50334304817418"/>
    <m/>
    <m/>
    <m/>
    <s v=" "/>
    <s v=" "/>
    <m/>
    <m/>
    <m/>
    <n v="401100000"/>
    <n v="183.3704783130464"/>
    <n v="0.09"/>
    <m/>
    <d v="2010-11-01T00:00:00"/>
    <x v="1786"/>
    <s v="Direct"/>
    <x v="605"/>
    <s v="CA"/>
    <s v="Private"/>
    <m/>
    <m/>
    <m/>
    <s v=" "/>
    <s v=" "/>
    <m/>
    <s v=" "/>
    <s v=" "/>
    <s v=" "/>
    <m/>
    <s v=" "/>
  </r>
  <r>
    <m/>
    <s v="Treas."/>
    <s v="Federal"/>
    <s v="Fee Simple"/>
    <s v="1750 H St NW"/>
    <s v="Washington"/>
    <s v="DC"/>
    <n v="0.34"/>
    <n v="2002"/>
    <n v="69500"/>
    <n v="131440"/>
    <n v="0.5287583688374924"/>
    <m/>
    <s v=" "/>
    <n v="4173000"/>
    <n v="31.74832623250152"/>
    <m/>
    <d v="2017-12-31T00:00:00"/>
    <d v="2017-12-31T00:00:00"/>
    <n v="7.18082191780822"/>
    <n v="7.18082191780822"/>
    <s v="Modified Gross"/>
    <s v="2.7% annually"/>
    <s v="None"/>
    <n v="65000000"/>
    <n v="494.5222154595253"/>
    <n v="0.06419999999999999"/>
    <m/>
    <d v="2010-10-28T00:00:00"/>
    <x v="1787"/>
    <s v="JM Zell"/>
    <x v="1303"/>
    <s v="MD"/>
    <s v="REIT"/>
    <m/>
    <m/>
    <m/>
    <s v=" "/>
    <s v=" "/>
    <m/>
    <s v=" "/>
    <s v=" "/>
    <s v=" "/>
    <m/>
    <s v=" "/>
  </r>
  <r>
    <s v="LOH17872"/>
    <s v="SSA"/>
    <s v="Federal"/>
    <s v="Fee Simple"/>
    <s v="220 S Hamilton Rd"/>
    <s v="Columbus"/>
    <s v="OH"/>
    <n v="1.81"/>
    <n v="2009"/>
    <n v="13656"/>
    <n v="13656"/>
    <n v="1"/>
    <n v="344512.82"/>
    <n v="25.22794522554189"/>
    <n v="232500"/>
    <n v="17.02548330404218"/>
    <d v="2009-10-19T00:00:00"/>
    <d v="2022-10-18T00:00:00"/>
    <d v="2019-10-18T00:00:00"/>
    <n v="11.98630136986301"/>
    <n v="8.983561643835616"/>
    <s v="Modified Gross"/>
    <s v="None"/>
    <s v="None"/>
    <n v="2898300"/>
    <n v="212.2363796133568"/>
    <n v="0.08021943898147189"/>
    <m/>
    <d v="2010-10-26T00:00:00"/>
    <x v="111"/>
    <s v="WD Schorsch"/>
    <x v="1042"/>
    <s v="IL"/>
    <s v="Private"/>
    <m/>
    <m/>
    <m/>
    <s v=" "/>
    <s v=" "/>
    <m/>
    <s v=" "/>
    <s v=" "/>
    <s v=" "/>
    <m/>
    <s v=" "/>
  </r>
  <r>
    <m/>
    <s v="Multi"/>
    <s v="Federal"/>
    <s v="Fee Simple"/>
    <s v="5740 University Heights Blvd"/>
    <s v="San Antonio"/>
    <s v="TX"/>
    <n v="20"/>
    <n v="2006"/>
    <n v="148584"/>
    <n v="148584"/>
    <n v="1"/>
    <n v="5187070"/>
    <n v="34.91001722931136"/>
    <n v="3352000"/>
    <n v="22.55962956980563"/>
    <d v="2006-10-01T00:00:00"/>
    <d v="2021-09-30T00:00:00"/>
    <d v="2021-09-30T00:00:00"/>
    <n v="10.95890410958904"/>
    <n v="10.95890410958904"/>
    <s v="Modified Gross"/>
    <s v="None"/>
    <s v="None"/>
    <n v="41900000"/>
    <n v="281.9953696225704"/>
    <n v="0.08"/>
    <m/>
    <d v="2010-10-18T00:00:00"/>
    <x v="1759"/>
    <s v="Direct"/>
    <x v="1304"/>
    <s v="DC"/>
    <s v="REIT"/>
    <m/>
    <m/>
    <m/>
    <s v=" "/>
    <s v=" "/>
    <m/>
    <s v=" "/>
    <s v=" "/>
    <s v=" "/>
    <m/>
    <s v=" "/>
  </r>
  <r>
    <s v="LTX16367"/>
    <s v="SSA"/>
    <s v="Federal"/>
    <s v="Fee Simple"/>
    <s v="600 Sgt. Ed Holcomb Boulevard"/>
    <s v="Conroe"/>
    <s v="TX"/>
    <n v="3"/>
    <n v="2009"/>
    <n v="21525"/>
    <n v="21525"/>
    <n v="1"/>
    <n v="713067.6899999999"/>
    <n v="33.127418815331"/>
    <n v="428510"/>
    <n v="19.9075493612079"/>
    <d v="2009-06-30T00:00:00"/>
    <d v="2024-06-29T00:00:00"/>
    <d v="2019-06-30T00:00:00"/>
    <n v="13.71506849315069"/>
    <n v="8.712328767123287"/>
    <s v="Modified Gross"/>
    <s v="None"/>
    <s v="None"/>
    <n v="5675000"/>
    <n v="263.6469221835076"/>
    <n v="0.07550837004405286"/>
    <m/>
    <d v="2010-10-15T00:00:00"/>
    <x v="1644"/>
    <s v="SJC; Steele"/>
    <x v="1305"/>
    <s v="TX"/>
    <s v="Private"/>
    <m/>
    <m/>
    <n v="6057000"/>
    <n v="0.07074624401518904"/>
    <n v="0.9369324748225194"/>
    <n v="6057000"/>
    <n v="0.07074624401518904"/>
    <n v="0.00476212602886382"/>
    <s v="No"/>
    <m/>
    <s v=" "/>
  </r>
  <r>
    <m/>
    <s v="VA"/>
    <s v="Federal"/>
    <s v="Fee Simple"/>
    <s v="8900 Grand Oak Cir"/>
    <s v="Tampa"/>
    <s v="FL"/>
    <n v="6.5"/>
    <n v="1994"/>
    <n v="67916"/>
    <n v="67916"/>
    <n v="1"/>
    <m/>
    <s v=" "/>
    <n v="1215000"/>
    <n v="17.88974615701749"/>
    <m/>
    <d v="2018-03-31T00:00:00"/>
    <d v="2013-03-31T00:00:00"/>
    <n v="7.463013698630137"/>
    <n v="2.46027397260274"/>
    <s v="Modified Gross"/>
    <s v="None"/>
    <s v="None"/>
    <n v="13500000"/>
    <n v="198.7749573001944"/>
    <n v="0.09"/>
    <m/>
    <d v="2010-10-15T00:00:00"/>
    <x v="1788"/>
    <m/>
    <x v="790"/>
    <s v="MA"/>
    <s v="REIT"/>
    <m/>
    <m/>
    <m/>
    <s v=" "/>
    <s v=" "/>
    <m/>
    <s v=" "/>
    <s v=" "/>
    <s v=" "/>
    <m/>
    <s v=" "/>
  </r>
  <r>
    <m/>
    <s v="VA"/>
    <s v="Federal"/>
    <s v="Fee Simple"/>
    <s v="2201 SE Loop 820"/>
    <s v="Fort Worth"/>
    <s v="TX"/>
    <n v="24.35"/>
    <n v="2010"/>
    <n v="224000"/>
    <n v="224000"/>
    <n v="1"/>
    <n v="5979000"/>
    <n v="26.69196428571428"/>
    <n v="5045950"/>
    <n v="22.5265625"/>
    <d v="2010-12-01T00:00:00"/>
    <d v="2030-11-30T00:00:00"/>
    <d v="2030-11-30T00:00:00"/>
    <n v="20.14246575342466"/>
    <n v="20.14246575342466"/>
    <s v="Modified Gross"/>
    <s v="9% every 5"/>
    <s v="None"/>
    <n v="77803750"/>
    <n v="347.3381696428572"/>
    <n v="0.06485484311488843"/>
    <m/>
    <d v="2010-10-14T00:00:00"/>
    <x v="776"/>
    <s v="Direct"/>
    <x v="1306"/>
    <s v="MO"/>
    <s v="Cross-Border"/>
    <m/>
    <m/>
    <m/>
    <s v=" "/>
    <s v=" "/>
    <m/>
    <s v=" "/>
    <s v=" "/>
    <s v=" "/>
    <m/>
    <s v=" "/>
  </r>
  <r>
    <m/>
    <s v="VA/RBO"/>
    <s v="Federal"/>
    <s v="Fee Simple"/>
    <s v="3333 N Central Ave"/>
    <s v="Phoenix"/>
    <s v="AZ"/>
    <n v="4.91"/>
    <n v="2003"/>
    <n v="95558"/>
    <n v="95558"/>
    <n v="1"/>
    <m/>
    <s v=" "/>
    <n v="1684900"/>
    <n v="17.63222336172796"/>
    <d v="2003-09-01T00:00:00"/>
    <d v="2023-08-31T00:00:00"/>
    <d v="2023-08-31T00:00:00"/>
    <n v="12.90684931506849"/>
    <n v="12.90684931506849"/>
    <s v="Modified Gross"/>
    <s v="None"/>
    <s v="None"/>
    <n v="20300000"/>
    <n v="212.4364260449151"/>
    <n v="0.083"/>
    <m/>
    <d v="2010-10-07T00:00:00"/>
    <x v="663"/>
    <s v="C&amp;W; Travis Trautvetter"/>
    <x v="1307"/>
    <s v="OR"/>
    <s v="Private"/>
    <m/>
    <s v="Hamstra"/>
    <m/>
    <s v=" "/>
    <s v=" "/>
    <m/>
    <s v=" "/>
    <s v=" "/>
    <s v=" "/>
    <d v="2010-03-01T00:00:00"/>
    <n v="220"/>
  </r>
  <r>
    <s v="LAR15080"/>
    <s v="SSA"/>
    <s v="Federal"/>
    <s v="Fee Simple"/>
    <s v="3608 E Kiehl Ave"/>
    <s v="Sherwood"/>
    <s v="AR"/>
    <n v="1.34"/>
    <n v="2002"/>
    <n v="10483"/>
    <n v="10483"/>
    <n v="1"/>
    <n v="204288.41"/>
    <n v="19.48759038443194"/>
    <m/>
    <s v=" "/>
    <d v="2003-02-18T00:00:00"/>
    <d v="2018-02-17T00:00:00"/>
    <d v="2013-02-18T00:00:00"/>
    <n v="7.372602739726028"/>
    <n v="2.372602739726027"/>
    <s v="Modified Gross"/>
    <s v="None"/>
    <s v="None"/>
    <m/>
    <s v=" "/>
    <s v=" "/>
    <m/>
    <d v="2010-10-06T00:00:00"/>
    <x v="1789"/>
    <m/>
    <x v="1308"/>
    <s v="AR"/>
    <s v="Private"/>
    <s v="BW; Wells"/>
    <m/>
    <m/>
    <s v=" "/>
    <s v=" "/>
    <m/>
    <s v=" "/>
    <s v=" "/>
    <s v=" "/>
    <m/>
    <s v=" "/>
  </r>
  <r>
    <s v="LTN38149"/>
    <s v="SSA"/>
    <s v="Federal"/>
    <s v="Fee Simple"/>
    <s v="2401 S Wilcox Dr"/>
    <s v="Kingsport"/>
    <s v="TN"/>
    <n v="2.43"/>
    <n v="1999"/>
    <n v="22848"/>
    <n v="22848"/>
    <n v="1"/>
    <n v="576912"/>
    <n v="25.25"/>
    <n v="203979"/>
    <n v="8.927652310924369"/>
    <d v="1999-11-01T00:00:00"/>
    <d v="2014-10-31T00:00:00"/>
    <d v="2009-10-31T00:00:00"/>
    <n v="4.084931506849315"/>
    <n v="-0.9178082191780822"/>
    <s v="Modified Gross"/>
    <s v="None"/>
    <s v="None"/>
    <n v="2360000"/>
    <n v="103.2913165266106"/>
    <n v="0.08643177966101695"/>
    <m/>
    <d v="2010-10-01T00:00:00"/>
    <x v="921"/>
    <m/>
    <x v="1309"/>
    <s v="FL"/>
    <s v="Private"/>
    <m/>
    <s v="Sterling Development"/>
    <m/>
    <s v=" "/>
    <s v=" "/>
    <m/>
    <s v=" "/>
    <s v=" "/>
    <s v=" "/>
    <m/>
    <s v=" "/>
  </r>
  <r>
    <s v="LTX14957"/>
    <s v="SSA"/>
    <s v="Federal"/>
    <s v="Fee Simple"/>
    <s v="2006 E FM 700"/>
    <s v="Big Spring"/>
    <s v="TX"/>
    <n v="2.48"/>
    <n v="2001"/>
    <n v="5100"/>
    <n v="5100"/>
    <n v="1"/>
    <n v="106924"/>
    <n v="20.96549019607843"/>
    <n v="61529"/>
    <n v="12.06450980392157"/>
    <d v="2002-05-01T00:00:00"/>
    <d v="2012-04-30T00:00:00"/>
    <d v="2007-04-30T00:00:00"/>
    <n v="1.602739726027397"/>
    <n v="-3.402739726027397"/>
    <s v="Modified Gross"/>
    <s v="None"/>
    <s v="None"/>
    <m/>
    <s v=" "/>
    <s v=" "/>
    <m/>
    <d v="2010-09-23T00:00:00"/>
    <x v="8"/>
    <s v="SVN; Hallmark"/>
    <x v="1310"/>
    <s v="TX"/>
    <s v="Private"/>
    <m/>
    <m/>
    <n v="650000"/>
    <n v="0.09465999999999999"/>
    <s v=" "/>
    <n v="650000"/>
    <n v="0.09465999999999999"/>
    <s v=" "/>
    <s v="No"/>
    <m/>
    <s v=" "/>
  </r>
  <r>
    <s v="LOK13584"/>
    <s v="IRS"/>
    <s v="Federal"/>
    <s v="Fee Simple"/>
    <s v="55 N Robinson Ave"/>
    <s v="Oklahoma City"/>
    <s v="OK"/>
    <n v="1.05"/>
    <n v="1992"/>
    <n v="148704"/>
    <n v="185881"/>
    <n v="0.7999956961712064"/>
    <n v="1443689.19"/>
    <n v="9.708475831181406"/>
    <n v="787000"/>
    <n v="4.233891575793115"/>
    <d v="1992-10-05T00:00:00"/>
    <d v="2014-02-28T00:00:00"/>
    <d v="2002-11-01T00:00:00"/>
    <n v="3.452054794520548"/>
    <n v="-7.882191780821918"/>
    <s v="Modified Gross"/>
    <s v="None"/>
    <s v="None"/>
    <n v="8302000"/>
    <n v="44.66298330652407"/>
    <n v="0.09479643459407372"/>
    <m/>
    <d v="2010-09-17T00:00:00"/>
    <x v="1790"/>
    <m/>
    <x v="790"/>
    <s v="MA"/>
    <s v="REIT"/>
    <m/>
    <m/>
    <m/>
    <s v=" "/>
    <s v=" "/>
    <m/>
    <s v=" "/>
    <s v=" "/>
    <s v=" "/>
    <m/>
    <s v=" "/>
  </r>
  <r>
    <m/>
    <m/>
    <s v="Federal"/>
    <s v="Fee Simple"/>
    <s v="Portfolio of Five"/>
    <m/>
    <m/>
    <n v="20.53"/>
    <m/>
    <m/>
    <n v="847791"/>
    <s v=" "/>
    <m/>
    <s v=" "/>
    <m/>
    <s v=" "/>
    <m/>
    <m/>
    <m/>
    <s v=" "/>
    <s v=" "/>
    <m/>
    <m/>
    <m/>
    <n v="67000000"/>
    <n v="79.02891160675213"/>
    <s v=" "/>
    <m/>
    <d v="2010-09-17T00:00:00"/>
    <x v="1791"/>
    <s v="Direct"/>
    <x v="790"/>
    <s v="MA"/>
    <s v="REIT"/>
    <m/>
    <m/>
    <m/>
    <s v=" "/>
    <s v=" "/>
    <m/>
    <s v=" "/>
    <s v=" "/>
    <s v=" "/>
    <m/>
    <s v=" "/>
  </r>
  <r>
    <s v="LCA01703"/>
    <s v="SSA"/>
    <s v="Federal"/>
    <s v="Fee Simple"/>
    <s v="11900 Gilbert St"/>
    <s v="Garden Grove"/>
    <s v="CA"/>
    <n v="1.02"/>
    <n v="2007"/>
    <n v="11938"/>
    <n v="11938"/>
    <n v="1"/>
    <n v="604779"/>
    <n v="50.65999329871"/>
    <n v="467169"/>
    <n v="39.13293684034176"/>
    <d v="2007-06-29T00:00:00"/>
    <d v="2022-06-28T00:00:00"/>
    <d v="2022-06-28T00:00:00"/>
    <n v="11.83561643835616"/>
    <n v="11.83561643835616"/>
    <s v="Modified Gross"/>
    <s v="None"/>
    <s v="None"/>
    <n v="5995000"/>
    <n v="502.1779192494555"/>
    <n v="0.07792643869891576"/>
    <m/>
    <d v="2010-08-30T00:00:00"/>
    <x v="1792"/>
    <s v="C&amp;W; Dennis Sandoval"/>
    <x v="697"/>
    <s v="CA"/>
    <s v="Private"/>
    <m/>
    <m/>
    <n v="8500000"/>
    <n v="0.05496105882352941"/>
    <n v="0.7052941176470588"/>
    <n v="8500000"/>
    <n v="0.05496105882352941"/>
    <n v="0.02296537987538635"/>
    <s v="No"/>
    <d v="2009-08-23T00:00:00"/>
    <n v="372"/>
  </r>
  <r>
    <m/>
    <s v="SSA"/>
    <s v="Federal"/>
    <s v="Fee Simple"/>
    <s v="2122 Lincolnway Ct"/>
    <s v="Fort Wayne"/>
    <s v="IN"/>
    <n v="2.77"/>
    <n v="2006"/>
    <n v="16318"/>
    <n v="16318"/>
    <n v="1"/>
    <m/>
    <s v=" "/>
    <m/>
    <s v=" "/>
    <m/>
    <d v="2020-03-31T00:00:00"/>
    <d v="2015-03-31T00:00:00"/>
    <n v="9.605479452054794"/>
    <n v="4.6"/>
    <s v="Modified Gross"/>
    <s v="None"/>
    <s v="None"/>
    <m/>
    <s v=" "/>
    <s v=" "/>
    <m/>
    <d v="2010-08-25T00:00:00"/>
    <x v="111"/>
    <m/>
    <x v="1042"/>
    <s v="IL"/>
    <s v="Private"/>
    <m/>
    <m/>
    <m/>
    <s v=" "/>
    <s v=" "/>
    <m/>
    <s v=" "/>
    <s v=" "/>
    <s v=" "/>
    <m/>
    <s v=" "/>
  </r>
  <r>
    <m/>
    <s v="VA"/>
    <s v="Federal"/>
    <s v="Fee Simple"/>
    <s v="251 Causeway St"/>
    <s v="Boston"/>
    <s v="MA"/>
    <n v="0.4"/>
    <n v="1987"/>
    <n v="141453"/>
    <n v="141453"/>
    <n v="1"/>
    <m/>
    <s v=" "/>
    <m/>
    <s v=" "/>
    <m/>
    <m/>
    <m/>
    <s v=" "/>
    <s v=" "/>
    <m/>
    <m/>
    <m/>
    <n v="23812866"/>
    <n v="168.3447222752434"/>
    <s v=" "/>
    <m/>
    <d v="2010-08-17T00:00:00"/>
    <x v="1793"/>
    <m/>
    <x v="790"/>
    <s v="MA"/>
    <s v="REIT"/>
    <m/>
    <m/>
    <m/>
    <s v=" "/>
    <s v=" "/>
    <m/>
    <s v=" "/>
    <s v=" "/>
    <s v=" "/>
    <m/>
    <s v=" "/>
  </r>
  <r>
    <m/>
    <s v="DNSB &amp; VA"/>
    <s v="Federal"/>
    <s v="Fee Simple"/>
    <s v="625 Indiana Ave NW"/>
    <s v="Washington"/>
    <s v="DC"/>
    <n v="0.34"/>
    <n v="1989"/>
    <n v="137845"/>
    <n v="175336"/>
    <n v="0.7861762558744354"/>
    <m/>
    <s v=" "/>
    <n v="3800000"/>
    <n v="21.67267417986038"/>
    <m/>
    <m/>
    <m/>
    <s v=" "/>
    <s v=" "/>
    <m/>
    <m/>
    <m/>
    <n v="51503529"/>
    <n v="293.7418955605238"/>
    <n v="0.07378135195357195"/>
    <m/>
    <d v="2010-08-17T00:00:00"/>
    <x v="1794"/>
    <s v="Direct"/>
    <x v="790"/>
    <s v="MA"/>
    <s v="REIT"/>
    <m/>
    <m/>
    <m/>
    <s v=" "/>
    <s v=" "/>
    <m/>
    <s v=" "/>
    <s v=" "/>
    <s v=" "/>
    <m/>
    <s v=" "/>
  </r>
  <r>
    <s v="LCA01544"/>
    <s v="SSA"/>
    <s v="Federal"/>
    <s v="Fee Simple"/>
    <s v="601 Allerton St"/>
    <s v="Redwood City"/>
    <s v="CA"/>
    <n v="1.11"/>
    <n v="1983"/>
    <n v="9824"/>
    <n v="16490"/>
    <n v="0.5957550030321407"/>
    <n v="341285.34"/>
    <n v="34.73995724755701"/>
    <n v="432855"/>
    <n v="26.2495451788963"/>
    <d v="2006-01-12T00:00:00"/>
    <d v="2021-01-11T00:00:00"/>
    <d v="2016-01-12T00:00:00"/>
    <n v="10.42465753424658"/>
    <n v="5.421917808219178"/>
    <s v="Modified Gross"/>
    <s v="None"/>
    <s v="None"/>
    <n v="4950000"/>
    <n v="300.1819284414797"/>
    <n v="0.08744545454545455"/>
    <m/>
    <d v="2010-08-12T00:00:00"/>
    <x v="1795"/>
    <s v="M&amp;M; Bill Allen"/>
    <x v="59"/>
    <s v="CA"/>
    <s v="Private"/>
    <m/>
    <m/>
    <n v="5250000"/>
    <n v="0.08244857142857143"/>
    <n v="0.9428571428571428"/>
    <n v="5250000"/>
    <n v="0.08244857142857143"/>
    <n v="0.004996883116883122"/>
    <s v="No"/>
    <d v="2009-10-26T00:00:00"/>
    <n v="290"/>
  </r>
  <r>
    <m/>
    <s v="MEPS"/>
    <s v="Federal"/>
    <s v="Fee Simple"/>
    <s v="6125 Tyvola Centre Dr"/>
    <s v="Charlotte"/>
    <s v="NC"/>
    <n v="2"/>
    <n v="2002"/>
    <n v="22882"/>
    <n v="22882"/>
    <n v="1"/>
    <m/>
    <s v=" "/>
    <m/>
    <s v=" "/>
    <d v="2002-12-02T00:00:00"/>
    <d v="2012-12-02T00:00:00"/>
    <d v="2012-12-02T00:00:00"/>
    <n v="2.326027397260274"/>
    <n v="2.326027397260274"/>
    <s v="Modified Gross"/>
    <s v="None"/>
    <s v="None"/>
    <n v="2810000"/>
    <n v="122.8039507036098"/>
    <s v=" "/>
    <m/>
    <d v="2010-08-06T00:00:00"/>
    <x v="1646"/>
    <m/>
    <x v="1311"/>
    <s v="NC"/>
    <s v="Private"/>
    <m/>
    <m/>
    <m/>
    <s v=" "/>
    <s v=" "/>
    <m/>
    <s v=" "/>
    <s v=" "/>
    <s v=" "/>
    <m/>
    <s v=" "/>
  </r>
  <r>
    <m/>
    <s v="USPS"/>
    <s v="Federal"/>
    <s v="Fee Simple"/>
    <s v="16 Frost Rd"/>
    <s v="Sandia Park"/>
    <s v="NM"/>
    <n v="1"/>
    <n v="1998"/>
    <n v="4169"/>
    <n v="4169"/>
    <n v="1"/>
    <n v="81503"/>
    <n v="19.54977212760854"/>
    <n v="79445"/>
    <n v="19.05612856800192"/>
    <d v="1998-01-24T00:00:00"/>
    <d v="2018-01-23T00:00:00"/>
    <d v="2018-01-31T00:00:00"/>
    <n v="7.484931506849315"/>
    <n v="7.506849315068493"/>
    <s v="Rider"/>
    <s v="Options"/>
    <s v="2, 5 year"/>
    <n v="1150000"/>
    <n v="275.8455265051571"/>
    <n v="0.06908260869565218"/>
    <m/>
    <d v="2010-08-01T00:00:00"/>
    <x v="992"/>
    <s v="Krevsky"/>
    <x v="1312"/>
    <s v="NM"/>
    <s v="Private"/>
    <m/>
    <m/>
    <n v="1170000"/>
    <n v="0.06790170940170941"/>
    <n v="0.9829059829059829"/>
    <n v="1170000"/>
    <n v="0.06790170940170941"/>
    <n v="0.001180899293942772"/>
    <s v="No"/>
    <d v="2010-05-23T00:00:00"/>
    <n v="70"/>
  </r>
  <r>
    <s v="LOH17765"/>
    <s v="SSA"/>
    <s v="Federal"/>
    <s v="Fee Simple"/>
    <s v="2166 Romig Rd"/>
    <s v="Akron"/>
    <s v="OH"/>
    <n v="1.67"/>
    <n v="2008"/>
    <n v="7398"/>
    <n v="7398"/>
    <n v="1"/>
    <n v="269880"/>
    <n v="36.4801297648013"/>
    <n v="201866"/>
    <n v="27.28656393619897"/>
    <d v="2008-11-20T00:00:00"/>
    <d v="2021-11-19T00:00:00"/>
    <d v="2018-11-19T00:00:00"/>
    <n v="11.31506849315068"/>
    <n v="8.312328767123288"/>
    <s v="Modified Gross"/>
    <s v="None"/>
    <s v="None"/>
    <n v="1635000"/>
    <n v="221.0056772100568"/>
    <n v="0.1234654434250765"/>
    <m/>
    <d v="2010-07-30T00:00:00"/>
    <x v="505"/>
    <s v="Lutter; Mark Lutter"/>
    <x v="1313"/>
    <s v="CA"/>
    <s v="Private"/>
    <m/>
    <m/>
    <m/>
    <s v=" "/>
    <s v=" "/>
    <m/>
    <s v=" "/>
    <s v=" "/>
    <s v=" "/>
    <m/>
    <s v=" "/>
  </r>
  <r>
    <s v="LAL44147"/>
    <s v="OHO"/>
    <s v="Federal"/>
    <s v="Fee Simple"/>
    <s v="131 Clayton St"/>
    <s v="Montgomery"/>
    <s v="AL"/>
    <n v="2.6"/>
    <n v="2006"/>
    <n v="57815"/>
    <n v="57815"/>
    <n v="1"/>
    <n v="1478833"/>
    <n v="25.57870794776442"/>
    <n v="970200.0000000001"/>
    <n v="16.78111216812246"/>
    <d v="2007-07-06T00:00:00"/>
    <d v="2017-07-05T00:00:00"/>
    <d v="2014-07-05T00:00:00"/>
    <n v="6.956164383561644"/>
    <n v="3.953424657534247"/>
    <s v="Modified Gross"/>
    <s v="None"/>
    <s v="None"/>
    <n v="11260000"/>
    <n v="194.7591455504627"/>
    <n v="0.08616341030195383"/>
    <m/>
    <d v="2010-07-23T00:00:00"/>
    <x v="1646"/>
    <s v="Deed in Lieu"/>
    <x v="1314"/>
    <s v="NC"/>
    <s v="Private"/>
    <m/>
    <m/>
    <m/>
    <s v=" "/>
    <s v=" "/>
    <m/>
    <s v=" "/>
    <s v=" "/>
    <s v=" "/>
    <m/>
    <s v=" "/>
  </r>
  <r>
    <s v="LCA01977"/>
    <s v="MEPS"/>
    <s v="Federal"/>
    <s v="Fee Simple"/>
    <s v="4181 Ruffin Rd"/>
    <s v="San Diego"/>
    <s v="CA"/>
    <m/>
    <n v="1981"/>
    <n v="27634"/>
    <n v="141634"/>
    <n v="0.1951085191408843"/>
    <n v="1126380.52"/>
    <n v="40.76067597886662"/>
    <m/>
    <s v=" "/>
    <d v="2011-08-10T00:00:00"/>
    <d v="2021-08-09T00:00:00"/>
    <d v="2018-08-10T00:00:00"/>
    <n v="11.06575342465753"/>
    <n v="8.065753424657535"/>
    <s v="Modified Gross"/>
    <s v="None"/>
    <s v="None"/>
    <n v="16481850"/>
    <n v="116.3693039806826"/>
    <s v=" "/>
    <m/>
    <d v="2010-07-19T00:00:00"/>
    <x v="1796"/>
    <s v="Direct"/>
    <x v="790"/>
    <s v="MA"/>
    <s v="REIT"/>
    <m/>
    <m/>
    <m/>
    <s v=" "/>
    <s v=" "/>
    <m/>
    <s v=" "/>
    <s v=" "/>
    <s v=" "/>
    <m/>
    <s v=" "/>
  </r>
  <r>
    <m/>
    <s v="Multi"/>
    <s v="Federal"/>
    <s v="Fee Simple"/>
    <m/>
    <s v="Portfolio of 15"/>
    <m/>
    <m/>
    <m/>
    <m/>
    <m/>
    <s v=" "/>
    <m/>
    <s v=" "/>
    <m/>
    <s v=" "/>
    <m/>
    <m/>
    <m/>
    <s v=" "/>
    <s v=" "/>
    <m/>
    <m/>
    <m/>
    <n v="231000000"/>
    <s v=" "/>
    <s v=" "/>
    <m/>
    <d v="2010-07-16T00:00:00"/>
    <x v="1794"/>
    <s v="Direct"/>
    <x v="790"/>
    <s v="MA"/>
    <s v="REIT"/>
    <m/>
    <m/>
    <m/>
    <s v=" "/>
    <s v=" "/>
    <m/>
    <s v=" "/>
    <s v=" "/>
    <s v=" "/>
    <m/>
    <s v=" "/>
  </r>
  <r>
    <m/>
    <s v="BLM"/>
    <s v="Federal"/>
    <s v="Fee Simple"/>
    <s v="301 Dinosaur Trl"/>
    <s v="Santa Fe"/>
    <s v="NM"/>
    <n v="3.35"/>
    <n v="2009"/>
    <n v="45320"/>
    <n v="45320"/>
    <n v="1"/>
    <n v="1692702"/>
    <n v="37.35"/>
    <n v="1309275"/>
    <n v="28.88956310679612"/>
    <d v="2009-10-15T00:00:00"/>
    <d v="2029-10-31T00:00:00"/>
    <d v="2024-10-31T00:00:00"/>
    <n v="19.30958904109589"/>
    <n v="14.30684931506849"/>
    <s v="Modified Gross"/>
    <s v="None"/>
    <s v="None"/>
    <n v="15375000"/>
    <n v="339.2541924095322"/>
    <n v="0.08515609756097561"/>
    <m/>
    <d v="2010-07-15T00:00:00"/>
    <x v="1797"/>
    <m/>
    <x v="1315"/>
    <s v="CA"/>
    <s v="Private"/>
    <m/>
    <m/>
    <m/>
    <s v=" "/>
    <s v=" "/>
    <m/>
    <s v=" "/>
    <s v=" "/>
    <s v=" "/>
    <m/>
    <s v=" "/>
  </r>
  <r>
    <m/>
    <s v="BLM"/>
    <s v="Federal"/>
    <s v="Fee Simple"/>
    <s v="435 Montano Blvd NE"/>
    <s v="Albuquerque"/>
    <s v="NM"/>
    <n v="3.53"/>
    <n v="1986"/>
    <n v="30519"/>
    <n v="30519"/>
    <n v="1"/>
    <m/>
    <s v=" "/>
    <m/>
    <s v=" "/>
    <m/>
    <m/>
    <m/>
    <s v=" "/>
    <s v=" "/>
    <m/>
    <m/>
    <m/>
    <n v="2393853"/>
    <n v="78.43812051508895"/>
    <s v=" "/>
    <m/>
    <d v="2010-07-10T00:00:00"/>
    <x v="1790"/>
    <s v="Direct"/>
    <x v="790"/>
    <s v="MA"/>
    <s v="REIT"/>
    <m/>
    <m/>
    <m/>
    <s v=" "/>
    <s v=" "/>
    <m/>
    <s v=" "/>
    <s v=" "/>
    <s v=" "/>
    <m/>
    <s v=" "/>
  </r>
  <r>
    <m/>
    <s v="Multi"/>
    <s v="Federal, State, &amp; Municipal"/>
    <s v="Fee Simple"/>
    <s v="330 2nd Ave S"/>
    <s v="Minneapolis"/>
    <s v="MN"/>
    <n v="1"/>
    <n v="1980"/>
    <n v="65648"/>
    <n v="193594"/>
    <n v="0.3391014184323894"/>
    <m/>
    <s v=" "/>
    <m/>
    <s v=" "/>
    <m/>
    <m/>
    <m/>
    <s v=" "/>
    <s v=" "/>
    <m/>
    <m/>
    <m/>
    <n v="23230746"/>
    <n v="119.9972416500511"/>
    <s v=" "/>
    <m/>
    <d v="2010-07-10T00:00:00"/>
    <x v="1798"/>
    <s v="Direct"/>
    <x v="790"/>
    <s v="MA"/>
    <s v="REIT"/>
    <m/>
    <m/>
    <m/>
    <s v=" "/>
    <s v=" "/>
    <m/>
    <s v=" "/>
    <s v=" "/>
    <s v=" "/>
    <m/>
    <s v=" "/>
  </r>
  <r>
    <m/>
    <s v="USGS"/>
    <s v="Federal"/>
    <s v="Fee Simple"/>
    <s v="1505 Ferguson Ln"/>
    <s v="Austin"/>
    <s v="TX"/>
    <n v="5.88"/>
    <n v="2009"/>
    <n v="36047"/>
    <n v="36047"/>
    <n v="1"/>
    <m/>
    <s v=" "/>
    <n v="602250"/>
    <n v="16.70735428745804"/>
    <m/>
    <m/>
    <m/>
    <s v=" "/>
    <s v=" "/>
    <s v="Modified Gross"/>
    <s v="None"/>
    <s v="None"/>
    <n v="7300000"/>
    <n v="202.5133853025217"/>
    <n v="0.0825"/>
    <m/>
    <d v="2010-07-09T00:00:00"/>
    <x v="1799"/>
    <s v="M&amp;M; Trautvetter"/>
    <x v="1316"/>
    <s v="CA"/>
    <s v="Private"/>
    <m/>
    <m/>
    <m/>
    <s v=" "/>
    <s v=" "/>
    <m/>
    <s v=" "/>
    <s v=" "/>
    <s v=" "/>
    <m/>
    <s v=" "/>
  </r>
  <r>
    <m/>
    <s v="SSA"/>
    <s v="Federal"/>
    <s v="Fee Simple"/>
    <s v="4 E Linden St"/>
    <s v="Freeport"/>
    <s v="IL"/>
    <n v="0.83"/>
    <n v="2004"/>
    <n v="3550"/>
    <n v="3550"/>
    <n v="1"/>
    <m/>
    <s v=" "/>
    <m/>
    <s v=" "/>
    <m/>
    <d v="2016-12-31T00:00:00"/>
    <d v="2016-12-31T00:00:00"/>
    <n v="6.506849315068493"/>
    <n v="6.506849315068493"/>
    <m/>
    <m/>
    <m/>
    <n v="925000"/>
    <n v="260.5633802816901"/>
    <s v=" "/>
    <m/>
    <d v="2010-07-01T00:00:00"/>
    <x v="1539"/>
    <m/>
    <x v="1317"/>
    <s v="IL"/>
    <s v="Private"/>
    <m/>
    <m/>
    <m/>
    <s v=" "/>
    <s v=" "/>
    <m/>
    <s v=" "/>
    <s v=" "/>
    <s v=" "/>
    <m/>
    <s v=" "/>
  </r>
  <r>
    <s v="LIN17773"/>
    <s v="SSA"/>
    <s v="Federal"/>
    <s v="Fee Simple"/>
    <s v="3810 Calumet Ave"/>
    <s v="Valparaiso"/>
    <s v="IN"/>
    <n v="0.71"/>
    <n v="2008"/>
    <n v="8100"/>
    <n v="8100"/>
    <n v="1"/>
    <n v="318105.87"/>
    <n v="39.27232962962963"/>
    <m/>
    <s v=" "/>
    <d v="2008-09-26T00:00:00"/>
    <d v="2018-09-25T00:00:00"/>
    <d v="2018-09-25T00:00:00"/>
    <n v="8.243835616438357"/>
    <n v="8.243835616438357"/>
    <s v="Modified Gross"/>
    <s v="None"/>
    <s v="None"/>
    <n v="2328800"/>
    <n v="287.5061728395062"/>
    <s v=" "/>
    <m/>
    <d v="2010-06-30T00:00:00"/>
    <x v="111"/>
    <m/>
    <x v="1042"/>
    <s v="IL"/>
    <s v="Private"/>
    <m/>
    <m/>
    <m/>
    <s v=" "/>
    <s v=" "/>
    <m/>
    <s v=" "/>
    <s v=" "/>
    <s v=" "/>
    <m/>
    <s v=" "/>
  </r>
  <r>
    <s v="LDC02025"/>
    <s v="DOJ"/>
    <s v="Federal"/>
    <s v="Fee Simple"/>
    <s v="500 1st St NW"/>
    <s v="Washington"/>
    <s v="DC"/>
    <n v="0.41"/>
    <n v="1969"/>
    <n v="129035"/>
    <n v="129035"/>
    <n v="1"/>
    <n v="7065760.92"/>
    <n v="54.75848351222537"/>
    <n v="5092500"/>
    <n v="39.46603634672763"/>
    <d v="2006-08-01T00:00:00"/>
    <d v="2016-07-31T00:00:00"/>
    <d v="2016-07-31T00:00:00"/>
    <n v="6.090410958904109"/>
    <n v="6.090410958904109"/>
    <s v="Modified Gross"/>
    <s v="None"/>
    <s v="None"/>
    <n v="67900000"/>
    <n v="526.2138179563684"/>
    <n v="0.075"/>
    <m/>
    <d v="2010-06-30T00:00:00"/>
    <x v="1800"/>
    <m/>
    <x v="1145"/>
    <s v="VA"/>
    <s v="REIT"/>
    <m/>
    <m/>
    <m/>
    <s v=" "/>
    <s v=" "/>
    <m/>
    <s v=" "/>
    <s v=" "/>
    <s v=" "/>
    <m/>
    <s v=" "/>
  </r>
  <r>
    <s v="LDC02012"/>
    <s v="DOJ"/>
    <s v="Federal"/>
    <s v="Fee Simple"/>
    <s v="145 N Street, NE"/>
    <s v="Washington"/>
    <s v="DC"/>
    <n v="1.39"/>
    <n v="2010"/>
    <n v="589088"/>
    <n v="589088"/>
    <n v="1"/>
    <n v="26358858.8"/>
    <n v="44.74519732196209"/>
    <n v="18910000"/>
    <n v="32.1004671628008"/>
    <d v="2010-06-23T00:00:00"/>
    <d v="2025-06-22T00:00:00"/>
    <d v="2025-06-22T00:00:00"/>
    <n v="15.00547945205479"/>
    <n v="15.00547945205479"/>
    <s v="FS"/>
    <m/>
    <s v="None"/>
    <n v="305000000"/>
    <n v="517.749470367755"/>
    <n v="0.062"/>
    <m/>
    <d v="2010-06-24T00:00:00"/>
    <x v="1801"/>
    <s v="CT; William Collins"/>
    <x v="1318"/>
    <s v="IL"/>
    <s v="Institutional"/>
    <m/>
    <m/>
    <m/>
    <s v=" "/>
    <s v=" "/>
    <m/>
    <s v=" "/>
    <s v=" "/>
    <s v=" "/>
    <m/>
    <s v=" "/>
  </r>
  <r>
    <m/>
    <s v="USCIS"/>
    <s v="Federal"/>
    <s v="Fee Simple"/>
    <s v="Portfolio of Four"/>
    <m/>
    <s v="FL"/>
    <n v="20.64"/>
    <n v="2009"/>
    <n v="196915"/>
    <n v="196915"/>
    <n v="1"/>
    <m/>
    <s v=" "/>
    <n v="7417800"/>
    <n v="37.67006068608283"/>
    <m/>
    <m/>
    <m/>
    <s v=" "/>
    <s v=" "/>
    <m/>
    <m/>
    <m/>
    <n v="95100000"/>
    <n v="482.9494959754209"/>
    <n v="0.078"/>
    <m/>
    <d v="2010-06-21T00:00:00"/>
    <x v="1802"/>
    <s v="JLL; Rodriguez"/>
    <x v="2"/>
    <s v="VA"/>
    <s v="Private"/>
    <m/>
    <m/>
    <m/>
    <s v=" "/>
    <s v=" "/>
    <m/>
    <s v=" "/>
    <s v=" "/>
    <s v=" "/>
    <m/>
    <s v=" "/>
  </r>
  <r>
    <s v="LVA02005"/>
    <s v="PTO"/>
    <s v="Federal"/>
    <s v="Leasehold"/>
    <s v="2800 S Randolph St"/>
    <s v="Arlington"/>
    <s v="VA"/>
    <n v="2.51"/>
    <n v="2008"/>
    <n v="168468"/>
    <n v="207725"/>
    <n v="0.8110145625225659"/>
    <n v="5329601.38"/>
    <n v="31.63568974523352"/>
    <n v="3376950"/>
    <n v="16.25682994343483"/>
    <d v="2009-04-01T00:00:00"/>
    <d v="2019-03-31T00:00:00"/>
    <d v="2019-03-31T00:00:00"/>
    <n v="8.791780821917808"/>
    <n v="8.791780821917808"/>
    <s v="Modified Gross"/>
    <s v="None"/>
    <s v="None"/>
    <n v="47900000"/>
    <n v="230.5933325309905"/>
    <n v="0.07049999999999999"/>
    <m/>
    <d v="2010-06-17T00:00:00"/>
    <x v="1803"/>
    <s v="CT; Paul Collins"/>
    <x v="1319"/>
    <s v="TX"/>
    <s v="Institutional"/>
    <m/>
    <m/>
    <m/>
    <s v=" "/>
    <s v=" "/>
    <m/>
    <s v=" "/>
    <s v=" "/>
    <s v=" "/>
    <m/>
    <s v=" "/>
  </r>
  <r>
    <s v="LMA04120"/>
    <s v="FDA"/>
    <s v="Federal"/>
    <s v="Fee Simple"/>
    <s v="1 Montvale Ave"/>
    <s v="Stoneham"/>
    <s v="MA"/>
    <n v="1.84"/>
    <n v="1987"/>
    <n v="33398"/>
    <n v="97777"/>
    <n v="0.3415731716047741"/>
    <n v="929431.9"/>
    <n v="27.82896880052698"/>
    <n v="1104000"/>
    <n v="11.29099890567311"/>
    <d v="2000-03-01T00:00:00"/>
    <d v="2020-02-29T00:00:00"/>
    <d v="2010-02-28T00:00:00"/>
    <n v="9.70958904109589"/>
    <n v="-0.2986301369863014"/>
    <s v="Modified Gross"/>
    <s v="None"/>
    <s v="None"/>
    <n v="14708694"/>
    <n v="150.4310216103992"/>
    <n v="0.07505764957786192"/>
    <m/>
    <d v="2010-06-17T00:00:00"/>
    <x v="1791"/>
    <s v="Direct"/>
    <x v="790"/>
    <s v="MA"/>
    <s v="REIT"/>
    <m/>
    <m/>
    <m/>
    <s v=" "/>
    <s v=" "/>
    <m/>
    <s v=" "/>
    <s v=" "/>
    <s v=" "/>
    <m/>
    <s v=" "/>
  </r>
  <r>
    <m/>
    <s v="BLM"/>
    <s v="Federal"/>
    <s v="Fee Simple"/>
    <s v="711 S 14th St"/>
    <s v="Safford"/>
    <s v="AZ"/>
    <n v="4.6"/>
    <n v="1992"/>
    <n v="36139"/>
    <n v="36139"/>
    <n v="1"/>
    <m/>
    <s v=" "/>
    <m/>
    <s v=" "/>
    <m/>
    <m/>
    <m/>
    <s v=" "/>
    <s v=" "/>
    <m/>
    <m/>
    <m/>
    <n v="12558777"/>
    <n v="347.5131298597083"/>
    <s v=" "/>
    <m/>
    <d v="2010-06-14T00:00:00"/>
    <x v="1791"/>
    <s v="Direct"/>
    <x v="790"/>
    <s v="MA"/>
    <s v="REIT"/>
    <m/>
    <m/>
    <m/>
    <s v=" "/>
    <s v=" "/>
    <m/>
    <s v=" "/>
    <s v=" "/>
    <s v=" "/>
    <m/>
    <s v=" "/>
  </r>
  <r>
    <m/>
    <s v="Multi"/>
    <s v="Federal &amp; State"/>
    <s v="Fee Simple"/>
    <s v="400 State Ave"/>
    <s v="Kansas City"/>
    <s v="KS"/>
    <n v="5.3"/>
    <n v="1971"/>
    <n v="170817"/>
    <n v="170817"/>
    <n v="1"/>
    <m/>
    <s v=" "/>
    <m/>
    <s v=" "/>
    <m/>
    <m/>
    <m/>
    <s v=" "/>
    <s v=" "/>
    <m/>
    <m/>
    <m/>
    <n v="13111560"/>
    <n v="76.75793392929275"/>
    <s v=" "/>
    <m/>
    <d v="2010-06-10T00:00:00"/>
    <x v="1791"/>
    <m/>
    <x v="790"/>
    <s v="MA"/>
    <s v="REIT"/>
    <m/>
    <m/>
    <m/>
    <s v=" "/>
    <s v=" "/>
    <m/>
    <s v=" "/>
    <s v=" "/>
    <s v=" "/>
    <m/>
    <s v=" "/>
  </r>
  <r>
    <s v="LTX16529"/>
    <s v="SSA"/>
    <s v="Federal"/>
    <s v="Fee Simple"/>
    <s v="5825 16th St"/>
    <s v="Lubbock"/>
    <s v="TX"/>
    <n v="2.07"/>
    <n v="2010"/>
    <n v="16766"/>
    <n v="16776"/>
    <n v="0.9994039103481164"/>
    <n v="467632.97"/>
    <n v="27.89174340928069"/>
    <m/>
    <s v=" "/>
    <d v="2010-03-01T00:00:00"/>
    <d v="2025-02-28T00:00:00"/>
    <d v="2020-03-01T00:00:00"/>
    <n v="14.73698630136986"/>
    <n v="9.736986301369862"/>
    <s v="Modified Gross"/>
    <s v="None"/>
    <s v="None"/>
    <m/>
    <s v=" "/>
    <s v=" "/>
    <m/>
    <d v="2010-06-08T00:00:00"/>
    <x v="1804"/>
    <m/>
    <x v="1320"/>
    <s v="TX"/>
    <s v="Private"/>
    <s v="BW; Wells"/>
    <m/>
    <m/>
    <s v=" "/>
    <s v=" "/>
    <m/>
    <s v=" "/>
    <s v=" "/>
    <s v=" "/>
    <m/>
    <s v=" "/>
  </r>
  <r>
    <m/>
    <s v="VA"/>
    <s v="Federal"/>
    <s v="Fee Simple"/>
    <s v="1300 Rancho Del Oro Rd"/>
    <s v="Oceanside"/>
    <s v="CA"/>
    <n v="8.44"/>
    <n v="2010"/>
    <n v="65536"/>
    <n v="65536"/>
    <n v="1"/>
    <m/>
    <s v=" "/>
    <n v="3983950"/>
    <n v="60.79025268554688"/>
    <d v="2010-03-26T00:00:00"/>
    <d v="2030-03-25T00:00:00"/>
    <d v="2025-03-25T00:00:00"/>
    <n v="19.82465753424658"/>
    <n v="14.82191780821918"/>
    <s v="Modified Gross"/>
    <s v="10% every 5"/>
    <s v="None"/>
    <n v="42525000"/>
    <n v="648.8800048828125"/>
    <n v="0.09368489124044679"/>
    <m/>
    <d v="2010-06-02T00:00:00"/>
    <x v="1805"/>
    <m/>
    <x v="651"/>
    <s v="CT"/>
    <s v="Private"/>
    <m/>
    <m/>
    <m/>
    <s v=" "/>
    <s v=" "/>
    <m/>
    <s v=" "/>
    <s v=" "/>
    <s v=" "/>
    <m/>
    <s v=" "/>
  </r>
  <r>
    <m/>
    <s v="Education"/>
    <s v="State"/>
    <s v="Fee Simple"/>
    <s v="75 Pleasant St"/>
    <s v="Malden"/>
    <s v="MA"/>
    <n v="0.96"/>
    <n v="2008"/>
    <n v="125521"/>
    <n v="125521"/>
    <n v="1"/>
    <n v="4964000"/>
    <n v="39.54716740625075"/>
    <n v="3240000"/>
    <n v="25.81241385903554"/>
    <d v="2009-01-01T00:00:00"/>
    <d v="2018-12-31T00:00:00"/>
    <d v="2018-12-31T00:00:00"/>
    <n v="8.605479452054794"/>
    <n v="8.605479452054794"/>
    <s v="Full Service"/>
    <s v="2% annually"/>
    <s v="None"/>
    <n v="40500000"/>
    <n v="322.6551732379443"/>
    <n v="0.08"/>
    <m/>
    <d v="2010-05-26T00:00:00"/>
    <x v="1806"/>
    <s v="JLL; Benedict"/>
    <x v="790"/>
    <s v="MA"/>
    <s v="REIT"/>
    <m/>
    <m/>
    <m/>
    <s v=" "/>
    <s v=" "/>
    <m/>
    <s v=" "/>
    <s v=" "/>
    <s v=" "/>
    <m/>
    <s v=" "/>
  </r>
  <r>
    <s v="LTX16415"/>
    <s v="CBP"/>
    <s v="Federal"/>
    <s v="Fee Simple"/>
    <s v="4150 Interwood South Parkway"/>
    <s v="Houston"/>
    <s v="TX"/>
    <n v="5.96"/>
    <n v="2009"/>
    <n v="34277"/>
    <n v="34277"/>
    <n v="1"/>
    <n v="1433467.63"/>
    <n v="41.82010181754529"/>
    <m/>
    <s v=" "/>
    <d v="2009-05-07T00:00:00"/>
    <d v="2029-05-06T00:00:00"/>
    <d v="2024-05-07T00:00:00"/>
    <n v="19.02739726027397"/>
    <n v="14.02739726027397"/>
    <s v="FS"/>
    <m/>
    <s v="None"/>
    <n v="11300000"/>
    <n v="329.6671237272807"/>
    <s v=" "/>
    <m/>
    <d v="2010-05-01T00:00:00"/>
    <x v="1807"/>
    <s v="HFF"/>
    <x v="429"/>
    <s v="NY"/>
    <s v="Private"/>
    <m/>
    <m/>
    <m/>
    <s v=" "/>
    <s v=" "/>
    <m/>
    <s v=" "/>
    <s v=" "/>
    <s v=" "/>
    <m/>
    <s v=" "/>
  </r>
  <r>
    <m/>
    <s v="CFC"/>
    <s v="State"/>
    <s v="Fee Simple"/>
    <s v="4100 Okeechobee Blvd"/>
    <s v="West Palm Beach"/>
    <s v="FL"/>
    <n v="3.01"/>
    <n v="1970"/>
    <n v="31497.34"/>
    <n v="50155"/>
    <n v="0.628"/>
    <n v="647407"/>
    <n v="20.55433887433034"/>
    <n v="405000"/>
    <n v="8.07496760043864"/>
    <m/>
    <m/>
    <m/>
    <s v=" "/>
    <s v=" "/>
    <s v="Full Service"/>
    <s v="2% annually"/>
    <s v="None"/>
    <n v="3450000"/>
    <n v="68.7867610407736"/>
    <n v="0.1173913043478261"/>
    <m/>
    <d v="2010-05-01T00:00:00"/>
    <x v="950"/>
    <s v="CBRE; Montazemi"/>
    <x v="1321"/>
    <s v="FL"/>
    <s v="Private"/>
    <m/>
    <m/>
    <n v="4500000"/>
    <n v="0.09"/>
    <n v="0.7666666666666667"/>
    <n v="4500000"/>
    <n v="0.09"/>
    <n v="0.02739130434782609"/>
    <s v="No"/>
    <d v="2009-03-17T00:00:00"/>
    <n v="410"/>
  </r>
  <r>
    <s v="LMI17722"/>
    <s v="USCIS"/>
    <s v="Federal"/>
    <s v="Fee Simple"/>
    <s v="11411 E Jefferson Ave"/>
    <s v="Detroit"/>
    <s v="MI"/>
    <n v="2.96"/>
    <n v="2008"/>
    <n v="55966"/>
    <n v="55966"/>
    <n v="1"/>
    <n v="2622123.57"/>
    <n v="46.85208108494443"/>
    <n v="1853100"/>
    <n v="33.11117464174677"/>
    <d v="2009-02-01T00:00:00"/>
    <d v="2023-01-31T00:00:00"/>
    <d v="2019-01-31T00:00:00"/>
    <n v="12.80547945205479"/>
    <n v="8.802739726027397"/>
    <s v="Modified Gross"/>
    <s v="None"/>
    <s v="None"/>
    <n v="21300000"/>
    <n v="380.5882142729515"/>
    <n v="0.08699999999999999"/>
    <m/>
    <d v="2010-04-15T00:00:00"/>
    <x v="1808"/>
    <s v="Direct"/>
    <x v="790"/>
    <s v="MA"/>
    <s v="REIT"/>
    <m/>
    <m/>
    <m/>
    <s v=" "/>
    <s v=" "/>
    <m/>
    <s v=" "/>
    <s v=" "/>
    <s v=" "/>
    <m/>
    <s v=" "/>
  </r>
  <r>
    <s v="LMD02297"/>
    <s v="FDA"/>
    <s v="Federal"/>
    <s v="Fee Simple"/>
    <s v="12100 Parklawn Dr"/>
    <s v="Rockville"/>
    <s v="MD"/>
    <n v="2.3"/>
    <n v="1963"/>
    <n v="78177"/>
    <n v="85231"/>
    <n v="0.9172366861822576"/>
    <m/>
    <s v=" "/>
    <n v="610000"/>
    <n v="7.157020332977438"/>
    <d v="2004-06-11T00:00:00"/>
    <d v="2014-06-21T00:00:00"/>
    <d v="2014-06-21T00:00:00"/>
    <n v="4.194520547945205"/>
    <n v="4.194520547945205"/>
    <s v="Modified Gross"/>
    <s v="None"/>
    <s v="None"/>
    <n v="6100000"/>
    <n v="71.57020332977437"/>
    <n v="0.1"/>
    <m/>
    <d v="2010-04-12T00:00:00"/>
    <x v="1809"/>
    <s v="TW; Bob Filley"/>
    <x v="1322"/>
    <s v="MD"/>
    <s v="Private"/>
    <m/>
    <m/>
    <m/>
    <s v=" "/>
    <s v=" "/>
    <m/>
    <s v=" "/>
    <s v=" "/>
    <s v=" "/>
    <m/>
    <s v=" "/>
  </r>
  <r>
    <m/>
    <s v="OSI"/>
    <s v="Federal"/>
    <s v="Fee Simple"/>
    <s v="65 Bowdoin"/>
    <s v="South Burlington"/>
    <s v="VT"/>
    <n v="7.8"/>
    <n v="2009"/>
    <n v="26609"/>
    <n v="26609"/>
    <n v="1"/>
    <n v="1091723.11"/>
    <n v="41.02834041113909"/>
    <n v="834199.9999999999"/>
    <n v="31.35029501296554"/>
    <d v="2009-07-15T00:00:00"/>
    <d v="2024-07-14T00:00:00"/>
    <d v="2019-07-14T00:00:00"/>
    <n v="14.2958904109589"/>
    <n v="9.29041095890411"/>
    <s v="Modified Gross"/>
    <s v="None"/>
    <s v="None"/>
    <n v="9700000"/>
    <n v="364.5383141042504"/>
    <n v="0.08599999999999999"/>
    <m/>
    <d v="2010-04-01T00:00:00"/>
    <x v="1639"/>
    <m/>
    <x v="790"/>
    <s v="MA"/>
    <s v="REIT"/>
    <m/>
    <m/>
    <m/>
    <s v=" "/>
    <s v=" "/>
    <m/>
    <s v=" "/>
    <s v=" "/>
    <s v=" "/>
    <m/>
    <s v=" "/>
  </r>
  <r>
    <m/>
    <s v="NIH"/>
    <s v="Federal"/>
    <s v="Leasehold"/>
    <s v="333 Cassell DDr"/>
    <s v="Baltimore"/>
    <s v="MD"/>
    <m/>
    <n v="1989"/>
    <n v="101386"/>
    <n v="101386"/>
    <n v="1"/>
    <m/>
    <s v=" "/>
    <m/>
    <s v=" "/>
    <m/>
    <d v="2022-01-31T00:00:00"/>
    <d v="2022-01-31T00:00:00"/>
    <n v="11.84657534246575"/>
    <n v="11.84657534246575"/>
    <s v="NNN"/>
    <s v="None"/>
    <s v="None"/>
    <n v="29250000"/>
    <n v="288.5013709979681"/>
    <s v=" "/>
    <m/>
    <d v="2010-03-31T00:00:00"/>
    <x v="1810"/>
    <m/>
    <x v="225"/>
    <s v="AZ"/>
    <s v="REIT"/>
    <m/>
    <m/>
    <m/>
    <s v=" "/>
    <s v=" "/>
    <m/>
    <s v=" "/>
    <s v=" "/>
    <s v=" "/>
    <m/>
    <s v=" "/>
  </r>
  <r>
    <s v="LMO50013"/>
    <s v="SSA"/>
    <s v="Federal"/>
    <s v="Fee Simple"/>
    <s v="507 E Main St"/>
    <s v="Park Hills"/>
    <s v="MO"/>
    <n v="0.79"/>
    <n v="2005"/>
    <n v="6543"/>
    <n v="6543"/>
    <n v="1"/>
    <n v="84172.58"/>
    <n v="12.86452391869173"/>
    <n v="78805"/>
    <n v="12.04416934128076"/>
    <d v="2005-03-02T00:00:00"/>
    <d v="2015-03-01T00:00:00"/>
    <d v="2010-03-02T00:00:00"/>
    <n v="4.923287671232877"/>
    <n v="-0.07671232876712329"/>
    <s v="Y"/>
    <m/>
    <s v="None"/>
    <n v="789117.9375"/>
    <n v="120.604911737735"/>
    <n v="0.09986466693389541"/>
    <m/>
    <d v="2010-03-30T00:00:00"/>
    <x v="8"/>
    <s v="CB; Noel Fehr"/>
    <x v="1323"/>
    <m/>
    <s v="Private"/>
    <m/>
    <m/>
    <m/>
    <s v=" "/>
    <s v=" "/>
    <m/>
    <s v=" "/>
    <s v=" "/>
    <s v=" "/>
    <m/>
    <s v=" "/>
  </r>
  <r>
    <m/>
    <s v="VA"/>
    <s v="Federal"/>
    <s v="Fee Simple"/>
    <s v="10 Tri Park West"/>
    <s v="Appleton"/>
    <s v="WI"/>
    <n v="3.71"/>
    <n v="1994"/>
    <n v="34985"/>
    <n v="34985"/>
    <n v="1"/>
    <m/>
    <s v=" "/>
    <m/>
    <s v=" "/>
    <m/>
    <m/>
    <m/>
    <s v=" "/>
    <s v=" "/>
    <m/>
    <m/>
    <m/>
    <n v="3500000"/>
    <n v="100.0428755180792"/>
    <s v=" "/>
    <m/>
    <d v="2010-03-19T00:00:00"/>
    <x v="8"/>
    <s v="M&amp;M; Trautvetter"/>
    <x v="164"/>
    <s v="IL"/>
    <s v="Institutional"/>
    <m/>
    <m/>
    <m/>
    <s v=" "/>
    <s v=" "/>
    <m/>
    <s v=" "/>
    <s v=" "/>
    <s v=" "/>
    <m/>
    <s v=" "/>
  </r>
  <r>
    <m/>
    <s v="CFC"/>
    <s v="State"/>
    <s v="Fee Simple"/>
    <s v="215 Airport Pulling Rd N"/>
    <s v="Naples"/>
    <s v="FL"/>
    <n v="3.52"/>
    <n v="1997"/>
    <m/>
    <n v="40288"/>
    <s v=" "/>
    <m/>
    <s v=" "/>
    <m/>
    <s v=" "/>
    <m/>
    <m/>
    <m/>
    <s v=" "/>
    <s v=" "/>
    <m/>
    <m/>
    <m/>
    <n v="1500000"/>
    <n v="37.23193010325655"/>
    <s v=" "/>
    <m/>
    <d v="2010-03-19T00:00:00"/>
    <x v="950"/>
    <s v="C&amp;W; Tasman"/>
    <x v="1324"/>
    <s v="FL"/>
    <s v="Private"/>
    <m/>
    <m/>
    <m/>
    <s v=" "/>
    <s v=" "/>
    <m/>
    <s v=" "/>
    <s v=" "/>
    <s v=" "/>
    <d v="2009-03-17T00:00:00"/>
    <n v="367"/>
  </r>
  <r>
    <m/>
    <s v="VA"/>
    <s v="Federal"/>
    <s v="Fee Simple"/>
    <s v="35000 Kaiser Ct"/>
    <s v="Willoughby"/>
    <s v="OH"/>
    <n v="3.58"/>
    <n v="1988"/>
    <n v="20725"/>
    <n v="42189"/>
    <n v="0.4912417928844012"/>
    <m/>
    <s v=" "/>
    <m/>
    <s v=" "/>
    <m/>
    <m/>
    <m/>
    <s v=" "/>
    <s v=" "/>
    <m/>
    <m/>
    <m/>
    <m/>
    <s v=" "/>
    <s v=" "/>
    <m/>
    <d v="2010-03-19T00:00:00"/>
    <x v="1811"/>
    <m/>
    <x v="1325"/>
    <s v="OH"/>
    <s v="Private"/>
    <m/>
    <m/>
    <m/>
    <s v=" "/>
    <s v=" "/>
    <m/>
    <s v=" "/>
    <s v=" "/>
    <s v=" "/>
    <m/>
    <s v=" "/>
  </r>
  <r>
    <m/>
    <s v="ICE"/>
    <s v="Federal"/>
    <s v="Fee Simple"/>
    <s v="2987 S Decker Lake Dr"/>
    <s v="Salt Lake City"/>
    <s v="UT"/>
    <n v="5.8"/>
    <n v="2010"/>
    <n v="69225"/>
    <n v="69225"/>
    <n v="1"/>
    <n v="2403783"/>
    <n v="34.7242036836403"/>
    <n v="1789379"/>
    <n v="25.84873961719032"/>
    <d v="2006-12-01T00:00:00"/>
    <d v="2026-11-30T00:00:00"/>
    <d v="2021-11-30T00:00:00"/>
    <n v="16.73424657534246"/>
    <n v="11.73150684931507"/>
    <s v="Modified Gross"/>
    <s v="None"/>
    <s v="None"/>
    <n v="21125000"/>
    <n v="305.1643192488263"/>
    <n v="0.08470433136094675"/>
    <m/>
    <d v="2010-03-11T00:00:00"/>
    <x v="1782"/>
    <s v="Direct"/>
    <x v="2"/>
    <s v="VA"/>
    <s v="Private"/>
    <m/>
    <m/>
    <m/>
    <s v=" "/>
    <s v=" "/>
    <m/>
    <s v=" "/>
    <s v=" "/>
    <s v=" "/>
    <m/>
    <s v=" "/>
  </r>
  <r>
    <s v="LFL47855"/>
    <s v="FAA"/>
    <s v="Federal"/>
    <s v="Fee Simple"/>
    <s v="2895 SW 145th Ave"/>
    <s v="Hollywood"/>
    <s v="FL"/>
    <n v="15.88"/>
    <n v="2009"/>
    <n v="69554"/>
    <n v="69554"/>
    <n v="1"/>
    <n v="2914714.79"/>
    <n v="41.90578241366421"/>
    <m/>
    <s v=" "/>
    <d v="2009-10-01T00:00:00"/>
    <d v="2019-09-30T00:00:00"/>
    <d v="2019-09-30T00:00:00"/>
    <n v="9.567123287671233"/>
    <n v="9.567123287671233"/>
    <s v="Modified Gross"/>
    <s v="None"/>
    <s v="None"/>
    <n v="24300000"/>
    <n v="349.3688357247606"/>
    <s v=" "/>
    <m/>
    <d v="2010-03-09T00:00:00"/>
    <x v="1181"/>
    <s v="Direct"/>
    <x v="2"/>
    <s v="VA"/>
    <s v="Private"/>
    <m/>
    <m/>
    <m/>
    <s v=" "/>
    <s v=" "/>
    <m/>
    <s v=" "/>
    <s v=" "/>
    <s v=" "/>
    <d v="2008-03-21T00:00:00"/>
    <n v="718"/>
  </r>
  <r>
    <s v="LCA01916"/>
    <s v="ATF"/>
    <s v="Federal"/>
    <s v="Fee Simple"/>
    <s v="355 N Wiget Ln"/>
    <s v="Walnut Creek"/>
    <s v="CA"/>
    <n v="0.52"/>
    <n v="1980"/>
    <n v="22500"/>
    <n v="22500"/>
    <n v="1"/>
    <n v="958556"/>
    <n v="42.60248888888889"/>
    <n v="790798"/>
    <n v="35.14657777777778"/>
    <d v="2008-10-15T00:00:00"/>
    <d v="2018-10-14T00:00:00"/>
    <d v="2008-10-15T00:00:00"/>
    <n v="8.616438356164384"/>
    <n v="-1.386301369863014"/>
    <s v="Modified Gross"/>
    <s v="None"/>
    <s v="None"/>
    <n v="9068000"/>
    <n v="403.0222222222222"/>
    <n v="0.08720754300838111"/>
    <m/>
    <d v="2010-03-05T00:00:00"/>
    <x v="1812"/>
    <s v="Direct"/>
    <x v="1326"/>
    <s v="CA"/>
    <s v="Private"/>
    <m/>
    <m/>
    <m/>
    <s v=" "/>
    <s v=" "/>
    <m/>
    <s v=" "/>
    <s v=" "/>
    <s v=" "/>
    <m/>
    <s v=" "/>
  </r>
  <r>
    <s v="LTX16218"/>
    <s v="SSA"/>
    <s v="Federal"/>
    <s v="Fee Simple"/>
    <s v="16200 Dillard Dr"/>
    <s v="Jersey Village"/>
    <s v="TX"/>
    <n v="4.2"/>
    <n v="2008"/>
    <n v="31504"/>
    <n v="31504"/>
    <n v="1"/>
    <n v="1009488"/>
    <n v="32.04316912138141"/>
    <n v="693294"/>
    <n v="22.00653885220924"/>
    <d v="2009-05-01T00:00:00"/>
    <d v="2024-04-30T00:00:00"/>
    <d v="2019-04-30T00:00:00"/>
    <n v="14.21095890410959"/>
    <n v="9.205479452054794"/>
    <s v="Modified Gross"/>
    <s v="None"/>
    <s v="None"/>
    <n v="9157100"/>
    <n v="290.6646775012697"/>
    <n v="0.07571108757139269"/>
    <m/>
    <d v="2010-02-16T00:00:00"/>
    <x v="1813"/>
    <m/>
    <x v="1327"/>
    <s v="TX"/>
    <s v="Private"/>
    <m/>
    <m/>
    <m/>
    <s v=" "/>
    <s v=" "/>
    <m/>
    <s v=" "/>
    <s v=" "/>
    <s v=" "/>
    <m/>
    <s v=" "/>
  </r>
  <r>
    <m/>
    <m/>
    <m/>
    <m/>
    <s v="15 Founders Blvd"/>
    <s v="El Paso"/>
    <s v="TX"/>
    <n v="4.6717"/>
    <m/>
    <m/>
    <n v="62715"/>
    <s v=" "/>
    <m/>
    <s v=" "/>
    <m/>
    <s v=" "/>
    <m/>
    <m/>
    <m/>
    <s v=" "/>
    <s v=" "/>
    <m/>
    <m/>
    <m/>
    <n v="979000"/>
    <n v="15.61030056605278"/>
    <s v=" "/>
    <m/>
    <d v="2010-02-01T00:00:00"/>
    <x v="8"/>
    <m/>
    <x v="429"/>
    <s v="NY"/>
    <s v="Private"/>
    <m/>
    <m/>
    <n v="1250000"/>
    <s v=" "/>
    <n v="0.7832"/>
    <n v="1250000"/>
    <s v=" "/>
    <s v=" "/>
    <s v="No"/>
    <m/>
    <s v=" "/>
  </r>
  <r>
    <s v="LIL16740"/>
    <s v="AG"/>
    <s v="Federal"/>
    <s v="Fee Simple"/>
    <s v="9 Executive Dr"/>
    <s v="Fairview Heights"/>
    <s v="IL"/>
    <n v="6.08"/>
    <n v="1990"/>
    <n v="43498"/>
    <n v="43498"/>
    <n v="1"/>
    <n v="1095373"/>
    <n v="25.18214630557727"/>
    <m/>
    <s v=" "/>
    <d v="2000-10-31T00:00:00"/>
    <d v="2015-10-30T00:00:00"/>
    <d v="2015-10-30T00:00:00"/>
    <n v="5.745205479452054"/>
    <n v="5.745205479452054"/>
    <s v="FS"/>
    <m/>
    <s v="None"/>
    <n v="5800000"/>
    <n v="133.3394638833969"/>
    <s v=" "/>
    <m/>
    <d v="2010-02-01T00:00:00"/>
    <x v="1814"/>
    <s v="Direct"/>
    <x v="1328"/>
    <s v="MO"/>
    <s v="Private"/>
    <m/>
    <m/>
    <m/>
    <s v=" "/>
    <s v=" "/>
    <m/>
    <s v=" "/>
    <s v=" "/>
    <s v=" "/>
    <m/>
    <s v=" "/>
  </r>
  <r>
    <s v="LWA06382"/>
    <s v="SSA"/>
    <s v="Federal"/>
    <s v="Fee Simple"/>
    <s v="9594 Mickelberry Rd NW"/>
    <s v="Silverdale"/>
    <s v="WA"/>
    <n v="0.93"/>
    <n v="2003"/>
    <n v="11644"/>
    <n v="11644"/>
    <n v="1"/>
    <n v="300861.87"/>
    <n v="25.83836052902782"/>
    <n v="208000"/>
    <n v="17.86327722432154"/>
    <d v="2004-03-16T00:00:00"/>
    <d v="2019-03-15T00:00:00"/>
    <d v="2019-03-15T00:00:00"/>
    <n v="9.139726027397261"/>
    <n v="9.139726027397261"/>
    <s v="Modified Gross"/>
    <s v="None"/>
    <s v="None"/>
    <n v="2559000"/>
    <n v="219.7698385434558"/>
    <n v="0.08128175068386088"/>
    <m/>
    <d v="2010-01-25T00:00:00"/>
    <x v="1815"/>
    <s v="KM; Schuler"/>
    <x v="1329"/>
    <s v="WA"/>
    <s v="Private"/>
    <m/>
    <m/>
    <m/>
    <s v=" "/>
    <s v=" "/>
    <m/>
    <s v=" "/>
    <s v=" "/>
    <s v=" "/>
    <m/>
    <s v=" "/>
  </r>
  <r>
    <s v="LCO14332"/>
    <s v="NPS"/>
    <s v="Federal"/>
    <s v="Fee Simple"/>
    <s v="12795 W Alameda Pkwy"/>
    <s v="Denver"/>
    <s v="CO"/>
    <n v="7.05"/>
    <n v="1988"/>
    <n v="166745"/>
    <n v="166745"/>
    <n v="1"/>
    <n v="4392243.28"/>
    <n v="26.34107937269484"/>
    <n v="2757075"/>
    <n v="16.53467870101052"/>
    <d v="2009-10-01T00:00:00"/>
    <d v="2019-09-30T00:00:00"/>
    <d v="2016-10-01T00:00:00"/>
    <n v="9.712328767123287"/>
    <n v="6.715068493150685"/>
    <s v="Modified Gross"/>
    <s v="None"/>
    <s v="None"/>
    <n v="28277700"/>
    <n v="169.5864943476566"/>
    <n v="0.09749997347733373"/>
    <m/>
    <d v="2010-01-15T00:00:00"/>
    <x v="224"/>
    <s v="JLL; Steve Suechting"/>
    <x v="790"/>
    <s v="MA"/>
    <s v="REIT"/>
    <m/>
    <m/>
    <m/>
    <s v=" "/>
    <s v=" "/>
    <m/>
    <s v=" "/>
    <s v=" "/>
    <s v=" "/>
    <m/>
    <s v=" "/>
  </r>
  <r>
    <m/>
    <s v="NPS"/>
    <s v="Federal"/>
    <s v="Fee Simple"/>
    <s v="12795 W Alameda Pky"/>
    <s v="Lakewood"/>
    <s v="CO"/>
    <n v="7.05"/>
    <n v="1988"/>
    <n v="166745"/>
    <n v="166745"/>
    <n v="1"/>
    <n v="3916971.27"/>
    <n v="23.49078695013344"/>
    <n v="2757075"/>
    <n v="16.53467870101052"/>
    <d v="2009-10-01T00:00:00"/>
    <d v="2019-09-30T00:00:00"/>
    <d v="2016-10-01T00:00:00"/>
    <n v="9.712328767123287"/>
    <n v="6.715068493150685"/>
    <s v="Modified Gross"/>
    <s v="None"/>
    <s v="None"/>
    <n v="28277700"/>
    <n v="169.5864943476566"/>
    <n v="0.09749997347733373"/>
    <m/>
    <d v="2010-01-15T00:00:00"/>
    <x v="224"/>
    <s v="JLL; Suechting"/>
    <x v="790"/>
    <s v="MA"/>
    <s v="REIT"/>
    <m/>
    <m/>
    <m/>
    <s v=" "/>
    <s v=" "/>
    <m/>
    <s v=" "/>
    <s v=" "/>
    <s v=" "/>
    <d v="2009-09-17T00:00:00"/>
    <n v="120"/>
  </r>
  <r>
    <s v="LIL16556"/>
    <s v="OSHA"/>
    <s v="Federal"/>
    <s v="Fee Simple"/>
    <s v="2020 S Arlington Heights Rd"/>
    <s v="Arlington Heights"/>
    <s v="IL"/>
    <n v="2.5"/>
    <n v="2002"/>
    <n v="57770"/>
    <n v="57700"/>
    <n v="1.001213171577123"/>
    <n v="1681092.12"/>
    <n v="29.09974242686516"/>
    <n v="1357460"/>
    <n v="23.5261698440208"/>
    <d v="2002-12-09T00:00:00"/>
    <d v="2017-12-09T00:00:00"/>
    <d v="2012-12-09T00:00:00"/>
    <n v="7.950684931506849"/>
    <n v="2.947945205479452"/>
    <s v="Modified Gross"/>
    <s v="None"/>
    <s v="None"/>
    <n v="16025000"/>
    <n v="277.7296360485269"/>
    <n v="0.08470889235569423"/>
    <m/>
    <d v="2009-12-29T00:00:00"/>
    <x v="1816"/>
    <s v="Scott Fleming"/>
    <x v="790"/>
    <s v="MA"/>
    <s v="REIT"/>
    <s v="M&amp;M; Feagans"/>
    <m/>
    <m/>
    <s v=" "/>
    <s v=" "/>
    <m/>
    <s v=" "/>
    <s v=" "/>
    <s v=" "/>
    <m/>
    <s v=" "/>
  </r>
  <r>
    <m/>
    <s v="CA National Guard"/>
    <s v="State"/>
    <s v="Fee Simple"/>
    <s v="9800 Goethe Rd"/>
    <s v="Sacramento"/>
    <s v="CA"/>
    <n v="7.75"/>
    <n v="1993"/>
    <n v="110500"/>
    <n v="110500"/>
    <n v="1"/>
    <n v="1981908"/>
    <n v="17.93581900452489"/>
    <n v="1455869"/>
    <n v="13.1752850678733"/>
    <d v="1993-04-01T00:00:00"/>
    <d v="2017-07-31T00:00:00"/>
    <d v="2017-07-31T00:00:00"/>
    <n v="7.608219178082192"/>
    <n v="7.608219178082192"/>
    <s v="Full Service"/>
    <s v="2% annually"/>
    <s v="None"/>
    <n v="15085000"/>
    <n v="136.5158371040724"/>
    <n v="0.09651103745442492"/>
    <m/>
    <d v="2009-12-23T00:00:00"/>
    <x v="1817"/>
    <s v="CBRE; Shannon"/>
    <x v="790"/>
    <s v="MA"/>
    <s v="REIT"/>
    <m/>
    <m/>
    <n v="16350000"/>
    <n v="0.0890439755351682"/>
    <n v="0.9226299694189602"/>
    <n v="16350000"/>
    <n v="0.0890439755351682"/>
    <n v="0.007467061919256723"/>
    <s v="No"/>
    <m/>
    <s v=" "/>
  </r>
  <r>
    <s v="LFL47884"/>
    <s v="FBI"/>
    <s v="Federal"/>
    <s v="Fee Simple"/>
    <s v="12481 Gateway Blvd"/>
    <s v="Fort Myers"/>
    <s v="FL"/>
    <n v="2.43"/>
    <n v="2009"/>
    <n v="16018"/>
    <n v="16018"/>
    <n v="1"/>
    <n v="549831.4399999999"/>
    <n v="34.3258484205269"/>
    <n v="407250"/>
    <n v="25.42452241228618"/>
    <d v="2009-06-01T00:00:00"/>
    <d v="2019-05-31T00:00:00"/>
    <d v="2019-05-31T00:00:00"/>
    <n v="9.454794520547946"/>
    <n v="9.454794520547946"/>
    <s v="Modified Gross"/>
    <s v="None"/>
    <s v="None"/>
    <n v="3900000"/>
    <n v="243.4760893994256"/>
    <n v="0.1044230769230769"/>
    <m/>
    <d v="2009-12-18T00:00:00"/>
    <x v="1780"/>
    <s v="Colliers; Robert Cottle"/>
    <x v="1330"/>
    <s v="FL"/>
    <s v="Private"/>
    <s v="Nace Cohen"/>
    <s v="LBA Properties"/>
    <n v="4500000"/>
    <n v="0.0905"/>
    <n v="0.8666666666666667"/>
    <n v="4500000"/>
    <n v="0.0905"/>
    <n v="0.01392307692307693"/>
    <s v="No"/>
    <d v="2008-09-17T00:00:00"/>
    <n v="457"/>
  </r>
  <r>
    <m/>
    <s v="Dep't of Fin."/>
    <s v="State"/>
    <s v="Fee Simple"/>
    <s v="915 L St"/>
    <s v="Sacramento"/>
    <s v="CA"/>
    <n v="0.51"/>
    <n v="1988"/>
    <n v="131774"/>
    <n v="163840"/>
    <n v="0.80428466796875"/>
    <n v="4601349"/>
    <n v="34.91848923156313"/>
    <n v="3461575"/>
    <n v="21.12777709960938"/>
    <m/>
    <d v="2018-03-31T00:00:00"/>
    <d v="2014-06-30T00:00:00"/>
    <n v="8.287671232876713"/>
    <n v="4.534246575342466"/>
    <s v="Full Service"/>
    <s v="Annually"/>
    <s v="None"/>
    <n v="40000000"/>
    <n v="244.140625"/>
    <n v="0.086539375"/>
    <m/>
    <d v="2009-12-18T00:00:00"/>
    <x v="1818"/>
    <s v="C&amp;W; Eckard"/>
    <x v="790"/>
    <s v="MA"/>
    <s v="REIT"/>
    <m/>
    <m/>
    <m/>
    <s v=" "/>
    <s v=" "/>
    <m/>
    <s v=" "/>
    <s v=" "/>
    <s v=" "/>
    <m/>
    <s v=" "/>
  </r>
  <r>
    <s v="LAZ02172"/>
    <s v="DOS"/>
    <s v="Federal"/>
    <s v="Fee Simple"/>
    <s v="7333-7373 E Rosewood St"/>
    <s v="Tucson"/>
    <s v="AZ"/>
    <n v="5.07"/>
    <n v="1997"/>
    <n v="26268"/>
    <n v="76268"/>
    <n v="0.3444170556458803"/>
    <n v="932514"/>
    <n v="35.5"/>
    <n v="1320884"/>
    <n v="17.31898043740494"/>
    <d v="2008-05-01T00:00:00"/>
    <d v="2018-04-30T00:00:00"/>
    <d v="2018-04-30T00:00:00"/>
    <n v="8.378082191780821"/>
    <n v="8.378082191780821"/>
    <s v="Modified Gross"/>
    <s v="None"/>
    <s v="None"/>
    <n v="14975000"/>
    <n v="196.3470918340589"/>
    <n v="0.08820594323873122"/>
    <m/>
    <d v="2009-12-15T00:00:00"/>
    <x v="1819"/>
    <s v="M&amp;M; Gonzales"/>
    <x v="1331"/>
    <s v="MN"/>
    <s v="Private"/>
    <m/>
    <m/>
    <n v="15630000"/>
    <n v="0.08450953294945618"/>
    <n v="0.9580934101087651"/>
    <n v="15630000"/>
    <n v="0.08450953294945618"/>
    <n v="0.003696410289275046"/>
    <s v="No"/>
    <d v="2009-06-15T00:00:00"/>
    <n v="183"/>
  </r>
  <r>
    <m/>
    <s v="USPS"/>
    <s v="Federal"/>
    <s v="Fee Simple"/>
    <s v="3324 E Ray Rd"/>
    <s v="Gilbert"/>
    <s v="AZ"/>
    <n v="1.7"/>
    <n v="1989"/>
    <n v="5117"/>
    <n v="5117"/>
    <n v="1"/>
    <n v="87120"/>
    <n v="17.02560093804964"/>
    <n v="84097"/>
    <n v="16.43482509282783"/>
    <d v="2009-09-01T00:00:00"/>
    <d v="2014-08-31T00:00:00"/>
    <d v="2014-08-31T00:00:00"/>
    <n v="4.734246575342466"/>
    <n v="4.734246575342466"/>
    <s v="Rider"/>
    <s v="Options"/>
    <s v="3, 5 year"/>
    <n v="945000"/>
    <n v="184.6785225718194"/>
    <n v="0.08899153439153439"/>
    <m/>
    <d v="2009-12-07T00:00:00"/>
    <x v="1820"/>
    <s v="M&amp;M; Medress"/>
    <x v="1332"/>
    <s v="OR"/>
    <s v="Private"/>
    <m/>
    <m/>
    <n v="1100000"/>
    <n v="0.07645181818181818"/>
    <n v="0.8590909090909091"/>
    <n v="1100000"/>
    <n v="0.07645181818181818"/>
    <n v="0.01253971620971621"/>
    <s v="No"/>
    <d v="2009-10-16T00:00:00"/>
    <n v="52"/>
  </r>
  <r>
    <m/>
    <s v="USPS"/>
    <s v="Federal"/>
    <s v="Fee Simple"/>
    <s v="58-60 Auburn St"/>
    <s v="Auburn"/>
    <s v="MA"/>
    <n v="1.04"/>
    <n v="1953"/>
    <n v="8107"/>
    <n v="8107"/>
    <n v="1"/>
    <n v="116435"/>
    <n v="14.36227951153324"/>
    <n v="92496"/>
    <n v="11.40939928456889"/>
    <d v="2017-03-01T00:00:00"/>
    <d v="2015-02-28T00:00:00"/>
    <d v="2015-02-28T00:00:00"/>
    <n v="5.241095890410959"/>
    <n v="5.241095890410959"/>
    <s v="Rider"/>
    <s v="Option"/>
    <s v="1, 5 year"/>
    <n v="1280000"/>
    <n v="157.8882447267793"/>
    <n v="0.07226249999999999"/>
    <m/>
    <d v="2009-12-03T00:00:00"/>
    <x v="1821"/>
    <s v="TCP; Harrison"/>
    <x v="1333"/>
    <s v="MA"/>
    <s v="Private"/>
    <m/>
    <m/>
    <n v="1480000"/>
    <n v="0.0624972972972973"/>
    <n v="0.8648648648648649"/>
    <n v="1480000"/>
    <n v="0.0624972972972973"/>
    <n v="0.009765202702702695"/>
    <s v="No"/>
    <d v="2009-04-22T00:00:00"/>
    <n v="225"/>
  </r>
  <r>
    <s v="LCA01762"/>
    <s v="SSA"/>
    <s v="Federal"/>
    <s v="Fee Simple"/>
    <s v="1901 E Noble Ave"/>
    <s v="Visalia"/>
    <s v="CA"/>
    <n v="0.74"/>
    <n v="2009"/>
    <n v="12535"/>
    <n v="12535"/>
    <n v="1"/>
    <n v="500773"/>
    <n v="39.94998005584364"/>
    <n v="372000"/>
    <n v="29.67690466693259"/>
    <d v="2019-08-01T00:00:00"/>
    <d v="2024-07-31T00:00:00"/>
    <d v="2019-07-31T00:00:00"/>
    <n v="14.66849315068493"/>
    <n v="9.663013698630136"/>
    <s v="Modified Gross"/>
    <s v="None"/>
    <s v="None"/>
    <n v="4650000"/>
    <n v="370.9613083366573"/>
    <n v="0.08"/>
    <m/>
    <d v="2009-12-03T00:00:00"/>
    <x v="681"/>
    <s v="M&amp;M; Trautvetter"/>
    <x v="1334"/>
    <s v="CA"/>
    <s v="Private"/>
    <m/>
    <m/>
    <m/>
    <s v=" "/>
    <s v=" "/>
    <m/>
    <s v=" "/>
    <s v=" "/>
    <s v=" "/>
    <m/>
    <s v=" "/>
  </r>
  <r>
    <m/>
    <s v="CBP"/>
    <s v="Federal"/>
    <s v="Fee Simple"/>
    <s v="3000 W Military Hwy"/>
    <s v="McAllen"/>
    <s v="TX"/>
    <n v="23.84"/>
    <n v="2009"/>
    <n v="68564"/>
    <n v="68564"/>
    <n v="1"/>
    <m/>
    <s v=" "/>
    <n v="2015000"/>
    <n v="29.38860043171344"/>
    <d v="2009-04-09T00:00:00"/>
    <d v="2029-04-30T00:00:00"/>
    <d v="2024-04-30T00:00:00"/>
    <n v="19.42465753424657"/>
    <n v="14.42191780821918"/>
    <s v="Modified Gross"/>
    <s v="None"/>
    <s v="None"/>
    <n v="24700000"/>
    <n v="360.2473601306808"/>
    <n v="0.08157894736842106"/>
    <m/>
    <d v="2009-12-01T00:00:00"/>
    <x v="1822"/>
    <s v="JLL"/>
    <x v="429"/>
    <s v="NY"/>
    <s v="Private"/>
    <m/>
    <m/>
    <m/>
    <s v=" "/>
    <s v=" "/>
    <m/>
    <s v=" "/>
    <s v=" "/>
    <s v=" "/>
    <m/>
    <s v=" "/>
  </r>
  <r>
    <m/>
    <s v="IRS"/>
    <s v="Federal"/>
    <s v="Fee Simple"/>
    <s v="7350 W Camino San Xavier"/>
    <s v="Glendale"/>
    <s v="AZ"/>
    <n v="2.3372"/>
    <n v="2008"/>
    <n v="18963"/>
    <n v="18963"/>
    <n v="1"/>
    <m/>
    <s v=" "/>
    <n v="619437.5"/>
    <n v="32.6655856140906"/>
    <d v="2009-02-01T00:00:00"/>
    <d v="2029-01-31T00:00:00"/>
    <d v="2024-01-31T00:00:00"/>
    <n v="19.23287671232877"/>
    <n v="14.22739726027397"/>
    <m/>
    <m/>
    <m/>
    <n v="7287500"/>
    <n v="384.3010072245953"/>
    <n v="0.08500000000000001"/>
    <m/>
    <d v="2009-11-12T00:00:00"/>
    <x v="681"/>
    <s v="C&amp;W; Trautvetter"/>
    <x v="1335"/>
    <s v="CA"/>
    <s v="Private"/>
    <m/>
    <m/>
    <m/>
    <s v=" "/>
    <s v=" "/>
    <m/>
    <s v=" "/>
    <s v=" "/>
    <s v=" "/>
    <m/>
    <s v=" "/>
  </r>
  <r>
    <m/>
    <s v="USPS"/>
    <s v="Federal"/>
    <s v="Fee Simple"/>
    <s v="216 Lee St"/>
    <s v="Jefferson"/>
    <s v="GA"/>
    <n v="1"/>
    <n v="1969"/>
    <n v="5794"/>
    <n v="5794"/>
    <n v="1"/>
    <m/>
    <s v=" "/>
    <m/>
    <s v=" "/>
    <m/>
    <m/>
    <m/>
    <s v=" "/>
    <s v=" "/>
    <m/>
    <m/>
    <m/>
    <n v="820000"/>
    <n v="141.5257162581981"/>
    <s v=" "/>
    <m/>
    <d v="2009-10-29T00:00:00"/>
    <x v="1823"/>
    <m/>
    <x v="1336"/>
    <s v="GA"/>
    <s v="Private"/>
    <m/>
    <m/>
    <m/>
    <s v=" "/>
    <s v=" "/>
    <m/>
    <s v=" "/>
    <s v=" "/>
    <s v=" "/>
    <m/>
    <s v=" "/>
  </r>
  <r>
    <s v="LTX15713"/>
    <s v="SSA"/>
    <s v="Federal"/>
    <s v="Fee Simple"/>
    <s v="2901 Victory Ln"/>
    <s v="Brenham"/>
    <s v="TX"/>
    <n v="1.26"/>
    <n v="2006"/>
    <n v="6524"/>
    <n v="6524"/>
    <n v="1"/>
    <n v="151815"/>
    <n v="23.27023298589822"/>
    <n v="115477"/>
    <n v="17.70033721643164"/>
    <d v="2006-12-07T00:00:00"/>
    <d v="2021-12-06T00:00:00"/>
    <d v="2016-12-07T00:00:00"/>
    <n v="12.16712328767123"/>
    <n v="7.167123287671233"/>
    <s v="Modified Gross"/>
    <s v="None"/>
    <s v="None"/>
    <n v="1500000"/>
    <n v="229.9202942979767"/>
    <n v="0.07698466666666667"/>
    <m/>
    <d v="2009-10-09T00:00:00"/>
    <x v="921"/>
    <s v="SVN; Bruce Marshall"/>
    <x v="1337"/>
    <s v="HI"/>
    <s v="Private"/>
    <s v="Steven Sofos"/>
    <m/>
    <n v="1580000"/>
    <n v="0.07308670886075949"/>
    <n v="0.9493670886075949"/>
    <n v="1580000"/>
    <n v="0.07308670886075949"/>
    <n v="0.003897957805907182"/>
    <s v="No"/>
    <d v="2009-07-06T00:00:00"/>
    <n v="95"/>
  </r>
  <r>
    <s v="LAL45056"/>
    <s v="SSA"/>
    <s v="Federal"/>
    <s v="Fee Simple"/>
    <s v="1200 Reverend Abrahama Woods Jr. Blvd"/>
    <s v="Birmingham"/>
    <s v="AL"/>
    <n v="5"/>
    <n v="2008"/>
    <n v="587528"/>
    <n v="587528"/>
    <n v="1"/>
    <n v="15907736.5"/>
    <n v="27.0757078811563"/>
    <n v="11275187"/>
    <n v="19.19089302977901"/>
    <d v="2008-01-28T00:00:00"/>
    <d v="2028-01-27T00:00:00"/>
    <d v="2028-01-27T00:00:00"/>
    <n v="18.33150684931507"/>
    <n v="18.33150684931507"/>
    <s v="Modified Gross"/>
    <s v="None"/>
    <s v="None"/>
    <n v="170000000"/>
    <n v="289.3479119293038"/>
    <n v="0.0663246294117647"/>
    <m/>
    <d v="2009-10-02T00:00:00"/>
    <x v="1824"/>
    <m/>
    <x v="1338"/>
    <s v="TX"/>
    <s v="Private"/>
    <m/>
    <m/>
    <m/>
    <s v=" "/>
    <s v=" "/>
    <m/>
    <s v=" "/>
    <s v=" "/>
    <s v=" "/>
    <m/>
    <s v=" "/>
  </r>
  <r>
    <s v="LTN41019"/>
    <s v="SSA"/>
    <s v="Federal"/>
    <s v="Fee Simple"/>
    <s v="1618 Old Tusculum Rd"/>
    <s v="Greeneville"/>
    <s v="TN"/>
    <n v="1.01"/>
    <n v="2003"/>
    <n v="6605"/>
    <n v="6605"/>
    <n v="1"/>
    <n v="95767.21000000001"/>
    <n v="14.49919909159728"/>
    <m/>
    <s v=" "/>
    <d v="2003-09-29T00:00:00"/>
    <d v="2013-09-28T00:00:00"/>
    <d v="2008-09-29T00:00:00"/>
    <n v="4.021917808219178"/>
    <n v="-0.9780821917808219"/>
    <s v="Modified Gross"/>
    <s v="None"/>
    <s v="None"/>
    <n v="600000"/>
    <n v="90.84027252081756"/>
    <s v=" "/>
    <m/>
    <d v="2009-09-21T00:00:00"/>
    <x v="1825"/>
    <m/>
    <x v="1339"/>
    <s v="TN"/>
    <s v="Private"/>
    <m/>
    <m/>
    <m/>
    <s v=" "/>
    <s v=" "/>
    <m/>
    <s v=" "/>
    <s v=" "/>
    <s v=" "/>
    <m/>
    <s v=" "/>
  </r>
  <r>
    <m/>
    <s v="USPS"/>
    <s v="Federal"/>
    <s v="Fee Simple"/>
    <s v="15750 Highway 66"/>
    <s v="Keno"/>
    <s v="OR"/>
    <n v="1.03"/>
    <n v="1988"/>
    <n v="2541"/>
    <n v="2541"/>
    <n v="1"/>
    <n v="31716"/>
    <n v="12.48170011806375"/>
    <n v="31317"/>
    <n v="12.32467532467532"/>
    <d v="2008-08-01T00:00:00"/>
    <d v="2013-07-31T00:00:00"/>
    <d v="2013-07-31T00:00:00"/>
    <n v="3.868493150684932"/>
    <n v="3.868493150684932"/>
    <s v="Rider"/>
    <s v="Option"/>
    <s v="1, 5 year"/>
    <n v="413000"/>
    <n v="162.534435261708"/>
    <n v="0.07582808716707022"/>
    <m/>
    <d v="2009-09-18T00:00:00"/>
    <x v="1580"/>
    <s v="TCP; Harrison"/>
    <x v="1340"/>
    <s v="CA"/>
    <s v="Private"/>
    <m/>
    <m/>
    <n v="465000"/>
    <n v="0.0673483870967742"/>
    <n v="0.8881720430107527"/>
    <n v="450000"/>
    <n v="0.06959333333333333"/>
    <n v="0.006234753833736895"/>
    <s v="Yes"/>
    <d v="2009-04-22T00:00:00"/>
    <n v="149"/>
  </r>
  <r>
    <m/>
    <s v="USPS"/>
    <s v="Federal"/>
    <s v="Fee Simple"/>
    <s v="10-12 Celina Ave"/>
    <s v="Nashua"/>
    <s v="NH"/>
    <n v="22.83"/>
    <n v="1979"/>
    <n v="321800"/>
    <n v="321800"/>
    <n v="1"/>
    <n v="2217900"/>
    <n v="6.892169049098819"/>
    <n v="1934660"/>
    <n v="6.011995027967682"/>
    <d v="2008-03-01T00:00:00"/>
    <d v="2013-02-28T00:00:00"/>
    <d v="2013-02-28T00:00:00"/>
    <n v="3.498630136986301"/>
    <n v="3.498630136986301"/>
    <s v="Rider"/>
    <s v="Options"/>
    <s v="4, 5 year"/>
    <n v="18200000"/>
    <n v="56.55686761963953"/>
    <n v="0.1063"/>
    <m/>
    <d v="2009-08-31T00:00:00"/>
    <x v="734"/>
    <s v="Griffith Properties"/>
    <x v="790"/>
    <s v="MA"/>
    <s v="REIT"/>
    <m/>
    <m/>
    <m/>
    <s v=" "/>
    <s v=" "/>
    <m/>
    <s v=" "/>
    <s v=" "/>
    <s v=" "/>
    <m/>
    <s v=" "/>
  </r>
  <r>
    <s v="LUT13736"/>
    <s v="OSHA"/>
    <s v="Federal"/>
    <s v="Fee Simple"/>
    <s v="8660 Sandy Pkwy"/>
    <s v="Sandy"/>
    <s v="UT"/>
    <n v="5.36"/>
    <n v="2003"/>
    <n v="75000"/>
    <n v="75000"/>
    <n v="1"/>
    <n v="2772587.95"/>
    <n v="36.96783933333334"/>
    <n v="1554000"/>
    <n v="20.72"/>
    <d v="2004-01-29T00:00:00"/>
    <d v="2024-01-28T00:00:00"/>
    <d v="2023-11-30T00:00:00"/>
    <n v="14.48219178082192"/>
    <n v="14.32054794520548"/>
    <s v="FS"/>
    <m/>
    <s v="None"/>
    <n v="21000000"/>
    <n v="280"/>
    <n v="0.074"/>
    <m/>
    <d v="2009-08-08T00:00:00"/>
    <x v="1826"/>
    <s v="Direct"/>
    <x v="1341"/>
    <s v="FL"/>
    <s v="Private"/>
    <m/>
    <m/>
    <m/>
    <s v=" "/>
    <s v=" "/>
    <m/>
    <s v=" "/>
    <s v=" "/>
    <s v=" "/>
    <m/>
    <s v=" "/>
  </r>
  <r>
    <s v="LTN41019"/>
    <s v="SSA"/>
    <s v="Federal"/>
    <s v="Fee Simple"/>
    <s v="1618 Old Tusculum Rd"/>
    <s v="Greeneville"/>
    <s v="TN"/>
    <n v="1.01"/>
    <n v="2003"/>
    <n v="6605"/>
    <n v="6605"/>
    <n v="1"/>
    <n v="95767.21000000001"/>
    <n v="14.49919909159728"/>
    <m/>
    <s v=" "/>
    <d v="2003-09-29T00:00:00"/>
    <d v="2013-09-28T00:00:00"/>
    <d v="2008-09-29T00:00:00"/>
    <n v="4.175342465753425"/>
    <n v="-0.8246575342465754"/>
    <s v="Modified Gross"/>
    <s v="None"/>
    <s v="None"/>
    <n v="505000"/>
    <n v="76.45722937168811"/>
    <s v=" "/>
    <m/>
    <d v="2009-07-27T00:00:00"/>
    <x v="1827"/>
    <m/>
    <x v="1342"/>
    <s v="TN"/>
    <s v="Private"/>
    <m/>
    <m/>
    <m/>
    <s v=" "/>
    <s v=" "/>
    <m/>
    <s v=" "/>
    <s v=" "/>
    <s v=" "/>
    <m/>
    <s v=" "/>
  </r>
  <r>
    <m/>
    <s v="BLM"/>
    <s v="Federal"/>
    <s v="Fee Simple"/>
    <s v="1005 Selway Dr"/>
    <s v="Dillon"/>
    <s v="MT"/>
    <n v="5.26"/>
    <n v="1999"/>
    <n v="10825"/>
    <n v="10825"/>
    <n v="1"/>
    <n v="133657"/>
    <n v="12.34706697459584"/>
    <n v="98039"/>
    <n v="9.056720554272518"/>
    <d v="1999-02-01T00:00:00"/>
    <d v="2019-01-31T00:00:00"/>
    <d v="2019-01-31T00:00:00"/>
    <n v="9.558904109589042"/>
    <n v="9.558904109589042"/>
    <s v="Modified Gross"/>
    <s v="Every 5"/>
    <s v="None"/>
    <n v="1000000"/>
    <n v="92.37875288683603"/>
    <n v="0.098039"/>
    <m/>
    <d v="2009-07-13T00:00:00"/>
    <x v="1828"/>
    <s v="West Haradin"/>
    <x v="1343"/>
    <m/>
    <m/>
    <m/>
    <m/>
    <n v="1120000"/>
    <n v="0.08753482142857143"/>
    <n v="0.8928571428571429"/>
    <n v="1120000"/>
    <n v="0.08753482142857143"/>
    <n v="0.01050417857142857"/>
    <s v="No"/>
    <d v="2008-04-08T00:00:00"/>
    <n v="461"/>
  </r>
  <r>
    <s v="LIL16282"/>
    <s v="SSA"/>
    <s v="Federal"/>
    <s v="Fee Simple"/>
    <s v="4631 S Ashland Ave"/>
    <s v="Chicago"/>
    <s v="IL"/>
    <n v="0.52"/>
    <n v="2000"/>
    <n v="94000"/>
    <n v="9400"/>
    <n v="10"/>
    <n v="301088.57"/>
    <n v="3.203069893617021"/>
    <m/>
    <s v=" "/>
    <d v="1999-07-07T00:00:00"/>
    <d v="2016-07-06T00:00:00"/>
    <d v="2016-01-06T00:00:00"/>
    <n v="7"/>
    <n v="6.501369863013698"/>
    <s v="Modified Gross"/>
    <s v="None"/>
    <s v="None"/>
    <n v="1350000"/>
    <n v="143.6170212765958"/>
    <s v=" "/>
    <m/>
    <d v="2009-07-08T00:00:00"/>
    <x v="1829"/>
    <m/>
    <x v="164"/>
    <s v="IL"/>
    <s v="Private"/>
    <m/>
    <m/>
    <m/>
    <s v=" "/>
    <s v=" "/>
    <m/>
    <s v=" "/>
    <s v=" "/>
    <s v=" "/>
    <m/>
    <s v=" "/>
  </r>
  <r>
    <m/>
    <s v="USPS"/>
    <s v="Federal"/>
    <s v="Fee Simple"/>
    <s v="4080 15th Ave SW"/>
    <s v="Naples"/>
    <s v="FL"/>
    <n v="2.04"/>
    <n v="1998"/>
    <n v="13575"/>
    <n v="13575"/>
    <n v="1"/>
    <m/>
    <s v=" "/>
    <m/>
    <s v=" "/>
    <m/>
    <d v="2020-01-31T00:00:00"/>
    <m/>
    <n v="10.5945205479452"/>
    <s v=" "/>
    <s v="Rider"/>
    <m/>
    <m/>
    <n v="2188375"/>
    <n v="161.2062615101289"/>
    <s v=" "/>
    <m/>
    <d v="2009-06-30T00:00:00"/>
    <x v="1830"/>
    <s v="Karas"/>
    <x v="1344"/>
    <s v="MO"/>
    <s v="Private"/>
    <m/>
    <m/>
    <m/>
    <s v=" "/>
    <s v=" "/>
    <m/>
    <s v=" "/>
    <s v=" "/>
    <s v=" "/>
    <m/>
    <s v=" "/>
  </r>
  <r>
    <s v="LAZ01877"/>
    <s v="DEA"/>
    <s v="Federal"/>
    <s v="Fee Simple"/>
    <s v="3439 E University Dr"/>
    <s v="Phoenix"/>
    <s v="AZ"/>
    <n v="2.37"/>
    <n v="2009"/>
    <n v="30403"/>
    <n v="30403"/>
    <n v="1"/>
    <n v="914572"/>
    <n v="30.08163668059073"/>
    <n v="629832"/>
    <n v="20.71611354142683"/>
    <d v="2009-10-09T00:00:00"/>
    <d v="2024-10-08T00:00:00"/>
    <d v="2019-10-09T00:00:00"/>
    <n v="15.28493150684931"/>
    <n v="10.28219178082192"/>
    <s v="Modified Gross"/>
    <s v="None"/>
    <s v="None"/>
    <n v="7728000"/>
    <n v="254.1854422260961"/>
    <n v="0.0815"/>
    <m/>
    <d v="2009-06-30T00:00:00"/>
    <x v="1831"/>
    <s v="CBRE; Eric Wichterman"/>
    <x v="1345"/>
    <s v="KS"/>
    <s v="Private"/>
    <m/>
    <m/>
    <m/>
    <s v=" "/>
    <s v=" "/>
    <m/>
    <s v=" "/>
    <s v=" "/>
    <s v=" "/>
    <m/>
    <s v=" "/>
  </r>
  <r>
    <m/>
    <s v="USPS"/>
    <s v="Federal"/>
    <s v="Fee Simple"/>
    <s v="123 S 3rd St"/>
    <s v="King City"/>
    <s v="CA"/>
    <n v="0.26"/>
    <n v="0.26"/>
    <n v="5084"/>
    <n v="5084"/>
    <n v="1"/>
    <m/>
    <s v=" "/>
    <n v="63125"/>
    <n v="12.41640440597954"/>
    <d v="2007-10-01T00:00:00"/>
    <d v="2017-09-30T00:00:00"/>
    <d v="2017-09-30T00:00:00"/>
    <n v="8.284931506849315"/>
    <n v="8.284931506849315"/>
    <s v="Rider"/>
    <s v="Option"/>
    <s v="1, 5 year"/>
    <n v="971500"/>
    <n v="191.0896931549961"/>
    <n v="0.06497683993823984"/>
    <m/>
    <d v="2009-06-20T00:00:00"/>
    <x v="1832"/>
    <s v="TCP; Harrison"/>
    <x v="1346"/>
    <s v="CA"/>
    <s v="Private"/>
    <s v="Dave Schuepbach"/>
    <m/>
    <n v="1010000"/>
    <n v="0.0625"/>
    <n v="0.9618811881188118"/>
    <n v="1010000"/>
    <n v="0.0625"/>
    <n v="0.002476839938239841"/>
    <s v="No"/>
    <d v="2009-04-22T00:00:00"/>
    <n v="59"/>
  </r>
  <r>
    <s v="LOH17760"/>
    <s v="SSA"/>
    <s v="Federal"/>
    <s v="Fee Simple"/>
    <s v="444 Enterprise Pky"/>
    <s v="Ravenna"/>
    <s v="OH"/>
    <n v="0.88"/>
    <n v="2008"/>
    <n v="5517"/>
    <n v="5517"/>
    <n v="1"/>
    <n v="167240.83"/>
    <n v="30.31372666304151"/>
    <n v="57750"/>
    <n v="10.46764545948885"/>
    <d v="2008-08-15T00:00:00"/>
    <d v="2020-08-14T00:00:00"/>
    <d v="2018-08-14T00:00:00"/>
    <n v="11.16986301369863"/>
    <n v="9.167123287671233"/>
    <s v="Modified Gross"/>
    <s v="None"/>
    <s v="None"/>
    <n v="700000"/>
    <n v="126.8805510241073"/>
    <n v="0.0825"/>
    <m/>
    <d v="2009-06-16T00:00:00"/>
    <x v="1833"/>
    <m/>
    <x v="1347"/>
    <s v="OH"/>
    <s v="Private"/>
    <m/>
    <m/>
    <m/>
    <s v=" "/>
    <s v=" "/>
    <m/>
    <s v=" "/>
    <s v=" "/>
    <s v=" "/>
    <m/>
    <s v=" "/>
  </r>
  <r>
    <s v="LMA04308"/>
    <s v="SSA"/>
    <s v="Federal"/>
    <s v="Fee Simple"/>
    <s v="140 Union St"/>
    <s v="Lynn"/>
    <s v="MA"/>
    <n v="2.15"/>
    <n v="2005"/>
    <n v="10430"/>
    <n v="62447"/>
    <n v="0.1670216343459253"/>
    <n v="219326.07"/>
    <n v="21.02838638542665"/>
    <n v="459900"/>
    <n v="7.364645219145836"/>
    <d v="2004-03-01T00:00:00"/>
    <d v="2024-02-28T00:00:00"/>
    <d v="2010-09-01T00:00:00"/>
    <n v="14.8"/>
    <n v="1.298630136986301"/>
    <s v="Modified Gross"/>
    <s v="None"/>
    <s v="None"/>
    <n v="5110000"/>
    <n v="81.82939132384261"/>
    <n v="0.09"/>
    <m/>
    <d v="2009-05-15T00:00:00"/>
    <x v="1834"/>
    <m/>
    <x v="1348"/>
    <s v="MA"/>
    <s v="Private"/>
    <m/>
    <m/>
    <m/>
    <s v=" "/>
    <s v=" "/>
    <m/>
    <s v=" "/>
    <s v=" "/>
    <s v=" "/>
    <m/>
    <s v=" "/>
  </r>
  <r>
    <m/>
    <s v="Treas."/>
    <s v="Federal"/>
    <s v="Fee Simple"/>
    <s v="4241 NE 34th St"/>
    <s v="Kansas City"/>
    <s v="MO"/>
    <n v="7.02"/>
    <n v="2003"/>
    <n v="87993"/>
    <n v="87993"/>
    <n v="1"/>
    <m/>
    <s v=" "/>
    <m/>
    <s v=" "/>
    <m/>
    <m/>
    <m/>
    <s v=" "/>
    <s v=" "/>
    <m/>
    <m/>
    <m/>
    <m/>
    <s v=" "/>
    <s v=" "/>
    <m/>
    <d v="2009-05-05T00:00:00"/>
    <x v="8"/>
    <m/>
    <x v="790"/>
    <s v="MA"/>
    <s v="REIT"/>
    <m/>
    <m/>
    <m/>
    <s v=" "/>
    <s v=" "/>
    <m/>
    <s v=" "/>
    <s v=" "/>
    <s v=" "/>
    <m/>
    <s v=" "/>
  </r>
  <r>
    <s v="LVA01994"/>
    <s v="DEA"/>
    <s v="Federal"/>
    <s v="Fee Simple"/>
    <s v="600-700 Army-Navy Dr"/>
    <s v="Arlington"/>
    <s v="VA"/>
    <n v="9.41"/>
    <n v="1988"/>
    <n v="511487"/>
    <n v="511487"/>
    <n v="1"/>
    <n v="19434708"/>
    <n v="37.99648475914344"/>
    <n v="13572000"/>
    <n v="26.53439872372123"/>
    <d v="2008-10-01T00:00:00"/>
    <d v="2018-09-30T00:00:00"/>
    <d v="2018-09-30T00:00:00"/>
    <n v="9.424657534246576"/>
    <n v="9.424657534246576"/>
    <s v="Modified Gross"/>
    <s v="None"/>
    <s v="None"/>
    <m/>
    <s v=" "/>
    <s v=" "/>
    <m/>
    <d v="2009-04-30T00:00:00"/>
    <x v="1835"/>
    <m/>
    <x v="968"/>
    <s v="MA"/>
    <s v="Institutional"/>
    <m/>
    <m/>
    <m/>
    <s v=" "/>
    <s v=" "/>
    <m/>
    <s v=" "/>
    <s v=" "/>
    <s v=" "/>
    <m/>
    <s v=" "/>
  </r>
  <r>
    <m/>
    <s v="AG"/>
    <s v="Federal"/>
    <s v="Fee Simple"/>
    <s v="138 Delaware Ave"/>
    <s v="Buffalo"/>
    <s v="NY"/>
    <n v="0.55"/>
    <n v="1994"/>
    <n v="71796"/>
    <n v="121711"/>
    <n v="0.5898891636746062"/>
    <m/>
    <s v=" "/>
    <m/>
    <s v=" "/>
    <d v="2019-02-01T00:00:00"/>
    <d v="2029-01-31T00:00:00"/>
    <d v="2024-01-31T00:00:00"/>
    <n v="19.78630136986301"/>
    <n v="14.78082191780822"/>
    <s v="Modified Gross"/>
    <s v="None"/>
    <s v="None"/>
    <m/>
    <s v=" "/>
    <s v=" "/>
    <m/>
    <d v="2009-04-24T00:00:00"/>
    <x v="1836"/>
    <s v="Direct"/>
    <x v="790"/>
    <s v="MA"/>
    <s v="REIT"/>
    <m/>
    <m/>
    <m/>
    <s v=" "/>
    <s v=" "/>
    <m/>
    <s v=" "/>
    <s v=" "/>
    <s v=" "/>
    <m/>
    <s v=" "/>
  </r>
  <r>
    <m/>
    <s v="IRS"/>
    <s v="Federal"/>
    <s v="Fee Simple"/>
    <s v="5045 E Butler Ave"/>
    <s v="Fresno"/>
    <s v="CA"/>
    <n v="48.46"/>
    <n v="1971"/>
    <n v="531976"/>
    <n v="531976"/>
    <n v="1"/>
    <m/>
    <s v=" "/>
    <m/>
    <s v=" "/>
    <m/>
    <m/>
    <m/>
    <s v=" "/>
    <s v=" "/>
    <m/>
    <m/>
    <m/>
    <m/>
    <s v=" "/>
    <s v=" "/>
    <m/>
    <d v="2009-04-22T00:00:00"/>
    <x v="1794"/>
    <m/>
    <x v="790"/>
    <s v="MA"/>
    <s v="REIT"/>
    <m/>
    <m/>
    <m/>
    <s v=" "/>
    <s v=" "/>
    <m/>
    <s v=" "/>
    <s v=" "/>
    <s v=" "/>
    <m/>
    <s v=" "/>
  </r>
  <r>
    <m/>
    <s v="Lottery"/>
    <s v="State"/>
    <s v="Fee Simple"/>
    <s v="2645-2655 Long Lake Rd"/>
    <s v="Roseville"/>
    <s v="MN"/>
    <n v="0.74"/>
    <n v="1987"/>
    <n v="29377"/>
    <n v="61426"/>
    <n v="0.4782502523361443"/>
    <m/>
    <s v=" "/>
    <m/>
    <s v=" "/>
    <m/>
    <m/>
    <m/>
    <s v=" "/>
    <s v=" "/>
    <m/>
    <m/>
    <m/>
    <n v="7749000"/>
    <n v="126.1517924006121"/>
    <s v=" "/>
    <m/>
    <d v="2009-04-22T00:00:00"/>
    <x v="1796"/>
    <m/>
    <x v="790"/>
    <s v="MA"/>
    <s v="REIT"/>
    <m/>
    <m/>
    <m/>
    <s v=" "/>
    <s v=" "/>
    <m/>
    <s v=" "/>
    <s v=" "/>
    <s v=" "/>
    <m/>
    <s v=" "/>
  </r>
  <r>
    <s v="LMD01638"/>
    <s v="SAT"/>
    <s v="Federal"/>
    <s v="Fee Simple"/>
    <s v="1 Choke Cherry Rd"/>
    <s v="Rockville"/>
    <s v="MD"/>
    <n v="1.7"/>
    <n v="2004"/>
    <n v="228020"/>
    <n v="228020"/>
    <n v="1"/>
    <n v="5395891.35"/>
    <n v="23.66411433207613"/>
    <n v="3458000"/>
    <n v="15.16533637400228"/>
    <d v="2004-08-27T00:00:00"/>
    <d v="2014-08-26T00:00:00"/>
    <d v="2014-05-27T00:00:00"/>
    <n v="5.367123287671233"/>
    <n v="5.117808219178082"/>
    <s v="Modified Gross"/>
    <s v="None"/>
    <s v="None"/>
    <n v="45500000"/>
    <n v="199.5438996579248"/>
    <n v="0.076"/>
    <m/>
    <d v="2009-04-15T00:00:00"/>
    <x v="1837"/>
    <s v="CT; Paul Collins"/>
    <x v="1016"/>
    <s v="IL"/>
    <s v="Institutional"/>
    <m/>
    <m/>
    <m/>
    <s v=" "/>
    <s v=" "/>
    <m/>
    <s v=" "/>
    <s v=" "/>
    <s v=" "/>
    <m/>
    <s v=" "/>
  </r>
  <r>
    <s v="LTX16218"/>
    <s v="SSA"/>
    <s v="Federal"/>
    <s v="Fee Simple"/>
    <s v="16200 Dillard Dr"/>
    <s v="Jersey Village"/>
    <s v="TX"/>
    <n v="4.2"/>
    <n v="2008"/>
    <n v="31504"/>
    <n v="31504"/>
    <n v="1"/>
    <n v="1009488"/>
    <n v="32.04316912138141"/>
    <n v="693294"/>
    <n v="22.00653885220924"/>
    <d v="2009-05-01T00:00:00"/>
    <d v="2024-04-30T00:00:00"/>
    <d v="2019-04-30T00:00:00"/>
    <n v="15.06849315068493"/>
    <n v="10.06301369863014"/>
    <s v="Modified Gross"/>
    <s v="None"/>
    <s v="None"/>
    <n v="9157100"/>
    <n v="290.6646775012697"/>
    <n v="0.07571108757139269"/>
    <m/>
    <d v="2009-04-09T00:00:00"/>
    <x v="1838"/>
    <m/>
    <x v="1349"/>
    <s v="TX"/>
    <s v="Private"/>
    <m/>
    <m/>
    <m/>
    <s v=" "/>
    <s v=" "/>
    <m/>
    <s v=" "/>
    <s v=" "/>
    <s v=" "/>
    <m/>
    <s v=" "/>
  </r>
  <r>
    <s v="LVA03374"/>
    <s v="SSA"/>
    <s v="Federal"/>
    <s v="Fee Simple"/>
    <s v="320 Commonwealth Blvd"/>
    <s v="Martinsville "/>
    <s v="VA"/>
    <n v="1.38"/>
    <n v="2004"/>
    <n v="7475"/>
    <n v="7475"/>
    <n v="1"/>
    <n v="150666.3"/>
    <n v="20.15602675585284"/>
    <m/>
    <s v=" "/>
    <d v="2004-04-26T00:00:00"/>
    <d v="2014-04-25T00:00:00"/>
    <d v="2014-04-25T00:00:00"/>
    <n v="5.063013698630137"/>
    <n v="5.063013698630137"/>
    <s v="Modified Gross"/>
    <s v="None"/>
    <s v="None"/>
    <n v="1250000"/>
    <n v="167.2240802675585"/>
    <s v=" "/>
    <m/>
    <d v="2009-04-03T00:00:00"/>
    <x v="1839"/>
    <m/>
    <x v="1350"/>
    <s v="NC"/>
    <m/>
    <m/>
    <m/>
    <m/>
    <s v=" "/>
    <s v=" "/>
    <m/>
    <s v=" "/>
    <s v=" "/>
    <s v=" "/>
    <m/>
    <s v=" "/>
  </r>
  <r>
    <m/>
    <s v="SSA"/>
    <s v="Federal"/>
    <s v="Fee Simple"/>
    <s v="960 W Mission Blvd"/>
    <s v="Pomona"/>
    <s v="CA"/>
    <n v="1.01"/>
    <n v="2006"/>
    <n v="10388"/>
    <n v="10388"/>
    <n v="1"/>
    <n v="500767"/>
    <n v="48.20629572583751"/>
    <n v="353290"/>
    <n v="34.00943396226415"/>
    <d v="2011-06-01T00:00:00"/>
    <d v="2021-06-01T00:00:00"/>
    <d v="2016-06-01T00:00:00"/>
    <n v="12.16986301369863"/>
    <n v="7.167123287671233"/>
    <s v="Modified Gross"/>
    <s v="Yes"/>
    <s v="None"/>
    <n v="5150000"/>
    <n v="495.7643434732383"/>
    <n v="0.06859999999999999"/>
    <m/>
    <d v="2009-04-03T00:00:00"/>
    <x v="1840"/>
    <s v="M&amp;M; Trautvetter"/>
    <x v="1351"/>
    <s v="CA"/>
    <s v="Private"/>
    <s v="Dayanim"/>
    <m/>
    <n v="5395000"/>
    <n v="0.06548470806302131"/>
    <n v="0.9545875810936052"/>
    <n v="5395000"/>
    <n v="0.06548470806302131"/>
    <n v="0.003115291936978681"/>
    <s v="No"/>
    <d v="2008-12-05T00:00:00"/>
    <n v="119"/>
  </r>
  <r>
    <m/>
    <m/>
    <s v="State"/>
    <s v="Fee Simple"/>
    <s v="State of IL - 7 Property Portfolio"/>
    <s v="Springfield"/>
    <s v="IL"/>
    <m/>
    <m/>
    <n v="63799"/>
    <n v="63799"/>
    <n v="1"/>
    <m/>
    <s v=" "/>
    <n v="599500"/>
    <n v="9.396699007821439"/>
    <m/>
    <m/>
    <m/>
    <s v=" "/>
    <s v=" "/>
    <m/>
    <m/>
    <m/>
    <n v="5500000"/>
    <n v="86.20824777817835"/>
    <n v="0.109"/>
    <m/>
    <d v="2009-03-19T00:00:00"/>
    <x v="1841"/>
    <s v="M&amp;M; Wiese"/>
    <x v="1352"/>
    <m/>
    <m/>
    <m/>
    <m/>
    <n v="6300000"/>
    <n v="0.09515873015873016"/>
    <n v="0.873015873015873"/>
    <n v="6300000"/>
    <n v="0.09515873015873016"/>
    <n v="0.01384126984126983"/>
    <s v="No"/>
    <d v="2008-04-30T00:00:00"/>
    <n v="323"/>
  </r>
  <r>
    <s v="LKY41064"/>
    <s v="DOJ"/>
    <s v="Federal"/>
    <s v="Fee Simple"/>
    <s v="260 W Vine St"/>
    <s v="Lexington"/>
    <s v="KY"/>
    <n v="0.28"/>
    <n v="2005"/>
    <n v="44717"/>
    <n v="44717"/>
    <n v="1"/>
    <n v="1257682.93"/>
    <n v="28.12538698928819"/>
    <n v="785471.4099999999"/>
    <n v="17.56538698928819"/>
    <d v="2004-03-23T00:00:00"/>
    <d v="2019-03-22T00:00:00"/>
    <d v="2014-03-22T00:00:00"/>
    <n v="10.01917808219178"/>
    <n v="5.016438356164383"/>
    <s v="Modified Gross"/>
    <s v="None"/>
    <s v="None"/>
    <n v="11468670"/>
    <n v="256.4722588724646"/>
    <n v="0.06848844809380686"/>
    <m/>
    <d v="2009-03-17T00:00:00"/>
    <x v="842"/>
    <m/>
    <x v="1353"/>
    <s v="CA"/>
    <s v="Private"/>
    <m/>
    <m/>
    <m/>
    <s v=" "/>
    <s v=" "/>
    <m/>
    <s v=" "/>
    <s v=" "/>
    <s v=" "/>
    <m/>
    <s v=" "/>
  </r>
  <r>
    <m/>
    <s v="DFPS &amp; HHS"/>
    <s v="State"/>
    <s v="Fee Simple"/>
    <s v="3 Northpoint Dr"/>
    <s v="Houston"/>
    <s v="TX"/>
    <n v="2.65"/>
    <n v="1979"/>
    <n v="43966"/>
    <n v="43966"/>
    <n v="1"/>
    <m/>
    <s v=" "/>
    <m/>
    <s v=" "/>
    <d v="2003-07-31T00:00:00"/>
    <d v="2013-07-31T00:00:00"/>
    <m/>
    <n v="4.394520547945206"/>
    <s v=" "/>
    <s v="Full Service"/>
    <s v="None"/>
    <s v="None"/>
    <m/>
    <s v=" "/>
    <s v=" "/>
    <m/>
    <d v="2009-03-10T00:00:00"/>
    <x v="1842"/>
    <m/>
    <x v="1354"/>
    <s v="TX"/>
    <s v="Private"/>
    <m/>
    <m/>
    <m/>
    <s v=" "/>
    <s v=" "/>
    <m/>
    <s v=" "/>
    <s v=" "/>
    <s v=" "/>
    <m/>
    <s v=" "/>
  </r>
  <r>
    <s v="LWV06372"/>
    <s v="DHS-USCG"/>
    <s v="Federal"/>
    <s v="Fee Simple"/>
    <s v="100 Forbes Dr"/>
    <s v="Martinsburg"/>
    <s v="WV"/>
    <n v="4.44"/>
    <n v="2007"/>
    <n v="59547"/>
    <n v="59547"/>
    <n v="1"/>
    <n v="1550867.36"/>
    <n v="26.04442474012125"/>
    <n v="1129950"/>
    <n v="18.97576704116076"/>
    <d v="2007-12-14T00:00:00"/>
    <d v="2027-12-13T00:00:00"/>
    <d v="2022-12-14T00:00:00"/>
    <n v="18.83287671232877"/>
    <n v="13.83287671232877"/>
    <s v="Modified Gross"/>
    <s v="None"/>
    <s v="None"/>
    <n v="13750000"/>
    <n v="230.9100374494097"/>
    <n v="0.08217818181818182"/>
    <m/>
    <d v="2009-02-16T00:00:00"/>
    <x v="842"/>
    <m/>
    <x v="763"/>
    <s v="NC"/>
    <s v="Private"/>
    <m/>
    <m/>
    <m/>
    <s v=" "/>
    <s v=" "/>
    <m/>
    <s v=" "/>
    <s v=" "/>
    <s v=" "/>
    <m/>
    <s v=" "/>
  </r>
  <r>
    <s v="LAL47090"/>
    <s v="SSA"/>
    <s v="Federal"/>
    <s v="Fee Simple"/>
    <s v="1908 Commerce Ave"/>
    <s v="Cullman"/>
    <s v="AL"/>
    <n v="0.99"/>
    <n v="2008"/>
    <n v="7361"/>
    <n v="7361"/>
    <n v="1"/>
    <n v="167367.76"/>
    <n v="22.73709550332836"/>
    <n v="107100"/>
    <n v="14.54965357967668"/>
    <d v="2008-08-05T00:00:00"/>
    <d v="2018-08-04T00:00:00"/>
    <d v="2013-08-05T00:00:00"/>
    <n v="9.520547945205479"/>
    <n v="4.52054794520548"/>
    <s v="Modified Gross"/>
    <s v="None"/>
    <s v="None"/>
    <n v="1268000"/>
    <n v="172.2592039125119"/>
    <n v="0.08446372239747635"/>
    <m/>
    <d v="2009-01-28T00:00:00"/>
    <x v="568"/>
    <s v="Colliers; Cottle"/>
    <x v="1355"/>
    <s v="CA"/>
    <s v="Private"/>
    <s v="Mark Boston"/>
    <s v="LBA Properties"/>
    <n v="1260000"/>
    <n v="0.08500000000000001"/>
    <n v="1.006349206349206"/>
    <n v="1260000"/>
    <n v="0.08500000000000001"/>
    <n v="-0.0005362776025236576"/>
    <s v="No"/>
    <d v="2008-09-17T00:00:00"/>
    <n v="133"/>
  </r>
  <r>
    <s v="LIL17010"/>
    <s v="FBI"/>
    <s v="Federal"/>
    <s v="Fee Simple"/>
    <s v="2111 W Roosevelt Rd"/>
    <s v="Chicago"/>
    <s v="IL"/>
    <n v="10"/>
    <n v="2006"/>
    <n v="429728"/>
    <n v="429728"/>
    <n v="1"/>
    <n v="20113973.4"/>
    <n v="46.80629002531834"/>
    <n v="13430000"/>
    <n v="31.25232705339191"/>
    <d v="2006-04-01T00:00:00"/>
    <d v="2020-03-31T00:00:00"/>
    <d v="2020-03-31T00:00:00"/>
    <n v="11.23013698630137"/>
    <n v="11.23013698630137"/>
    <s v="Modified Gross"/>
    <s v="None"/>
    <s v="None"/>
    <n v="170000000"/>
    <n v="395.5990766252141"/>
    <n v="0.079"/>
    <m/>
    <d v="2009-01-09T00:00:00"/>
    <x v="1843"/>
    <s v="CBRE; Fraker"/>
    <x v="242"/>
    <s v="TX"/>
    <s v="Institutional"/>
    <m/>
    <m/>
    <m/>
    <s v=" "/>
    <s v=" "/>
    <m/>
    <s v=" "/>
    <s v=" "/>
    <s v=" "/>
    <d v="2007-07-11T00:00:00"/>
    <n v="548"/>
  </r>
  <r>
    <m/>
    <s v="FBI"/>
    <s v="Federal"/>
    <s v="Fee Simple"/>
    <s v="3301 W Memorial Rd"/>
    <s v="Oklahoma City"/>
    <s v="OK"/>
    <n v="8.779999999999999"/>
    <n v="1998"/>
    <n v="114556"/>
    <n v="114556"/>
    <n v="1"/>
    <n v="2799244"/>
    <n v="24.43559481825483"/>
    <n v="2025330"/>
    <n v="17.67982471455009"/>
    <d v="2004-03-17T00:00:00"/>
    <d v="2024-03-16T00:00:00"/>
    <d v="2019-03-15T00:00:00"/>
    <n v="15.2027397260274"/>
    <n v="10.19452054794521"/>
    <s v="Modified Gross"/>
    <s v="None"/>
    <s v="None"/>
    <n v="24562998"/>
    <n v="214.4191312545829"/>
    <n v="0.08245451145662268"/>
    <m/>
    <d v="2009-01-05T00:00:00"/>
    <x v="1759"/>
    <s v="M&amp;M; Feagans"/>
    <x v="2"/>
    <s v="VA"/>
    <s v="Private"/>
    <m/>
    <m/>
    <m/>
    <s v=" "/>
    <s v=" "/>
    <m/>
    <s v=" "/>
    <s v=" "/>
    <s v=" "/>
    <m/>
    <s v=" "/>
  </r>
  <r>
    <m/>
    <s v="FS"/>
    <s v="Federal"/>
    <s v="Fee Simple"/>
    <s v="2300 NW Aviation Dr"/>
    <s v="Roseburg"/>
    <s v="OR"/>
    <n v="1.16"/>
    <n v="1993"/>
    <n v="9450"/>
    <n v="9450"/>
    <n v="1"/>
    <m/>
    <s v=" "/>
    <n v="76125"/>
    <n v="8.055555555555555"/>
    <m/>
    <m/>
    <m/>
    <s v=" "/>
    <s v=" "/>
    <m/>
    <m/>
    <m/>
    <n v="965000"/>
    <n v="102.1164021164021"/>
    <n v="0.0788860103626943"/>
    <m/>
    <d v="2009-01-01T00:00:00"/>
    <x v="8"/>
    <m/>
    <x v="0"/>
    <m/>
    <m/>
    <m/>
    <m/>
    <m/>
    <s v=" "/>
    <s v=" "/>
    <m/>
    <s v=" "/>
    <s v=" "/>
    <s v=" "/>
    <m/>
    <s v=" "/>
  </r>
  <r>
    <m/>
    <s v="State of Colorado"/>
    <s v="State"/>
    <s v="Fee Simple"/>
    <s v="703 23 2/10 Rd"/>
    <s v="Grand Junction"/>
    <s v="CO"/>
    <n v="1.29"/>
    <n v="2005"/>
    <n v="10500"/>
    <n v="10500"/>
    <n v="1"/>
    <m/>
    <s v=" "/>
    <m/>
    <s v=" "/>
    <m/>
    <m/>
    <m/>
    <s v=" "/>
    <s v=" "/>
    <m/>
    <m/>
    <m/>
    <n v="1712050"/>
    <n v="163.052380952381"/>
    <s v=" "/>
    <m/>
    <d v="2008-12-23T00:00:00"/>
    <x v="1844"/>
    <m/>
    <x v="1356"/>
    <s v="CO"/>
    <s v="Private"/>
    <m/>
    <m/>
    <n v="2100000"/>
    <s v=" "/>
    <n v="0.8152619047619047"/>
    <n v="2100000"/>
    <s v=" "/>
    <s v=" "/>
    <s v="No"/>
    <m/>
    <s v=" "/>
  </r>
  <r>
    <s v="LWI19525"/>
    <s v="SS"/>
    <s v="Federal"/>
    <s v="Fee Simple"/>
    <s v="2023 Navajo St"/>
    <s v="RHINELANDER"/>
    <s v="WI"/>
    <n v="1.07"/>
    <n v="2008"/>
    <n v="5100"/>
    <n v="5100"/>
    <n v="1"/>
    <m/>
    <s v=" "/>
    <m/>
    <s v=" "/>
    <d v="2008-06-12T00:00:00"/>
    <d v="2018-06-11T00:00:00"/>
    <d v="2018-06-11T00:00:00"/>
    <n v="9.473972602739726"/>
    <n v="9.473972602739726"/>
    <s v="Modified Gross"/>
    <m/>
    <m/>
    <n v="1800000"/>
    <n v="352.9411764705882"/>
    <s v=" "/>
    <m/>
    <d v="2008-12-22T00:00:00"/>
    <x v="1845"/>
    <m/>
    <x v="1357"/>
    <s v="WI"/>
    <s v="Private"/>
    <m/>
    <m/>
    <m/>
    <s v=" "/>
    <s v=" "/>
    <m/>
    <s v=" "/>
    <s v=" "/>
    <s v=" "/>
    <m/>
    <s v=" "/>
  </r>
  <r>
    <m/>
    <s v="VA"/>
    <s v="Federal"/>
    <s v="Fee Simple"/>
    <s v="4243 E Southcross Blvd"/>
    <s v="San Antonio"/>
    <s v="TX"/>
    <n v="3.1"/>
    <n v="1997"/>
    <n v="12000"/>
    <n v="63396"/>
    <n v="0.1892863903085368"/>
    <m/>
    <s v=" "/>
    <m/>
    <s v=" "/>
    <m/>
    <m/>
    <m/>
    <s v=" "/>
    <s v=" "/>
    <m/>
    <m/>
    <m/>
    <n v="15200000"/>
    <n v="239.76276105748"/>
    <s v=" "/>
    <m/>
    <d v="2008-12-19T00:00:00"/>
    <x v="1846"/>
    <s v="NGKF; Miele"/>
    <x v="1358"/>
    <s v="AZ"/>
    <s v="REIT"/>
    <m/>
    <m/>
    <m/>
    <s v=" "/>
    <s v=" "/>
    <m/>
    <s v=" "/>
    <s v=" "/>
    <s v=" "/>
    <d v="2008-07-01T00:00:00"/>
    <n v="171"/>
  </r>
  <r>
    <m/>
    <s v="BLM"/>
    <s v="Federal"/>
    <s v="Fee Simple"/>
    <s v="2300 NW Aviation Dr"/>
    <s v="Roseburg"/>
    <s v="OR"/>
    <n v="1.16"/>
    <n v="1993"/>
    <n v="9450"/>
    <n v="9450"/>
    <n v="1"/>
    <n v="132671.3"/>
    <n v="14.039291005291"/>
    <m/>
    <s v=" "/>
    <d v="2003-12-15T00:00:00"/>
    <d v="2018-12-15T00:00:00"/>
    <d v="2013-12-15T00:00:00"/>
    <n v="9.997260273972604"/>
    <n v="4.994520547945205"/>
    <s v="Modified Gross"/>
    <s v="None"/>
    <s v="None"/>
    <n v="965000"/>
    <n v="102.1164021164021"/>
    <s v=" "/>
    <m/>
    <d v="2008-12-18T00:00:00"/>
    <x v="1847"/>
    <m/>
    <x v="1359"/>
    <s v="OR"/>
    <s v="Private"/>
    <m/>
    <m/>
    <m/>
    <s v=" "/>
    <s v=" "/>
    <m/>
    <s v=" "/>
    <s v=" "/>
    <s v=" "/>
    <m/>
    <s v=" "/>
  </r>
  <r>
    <m/>
    <s v="USCIS"/>
    <s v="Federal"/>
    <s v="Fee Simple"/>
    <s v="70 Kimball Ave"/>
    <s v="South Burlington"/>
    <s v="VT"/>
    <n v="6.43"/>
    <n v="2001"/>
    <n v="64273"/>
    <n v="64273"/>
    <n v="1"/>
    <n v="1486200"/>
    <n v="23.12323992967498"/>
    <n v="1027001"/>
    <n v="15.97873134908904"/>
    <m/>
    <d v="2016-07-31T00:00:00"/>
    <d v="2011-07-31T00:00:00"/>
    <n v="7.624657534246575"/>
    <n v="2.619178082191781"/>
    <s v="Modified Gross"/>
    <s v="None"/>
    <s v="None"/>
    <n v="10650000"/>
    <n v="165.6994383333593"/>
    <n v="0.09643201877934272"/>
    <m/>
    <d v="2008-12-17T00:00:00"/>
    <x v="1356"/>
    <s v="Walker &amp; Dunlap; Hermes"/>
    <x v="1360"/>
    <s v="MD"/>
    <s v="Private"/>
    <m/>
    <m/>
    <m/>
    <s v=" "/>
    <s v=" "/>
    <m/>
    <s v=" "/>
    <s v=" "/>
    <s v=" "/>
    <m/>
    <s v=" "/>
  </r>
  <r>
    <m/>
    <s v="SSA"/>
    <s v="Federal"/>
    <s v="Fee Simple"/>
    <s v="2010 S Church St"/>
    <s v="Burlington"/>
    <s v="NC"/>
    <n v="1.68"/>
    <n v="2002"/>
    <n v="5206"/>
    <n v="5206"/>
    <n v="1"/>
    <m/>
    <s v=" "/>
    <m/>
    <s v=" "/>
    <m/>
    <m/>
    <m/>
    <s v=" "/>
    <s v=" "/>
    <m/>
    <m/>
    <m/>
    <n v="1100000"/>
    <n v="211.2946600076834"/>
    <s v=" "/>
    <m/>
    <d v="2008-12-15T00:00:00"/>
    <x v="842"/>
    <m/>
    <x v="1361"/>
    <s v="NC"/>
    <s v="Private"/>
    <m/>
    <m/>
    <m/>
    <s v=" "/>
    <s v=" "/>
    <m/>
    <s v=" "/>
    <s v=" "/>
    <s v=" "/>
    <m/>
    <s v=" "/>
  </r>
  <r>
    <m/>
    <s v="Multi"/>
    <s v="Federal"/>
    <s v="Fee Simple"/>
    <m/>
    <s v="Portfolio of 15"/>
    <m/>
    <n v="211.89"/>
    <m/>
    <m/>
    <n v="3224614"/>
    <s v=" "/>
    <m/>
    <s v=" "/>
    <n v="38625000"/>
    <n v="11.97817785322522"/>
    <m/>
    <m/>
    <m/>
    <s v=" "/>
    <s v=" "/>
    <m/>
    <m/>
    <m/>
    <n v="485000000"/>
    <n v="150.4055989337018"/>
    <n v="0.07963917525773195"/>
    <m/>
    <d v="2008-12-11T00:00:00"/>
    <x v="1848"/>
    <s v="CBRE; Buss"/>
    <x v="1362"/>
    <s v="NY"/>
    <s v="REIT"/>
    <s v="Tom Robinson"/>
    <m/>
    <n v="515000000"/>
    <n v="0.075"/>
    <n v="0.941747572815534"/>
    <n v="515000000"/>
    <n v="0.075"/>
    <n v="0.004639175257731956"/>
    <s v="No"/>
    <d v="2008-07-16T00:00:00"/>
    <n v="148"/>
  </r>
  <r>
    <m/>
    <s v="SSA"/>
    <s v="Federal"/>
    <s v="Fee Simple"/>
    <s v="2565 NW Thompson Bridge Rd"/>
    <s v="Gainesville"/>
    <s v="GA"/>
    <n v="4.6"/>
    <n v="2001"/>
    <n v="17844"/>
    <n v="49830"/>
    <n v="0.3580975316074654"/>
    <m/>
    <s v=" "/>
    <m/>
    <s v=" "/>
    <m/>
    <m/>
    <m/>
    <s v=" "/>
    <s v=" "/>
    <m/>
    <m/>
    <m/>
    <m/>
    <s v=" "/>
    <s v=" "/>
    <m/>
    <d v="2008-12-10T00:00:00"/>
    <x v="1849"/>
    <m/>
    <x v="1363"/>
    <s v="GA"/>
    <s v="Private"/>
    <m/>
    <m/>
    <m/>
    <s v=" "/>
    <s v=" "/>
    <m/>
    <s v=" "/>
    <s v=" "/>
    <s v=" "/>
    <m/>
    <s v=" "/>
  </r>
  <r>
    <m/>
    <s v="HSD"/>
    <s v="State"/>
    <s v="Fee Simple"/>
    <s v="1010 18th St NW"/>
    <s v="Albuquerque"/>
    <s v="NM"/>
    <n v="2.3"/>
    <n v="2005"/>
    <n v="25267"/>
    <n v="25267"/>
    <n v="1"/>
    <m/>
    <s v=" "/>
    <n v="306608"/>
    <n v="12.13472117782087"/>
    <m/>
    <d v="2015-01-01T00:00:00"/>
    <d v="2015-01-01T00:00:00"/>
    <n v="6.068493150684931"/>
    <n v="6.068493150684931"/>
    <s v="Full Service"/>
    <s v="None"/>
    <s v="2, 5 yr"/>
    <n v="4000000"/>
    <n v="158.3092571338109"/>
    <n v="0.076652"/>
    <m/>
    <d v="2008-12-08T00:00:00"/>
    <x v="1850"/>
    <s v="SVN; Greene"/>
    <x v="1364"/>
    <s v="NM"/>
    <s v="Private"/>
    <s v="C&amp;S; Stuve"/>
    <m/>
    <n v="4000000"/>
    <n v="0.076652"/>
    <n v="1"/>
    <n v="4000000"/>
    <n v="0.076652"/>
    <n v="0"/>
    <s v="No"/>
    <d v="2008-08-28T00:00:00"/>
    <n v="102"/>
  </r>
  <r>
    <s v="LAL44051"/>
    <s v="ACOE"/>
    <s v="Federal"/>
    <s v="Fee Simple"/>
    <s v="4820 University Sq"/>
    <s v="Huntsville"/>
    <s v="AL"/>
    <n v="5.95"/>
    <n v="2005"/>
    <n v="135746"/>
    <n v="135746"/>
    <n v="1"/>
    <n v="2033875.41"/>
    <n v="14.98294911083936"/>
    <n v="1603948.4"/>
    <n v="11.81580599060009"/>
    <d v="2004-10-07T00:00:00"/>
    <d v="2014-10-06T00:00:00"/>
    <d v="2014-10-06T00:00:00"/>
    <n v="5.849315068493151"/>
    <n v="5.849315068493151"/>
    <s v="Modified Gross"/>
    <s v="None"/>
    <s v="None"/>
    <n v="20049355"/>
    <n v="147.6975748825011"/>
    <n v="0.08"/>
    <m/>
    <d v="2008-12-01T00:00:00"/>
    <x v="1473"/>
    <m/>
    <x v="1365"/>
    <s v="NY"/>
    <s v="REIT"/>
    <m/>
    <m/>
    <m/>
    <s v=" "/>
    <s v=" "/>
    <m/>
    <s v=" "/>
    <s v=" "/>
    <s v=" "/>
    <m/>
    <s v=" "/>
  </r>
  <r>
    <s v="LTX16529"/>
    <s v="SSA"/>
    <s v="Federal"/>
    <s v="Fee Simple"/>
    <s v="5825 16th St"/>
    <s v="Lubbock"/>
    <s v="TX"/>
    <n v="2.07"/>
    <n v="2010"/>
    <n v="16766"/>
    <n v="16776"/>
    <n v="0.9994039103481164"/>
    <n v="467632.97"/>
    <n v="27.89174340928069"/>
    <m/>
    <s v=" "/>
    <d v="2010-03-01T00:00:00"/>
    <d v="2025-02-28T00:00:00"/>
    <d v="2020-03-01T00:00:00"/>
    <n v="16.27397260273973"/>
    <n v="11.27397260273973"/>
    <s v="Modified Gross"/>
    <s v="None"/>
    <s v="None"/>
    <n v="3750000"/>
    <n v="223.5336194563662"/>
    <s v=" "/>
    <m/>
    <d v="2008-11-24T00:00:00"/>
    <x v="1804"/>
    <m/>
    <x v="1366"/>
    <s v="TX"/>
    <s v="Private"/>
    <m/>
    <m/>
    <m/>
    <s v=" "/>
    <s v=" "/>
    <m/>
    <s v=" "/>
    <s v=" "/>
    <s v=" "/>
    <m/>
    <s v=" "/>
  </r>
  <r>
    <m/>
    <s v="AG"/>
    <s v="State"/>
    <s v="Fee Simple"/>
    <s v="3939 Cleveland Ave SE"/>
    <s v="Tumwater"/>
    <s v="WA"/>
    <n v="4.51"/>
    <n v="1970"/>
    <n v="21000"/>
    <n v="38000"/>
    <n v="0.5526315789473685"/>
    <m/>
    <s v=" "/>
    <m/>
    <s v=" "/>
    <m/>
    <d v="2012-11-30T00:00:00"/>
    <m/>
    <n v="4.084931506849315"/>
    <s v=" "/>
    <s v="Full Service"/>
    <s v="None"/>
    <s v="None"/>
    <n v="2980000"/>
    <n v="78.42105263157895"/>
    <s v=" "/>
    <m/>
    <d v="2008-10-31T00:00:00"/>
    <x v="1851"/>
    <m/>
    <x v="1367"/>
    <s v="WA"/>
    <s v="Private"/>
    <m/>
    <m/>
    <m/>
    <s v=" "/>
    <s v=" "/>
    <m/>
    <s v=" "/>
    <s v=" "/>
    <s v=" "/>
    <m/>
    <s v=" "/>
  </r>
  <r>
    <m/>
    <s v="Raytheon"/>
    <s v="Contractor"/>
    <s v="Fee Simple"/>
    <s v="2599 Empire Dr"/>
    <s v="Winston-Salem"/>
    <s v="NC"/>
    <m/>
    <n v="1987"/>
    <n v="90499"/>
    <n v="90499"/>
    <n v="1"/>
    <n v="489795"/>
    <n v="5.412159250378457"/>
    <n v="489785"/>
    <n v="5.412048751919911"/>
    <m/>
    <d v="2018-12-28T00:00:00"/>
    <d v="2018-12-28T00:00:00"/>
    <n v="10.16438356164384"/>
    <n v="10.16438356164384"/>
    <s v="NNN"/>
    <s v="2% annually"/>
    <s v="2, 5 yr"/>
    <n v="5420000"/>
    <n v="59.89016453220478"/>
    <n v="0.09036623616236163"/>
    <m/>
    <d v="2008-10-31T00:00:00"/>
    <x v="8"/>
    <m/>
    <x v="1120"/>
    <s v="AZ"/>
    <s v="REIT"/>
    <m/>
    <m/>
    <m/>
    <s v=" "/>
    <s v=" "/>
    <m/>
    <s v=" "/>
    <s v=" "/>
    <s v=" "/>
    <m/>
    <s v=" "/>
  </r>
  <r>
    <s v="LTN40115"/>
    <s v="SSA"/>
    <s v="Federal"/>
    <s v="Fee Simple"/>
    <s v="1070 Vendall Rd"/>
    <s v="Dyersburg"/>
    <s v="TN"/>
    <n v="1.02"/>
    <n v="2002"/>
    <n v="9568"/>
    <n v="9568"/>
    <n v="1"/>
    <n v="176601.51"/>
    <n v="18.45751567725753"/>
    <n v="98175"/>
    <n v="10.26076505016722"/>
    <d v="2003-06-02T00:00:00"/>
    <d v="2013-06-01T00:00:00"/>
    <d v="2008-06-01T00:00:00"/>
    <n v="4.63013698630137"/>
    <n v="-0.3726027397260274"/>
    <s v="Modified Gross"/>
    <s v="None"/>
    <s v="None"/>
    <n v="1218750"/>
    <n v="127.3777173913043"/>
    <n v="0.08055384615384616"/>
    <m/>
    <d v="2008-10-15T00:00:00"/>
    <x v="842"/>
    <m/>
    <x v="1368"/>
    <s v="CA"/>
    <s v="Private"/>
    <m/>
    <m/>
    <m/>
    <s v=" "/>
    <s v=" "/>
    <m/>
    <s v=" "/>
    <s v=" "/>
    <s v=" "/>
    <m/>
    <s v=" "/>
  </r>
  <r>
    <m/>
    <s v="DCR"/>
    <s v="State"/>
    <s v="Fee Simple"/>
    <s v="9838 Old Placerville Rd"/>
    <s v="Sacramento"/>
    <s v="CA"/>
    <n v="7"/>
    <n v="1999"/>
    <n v="139500"/>
    <n v="139500"/>
    <n v="1"/>
    <m/>
    <s v=" "/>
    <n v="2052000"/>
    <n v="14.70967741935484"/>
    <m/>
    <d v="2016-05-31T00:00:00"/>
    <d v="2011-05-31T00:00:00"/>
    <n v="7.682191780821918"/>
    <n v="2.676712328767124"/>
    <s v="FS"/>
    <m/>
    <m/>
    <n v="27000000"/>
    <n v="193.5483870967742"/>
    <n v="0.076"/>
    <m/>
    <d v="2008-09-26T00:00:00"/>
    <x v="1852"/>
    <s v="Colliers"/>
    <x v="1369"/>
    <s v="CA"/>
    <s v="Private"/>
    <m/>
    <m/>
    <m/>
    <s v=" "/>
    <s v=" "/>
    <m/>
    <s v=" "/>
    <s v=" "/>
    <s v=" "/>
    <m/>
    <s v=" "/>
  </r>
  <r>
    <m/>
    <m/>
    <s v="Federal"/>
    <s v="Fee Simple"/>
    <s v="300 E Mallard Dr"/>
    <s v="Boise"/>
    <s v="ID"/>
    <n v="3.1"/>
    <n v="1987"/>
    <n v="32015"/>
    <n v="64030"/>
    <n v="0.5"/>
    <m/>
    <s v=" "/>
    <n v="750184"/>
    <n v="11.71613306262689"/>
    <m/>
    <d v="2011-01-31T00:00:00"/>
    <d v="2011-01-31T00:00:00"/>
    <n v="2.356164383561644"/>
    <n v="2.356164383561644"/>
    <s v="Modified Gross"/>
    <s v="None"/>
    <s v="None"/>
    <m/>
    <s v=" "/>
    <s v=" "/>
    <m/>
    <d v="2008-09-23T00:00:00"/>
    <x v="1853"/>
    <m/>
    <x v="1370"/>
    <s v="CA"/>
    <s v="Private"/>
    <m/>
    <m/>
    <m/>
    <s v=" "/>
    <s v=" "/>
    <m/>
    <s v=" "/>
    <s v=" "/>
    <s v=" "/>
    <m/>
    <s v=" "/>
  </r>
  <r>
    <s v="LVA80510"/>
    <s v="DEA"/>
    <s v="Federal"/>
    <s v="Fee Simple"/>
    <s v="10501 Furnance Rd"/>
    <s v="Lorton"/>
    <s v="VA"/>
    <n v="11.65"/>
    <n v="2004"/>
    <n v="90167"/>
    <n v="90167"/>
    <n v="1"/>
    <m/>
    <s v=" "/>
    <n v="1522500"/>
    <n v="16.88533498951945"/>
    <d v="2000-08-06T00:00:00"/>
    <d v="2020-08-05T00:00:00"/>
    <d v="2020-08-05T00:00:00"/>
    <n v="11.87671232876712"/>
    <n v="11.87671232876712"/>
    <s v="Modified Gross"/>
    <s v="Every 5 Years"/>
    <s v="2, 5 year"/>
    <n v="20300000"/>
    <n v="225.1377998602593"/>
    <n v="0.075"/>
    <m/>
    <d v="2008-09-22T00:00:00"/>
    <x v="1124"/>
    <s v="PRP; Stroud"/>
    <x v="474"/>
    <s v="PA"/>
    <s v="Private"/>
    <m/>
    <m/>
    <m/>
    <s v=" "/>
    <s v=" "/>
    <m/>
    <s v=" "/>
    <s v=" "/>
    <s v=" "/>
    <m/>
    <s v=" "/>
  </r>
  <r>
    <m/>
    <s v="VRA"/>
    <s v="State"/>
    <s v="Fee Simple"/>
    <s v="1551 Juliette Rd"/>
    <s v="Stone Mountain"/>
    <s v="GA"/>
    <n v="25.5"/>
    <n v="1974"/>
    <n v="186907"/>
    <n v="186907"/>
    <n v="1"/>
    <m/>
    <s v=" "/>
    <m/>
    <s v=" "/>
    <m/>
    <m/>
    <m/>
    <s v=" "/>
    <s v=" "/>
    <m/>
    <m/>
    <m/>
    <n v="13000000"/>
    <n v="69.5533072597602"/>
    <s v=" "/>
    <m/>
    <d v="2008-09-01T00:00:00"/>
    <x v="1854"/>
    <m/>
    <x v="1371"/>
    <s v="GA"/>
    <s v="Private"/>
    <m/>
    <m/>
    <m/>
    <s v=" "/>
    <s v=" "/>
    <m/>
    <s v=" "/>
    <s v=" "/>
    <s v=" "/>
    <m/>
    <s v=" "/>
  </r>
  <r>
    <m/>
    <s v="SSA/Recruiting/County"/>
    <s v="Federal &amp; State"/>
    <s v="Fee Simple"/>
    <s v="330-350 Grand Ave"/>
    <s v="Wausau"/>
    <s v="WI"/>
    <n v="1.09"/>
    <n v="2002"/>
    <n v="8710"/>
    <n v="21168"/>
    <n v="0.4114701436130008"/>
    <m/>
    <s v=" "/>
    <n v="401478"/>
    <n v="18.96626984126984"/>
    <d v="2002-05-06T00:00:00"/>
    <d v="2022-07-31T00:00:00"/>
    <d v="2012-05-06T00:00:00"/>
    <n v="13.97534246575342"/>
    <n v="3.734246575342466"/>
    <s v="Modified Gross"/>
    <s v="None"/>
    <s v="None"/>
    <n v="4925000"/>
    <n v="232.6625094482237"/>
    <n v="0.08151837563451776"/>
    <m/>
    <d v="2008-08-12T00:00:00"/>
    <x v="1855"/>
    <s v="CBRE; Wolff"/>
    <x v="1372"/>
    <s v="WI"/>
    <s v="Private"/>
    <m/>
    <m/>
    <n v="5300000"/>
    <n v="0.07575056603773585"/>
    <n v="0.9292452830188679"/>
    <n v="5300000"/>
    <n v="0.07575056603773585"/>
    <n v="0.005767809596781914"/>
    <s v="No"/>
    <d v="2007-03-27T00:00:00"/>
    <n v="504"/>
  </r>
  <r>
    <s v="LCA01702"/>
    <s v="DHS"/>
    <s v="Federal"/>
    <s v="Fee Simple"/>
    <s v="6321 Alondra Blvd"/>
    <s v="Paramount"/>
    <s v="CA"/>
    <n v="3.3"/>
    <n v="1985"/>
    <n v="17029"/>
    <n v="63214"/>
    <n v="0.2693865283006929"/>
    <n v="264621.52"/>
    <n v="15.5394632685419"/>
    <n v="689952"/>
    <n v="10.91454424652767"/>
    <d v="2006-03-01T00:00:00"/>
    <d v="2016-02-29T00:00:00"/>
    <d v="2016-02-29T00:00:00"/>
    <n v="7.589041095890411"/>
    <n v="7.589041095890411"/>
    <s v="Modified Gross"/>
    <s v="None"/>
    <s v="None"/>
    <n v="10075000"/>
    <n v="159.3792514316449"/>
    <n v="0.06848158808933003"/>
    <m/>
    <d v="2008-07-30T00:00:00"/>
    <x v="1856"/>
    <s v="NMRK; Shannon"/>
    <x v="1373"/>
    <s v="CA"/>
    <s v="Private"/>
    <m/>
    <m/>
    <m/>
    <s v=" "/>
    <s v=" "/>
    <m/>
    <s v=" "/>
    <s v=" "/>
    <s v=" "/>
    <m/>
    <s v=" "/>
  </r>
  <r>
    <s v="LSC42150"/>
    <s v="SSA"/>
    <s v="Federal"/>
    <s v="Fee Simple"/>
    <s v="181 Dozier Blvd"/>
    <s v="Florence"/>
    <s v="SC"/>
    <n v="1.37"/>
    <n v="2004"/>
    <n v="14953"/>
    <n v="14953"/>
    <n v="1"/>
    <n v="272111.57"/>
    <n v="18.1977910787133"/>
    <m/>
    <s v=" "/>
    <d v="2004-08-01T00:00:00"/>
    <d v="2014-07-31T00:00:00"/>
    <d v="2009-07-31T00:00:00"/>
    <n v="6.019178082191781"/>
    <n v="1.016438356164383"/>
    <s v="Modified Gross"/>
    <s v="None"/>
    <s v="None"/>
    <m/>
    <s v=" "/>
    <s v=" "/>
    <m/>
    <d v="2008-07-25T00:00:00"/>
    <x v="1857"/>
    <m/>
    <x v="1374"/>
    <s v="CA"/>
    <s v="Private"/>
    <m/>
    <m/>
    <m/>
    <s v=" "/>
    <s v=" "/>
    <m/>
    <s v=" "/>
    <s v=" "/>
    <s v=" "/>
    <m/>
    <s v=" "/>
  </r>
  <r>
    <s v="LNM14874"/>
    <s v="NPS"/>
    <s v="Federal"/>
    <s v="Fee Simple"/>
    <s v="3225 National Parks Hwy"/>
    <s v="Carlsbad"/>
    <s v="NM"/>
    <n v="1.28"/>
    <n v="1990"/>
    <n v="6927"/>
    <n v="6927"/>
    <n v="1"/>
    <n v="110552.91"/>
    <n v="15.95970983109571"/>
    <n v="64579.5"/>
    <n v="9.322867042009529"/>
    <d v="2001-11-01T00:00:00"/>
    <d v="2021-10-31T00:00:00"/>
    <d v="2011-11-01T00:00:00"/>
    <n v="13.3041095890411"/>
    <n v="3.298630136986302"/>
    <s v="Modified Gross"/>
    <s v="None"/>
    <s v="None"/>
    <m/>
    <s v=" "/>
    <s v=" "/>
    <m/>
    <d v="2008-07-15T00:00:00"/>
    <x v="1858"/>
    <m/>
    <x v="1375"/>
    <s v="NM"/>
    <s v="Private"/>
    <m/>
    <m/>
    <m/>
    <s v=" "/>
    <s v=" "/>
    <m/>
    <s v=" "/>
    <s v=" "/>
    <s v=" "/>
    <m/>
    <s v=" "/>
  </r>
  <r>
    <s v="LCA01894"/>
    <s v="SSA"/>
    <s v="Federal"/>
    <s v="Fee Simple"/>
    <s v="19851 - 19853 Nordhoff St"/>
    <s v="Northridge"/>
    <s v="CA"/>
    <n v="7.37"/>
    <n v="2006"/>
    <n v="22237"/>
    <n v="22237"/>
    <n v="1"/>
    <n v="684642.21"/>
    <n v="30.78842514727706"/>
    <n v="497350.02"/>
    <n v="22.36587759140172"/>
    <d v="2008-03-06T00:00:00"/>
    <d v="2018-03-05T00:00:00"/>
    <d v="2018-03-05T00:00:00"/>
    <n v="9.663013698630136"/>
    <n v="9.663013698630136"/>
    <s v="Modified Gross"/>
    <s v="None"/>
    <s v="None"/>
    <n v="7290000"/>
    <n v="327.8319917255025"/>
    <n v="0.06822359670781893"/>
    <m/>
    <d v="2008-07-08T00:00:00"/>
    <x v="1859"/>
    <m/>
    <x v="1376"/>
    <m/>
    <s v="Cross-Border"/>
    <m/>
    <m/>
    <m/>
    <s v=" "/>
    <s v=" "/>
    <m/>
    <s v=" "/>
    <s v=" "/>
    <s v=" "/>
    <m/>
    <s v=" "/>
  </r>
  <r>
    <m/>
    <s v="FBI/AOC"/>
    <s v="Federal"/>
    <s v="Fee Simple"/>
    <s v="516 Industry Wy"/>
    <s v="Imperial"/>
    <s v="CA"/>
    <n v="2"/>
    <n v="2005"/>
    <n v="14898"/>
    <n v="25609"/>
    <n v="0.581748604006404"/>
    <n v="720370"/>
    <n v="48.35347026446503"/>
    <n v="548713"/>
    <n v="21.42656878441173"/>
    <d v="2006-08-01T00:00:00"/>
    <d v="2021-07-14T00:00:00"/>
    <d v="2016-07-14T00:00:00"/>
    <n v="13.03835616438356"/>
    <n v="8.035616438356165"/>
    <s v="Modified Gross"/>
    <s v="None"/>
    <s v="None"/>
    <n v="7000000"/>
    <n v="273.3414034128627"/>
    <n v="0.07838757142857143"/>
    <m/>
    <d v="2008-07-03T00:00:00"/>
    <x v="681"/>
    <s v="M&amp;M; Travis Trautvetter"/>
    <x v="1377"/>
    <s v="CA"/>
    <s v="Private"/>
    <m/>
    <m/>
    <m/>
    <s v=" "/>
    <s v=" "/>
    <m/>
    <s v=" "/>
    <s v=" "/>
    <s v=" "/>
    <m/>
    <s v=" "/>
  </r>
  <r>
    <m/>
    <s v="FSSA/PDR"/>
    <s v="State"/>
    <s v="Fee Simple"/>
    <s v="9801 Georgia St"/>
    <s v="Crown Point"/>
    <s v="IN"/>
    <n v="4.64"/>
    <n v="2008"/>
    <n v="34704"/>
    <n v="34704"/>
    <n v="1"/>
    <m/>
    <s v=" "/>
    <m/>
    <s v=" "/>
    <m/>
    <m/>
    <m/>
    <s v=" "/>
    <s v=" "/>
    <m/>
    <m/>
    <m/>
    <n v="5572762"/>
    <n v="160.5798178884278"/>
    <s v=" "/>
    <m/>
    <d v="2008-06-30T00:00:00"/>
    <x v="660"/>
    <m/>
    <x v="1378"/>
    <s v="IN"/>
    <s v="Private"/>
    <m/>
    <m/>
    <m/>
    <s v=" "/>
    <s v=" "/>
    <m/>
    <s v=" "/>
    <s v=" "/>
    <s v=" "/>
    <m/>
    <s v=" "/>
  </r>
  <r>
    <s v="LDC02025"/>
    <s v="DOJ"/>
    <s v="Federal"/>
    <s v="Fee Simple"/>
    <s v="500 1st St NW"/>
    <s v="Washington"/>
    <s v="DC"/>
    <n v="0.41"/>
    <n v="1969"/>
    <n v="129035"/>
    <n v="129035"/>
    <n v="1"/>
    <n v="7065760.92"/>
    <n v="54.75848351222537"/>
    <n v="4265500"/>
    <n v="33.05692254039602"/>
    <d v="2006-08-01T00:00:00"/>
    <d v="2016-07-31T00:00:00"/>
    <d v="2016-07-31T00:00:00"/>
    <n v="8.12054794520548"/>
    <n v="8.12054794520548"/>
    <s v="Modified Gross"/>
    <s v="None"/>
    <s v="None"/>
    <n v="44900000"/>
    <n v="347.9676056883791"/>
    <n v="0.095"/>
    <m/>
    <d v="2008-06-19T00:00:00"/>
    <x v="1860"/>
    <s v="C&amp;W; Bill Collins"/>
    <x v="1379"/>
    <s v="NY"/>
    <s v="Institutional"/>
    <m/>
    <m/>
    <m/>
    <s v=" "/>
    <s v=" "/>
    <m/>
    <s v=" "/>
    <s v=" "/>
    <s v=" "/>
    <m/>
    <s v=" "/>
  </r>
  <r>
    <m/>
    <s v="USDA"/>
    <s v="Federal"/>
    <s v="Fee Simple"/>
    <s v="1310-1340 Braddock Pl"/>
    <s v="Alexandria"/>
    <s v="VA"/>
    <n v="3.56"/>
    <m/>
    <n v="131000"/>
    <n v="372287"/>
    <n v="0.351879061046988"/>
    <m/>
    <s v=" "/>
    <m/>
    <s v=" "/>
    <m/>
    <m/>
    <m/>
    <s v=" "/>
    <s v=" "/>
    <m/>
    <m/>
    <m/>
    <n v="106500000"/>
    <n v="286.0696183320932"/>
    <s v=" "/>
    <m/>
    <d v="2008-06-18T00:00:00"/>
    <x v="734"/>
    <s v="C&amp;W;"/>
    <x v="1380"/>
    <s v="MD"/>
    <s v="Private"/>
    <m/>
    <m/>
    <m/>
    <s v=" "/>
    <s v=" "/>
    <m/>
    <s v=" "/>
    <s v=" "/>
    <s v=" "/>
    <m/>
    <s v=" "/>
  </r>
  <r>
    <m/>
    <s v="DOLI"/>
    <s v="State"/>
    <s v="Fee Simple"/>
    <s v="144 N Main St"/>
    <s v="Greensburg"/>
    <s v="PA"/>
    <n v="52"/>
    <n v="2007"/>
    <n v="81639"/>
    <n v="81639"/>
    <n v="1"/>
    <n v="1801250"/>
    <n v="22.06359705532895"/>
    <n v="1136250"/>
    <n v="13.91798037702569"/>
    <m/>
    <d v="2022-06-30T00:00:00"/>
    <m/>
    <n v="14.05753424657534"/>
    <s v=" "/>
    <m/>
    <m/>
    <m/>
    <n v="15150000"/>
    <n v="185.5730716936758"/>
    <n v="0.075"/>
    <m/>
    <d v="2008-06-12T00:00:00"/>
    <x v="741"/>
    <s v="CBRE; Marzullo"/>
    <x v="544"/>
    <s v="NJ"/>
    <s v="Private"/>
    <m/>
    <m/>
    <m/>
    <s v=" "/>
    <s v=" "/>
    <m/>
    <s v=" "/>
    <s v=" "/>
    <s v=" "/>
    <m/>
    <s v=" "/>
  </r>
  <r>
    <m/>
    <s v="NPS"/>
    <s v="Federal"/>
    <s v="Fee Simple"/>
    <s v="2701 Barstow Rd"/>
    <s v="Barstow"/>
    <s v="CA"/>
    <n v="3.99"/>
    <n v="2004"/>
    <n v="17200"/>
    <n v="17200"/>
    <n v="1"/>
    <n v="363264"/>
    <n v="21.12"/>
    <m/>
    <s v=" "/>
    <d v="2004-12-01T00:00:00"/>
    <d v="2018-05-30T00:00:00"/>
    <d v="2013-05-30T00:00:00"/>
    <n v="10.0027397260274"/>
    <n v="5"/>
    <s v="Modified Gross"/>
    <s v="None"/>
    <s v="None"/>
    <n v="3900000"/>
    <n v="226.7441860465116"/>
    <s v=" "/>
    <m/>
    <d v="2008-05-31T00:00:00"/>
    <x v="1861"/>
    <m/>
    <x v="1381"/>
    <s v="CA"/>
    <s v="Private"/>
    <m/>
    <m/>
    <m/>
    <s v=" "/>
    <s v=" "/>
    <m/>
    <s v=" "/>
    <s v=" "/>
    <s v=" "/>
    <m/>
    <s v=" "/>
  </r>
  <r>
    <s v="LTN39071"/>
    <s v="FWS"/>
    <s v="Federal"/>
    <s v="Fee Simple"/>
    <s v="3006 Dinkins Ln"/>
    <s v="Paris"/>
    <s v="TN"/>
    <n v="1.19"/>
    <n v="2000"/>
    <n v="5637"/>
    <n v="5637"/>
    <n v="1"/>
    <n v="70879"/>
    <n v="12.57388681923009"/>
    <m/>
    <s v=" "/>
    <d v="2000-10-01T00:00:00"/>
    <d v="2013-09-30T00:00:00"/>
    <d v="2012-12-31T00:00:00"/>
    <n v="5.33972602739726"/>
    <n v="4.591780821917808"/>
    <s v="Modified Gross"/>
    <s v="None"/>
    <s v="None"/>
    <n v="530000"/>
    <n v="94.02164271775767"/>
    <s v=" "/>
    <m/>
    <d v="2008-05-30T00:00:00"/>
    <x v="1862"/>
    <m/>
    <x v="1382"/>
    <s v="CA"/>
    <s v="Private"/>
    <m/>
    <m/>
    <m/>
    <s v=" "/>
    <s v=" "/>
    <m/>
    <s v=" "/>
    <s v=" "/>
    <s v=" "/>
    <m/>
    <s v=" "/>
  </r>
  <r>
    <m/>
    <s v="ATF"/>
    <s v="Federal"/>
    <s v="Fee Simple"/>
    <s v="2036 Franklin Way SE"/>
    <s v="Marietta"/>
    <s v="GA"/>
    <n v="1.61"/>
    <n v="2004"/>
    <n v="11198"/>
    <n v="11198"/>
    <n v="1"/>
    <m/>
    <s v=" "/>
    <m/>
    <s v=" "/>
    <m/>
    <d v="2014-06-30T00:00:00"/>
    <d v="2014-06-30T00:00:00"/>
    <n v="6.106849315068493"/>
    <n v="6.106849315068493"/>
    <s v="Modified Gross"/>
    <s v="None"/>
    <s v="None"/>
    <n v="1899100"/>
    <n v="169.5927844257903"/>
    <s v=" "/>
    <m/>
    <d v="2008-05-23T00:00:00"/>
    <x v="1863"/>
    <m/>
    <x v="1383"/>
    <s v="GA"/>
    <s v="Private"/>
    <m/>
    <m/>
    <m/>
    <s v=" "/>
    <s v=" "/>
    <m/>
    <s v=" "/>
    <s v=" "/>
    <s v=" "/>
    <m/>
    <s v=" "/>
  </r>
  <r>
    <m/>
    <s v="Dep't of State"/>
    <s v="Federal"/>
    <s v="Fee Simple"/>
    <s v="3151 S Vaughn Way"/>
    <s v="Aurora"/>
    <s v="CO"/>
    <n v="3.25"/>
    <n v="1982"/>
    <n v="19051"/>
    <n v="113203"/>
    <n v="0.1682905930054857"/>
    <m/>
    <s v=" "/>
    <n v="846300"/>
    <n v="7.475950284003074"/>
    <m/>
    <m/>
    <m/>
    <s v=" "/>
    <s v=" "/>
    <m/>
    <m/>
    <m/>
    <n v="9300000"/>
    <n v="82.15329982420961"/>
    <n v="0.091"/>
    <m/>
    <d v="2008-05-22T00:00:00"/>
    <x v="1864"/>
    <s v="C&amp;W; Winn"/>
    <x v="1384"/>
    <s v="IL"/>
    <s v="Private"/>
    <m/>
    <m/>
    <n v="10000000"/>
    <n v="0.08463"/>
    <n v="0.93"/>
    <n v="10000000"/>
    <n v="0.08463"/>
    <n v="0.006370000000000001"/>
    <s v="No"/>
    <d v="2008-01-28T00:00:00"/>
    <n v="115"/>
  </r>
  <r>
    <s v="LFL44829"/>
    <s v="ICE"/>
    <s v="Federal"/>
    <s v="Fee Simple"/>
    <s v="2000 N Roosevelt Blvd"/>
    <s v="Key West"/>
    <s v="FL"/>
    <n v="1.15"/>
    <n v="2006"/>
    <n v="11305"/>
    <n v="11305"/>
    <n v="1"/>
    <n v="909955"/>
    <n v="80.49137549756745"/>
    <n v="758022"/>
    <n v="67.05192392746572"/>
    <d v="2006-07-16T00:00:00"/>
    <d v="2021-07-15T00:00:00"/>
    <d v="2018-07-16T00:00:00"/>
    <n v="13.16164383561644"/>
    <n v="10.16164383561644"/>
    <s v="Modified Gross"/>
    <s v="None"/>
    <s v="None"/>
    <n v="10700000"/>
    <n v="946.483856700575"/>
    <n v="0.07084317757009345"/>
    <m/>
    <d v="2008-05-20T00:00:00"/>
    <x v="1865"/>
    <s v="M&amp;M; Alex Zylberglait"/>
    <x v="1385"/>
    <s v="PA"/>
    <s v="Private"/>
    <s v="M&amp;M; MacLaren"/>
    <m/>
    <n v="10950000"/>
    <n v="0.06922575342465753"/>
    <n v="0.9771689497716894"/>
    <n v="10950000"/>
    <n v="0.06922575342465753"/>
    <n v="0.00161742414543592"/>
    <s v="No"/>
    <d v="2008-01-23T00:00:00"/>
    <n v="118"/>
  </r>
  <r>
    <m/>
    <s v="SSA/DWFS"/>
    <s v="Federal &amp; State"/>
    <s v="Fee Simple"/>
    <s v="2875 Village Rd"/>
    <s v="Portage"/>
    <s v="WI"/>
    <n v="1.15"/>
    <n v="1995"/>
    <n v="5456"/>
    <n v="6904"/>
    <n v="0.7902665121668598"/>
    <m/>
    <s v=" "/>
    <m/>
    <s v=" "/>
    <d v="2003-08-01T00:00:00"/>
    <d v="2023-07-31T00:00:00"/>
    <d v="2013-08-01T00:00:00"/>
    <n v="15.22465753424657"/>
    <n v="5.221917808219178"/>
    <m/>
    <m/>
    <m/>
    <n v="1435000"/>
    <n v="207.8505214368482"/>
    <s v=" "/>
    <m/>
    <d v="2008-05-13T00:00:00"/>
    <x v="1855"/>
    <s v="CBRE; Wolff"/>
    <x v="1372"/>
    <s v="WI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n v="6131250"/>
    <n v="81.01653034527412"/>
    <s v=" "/>
    <m/>
    <d v="2008-05-07T00:00:00"/>
    <x v="1866"/>
    <m/>
    <x v="1386"/>
    <s v="TX"/>
    <s v="Private"/>
    <m/>
    <m/>
    <m/>
    <s v=" "/>
    <s v=" "/>
    <m/>
    <s v=" "/>
    <s v=" "/>
    <s v=" "/>
    <m/>
    <s v=" "/>
  </r>
  <r>
    <m/>
    <s v="SSA"/>
    <s v="Federal"/>
    <s v="Fee Simple"/>
    <s v="604 N 109th Ct"/>
    <s v="Omaha"/>
    <s v="NE"/>
    <n v="25.47"/>
    <m/>
    <n v="27000"/>
    <n v="73082"/>
    <n v="0.3694480172956405"/>
    <m/>
    <s v=" "/>
    <n v="503400.727"/>
    <n v="6.888162981308668"/>
    <m/>
    <m/>
    <m/>
    <s v=" "/>
    <s v=" "/>
    <m/>
    <m/>
    <m/>
    <n v="6065069"/>
    <n v="82.98991543745382"/>
    <n v="0.083"/>
    <m/>
    <d v="2008-04-17T00:00:00"/>
    <x v="1867"/>
    <m/>
    <x v="1387"/>
    <s v="CA"/>
    <s v="Private"/>
    <m/>
    <m/>
    <m/>
    <s v=" "/>
    <s v=" "/>
    <m/>
    <s v=" "/>
    <s v=" "/>
    <s v=" "/>
    <d v="2007-04-17T00:00:00"/>
    <n v="366"/>
  </r>
  <r>
    <s v="LTX16218"/>
    <s v="SSA"/>
    <s v="Federal"/>
    <s v="Fee Simple"/>
    <s v="16200 Dillard Dr"/>
    <s v="Jersey Village"/>
    <s v="TX"/>
    <n v="4.2"/>
    <n v="2008"/>
    <n v="31504"/>
    <n v="31504"/>
    <n v="1"/>
    <n v="1009488"/>
    <n v="32.04316912138141"/>
    <n v="693294"/>
    <n v="22.00653885220924"/>
    <d v="2009-05-01T00:00:00"/>
    <d v="2024-04-30T00:00:00"/>
    <d v="2019-04-30T00:00:00"/>
    <n v="16.08493150684932"/>
    <n v="11.07945205479452"/>
    <s v="Modified Gross"/>
    <s v="None"/>
    <s v="None"/>
    <n v="9157100"/>
    <n v="290.6646775012697"/>
    <n v="0.07571108757139269"/>
    <m/>
    <d v="2008-04-03T00:00:00"/>
    <x v="1868"/>
    <m/>
    <x v="1388"/>
    <s v="TX"/>
    <s v="Private"/>
    <m/>
    <m/>
    <m/>
    <s v=" "/>
    <s v=" "/>
    <m/>
    <s v=" "/>
    <s v=" "/>
    <s v=" "/>
    <m/>
    <s v=" "/>
  </r>
  <r>
    <m/>
    <s v="BLM"/>
    <s v="Federal"/>
    <s v="Fee Simple"/>
    <s v="1425 Fort"/>
    <s v="Buffalo"/>
    <s v="WY"/>
    <m/>
    <n v="1997"/>
    <n v="20647"/>
    <n v="20647"/>
    <n v="1"/>
    <m/>
    <s v=" "/>
    <m/>
    <s v=" "/>
    <d v="2003-06-01T00:00:00"/>
    <d v="2023-05-31T00:00:00"/>
    <d v="2018-05-31T00:00:00"/>
    <n v="15.16986301369863"/>
    <n v="10.16712328767123"/>
    <s v="Modified Gross"/>
    <s v="None"/>
    <s v="None"/>
    <m/>
    <s v=" "/>
    <s v=" "/>
    <m/>
    <d v="2008-04-02T00:00:00"/>
    <x v="1869"/>
    <m/>
    <x v="1389"/>
    <s v="TX"/>
    <s v="Private"/>
    <m/>
    <m/>
    <m/>
    <s v=" "/>
    <s v=" "/>
    <m/>
    <s v=" "/>
    <s v=" "/>
    <s v=" "/>
    <m/>
    <s v=" "/>
  </r>
  <r>
    <m/>
    <s v="USFS"/>
    <s v="Federal"/>
    <s v="Fee Simple"/>
    <s v="1415 Fort"/>
    <s v="Buffalo"/>
    <s v="WY"/>
    <n v="2"/>
    <n v="2003"/>
    <n v="7077"/>
    <n v="7077"/>
    <n v="1"/>
    <n v="183638"/>
    <n v="25.94856577645895"/>
    <m/>
    <s v=" "/>
    <d v="2003-06-01T00:00:00"/>
    <d v="2023-05-31T00:00:00"/>
    <d v="2018-05-31T00:00:00"/>
    <n v="15.16986301369863"/>
    <n v="10.16712328767123"/>
    <s v="Modified Gross"/>
    <s v="None"/>
    <s v="None"/>
    <m/>
    <s v=" "/>
    <s v=" "/>
    <m/>
    <d v="2008-04-02T00:00:00"/>
    <x v="1869"/>
    <m/>
    <x v="1389"/>
    <s v="TX"/>
    <s v="Private"/>
    <m/>
    <m/>
    <m/>
    <s v=" "/>
    <s v=" "/>
    <m/>
    <s v=" "/>
    <s v=" "/>
    <s v=" "/>
    <m/>
    <s v=" "/>
  </r>
  <r>
    <m/>
    <s v="BLM, Multi"/>
    <s v="Federal &amp; State"/>
    <s v="Leasehold"/>
    <s v="1 N Central Ave"/>
    <s v="Phoenix"/>
    <s v="AZ"/>
    <n v="1.26"/>
    <n v="2001"/>
    <n v="237000"/>
    <n v="409889"/>
    <n v="0.5782053190009978"/>
    <m/>
    <s v=" "/>
    <n v="7281608"/>
    <n v="17.76482901468446"/>
    <m/>
    <d v="2021-07-31T00:00:00"/>
    <d v="2021-07-31T00:00:00"/>
    <n v="13.37260273972603"/>
    <n v="13.37260273972603"/>
    <s v="Full Service"/>
    <s v="None"/>
    <s v="None"/>
    <n v="127000000"/>
    <n v="309.8399810680452"/>
    <n v="0.05733549606299213"/>
    <m/>
    <d v="2008-03-20T00:00:00"/>
    <x v="1870"/>
    <s v="CBRE; Anderson"/>
    <x v="1390"/>
    <s v="NY"/>
    <s v="Private"/>
    <m/>
    <m/>
    <m/>
    <s v=" "/>
    <s v=" "/>
    <m/>
    <s v=" "/>
    <s v=" "/>
    <s v=" "/>
    <d v="2008-02-02T00:00:00"/>
    <n v="47"/>
  </r>
  <r>
    <s v="LLA14155"/>
    <s v="SSA"/>
    <s v="Federal"/>
    <s v="Fee Simple"/>
    <s v="115 Terry Pky"/>
    <s v="Gretna"/>
    <s v="LA"/>
    <n v="1.48"/>
    <n v="1995"/>
    <n v="15402"/>
    <n v="15402"/>
    <n v="1"/>
    <n v="381832.73"/>
    <n v="24.79111349175432"/>
    <m/>
    <s v=" "/>
    <d v="1995-07-11T00:00:00"/>
    <d v="2013-07-10T00:00:00"/>
    <d v="2013-07-10T00:00:00"/>
    <n v="5.353424657534247"/>
    <n v="5.353424657534247"/>
    <s v="Modified Gross"/>
    <s v="None"/>
    <s v="None"/>
    <n v="1000000"/>
    <n v="64.92663290481755"/>
    <s v=" "/>
    <m/>
    <d v="2008-03-04T00:00:00"/>
    <x v="1871"/>
    <s v="JSA; Hebert"/>
    <x v="1391"/>
    <s v="LA"/>
    <s v="Private"/>
    <m/>
    <m/>
    <m/>
    <s v=" "/>
    <s v=" "/>
    <m/>
    <s v=" "/>
    <s v=" "/>
    <s v=" "/>
    <m/>
    <s v=" "/>
  </r>
  <r>
    <m/>
    <s v="FS"/>
    <s v="Federal"/>
    <s v="Fee Simple"/>
    <s v="595 NW Industrial Way"/>
    <s v="Estacada"/>
    <s v="OR"/>
    <n v="1.76"/>
    <n v="1984"/>
    <n v="15220"/>
    <n v="15220"/>
    <n v="1"/>
    <n v="302508"/>
    <n v="19.87568988173456"/>
    <n v="244106"/>
    <n v="16.03850197109067"/>
    <d v="2007-06-01T00:00:00"/>
    <d v="2012-05-31T00:00:00"/>
    <d v="2012-05-31T00:00:00"/>
    <n v="4.301369863013699"/>
    <n v="4.301369863013699"/>
    <s v="Modified Gross"/>
    <s v="None"/>
    <s v="None"/>
    <n v="2700000"/>
    <n v="177.3981603153745"/>
    <n v="0.09040962962962963"/>
    <m/>
    <d v="2008-02-12T00:00:00"/>
    <x v="1872"/>
    <s v="M&amp;M; Kapnick"/>
    <x v="1374"/>
    <s v="OR"/>
    <s v="Private"/>
    <m/>
    <m/>
    <n v="3250000"/>
    <n v="0.07510953846153846"/>
    <n v="0.8307692307692308"/>
    <n v="3250000"/>
    <n v="0.07510953846153846"/>
    <n v="0.01530009116809117"/>
    <s v="No"/>
    <d v="2007-06-18T00:00:00"/>
    <n v="239"/>
  </r>
  <r>
    <s v="LAL39126"/>
    <s v="SSA"/>
    <s v="Federal"/>
    <s v="Fee Simple"/>
    <s v="1800 Corporate Dr"/>
    <s v="Opelika"/>
    <s v="AL"/>
    <n v="2.07"/>
    <n v="2000"/>
    <n v="6240"/>
    <n v="6240"/>
    <n v="1"/>
    <n v="81514"/>
    <n v="13.06314102564103"/>
    <m/>
    <s v=" "/>
    <d v="2001-05-01T00:00:00"/>
    <d v="2021-04-30T00:00:00"/>
    <d v="2006-04-30T00:00:00"/>
    <n v="13.23287671232877"/>
    <n v="-1.778082191780822"/>
    <s v="Modified Gross"/>
    <s v="None"/>
    <s v="None"/>
    <m/>
    <s v=" "/>
    <s v=" "/>
    <m/>
    <d v="2008-02-08T00:00:00"/>
    <x v="842"/>
    <m/>
    <x v="1392"/>
    <s v="TN"/>
    <s v="Private"/>
    <m/>
    <m/>
    <m/>
    <s v=" "/>
    <s v=" "/>
    <m/>
    <s v=" "/>
    <s v=" "/>
    <s v=" "/>
    <m/>
    <s v=" "/>
  </r>
  <r>
    <m/>
    <s v="DOE"/>
    <s v="State"/>
    <s v="Fee Simple"/>
    <s v="3190 160th Ave SE"/>
    <s v="Bellevue"/>
    <s v="WA"/>
    <n v="3.66"/>
    <n v="1982"/>
    <n v="60423"/>
    <n v="60423"/>
    <n v="1"/>
    <m/>
    <s v=" "/>
    <n v="1209186"/>
    <n v="20.01201529219006"/>
    <m/>
    <d v="2011-06-30T00:00:00"/>
    <d v="2011-06-30T00:00:00"/>
    <n v="3.410958904109589"/>
    <n v="3.410958904109589"/>
    <s v="Modified Gross"/>
    <s v="CPI annually"/>
    <s v="None"/>
    <n v="15300000"/>
    <n v="253.214835410357"/>
    <n v="0.07903176470588236"/>
    <m/>
    <d v="2008-02-01T00:00:00"/>
    <x v="1873"/>
    <s v="JLL; Flippo"/>
    <x v="1393"/>
    <s v="WA"/>
    <s v="Private"/>
    <s v="CBRE; Patterson"/>
    <m/>
    <n v="15600000"/>
    <n v="0.07751192307692308"/>
    <n v="0.9807692307692307"/>
    <n v="15600000"/>
    <n v="0.07751192307692308"/>
    <n v="0.001519841628959281"/>
    <s v="No"/>
    <d v="2007-09-01T00:00:00"/>
    <n v="153"/>
  </r>
  <r>
    <m/>
    <s v="SSA"/>
    <s v="Federal"/>
    <s v="Fee Simple"/>
    <s v="44 Stoneridge Dr"/>
    <s v="Chillicothe"/>
    <s v="OH"/>
    <m/>
    <m/>
    <n v="11898"/>
    <n v="11898"/>
    <n v="1"/>
    <m/>
    <s v=" "/>
    <m/>
    <s v=" "/>
    <m/>
    <d v="2020-08-30T00:00:00"/>
    <d v="2015-08-30T00:00:00"/>
    <n v="12.58904109589041"/>
    <n v="7.583561643835616"/>
    <s v="Modified Gross"/>
    <s v="None"/>
    <s v="None"/>
    <n v="3000000"/>
    <n v="252.1432173474533"/>
    <s v=" "/>
    <m/>
    <d v="2008-01-31T00:00:00"/>
    <x v="1874"/>
    <m/>
    <x v="1394"/>
    <s v="CA"/>
    <s v="Private"/>
    <m/>
    <m/>
    <m/>
    <s v=" "/>
    <s v=" "/>
    <m/>
    <s v=" "/>
    <s v=" "/>
    <s v=" "/>
    <m/>
    <s v=" "/>
  </r>
  <r>
    <m/>
    <s v="USPS"/>
    <s v="Federal"/>
    <s v="Fee Simple"/>
    <s v="38775 Contreras Rd"/>
    <s v="Anza"/>
    <s v="CA"/>
    <n v="1.28"/>
    <n v="1991"/>
    <n v="4878"/>
    <n v="4878"/>
    <n v="1"/>
    <n v="87873"/>
    <n v="18.01414514145142"/>
    <n v="81333"/>
    <n v="16.67343173431734"/>
    <d v="2016-05-01T00:00:00"/>
    <d v="2011-05-01T00:00:00"/>
    <d v="2011-05-01T00:00:00"/>
    <n v="3.257534246575343"/>
    <n v="3.257534246575343"/>
    <s v="Rider"/>
    <s v="Options"/>
    <s v="2, 5 year"/>
    <n v="545000"/>
    <n v="111.7261172611726"/>
    <n v="0.1492348623853211"/>
    <m/>
    <d v="2008-01-28T00:00:00"/>
    <x v="1875"/>
    <m/>
    <x v="1395"/>
    <m/>
    <m/>
    <m/>
    <m/>
    <m/>
    <s v=" "/>
    <s v=" "/>
    <m/>
    <s v=" "/>
    <s v=" "/>
    <s v=" "/>
    <m/>
    <s v=" "/>
  </r>
  <r>
    <s v="LOH16928"/>
    <s v="SSA"/>
    <s v="Federal"/>
    <s v="Fee Simple"/>
    <s v="354 E Federal Plaza"/>
    <s v="Youngstown"/>
    <s v="OH"/>
    <n v="1.29"/>
    <n v="2005"/>
    <n v="12846"/>
    <n v="12846"/>
    <n v="1"/>
    <n v="327099.41"/>
    <n v="25.46313327105713"/>
    <n v="213345"/>
    <n v="16.60789350770668"/>
    <d v="2006-05-26T00:00:00"/>
    <d v="2016-05-25T00:00:00"/>
    <d v="2016-05-25T00:00:00"/>
    <n v="8.328767123287671"/>
    <n v="8.328767123287671"/>
    <s v="FS"/>
    <m/>
    <s v="None"/>
    <n v="3376000"/>
    <n v="262.8055425813483"/>
    <n v="0.06319460900473933"/>
    <m/>
    <d v="2008-01-28T00:00:00"/>
    <x v="1876"/>
    <s v="M&amp;M"/>
    <x v="1374"/>
    <m/>
    <s v="Private"/>
    <m/>
    <m/>
    <m/>
    <s v=" "/>
    <s v=" "/>
    <m/>
    <s v=" "/>
    <s v=" "/>
    <s v=" "/>
    <m/>
    <s v=" "/>
  </r>
  <r>
    <m/>
    <s v="ICE"/>
    <s v="Federal"/>
    <s v="Fee Simple"/>
    <s v="310 E Knapp St"/>
    <s v="Milwaukee"/>
    <s v="WI"/>
    <n v="0.72"/>
    <n v="2001"/>
    <n v="58429"/>
    <n v="58429"/>
    <n v="1"/>
    <m/>
    <s v=" "/>
    <n v="1183360"/>
    <n v="20.25295657978059"/>
    <m/>
    <d v="2016-04-30T00:00:00"/>
    <d v="2011-04-30T00:00:00"/>
    <n v="8.276712328767124"/>
    <n v="3.271232876712329"/>
    <s v="Modified Gross"/>
    <s v="None"/>
    <s v="None"/>
    <n v="14972000"/>
    <n v="256.2426192472916"/>
    <n v="0.07903820464867753"/>
    <m/>
    <d v="2008-01-22T00:00:00"/>
    <x v="1554"/>
    <m/>
    <x v="1396"/>
    <s v="NJ"/>
    <s v="Private"/>
    <m/>
    <m/>
    <m/>
    <s v=" "/>
    <s v=" "/>
    <m/>
    <s v=" "/>
    <s v=" "/>
    <s v=" "/>
    <m/>
    <s v=" "/>
  </r>
  <r>
    <m/>
    <s v="DHS"/>
    <s v="State"/>
    <s v="Fee Simple"/>
    <s v="444 Lafayette Rd N"/>
    <s v="Saint Paul"/>
    <s v="MN"/>
    <n v="10.47"/>
    <n v="1919"/>
    <n v="280172"/>
    <n v="280172"/>
    <n v="1"/>
    <m/>
    <s v=" "/>
    <m/>
    <s v=" "/>
    <m/>
    <d v="2016-12-30T00:00:00"/>
    <d v="2016-12-30T00:00:00"/>
    <n v="8.983561643835616"/>
    <n v="8.983561643835616"/>
    <s v="Full Service"/>
    <s v="2% annually"/>
    <s v="None"/>
    <n v="36000000"/>
    <n v="128.4924974658424"/>
    <s v=" "/>
    <m/>
    <d v="2008-01-08T00:00:00"/>
    <x v="1472"/>
    <s v="CBRE"/>
    <x v="1397"/>
    <s v="MN"/>
    <s v="Private"/>
    <m/>
    <m/>
    <m/>
    <s v=" "/>
    <s v=" "/>
    <m/>
    <s v=" "/>
    <s v=" "/>
    <s v=" "/>
    <m/>
    <s v=" "/>
  </r>
  <r>
    <m/>
    <s v="SSA"/>
    <s v="Federal"/>
    <s v="Fee Simple"/>
    <s v="5020 W North Ave"/>
    <s v="Milwaukee"/>
    <s v="WI"/>
    <n v="0.75"/>
    <n v="1951"/>
    <n v="11050"/>
    <n v="11050"/>
    <n v="1"/>
    <m/>
    <s v=" "/>
    <m/>
    <s v=" "/>
    <d v="2006-01-01T00:00:00"/>
    <d v="2019-12-18T00:00:00"/>
    <d v="2014-12-18T00:00:00"/>
    <n v="11.95342465753425"/>
    <n v="6.950684931506849"/>
    <s v="Modified Gross"/>
    <s v="NOne"/>
    <s v="None"/>
    <n v="3071600"/>
    <n v="277.972850678733"/>
    <s v=" "/>
    <m/>
    <d v="2008-01-07T00:00:00"/>
    <x v="1877"/>
    <m/>
    <x v="1396"/>
    <s v="NJ"/>
    <s v="Private"/>
    <m/>
    <m/>
    <m/>
    <s v=" "/>
    <s v=" "/>
    <m/>
    <s v=" "/>
    <s v=" "/>
    <s v=" "/>
    <m/>
    <s v=" "/>
  </r>
  <r>
    <s v="LGA44095"/>
    <s v="CBP"/>
    <s v="Federal"/>
    <s v="Fee Simple"/>
    <s v="139 Southern Blvd"/>
    <s v="Savannah"/>
    <s v="GA"/>
    <n v="3.89"/>
    <n v="2007"/>
    <n v="16211"/>
    <n v="16211"/>
    <n v="1"/>
    <n v="300967.14"/>
    <n v="18.56561223860342"/>
    <m/>
    <s v=" "/>
    <d v="2007-09-10T00:00:00"/>
    <d v="2017-09-09T00:00:00"/>
    <d v="2012-09-09T00:00:00"/>
    <n v="9.69041095890411"/>
    <n v="4.687671232876713"/>
    <s v="Modified Gross"/>
    <s v="None"/>
    <s v="None"/>
    <n v="2357300"/>
    <n v="145.4136080439208"/>
    <s v=" "/>
    <m/>
    <d v="2008-01-03T00:00:00"/>
    <x v="139"/>
    <s v="SVN; Levin"/>
    <x v="1398"/>
    <s v="CA"/>
    <s v="Private"/>
    <m/>
    <m/>
    <m/>
    <s v=" "/>
    <s v=" "/>
    <m/>
    <s v=" "/>
    <s v=" "/>
    <s v=" "/>
    <m/>
    <s v=" "/>
  </r>
  <r>
    <m/>
    <s v="Multi"/>
    <s v="State"/>
    <s v="Fee Simple"/>
    <s v="801 K St"/>
    <s v="Sacramento"/>
    <s v="CA"/>
    <n v="0.72"/>
    <n v="1989"/>
    <n v="250377"/>
    <n v="337881"/>
    <n v="0.7410212471254672"/>
    <m/>
    <s v=" "/>
    <m/>
    <s v=" "/>
    <m/>
    <m/>
    <m/>
    <s v=" "/>
    <s v=" "/>
    <m/>
    <m/>
    <m/>
    <n v="87500000"/>
    <n v="258.9669143870179"/>
    <s v=" "/>
    <m/>
    <d v="2007-12-27T00:00:00"/>
    <x v="1878"/>
    <s v="JLL; Goff"/>
    <x v="242"/>
    <s v="TX"/>
    <s v="Institutional"/>
    <m/>
    <m/>
    <m/>
    <s v=" "/>
    <s v=" "/>
    <m/>
    <s v=" "/>
    <s v=" "/>
    <s v=" "/>
    <d v="2007-09-21T00:00:00"/>
    <n v="97"/>
  </r>
  <r>
    <m/>
    <s v="IRS"/>
    <s v="Federal"/>
    <s v="Fee Simple"/>
    <s v="6717 Shawnee Mission Pkwy"/>
    <s v="Overland Park"/>
    <s v="KS"/>
    <n v="4.04"/>
    <n v="1956"/>
    <n v="20920"/>
    <n v="48000"/>
    <n v="0.4358333333333334"/>
    <m/>
    <s v=" "/>
    <m/>
    <s v=" "/>
    <m/>
    <m/>
    <m/>
    <s v=" "/>
    <s v=" "/>
    <m/>
    <m/>
    <m/>
    <n v="2008300"/>
    <n v="41.83958333333333"/>
    <s v=" "/>
    <m/>
    <d v="2007-12-20T00:00:00"/>
    <x v="851"/>
    <s v="C&amp;W; Suzanne Dimmel"/>
    <x v="1399"/>
    <s v="MO"/>
    <s v="Private"/>
    <s v="NZ; Field"/>
    <m/>
    <m/>
    <s v=" "/>
    <s v=" "/>
    <m/>
    <s v=" "/>
    <s v=" "/>
    <s v=" "/>
    <m/>
    <s v=" "/>
  </r>
  <r>
    <m/>
    <s v="FS"/>
    <s v="Federal"/>
    <s v="Fee Simple"/>
    <s v="10237 US Highway 12"/>
    <s v="Naches"/>
    <s v="WA"/>
    <n v="6.09"/>
    <n v="2002"/>
    <n v="22694"/>
    <n v="22694"/>
    <n v="1"/>
    <n v="315421"/>
    <n v="13.89887194853265"/>
    <m/>
    <s v=" "/>
    <d v="2002-08-19T00:00:00"/>
    <d v="2022-11-30T00:00:00"/>
    <d v="2022-11-30T00:00:00"/>
    <n v="14.96164383561644"/>
    <n v="14.96164383561644"/>
    <s v="Modified Gross"/>
    <s v="None"/>
    <s v="None"/>
    <n v="2500000"/>
    <n v="110.1612761082224"/>
    <s v=" "/>
    <m/>
    <d v="2007-12-18T00:00:00"/>
    <x v="1879"/>
    <m/>
    <x v="1400"/>
    <s v="WA"/>
    <s v="Private"/>
    <m/>
    <m/>
    <m/>
    <s v=" "/>
    <s v=" "/>
    <m/>
    <s v=" "/>
    <s v=" "/>
    <s v=" "/>
    <m/>
    <s v=" "/>
  </r>
  <r>
    <s v="LNV01134"/>
    <s v="FBI"/>
    <s v="Federal"/>
    <s v="Fee Simple"/>
    <s v="1787 W Lake Mead Blvd"/>
    <s v="Las Vegas"/>
    <s v="NV"/>
    <n v="5.32"/>
    <n v="2006"/>
    <n v="106955"/>
    <n v="106955"/>
    <n v="1"/>
    <n v="3496477.54"/>
    <n v="32.69110878406806"/>
    <n v="2472600"/>
    <n v="23.11813379458651"/>
    <d v="2006-10-17T00:00:00"/>
    <d v="2021-10-16T00:00:00"/>
    <d v="2021-10-16T00:00:00"/>
    <n v="13.86849315068493"/>
    <n v="13.86849315068493"/>
    <s v="Modified Gross"/>
    <s v="None"/>
    <s v="None"/>
    <n v="23416080.12475359"/>
    <n v="218.9339453485446"/>
    <n v="0.1055941040014707"/>
    <m/>
    <d v="2007-12-07T00:00:00"/>
    <x v="1880"/>
    <m/>
    <x v="1401"/>
    <m/>
    <s v="Cross-Border"/>
    <m/>
    <m/>
    <m/>
    <s v=" "/>
    <s v=" "/>
    <m/>
    <s v=" "/>
    <s v=" "/>
    <s v=" "/>
    <m/>
    <s v=" "/>
  </r>
  <r>
    <m/>
    <s v="Multi"/>
    <s v="State"/>
    <s v="Fee Simple"/>
    <s v="4400 N Congress Ave"/>
    <s v="West Palm Beach"/>
    <s v="FL"/>
    <n v="2.29"/>
    <n v="2001"/>
    <n v="26855"/>
    <n v="41861"/>
    <n v="0.6415279138099902"/>
    <m/>
    <s v=" "/>
    <m/>
    <s v=" "/>
    <m/>
    <m/>
    <m/>
    <s v=" "/>
    <s v=" "/>
    <m/>
    <m/>
    <m/>
    <n v="7170000"/>
    <n v="171.2811447409283"/>
    <s v=" "/>
    <m/>
    <d v="2007-12-05T00:00:00"/>
    <x v="1881"/>
    <s v="M&amp;M; Holzhauer"/>
    <x v="284"/>
    <s v="FL"/>
    <s v="Private"/>
    <m/>
    <m/>
    <m/>
    <s v=" "/>
    <s v=" "/>
    <m/>
    <s v=" "/>
    <s v=" "/>
    <s v=" "/>
    <m/>
    <s v=" "/>
  </r>
  <r>
    <s v="LOH17549"/>
    <s v="SSA"/>
    <s v="Federal"/>
    <s v="Fee Simple"/>
    <s v="4035 Jefferson St"/>
    <s v="Medina"/>
    <s v="OH"/>
    <n v="0.84"/>
    <n v="2007"/>
    <n v="5700"/>
    <n v="5700"/>
    <n v="1"/>
    <n v="156036"/>
    <n v="27.37473684210526"/>
    <n v="96390"/>
    <n v="16.91052631578948"/>
    <d v="2007-12-06T00:00:00"/>
    <d v="2017-12-05T00:00:00"/>
    <d v="2017-12-05T00:00:00"/>
    <n v="10.02191780821918"/>
    <n v="10.02191780821918"/>
    <s v="Modified Gross"/>
    <s v="None"/>
    <s v="None"/>
    <n v="1440000"/>
    <n v="252.6315789473684"/>
    <n v="0.0669375"/>
    <m/>
    <d v="2007-11-30T00:00:00"/>
    <x v="1882"/>
    <m/>
    <x v="1402"/>
    <s v="KS"/>
    <s v="Private"/>
    <m/>
    <m/>
    <m/>
    <s v=" "/>
    <s v=" "/>
    <m/>
    <s v=" "/>
    <s v=" "/>
    <s v=" "/>
    <m/>
    <s v=" "/>
  </r>
  <r>
    <m/>
    <s v="SSA"/>
    <s v="Federal"/>
    <s v="Fee Simple"/>
    <s v="106 Plaza Dr"/>
    <s v="Vallejo"/>
    <s v="CA"/>
    <n v="0.9"/>
    <n v="1999"/>
    <n v="10100"/>
    <n v="11381"/>
    <n v="0.8874439855900185"/>
    <m/>
    <s v=" "/>
    <m/>
    <s v=" "/>
    <m/>
    <m/>
    <m/>
    <s v=" "/>
    <s v=" "/>
    <m/>
    <m/>
    <m/>
    <n v="3800000"/>
    <n v="333.889816360601"/>
    <s v=" "/>
    <m/>
    <d v="2007-11-09T00:00:00"/>
    <x v="1883"/>
    <m/>
    <x v="1403"/>
    <s v="CA"/>
    <s v="Private"/>
    <m/>
    <m/>
    <m/>
    <s v=" "/>
    <s v=" "/>
    <m/>
    <s v=" "/>
    <s v=" "/>
    <s v=" "/>
    <m/>
    <s v=" "/>
  </r>
  <r>
    <m/>
    <s v="DHP"/>
    <s v="State"/>
    <s v="Fee Simple"/>
    <s v="9960 Maryland Dr"/>
    <s v="Richmond"/>
    <s v="VA"/>
    <n v="13.32"/>
    <n v="1994"/>
    <n v="163843.944"/>
    <n v="173932"/>
    <n v="0.9419999999999999"/>
    <m/>
    <s v=" "/>
    <m/>
    <s v=" "/>
    <m/>
    <m/>
    <m/>
    <s v=" "/>
    <s v=" "/>
    <m/>
    <m/>
    <m/>
    <n v="25300000"/>
    <n v="145.4591449532001"/>
    <s v=" "/>
    <m/>
    <d v="2007-11-07T00:00:00"/>
    <x v="1884"/>
    <m/>
    <x v="242"/>
    <s v="TX"/>
    <s v="Institutional"/>
    <m/>
    <m/>
    <m/>
    <s v=" "/>
    <s v=" "/>
    <m/>
    <s v=" "/>
    <s v=" "/>
    <s v=" "/>
    <m/>
    <s v=" "/>
  </r>
  <r>
    <m/>
    <s v="VA/USDA"/>
    <s v="Federal"/>
    <s v="Fee Simple"/>
    <s v="10365 Old Placerville Rd"/>
    <s v="Sacramento"/>
    <s v="CA"/>
    <n v="1.69"/>
    <n v="1989"/>
    <n v="31749"/>
    <n v="44067"/>
    <n v="0.7204711008237457"/>
    <m/>
    <s v=" "/>
    <n v="620750"/>
    <n v="14.08650464066081"/>
    <m/>
    <d v="2012-12-30T00:00:00"/>
    <m/>
    <n v="5.150684931506849"/>
    <s v=" "/>
    <s v="Modified Gross"/>
    <s v="None"/>
    <s v="None"/>
    <n v="8672243"/>
    <n v="196.7967640184265"/>
    <n v="0.07157894445531565"/>
    <m/>
    <d v="2007-11-07T00:00:00"/>
    <x v="1885"/>
    <s v="Newmark; Brinitzer"/>
    <x v="1404"/>
    <s v="CA"/>
    <s v="Private"/>
    <m/>
    <m/>
    <n v="9550000"/>
    <n v="0.065"/>
    <n v="0.9080882722513089"/>
    <n v="9320000"/>
    <n v="0.06660407725321889"/>
    <n v="0.004974867202096764"/>
    <s v="Yes"/>
    <d v="2007-04-23T00:00:00"/>
    <n v="198"/>
  </r>
  <r>
    <s v="LAR15053"/>
    <s v="SSA"/>
    <s v="Federal"/>
    <s v="Fee Simple"/>
    <s v="1325 South Division"/>
    <s v="Blytheville"/>
    <s v="AR"/>
    <n v="2.5"/>
    <n v="2003"/>
    <n v="4274"/>
    <n v="4274"/>
    <n v="1"/>
    <n v="97914.14999999999"/>
    <n v="22.90925362657931"/>
    <n v="66531"/>
    <n v="15.56644829199813"/>
    <d v="2003-01-07T00:00:00"/>
    <d v="2013-01-06T00:00:00"/>
    <d v="2013-01-06T00:00:00"/>
    <n v="5.243835616438356"/>
    <n v="5.243835616438356"/>
    <s v="Modified Gross"/>
    <s v="None"/>
    <s v="None"/>
    <n v="800000"/>
    <n v="187.178287318671"/>
    <n v="0.08316374999999999"/>
    <m/>
    <d v="2007-10-11T00:00:00"/>
    <x v="1886"/>
    <s v="M&amp;M; Nuzman"/>
    <x v="1405"/>
    <s v="WI"/>
    <s v="Private"/>
    <m/>
    <m/>
    <n v="811000"/>
    <n v="0.08203575832305796"/>
    <n v="0.9864364981504316"/>
    <n v="811000"/>
    <n v="0.08203575832305796"/>
    <n v="0.001127991676942039"/>
    <s v="No"/>
    <d v="2007-07-25T00:00:00"/>
    <n v="78"/>
  </r>
  <r>
    <m/>
    <s v="SSA"/>
    <s v="Federal"/>
    <s v="Fee Simple"/>
    <s v="2202 N Van Buren"/>
    <s v="Enid"/>
    <s v="OK"/>
    <n v="1.3"/>
    <n v="2004"/>
    <n v="7347"/>
    <n v="7347"/>
    <n v="1"/>
    <n v="151581"/>
    <n v="20.63168640261331"/>
    <n v="99147"/>
    <n v="13.4948958758677"/>
    <d v="2003-08-11T00:00:00"/>
    <d v="2018-08-11T00:00:00"/>
    <d v="2013-08-11T00:00:00"/>
    <n v="10.84383561643836"/>
    <n v="5.841095890410959"/>
    <s v="Modified Gross"/>
    <s v="None"/>
    <s v="None"/>
    <n v="1212623"/>
    <n v="165.050088471485"/>
    <n v="0.08176242739911745"/>
    <m/>
    <d v="2007-10-10T00:00:00"/>
    <x v="1887"/>
    <s v="M&amp;M; Nuzman"/>
    <x v="1406"/>
    <s v="WA"/>
    <s v="Private"/>
    <s v="M&amp;M; Passon"/>
    <m/>
    <n v="1265000"/>
    <n v="0.07837707509881423"/>
    <n v="0.9585952569169961"/>
    <n v="1265000"/>
    <n v="0.07837707509881423"/>
    <n v="0.003385352300303221"/>
    <s v="No"/>
    <d v="2007-08-07T00:00:00"/>
    <n v="64"/>
  </r>
  <r>
    <s v="LNE40021"/>
    <s v="SSA"/>
    <s v="Federal"/>
    <s v="Fee Simple"/>
    <s v="415 Valley View Dr"/>
    <s v="Scottsbluff"/>
    <s v="NE"/>
    <n v="1.34"/>
    <n v="2005"/>
    <n v="6811"/>
    <n v="6811"/>
    <n v="1"/>
    <n v="115291"/>
    <n v="16.9271766260461"/>
    <m/>
    <s v=" "/>
    <d v="2005-06-01T00:00:00"/>
    <d v="2017-05-31T00:00:00"/>
    <d v="2012-05-31T00:00:00"/>
    <n v="9.67945205479452"/>
    <n v="4.676712328767123"/>
    <s v="Modified Gross"/>
    <s v="None"/>
    <s v="None"/>
    <n v="1285000"/>
    <n v="188.66539421524"/>
    <s v=" "/>
    <m/>
    <d v="2007-09-28T00:00:00"/>
    <x v="31"/>
    <m/>
    <x v="1407"/>
    <s v="NE"/>
    <s v="Private"/>
    <m/>
    <m/>
    <m/>
    <s v=" "/>
    <s v=" "/>
    <m/>
    <s v=" "/>
    <s v=" "/>
    <s v=" "/>
    <m/>
    <s v=" "/>
  </r>
  <r>
    <m/>
    <s v="IRS"/>
    <s v="Federal"/>
    <s v="Fee Simple"/>
    <s v="4330 Watt Ave"/>
    <s v="Sacramento"/>
    <s v="CA"/>
    <n v="6.13"/>
    <n v="1987"/>
    <n v="89440"/>
    <n v="145473"/>
    <n v="0.614821994459453"/>
    <m/>
    <s v=" "/>
    <n v="1369500"/>
    <n v="9.414118083768122"/>
    <d v="2003-03-01T00:00:00"/>
    <d v="2013-02-28T00:00:00"/>
    <d v="2008-02-28T00:00:00"/>
    <n v="5.454794520547945"/>
    <n v="0.4493150684931507"/>
    <s v="Modified Gross"/>
    <s v="None"/>
    <s v="None"/>
    <n v="23750000"/>
    <n v="163.2605363194545"/>
    <n v="0.05766315789473684"/>
    <m/>
    <d v="2007-09-17T00:00:00"/>
    <x v="1888"/>
    <s v="Bill Palmer"/>
    <x v="1408"/>
    <s v="CO"/>
    <s v="Institutional"/>
    <m/>
    <m/>
    <m/>
    <s v=" "/>
    <s v=" "/>
    <m/>
    <s v=" "/>
    <s v=" "/>
    <s v=" "/>
    <m/>
    <s v=" "/>
  </r>
  <r>
    <m/>
    <s v="USDA"/>
    <s v="Federal"/>
    <s v="Fee Simple"/>
    <s v="215 Third Loop Rd"/>
    <s v="Florence"/>
    <s v="SC"/>
    <n v="1.463"/>
    <n v="2003"/>
    <n v="10696"/>
    <n v="10696"/>
    <n v="1"/>
    <n v="281213"/>
    <n v="26.29141735228123"/>
    <n v="215828"/>
    <n v="20.17838444278235"/>
    <d v="2003-09-01T00:00:00"/>
    <d v="2023-08-30T00:00:00"/>
    <d v="2018-08-30T00:00:00"/>
    <n v="15.96986301369863"/>
    <n v="10.96712328767123"/>
    <s v="Modified Gross"/>
    <s v="None"/>
    <s v="None"/>
    <n v="2700000"/>
    <n v="252.4308152580404"/>
    <n v="0.0799362962962963"/>
    <m/>
    <d v="2007-09-14T00:00:00"/>
    <x v="1889"/>
    <s v="Colliers; Fennelly"/>
    <x v="1409"/>
    <s v="AZ"/>
    <s v="Private"/>
    <s v="CW; Knox"/>
    <m/>
    <n v="2900000"/>
    <n v="0.07442344827586207"/>
    <n v="0.9310344827586207"/>
    <n v="2900000"/>
    <n v="0.07442344827586207"/>
    <n v="0.005512848020434225"/>
    <s v="No"/>
    <m/>
    <s v=" "/>
  </r>
  <r>
    <s v="LAL44147"/>
    <s v="OHO"/>
    <s v="Federal"/>
    <s v="Fee Simple"/>
    <s v="131 Clayton St"/>
    <s v="Montgomery"/>
    <s v="AL"/>
    <n v="2.6"/>
    <n v="2006"/>
    <n v="57815"/>
    <n v="57815"/>
    <n v="1"/>
    <n v="1478833"/>
    <n v="25.57870794776442"/>
    <n v="970200.0000000001"/>
    <n v="16.78111216812246"/>
    <d v="2007-07-06T00:00:00"/>
    <d v="2017-07-05T00:00:00"/>
    <d v="2014-07-05T00:00:00"/>
    <n v="9.813698630136987"/>
    <n v="6.810958904109589"/>
    <s v="Modified Gross"/>
    <s v="None"/>
    <s v="None"/>
    <n v="15170000"/>
    <n v="262.388653463634"/>
    <n v="0.06395517468688201"/>
    <m/>
    <d v="2007-09-14T00:00:00"/>
    <x v="842"/>
    <m/>
    <x v="1410"/>
    <s v="NC"/>
    <s v="Private"/>
    <m/>
    <m/>
    <m/>
    <s v=" "/>
    <s v=" "/>
    <m/>
    <s v=" "/>
    <s v=" "/>
    <s v=" "/>
    <m/>
    <s v=" "/>
  </r>
  <r>
    <s v="LIN16504"/>
    <s v="SSA"/>
    <s v="Federal"/>
    <s v="Fee Simple"/>
    <s v="117 S Scatterfield Rd"/>
    <s v="Anderson"/>
    <s v="IN"/>
    <n v="1.37"/>
    <n v="2001"/>
    <n v="12509"/>
    <n v="12509"/>
    <n v="1"/>
    <n v="304419.36"/>
    <n v="24.33602686066032"/>
    <n v="187200"/>
    <n v="14.96522503797266"/>
    <d v="2001-10-24T00:00:00"/>
    <d v="2021-10-23T00:00:00"/>
    <d v="2011-10-24T00:00:00"/>
    <n v="14.14520547945206"/>
    <n v="4.13972602739726"/>
    <s v="Modified Gross"/>
    <s v="None"/>
    <s v="None"/>
    <m/>
    <s v=" "/>
    <s v=" "/>
    <m/>
    <d v="2007-09-04T00:00:00"/>
    <x v="1554"/>
    <m/>
    <x v="1411"/>
    <s v="CA"/>
    <s v="Private"/>
    <s v="BW; Wells"/>
    <m/>
    <m/>
    <s v=" "/>
    <s v=" "/>
    <m/>
    <s v=" "/>
    <s v=" "/>
    <s v=" "/>
    <m/>
    <s v=" "/>
  </r>
  <r>
    <m/>
    <s v="USPS"/>
    <s v="Federal"/>
    <s v="Fee Simple"/>
    <s v="3751 W 6th St"/>
    <s v="Los Angeles"/>
    <s v="CA"/>
    <n v="0.79"/>
    <n v="1959"/>
    <n v="16854"/>
    <n v="16854"/>
    <n v="1"/>
    <m/>
    <s v=" "/>
    <m/>
    <s v=" "/>
    <m/>
    <m/>
    <m/>
    <s v=" "/>
    <s v=" "/>
    <m/>
    <m/>
    <m/>
    <n v="11800000"/>
    <n v="700.1305328112021"/>
    <s v=" "/>
    <m/>
    <d v="2007-09-01T00:00:00"/>
    <x v="8"/>
    <m/>
    <x v="0"/>
    <m/>
    <m/>
    <m/>
    <m/>
    <m/>
    <s v=" "/>
    <s v=" "/>
    <m/>
    <s v=" "/>
    <s v=" "/>
    <s v=" "/>
    <m/>
    <s v=" "/>
  </r>
  <r>
    <m/>
    <s v="FBI"/>
    <s v="Federal"/>
    <s v="Fee Simple"/>
    <s v="1220 Echelon Pky"/>
    <s v="Jackson"/>
    <s v="MS"/>
    <n v="10.68"/>
    <m/>
    <n v="109819"/>
    <n v="109819"/>
    <n v="1"/>
    <n v="3251929.08"/>
    <n v="29.61171636966281"/>
    <m/>
    <s v=" "/>
    <m/>
    <m/>
    <m/>
    <s v=" "/>
    <s v=" "/>
    <m/>
    <m/>
    <m/>
    <m/>
    <s v=" "/>
    <s v=" "/>
    <m/>
    <d v="2007-08-22T00:00:00"/>
    <x v="8"/>
    <m/>
    <x v="1412"/>
    <s v="GA"/>
    <s v="Institutional"/>
    <m/>
    <m/>
    <m/>
    <s v=" "/>
    <s v=" "/>
    <m/>
    <s v=" "/>
    <s v=" "/>
    <s v=" "/>
    <m/>
    <s v=" "/>
  </r>
  <r>
    <m/>
    <s v="FEMA"/>
    <s v="Federal"/>
    <s v="Fee Simple"/>
    <s v="3900 Karina Ln"/>
    <s v="Denton"/>
    <s v="TX"/>
    <n v="10.44"/>
    <n v="2002"/>
    <n v="83481"/>
    <n v="83481"/>
    <n v="1"/>
    <n v="2838027"/>
    <n v="33.9960829410285"/>
    <n v="1735136"/>
    <n v="20.78480133203962"/>
    <d v="2017-06-01T00:00:00"/>
    <d v="2022-05-31T00:00:00"/>
    <d v="2022-05-31T00:00:00"/>
    <n v="14.8"/>
    <n v="14.8"/>
    <s v="Modified Gross"/>
    <s v="None"/>
    <s v="None"/>
    <n v="18276824.69164185"/>
    <n v="218.9339453485446"/>
    <n v="0.09493640330169018"/>
    <m/>
    <d v="2007-08-16T00:00:00"/>
    <x v="1880"/>
    <m/>
    <x v="1401"/>
    <m/>
    <s v="Cross-Border"/>
    <m/>
    <m/>
    <m/>
    <s v=" "/>
    <s v=" "/>
    <m/>
    <s v=" "/>
    <s v=" "/>
    <s v=" "/>
    <m/>
    <s v=" "/>
  </r>
  <r>
    <s v="LMI17017"/>
    <s v="SSA"/>
    <s v="Federal"/>
    <s v="Fee Simple"/>
    <s v="34010 Plymouth Rd"/>
    <s v="Livonia"/>
    <s v="MI"/>
    <n v="1.08"/>
    <n v="2005"/>
    <n v="8228"/>
    <n v="8228"/>
    <n v="1"/>
    <n v="334988.83"/>
    <n v="40.71327540106952"/>
    <n v="220475.99"/>
    <n v="26.79581793874575"/>
    <d v="2005-10-28T00:00:00"/>
    <d v="2015-10-31T00:00:00"/>
    <d v="2015-10-31T00:00:00"/>
    <n v="8.230136986301369"/>
    <n v="8.230136986301369"/>
    <s v="Modified Gross"/>
    <s v="None"/>
    <s v="None"/>
    <n v="2750000"/>
    <n v="334.2245989304813"/>
    <n v="0.08017308727272728"/>
    <m/>
    <d v="2007-08-10T00:00:00"/>
    <x v="2"/>
    <m/>
    <x v="1413"/>
    <s v="MI"/>
    <s v="Private"/>
    <s v="BW; Wells"/>
    <m/>
    <m/>
    <s v=" "/>
    <s v=" "/>
    <m/>
    <s v=" "/>
    <s v=" "/>
    <s v=" "/>
    <m/>
    <s v=" "/>
  </r>
  <r>
    <s v="LTX15401"/>
    <s v="SSA"/>
    <s v="Federal"/>
    <s v="Fee Simple"/>
    <s v="1202 E South 11th St"/>
    <s v="Abilene"/>
    <s v="TX"/>
    <n v="1.77"/>
    <n v="2005"/>
    <n v="14282"/>
    <n v="14282"/>
    <n v="1"/>
    <n v="281810"/>
    <n v="19.73183027587173"/>
    <m/>
    <s v=" "/>
    <d v="2005-08-24T00:00:00"/>
    <d v="2020-08-23T00:00:00"/>
    <d v="2015-08-24T00:00:00"/>
    <n v="13.04931506849315"/>
    <n v="8.046575342465754"/>
    <s v="Modified Gross"/>
    <s v="None"/>
    <s v="None"/>
    <m/>
    <s v=" "/>
    <s v=" "/>
    <m/>
    <d v="2007-08-09T00:00:00"/>
    <x v="795"/>
    <m/>
    <x v="1414"/>
    <s v="CA"/>
    <s v="Private"/>
    <m/>
    <m/>
    <m/>
    <s v=" "/>
    <s v=" "/>
    <m/>
    <s v=" "/>
    <s v=" "/>
    <s v=" "/>
    <m/>
    <s v=" "/>
  </r>
  <r>
    <m/>
    <s v="BLM"/>
    <s v="Federal"/>
    <s v="Fee Simple"/>
    <s v="1103 N Francher Rd"/>
    <s v="Spokane"/>
    <s v="WA"/>
    <m/>
    <m/>
    <n v="22478"/>
    <n v="22478"/>
    <n v="1"/>
    <m/>
    <s v=" "/>
    <m/>
    <s v=" "/>
    <m/>
    <m/>
    <m/>
    <s v=" "/>
    <s v=" "/>
    <m/>
    <m/>
    <m/>
    <n v="2875000"/>
    <n v="127.9028383308123"/>
    <s v=" "/>
    <m/>
    <d v="2007-08-08T00:00:00"/>
    <x v="1890"/>
    <m/>
    <x v="1415"/>
    <s v="WA"/>
    <s v="Private"/>
    <m/>
    <m/>
    <m/>
    <s v=" "/>
    <s v=" "/>
    <m/>
    <s v=" "/>
    <s v=" "/>
    <s v=" "/>
    <m/>
    <s v=" "/>
  </r>
  <r>
    <m/>
    <s v="Multi"/>
    <s v="State &amp; Federal"/>
    <s v="Fee Simple"/>
    <s v="75 Piedmont Ave NE"/>
    <s v="Atlanta"/>
    <s v="GA"/>
    <n v="2.2"/>
    <n v="1969"/>
    <n v="158653.35"/>
    <n v="170595"/>
    <n v="0.93"/>
    <m/>
    <s v=" "/>
    <m/>
    <s v=" "/>
    <m/>
    <m/>
    <m/>
    <s v=" "/>
    <s v=" "/>
    <m/>
    <m/>
    <m/>
    <n v="12000000"/>
    <n v="70.3420381605557"/>
    <s v=" "/>
    <m/>
    <d v="2007-08-07T00:00:00"/>
    <x v="950"/>
    <s v="Red Rock Global"/>
    <x v="1416"/>
    <s v="GA"/>
    <s v="User"/>
    <m/>
    <m/>
    <m/>
    <s v=" "/>
    <s v=" "/>
    <m/>
    <s v=" "/>
    <s v=" "/>
    <s v=" "/>
    <m/>
    <s v=" "/>
  </r>
  <r>
    <m/>
    <s v="SSA"/>
    <s v="Federal"/>
    <s v="Fee Simple"/>
    <s v="134 Juniper Ct"/>
    <s v="Brunswick"/>
    <s v="GA"/>
    <n v="1.45"/>
    <n v="2005"/>
    <n v="9856"/>
    <n v="9856"/>
    <n v="1"/>
    <m/>
    <s v=" "/>
    <m/>
    <s v=" "/>
    <d v="2005-08-01T00:00:00"/>
    <d v="2017-07-31T00:00:00"/>
    <d v="2012-07-31T00:00:00"/>
    <n v="10.0027397260274"/>
    <n v="5"/>
    <s v="Modified Gross"/>
    <s v="None"/>
    <s v="None"/>
    <n v="1687500"/>
    <n v="171.2155032467533"/>
    <s v=" "/>
    <m/>
    <d v="2007-08-02T00:00:00"/>
    <x v="1891"/>
    <m/>
    <x v="1417"/>
    <s v="GA"/>
    <s v="Private"/>
    <m/>
    <m/>
    <m/>
    <s v=" "/>
    <s v=" "/>
    <m/>
    <s v=" "/>
    <s v=" "/>
    <s v=" "/>
    <m/>
    <s v=" "/>
  </r>
  <r>
    <m/>
    <s v="Multi"/>
    <s v="Federal"/>
    <s v="Fee Simple"/>
    <s v="440 Roper Mountain Rd"/>
    <s v="Greenville"/>
    <s v="SC"/>
    <n v="4.08"/>
    <n v="1998"/>
    <n v="13820"/>
    <n v="92419"/>
    <n v="0.1495363507503868"/>
    <m/>
    <s v=" "/>
    <n v="995138"/>
    <n v="10.7676776420433"/>
    <m/>
    <m/>
    <m/>
    <s v=" "/>
    <s v=" "/>
    <m/>
    <m/>
    <m/>
    <n v="12400000"/>
    <n v="134.1715448122139"/>
    <n v="0.08025306451612903"/>
    <m/>
    <d v="2007-08-01T00:00:00"/>
    <x v="1892"/>
    <s v="M&amp;M; Chetek"/>
    <x v="1418"/>
    <s v="AZ"/>
    <s v="Private"/>
    <m/>
    <m/>
    <n v="12301345"/>
    <n v="0.08089668243594501"/>
    <n v="1.008019854739461"/>
    <n v="12301345"/>
    <n v="0.08089668243594501"/>
    <n v="-0.0006436179198159864"/>
    <s v="No"/>
    <d v="2006-08-11T00:00:00"/>
    <n v="355"/>
  </r>
  <r>
    <s v="LMT14077"/>
    <s v="SSA"/>
    <s v="Federal"/>
    <s v="Fee Simple"/>
    <s v="2008 23rd St S"/>
    <s v="Great Falls"/>
    <s v="MT"/>
    <n v="1.1"/>
    <n v="2007"/>
    <n v="10160"/>
    <n v="10160"/>
    <n v="1"/>
    <n v="325371.86"/>
    <n v="32.02478937007874"/>
    <m/>
    <s v=" "/>
    <d v="2007-07-01T00:00:00"/>
    <d v="2022-06-30T00:00:00"/>
    <d v="2017-06-30T00:00:00"/>
    <n v="14.92602739726027"/>
    <n v="9.923287671232877"/>
    <s v="Modified Gross"/>
    <s v="None"/>
    <s v="None"/>
    <m/>
    <s v=" "/>
    <s v=" "/>
    <m/>
    <d v="2007-07-31T00:00:00"/>
    <x v="555"/>
    <m/>
    <x v="1419"/>
    <s v="NC"/>
    <s v="Private"/>
    <m/>
    <m/>
    <m/>
    <s v=" "/>
    <s v=" "/>
    <m/>
    <s v=" "/>
    <s v=" "/>
    <s v=" "/>
    <m/>
    <s v=" "/>
  </r>
  <r>
    <m/>
    <s v="IRS/SSA"/>
    <s v="Federal"/>
    <s v="Fee Simple"/>
    <s v="225 W Broadway"/>
    <s v="Glendale"/>
    <s v="CA"/>
    <n v="1.76"/>
    <n v="1981"/>
    <n v="47814"/>
    <n v="126509"/>
    <n v="0.3779493949047104"/>
    <m/>
    <s v=" "/>
    <m/>
    <s v=" "/>
    <m/>
    <m/>
    <m/>
    <s v=" "/>
    <s v=" "/>
    <m/>
    <m/>
    <m/>
    <n v="32675000"/>
    <n v="258.282019461066"/>
    <s v=" "/>
    <m/>
    <d v="2007-07-27T00:00:00"/>
    <x v="1893"/>
    <m/>
    <x v="1420"/>
    <s v="CA"/>
    <s v="Private"/>
    <m/>
    <m/>
    <m/>
    <s v=" "/>
    <s v=" "/>
    <m/>
    <s v=" "/>
    <s v=" "/>
    <s v=" "/>
    <d v="2007-04-05T00:00:00"/>
    <n v="113"/>
  </r>
  <r>
    <m/>
    <s v="SSA/County"/>
    <s v="Federal &amp; State"/>
    <s v="Fee Simple"/>
    <s v="430 State St"/>
    <s v="Bridgeport"/>
    <s v="CT"/>
    <n v="1.11"/>
    <n v="1970"/>
    <m/>
    <n v="30000"/>
    <s v=" "/>
    <m/>
    <s v=" "/>
    <m/>
    <s v=" "/>
    <m/>
    <m/>
    <m/>
    <s v=" "/>
    <s v=" "/>
    <m/>
    <m/>
    <m/>
    <n v="2300000"/>
    <n v="76.66666666666667"/>
    <s v=" "/>
    <m/>
    <d v="2007-07-17T00:00:00"/>
    <x v="1894"/>
    <s v="Bruce Wettenstein"/>
    <x v="1421"/>
    <s v="CT"/>
    <s v="Private"/>
    <s v="Fred Frassinelli"/>
    <m/>
    <m/>
    <s v=" "/>
    <s v=" "/>
    <m/>
    <s v=" "/>
    <s v=" "/>
    <s v=" "/>
    <m/>
    <s v=" "/>
  </r>
  <r>
    <m/>
    <s v="DES"/>
    <s v="State"/>
    <s v="Fee Simple"/>
    <s v="127 N Cardinal Dr"/>
    <s v="Wilmington"/>
    <s v="NC"/>
    <n v="4.42"/>
    <n v="1990"/>
    <n v="26145"/>
    <n v="26145"/>
    <n v="1"/>
    <m/>
    <s v=" "/>
    <m/>
    <s v=" "/>
    <m/>
    <m/>
    <m/>
    <s v=" "/>
    <s v=" "/>
    <m/>
    <m/>
    <m/>
    <n v="3100000"/>
    <n v="118.5695161598776"/>
    <s v=" "/>
    <m/>
    <d v="2007-07-11T00:00:00"/>
    <x v="1895"/>
    <m/>
    <x v="1422"/>
    <s v="NC"/>
    <s v="Private"/>
    <m/>
    <m/>
    <m/>
    <s v=" "/>
    <s v=" "/>
    <m/>
    <s v=" "/>
    <s v=" "/>
    <s v=" "/>
    <m/>
    <s v=" "/>
  </r>
  <r>
    <m/>
    <s v="SSA"/>
    <s v="Federal"/>
    <s v="Fee Simple"/>
    <s v="2500 Fontaine Rd"/>
    <s v="San Jose"/>
    <s v="CA"/>
    <n v="1.53"/>
    <n v="1972"/>
    <n v="13212"/>
    <n v="25087"/>
    <n v="0.5266472675090684"/>
    <n v="526366.0800000001"/>
    <n v="39.84"/>
    <m/>
    <s v=" "/>
    <d v="2005-12-01T00:00:00"/>
    <d v="2020-12-01T00:00:00"/>
    <d v="2015-12-01T00:00:00"/>
    <n v="13.41643835616438"/>
    <n v="8.41095890410959"/>
    <s v="Modified Gross"/>
    <s v="None"/>
    <s v="None"/>
    <n v="9600000"/>
    <n v="382.6683142663531"/>
    <s v=" "/>
    <m/>
    <d v="2007-07-06T00:00:00"/>
    <x v="1896"/>
    <s v="CBRE; Bower"/>
    <x v="1423"/>
    <s v="CA"/>
    <s v="Private"/>
    <m/>
    <m/>
    <m/>
    <s v=" "/>
    <s v=" "/>
    <m/>
    <s v=" "/>
    <s v=" "/>
    <s v=" "/>
    <d v="2007-05-06T00:00:00"/>
    <n v="61"/>
  </r>
  <r>
    <s v="LNC46084"/>
    <s v="IRS"/>
    <s v="Federal"/>
    <s v="Fee Simple"/>
    <s v="10715 David Taylor Dr"/>
    <s v="Charlotte"/>
    <s v="NC"/>
    <n v="12.11"/>
    <n v="2001"/>
    <n v="60909"/>
    <n v="152452"/>
    <n v="0.3995290320887886"/>
    <m/>
    <s v=" "/>
    <m/>
    <s v=" "/>
    <d v="2007-07-17T00:00:00"/>
    <d v="2017-07-16T00:00:00"/>
    <d v="2012-01-31T00:00:00"/>
    <n v="10.06027397260274"/>
    <n v="4.6"/>
    <s v="Modified Gross"/>
    <m/>
    <s v="None"/>
    <n v="21000000"/>
    <n v="137.7482748668433"/>
    <s v=" "/>
    <m/>
    <d v="2007-06-27T00:00:00"/>
    <x v="1897"/>
    <s v="Direct"/>
    <x v="1199"/>
    <s v="NY"/>
    <s v="Institutional"/>
    <m/>
    <m/>
    <m/>
    <s v=" "/>
    <s v=" "/>
    <m/>
    <s v=" "/>
    <s v=" "/>
    <s v=" "/>
    <m/>
    <s v=" "/>
  </r>
  <r>
    <s v="LIN16445"/>
    <s v="SSA"/>
    <s v="Federal"/>
    <s v="Fee Simple"/>
    <s v="231 Waterfall Dr"/>
    <s v="Elkhart"/>
    <s v="IN"/>
    <n v="0.72"/>
    <n v="2001"/>
    <n v="11442"/>
    <n v="11442"/>
    <n v="1"/>
    <n v="234318"/>
    <n v="20.47876245411641"/>
    <m/>
    <s v=" "/>
    <d v="2001-08-09T00:00:00"/>
    <d v="2021-08-08T00:00:00"/>
    <d v="2011-08-09T00:00:00"/>
    <n v="14.12602739726027"/>
    <n v="4.120547945205479"/>
    <s v="Modified Gross"/>
    <s v="None"/>
    <s v="None"/>
    <n v="1625000"/>
    <n v="142.0206257647264"/>
    <s v=" "/>
    <m/>
    <d v="2007-06-27T00:00:00"/>
    <x v="1554"/>
    <m/>
    <x v="1424"/>
    <s v="IN"/>
    <s v="Private"/>
    <s v="BW; Wells"/>
    <m/>
    <m/>
    <s v=" "/>
    <s v=" "/>
    <m/>
    <s v=" "/>
    <s v=" "/>
    <s v=" "/>
    <m/>
    <s v=" "/>
  </r>
  <r>
    <m/>
    <s v="EDD"/>
    <s v="State"/>
    <s v="Fee Simple"/>
    <s v="9815 Goethe Rd"/>
    <s v="Sacramento"/>
    <s v="CA"/>
    <n v="4.74"/>
    <n v="1992"/>
    <n v="87863"/>
    <n v="87863"/>
    <n v="1"/>
    <n v="1635970"/>
    <n v="18.6195554442712"/>
    <n v="1088562"/>
    <n v="12.38931063132376"/>
    <m/>
    <d v="2014-07-31T00:00:00"/>
    <d v="2014-07-31T00:00:00"/>
    <n v="7.101369863013699"/>
    <n v="7.101369863013699"/>
    <s v="Full Service"/>
    <s v="2% annually"/>
    <s v="None"/>
    <n v="15750000"/>
    <n v="179.2563422601095"/>
    <n v="0.06911504761904762"/>
    <m/>
    <d v="2007-06-26T00:00:00"/>
    <x v="1898"/>
    <s v="Direct"/>
    <x v="1425"/>
    <s v="CA"/>
    <s v="Institutional"/>
    <m/>
    <m/>
    <m/>
    <s v=" "/>
    <s v=" "/>
    <m/>
    <s v=" "/>
    <s v=" "/>
    <s v=" "/>
    <m/>
    <s v=" "/>
  </r>
  <r>
    <m/>
    <s v="Multi"/>
    <s v="Municipal"/>
    <s v="Fee Simple"/>
    <s v="6800 Burleson Rd"/>
    <s v="Austin"/>
    <s v="TX"/>
    <n v="21.07"/>
    <n v="1986"/>
    <n v="139085"/>
    <n v="208374"/>
    <n v="0.6674777083513298"/>
    <m/>
    <s v=" "/>
    <m/>
    <s v=" "/>
    <m/>
    <m/>
    <m/>
    <s v=" "/>
    <s v=" "/>
    <m/>
    <m/>
    <m/>
    <m/>
    <s v=" "/>
    <s v=" "/>
    <m/>
    <d v="2007-06-25T00:00:00"/>
    <x v="1899"/>
    <m/>
    <x v="1426"/>
    <s v="CA"/>
    <s v="Private"/>
    <m/>
    <m/>
    <m/>
    <s v=" "/>
    <s v=" "/>
    <m/>
    <s v=" "/>
    <s v=" "/>
    <s v=" "/>
    <m/>
    <s v=" "/>
  </r>
  <r>
    <s v="L04PL00283"/>
    <s v="BLM"/>
    <s v="Federal"/>
    <s v="Fee Simple"/>
    <s v="220 E Market St"/>
    <s v="Meeker"/>
    <s v="CO"/>
    <n v="5.5"/>
    <n v="2005"/>
    <n v="29288"/>
    <n v="29288"/>
    <n v="1"/>
    <n v="421596"/>
    <n v="14.39483747609943"/>
    <n v="275259"/>
    <n v="9.398354274788309"/>
    <d v="2007-03-12T00:00:00"/>
    <d v="2027-03-11T00:00:00"/>
    <d v="2022-03-11T00:00:00"/>
    <n v="19.75068493150685"/>
    <n v="14.74794520547945"/>
    <s v="Modified Gross"/>
    <s v="None"/>
    <s v="None"/>
    <n v="3559227"/>
    <n v="121.5250956022945"/>
    <n v="0.07733673631943115"/>
    <m/>
    <d v="2007-06-15T00:00:00"/>
    <x v="842"/>
    <m/>
    <x v="1410"/>
    <s v="NC"/>
    <s v="Private"/>
    <m/>
    <m/>
    <m/>
    <s v=" "/>
    <s v=" "/>
    <m/>
    <s v=" "/>
    <s v=" "/>
    <s v=" "/>
    <m/>
    <s v=" "/>
  </r>
  <r>
    <m/>
    <s v="Multi"/>
    <s v="State"/>
    <s v="Leasehold"/>
    <s v="Portfolio of Three"/>
    <s v="Phoenix"/>
    <s v="AZ"/>
    <n v="8.1"/>
    <m/>
    <m/>
    <n v="263766"/>
    <s v=" "/>
    <m/>
    <s v=" "/>
    <m/>
    <s v=" "/>
    <m/>
    <m/>
    <m/>
    <s v=" "/>
    <s v=" "/>
    <m/>
    <m/>
    <m/>
    <n v="24200000"/>
    <n v="91.74798874760204"/>
    <s v=" "/>
    <m/>
    <d v="2007-06-15T00:00:00"/>
    <x v="1473"/>
    <s v="CBRE; Fijan"/>
    <x v="1427"/>
    <s v="CA"/>
    <s v="Private"/>
    <m/>
    <m/>
    <m/>
    <s v=" "/>
    <s v=" "/>
    <m/>
    <s v=" "/>
    <s v=" "/>
    <s v=" "/>
    <d v="2006-05-24T00:00:00"/>
    <n v="387"/>
  </r>
  <r>
    <m/>
    <s v="PD"/>
    <s v="Federal"/>
    <s v="Leasehold"/>
    <s v="850 W Adams St"/>
    <s v="Phoenix"/>
    <s v="AZ"/>
    <n v="1"/>
    <n v="2003"/>
    <n v="23283.5"/>
    <n v="46567"/>
    <n v="0.5"/>
    <m/>
    <s v=" "/>
    <m/>
    <s v=" "/>
    <m/>
    <m/>
    <m/>
    <s v=" "/>
    <s v=" "/>
    <m/>
    <m/>
    <m/>
    <n v="8000000"/>
    <n v="171.7954774840552"/>
    <s v=" "/>
    <m/>
    <d v="2007-06-15T00:00:00"/>
    <x v="1473"/>
    <s v="CBRE; Fijan"/>
    <x v="1427"/>
    <s v="CA"/>
    <s v="Private"/>
    <m/>
    <m/>
    <m/>
    <s v=" "/>
    <s v=" "/>
    <m/>
    <s v=" "/>
    <s v=" "/>
    <s v=" "/>
    <d v="2006-05-24T00:00:00"/>
    <n v="387"/>
  </r>
  <r>
    <s v="LCA01870"/>
    <s v="SSA"/>
    <s v="Federal"/>
    <s v="Fee Simple"/>
    <s v="626 L St"/>
    <s v="Chula Vista"/>
    <s v="CA"/>
    <n v="1.25"/>
    <n v="1994"/>
    <n v="16040"/>
    <n v="26626"/>
    <n v="0.6024186884999625"/>
    <n v="574072"/>
    <n v="35.79002493765586"/>
    <m/>
    <s v=" "/>
    <d v="2007-11-16T00:00:00"/>
    <d v="2019-11-15T00:00:00"/>
    <d v="2017-11-16T00:00:00"/>
    <n v="12.45479452054795"/>
    <n v="10.45753424657534"/>
    <s v="Modified Gross"/>
    <s v="None"/>
    <s v="None"/>
    <m/>
    <s v=" "/>
    <s v=" "/>
    <m/>
    <d v="2007-06-05T00:00:00"/>
    <x v="1900"/>
    <m/>
    <x v="1414"/>
    <s v="CA"/>
    <s v="Private"/>
    <m/>
    <m/>
    <m/>
    <s v=" "/>
    <s v=" "/>
    <m/>
    <s v=" "/>
    <s v=" "/>
    <s v=" "/>
    <m/>
    <s v=" "/>
  </r>
  <r>
    <s v="LSC43014"/>
    <s v="SSA"/>
    <s v="Federal"/>
    <s v="Fee Simple"/>
    <s v="319 Pelham Rd"/>
    <s v="Greenville"/>
    <s v="SC"/>
    <n v="2.16"/>
    <m/>
    <n v="18208"/>
    <n v="18208"/>
    <n v="1"/>
    <n v="299447"/>
    <n v="16.44590289982425"/>
    <n v="187146.975"/>
    <n v="10.27828289762742"/>
    <d v="2005-02-01T00:00:00"/>
    <d v="2015-02-03T00:00:00"/>
    <d v="2010-02-08T00:00:00"/>
    <n v="7.671232876712328"/>
    <n v="2.682191780821918"/>
    <s v="FS"/>
    <m/>
    <s v="None"/>
    <n v="2495293"/>
    <n v="137.0437719683655"/>
    <n v="0.075"/>
    <m/>
    <d v="2007-06-05T00:00:00"/>
    <x v="1901"/>
    <s v="Direct"/>
    <x v="1428"/>
    <m/>
    <s v="Private"/>
    <m/>
    <m/>
    <m/>
    <s v=" "/>
    <s v=" "/>
    <m/>
    <s v=" "/>
    <s v=" "/>
    <s v=" "/>
    <m/>
    <s v=" "/>
  </r>
  <r>
    <m/>
    <s v="OR State Bar"/>
    <s v="State"/>
    <s v="Fee Simple"/>
    <s v="5200 SW Meadows Rd"/>
    <s v="Lake Oswego"/>
    <s v="OR"/>
    <n v="1.06"/>
    <n v="1986"/>
    <n v="28912"/>
    <n v="28912"/>
    <n v="1"/>
    <m/>
    <s v=" "/>
    <m/>
    <s v=" "/>
    <m/>
    <m/>
    <m/>
    <s v=" "/>
    <s v=" "/>
    <m/>
    <m/>
    <m/>
    <n v="8000000"/>
    <n v="276.7017155506364"/>
    <s v=" "/>
    <m/>
    <d v="2007-06-01T00:00:00"/>
    <x v="1902"/>
    <m/>
    <x v="1429"/>
    <s v="OR"/>
    <s v="Private"/>
    <m/>
    <m/>
    <m/>
    <s v=" "/>
    <s v=" "/>
    <m/>
    <s v=" "/>
    <s v=" "/>
    <s v=" "/>
    <m/>
    <s v=" "/>
  </r>
  <r>
    <m/>
    <s v="County of San Diego"/>
    <s v="County"/>
    <m/>
    <s v="495 La Tortuga Dr"/>
    <s v="Vista"/>
    <s v="CA"/>
    <n v="2.24"/>
    <n v="2006"/>
    <n v="24488"/>
    <n v="24488"/>
    <n v="1"/>
    <m/>
    <s v=" "/>
    <m/>
    <s v=" "/>
    <d v="2017-06-16T00:00:00"/>
    <d v="2027-06-14T00:00:00"/>
    <m/>
    <n v="20.05205479452055"/>
    <s v=" "/>
    <m/>
    <m/>
    <m/>
    <n v="9300000"/>
    <n v="379.7778503756942"/>
    <s v=" "/>
    <m/>
    <d v="2007-05-31T00:00:00"/>
    <x v="1903"/>
    <s v="M&amp;M; Trautvetter"/>
    <x v="1430"/>
    <s v="CA"/>
    <s v="Private"/>
    <m/>
    <m/>
    <m/>
    <s v=" "/>
    <s v=" "/>
    <m/>
    <s v=" "/>
    <s v=" "/>
    <s v=" "/>
    <m/>
    <s v=" "/>
  </r>
  <r>
    <m/>
    <s v="GSA"/>
    <s v="Federal"/>
    <s v="Fee Simple"/>
    <s v="4725 Nautilus Ct"/>
    <s v="Boulder"/>
    <s v="CO"/>
    <n v="1.54"/>
    <n v="1979"/>
    <n v="3830"/>
    <n v="21940"/>
    <n v="0.174567000911577"/>
    <m/>
    <s v=" "/>
    <n v="119000"/>
    <n v="5.423883318140382"/>
    <m/>
    <m/>
    <m/>
    <s v=" "/>
    <s v=" "/>
    <m/>
    <m/>
    <m/>
    <n v="1525000"/>
    <n v="69.5077484047402"/>
    <n v="0.0780327868852459"/>
    <m/>
    <d v="2007-05-23T00:00:00"/>
    <x v="1904"/>
    <s v="CG; Walsh"/>
    <x v="1431"/>
    <s v="CO"/>
    <s v="Private"/>
    <m/>
    <m/>
    <n v="1550000"/>
    <n v="0.07677419354838709"/>
    <n v="0.9838709677419355"/>
    <n v="1550000"/>
    <n v="0.07677419354838709"/>
    <n v="0.001258593336858807"/>
    <s v="No"/>
    <d v="2006-10-19T00:00:00"/>
    <n v="216"/>
  </r>
  <r>
    <m/>
    <s v="BLM"/>
    <s v="Federal"/>
    <s v="Fee Simple"/>
    <s v="920 NE Main St"/>
    <s v="Lewistown"/>
    <s v="MT"/>
    <n v="5.92"/>
    <n v="2004"/>
    <n v="32256"/>
    <n v="32256"/>
    <n v="1"/>
    <m/>
    <s v=" "/>
    <m/>
    <s v=" "/>
    <m/>
    <m/>
    <m/>
    <s v=" "/>
    <s v=" "/>
    <m/>
    <m/>
    <m/>
    <m/>
    <s v=" "/>
    <s v=" "/>
    <m/>
    <d v="2007-05-17T00:00:00"/>
    <x v="1905"/>
    <m/>
    <x v="1432"/>
    <s v="UT"/>
    <s v="Private"/>
    <m/>
    <m/>
    <m/>
    <s v=" "/>
    <s v=" "/>
    <m/>
    <s v=" "/>
    <s v=" "/>
    <s v=" "/>
    <m/>
    <s v=" "/>
  </r>
  <r>
    <m/>
    <s v="USGS"/>
    <s v="Federal"/>
    <s v="Fee Simple"/>
    <s v="1020 O'Brien Dr"/>
    <s v="Menlo Park"/>
    <s v="CA"/>
    <n v="1.1"/>
    <n v="1993"/>
    <n v="20000"/>
    <n v="20000"/>
    <n v="1"/>
    <m/>
    <s v=" "/>
    <m/>
    <s v=" "/>
    <m/>
    <m/>
    <m/>
    <s v=" "/>
    <s v=" "/>
    <m/>
    <m/>
    <m/>
    <m/>
    <s v=" "/>
    <s v=" "/>
    <m/>
    <d v="2007-05-17T00:00:00"/>
    <x v="1906"/>
    <m/>
    <x v="1433"/>
    <s v="CA"/>
    <s v="Private"/>
    <m/>
    <m/>
    <m/>
    <s v=" "/>
    <s v=" "/>
    <m/>
    <s v=" "/>
    <s v=" "/>
    <s v=" "/>
    <m/>
    <s v=" "/>
  </r>
  <r>
    <m/>
    <s v="SSA"/>
    <s v="Federal"/>
    <s v="Fee Simple"/>
    <s v="717 McGlathery Ln SE"/>
    <s v="Decatur"/>
    <s v="AL"/>
    <n v="1.5"/>
    <n v="2001"/>
    <n v="9768"/>
    <n v="9768"/>
    <n v="1"/>
    <m/>
    <s v=" "/>
    <m/>
    <s v=" "/>
    <d v="2001-03-01T00:00:00"/>
    <d v="2013-03-01T00:00:00"/>
    <d v="2011-03-01T00:00:00"/>
    <n v="5.802739726027397"/>
    <n v="3.8"/>
    <s v="Modified Gross"/>
    <s v="None"/>
    <s v="None"/>
    <n v="812500"/>
    <n v="83.17977067977068"/>
    <s v=" "/>
    <m/>
    <d v="2007-05-14T00:00:00"/>
    <x v="8"/>
    <m/>
    <x v="1434"/>
    <s v="AL"/>
    <s v="Private"/>
    <m/>
    <m/>
    <m/>
    <s v=" "/>
    <s v=" "/>
    <m/>
    <s v=" "/>
    <s v=" "/>
    <s v=" "/>
    <m/>
    <s v=" "/>
  </r>
  <r>
    <m/>
    <s v="Children's Hospital of Philadelphia"/>
    <s v="State"/>
    <s v="Fee Simple"/>
    <s v="3535 Market St"/>
    <s v="Philadelphia"/>
    <s v="PA"/>
    <n v="0.86"/>
    <n v="1973"/>
    <n v="304507"/>
    <n v="436000"/>
    <n v="0.6984105504587156"/>
    <n v="13014892"/>
    <n v="42.74086310002725"/>
    <n v="7638376"/>
    <n v="17.51921100917431"/>
    <m/>
    <m/>
    <m/>
    <s v=" "/>
    <s v=" "/>
    <m/>
    <m/>
    <m/>
    <n v="110500000"/>
    <n v="253.4403669724771"/>
    <n v="0.06912557466063349"/>
    <m/>
    <d v="2007-05-10T00:00:00"/>
    <x v="950"/>
    <s v="CBRE; Rahey"/>
    <x v="1435"/>
    <s v="FL"/>
    <s v="Private"/>
    <m/>
    <m/>
    <m/>
    <s v=" "/>
    <s v=" "/>
    <m/>
    <s v=" "/>
    <s v=" "/>
    <s v=" "/>
    <m/>
    <s v=" "/>
  </r>
  <r>
    <m/>
    <s v="USPS"/>
    <s v="Federal"/>
    <s v="Fee Simple"/>
    <s v="341 W Saint Paul Ave"/>
    <s v="Milwaukee"/>
    <s v="WI"/>
    <n v="9.31"/>
    <n v="1967"/>
    <n v="1105000"/>
    <n v="1105000"/>
    <n v="1"/>
    <m/>
    <s v=" "/>
    <m/>
    <s v=" "/>
    <m/>
    <d v="2010-03-31T00:00:00"/>
    <m/>
    <n v="2.90958904109589"/>
    <s v=" "/>
    <s v="Rider"/>
    <s v="None"/>
    <s v="None"/>
    <n v="16000000"/>
    <n v="14.47963800904977"/>
    <s v=" "/>
    <m/>
    <d v="2007-05-04T00:00:00"/>
    <x v="1907"/>
    <m/>
    <x v="1436"/>
    <s v="IL"/>
    <s v="Private"/>
    <m/>
    <m/>
    <m/>
    <s v=" "/>
    <s v=" "/>
    <m/>
    <s v=" "/>
    <s v=" "/>
    <s v=" "/>
    <m/>
    <s v=" "/>
  </r>
  <r>
    <m/>
    <s v="SSA"/>
    <s v="Federal"/>
    <s v="Fee Simple"/>
    <s v="156 S Bellew Ave"/>
    <s v="Watertown"/>
    <s v="NY"/>
    <n v="1.8"/>
    <n v="2005"/>
    <n v="10000"/>
    <n v="10000"/>
    <n v="1"/>
    <m/>
    <s v=" "/>
    <n v="154000"/>
    <n v="15.4"/>
    <d v="2005-10-01T00:00:00"/>
    <d v="2020-09-30T00:00:00"/>
    <d v="2015-09-30T00:00:00"/>
    <n v="13.42191780821918"/>
    <n v="8.416438356164383"/>
    <s v="Modified Gross"/>
    <s v="None"/>
    <s v="None"/>
    <n v="1900000"/>
    <n v="190"/>
    <n v="0.08105263157894736"/>
    <m/>
    <d v="2007-05-03T00:00:00"/>
    <x v="8"/>
    <m/>
    <x v="1437"/>
    <s v="FL"/>
    <s v="Private"/>
    <m/>
    <m/>
    <m/>
    <s v=" "/>
    <s v=" "/>
    <m/>
    <s v=" "/>
    <s v=" "/>
    <s v=" "/>
    <m/>
    <s v=" "/>
  </r>
  <r>
    <m/>
    <s v="VA"/>
    <s v="Federal"/>
    <s v="Fee Simple"/>
    <s v="2223 Colorado Blvd"/>
    <s v="Denton"/>
    <s v="TX"/>
    <n v="1"/>
    <n v="1995"/>
    <n v="12202"/>
    <n v="12202"/>
    <n v="1"/>
    <n v="219622"/>
    <n v="17.99885264710703"/>
    <n v="175333"/>
    <n v="14.36920177020161"/>
    <d v="2007-05-03T00:00:00"/>
    <d v="2019-12-31T00:00:00"/>
    <d v="2019-12-31T00:00:00"/>
    <n v="12.67671232876712"/>
    <n v="12.67671232876712"/>
    <s v="Modified Gross"/>
    <s v="in 2017"/>
    <s v="None"/>
    <m/>
    <s v=" "/>
    <s v=" "/>
    <m/>
    <d v="2007-05-01T00:00:00"/>
    <x v="1908"/>
    <m/>
    <x v="1438"/>
    <s v="IL"/>
    <s v="Private"/>
    <m/>
    <m/>
    <m/>
    <s v=" "/>
    <s v=" "/>
    <m/>
    <s v=" "/>
    <s v=" "/>
    <s v=" "/>
    <m/>
    <s v=" "/>
  </r>
  <r>
    <s v="LOR05979"/>
    <s v="FS"/>
    <s v="Federal"/>
    <s v="Fee Simple"/>
    <s v="16400 Champion Way"/>
    <s v="Sandy"/>
    <s v="OR"/>
    <n v="6.88"/>
    <n v="1997"/>
    <n v="45943"/>
    <n v="45943"/>
    <n v="1"/>
    <n v="674613.26"/>
    <n v="14.68370067257254"/>
    <n v="500500"/>
    <n v="10.89393378751932"/>
    <d v="1997-01-24T00:00:00"/>
    <d v="2019-10-31T00:00:00"/>
    <d v="2012-01-23T00:00:00"/>
    <n v="12.50958904109589"/>
    <n v="4.734246575342466"/>
    <s v="Modified Gross"/>
    <s v="None"/>
    <s v="None"/>
    <n v="7700000"/>
    <n v="167.598981346451"/>
    <n v="0.065"/>
    <m/>
    <d v="2007-05-01T00:00:00"/>
    <x v="1909"/>
    <m/>
    <x v="1439"/>
    <s v="NV"/>
    <s v="Private"/>
    <m/>
    <m/>
    <m/>
    <s v=" "/>
    <s v=" "/>
    <m/>
    <s v=" "/>
    <s v=" "/>
    <s v=" "/>
    <m/>
    <s v=" "/>
  </r>
  <r>
    <s v="LNV01626"/>
    <s v="USGS"/>
    <s v="Federal"/>
    <s v="Fee Simple"/>
    <s v="2730 N Deer Run Rd"/>
    <s v="Carson City"/>
    <s v="NV"/>
    <n v="4.22"/>
    <n v="2006"/>
    <n v="35935"/>
    <n v="35935"/>
    <n v="1"/>
    <n v="741359.16"/>
    <n v="20.63055962153889"/>
    <n v="590072.8100000001"/>
    <n v="16.42055962153889"/>
    <d v="2006-03-01T00:00:00"/>
    <d v="2021-02-28T00:00:00"/>
    <d v="2016-03-01T00:00:00"/>
    <n v="13.84383561643836"/>
    <n v="8.843835616438357"/>
    <s v="Modified Gross"/>
    <s v="None"/>
    <s v="None"/>
    <n v="7500000"/>
    <n v="208.7101711423403"/>
    <n v="0.07867637466666667"/>
    <m/>
    <d v="2007-04-30T00:00:00"/>
    <x v="1085"/>
    <m/>
    <x v="1440"/>
    <s v="CA"/>
    <s v="Private"/>
    <m/>
    <m/>
    <m/>
    <s v=" "/>
    <s v=" "/>
    <m/>
    <s v=" "/>
    <s v=" "/>
    <s v=" "/>
    <m/>
    <s v=" "/>
  </r>
  <r>
    <m/>
    <s v="SSA"/>
    <s v="Federal"/>
    <s v="Fee Simple"/>
    <s v="7200-7202 Greenleaf Ave"/>
    <s v="Whittier"/>
    <s v="CA"/>
    <n v="0.96"/>
    <n v="1981"/>
    <n v="10097"/>
    <n v="38919"/>
    <n v="0.2594362650633367"/>
    <m/>
    <s v=" "/>
    <n v="514500.0000000001"/>
    <n v="13.21976412549141"/>
    <m/>
    <m/>
    <m/>
    <s v=" "/>
    <s v=" "/>
    <m/>
    <m/>
    <m/>
    <n v="7350000"/>
    <n v="188.8537732213058"/>
    <n v="0.07000000000000001"/>
    <m/>
    <d v="2007-04-27T00:00:00"/>
    <x v="1910"/>
    <s v="Leola; Barmazel"/>
    <x v="1441"/>
    <s v="CA"/>
    <s v="Private"/>
    <m/>
    <m/>
    <m/>
    <s v=" "/>
    <s v=" "/>
    <m/>
    <s v=" "/>
    <s v=" "/>
    <s v=" "/>
    <m/>
    <s v=" "/>
  </r>
  <r>
    <s v="LCA01342"/>
    <s v="SSA"/>
    <s v="Federal"/>
    <s v="Fee Simple"/>
    <s v="10668 Sierra Ave"/>
    <s v="Fontana"/>
    <s v="CA"/>
    <n v="1.46"/>
    <n v="2005"/>
    <n v="16475"/>
    <n v="16475"/>
    <n v="1"/>
    <n v="397786"/>
    <n v="24.14482549317147"/>
    <n v="264590"/>
    <n v="16.06009104704097"/>
    <d v="2005-06-01T00:00:00"/>
    <d v="2020-06-01T00:00:00"/>
    <d v="2015-06-01T00:00:00"/>
    <n v="13.12602739726027"/>
    <n v="8.12054794520548"/>
    <s v="Modified Gross"/>
    <s v="None"/>
    <s v="None"/>
    <n v="4000000"/>
    <n v="242.7921092564492"/>
    <n v="0.0661475"/>
    <m/>
    <d v="2007-04-20T00:00:00"/>
    <x v="1911"/>
    <m/>
    <x v="1442"/>
    <s v="CA"/>
    <s v="Private"/>
    <m/>
    <m/>
    <m/>
    <s v=" "/>
    <s v=" "/>
    <m/>
    <s v=" "/>
    <s v=" "/>
    <s v=" "/>
    <m/>
    <s v=" "/>
  </r>
  <r>
    <s v="LNC32076"/>
    <s v="AOC"/>
    <s v="Federal"/>
    <s v="Fee Simple"/>
    <s v="455 W Market St"/>
    <s v="Greensboro"/>
    <s v="NC"/>
    <n v="0.92"/>
    <n v="1995"/>
    <n v="163346"/>
    <n v="163346"/>
    <n v="1"/>
    <n v="2236297.55"/>
    <n v="13.6905559364784"/>
    <n v="1579750"/>
    <n v="9.671188764952921"/>
    <d v="1996-01-15T00:00:00"/>
    <d v="2016-01-14T00:00:00"/>
    <d v="2015-07-31T00:00:00"/>
    <n v="8.747945205479452"/>
    <n v="8.29041095890411"/>
    <s v="Modified Gross"/>
    <s v="None"/>
    <s v="None"/>
    <n v="22250000"/>
    <n v="136.2139262669426"/>
    <n v="0.07099999999999999"/>
    <m/>
    <d v="2007-04-18T00:00:00"/>
    <x v="842"/>
    <s v="M&amp;M; Carter"/>
    <x v="763"/>
    <s v="NC"/>
    <s v="Private"/>
    <m/>
    <m/>
    <m/>
    <s v=" "/>
    <s v=" "/>
    <m/>
    <s v=" "/>
    <s v=" "/>
    <s v=" "/>
    <m/>
    <s v=" "/>
  </r>
  <r>
    <m/>
    <s v="ICE"/>
    <s v="Federal"/>
    <s v="Fee Simple"/>
    <s v="208 Bingham Ave"/>
    <s v="Sault Ste. Marie"/>
    <s v="MI"/>
    <n v="1.19"/>
    <n v="1955"/>
    <n v="12160"/>
    <n v="12160"/>
    <n v="1"/>
    <m/>
    <s v=" "/>
    <m/>
    <s v=" "/>
    <d v="2005-09-01T00:00:00"/>
    <d v="2020-08-30T00:00:00"/>
    <d v="2015-08-30T00:00:00"/>
    <n v="13.38082191780822"/>
    <n v="8.375342465753425"/>
    <s v="Modified Gross"/>
    <s v="None"/>
    <s v="None"/>
    <m/>
    <s v=" "/>
    <s v=" "/>
    <m/>
    <d v="2007-04-17T00:00:00"/>
    <x v="2"/>
    <m/>
    <x v="1443"/>
    <s v="MI"/>
    <s v="Private"/>
    <m/>
    <m/>
    <m/>
    <s v=" "/>
    <s v=" "/>
    <m/>
    <s v=" "/>
    <s v=" "/>
    <s v=" "/>
    <m/>
    <s v=" "/>
  </r>
  <r>
    <s v="LOR06208"/>
    <s v="MEPS"/>
    <s v="Federal"/>
    <s v="Leasehold"/>
    <s v="7545 NE Ambassador Pl"/>
    <s v="Portland"/>
    <s v="OR"/>
    <n v="2.2589"/>
    <n v="2002"/>
    <n v="23663"/>
    <n v="24142"/>
    <n v="0.9801590589014995"/>
    <n v="596340.09"/>
    <n v="25.20137302962431"/>
    <m/>
    <s v=" "/>
    <d v="2002-08-01T00:00:00"/>
    <d v="2027-07-31T00:00:00"/>
    <d v="2027-07-31T00:00:00"/>
    <n v="20.3041095890411"/>
    <n v="20.3041095890411"/>
    <s v="Modified Gross"/>
    <s v="None"/>
    <s v="None"/>
    <n v="5000000"/>
    <n v="207.1079446607572"/>
    <s v=" "/>
    <m/>
    <d v="2007-04-16T00:00:00"/>
    <x v="8"/>
    <m/>
    <x v="1444"/>
    <s v="OR"/>
    <s v="Private"/>
    <m/>
    <m/>
    <m/>
    <s v=" "/>
    <s v=" "/>
    <m/>
    <s v=" "/>
    <s v=" "/>
    <s v=" "/>
    <m/>
    <s v=" "/>
  </r>
  <r>
    <m/>
    <s v="FWS"/>
    <s v="Federal"/>
    <s v="Fee Simple"/>
    <s v="2493 Portola Rd"/>
    <s v="Ventura"/>
    <s v="CA"/>
    <n v="1"/>
    <n v="1986"/>
    <n v="17061"/>
    <n v="17061"/>
    <n v="1"/>
    <m/>
    <s v=" "/>
    <n v="238000"/>
    <n v="13.94994431744916"/>
    <m/>
    <d v="2007-11-30T00:00:00"/>
    <d v="2002-11-30T00:00:00"/>
    <n v="0.6328767123287671"/>
    <n v="-4.36986301369863"/>
    <s v="Modified Gross"/>
    <s v="None"/>
    <s v="None"/>
    <n v="2950000"/>
    <n v="172.9089736826681"/>
    <n v="0.08067796610169492"/>
    <m/>
    <d v="2007-04-13T00:00:00"/>
    <x v="1912"/>
    <s v="Jim Darin"/>
    <x v="1445"/>
    <s v="CA"/>
    <s v="Private"/>
    <s v="Fred Shemirani"/>
    <m/>
    <n v="3400000"/>
    <n v="0.07000000000000001"/>
    <n v="0.8676470588235294"/>
    <n v="3400000"/>
    <n v="0.07000000000000001"/>
    <n v="0.01067796610169491"/>
    <s v="No"/>
    <d v="2007-01-19T00:00:00"/>
    <n v="84"/>
  </r>
  <r>
    <m/>
    <s v="SSA"/>
    <s v="Federal"/>
    <s v="Fee Simple"/>
    <s v="2450 Lake Shore Dr"/>
    <s v="Woodstock"/>
    <s v="IL"/>
    <n v="0.83"/>
    <n v="2005"/>
    <n v="6800"/>
    <n v="6800"/>
    <n v="1"/>
    <m/>
    <s v=" "/>
    <m/>
    <s v=" "/>
    <m/>
    <m/>
    <m/>
    <s v=" "/>
    <s v=" "/>
    <m/>
    <m/>
    <m/>
    <n v="1575000"/>
    <n v="231.6176470588235"/>
    <s v=" "/>
    <m/>
    <d v="2007-04-13T00:00:00"/>
    <x v="1913"/>
    <s v="MidA; Goldbert"/>
    <x v="1446"/>
    <s v="IL"/>
    <s v="Private"/>
    <m/>
    <m/>
    <m/>
    <s v=" "/>
    <s v=" "/>
    <m/>
    <s v=" "/>
    <s v=" "/>
    <s v=" "/>
    <m/>
    <s v=" "/>
  </r>
  <r>
    <s v="LTX15552"/>
    <s v="SSA"/>
    <s v="Federal"/>
    <s v="Fee Simple"/>
    <s v="3250 Craig Dr"/>
    <s v="McKinney"/>
    <s v="TX"/>
    <n v="2.55"/>
    <n v="2006"/>
    <n v="15544"/>
    <n v="15544"/>
    <n v="1"/>
    <m/>
    <s v=" "/>
    <n v="248200"/>
    <n v="15.96757591353577"/>
    <d v="2006-02-02T00:00:00"/>
    <d v="2021-02-01T00:00:00"/>
    <d v="2016-02-02T00:00:00"/>
    <n v="13.84931506849315"/>
    <n v="8.846575342465753"/>
    <s v="Modified Gross"/>
    <s v="None"/>
    <s v="None"/>
    <n v="3750000"/>
    <n v="241.2506433350489"/>
    <n v="0.06618666666666667"/>
    <m/>
    <d v="2007-04-01T00:00:00"/>
    <x v="1651"/>
    <s v="M&amp;M"/>
    <x v="1447"/>
    <s v="TX"/>
    <s v="Private"/>
    <m/>
    <m/>
    <m/>
    <s v=" "/>
    <s v=" "/>
    <m/>
    <s v=" "/>
    <s v=" "/>
    <s v=" "/>
    <m/>
    <s v=" "/>
  </r>
  <r>
    <s v="LAR14856"/>
    <s v="FBI"/>
    <s v="Federal"/>
    <s v="Fee Simple"/>
    <s v="24 W Shackleford Blvd"/>
    <s v="Little Rock"/>
    <s v="AR"/>
    <n v="6.95"/>
    <n v="2001"/>
    <n v="101977"/>
    <n v="101977"/>
    <n v="1"/>
    <n v="2026610.25"/>
    <n v="19.87320915500554"/>
    <n v="1260000"/>
    <n v="12.35572727183581"/>
    <d v="2001-09-01T00:00:00"/>
    <d v="2021-08-31T00:00:00"/>
    <d v="2021-08-31T00:00:00"/>
    <n v="14.43287671232877"/>
    <n v="14.43287671232877"/>
    <s v="FS"/>
    <m/>
    <s v="None"/>
    <n v="21000000"/>
    <n v="205.9287878639301"/>
    <n v="0.06"/>
    <m/>
    <d v="2007-03-30T00:00:00"/>
    <x v="1759"/>
    <s v="M&amp;M; Travis Trautvetter"/>
    <x v="1448"/>
    <s v="CO"/>
    <s v="Institutional"/>
    <m/>
    <m/>
    <m/>
    <s v=" "/>
    <s v=" "/>
    <m/>
    <s v=" "/>
    <s v=" "/>
    <s v=" "/>
    <m/>
    <s v=" "/>
  </r>
  <r>
    <m/>
    <s v="FS"/>
    <s v="Federal"/>
    <s v="Fee Simple"/>
    <s v="333 Broadway Blvd SE"/>
    <s v="Albuquerque"/>
    <s v="NM"/>
    <n v="3.5"/>
    <n v="2001"/>
    <n v="94783"/>
    <n v="94783"/>
    <n v="1"/>
    <m/>
    <m/>
    <m/>
    <m/>
    <d v="2007-11-01T00:00:00"/>
    <d v="2027-10-31T00:00:00"/>
    <d v="2022-10-31T00:00:00"/>
    <n v="20.62191780821918"/>
    <n v="15.61917808219178"/>
    <s v="Modified Gross"/>
    <s v="None"/>
    <s v="None"/>
    <m/>
    <s v=" "/>
    <s v=" "/>
    <m/>
    <d v="2007-03-23T00:00:00"/>
    <x v="1713"/>
    <m/>
    <x v="1449"/>
    <s v="NC"/>
    <s v="Private"/>
    <m/>
    <m/>
    <m/>
    <s v=" "/>
    <s v=" "/>
    <m/>
    <s v=" "/>
    <s v=" "/>
    <s v=" "/>
    <m/>
    <s v=" "/>
  </r>
  <r>
    <m/>
    <s v="USCIS"/>
    <s v="Federal"/>
    <s v="Fee Simple"/>
    <s v="4121 Southpoint Blvd"/>
    <s v="Jacksonville"/>
    <s v="FL"/>
    <n v="3.12"/>
    <n v="1999"/>
    <n v="21300"/>
    <n v="21300"/>
    <n v="1"/>
    <m/>
    <s v=" "/>
    <n v="281628"/>
    <n v="13.22197183098591"/>
    <d v="2000-02-10T00:00:00"/>
    <d v="2015-02-09T00:00:00"/>
    <d v="2010-02-09T00:00:00"/>
    <n v="7.901369863013699"/>
    <n v="2.898630136986301"/>
    <s v="Modified Gross"/>
    <s v="None"/>
    <s v="None"/>
    <n v="3150000"/>
    <n v="147.887323943662"/>
    <n v="0.08940571428571428"/>
    <m/>
    <d v="2007-03-19T00:00:00"/>
    <x v="1914"/>
    <m/>
    <x v="1450"/>
    <s v="FL"/>
    <s v="Private"/>
    <m/>
    <m/>
    <m/>
    <s v=" "/>
    <s v=" "/>
    <m/>
    <s v=" "/>
    <s v=" "/>
    <s v=" "/>
    <m/>
    <s v=" "/>
  </r>
  <r>
    <s v="LAR15446"/>
    <s v="SSA"/>
    <s v="Federal"/>
    <s v="Fee Simple"/>
    <s v="2600 W Hillsboro St"/>
    <s v="El Dorado"/>
    <s v="AR"/>
    <n v="1.5"/>
    <n v="2005"/>
    <n v="7388"/>
    <n v="7388"/>
    <n v="1"/>
    <n v="169406"/>
    <n v="22.92988630211153"/>
    <n v="116878"/>
    <n v="15.81997834325934"/>
    <d v="2005-10-17T00:00:00"/>
    <d v="2020-10-16T00:00:00"/>
    <d v="2015-10-17T00:00:00"/>
    <n v="13.6"/>
    <n v="8.597260273972603"/>
    <s v="Modified Gross"/>
    <s v="None"/>
    <s v="None"/>
    <n v="1291000"/>
    <n v="174.7428262046562"/>
    <n v="0.09053292021688614"/>
    <m/>
    <d v="2007-03-15T00:00:00"/>
    <x v="1620"/>
    <m/>
    <x v="1451"/>
    <s v="NY"/>
    <s v="Private"/>
    <m/>
    <m/>
    <m/>
    <s v=" "/>
    <s v=" "/>
    <m/>
    <s v=" "/>
    <s v=" "/>
    <s v=" "/>
    <m/>
    <s v=" "/>
  </r>
  <r>
    <m/>
    <s v="SSA"/>
    <s v="Federal"/>
    <s v="Fee Simple"/>
    <s v="456 San Fernando Mission Blvd"/>
    <s v="San Fernando"/>
    <s v="CA"/>
    <n v="0.52"/>
    <n v="1960"/>
    <n v="9622"/>
    <n v="9622"/>
    <n v="1"/>
    <n v="323134"/>
    <n v="33.58283101226356"/>
    <n v="214050"/>
    <n v="22.24589482436084"/>
    <m/>
    <d v="2017-03-31T00:00:00"/>
    <d v="2017-03-31T00:00:00"/>
    <n v="10.05205479452055"/>
    <n v="10.05205479452055"/>
    <s v="Modified Gross"/>
    <s v="None"/>
    <s v="None"/>
    <n v="2950000"/>
    <n v="306.5890667220952"/>
    <n v="0.07255932203389831"/>
    <m/>
    <d v="2007-03-15T00:00:00"/>
    <x v="1915"/>
    <m/>
    <x v="1452"/>
    <s v="CA"/>
    <s v="Private"/>
    <m/>
    <m/>
    <m/>
    <s v=" "/>
    <s v=" "/>
    <m/>
    <s v=" "/>
    <s v=" "/>
    <s v=" "/>
    <m/>
    <s v=" "/>
  </r>
  <r>
    <s v="LOK14766"/>
    <s v="SSA"/>
    <s v="Federal"/>
    <s v="Fee Simple"/>
    <s v="1610 SW Lee Blvd"/>
    <s v="Lawton"/>
    <s v="OK"/>
    <n v="0.85"/>
    <n v="1999"/>
    <n v="9298"/>
    <n v="9298"/>
    <n v="1"/>
    <n v="179693.49"/>
    <n v="19.32603678210368"/>
    <n v="103061"/>
    <n v="11.08421165842117"/>
    <d v="2000-07-24T00:00:00"/>
    <d v="2015-07-23T00:00:00"/>
    <d v="2011-07-24T00:00:00"/>
    <n v="8.364383561643836"/>
    <n v="4.364383561643836"/>
    <s v="Modified Gross"/>
    <s v="None"/>
    <s v="None"/>
    <m/>
    <s v=" "/>
    <s v=" "/>
    <m/>
    <d v="2007-03-14T00:00:00"/>
    <x v="1916"/>
    <m/>
    <x v="1453"/>
    <s v="OK"/>
    <s v="Private"/>
    <m/>
    <m/>
    <m/>
    <s v=" "/>
    <s v=" "/>
    <m/>
    <s v=" "/>
    <s v=" "/>
    <s v=" "/>
    <m/>
    <s v=" "/>
  </r>
  <r>
    <s v="LOH17525"/>
    <s v="SSA"/>
    <s v="Federal"/>
    <s v="Fee Simple"/>
    <s v="125 Derby Downs Rd"/>
    <s v="Newark"/>
    <s v="OH"/>
    <n v="0.7641"/>
    <n v="2007"/>
    <n v="7818"/>
    <n v="7818"/>
    <n v="1"/>
    <n v="208197"/>
    <n v="26.6304681504221"/>
    <n v="140640"/>
    <n v="17.98925556408289"/>
    <d v="2007-11-26T00:00:00"/>
    <d v="2017-11-25T00:00:00"/>
    <d v="2013-11-16T00:00:00"/>
    <n v="10.71232876712329"/>
    <n v="6.684931506849315"/>
    <s v="Modified Gross"/>
    <s v="None"/>
    <s v="None"/>
    <m/>
    <s v=" "/>
    <s v=" "/>
    <m/>
    <d v="2007-03-13T00:00:00"/>
    <x v="1917"/>
    <s v="M&amp;M; Fenn"/>
    <x v="1454"/>
    <s v="OH"/>
    <s v="Private"/>
    <m/>
    <m/>
    <m/>
    <s v=" "/>
    <s v=" "/>
    <m/>
    <s v=" "/>
    <s v=" "/>
    <s v=" "/>
    <m/>
    <s v=" "/>
  </r>
  <r>
    <s v="LTX15569"/>
    <s v="SSA"/>
    <s v="Federal"/>
    <s v="Fee Simple"/>
    <s v="5735 Summerhill Rd"/>
    <s v="Texarkana"/>
    <s v="TX"/>
    <n v="2.347"/>
    <n v="2005"/>
    <n v="13286"/>
    <n v="13286"/>
    <n v="1"/>
    <n v="364007.72"/>
    <n v="27.39784133674544"/>
    <n v="260820"/>
    <n v="19.63119072708114"/>
    <d v="2006-02-15T00:00:00"/>
    <d v="2021-02-14T00:00:00"/>
    <d v="2016-02-14T00:00:00"/>
    <n v="13.95342465753425"/>
    <n v="8.947945205479453"/>
    <s v="Modified Gross"/>
    <s v="None"/>
    <s v="None"/>
    <n v="3220000"/>
    <n v="242.3603793466807"/>
    <n v="0.081"/>
    <m/>
    <d v="2007-03-07T00:00:00"/>
    <x v="1256"/>
    <m/>
    <x v="1455"/>
    <s v="CA"/>
    <s v="Private"/>
    <s v="BW; Wells"/>
    <m/>
    <m/>
    <s v=" "/>
    <s v=" "/>
    <m/>
    <s v=" "/>
    <s v=" "/>
    <s v=" "/>
    <m/>
    <s v=" "/>
  </r>
  <r>
    <s v="LTX15619"/>
    <s v="SSA"/>
    <s v="Federal"/>
    <s v="Fee Simple"/>
    <s v="3114 Sunburst Dr"/>
    <s v="Midland"/>
    <s v="TX"/>
    <n v="1.243"/>
    <n v="2006"/>
    <n v="6189"/>
    <n v="6189"/>
    <n v="1"/>
    <n v="159158.69"/>
    <n v="25.71638229116174"/>
    <m/>
    <s v=" "/>
    <d v="2006-07-14T00:00:00"/>
    <d v="2021-07-13T00:00:00"/>
    <d v="2016-07-31T00:00:00"/>
    <n v="14.36438356164384"/>
    <n v="9.41095890410959"/>
    <s v="Modified Gross"/>
    <s v="None"/>
    <s v="None"/>
    <m/>
    <s v=" "/>
    <s v=" "/>
    <m/>
    <d v="2007-03-06T00:00:00"/>
    <x v="1804"/>
    <m/>
    <x v="1456"/>
    <s v="MT"/>
    <s v="Private"/>
    <s v="BW; Wells"/>
    <m/>
    <m/>
    <s v=" "/>
    <s v=" "/>
    <m/>
    <s v=" "/>
    <s v=" "/>
    <s v=" "/>
    <m/>
    <s v=" "/>
  </r>
  <r>
    <m/>
    <s v="SSA"/>
    <s v="Federal"/>
    <s v="Fee Simple"/>
    <s v="11753 W Florissant Ave"/>
    <s v="Florissant"/>
    <s v="MO"/>
    <n v="2.1"/>
    <n v="2006"/>
    <n v="12616"/>
    <n v="12616"/>
    <n v="1"/>
    <m/>
    <s v=" "/>
    <m/>
    <s v=" "/>
    <m/>
    <m/>
    <m/>
    <s v=" "/>
    <s v=" "/>
    <m/>
    <m/>
    <m/>
    <n v="2405000"/>
    <n v="190.6309448319594"/>
    <s v=" "/>
    <m/>
    <d v="2007-03-05T00:00:00"/>
    <x v="1918"/>
    <m/>
    <x v="1457"/>
    <s v="MO"/>
    <s v="Private"/>
    <m/>
    <m/>
    <m/>
    <s v=" "/>
    <s v=" "/>
    <m/>
    <s v=" "/>
    <s v=" "/>
    <s v=" "/>
    <m/>
    <s v=" "/>
  </r>
  <r>
    <s v="LTX15037"/>
    <s v="SSA"/>
    <s v="Federal"/>
    <s v="Fee Simple"/>
    <s v="2300 Dunson Dr"/>
    <s v="Balch Springs"/>
    <s v="TX"/>
    <n v="2.1"/>
    <n v="2003"/>
    <n v="16238"/>
    <n v="16238"/>
    <n v="1"/>
    <n v="415581"/>
    <n v="25.59311491563"/>
    <n v="262766"/>
    <n v="16.18216529129203"/>
    <d v="2003-11-17T00:00:00"/>
    <d v="2018-11-16T00:00:00"/>
    <d v="2013-11-16T00:00:00"/>
    <n v="11.71780821917808"/>
    <n v="6.715068493150685"/>
    <s v="Modified Gross"/>
    <s v="None"/>
    <s v="None"/>
    <n v="2250000"/>
    <n v="138.5638625446483"/>
    <n v="0.1167848888888889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TX15147"/>
    <s v="SSA"/>
    <s v="Federal"/>
    <s v="Fee Simple"/>
    <s v="2120 W Briargate Dr"/>
    <s v="Bryan"/>
    <s v="TX"/>
    <n v="1.13"/>
    <n v="2003"/>
    <n v="9774"/>
    <n v="9774"/>
    <n v="1"/>
    <n v="250103"/>
    <n v="25.58860241456927"/>
    <n v="151746"/>
    <n v="15.52547575199509"/>
    <d v="2004-04-01T00:00:00"/>
    <d v="2019-03-31T00:00:00"/>
    <d v="2015-04-01T00:00:00"/>
    <n v="12.08767123287671"/>
    <n v="8.087671232876712"/>
    <s v="Modified Gross"/>
    <s v="None"/>
    <s v="None"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m/>
    <s v="INS"/>
    <s v="Federal"/>
    <s v="Leasehold"/>
    <s v="2150 Stein Dr"/>
    <s v="Chattanooga"/>
    <s v="TN"/>
    <n v="1.18"/>
    <n v="2005"/>
    <n v="4853"/>
    <n v="4853"/>
    <n v="1"/>
    <m/>
    <s v=" "/>
    <m/>
    <s v=" "/>
    <m/>
    <m/>
    <m/>
    <s v=" "/>
    <s v=" "/>
    <m/>
    <m/>
    <m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TX14932"/>
    <s v="SSA"/>
    <s v="Federal"/>
    <s v="Fee Simple"/>
    <s v="2201 Colorado Blvd"/>
    <s v="Denton"/>
    <s v="TX"/>
    <n v="1.1701"/>
    <n v="2002"/>
    <n v="9513"/>
    <n v="9513"/>
    <n v="1"/>
    <n v="203963"/>
    <n v="21.44044991064859"/>
    <n v="106928"/>
    <n v="11.24019762430359"/>
    <d v="2002-03-22T00:00:00"/>
    <d v="2017-03-21T00:00:00"/>
    <d v="2012-03-21T00:00:00"/>
    <n v="10.06027397260274"/>
    <n v="5.057534246575343"/>
    <s v="Modified Gross"/>
    <s v="None"/>
    <s v="None"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AR14797"/>
    <s v="ICE/HSI"/>
    <s v="Federal"/>
    <s v="Fee Simple"/>
    <s v="2887 Point Circle Dr"/>
    <s v="Fayetteville"/>
    <s v="AR"/>
    <n v="0.47"/>
    <n v="2000"/>
    <n v="4809"/>
    <n v="4809"/>
    <n v="1"/>
    <n v="110827.72"/>
    <n v="23.04589727594094"/>
    <n v="63658.72"/>
    <n v="13.23741318361406"/>
    <d v="2000-06-01T00:00:00"/>
    <d v="2017-05-31T00:00:00"/>
    <d v="2010-03-21T00:00:00"/>
    <n v="10.25479452054794"/>
    <n v="3.054794520547945"/>
    <s v="Modified Gross"/>
    <s v="None"/>
    <s v="None"/>
    <n v="1000000"/>
    <n v="207.9434393844874"/>
    <n v="0.06365872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AR14630"/>
    <s v="SSA"/>
    <s v="Federal"/>
    <s v="Fee Simple"/>
    <s v="131 Industrial Park Rd"/>
    <s v="Harrison"/>
    <s v="AR"/>
    <n v="0.85"/>
    <n v="1998"/>
    <n v="6864"/>
    <n v="6864"/>
    <n v="1"/>
    <n v="112785"/>
    <n v="16.43138111888112"/>
    <n v="73559"/>
    <n v="10.71663752913753"/>
    <d v="1998-12-15T00:00:00"/>
    <d v="2013-12-14T00:00:00"/>
    <d v="2008-12-14T00:00:00"/>
    <n v="6.791780821917809"/>
    <n v="1.789041095890411"/>
    <s v="Modified Gross"/>
    <s v="None"/>
    <s v="None"/>
    <n v="1000000"/>
    <n v="145.6876456876457"/>
    <n v="0.073559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TN43045"/>
    <s v="ICE"/>
    <s v="Federal"/>
    <s v="Fee Simple"/>
    <s v="324 Prosperity Dr"/>
    <s v="Knoxville"/>
    <s v="TN"/>
    <n v="0.9482"/>
    <n v="2003"/>
    <n v="4853"/>
    <n v="4853"/>
    <n v="1"/>
    <n v="208442"/>
    <n v="42.95116422831239"/>
    <m/>
    <s v=" "/>
    <d v="2003-10-24T00:00:00"/>
    <d v="2013-10-23T00:00:00"/>
    <d v="2008-05-31T00:00:00"/>
    <n v="6.64931506849315"/>
    <n v="1.249315068493151"/>
    <s v="Modified Gross"/>
    <s v="None"/>
    <s v="None"/>
    <n v="1530000"/>
    <n v="315.2689058314444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TX15073"/>
    <s v="SSA"/>
    <s v="Federal"/>
    <s v="Fee Simple"/>
    <s v="1509 Sedberry St"/>
    <s v="Marshall"/>
    <s v="TX"/>
    <n v="1.03"/>
    <n v="2003"/>
    <n v="7198"/>
    <n v="7198"/>
    <n v="1"/>
    <n v="202861"/>
    <n v="28.18296749096971"/>
    <n v="132558"/>
    <n v="18.41594887468741"/>
    <d v="2003-12-04T00:00:00"/>
    <d v="2018-12-04T00:00:00"/>
    <d v="2013-12-04T00:00:00"/>
    <n v="11.76712328767123"/>
    <n v="6.764383561643836"/>
    <s v="Modified Gross"/>
    <s v="NOne"/>
    <s v="None"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OK15448"/>
    <s v="SSA"/>
    <s v="Federal"/>
    <s v="Fee Simple"/>
    <s v="912 S George Nigh Expy"/>
    <s v="McAlester"/>
    <s v="OK"/>
    <n v="2.03"/>
    <n v="2006"/>
    <n v="8511"/>
    <n v="8511"/>
    <n v="1"/>
    <n v="218255.34"/>
    <n v="25.64391258371519"/>
    <n v="159104.34"/>
    <n v="18.6939654564681"/>
    <d v="2006-05-23T00:00:00"/>
    <d v="2021-05-22T00:00:00"/>
    <d v="2016-05-23T00:00:00"/>
    <n v="14.23287671232877"/>
    <n v="9.232876712328768"/>
    <s v="Modified Gross"/>
    <s v="None"/>
    <s v="None"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OK15922"/>
    <s v="SSA"/>
    <s v="Federal"/>
    <s v="Fee Simple"/>
    <s v="1306 Tarby Rd"/>
    <s v="Poteau"/>
    <s v="OK"/>
    <n v="1.95"/>
    <n v="2007"/>
    <n v="6256"/>
    <n v="6256"/>
    <n v="1"/>
    <n v="152223.47"/>
    <n v="24.33239609974424"/>
    <n v="80401.47"/>
    <n v="12.85189737851662"/>
    <d v="2007-04-06T00:00:00"/>
    <d v="2022-04-05T00:00:00"/>
    <d v="2022-04-05T00:00:00"/>
    <n v="15.1041095890411"/>
    <n v="15.1041095890411"/>
    <s v="Modified Gross"/>
    <s v="None"/>
    <s v="None"/>
    <m/>
    <s v=" "/>
    <s v=" "/>
    <m/>
    <d v="2007-03-02T00:00:00"/>
    <x v="982"/>
    <m/>
    <x v="1413"/>
    <s v="MI"/>
    <s v="Private"/>
    <s v="BW; Wells"/>
    <m/>
    <m/>
    <s v=" "/>
    <s v=" "/>
    <m/>
    <s v=" "/>
    <s v=" "/>
    <s v=" "/>
    <m/>
    <s v=" "/>
  </r>
  <r>
    <s v="LVA05336"/>
    <s v="Tricare"/>
    <s v="Federal"/>
    <s v="Fee Simple"/>
    <s v="2100 Lynnhaven Pky"/>
    <s v="Virginia Beach"/>
    <s v="VA"/>
    <n v="3.4"/>
    <n v="1997"/>
    <n v="17243"/>
    <n v="29992"/>
    <n v="0.5749199786609762"/>
    <n v="594800.5"/>
    <n v="34.49518645247347"/>
    <n v="614927"/>
    <n v="20.50303414243798"/>
    <d v="2006-02-10T00:00:00"/>
    <d v="2020-02-09T00:00:00"/>
    <d v="2011-02-10T00:00:00"/>
    <n v="12.95616438356164"/>
    <n v="3.953424657534247"/>
    <s v="Modified Gross"/>
    <s v="None"/>
    <s v="None"/>
    <n v="8500000"/>
    <n v="283.4089090424113"/>
    <n v="0.07234435294117647"/>
    <m/>
    <d v="2007-02-28T00:00:00"/>
    <x v="1919"/>
    <s v="M&amp;M"/>
    <x v="1458"/>
    <s v="MD"/>
    <s v="Private"/>
    <s v="M&amp;M; Spalding"/>
    <m/>
    <m/>
    <s v=" "/>
    <s v=" "/>
    <m/>
    <s v=" "/>
    <s v=" "/>
    <s v=" "/>
    <m/>
    <s v=" "/>
  </r>
  <r>
    <s v="LNY23867"/>
    <s v="IRS"/>
    <s v="Federal"/>
    <s v="Fee Simple"/>
    <s v="1180 Veterans Memorial Hwy"/>
    <s v="Hauppauge"/>
    <s v="NY"/>
    <n v="2.18"/>
    <n v="1996"/>
    <n v="42750"/>
    <n v="42750"/>
    <n v="1"/>
    <n v="1517197.5"/>
    <n v="35.49"/>
    <m/>
    <s v=" "/>
    <m/>
    <d v="2022-04-30T00:00:00"/>
    <m/>
    <n v="15.21917808219178"/>
    <s v=" "/>
    <s v="Modified Gross"/>
    <m/>
    <m/>
    <n v="10000000"/>
    <n v="233.9181286549708"/>
    <s v=" "/>
    <m/>
    <d v="2007-02-13T00:00:00"/>
    <x v="1920"/>
    <s v="Carl Marks &amp; Co"/>
    <x v="1459"/>
    <m/>
    <s v="Private"/>
    <m/>
    <m/>
    <m/>
    <s v=" "/>
    <s v=" "/>
    <m/>
    <s v=" "/>
    <s v=" "/>
    <s v=" "/>
    <m/>
    <s v=" "/>
  </r>
  <r>
    <s v="LCA01839"/>
    <s v="ACoE"/>
    <s v="Federal"/>
    <s v="Fee Simple"/>
    <s v="915 Wilshire Blvd"/>
    <s v="Los Angeles"/>
    <s v="CA"/>
    <n v="1.11"/>
    <n v="1980"/>
    <n v="153057"/>
    <n v="390312"/>
    <n v="0.3921401340466089"/>
    <n v="3730553.3"/>
    <n v="24.37362093860457"/>
    <n v="4602255"/>
    <n v="11.79122086945828"/>
    <d v="2006-05-03T00:00:00"/>
    <d v="2020-05-02T00:00:00"/>
    <d v="2015-05-02T00:00:00"/>
    <n v="13.23835616438356"/>
    <n v="8.232876712328768"/>
    <s v="Modified Gross"/>
    <s v="None"/>
    <s v="None"/>
    <n v="117000000"/>
    <n v="299.7601918465228"/>
    <n v="0.03933551282051282"/>
    <m/>
    <d v="2007-02-08T00:00:00"/>
    <x v="1921"/>
    <s v="CBRE; Kevin Shannon"/>
    <x v="1460"/>
    <s v="NY"/>
    <s v="Institutional"/>
    <m/>
    <m/>
    <m/>
    <s v=" "/>
    <s v=" "/>
    <m/>
    <s v=" "/>
    <s v=" "/>
    <s v=" "/>
    <m/>
    <s v=" "/>
  </r>
  <r>
    <m/>
    <s v="CBP"/>
    <s v="Federal"/>
    <s v="Fee Simple"/>
    <s v="5600 Pearl St"/>
    <s v="Rosemont"/>
    <s v="IL"/>
    <n v="4"/>
    <n v="2006"/>
    <n v="71320"/>
    <n v="71320"/>
    <n v="1"/>
    <m/>
    <s v=" "/>
    <n v="1023523"/>
    <n v="14.35113572630398"/>
    <m/>
    <d v="2021-11-30T00:00:00"/>
    <d v="2016-11-30T00:00:00"/>
    <n v="14.83561643835616"/>
    <n v="9.832876712328767"/>
    <s v="Modified Gross"/>
    <s v="None"/>
    <s v="None"/>
    <n v="15150000"/>
    <n v="212.4228827818284"/>
    <n v="0.06755927392739274"/>
    <m/>
    <d v="2007-02-02T00:00:00"/>
    <x v="776"/>
    <s v="Newmark; Postweiler"/>
    <x v="1461"/>
    <s v="IL"/>
    <s v="Private"/>
    <m/>
    <m/>
    <m/>
    <s v=" "/>
    <s v=" "/>
    <m/>
    <s v=" "/>
    <s v=" "/>
    <s v=" "/>
    <d v="2006-06-23T00:00:00"/>
    <n v="224"/>
  </r>
  <r>
    <s v="LCO13649"/>
    <s v="SSA"/>
    <s v="Federal"/>
    <s v="Fee Simple"/>
    <s v="13151 W Alameda Pky"/>
    <s v="Lakewood"/>
    <s v="CO"/>
    <n v="2.56"/>
    <n v="2003"/>
    <n v="19800"/>
    <n v="19800"/>
    <n v="1"/>
    <n v="553855.71"/>
    <n v="27.97251060606061"/>
    <n v="352459"/>
    <n v="17.8009595959596"/>
    <d v="2002-06-21T00:00:00"/>
    <d v="2017-06-20T00:00:00"/>
    <d v="2012-06-20T00:00:00"/>
    <n v="10.39178082191781"/>
    <n v="5.389041095890411"/>
    <s v="Modified Gross"/>
    <s v="None"/>
    <s v="None"/>
    <n v="5450000"/>
    <n v="275.2525252525252"/>
    <n v="0.06467137614678899"/>
    <m/>
    <d v="2007-01-31T00:00:00"/>
    <x v="1922"/>
    <m/>
    <x v="1462"/>
    <s v="CO"/>
    <s v="Private"/>
    <m/>
    <m/>
    <m/>
    <s v=" "/>
    <s v=" "/>
    <m/>
    <s v=" "/>
    <s v=" "/>
    <s v=" "/>
    <m/>
    <s v=" "/>
  </r>
  <r>
    <s v="LFL42128"/>
    <s v="ICE"/>
    <s v="Federal"/>
    <s v="Fee Simple"/>
    <s v="6643 Hazeltine National Dr"/>
    <s v="Orlando"/>
    <s v="FL"/>
    <n v="4.85"/>
    <n v="2006"/>
    <n v="22082"/>
    <n v="22082"/>
    <n v="1"/>
    <n v="949213.1"/>
    <n v="42.98583008785436"/>
    <n v="635280"/>
    <n v="28.76913323068563"/>
    <d v="2006-03-21T00:00:00"/>
    <d v="2021-03-20T00:00:00"/>
    <d v="2016-03-21T00:00:00"/>
    <n v="14.14246575342466"/>
    <n v="9.142465753424657"/>
    <s v="Modified Gross"/>
    <s v="None"/>
    <s v="None"/>
    <n v="8470400"/>
    <n v="383.5884430758084"/>
    <n v="0.075"/>
    <m/>
    <d v="2007-01-31T00:00:00"/>
    <x v="842"/>
    <m/>
    <x v="1410"/>
    <s v="NC"/>
    <s v="Private"/>
    <m/>
    <m/>
    <m/>
    <s v=" "/>
    <s v=" "/>
    <m/>
    <s v=" "/>
    <s v=" "/>
    <s v=" "/>
    <m/>
    <s v=" "/>
  </r>
  <r>
    <m/>
    <s v="SBA"/>
    <s v="Federal"/>
    <s v="Fee Simple"/>
    <s v="13221 Woodland Park Rd"/>
    <s v="Herndon"/>
    <s v="VA"/>
    <n v="6.27"/>
    <n v="1988"/>
    <n v="55620"/>
    <n v="127585"/>
    <n v="0.4359446643414194"/>
    <m/>
    <s v=" "/>
    <m/>
    <s v=" "/>
    <m/>
    <d v="2011-01-31T00:00:00"/>
    <d v="2006-01-31T00:00:00"/>
    <n v="4.038356164383561"/>
    <n v="-0.9643835616438357"/>
    <s v="Modified Gross"/>
    <s v="None"/>
    <s v="None"/>
    <n v="33663360"/>
    <n v="263.8504526394169"/>
    <s v=" "/>
    <m/>
    <d v="2007-01-18T00:00:00"/>
    <x v="1923"/>
    <s v="C&amp;W;"/>
    <x v="1463"/>
    <s v="NJ"/>
    <s v="Institutional"/>
    <m/>
    <m/>
    <m/>
    <s v=" "/>
    <s v=" "/>
    <m/>
    <s v=" "/>
    <s v=" "/>
    <s v=" "/>
    <m/>
    <s v=" "/>
  </r>
  <r>
    <m/>
    <s v="DHHS"/>
    <s v="Federal"/>
    <s v="Fee Simple"/>
    <s v="4 Center Dr"/>
    <s v="North East"/>
    <s v="MD"/>
    <n v="36.74"/>
    <n v="1999"/>
    <n v="191673"/>
    <n v="345600"/>
    <n v="0.554609375"/>
    <m/>
    <s v=" "/>
    <m/>
    <s v=" "/>
    <m/>
    <d v="2021-03-31T00:00:00"/>
    <d v="2016-03-31T00:00:00"/>
    <n v="14.25753424657534"/>
    <n v="9.254794520547945"/>
    <s v="Modified Gross"/>
    <s v="None"/>
    <s v="None"/>
    <n v="11675000"/>
    <n v="33.7818287037037"/>
    <s v=" "/>
    <m/>
    <d v="2006-12-31T00:00:00"/>
    <x v="1924"/>
    <s v="CBRE; Cashman"/>
    <x v="1464"/>
    <s v="IL"/>
    <s v="REIT"/>
    <m/>
    <m/>
    <m/>
    <s v=" "/>
    <s v=" "/>
    <m/>
    <s v=" "/>
    <s v=" "/>
    <s v=" "/>
    <m/>
    <s v=" "/>
  </r>
  <r>
    <m/>
    <m/>
    <m/>
    <m/>
    <s v="990 N Corporate Dr"/>
    <s v="New Orleans"/>
    <s v="LA"/>
    <n v="3.01"/>
    <n v="1979"/>
    <n v="56065"/>
    <n v="56065"/>
    <n v="1"/>
    <m/>
    <s v=" "/>
    <m/>
    <s v=" "/>
    <m/>
    <m/>
    <m/>
    <s v=" "/>
    <s v=" "/>
    <m/>
    <m/>
    <m/>
    <n v="9500000"/>
    <n v="169.4461785427629"/>
    <s v=" "/>
    <m/>
    <d v="2006-12-29T00:00:00"/>
    <x v="1925"/>
    <m/>
    <x v="429"/>
    <s v="NY"/>
    <s v="Private"/>
    <m/>
    <m/>
    <m/>
    <s v=" "/>
    <s v=" "/>
    <m/>
    <s v=" "/>
    <s v=" "/>
    <s v=" "/>
    <m/>
    <s v=" "/>
  </r>
  <r>
    <m/>
    <s v="AOC"/>
    <s v="Federal"/>
    <s v="Fee Simple"/>
    <s v="21 E Garden St"/>
    <s v="Pensacola"/>
    <s v="FL"/>
    <n v="1.32"/>
    <n v="1964"/>
    <n v="30388"/>
    <n v="48461"/>
    <n v="0.6270609355976972"/>
    <m/>
    <s v=" "/>
    <m/>
    <s v=" "/>
    <d v="1999-03-01T00:00:00"/>
    <d v="2010-07-01T00:00:00"/>
    <d v="2010-07-01T00:00:00"/>
    <n v="3.506849315068493"/>
    <n v="3.506849315068493"/>
    <s v="Modified Gross"/>
    <s v="None"/>
    <s v="None"/>
    <n v="6100000"/>
    <n v="125.8744144776212"/>
    <s v=" "/>
    <m/>
    <d v="2006-12-29T00:00:00"/>
    <x v="1926"/>
    <m/>
    <x v="1465"/>
    <s v="FL"/>
    <s v="Private"/>
    <m/>
    <m/>
    <m/>
    <s v=" "/>
    <s v=" "/>
    <m/>
    <s v=" "/>
    <s v=" "/>
    <s v=" "/>
    <m/>
    <s v=" "/>
  </r>
  <r>
    <m/>
    <s v="SSA"/>
    <s v="Federal"/>
    <s v="Fee Simple"/>
    <s v="2141 Summit Ct"/>
    <s v="Las Cruces"/>
    <s v="NM"/>
    <n v="1.98"/>
    <n v="2003"/>
    <n v="11500"/>
    <n v="11500"/>
    <n v="1"/>
    <m/>
    <s v=" "/>
    <m/>
    <s v=" "/>
    <m/>
    <m/>
    <m/>
    <s v=" "/>
    <s v=" "/>
    <m/>
    <m/>
    <m/>
    <n v="3192000"/>
    <n v="277.5652173913044"/>
    <s v=" "/>
    <m/>
    <d v="2006-12-27T00:00:00"/>
    <x v="1927"/>
    <m/>
    <x v="1466"/>
    <s v="NM"/>
    <s v="Private"/>
    <m/>
    <m/>
    <m/>
    <s v=" "/>
    <s v=" "/>
    <m/>
    <s v=" "/>
    <s v=" "/>
    <s v=" "/>
    <m/>
    <s v=" "/>
  </r>
  <r>
    <s v="LVA05388"/>
    <s v="USAF"/>
    <s v="Federal"/>
    <s v="Fee Simple"/>
    <s v="100-300 Exploration Wy"/>
    <s v="Hampton"/>
    <s v="VA"/>
    <n v="3.21"/>
    <m/>
    <n v="157421"/>
    <n v="157421"/>
    <n v="1"/>
    <n v="3463262"/>
    <n v="22"/>
    <n v="1846610"/>
    <n v="11.73039175205341"/>
    <m/>
    <d v="2017-11-30T00:00:00"/>
    <d v="2012-11-30T00:00:00"/>
    <n v="10.94794520547945"/>
    <n v="5.945205479452055"/>
    <s v="Modified Gross"/>
    <s v="None"/>
    <s v="None"/>
    <n v="28550000"/>
    <n v="181.3608095489166"/>
    <n v="0.06467985989492119"/>
    <m/>
    <d v="2006-12-22T00:00:00"/>
    <x v="8"/>
    <m/>
    <x v="0"/>
    <m/>
    <m/>
    <m/>
    <m/>
    <m/>
    <s v=" "/>
    <s v=" "/>
    <m/>
    <s v=" "/>
    <s v=" "/>
    <s v=" "/>
    <d v="2006-06-30T00:00:00"/>
    <n v="175"/>
  </r>
  <r>
    <s v="LCO13980"/>
    <s v="EPA"/>
    <s v="Federal"/>
    <s v="Fee Simple"/>
    <s v="1585 Wynkoop St"/>
    <s v="Denver"/>
    <s v="CO"/>
    <n v="2.65"/>
    <n v="2006"/>
    <n v="275645"/>
    <n v="275645"/>
    <n v="1"/>
    <n v="7701994.68"/>
    <n v="27.9417173538428"/>
    <n v="7618000"/>
    <n v="27.63699686190571"/>
    <d v="2006-12-15T00:00:00"/>
    <d v="2016-12-31T00:00:00"/>
    <d v="2016-12-31T00:00:00"/>
    <n v="10.03561643835616"/>
    <n v="10.03561643835616"/>
    <s v="Modified Gross"/>
    <s v="None"/>
    <s v="None"/>
    <n v="91325000"/>
    <n v="331.3138275680676"/>
    <n v="0.08341637010676156"/>
    <m/>
    <d v="2006-12-21T00:00:00"/>
    <x v="1928"/>
    <s v="C&amp;W;"/>
    <x v="790"/>
    <s v="MA"/>
    <s v="REIT"/>
    <m/>
    <m/>
    <m/>
    <s v=" "/>
    <s v=" "/>
    <m/>
    <s v=" "/>
    <s v=" "/>
    <s v=" "/>
    <m/>
    <s v=" "/>
  </r>
  <r>
    <s v="LAZ01535"/>
    <s v="SSA"/>
    <s v="Federal"/>
    <s v="Fee Simple"/>
    <s v="702 Jerome Avenue"/>
    <s v="Mesa"/>
    <s v="AZ"/>
    <n v="4.04"/>
    <n v="2005"/>
    <n v="23084"/>
    <n v="23084"/>
    <n v="1"/>
    <n v="616236"/>
    <n v="26.69537341881823"/>
    <n v="457347"/>
    <n v="19.81229422976954"/>
    <d v="2006-01-20T00:00:00"/>
    <d v="2021-01-19T00:00:00"/>
    <d v="2021-01-19T00:00:00"/>
    <n v="14.09315068493151"/>
    <n v="14.09315068493151"/>
    <s v="Modified Gross"/>
    <s v="None"/>
    <s v="None"/>
    <m/>
    <s v=" "/>
    <s v=" "/>
    <m/>
    <d v="2006-12-20T00:00:00"/>
    <x v="1929"/>
    <m/>
    <x v="1467"/>
    <s v="AZ"/>
    <s v="Private"/>
    <m/>
    <m/>
    <m/>
    <s v=" "/>
    <s v=" "/>
    <m/>
    <s v=" "/>
    <s v=" "/>
    <s v=" "/>
    <m/>
    <s v=" "/>
  </r>
  <r>
    <m/>
    <s v="AOC"/>
    <s v="Federal"/>
    <s v="Fee Simple"/>
    <s v="1310 N Courthouse Rd"/>
    <s v="Arlington"/>
    <s v="VA"/>
    <n v="1.97"/>
    <n v="1983"/>
    <n v="71450"/>
    <n v="380499"/>
    <n v="0.1877797313527762"/>
    <m/>
    <s v=" "/>
    <m/>
    <s v=" "/>
    <m/>
    <m/>
    <m/>
    <s v=" "/>
    <s v=" "/>
    <m/>
    <m/>
    <m/>
    <n v="115000000"/>
    <n v="302.2346970688491"/>
    <s v=" "/>
    <m/>
    <d v="2006-12-15T00:00:00"/>
    <x v="1930"/>
    <s v="JLL; Kevill"/>
    <x v="1468"/>
    <s v="MA"/>
    <s v="Private"/>
    <m/>
    <m/>
    <m/>
    <s v=" "/>
    <s v=" "/>
    <m/>
    <s v=" "/>
    <s v=" "/>
    <s v=" "/>
    <m/>
    <s v=" "/>
  </r>
  <r>
    <s v="LDC02074"/>
    <s v="CG"/>
    <s v="Federal"/>
    <s v="Fee Simple"/>
    <s v="2100 2nd St SW"/>
    <s v="Washington"/>
    <s v="DC"/>
    <n v="2.65"/>
    <n v="1973"/>
    <n v="606719"/>
    <n v="606719"/>
    <n v="1"/>
    <n v="21777046.1"/>
    <n v="35.89313355935779"/>
    <m/>
    <s v=" "/>
    <m/>
    <d v="2008-05-15T00:00:00"/>
    <d v="2008-05-15T00:00:00"/>
    <n v="1.416438356164384"/>
    <n v="1.416438356164384"/>
    <s v="FS"/>
    <m/>
    <s v="None"/>
    <n v="169000000"/>
    <n v="278.5474000319753"/>
    <s v=" "/>
    <m/>
    <d v="2006-12-15T00:00:00"/>
    <x v="1931"/>
    <s v="HFF; Stephen Conley"/>
    <x v="1469"/>
    <s v="NY"/>
    <s v="Institutional"/>
    <m/>
    <m/>
    <m/>
    <s v=" "/>
    <s v=" "/>
    <m/>
    <s v=" "/>
    <s v=" "/>
    <s v=" "/>
    <m/>
    <s v=" "/>
  </r>
  <r>
    <s v="LOH16375"/>
    <s v="SSA"/>
    <s v="Federal"/>
    <s v="Fee Simple"/>
    <s v="1060 Georgesville Rd"/>
    <s v="Columbus"/>
    <s v="OH"/>
    <n v="5.29"/>
    <n v="2001"/>
    <n v="9625"/>
    <n v="9625"/>
    <n v="1"/>
    <n v="252371.14"/>
    <n v="26.22037818181818"/>
    <n v="151948.9"/>
    <n v="15.7868987012987"/>
    <d v="2001-03-23T00:00:00"/>
    <d v="2021-03-31T00:00:00"/>
    <d v="2011-04-01T00:00:00"/>
    <n v="14.30958904109589"/>
    <n v="4.304109589041096"/>
    <s v="FS"/>
    <m/>
    <s v="None"/>
    <n v="2300000"/>
    <n v="238.961038961039"/>
    <n v="0.06606473913043479"/>
    <m/>
    <d v="2006-12-12T00:00:00"/>
    <x v="1932"/>
    <s v="M&amp;M;"/>
    <x v="1374"/>
    <m/>
    <s v="Private"/>
    <m/>
    <m/>
    <m/>
    <s v=" "/>
    <s v=" "/>
    <m/>
    <s v=" "/>
    <s v=" "/>
    <s v=" "/>
    <m/>
    <s v=" "/>
  </r>
  <r>
    <s v="LOK15586"/>
    <s v="FWS"/>
    <s v="Federal"/>
    <s v="Fee Simple"/>
    <s v="9014 E 21st St S"/>
    <s v="Tulsa"/>
    <s v="OK"/>
    <n v="4.04"/>
    <n v="2006"/>
    <n v="24370"/>
    <n v="24370"/>
    <n v="1"/>
    <n v="432005.37"/>
    <n v="17.7269335248256"/>
    <m/>
    <s v=" "/>
    <d v="2006-04-01T00:00:00"/>
    <d v="2021-03-31T00:00:00"/>
    <d v="2016-04-01T00:00:00"/>
    <n v="14.32876712328767"/>
    <n v="9.328767123287671"/>
    <s v="Modified Gross"/>
    <s v="None"/>
    <s v="None"/>
    <n v="3720000"/>
    <n v="152.6466967583094"/>
    <s v=" "/>
    <m/>
    <d v="2006-12-05T00:00:00"/>
    <x v="1256"/>
    <s v="Direct"/>
    <x v="1470"/>
    <s v="OR"/>
    <s v="Private"/>
    <s v="BW; Wells"/>
    <m/>
    <m/>
    <s v=" "/>
    <s v=" "/>
    <m/>
    <s v=" "/>
    <s v=" "/>
    <s v=" "/>
    <m/>
    <s v=" "/>
  </r>
  <r>
    <m/>
    <s v="SSA"/>
    <s v="Federal"/>
    <s v="Fee Simple"/>
    <s v="Portfolio of 21"/>
    <s v="Woodlawn"/>
    <s v="ME"/>
    <n v="67.93000000000001"/>
    <m/>
    <n v="447771.15"/>
    <n v="995047"/>
    <n v="0.45"/>
    <m/>
    <s v=" "/>
    <n v="6700000"/>
    <n v="6.733350283956436"/>
    <m/>
    <m/>
    <m/>
    <s v=" "/>
    <s v=" "/>
    <m/>
    <m/>
    <m/>
    <n v="77000000"/>
    <n v="77.38327938278293"/>
    <n v="0.08701298701298701"/>
    <m/>
    <d v="2006-12-01T00:00:00"/>
    <x v="1933"/>
    <s v="NAI; Kubler"/>
    <x v="616"/>
    <s v="MA"/>
    <s v="Institutional"/>
    <m/>
    <m/>
    <m/>
    <s v=" "/>
    <s v=" "/>
    <m/>
    <s v=" "/>
    <s v=" "/>
    <s v=" "/>
    <m/>
    <s v=" "/>
  </r>
  <r>
    <m/>
    <s v="Multi"/>
    <s v="State"/>
    <s v="Fee Simple"/>
    <s v="1300 Evergreen Park Dr SW"/>
    <s v="Olympia"/>
    <s v="WA"/>
    <n v="5.43"/>
    <n v="1986"/>
    <n v="88588"/>
    <n v="88588"/>
    <n v="1"/>
    <m/>
    <s v=" "/>
    <m/>
    <s v=" "/>
    <m/>
    <m/>
    <m/>
    <s v=" "/>
    <s v=" "/>
    <m/>
    <m/>
    <m/>
    <n v="14850000"/>
    <n v="167.6299273039238"/>
    <s v=" "/>
    <m/>
    <d v="2006-11-28T00:00:00"/>
    <x v="1934"/>
    <m/>
    <x v="429"/>
    <s v="NY"/>
    <s v="Private"/>
    <m/>
    <m/>
    <m/>
    <s v=" "/>
    <s v=" "/>
    <m/>
    <s v=" "/>
    <s v=" "/>
    <s v=" "/>
    <m/>
    <s v=" "/>
  </r>
  <r>
    <s v="LVA00143"/>
    <s v="NSF"/>
    <s v="Federal"/>
    <s v="Fee Simple"/>
    <s v="4201 Wilson Blvd"/>
    <s v="Arlington"/>
    <s v="VA"/>
    <n v="2.6"/>
    <n v="1992"/>
    <n v="570017"/>
    <n v="570017"/>
    <n v="1"/>
    <m/>
    <s v=" "/>
    <n v="13290927"/>
    <n v="23.31672037851503"/>
    <d v="1992-12-22T00:00:00"/>
    <d v="2017-12-31T00:00:00"/>
    <d v="2017-12-31T00:00:00"/>
    <n v="11.15890410958904"/>
    <n v="11.15890410958904"/>
    <s v="FS"/>
    <s v="Yes"/>
    <s v="1, 6 month"/>
    <n v="197242782"/>
    <n v="346.0296482385613"/>
    <n v="0.06738359125354458"/>
    <m/>
    <d v="2006-11-06T00:00:00"/>
    <x v="1935"/>
    <s v="TW; Gerry Trainor"/>
    <x v="1471"/>
    <s v="DC"/>
    <s v="Private"/>
    <m/>
    <m/>
    <m/>
    <s v=" "/>
    <s v=" "/>
    <m/>
    <s v=" "/>
    <s v=" "/>
    <s v=" "/>
    <m/>
    <s v=" "/>
  </r>
  <r>
    <s v="LNY22918"/>
    <s v="FBI"/>
    <s v="Federal"/>
    <s v="Fee Simple"/>
    <s v="200 McCarty Ave"/>
    <s v="Albany"/>
    <s v="NY"/>
    <n v="8.09"/>
    <n v="1998"/>
    <n v="98184"/>
    <n v="98184"/>
    <n v="1"/>
    <n v="1831220.96"/>
    <n v="18.65091012792308"/>
    <n v="1519050"/>
    <n v="15.47146174529455"/>
    <d v="1998-09-29T00:00:00"/>
    <d v="2018-09-28T00:00:00"/>
    <d v="2018-03-31T00:00:00"/>
    <n v="11.93150684931507"/>
    <n v="11.43561643835617"/>
    <s v="Modified Gross"/>
    <s v="None"/>
    <s v="None"/>
    <n v="16311780"/>
    <n v="166.1348081153752"/>
    <n v="0.09312594946719488"/>
    <m/>
    <d v="2006-10-26T00:00:00"/>
    <x v="1936"/>
    <s v="Direct"/>
    <x v="1472"/>
    <s v="NY"/>
    <s v="REIT"/>
    <m/>
    <m/>
    <m/>
    <s v=" "/>
    <s v=" "/>
    <m/>
    <s v=" "/>
    <s v=" "/>
    <s v=" "/>
    <m/>
    <s v=" "/>
  </r>
  <r>
    <s v="LTX15582"/>
    <s v="SSA"/>
    <s v="Federal"/>
    <s v="Fee Simple"/>
    <s v="1000 Medical Center Blvd"/>
    <s v="Alice"/>
    <s v="TX"/>
    <n v="1.37"/>
    <n v="2005"/>
    <n v="6779"/>
    <n v="6779"/>
    <n v="1"/>
    <n v="126460.08"/>
    <n v="18.65468063136156"/>
    <m/>
    <s v=" "/>
    <d v="2005-11-01T00:00:00"/>
    <d v="2020-10-31T00:00:00"/>
    <d v="2020-10-30T00:00:00"/>
    <n v="14.02739726027397"/>
    <n v="14.02465753424658"/>
    <s v="Modified Gross"/>
    <s v="None"/>
    <s v="None"/>
    <m/>
    <s v=" "/>
    <s v=" "/>
    <m/>
    <d v="2006-10-25T00:00:00"/>
    <x v="1937"/>
    <m/>
    <x v="1473"/>
    <s v="CA"/>
    <s v="Private"/>
    <m/>
    <m/>
    <m/>
    <s v=" "/>
    <s v=" "/>
    <m/>
    <s v=" "/>
    <s v=" "/>
    <s v=" "/>
    <m/>
    <s v=" "/>
  </r>
  <r>
    <m/>
    <s v="SSA"/>
    <s v="Federal"/>
    <s v="Fee Simple"/>
    <s v="1711 W Henderson St"/>
    <s v="Cleburne"/>
    <s v="TX"/>
    <n v="1.23"/>
    <n v="2005"/>
    <n v="8896"/>
    <n v="8896"/>
    <n v="1"/>
    <m/>
    <s v=" "/>
    <n v="105840"/>
    <n v="11.89748201438849"/>
    <m/>
    <d v="2020-07-31T00:00:00"/>
    <d v="2015-07-31T00:00:00"/>
    <n v="13.78904109589041"/>
    <n v="8.783561643835617"/>
    <s v="Modified Gross"/>
    <s v="None"/>
    <s v="None"/>
    <n v="1512000"/>
    <n v="169.9640287769784"/>
    <n v="0.07000000000000001"/>
    <m/>
    <d v="2006-10-20T00:00:00"/>
    <x v="1528"/>
    <s v="CBRE; Roberts"/>
    <x v="1474"/>
    <s v="CA"/>
    <s v="Private"/>
    <m/>
    <m/>
    <n v="1512000"/>
    <n v="0.07000000000000001"/>
    <n v="1"/>
    <n v="1512000"/>
    <n v="0.07000000000000001"/>
    <n v="0"/>
    <s v="No"/>
    <d v="2006-06-29T00:00:00"/>
    <n v="113"/>
  </r>
  <r>
    <s v="LMA04207"/>
    <s v="SSA"/>
    <s v="Federal"/>
    <s v="Fee Simple"/>
    <s v="1 Bowdoin Sq | 15 New Charton St"/>
    <s v="Boston"/>
    <s v="MA"/>
    <n v="0.32"/>
    <n v="1968"/>
    <n v="36496"/>
    <n v="152703"/>
    <n v="0.2389998886727831"/>
    <m/>
    <s v=" "/>
    <n v="2660267"/>
    <n v="17.42118360477528"/>
    <d v="2002-04-01T00:00:00"/>
    <d v="2014-11-30T00:00:00"/>
    <d v="2009-03-31T00:00:00"/>
    <n v="8.145205479452056"/>
    <n v="2.473972602739726"/>
    <s v="Full Service"/>
    <s v="None"/>
    <s v="None"/>
    <n v="41000000"/>
    <n v="268.4950524875084"/>
    <n v="0.06488456097560975"/>
    <m/>
    <d v="2006-10-10T00:00:00"/>
    <x v="1938"/>
    <m/>
    <x v="1460"/>
    <s v="NY"/>
    <s v="Private"/>
    <m/>
    <m/>
    <m/>
    <s v=" "/>
    <s v=" "/>
    <m/>
    <s v=" "/>
    <s v=" "/>
    <s v=" "/>
    <d v="2006-05-15T00:00:00"/>
    <n v="148"/>
  </r>
  <r>
    <m/>
    <s v="Multi"/>
    <s v="Federal"/>
    <s v="Fee Simple"/>
    <s v="1401 H St NW"/>
    <s v="Washington"/>
    <s v="DC"/>
    <n v="0.76"/>
    <n v="1992"/>
    <n v="144039.6"/>
    <n v="480132"/>
    <n v="0.3"/>
    <m/>
    <s v=" "/>
    <m/>
    <s v=" "/>
    <m/>
    <m/>
    <m/>
    <s v=" "/>
    <s v=" "/>
    <m/>
    <m/>
    <m/>
    <n v="208200000"/>
    <n v="433.6307515433256"/>
    <s v=" "/>
    <m/>
    <d v="2006-09-29T00:00:00"/>
    <x v="1939"/>
    <m/>
    <x v="1475"/>
    <s v="NY"/>
    <s v="Institutional"/>
    <m/>
    <m/>
    <m/>
    <s v=" "/>
    <s v=" "/>
    <m/>
    <s v=" "/>
    <s v=" "/>
    <s v=" "/>
    <m/>
    <s v=" "/>
  </r>
  <r>
    <m/>
    <s v="SSA"/>
    <s v="Federal"/>
    <s v="Fee Simple"/>
    <s v="56492 Twenty Nine Palms Hwy"/>
    <s v="Yucca Valley"/>
    <s v="CA"/>
    <n v="0.55"/>
    <n v="2003"/>
    <n v="5340"/>
    <n v="5340"/>
    <n v="1"/>
    <m/>
    <s v=" "/>
    <n v="109668"/>
    <n v="20.53707865168539"/>
    <d v="2002-06-01T00:00:00"/>
    <d v="2017-05-31T00:00:00"/>
    <d v="2012-05-31T00:00:00"/>
    <n v="10.6986301369863"/>
    <n v="5.695890410958904"/>
    <s v="Modified Gross"/>
    <s v="None"/>
    <s v="None"/>
    <n v="1482000"/>
    <n v="277.5280898876405"/>
    <n v="0.074"/>
    <m/>
    <d v="2006-09-21T00:00:00"/>
    <x v="921"/>
    <s v="BW; Wells"/>
    <x v="1476"/>
    <s v="WA"/>
    <s v="Private"/>
    <s v="KM; Pearl"/>
    <m/>
    <m/>
    <s v=" "/>
    <s v=" "/>
    <m/>
    <s v=" "/>
    <s v=" "/>
    <s v=" "/>
    <m/>
    <s v=" "/>
  </r>
  <r>
    <m/>
    <s v="MSPB"/>
    <s v="Federal"/>
    <s v="Fee Simple"/>
    <s v="1615 M St NW"/>
    <s v="Washington"/>
    <s v="DC"/>
    <n v="0.88"/>
    <n v="1985"/>
    <n v="67690"/>
    <n v="209556"/>
    <n v="0.3230162820439405"/>
    <m/>
    <s v=" "/>
    <m/>
    <s v=" "/>
    <m/>
    <d v="2010-05-30T00:00:00"/>
    <d v="2005-05-30T00:00:00"/>
    <n v="3.70958904109589"/>
    <n v="-1.293150684931507"/>
    <s v="Modified Gross"/>
    <s v="None"/>
    <s v="None"/>
    <n v="55000000"/>
    <n v="262.4596766496784"/>
    <s v=" "/>
    <m/>
    <d v="2006-09-14T00:00:00"/>
    <x v="8"/>
    <m/>
    <x v="1477"/>
    <s v="MA"/>
    <s v="REIT"/>
    <m/>
    <m/>
    <m/>
    <s v=" "/>
    <s v=" "/>
    <m/>
    <s v=" "/>
    <s v=" "/>
    <s v=" "/>
    <m/>
    <s v=" "/>
  </r>
  <r>
    <m/>
    <s v="FBI"/>
    <s v="Federal"/>
    <s v="Fee Simple"/>
    <s v="170 Marcel Dr"/>
    <s v="Winchester"/>
    <s v="VA"/>
    <n v="23.29"/>
    <n v="1997"/>
    <n v="106637"/>
    <n v="106637"/>
    <n v="1"/>
    <m/>
    <s v=" "/>
    <m/>
    <s v=" "/>
    <m/>
    <m/>
    <m/>
    <s v=" "/>
    <s v=" "/>
    <m/>
    <m/>
    <m/>
    <n v="19296058"/>
    <n v="180.9508707109165"/>
    <s v=" "/>
    <m/>
    <d v="2006-09-11T00:00:00"/>
    <x v="8"/>
    <m/>
    <x v="429"/>
    <s v="NY"/>
    <s v="Private"/>
    <m/>
    <m/>
    <m/>
    <s v=" "/>
    <s v=" "/>
    <m/>
    <s v=" "/>
    <s v=" "/>
    <s v=" "/>
    <m/>
    <s v=" "/>
  </r>
  <r>
    <m/>
    <s v="HUD/Edu."/>
    <s v="Federal"/>
    <s v="Fee Simple"/>
    <s v="550 12th St SW"/>
    <s v="Washington"/>
    <s v="DC"/>
    <n v="1.54"/>
    <n v="1969"/>
    <n v="427463"/>
    <n v="539713"/>
    <n v="0.7920190916283284"/>
    <n v="16017660"/>
    <n v="37.47145366967433"/>
    <n v="11608927"/>
    <n v="21.50944483456949"/>
    <d v="2004-04-01T00:00:00"/>
    <d v="2014-03-31T00:00:00"/>
    <d v="2014-03-31T00:00:00"/>
    <n v="7.567123287671233"/>
    <n v="7.567123287671233"/>
    <s v="Modified Gross"/>
    <s v="None"/>
    <s v="None"/>
    <n v="190000000"/>
    <n v="352.0389540366825"/>
    <n v="0.06109961578947368"/>
    <m/>
    <d v="2006-09-07T00:00:00"/>
    <x v="1837"/>
    <s v="JLL; Weir"/>
    <x v="1478"/>
    <s v="CT"/>
    <s v="Institutional"/>
    <m/>
    <m/>
    <m/>
    <s v=" "/>
    <s v=" "/>
    <m/>
    <s v=" "/>
    <s v=" "/>
    <s v=" "/>
    <d v="2006-07-13T00:00:00"/>
    <n v="56"/>
  </r>
  <r>
    <m/>
    <s v="BLM"/>
    <s v="Federal"/>
    <s v="Fee Simple"/>
    <s v="50 Bastian Rd"/>
    <s v="Battle Mountain"/>
    <s v="NV"/>
    <n v="10.87"/>
    <n v="1992"/>
    <n v="24503"/>
    <n v="24503"/>
    <n v="1"/>
    <m/>
    <s v=" "/>
    <m/>
    <s v=" "/>
    <m/>
    <m/>
    <m/>
    <s v=" "/>
    <s v=" "/>
    <m/>
    <m/>
    <m/>
    <n v="5528107"/>
    <n v="225.6093947679876"/>
    <s v=" "/>
    <m/>
    <d v="2006-08-11T00:00:00"/>
    <x v="1940"/>
    <m/>
    <x v="1479"/>
    <s v="NV"/>
    <s v="Private"/>
    <m/>
    <m/>
    <m/>
    <s v=" "/>
    <s v=" "/>
    <m/>
    <s v=" "/>
    <s v=" "/>
    <s v=" "/>
    <m/>
    <s v=" "/>
  </r>
  <r>
    <m/>
    <s v="SSA"/>
    <s v="Federal"/>
    <s v="Fee Simple"/>
    <s v="9349-9351 Telstar Ae"/>
    <s v="El Monte"/>
    <s v="CA"/>
    <m/>
    <m/>
    <n v="10284"/>
    <n v="22265"/>
    <n v="0.4618908600943185"/>
    <n v="265684"/>
    <n v="25.83469467133411"/>
    <m/>
    <s v=" "/>
    <m/>
    <d v="2009-11-15T00:00:00"/>
    <d v="2004-11-15T00:00:00"/>
    <n v="3.273972602739726"/>
    <n v="-1.728767123287671"/>
    <s v="Modified Gross"/>
    <s v="None"/>
    <s v="None"/>
    <n v="2997982"/>
    <n v="134.6499887716146"/>
    <s v=" "/>
    <m/>
    <d v="2006-08-08T00:00:00"/>
    <x v="1941"/>
    <s v="Colliers; Horne"/>
    <x v="1480"/>
    <s v="CA"/>
    <s v="Private"/>
    <s v="Newmark; Lim"/>
    <m/>
    <n v="3117100"/>
    <s v=" "/>
    <n v="0.9617856340829617"/>
    <n v="3117100"/>
    <s v=" "/>
    <s v=" "/>
    <s v="No"/>
    <m/>
    <s v=" "/>
  </r>
  <r>
    <m/>
    <s v="BLM"/>
    <s v="Federal"/>
    <s v="Fee Simple"/>
    <s v="702 N Industrial Wy"/>
    <s v="Ely"/>
    <s v="NV"/>
    <n v="6.92"/>
    <n v="1990"/>
    <n v="32160"/>
    <n v="32160"/>
    <n v="1"/>
    <m/>
    <s v=" "/>
    <m/>
    <s v=" "/>
    <m/>
    <m/>
    <m/>
    <s v=" "/>
    <s v=" "/>
    <m/>
    <m/>
    <m/>
    <n v="3258412"/>
    <n v="101.3187810945274"/>
    <s v=" "/>
    <m/>
    <d v="2006-08-03T00:00:00"/>
    <x v="1940"/>
    <m/>
    <x v="1481"/>
    <s v="UT"/>
    <s v="Private"/>
    <m/>
    <m/>
    <m/>
    <s v=" "/>
    <s v=" "/>
    <m/>
    <s v=" "/>
    <s v=" "/>
    <s v=" "/>
    <m/>
    <s v=" "/>
  </r>
  <r>
    <s v="LCA01456"/>
    <s v="SSA"/>
    <s v="Federal"/>
    <s v="Fee Simple"/>
    <s v="3164 Garrity Way"/>
    <s v="Richmond"/>
    <s v="CA"/>
    <n v="1.3"/>
    <n v="2006"/>
    <n v="11108"/>
    <n v="11108"/>
    <n v="1"/>
    <n v="320396"/>
    <n v="28.84371624054735"/>
    <n v="224813"/>
    <n v="20.23883687432481"/>
    <d v="2006-07-01T00:00:00"/>
    <d v="2021-06-30T00:00:00"/>
    <d v="2016-06-30T00:00:00"/>
    <n v="14.92054794520548"/>
    <n v="9.917808219178083"/>
    <s v="Modified Gross"/>
    <s v="None"/>
    <s v="None"/>
    <n v="3423076.923076923"/>
    <n v="308.1632087753802"/>
    <n v="0.06567570786516853"/>
    <m/>
    <d v="2006-08-02T00:00:00"/>
    <x v="681"/>
    <m/>
    <x v="1482"/>
    <s v="CA"/>
    <s v="Private"/>
    <m/>
    <m/>
    <m/>
    <s v=" "/>
    <s v=" "/>
    <m/>
    <s v=" "/>
    <s v=" "/>
    <s v=" "/>
    <m/>
    <s v=" "/>
  </r>
  <r>
    <s v="LTX13912"/>
    <s v="AOC"/>
    <s v="Federal"/>
    <s v="Fee Simple"/>
    <s v="601 NW Loop 410"/>
    <s v="San Antonio"/>
    <s v="TX"/>
    <n v="6.16"/>
    <n v="1980"/>
    <n v="98596"/>
    <n v="219376"/>
    <n v="0.4494384071183721"/>
    <n v="1787749.7"/>
    <n v="18.13207128078218"/>
    <n v="1998142"/>
    <n v="9.108298081832105"/>
    <d v="1993-05-15T00:00:00"/>
    <d v="2013-05-14T00:00:00"/>
    <d v="2003-05-14T00:00:00"/>
    <n v="6.789041095890411"/>
    <n v="-3.219178082191781"/>
    <s v="Modified Gross"/>
    <s v="None"/>
    <s v="None"/>
    <n v="19817000"/>
    <n v="90.33349135730435"/>
    <n v="0.1008296916788616"/>
    <m/>
    <d v="2006-08-01T00:00:00"/>
    <x v="1942"/>
    <m/>
    <x v="1483"/>
    <s v="TX"/>
    <s v="Private"/>
    <m/>
    <m/>
    <m/>
    <s v=" "/>
    <s v=" "/>
    <m/>
    <s v=" "/>
    <s v=" "/>
    <s v=" "/>
    <m/>
    <s v=" "/>
  </r>
  <r>
    <m/>
    <s v="CBP"/>
    <s v="Federal"/>
    <s v="Fee Simple"/>
    <s v="2348 Tradeport Dr"/>
    <s v="Orlando"/>
    <s v="FL"/>
    <n v="2.97"/>
    <n v="2005"/>
    <n v="17697"/>
    <n v="17697"/>
    <n v="1"/>
    <n v="401960"/>
    <n v="22.71345425778381"/>
    <n v="262097"/>
    <n v="14.81025032491383"/>
    <d v="2005-07-15T00:00:00"/>
    <d v="2020-07-15T00:00:00"/>
    <d v="2015-07-15T00:00:00"/>
    <n v="13.9972602739726"/>
    <n v="8.991780821917809"/>
    <s v="Modified Gross"/>
    <s v="None"/>
    <s v="None"/>
    <n v="4256000"/>
    <n v="240.4927388822964"/>
    <n v="0.06158294172932331"/>
    <m/>
    <d v="2006-07-20T00:00:00"/>
    <x v="1943"/>
    <m/>
    <x v="1484"/>
    <s v="CA"/>
    <s v="Private"/>
    <m/>
    <m/>
    <m/>
    <s v=" "/>
    <s v=" "/>
    <m/>
    <s v=" "/>
    <s v=" "/>
    <s v=" "/>
    <m/>
    <s v=" "/>
  </r>
  <r>
    <s v="LOH17082"/>
    <s v="SSA"/>
    <s v="Federal"/>
    <s v="Fee Simple"/>
    <s v="2220 Enterprise Dr"/>
    <s v="Fremont"/>
    <s v="OH"/>
    <n v="0.79"/>
    <n v="2005"/>
    <n v="5300"/>
    <n v="5300"/>
    <n v="1"/>
    <n v="148185.26"/>
    <n v="27.95948301886792"/>
    <m/>
    <s v=" "/>
    <d v="2005-10-17T00:00:00"/>
    <d v="2018-10-16T00:00:00"/>
    <d v="2015-10-16T00:00:00"/>
    <n v="12.26575342465753"/>
    <n v="9.263013698630138"/>
    <s v="Modified Gross"/>
    <s v="None"/>
    <s v="None"/>
    <m/>
    <s v=" "/>
    <s v=" "/>
    <m/>
    <d v="2006-07-14T00:00:00"/>
    <x v="1944"/>
    <m/>
    <x v="1485"/>
    <s v="OH"/>
    <s v="Private"/>
    <m/>
    <m/>
    <m/>
    <s v=" "/>
    <s v=" "/>
    <m/>
    <s v=" "/>
    <s v=" "/>
    <s v=" "/>
    <m/>
    <s v=" "/>
  </r>
  <r>
    <s v="LCO13641"/>
    <s v="DEA"/>
    <s v="Federal"/>
    <s v="Fee Simple"/>
    <s v="2734 Crossroads Blvd"/>
    <s v="Grand Junction"/>
    <s v="CO"/>
    <n v="1.58"/>
    <n v="2002"/>
    <n v="9793"/>
    <n v="9793"/>
    <n v="1"/>
    <n v="387359"/>
    <n v="39.55468191565404"/>
    <m/>
    <s v=" "/>
    <d v="2002-06-01T00:00:00"/>
    <d v="2022-05-31T00:00:00"/>
    <d v="2012-05-31T00:00:00"/>
    <n v="15.89315068493151"/>
    <n v="5.887671232876713"/>
    <s v="Modified Gross"/>
    <s v="None"/>
    <s v="None"/>
    <n v="3650000"/>
    <n v="372.7152047380782"/>
    <s v=" "/>
    <m/>
    <d v="2006-07-13T00:00:00"/>
    <x v="681"/>
    <m/>
    <x v="1486"/>
    <s v="CO"/>
    <s v="Private"/>
    <m/>
    <m/>
    <m/>
    <s v=" "/>
    <s v=" "/>
    <m/>
    <s v=" "/>
    <s v=" "/>
    <s v=" "/>
    <m/>
    <s v=" "/>
  </r>
  <r>
    <s v="LPA00361"/>
    <s v="SSA"/>
    <s v="Federal"/>
    <s v="Fee Simple"/>
    <s v="430-450 Lincoln Hwy"/>
    <s v="Fairless Hills"/>
    <s v="PA"/>
    <n v="6.91"/>
    <n v="1993"/>
    <n v="13854"/>
    <n v="54064"/>
    <n v="0.2562518496596626"/>
    <n v="286341"/>
    <n v="20.66847119965353"/>
    <n v="596400"/>
    <n v="11.03137022787807"/>
    <d v="2001-03-21T00:00:00"/>
    <d v="2016-09-30T00:00:00"/>
    <d v="2011-03-21T00:00:00"/>
    <n v="10.24657534246575"/>
    <n v="4.712328767123288"/>
    <s v="Modified Gross"/>
    <s v="None"/>
    <s v="None"/>
    <n v="7100000"/>
    <n v="131.3258360461675"/>
    <n v="0.08400000000000001"/>
    <m/>
    <d v="2006-07-05T00:00:00"/>
    <x v="1945"/>
    <s v="C&amp;W; Sheehan"/>
    <x v="1487"/>
    <s v="PA"/>
    <s v="User/Owner"/>
    <m/>
    <m/>
    <m/>
    <s v=" "/>
    <s v=" "/>
    <m/>
    <s v=" "/>
    <s v=" "/>
    <s v=" "/>
    <m/>
    <s v=" "/>
  </r>
  <r>
    <s v="LMD12568"/>
    <s v="FDA"/>
    <s v="Federal"/>
    <s v="Fee Simple"/>
    <s v="11919 Rockville Pk"/>
    <s v="Rockville"/>
    <s v="MD"/>
    <n v="0.97"/>
    <n v="2002"/>
    <n v="61902"/>
    <n v="61902"/>
    <n v="1"/>
    <n v="1975358.36"/>
    <n v="31.91105877031437"/>
    <n v="1846900"/>
    <n v="29.83586960033601"/>
    <d v="2003-01-19T00:00:00"/>
    <d v="2013-01-18T00:00:00"/>
    <d v="2010-07-18T00:00:00"/>
    <n v="6.556164383561644"/>
    <n v="4.049315068493151"/>
    <s v="Modified Gross"/>
    <s v="None"/>
    <s v="None"/>
    <n v="25300000"/>
    <n v="408.7105424703564"/>
    <n v="0.073"/>
    <m/>
    <d v="2006-07-01T00:00:00"/>
    <x v="1946"/>
    <s v="Grubb"/>
    <x v="1488"/>
    <s v="OR"/>
    <s v="Institutional"/>
    <m/>
    <m/>
    <m/>
    <s v=" "/>
    <s v=" "/>
    <m/>
    <s v=" "/>
    <s v=" "/>
    <s v=" "/>
    <m/>
    <s v=" "/>
  </r>
  <r>
    <m/>
    <s v="DMCA/IRS"/>
    <s v="Federal"/>
    <s v="Fee Simple"/>
    <s v="2300 Lake Park Dr SE"/>
    <s v="Smyrna"/>
    <s v="GA"/>
    <n v="8.779999999999999"/>
    <n v="1985"/>
    <n v="53472"/>
    <n v="90558"/>
    <n v="0.5904724044258928"/>
    <n v="847423"/>
    <n v="15.84797651107121"/>
    <m/>
    <s v=" "/>
    <d v="2009-05-01T00:00:00"/>
    <d v="2019-04-30T00:00:00"/>
    <d v="2014-04-30T00:00:00"/>
    <n v="12.84383561643836"/>
    <n v="7.841095890410959"/>
    <s v="Modified Gross"/>
    <s v="None"/>
    <s v="None"/>
    <n v="5000000"/>
    <n v="55.21323350780715"/>
    <s v=" "/>
    <m/>
    <d v="2006-06-29T00:00:00"/>
    <x v="1947"/>
    <m/>
    <x v="1489"/>
    <s v="MA"/>
    <s v="Institutional"/>
    <m/>
    <m/>
    <m/>
    <s v=" "/>
    <s v=" "/>
    <m/>
    <s v=" "/>
    <s v=" "/>
    <s v=" "/>
    <m/>
    <s v=" "/>
  </r>
  <r>
    <s v="LVA03351"/>
    <s v="SSA"/>
    <s v="Federal"/>
    <s v="Fee Simple"/>
    <s v="340 Hill Carter Pkwy"/>
    <s v="Ashland"/>
    <s v="VA"/>
    <n v="9.800000000000001"/>
    <n v="2003"/>
    <n v="8129"/>
    <n v="58526"/>
    <n v="0.1388955336089943"/>
    <n v="115107"/>
    <n v="14.16004428589002"/>
    <m/>
    <s v=" "/>
    <d v="2004-07-08T00:00:00"/>
    <d v="2017-07-07T00:00:00"/>
    <d v="2009-07-08T00:00:00"/>
    <n v="11.03287671232877"/>
    <n v="3.03013698630137"/>
    <s v="Modified Gross"/>
    <s v="None"/>
    <s v="None"/>
    <n v="6869674"/>
    <n v="117.3781567166729"/>
    <s v=" "/>
    <m/>
    <d v="2006-06-28T00:00:00"/>
    <x v="1948"/>
    <s v="H&amp;B; Williams"/>
    <x v="1490"/>
    <s v="VA"/>
    <s v="Private"/>
    <m/>
    <m/>
    <m/>
    <s v=" "/>
    <s v=" "/>
    <m/>
    <s v=" "/>
    <s v=" "/>
    <s v=" "/>
    <m/>
    <s v=" "/>
  </r>
  <r>
    <m/>
    <s v="NAFRI"/>
    <s v="Federal"/>
    <s v="Fee Simple"/>
    <s v="3265 E Universal Way"/>
    <s v="Tucson"/>
    <s v="AZ"/>
    <n v="2.4179"/>
    <n v="2004"/>
    <n v="24622"/>
    <n v="24622"/>
    <n v="1"/>
    <m/>
    <s v=" "/>
    <n v="321657.975"/>
    <n v="13.06384432621233"/>
    <d v="2002-04-02T00:00:00"/>
    <d v="2012-04-02T00:00:00"/>
    <d v="2012-04-02T00:00:00"/>
    <n v="5.772602739726027"/>
    <n v="5.772602739726027"/>
    <m/>
    <m/>
    <m/>
    <n v="4288773"/>
    <n v="174.1845910161644"/>
    <n v="0.075"/>
    <m/>
    <d v="2006-06-26T00:00:00"/>
    <x v="1949"/>
    <s v="Direct"/>
    <x v="1042"/>
    <s v="IL"/>
    <s v="Private"/>
    <m/>
    <m/>
    <m/>
    <s v=" "/>
    <s v=" "/>
    <m/>
    <s v=" "/>
    <s v=" "/>
    <s v=" "/>
    <m/>
    <s v=" "/>
  </r>
  <r>
    <s v="LTN44046"/>
    <s v="FBI"/>
    <s v="Federal"/>
    <s v="Fee Simple"/>
    <s v="2868 Elm Hill Pke"/>
    <s v="Nashville"/>
    <s v="TN"/>
    <n v="3"/>
    <n v="2005"/>
    <n v="30858"/>
    <n v="30858"/>
    <n v="1"/>
    <n v="681312.61"/>
    <n v="22.07896201957353"/>
    <n v="415933.61"/>
    <n v="13.47895553827208"/>
    <d v="2006-02-09T00:00:00"/>
    <d v="2021-02-08T00:00:00"/>
    <d v="2016-02-09T00:00:00"/>
    <n v="14.66027397260274"/>
    <n v="9.657534246575343"/>
    <s v="Modified Gross"/>
    <s v="None"/>
    <s v="None"/>
    <n v="7579462"/>
    <n v="245.6238900771275"/>
    <n v="0.05487640283703513"/>
    <m/>
    <d v="2006-06-16T00:00:00"/>
    <x v="842"/>
    <m/>
    <x v="1410"/>
    <s v="NC"/>
    <s v="Private"/>
    <m/>
    <m/>
    <m/>
    <s v=" "/>
    <s v=" "/>
    <m/>
    <s v=" "/>
    <s v=" "/>
    <s v=" "/>
    <m/>
    <s v=" "/>
  </r>
  <r>
    <s v="LCA01544"/>
    <s v="SSA"/>
    <s v="Federal"/>
    <s v="Fee Simple"/>
    <s v="601 Allerton St"/>
    <s v="Redwood City"/>
    <s v="CA"/>
    <n v="1.11"/>
    <n v="1983"/>
    <n v="9824"/>
    <n v="16490"/>
    <n v="0.5957550030321407"/>
    <n v="341285.34"/>
    <n v="34.73995724755701"/>
    <n v="349932"/>
    <n v="21.22086112795634"/>
    <d v="2006-01-12T00:00:00"/>
    <d v="2021-01-11T00:00:00"/>
    <d v="2016-01-12T00:00:00"/>
    <n v="14.61095890410959"/>
    <n v="9.608219178082193"/>
    <s v="Modified Gross"/>
    <s v="None"/>
    <s v="None"/>
    <n v="6100000"/>
    <n v="369.9211643420255"/>
    <n v="0.05736590163934426"/>
    <m/>
    <d v="2006-06-06T00:00:00"/>
    <x v="1950"/>
    <s v="Newmark; Henry"/>
    <x v="1491"/>
    <s v="CA"/>
    <s v="Private"/>
    <m/>
    <m/>
    <m/>
    <s v=" "/>
    <s v=" "/>
    <m/>
    <s v=" "/>
    <s v=" "/>
    <s v=" "/>
    <m/>
    <s v=" "/>
  </r>
  <r>
    <s v="LMI15382"/>
    <s v="DEA"/>
    <s v="Federal"/>
    <s v="Fee Simple"/>
    <s v="431 Howard St"/>
    <s v="Detroit"/>
    <s v="MI"/>
    <n v="0.99"/>
    <n v="1994"/>
    <n v="76074"/>
    <n v="76074"/>
    <n v="1"/>
    <n v="2486553"/>
    <n v="32.68597681205142"/>
    <n v="1873720"/>
    <n v="24.63022846176092"/>
    <d v="1995-03-01T00:00:00"/>
    <d v="2015-02-28T00:00:00"/>
    <d v="2015-02-28T00:00:00"/>
    <n v="8.767123287671232"/>
    <n v="8.767123287671232"/>
    <s v="Modified Gross"/>
    <s v="None"/>
    <s v="None"/>
    <n v="25000000"/>
    <n v="328.6273891211189"/>
    <n v="0.0749488"/>
    <m/>
    <d v="2006-05-26T00:00:00"/>
    <x v="1951"/>
    <s v="NAI; DeBono"/>
    <x v="763"/>
    <s v="NC"/>
    <s v="Private"/>
    <m/>
    <m/>
    <m/>
    <s v=" "/>
    <s v=" "/>
    <m/>
    <s v=" "/>
    <s v=" "/>
    <s v=" "/>
    <m/>
    <s v=" "/>
  </r>
  <r>
    <m/>
    <s v="SSA"/>
    <s v="Federal"/>
    <s v="Fee Simple"/>
    <s v="717 McGlathery Ln SE"/>
    <s v="Decatur"/>
    <s v="AL"/>
    <n v="1.5"/>
    <n v="2001"/>
    <n v="9768"/>
    <n v="9768"/>
    <n v="1"/>
    <m/>
    <s v=" "/>
    <m/>
    <s v=" "/>
    <d v="2001-03-01T00:00:00"/>
    <d v="2013-03-01T00:00:00"/>
    <d v="2011-03-01T00:00:00"/>
    <n v="6.778082191780822"/>
    <n v="4.775342465753424"/>
    <s v="Modified Gross"/>
    <s v="None"/>
    <s v="None"/>
    <m/>
    <s v=" "/>
    <s v=" "/>
    <m/>
    <d v="2006-05-23T00:00:00"/>
    <x v="1952"/>
    <m/>
    <x v="1492"/>
    <s v="AL"/>
    <s v="Private"/>
    <m/>
    <m/>
    <m/>
    <s v=" "/>
    <s v=" "/>
    <m/>
    <s v=" "/>
    <s v=" "/>
    <s v=" "/>
    <m/>
    <s v=" "/>
  </r>
  <r>
    <s v="LTX14833"/>
    <s v="USCIS"/>
    <s v="Federal"/>
    <s v="Fee Simple"/>
    <s v="1717 Zoy St"/>
    <s v="Harlingen"/>
    <s v="TX"/>
    <n v="4.2596"/>
    <n v="2002"/>
    <n v="107836"/>
    <n v="107836"/>
    <n v="1"/>
    <n v="2900000"/>
    <n v="26.89268889795616"/>
    <n v="2136000"/>
    <n v="19.8078563744946"/>
    <d v="2002-10-16T00:00:00"/>
    <d v="2022-10-15T00:00:00"/>
    <d v="2020-11-14T00:00:00"/>
    <n v="16.42191780821918"/>
    <n v="14.5041095890411"/>
    <s v="Modified Gross"/>
    <s v="None"/>
    <s v="None"/>
    <n v="27100000"/>
    <n v="251.3075410809006"/>
    <n v="0.07881918819188193"/>
    <m/>
    <d v="2006-05-18T00:00:00"/>
    <x v="1953"/>
    <m/>
    <x v="790"/>
    <s v="MA"/>
    <s v="REIT"/>
    <m/>
    <m/>
    <m/>
    <s v=" "/>
    <s v=" "/>
    <m/>
    <s v=" "/>
    <s v=" "/>
    <s v=" "/>
    <m/>
    <s v=" "/>
  </r>
  <r>
    <m/>
    <s v="USPS"/>
    <s v="Federal"/>
    <s v="Fee Simple"/>
    <s v="2901 Scott Futrell Dr"/>
    <s v="Charlotte"/>
    <s v="NC"/>
    <n v="31.33"/>
    <n v="1966"/>
    <n v="453376"/>
    <n v="453376"/>
    <n v="1"/>
    <m/>
    <s v=" "/>
    <m/>
    <s v=" "/>
    <m/>
    <m/>
    <m/>
    <s v=" "/>
    <s v=" "/>
    <m/>
    <m/>
    <m/>
    <n v="8240000"/>
    <n v="18.17476002258611"/>
    <s v=" "/>
    <m/>
    <d v="2006-05-12T00:00:00"/>
    <x v="1954"/>
    <m/>
    <x v="421"/>
    <s v="IL"/>
    <s v="Private"/>
    <m/>
    <m/>
    <m/>
    <s v=" "/>
    <s v=" "/>
    <m/>
    <s v=" "/>
    <s v=" "/>
    <s v=" "/>
    <m/>
    <s v=" "/>
  </r>
  <r>
    <m/>
    <s v="VA"/>
    <s v="Federal"/>
    <s v="Fee Simple"/>
    <s v="320 N Perkins Rd"/>
    <s v="Stillwater"/>
    <s v="OK"/>
    <m/>
    <m/>
    <m/>
    <m/>
    <s v=" "/>
    <m/>
    <s v=" "/>
    <m/>
    <s v=" "/>
    <m/>
    <m/>
    <m/>
    <s v=" "/>
    <s v=" "/>
    <m/>
    <m/>
    <m/>
    <n v="2150000"/>
    <s v=" "/>
    <s v=" "/>
    <m/>
    <d v="2006-05-05T00:00:00"/>
    <x v="1651"/>
    <m/>
    <x v="1493"/>
    <s v="CA"/>
    <s v="Private"/>
    <m/>
    <m/>
    <m/>
    <s v=" "/>
    <s v=" "/>
    <m/>
    <s v=" "/>
    <s v=" "/>
    <s v=" "/>
    <m/>
    <s v=" "/>
  </r>
  <r>
    <s v="LWI17422"/>
    <s v="MEPS"/>
    <s v="Federal"/>
    <s v="Fee Simple"/>
    <s v="11050 W Liberty Dr"/>
    <s v="Milwaukee"/>
    <s v="WI"/>
    <n v="7"/>
    <n v="2006"/>
    <n v="29297"/>
    <n v="29297"/>
    <n v="1"/>
    <n v="918460.95"/>
    <n v="31.35"/>
    <n v="609750"/>
    <n v="20.81271119909889"/>
    <d v="2006-07-01T00:00:00"/>
    <d v="2016-06-30T00:00:00"/>
    <d v="2016-06-30T00:00:00"/>
    <n v="10.16712328767123"/>
    <n v="10.16712328767123"/>
    <s v="Modified Gross"/>
    <s v="None"/>
    <s v="None"/>
    <m/>
    <s v=" "/>
    <s v=" "/>
    <m/>
    <d v="2006-05-03T00:00:00"/>
    <x v="8"/>
    <m/>
    <x v="1494"/>
    <s v="NJ"/>
    <s v="REIT"/>
    <m/>
    <m/>
    <m/>
    <s v=" "/>
    <s v=" "/>
    <m/>
    <s v=" "/>
    <s v=" "/>
    <s v=" "/>
    <m/>
    <s v=" "/>
  </r>
  <r>
    <m/>
    <s v="VA"/>
    <s v="Federal"/>
    <s v="Fee Simple"/>
    <s v="320 N Perkins Rd"/>
    <s v="Stillwater"/>
    <s v="OK"/>
    <m/>
    <m/>
    <m/>
    <m/>
    <s v=" "/>
    <m/>
    <s v=" "/>
    <m/>
    <s v=" "/>
    <m/>
    <m/>
    <m/>
    <s v=" "/>
    <s v=" "/>
    <m/>
    <m/>
    <m/>
    <n v="2150000"/>
    <s v=" "/>
    <s v=" "/>
    <m/>
    <d v="2006-05-03T00:00:00"/>
    <x v="1955"/>
    <m/>
    <x v="1495"/>
    <s v="TX"/>
    <s v="Private"/>
    <m/>
    <m/>
    <m/>
    <s v=" "/>
    <s v=" "/>
    <m/>
    <s v=" "/>
    <s v=" "/>
    <s v=" "/>
    <m/>
    <s v=" "/>
  </r>
  <r>
    <m/>
    <s v="FS"/>
    <s v="Federal"/>
    <s v="Fee Simple"/>
    <s v="2013 Eastside 2nd St"/>
    <s v="Sheridan"/>
    <s v="WY"/>
    <n v="2.2"/>
    <n v="2000"/>
    <n v="13533"/>
    <n v="13533"/>
    <n v="1"/>
    <m/>
    <s v=" "/>
    <n v="140250"/>
    <n v="10.36355575260474"/>
    <d v="2000-01-01T00:00:00"/>
    <d v="2020-12-31T00:00:00"/>
    <d v="2015-12-31T00:00:00"/>
    <n v="14.67671232876712"/>
    <n v="9.671232876712329"/>
    <s v="Modified Gross"/>
    <s v="None"/>
    <s v="None"/>
    <m/>
    <s v=" "/>
    <s v=" "/>
    <m/>
    <d v="2006-05-02T00:00:00"/>
    <x v="8"/>
    <m/>
    <x v="0"/>
    <m/>
    <m/>
    <m/>
    <m/>
    <m/>
    <s v=" "/>
    <s v=" "/>
    <m/>
    <s v=" "/>
    <s v=" "/>
    <s v=" "/>
    <m/>
    <s v=" "/>
  </r>
  <r>
    <s v="LCO14772"/>
    <s v="Dep't of Energy"/>
    <s v="Federal"/>
    <s v="Fee Simple"/>
    <s v="12155 W Alameda Pky"/>
    <s v="Lakewood"/>
    <s v="CO"/>
    <n v="5.71"/>
    <n v="1999"/>
    <n v="115650"/>
    <n v="115560"/>
    <n v="1.000778816199377"/>
    <n v="1974481"/>
    <n v="17.07290099437959"/>
    <n v="1147299"/>
    <n v="9.928167185877466"/>
    <d v="1999-11-05T00:00:00"/>
    <d v="2014-11-05T00:00:00"/>
    <d v="2014-11-05T00:00:00"/>
    <n v="8.528767123287672"/>
    <n v="8.528767123287672"/>
    <s v="FS"/>
    <m/>
    <s v="None"/>
    <n v="16800000"/>
    <n v="145.3790238836968"/>
    <n v="0.06829160714285715"/>
    <m/>
    <d v="2006-04-28T00:00:00"/>
    <x v="1324"/>
    <s v="M&amp;M; Ryan"/>
    <x v="1496"/>
    <s v="MA"/>
    <s v="Institutional"/>
    <m/>
    <m/>
    <m/>
    <s v=" "/>
    <s v=" "/>
    <m/>
    <s v=" "/>
    <s v=" "/>
    <s v=" "/>
    <m/>
    <s v=" "/>
  </r>
  <r>
    <s v="LOK15475"/>
    <s v="SSA"/>
    <s v="Federal"/>
    <s v="Fee Simple"/>
    <s v="4750 S Garnett Rd"/>
    <s v="Tulsa"/>
    <s v="OK"/>
    <n v="4.57"/>
    <n v="2005"/>
    <n v="29225"/>
    <n v="29225"/>
    <n v="1"/>
    <n v="692179.47"/>
    <n v="23.68449854576561"/>
    <n v="665644"/>
    <n v="22.77652694610778"/>
    <d v="2005-06-08T00:00:00"/>
    <d v="2020-06-07T00:00:00"/>
    <d v="2020-06-07T00:00:00"/>
    <n v="14.12054794520548"/>
    <n v="14.12054794520548"/>
    <s v="Modified Gross"/>
    <s v="None"/>
    <s v="None"/>
    <n v="7050000"/>
    <n v="241.2318220701454"/>
    <n v="0.09441758865248227"/>
    <m/>
    <d v="2006-04-28T00:00:00"/>
    <x v="1759"/>
    <m/>
    <x v="1497"/>
    <s v="TN"/>
    <s v="Private"/>
    <m/>
    <m/>
    <m/>
    <s v=" "/>
    <s v=" "/>
    <m/>
    <s v=" "/>
    <s v=" "/>
    <s v=" "/>
    <m/>
    <s v=" "/>
  </r>
  <r>
    <m/>
    <s v="DCSS"/>
    <s v="State"/>
    <s v="Fee Simple"/>
    <s v="11120 International Dr"/>
    <s v="Rancho Cordova"/>
    <s v="CA"/>
    <n v="6.61"/>
    <n v="1999"/>
    <n v="90000"/>
    <n v="90000"/>
    <n v="1"/>
    <m/>
    <s v=" "/>
    <m/>
    <s v=" "/>
    <m/>
    <m/>
    <m/>
    <s v=" "/>
    <s v=" "/>
    <m/>
    <m/>
    <m/>
    <n v="20295868"/>
    <n v="225.5096444444444"/>
    <s v=" "/>
    <m/>
    <d v="2006-04-01T00:00:00"/>
    <x v="8"/>
    <m/>
    <x v="0"/>
    <m/>
    <m/>
    <m/>
    <m/>
    <m/>
    <s v=" "/>
    <s v=" "/>
    <m/>
    <s v=" "/>
    <s v=" "/>
    <s v=" "/>
    <m/>
    <s v=" "/>
  </r>
  <r>
    <m/>
    <s v="DOD"/>
    <s v="Federal"/>
    <s v="Fee Simple"/>
    <s v="2800-2900 Crystal Dr"/>
    <s v="Arlington"/>
    <s v="VA"/>
    <n v="2.59"/>
    <m/>
    <n v="84431"/>
    <n v="350961"/>
    <n v="0.2405708896430088"/>
    <m/>
    <s v=" "/>
    <n v="5615350"/>
    <n v="15.99992591769456"/>
    <m/>
    <d v="2015-03-31T00:00:00"/>
    <d v="2010-03-31T00:00:00"/>
    <n v="9.068493150684931"/>
    <n v="4.065753424657534"/>
    <s v="Modified Gross"/>
    <s v="None"/>
    <s v="None"/>
    <n v="81500000"/>
    <n v="232.2195343642171"/>
    <n v="0.0689"/>
    <m/>
    <d v="2006-03-08T00:00:00"/>
    <x v="1956"/>
    <s v="C&amp;W; Collins"/>
    <x v="1498"/>
    <s v="PA"/>
    <s v="Private"/>
    <m/>
    <m/>
    <m/>
    <s v=" "/>
    <s v=" "/>
    <m/>
    <s v=" "/>
    <s v=" "/>
    <s v=" "/>
    <m/>
    <s v=" "/>
  </r>
  <r>
    <m/>
    <s v="Multi"/>
    <s v="Federal"/>
    <s v="Fee Simple"/>
    <s v="800 W Commerce Rd"/>
    <s v="New Orleans"/>
    <s v="LA"/>
    <n v="3.67"/>
    <n v="1979"/>
    <n v="96218"/>
    <n v="96218"/>
    <n v="1"/>
    <m/>
    <s v=" "/>
    <m/>
    <s v=" "/>
    <m/>
    <m/>
    <m/>
    <s v=" "/>
    <s v=" "/>
    <m/>
    <m/>
    <m/>
    <n v="6000000"/>
    <n v="62.35839447920348"/>
    <s v=" "/>
    <m/>
    <d v="2006-02-27T00:00:00"/>
    <x v="8"/>
    <m/>
    <x v="429"/>
    <s v="NY"/>
    <s v="Private"/>
    <m/>
    <m/>
    <m/>
    <s v=" "/>
    <s v=" "/>
    <m/>
    <s v=" "/>
    <s v=" "/>
    <s v=" "/>
    <m/>
    <s v=" "/>
  </r>
  <r>
    <s v="LCA01494"/>
    <s v="SSA"/>
    <s v="Federal"/>
    <s v="Fee Simple"/>
    <s v="2575 Haley St"/>
    <s v="Bakersfield"/>
    <s v="CA"/>
    <n v="2.24"/>
    <n v="2005"/>
    <n v="14000"/>
    <n v="14000"/>
    <n v="1"/>
    <n v="373515.37"/>
    <n v="26.67966928571429"/>
    <m/>
    <s v=" "/>
    <d v="2005-04-09T00:00:00"/>
    <d v="2015-04-08T00:00:00"/>
    <d v="2013-04-08T00:00:00"/>
    <n v="9.131506849315068"/>
    <n v="7.131506849315069"/>
    <s v="Modified Gross"/>
    <s v="None"/>
    <s v="None"/>
    <n v="2975000"/>
    <n v="212.5"/>
    <s v=" "/>
    <m/>
    <d v="2006-02-21T00:00:00"/>
    <x v="1957"/>
    <m/>
    <x v="1499"/>
    <s v="IL"/>
    <s v="Private"/>
    <m/>
    <m/>
    <m/>
    <s v=" "/>
    <s v=" "/>
    <m/>
    <s v=" "/>
    <s v=" "/>
    <s v=" "/>
    <m/>
    <s v=" "/>
  </r>
  <r>
    <m/>
    <s v="Courts"/>
    <s v="State"/>
    <s v="Fee Simple"/>
    <s v="2056 Galisteo St"/>
    <s v="Santa Fe"/>
    <s v="NM"/>
    <n v="1.16"/>
    <m/>
    <n v="14500"/>
    <n v="14500"/>
    <n v="1"/>
    <m/>
    <s v=" "/>
    <m/>
    <s v=" "/>
    <m/>
    <m/>
    <m/>
    <s v=" "/>
    <s v=" "/>
    <m/>
    <m/>
    <m/>
    <n v="3059000"/>
    <n v="210.9655172413793"/>
    <s v=" "/>
    <m/>
    <d v="2006-01-31T00:00:00"/>
    <x v="1958"/>
    <m/>
    <x v="0"/>
    <s v="NM"/>
    <s v="Private"/>
    <m/>
    <m/>
    <m/>
    <s v=" "/>
    <s v=" "/>
    <m/>
    <s v=" "/>
    <s v=" "/>
    <s v=" "/>
    <m/>
    <s v=" "/>
  </r>
  <r>
    <m/>
    <s v="ICE"/>
    <s v="Federal"/>
    <s v="Fee Simple"/>
    <s v="675 Brooksedge Blvd"/>
    <s v="Westerville"/>
    <s v="OH"/>
    <n v="4.2"/>
    <n v="1983"/>
    <n v="24640"/>
    <n v="24640"/>
    <n v="1"/>
    <m/>
    <s v=" "/>
    <m/>
    <s v=" "/>
    <m/>
    <m/>
    <m/>
    <s v=" "/>
    <s v=" "/>
    <m/>
    <m/>
    <m/>
    <m/>
    <s v=" "/>
    <s v=" "/>
    <m/>
    <d v="2006-01-31T00:00:00"/>
    <x v="8"/>
    <m/>
    <x v="1500"/>
    <s v="OH"/>
    <s v="Private"/>
    <m/>
    <m/>
    <m/>
    <s v=" "/>
    <s v=" "/>
    <m/>
    <s v=" "/>
    <s v=" "/>
    <s v=" "/>
    <m/>
    <s v=" "/>
  </r>
  <r>
    <s v="LTX15638"/>
    <s v="SSA"/>
    <s v="Federal"/>
    <s v="Fee Simple"/>
    <s v="2921 North Valderas Street"/>
    <s v="Angleton"/>
    <s v="TX"/>
    <n v="2.47"/>
    <n v="2006"/>
    <n v="10375"/>
    <n v="10375"/>
    <n v="1"/>
    <n v="230422"/>
    <n v="22.20934939759036"/>
    <n v="129553"/>
    <n v="12.48703614457831"/>
    <d v="2007-01-11T00:00:00"/>
    <d v="2022-01-10T00:00:00"/>
    <d v="2017-01-11T00:00:00"/>
    <n v="15.95616438356164"/>
    <n v="10.95616438356164"/>
    <s v="Modified Gross"/>
    <s v="None"/>
    <s v="None"/>
    <n v="1775000"/>
    <n v="171.0843373493976"/>
    <n v="0.07298760563380281"/>
    <m/>
    <d v="2006-01-30T00:00:00"/>
    <x v="1959"/>
    <m/>
    <x v="1501"/>
    <s v="TX"/>
    <s v="Private"/>
    <m/>
    <m/>
    <m/>
    <s v=" "/>
    <s v=" "/>
    <m/>
    <s v=" "/>
    <s v=" "/>
    <s v=" "/>
    <m/>
    <s v=" "/>
  </r>
  <r>
    <m/>
    <s v="SSA "/>
    <s v="Federal"/>
    <s v="Fee Simple"/>
    <s v="1122 Vine St"/>
    <s v="Los Angeles"/>
    <s v="CA"/>
    <n v="0.98"/>
    <n v="2005"/>
    <n v="20156"/>
    <n v="20156"/>
    <n v="1"/>
    <n v="1042288"/>
    <n v="51.711053780512"/>
    <n v="660955"/>
    <n v="32.79197261361382"/>
    <d v="2005-01-01T00:00:00"/>
    <d v="2019-12-31T00:00:00"/>
    <d v="2014-12-31T00:00:00"/>
    <n v="13.95342465753425"/>
    <n v="8.950684931506849"/>
    <s v="Modified Gross"/>
    <s v="None"/>
    <s v="None"/>
    <n v="10950000"/>
    <n v="543.2625520936693"/>
    <n v="0.06036118721461187"/>
    <m/>
    <d v="2006-01-20T00:00:00"/>
    <x v="1960"/>
    <s v="Colliers; Ross"/>
    <x v="1502"/>
    <s v="CA"/>
    <s v="Private"/>
    <m/>
    <m/>
    <m/>
    <s v=" "/>
    <s v=" "/>
    <m/>
    <s v=" "/>
    <s v=" "/>
    <s v=" "/>
    <d v="2005-01-25T00:00:00"/>
    <n v="360"/>
  </r>
  <r>
    <m/>
    <m/>
    <s v="Federal"/>
    <s v="Fee Simple"/>
    <s v="1759-1760 Business Center Dr"/>
    <s v="Reston"/>
    <s v="VA"/>
    <n v="13.2"/>
    <m/>
    <m/>
    <n v="407412"/>
    <s v=" "/>
    <n v="64338736"/>
    <s v=" "/>
    <n v="4761025"/>
    <n v="11.68602053940483"/>
    <m/>
    <m/>
    <m/>
    <s v=" "/>
    <s v=" "/>
    <m/>
    <m/>
    <m/>
    <n v="79173000"/>
    <n v="194.3315366263144"/>
    <n v="0.0601344524017026"/>
    <m/>
    <d v="2006-01-18T00:00:00"/>
    <x v="1961"/>
    <s v="C&amp;W; Collins"/>
    <x v="1503"/>
    <s v="CT"/>
    <s v="Institutional"/>
    <m/>
    <m/>
    <m/>
    <s v=" "/>
    <s v=" "/>
    <m/>
    <s v=" "/>
    <s v=" "/>
    <s v=" "/>
    <m/>
    <s v=" "/>
  </r>
  <r>
    <m/>
    <m/>
    <s v="Federal"/>
    <s v="Fee Simple"/>
    <s v="875 Greentree Rd"/>
    <s v="Pittsburgh"/>
    <s v="PA"/>
    <n v="4.3465"/>
    <n v="1983"/>
    <n v="43344"/>
    <n v="55445"/>
    <n v="0.7817476778789791"/>
    <m/>
    <s v=" "/>
    <m/>
    <s v=" "/>
    <m/>
    <m/>
    <m/>
    <s v=" "/>
    <s v=" "/>
    <m/>
    <m/>
    <m/>
    <n v="6800000"/>
    <n v="122.6440616827487"/>
    <s v=" "/>
    <m/>
    <d v="2006-01-13T00:00:00"/>
    <x v="1962"/>
    <m/>
    <x v="429"/>
    <s v="NY"/>
    <s v="Private"/>
    <m/>
    <m/>
    <m/>
    <s v=" "/>
    <s v=" "/>
    <m/>
    <s v=" "/>
    <s v=" "/>
    <s v=" "/>
    <m/>
    <s v=" "/>
  </r>
  <r>
    <m/>
    <s v="USFS"/>
    <s v="Federal"/>
    <s v="Fee Simple"/>
    <s v="10600 NE 51st Cir"/>
    <s v="Vancouver"/>
    <s v="WA"/>
    <n v="3.75"/>
    <n v="1995"/>
    <n v="40664"/>
    <n v="40664"/>
    <n v="1"/>
    <n v="758008"/>
    <n v="18.64076332874287"/>
    <n v="396101"/>
    <n v="9.740827267361794"/>
    <d v="1997-05-01T00:00:00"/>
    <d v="2012-04-30T00:00:00"/>
    <d v="2007-04-30T00:00:00"/>
    <n v="6.326027397260274"/>
    <n v="1.320547945205479"/>
    <s v="Modified Gross"/>
    <s v="None"/>
    <s v="None"/>
    <n v="6430000"/>
    <n v="158.1251229588825"/>
    <n v="0.06160202177293934"/>
    <m/>
    <d v="2006-01-03T00:00:00"/>
    <x v="1963"/>
    <s v="Dave Brown"/>
    <x v="1504"/>
    <s v="CA"/>
    <s v="Private"/>
    <m/>
    <m/>
    <m/>
    <s v=" "/>
    <s v=" "/>
    <m/>
    <s v=" "/>
    <s v=" "/>
    <s v=" "/>
    <m/>
    <s v=" "/>
  </r>
  <r>
    <m/>
    <s v="Northrupp Gruman"/>
    <s v="Contractor"/>
    <s v="Fee Simple"/>
    <s v="10125-10205 Federal Dr"/>
    <s v="Colorado Springs"/>
    <s v="CO"/>
    <n v="25.85"/>
    <m/>
    <n v="289018"/>
    <n v="289018"/>
    <n v="1"/>
    <m/>
    <s v=" "/>
    <m/>
    <s v=" "/>
    <m/>
    <m/>
    <m/>
    <s v=" "/>
    <s v=" "/>
    <m/>
    <m/>
    <m/>
    <n v="54300000"/>
    <n v="187.8775716391367"/>
    <s v=" "/>
    <m/>
    <d v="2006-01-01T00:00:00"/>
    <x v="1964"/>
    <s v="Newmark"/>
    <x v="1505"/>
    <s v="CO"/>
    <s v="Private"/>
    <m/>
    <m/>
    <m/>
    <s v=" "/>
    <s v=" "/>
    <m/>
    <s v=" "/>
    <s v=" "/>
    <s v=" "/>
    <m/>
    <s v=" "/>
  </r>
  <r>
    <s v="LWI17111"/>
    <s v="IRS"/>
    <s v="Federal"/>
    <s v="Fee Simple"/>
    <s v="211 W Wisconsin Ave"/>
    <s v="Milwaukee"/>
    <s v="WI"/>
    <n v="0.55"/>
    <n v="1906"/>
    <n v="75196"/>
    <n v="105000"/>
    <n v="0.716152380952381"/>
    <n v="1978314.3"/>
    <n v="26.30877041331986"/>
    <n v="1068200"/>
    <n v="10.17333333333333"/>
    <d v="2006-03-01T00:00:00"/>
    <d v="2026-02-28T00:00:00"/>
    <d v="2016-02-28T00:00:00"/>
    <n v="20.17808219178082"/>
    <n v="10.16986301369863"/>
    <s v="Modified Gross"/>
    <s v="None"/>
    <s v="None"/>
    <n v="20000000"/>
    <n v="190.4761904761905"/>
    <n v="0.05341"/>
    <m/>
    <d v="2005-12-30T00:00:00"/>
    <x v="1965"/>
    <m/>
    <x v="1506"/>
    <s v="WI"/>
    <s v="Private"/>
    <m/>
    <m/>
    <m/>
    <s v=" "/>
    <s v=" "/>
    <m/>
    <s v=" "/>
    <s v=" "/>
    <s v=" "/>
    <m/>
    <s v=" "/>
  </r>
  <r>
    <m/>
    <s v="DS&amp;HS"/>
    <s v="State"/>
    <s v="Fee Simple"/>
    <s v="616 S 348th St"/>
    <s v="Federal Way"/>
    <s v="WA"/>
    <n v="2.68"/>
    <n v="1993"/>
    <n v="22590"/>
    <n v="22590"/>
    <n v="1"/>
    <m/>
    <s v=" "/>
    <n v="359024"/>
    <n v="15.89305002213369"/>
    <m/>
    <m/>
    <m/>
    <s v=" "/>
    <s v=" "/>
    <m/>
    <m/>
    <m/>
    <n v="6000000"/>
    <n v="265.6042496679947"/>
    <n v="0.05983733333333333"/>
    <m/>
    <d v="2005-12-27T00:00:00"/>
    <x v="1966"/>
    <m/>
    <x v="1507"/>
    <s v="WA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m/>
    <s v=" "/>
    <s v=" "/>
    <m/>
    <d v="2005-12-20T00:00:00"/>
    <x v="1967"/>
    <m/>
    <x v="1508"/>
    <s v="AZ"/>
    <s v="Private"/>
    <m/>
    <m/>
    <m/>
    <s v=" "/>
    <s v=" "/>
    <m/>
    <s v=" "/>
    <s v=" "/>
    <s v=" "/>
    <m/>
    <s v=" "/>
  </r>
  <r>
    <m/>
    <s v="BLM"/>
    <s v="Federal"/>
    <s v="Fee Simple"/>
    <s v="2103 N Park Ave"/>
    <s v="Kremmling"/>
    <s v="CO"/>
    <n v="2"/>
    <n v="2000"/>
    <n v="15681"/>
    <n v="15681"/>
    <n v="1"/>
    <m/>
    <s v=" "/>
    <m/>
    <s v=" "/>
    <m/>
    <m/>
    <m/>
    <s v=" "/>
    <s v=" "/>
    <m/>
    <m/>
    <m/>
    <n v="1810000"/>
    <n v="115.4263120974428"/>
    <s v=" "/>
    <m/>
    <d v="2005-12-20T00:00:00"/>
    <x v="1968"/>
    <m/>
    <x v="1509"/>
    <s v="CO"/>
    <s v="Private"/>
    <m/>
    <m/>
    <m/>
    <s v=" "/>
    <s v=" "/>
    <m/>
    <s v=" "/>
    <s v=" "/>
    <s v=" "/>
    <m/>
    <s v=" "/>
  </r>
  <r>
    <s v="LOK15481"/>
    <s v="SSA"/>
    <s v="Federal"/>
    <s v="Fee Simple"/>
    <s v="2400 E Jackson St"/>
    <s v="Hugo"/>
    <s v="OK"/>
    <n v="2"/>
    <n v="2005"/>
    <n v="6610"/>
    <n v="6610"/>
    <n v="1"/>
    <n v="144786.6"/>
    <n v="21.90417549167928"/>
    <n v="92852"/>
    <n v="14.04720121028744"/>
    <d v="2005-10-12T00:00:00"/>
    <d v="2020-10-11T00:00:00"/>
    <d v="2015-10-12T00:00:00"/>
    <n v="14.8958904109589"/>
    <n v="9.893150684931507"/>
    <s v="Modified Gross"/>
    <s v="None"/>
    <s v="None"/>
    <n v="1340000"/>
    <n v="202.7231467473525"/>
    <n v="0.06929253731343284"/>
    <m/>
    <d v="2005-11-22T00:00:00"/>
    <x v="1256"/>
    <m/>
    <x v="1413"/>
    <s v="MI"/>
    <s v="Private"/>
    <m/>
    <m/>
    <m/>
    <s v=" "/>
    <s v=" "/>
    <m/>
    <s v=" "/>
    <s v=" "/>
    <s v=" "/>
    <m/>
    <s v=" "/>
  </r>
  <r>
    <m/>
    <s v="Multi"/>
    <s v="State"/>
    <s v="Fee Simple"/>
    <s v="3103 Airport Blvd"/>
    <s v="Mobile"/>
    <s v="AL"/>
    <n v="4.8"/>
    <n v="1979"/>
    <n v="95046"/>
    <n v="117784"/>
    <n v="0.8069517082116416"/>
    <m/>
    <s v=" "/>
    <m/>
    <s v=" "/>
    <m/>
    <m/>
    <m/>
    <s v=" "/>
    <s v=" "/>
    <m/>
    <m/>
    <m/>
    <m/>
    <s v=" "/>
    <s v=" "/>
    <m/>
    <d v="2005-11-18T00:00:00"/>
    <x v="1969"/>
    <s v="M&amp;M"/>
    <x v="1510"/>
    <s v="CA"/>
    <s v="Private"/>
    <m/>
    <m/>
    <m/>
    <s v=" "/>
    <s v=" "/>
    <m/>
    <s v=" "/>
    <s v=" "/>
    <s v=" "/>
    <m/>
    <s v=" "/>
  </r>
  <r>
    <m/>
    <s v="DC"/>
    <s v="Federal"/>
    <s v="Fee Simple"/>
    <s v="64 New York Ave NE"/>
    <s v="Washington"/>
    <s v="DC"/>
    <n v="2.97"/>
    <n v="1909"/>
    <n v="339520"/>
    <n v="355034"/>
    <n v="0.9563027766354771"/>
    <m/>
    <s v=" "/>
    <n v="8107275.600000001"/>
    <n v="22.83520902223449"/>
    <m/>
    <m/>
    <m/>
    <s v=" "/>
    <s v=" "/>
    <m/>
    <m/>
    <m/>
    <n v="103146000"/>
    <n v="290.5242878146882"/>
    <n v="0.0786"/>
    <m/>
    <d v="2005-11-02T00:00:00"/>
    <x v="1970"/>
    <s v="C&amp;W; Collins"/>
    <x v="1511"/>
    <s v="NY"/>
    <s v="Institutional"/>
    <m/>
    <m/>
    <m/>
    <s v=" "/>
    <s v=" "/>
    <m/>
    <s v=" "/>
    <s v=" "/>
    <s v=" "/>
    <m/>
    <s v=" "/>
  </r>
  <r>
    <m/>
    <s v="ACOE"/>
    <s v="Federal"/>
    <s v="Fee Simple"/>
    <s v="4155 Clay St"/>
    <s v="Vicksburg"/>
    <s v="MS"/>
    <n v="17.17"/>
    <n v="1996"/>
    <n v="199404"/>
    <n v="199404"/>
    <n v="1"/>
    <m/>
    <s v=" "/>
    <n v="2119000"/>
    <n v="10.62666746905779"/>
    <m/>
    <m/>
    <m/>
    <s v=" "/>
    <s v=" "/>
    <m/>
    <m/>
    <m/>
    <n v="26487500"/>
    <n v="132.8333433632224"/>
    <n v="0.08"/>
    <m/>
    <d v="2005-11-01T00:00:00"/>
    <x v="8"/>
    <m/>
    <x v="1512"/>
    <m/>
    <s v="REIT"/>
    <m/>
    <m/>
    <m/>
    <s v=" "/>
    <s v=" "/>
    <m/>
    <s v=" "/>
    <s v=" "/>
    <s v=" "/>
    <m/>
    <s v=" "/>
  </r>
  <r>
    <m/>
    <s v="BLM"/>
    <s v="Federal"/>
    <s v="Fee Simple"/>
    <s v="1303 S US Highway 95"/>
    <s v="Needles"/>
    <s v="CA"/>
    <n v="2.26"/>
    <n v="2005"/>
    <m/>
    <m/>
    <s v=" "/>
    <m/>
    <s v=" "/>
    <m/>
    <s v=" "/>
    <m/>
    <m/>
    <m/>
    <s v=" "/>
    <s v=" "/>
    <m/>
    <m/>
    <m/>
    <m/>
    <s v=" "/>
    <s v=" "/>
    <m/>
    <d v="2005-10-25T00:00:00"/>
    <x v="1085"/>
    <m/>
    <x v="1513"/>
    <s v="CA"/>
    <m/>
    <m/>
    <m/>
    <m/>
    <s v=" "/>
    <s v=" "/>
    <m/>
    <s v=" "/>
    <s v=" "/>
    <s v=" "/>
    <m/>
    <s v=" "/>
  </r>
  <r>
    <s v="LFL44121"/>
    <s v="SSA"/>
    <s v="Federal"/>
    <s v="Fee Simple"/>
    <s v="4010 Gunn Hwy"/>
    <s v="Tampa"/>
    <s v="FL"/>
    <n v="3.03"/>
    <n v="1986"/>
    <n v="23033"/>
    <n v="46353"/>
    <n v="0.4969041917459496"/>
    <n v="501025"/>
    <n v="21.75248556419051"/>
    <m/>
    <s v=" "/>
    <d v="2006-09-22T00:00:00"/>
    <d v="2016-09-21T00:00:00"/>
    <d v="2011-09-22T00:00:00"/>
    <n v="10.92876712328767"/>
    <n v="5.926027397260274"/>
    <s v="Modified Gross"/>
    <s v="None"/>
    <s v="None"/>
    <n v="2000000"/>
    <n v="43.14715336655664"/>
    <s v=" "/>
    <m/>
    <d v="2005-10-20T00:00:00"/>
    <x v="1971"/>
    <m/>
    <x v="318"/>
    <s v="FL"/>
    <s v="Private"/>
    <m/>
    <m/>
    <m/>
    <s v=" "/>
    <s v=" "/>
    <m/>
    <s v=" "/>
    <s v=" "/>
    <s v=" "/>
    <m/>
    <s v=" "/>
  </r>
  <r>
    <s v="LOH16937"/>
    <s v="NARA"/>
    <s v="Federal"/>
    <s v="Fee Simple"/>
    <s v="8801 Kingsridge Dr"/>
    <s v="Dayton"/>
    <s v="OH"/>
    <n v="12.316"/>
    <n v="2002"/>
    <n v="217394"/>
    <n v="217394"/>
    <n v="1"/>
    <n v="1980120.93"/>
    <n v="9.108443333302667"/>
    <n v="1728315.93"/>
    <n v="7.950154696081769"/>
    <d v="2003-02-01T00:00:00"/>
    <d v="2023-01-31T00:00:00"/>
    <d v="2017-07-01T00:00:00"/>
    <n v="17.2958904109589"/>
    <n v="11.70684931506849"/>
    <s v="Modified Gross"/>
    <s v="None"/>
    <s v="None"/>
    <n v="19336441"/>
    <n v="88.94652566308177"/>
    <n v="0.0893812842808043"/>
    <m/>
    <d v="2005-10-19T00:00:00"/>
    <x v="842"/>
    <m/>
    <x v="1410"/>
    <s v="NC"/>
    <s v="Private"/>
    <m/>
    <m/>
    <m/>
    <s v=" "/>
    <s v=" "/>
    <m/>
    <s v=" "/>
    <s v=" "/>
    <s v=" "/>
    <m/>
    <s v=" "/>
  </r>
  <r>
    <s v="LVA03441"/>
    <s v="SSA"/>
    <s v="Federal"/>
    <s v="Fee Simple"/>
    <s v="100 Poplar Rd"/>
    <s v="Petersburg"/>
    <s v="VA"/>
    <n v="1.84"/>
    <n v="2003"/>
    <n v="13360"/>
    <n v="13360"/>
    <n v="1"/>
    <n v="246828.49"/>
    <n v="18.47518637724551"/>
    <n v="123610"/>
    <n v="9.252245508982035"/>
    <d v="2005-05-05T00:00:00"/>
    <d v="2018-09-04T00:00:00"/>
    <d v="2018-09-04T00:00:00"/>
    <n v="12.88767123287671"/>
    <n v="12.88767123287671"/>
    <s v="Modified Gross"/>
    <s v="None"/>
    <s v="None"/>
    <n v="2164140"/>
    <n v="161.9865269461078"/>
    <n v="0.05711737687949948"/>
    <m/>
    <d v="2005-10-18T00:00:00"/>
    <x v="842"/>
    <m/>
    <x v="1514"/>
    <s v="NC"/>
    <s v="Private"/>
    <m/>
    <m/>
    <m/>
    <s v=" "/>
    <s v=" "/>
    <m/>
    <s v=" "/>
    <s v=" "/>
    <s v=" "/>
    <m/>
    <s v=" "/>
  </r>
  <r>
    <s v="LIN16969"/>
    <s v="SSA/OHO"/>
    <s v="Federal"/>
    <s v="Fee Simple"/>
    <s v="6511 Brotherhood Way"/>
    <s v="Fort Wayne"/>
    <s v="IN"/>
    <n v="2.1"/>
    <n v="2004"/>
    <n v="14500"/>
    <n v="14500"/>
    <n v="1"/>
    <n v="368478"/>
    <n v="25.41227586206897"/>
    <n v="239337"/>
    <n v="16.506"/>
    <d v="2004-06-14T00:00:00"/>
    <d v="2024-06-13T00:00:00"/>
    <d v="2014-06-13T00:00:00"/>
    <n v="18.66849315068493"/>
    <n v="8.66027397260274"/>
    <s v="Modified Gross"/>
    <s v="None"/>
    <s v="None"/>
    <n v="3200000"/>
    <n v="220.6896551724138"/>
    <n v="0.0747928125"/>
    <m/>
    <d v="2005-10-17T00:00:00"/>
    <x v="111"/>
    <s v="WD Schorsch"/>
    <x v="1515"/>
    <s v="IL"/>
    <s v="Private"/>
    <m/>
    <m/>
    <m/>
    <s v=" "/>
    <s v=" "/>
    <m/>
    <s v=" "/>
    <s v=" "/>
    <s v=" "/>
    <m/>
    <s v=" "/>
  </r>
  <r>
    <s v="LPA02330"/>
    <s v="DEA"/>
    <s v="Federal"/>
    <s v="Fee Simple"/>
    <s v="1781 McKees Rock Rd"/>
    <s v="McKees Rock"/>
    <s v="PA"/>
    <n v="6.64"/>
    <n v="2006"/>
    <n v="26575"/>
    <n v="26575"/>
    <n v="1"/>
    <n v="1224825.79"/>
    <n v="46.08939943555974"/>
    <n v="666240"/>
    <n v="25.07017873941675"/>
    <d v="2005-09-01T00:00:00"/>
    <d v="2020-08-31T00:00:00"/>
    <d v="2020-08-31T00:00:00"/>
    <n v="14.8958904109589"/>
    <n v="14.8958904109589"/>
    <s v="Modified Gross"/>
    <s v="None"/>
    <s v="None"/>
    <n v="10675000"/>
    <n v="401.6933207902164"/>
    <n v="0.0624112412177986"/>
    <m/>
    <d v="2005-10-12T00:00:00"/>
    <x v="1659"/>
    <m/>
    <x v="1413"/>
    <s v="MI"/>
    <s v="Private"/>
    <m/>
    <m/>
    <m/>
    <s v=" "/>
    <s v=" "/>
    <m/>
    <s v=" "/>
    <s v=" "/>
    <s v=" "/>
    <m/>
    <s v=" "/>
  </r>
  <r>
    <s v="LVA04320"/>
    <s v="DOD"/>
    <s v="Federal"/>
    <s v="Fee Simple"/>
    <s v="115 Lake View Pky"/>
    <s v="Suffolk"/>
    <s v="VA"/>
    <n v="6.6"/>
    <n v="2004"/>
    <n v="115000"/>
    <n v="115000"/>
    <n v="1"/>
    <n v="2855420"/>
    <n v="24.82973913043478"/>
    <n v="2186800"/>
    <n v="19.01565217391304"/>
    <d v="2004-12-01T00:00:00"/>
    <d v="2019-12-31T00:00:00"/>
    <d v="2014-12-31T00:00:00"/>
    <n v="14.24109589041096"/>
    <n v="9.238356164383562"/>
    <s v="Modified Gross"/>
    <s v="None"/>
    <s v="None"/>
    <n v="24538000"/>
    <n v="213.3739130434783"/>
    <n v="0.08911891759719619"/>
    <m/>
    <d v="2005-10-07T00:00:00"/>
    <x v="1972"/>
    <m/>
    <x v="1516"/>
    <s v="IL"/>
    <s v="REIT"/>
    <m/>
    <m/>
    <m/>
    <s v=" "/>
    <s v=" "/>
    <m/>
    <s v=" "/>
    <s v=" "/>
    <s v=" "/>
    <m/>
    <s v=" "/>
  </r>
  <r>
    <s v="LMA04308"/>
    <s v="SSA"/>
    <s v="Federal"/>
    <s v="Fee Simple"/>
    <s v="140 Union St"/>
    <s v="Lynn"/>
    <s v="MA"/>
    <n v="2.15"/>
    <n v="2005"/>
    <n v="10430"/>
    <n v="62447"/>
    <n v="0.1670216343459253"/>
    <n v="219326.07"/>
    <n v="21.02838638542665"/>
    <n v="283000"/>
    <n v="4.531843002866431"/>
    <d v="2004-03-01T00:00:00"/>
    <d v="2024-02-28T00:00:00"/>
    <d v="2010-09-01T00:00:00"/>
    <n v="18.40821917808219"/>
    <n v="4.906849315068493"/>
    <s v="Modified Gross"/>
    <s v="None"/>
    <s v="None"/>
    <n v="2830000"/>
    <n v="45.31843002866431"/>
    <n v="0.1"/>
    <m/>
    <d v="2005-10-06T00:00:00"/>
    <x v="1973"/>
    <s v="Hunneman"/>
    <x v="1517"/>
    <s v="MA"/>
    <s v="Private"/>
    <m/>
    <m/>
    <m/>
    <s v=" "/>
    <s v=" "/>
    <m/>
    <s v=" "/>
    <s v=" "/>
    <s v=" "/>
    <m/>
    <s v=" "/>
  </r>
  <r>
    <s v="LTX16034"/>
    <s v="SSA"/>
    <s v="Federal"/>
    <s v="Fee Simple"/>
    <s v="2304 W Ferguson Rd"/>
    <s v="Mount Pleasant"/>
    <s v="TX"/>
    <n v="0.84"/>
    <n v="2004"/>
    <n v="4964"/>
    <n v="4964"/>
    <n v="1"/>
    <n v="127011.16"/>
    <n v="25.58645447219984"/>
    <m/>
    <s v=" "/>
    <d v="2005-08-15T00:00:00"/>
    <d v="2020-08-14T00:00:00"/>
    <d v="2015-08-15T00:00:00"/>
    <n v="14.86575342465753"/>
    <n v="9.863013698630137"/>
    <s v="Modified Gross"/>
    <s v="None"/>
    <s v="None"/>
    <m/>
    <s v=" "/>
    <s v=" "/>
    <m/>
    <d v="2005-10-06T00:00:00"/>
    <x v="1256"/>
    <m/>
    <x v="1413"/>
    <s v="MI"/>
    <s v="Private"/>
    <s v="BW; Wells"/>
    <m/>
    <m/>
    <s v=" "/>
    <s v=" "/>
    <m/>
    <s v=" "/>
    <s v=" "/>
    <s v=" "/>
    <m/>
    <s v=" "/>
  </r>
  <r>
    <m/>
    <s v="Army"/>
    <s v="Federal"/>
    <s v="Leasehold"/>
    <s v="1670 N Newport Rd"/>
    <s v="Colorado Springs"/>
    <s v="CO"/>
    <n v="5.12"/>
    <n v="1986"/>
    <n v="36910"/>
    <n v="67640"/>
    <n v="0.5456830277942046"/>
    <m/>
    <s v=" "/>
    <n v="792000"/>
    <n v="11.7090479006505"/>
    <m/>
    <m/>
    <m/>
    <s v=" "/>
    <s v=" "/>
    <m/>
    <m/>
    <m/>
    <n v="9000000"/>
    <n v="133.0573625073921"/>
    <n v="0.08799999999999999"/>
    <m/>
    <d v="2005-10-03T00:00:00"/>
    <x v="1974"/>
    <s v="GW; Reichenberg"/>
    <x v="1518"/>
    <s v="MD"/>
    <s v="REIT"/>
    <s v="Qua; Swintz"/>
    <m/>
    <m/>
    <s v=" "/>
    <s v=" "/>
    <m/>
    <s v=" "/>
    <s v=" "/>
    <s v=" "/>
    <m/>
    <s v=" "/>
  </r>
  <r>
    <m/>
    <s v="DFPS"/>
    <s v="State"/>
    <s v="Fee Simple"/>
    <s v="4201 Greenwood Dr"/>
    <s v="Corpus Christi"/>
    <s v="TX"/>
    <n v="4.27"/>
    <n v="1995"/>
    <n v="51307"/>
    <n v="51307"/>
    <n v="1"/>
    <m/>
    <s v=" "/>
    <m/>
    <s v=" "/>
    <m/>
    <m/>
    <m/>
    <s v=" "/>
    <s v=" "/>
    <m/>
    <m/>
    <m/>
    <m/>
    <s v=" "/>
    <s v=" "/>
    <m/>
    <d v="2005-10-01T00:00:00"/>
    <x v="1975"/>
    <m/>
    <x v="1519"/>
    <s v="TX"/>
    <s v="Private"/>
    <m/>
    <m/>
    <m/>
    <s v=" "/>
    <s v=" "/>
    <m/>
    <s v=" "/>
    <s v=" "/>
    <s v=" "/>
    <m/>
    <s v=" "/>
  </r>
  <r>
    <m/>
    <s v="BLM "/>
    <s v="Federal"/>
    <s v="Fee Simple"/>
    <s v="2164 NE Spalding Ave"/>
    <s v="Grants Pass"/>
    <s v="OR"/>
    <n v="4.730004591368227"/>
    <n v="2004"/>
    <m/>
    <m/>
    <s v=" "/>
    <m/>
    <s v=" "/>
    <m/>
    <s v=" "/>
    <m/>
    <m/>
    <m/>
    <s v=" "/>
    <s v=" "/>
    <m/>
    <m/>
    <m/>
    <n v="6975329"/>
    <s v=" "/>
    <s v=" "/>
    <m/>
    <d v="2005-09-30T00:00:00"/>
    <x v="1085"/>
    <m/>
    <x v="1221"/>
    <s v="CO"/>
    <s v="Private"/>
    <m/>
    <m/>
    <m/>
    <s v=" "/>
    <s v=" "/>
    <m/>
    <s v=" "/>
    <s v=" "/>
    <s v=" "/>
    <m/>
    <s v=" "/>
  </r>
  <r>
    <m/>
    <s v="VA"/>
    <s v="Federal"/>
    <s v="Fee Simple"/>
    <s v="605 Lincoln St"/>
    <s v="Worcester"/>
    <s v="MA"/>
    <n v="3.41"/>
    <n v="1993"/>
    <n v="29550"/>
    <n v="29550"/>
    <n v="1"/>
    <m/>
    <s v=" "/>
    <n v="445065"/>
    <n v="15.06142131979695"/>
    <d v="1993-05-01T00:00:00"/>
    <d v="2013-05-01T00:00:00"/>
    <d v="2008-05-01T00:00:00"/>
    <n v="7.589041095890411"/>
    <n v="2.586301369863014"/>
    <s v="Modified Gross"/>
    <s v="None"/>
    <s v="None"/>
    <n v="5069200"/>
    <n v="171.5465313028765"/>
    <n v="0.08779787737710092"/>
    <m/>
    <d v="2005-09-30T00:00:00"/>
    <x v="1976"/>
    <s v="M&amp;M; Nutting"/>
    <x v="1520"/>
    <s v="MA"/>
    <s v="Private"/>
    <m/>
    <m/>
    <m/>
    <s v=" "/>
    <s v=" "/>
    <m/>
    <s v=" "/>
    <s v=" "/>
    <s v=" "/>
    <d v="2004-09-30T00:00:00"/>
    <n v="365"/>
  </r>
  <r>
    <s v="LNC42087"/>
    <s v="INS"/>
    <s v="Federal"/>
    <s v="Fee Simple"/>
    <s v="6130 Tyvola Centre Dr"/>
    <s v="Charlotte"/>
    <s v="NC"/>
    <n v="8"/>
    <n v="2003"/>
    <n v="52000"/>
    <n v="52000"/>
    <n v="1"/>
    <n v="1127300.03"/>
    <n v="21.67884673076923"/>
    <n v="695475"/>
    <n v="13.37451923076923"/>
    <d v="2003-07-29T00:00:00"/>
    <d v="2023-07-28T00:00:00"/>
    <d v="2018-07-29T00:00:00"/>
    <n v="17.83835616438356"/>
    <n v="12.83835616438356"/>
    <s v="Modified Gross"/>
    <s v="None"/>
    <s v="None"/>
    <n v="10100500"/>
    <n v="194.2403846153846"/>
    <n v="0.06885550220286124"/>
    <m/>
    <d v="2005-09-29T00:00:00"/>
    <x v="842"/>
    <m/>
    <x v="1410"/>
    <s v="NC"/>
    <s v="Private"/>
    <m/>
    <m/>
    <m/>
    <s v=" "/>
    <s v=" "/>
    <m/>
    <s v=" "/>
    <s v=" "/>
    <s v=" "/>
    <m/>
    <s v=" "/>
  </r>
  <r>
    <m/>
    <s v="MEPS"/>
    <s v="Federal"/>
    <s v="Fee Simple"/>
    <s v="6125 Tyvola Centre Dr"/>
    <s v="Charlotte"/>
    <s v="NC"/>
    <n v="2"/>
    <n v="2002"/>
    <n v="22882"/>
    <n v="22882"/>
    <n v="1"/>
    <m/>
    <s v=" "/>
    <m/>
    <s v=" "/>
    <d v="2002-12-02T00:00:00"/>
    <d v="2012-12-02T00:00:00"/>
    <d v="2012-12-02T00:00:00"/>
    <n v="7.18082191780822"/>
    <n v="7.18082191780822"/>
    <s v="Modified Gross"/>
    <s v="None"/>
    <s v="None"/>
    <n v="5765000"/>
    <n v="251.9447600734202"/>
    <s v=" "/>
    <m/>
    <d v="2005-09-29T00:00:00"/>
    <x v="842"/>
    <m/>
    <x v="1410"/>
    <s v="NC"/>
    <s v="Private"/>
    <m/>
    <m/>
    <m/>
    <s v=" "/>
    <s v=" "/>
    <m/>
    <s v=" "/>
    <s v=" "/>
    <s v=" "/>
    <m/>
    <s v=" "/>
  </r>
  <r>
    <m/>
    <s v="SSA"/>
    <s v="Federal"/>
    <s v="Fee Simple"/>
    <s v="10600 N Central Expy"/>
    <s v="Dallas"/>
    <s v="TX"/>
    <n v="2.92"/>
    <n v="2005"/>
    <m/>
    <m/>
    <s v=" "/>
    <m/>
    <s v=" "/>
    <m/>
    <s v=" "/>
    <d v="2005-08-01T00:00:00"/>
    <d v="2020-07-30T00:00:00"/>
    <d v="2015-07-31T00:00:00"/>
    <n v="14.84383561643836"/>
    <n v="9.841095890410958"/>
    <s v="Modified Gross"/>
    <s v="None"/>
    <s v="None"/>
    <n v="9600000"/>
    <s v=" "/>
    <s v=" "/>
    <m/>
    <d v="2005-09-29T00:00:00"/>
    <x v="1759"/>
    <m/>
    <x v="790"/>
    <s v="MA"/>
    <s v="REIT"/>
    <m/>
    <m/>
    <m/>
    <s v=" "/>
    <s v=" "/>
    <m/>
    <s v=" "/>
    <s v=" "/>
    <s v=" "/>
    <m/>
    <s v=" "/>
  </r>
  <r>
    <s v="LOH16933"/>
    <s v="SSA"/>
    <s v="Federal"/>
    <s v="Fee Simple"/>
    <s v="6553 Winford Ave"/>
    <s v="Hamilton"/>
    <s v="OH"/>
    <n v="1.27"/>
    <n v="2003"/>
    <n v="10900"/>
    <n v="10900"/>
    <n v="1"/>
    <n v="263706.2"/>
    <n v="24.19322935779817"/>
    <m/>
    <s v=" "/>
    <d v="2003-09-09T00:00:00"/>
    <d v="2023-09-08T00:00:00"/>
    <d v="2013-09-08T00:00:00"/>
    <n v="17.95342465753425"/>
    <n v="7.947945205479452"/>
    <s v="Modified Gross"/>
    <s v="None"/>
    <s v="None"/>
    <n v="2896786"/>
    <n v="265.7601834862385"/>
    <s v=" "/>
    <m/>
    <d v="2005-09-29T00:00:00"/>
    <x v="842"/>
    <m/>
    <x v="1410"/>
    <s v="NC"/>
    <m/>
    <m/>
    <m/>
    <m/>
    <s v=" "/>
    <s v=" "/>
    <m/>
    <s v=" "/>
    <s v=" "/>
    <s v=" "/>
    <m/>
    <s v=" "/>
  </r>
  <r>
    <s v="LSC41069"/>
    <s v="SSA"/>
    <s v="Federal"/>
    <s v="Fee Simple"/>
    <s v="1463 Tobias Gadson Blvd"/>
    <s v="Charleston"/>
    <s v="SC"/>
    <n v="2"/>
    <n v="2005"/>
    <n v="16598"/>
    <n v="16598"/>
    <n v="1"/>
    <n v="372454.78"/>
    <n v="22.43973852271358"/>
    <m/>
    <s v=" "/>
    <d v="2005-08-24T00:00:00"/>
    <d v="2015-08-23T00:00:00"/>
    <d v="2010-08-23T00:00:00"/>
    <n v="9.942465753424658"/>
    <n v="4.93972602739726"/>
    <s v="Modified Gross"/>
    <s v="None"/>
    <s v="None"/>
    <n v="3587035"/>
    <n v="216.1124834317388"/>
    <s v=" "/>
    <m/>
    <d v="2005-09-15T00:00:00"/>
    <x v="842"/>
    <m/>
    <x v="1374"/>
    <s v="CA"/>
    <s v="Private"/>
    <m/>
    <m/>
    <m/>
    <s v=" "/>
    <s v=" "/>
    <m/>
    <s v=" "/>
    <s v=" "/>
    <s v=" "/>
    <m/>
    <s v=" "/>
  </r>
  <r>
    <m/>
    <s v="FBI"/>
    <s v="Federal"/>
    <s v="Fee Simple"/>
    <s v="1100 18th St N"/>
    <s v="Birmingham"/>
    <s v="AL"/>
    <m/>
    <n v="2005"/>
    <n v="96278"/>
    <n v="96278"/>
    <n v="1"/>
    <m/>
    <s v=" "/>
    <m/>
    <s v=" "/>
    <m/>
    <d v="2020-08-31T00:00:00"/>
    <d v="2020-08-31T00:00:00"/>
    <n v="15.00821917808219"/>
    <n v="15.00821917808219"/>
    <s v="FS"/>
    <m/>
    <s v="None"/>
    <n v="23588457"/>
    <n v="245.0036041463263"/>
    <s v=" "/>
    <s v=" "/>
    <d v="2005-09-01T00:00:00"/>
    <x v="1977"/>
    <s v="CBRE"/>
    <x v="1472"/>
    <s v="NY"/>
    <s v="REIT"/>
    <m/>
    <m/>
    <m/>
    <s v=" "/>
    <s v=" "/>
    <m/>
    <s v=" "/>
    <s v=" "/>
    <s v=" "/>
    <m/>
    <s v=" "/>
  </r>
  <r>
    <m/>
    <s v="HUD/Edu."/>
    <s v="Federal"/>
    <s v="Fee Simple"/>
    <s v="550 12th St SW"/>
    <s v="Washington"/>
    <s v="DC"/>
    <n v="1.54"/>
    <n v="1969"/>
    <n v="427463"/>
    <n v="539713"/>
    <n v="0.7920190916283284"/>
    <n v="16017660"/>
    <n v="37.47145366967433"/>
    <n v="11608927"/>
    <n v="21.50944483456949"/>
    <d v="2004-04-01T00:00:00"/>
    <d v="2014-03-31T00:00:00"/>
    <d v="2014-03-31T00:00:00"/>
    <n v="8.586301369863014"/>
    <n v="8.586301369863014"/>
    <s v="Modified Gross"/>
    <s v="None"/>
    <s v="None"/>
    <n v="187084000"/>
    <n v="346.6360825105195"/>
    <n v="0.06205194992623634"/>
    <m/>
    <d v="2005-08-31T00:00:00"/>
    <x v="693"/>
    <s v="JLL; Conley"/>
    <x v="1229"/>
    <s v="NY"/>
    <s v="Institutional"/>
    <m/>
    <m/>
    <m/>
    <s v=" "/>
    <s v=" "/>
    <m/>
    <s v=" "/>
    <s v=" "/>
    <s v=" "/>
    <d v="2005-08-01T00:00:00"/>
    <n v="30"/>
  </r>
  <r>
    <m/>
    <s v="Multi"/>
    <s v="State"/>
    <s v="Fee Simple"/>
    <s v="801 K St"/>
    <s v="Sacramento"/>
    <s v="CA"/>
    <n v="0.72"/>
    <n v="1989"/>
    <n v="202728.6"/>
    <n v="337881"/>
    <n v="0.6"/>
    <m/>
    <s v=" "/>
    <m/>
    <s v=" "/>
    <m/>
    <d v="2014-12-31T00:00:00"/>
    <d v="2014-12-31T00:00:00"/>
    <n v="9.342465753424657"/>
    <n v="9.342465753424657"/>
    <s v="Full Service"/>
    <s v="Annually"/>
    <s v="None"/>
    <n v="79350000"/>
    <n v="234.8459960755414"/>
    <s v=" "/>
    <m/>
    <d v="2005-08-30T00:00:00"/>
    <x v="1978"/>
    <s v="Newmark; Corea"/>
    <x v="1521"/>
    <s v="NY"/>
    <s v="Private"/>
    <s v="Eastdil"/>
    <m/>
    <m/>
    <s v=" "/>
    <s v=" "/>
    <m/>
    <s v=" "/>
    <s v=" "/>
    <s v=" "/>
    <m/>
    <s v=" "/>
  </r>
  <r>
    <s v="LTX15436"/>
    <s v="SSA"/>
    <s v="Federal"/>
    <s v="Fee Simple"/>
    <s v="1029 Camino La Costa"/>
    <s v="Austin"/>
    <s v="TX"/>
    <n v="3.61"/>
    <n v="2005"/>
    <n v="23859"/>
    <n v="23859"/>
    <n v="1"/>
    <n v="714583.5699999999"/>
    <n v="29.95027327214049"/>
    <n v="472057.047"/>
    <n v="19.78528215767635"/>
    <d v="2005-12-21T00:00:00"/>
    <d v="2020-12-20T00:00:00"/>
    <d v="2015-12-21T00:00:00"/>
    <n v="15.3972602739726"/>
    <n v="10.39452054794521"/>
    <s v="Modified Gross"/>
    <s v="None"/>
    <s v="None"/>
    <n v="7492969"/>
    <n v="314.0520977408944"/>
    <n v="0.063"/>
    <m/>
    <d v="2005-08-01T00:00:00"/>
    <x v="1977"/>
    <s v="CBRE"/>
    <x v="1472"/>
    <s v="NY"/>
    <s v="REIT"/>
    <m/>
    <m/>
    <m/>
    <s v=" "/>
    <s v=" "/>
    <m/>
    <s v=" "/>
    <s v=" "/>
    <s v=" "/>
    <m/>
    <s v=" "/>
  </r>
  <r>
    <m/>
    <s v="DEA"/>
    <s v="Federal"/>
    <s v="Fee Simple"/>
    <s v="1003 17th St N"/>
    <s v="Birmingham"/>
    <s v="AL"/>
    <m/>
    <n v="2005"/>
    <n v="35616"/>
    <n v="35616"/>
    <n v="1"/>
    <m/>
    <s v=" "/>
    <n v="888300"/>
    <n v="24.94103773584906"/>
    <m/>
    <d v="2020-12-31T00:00:00"/>
    <d v="2020-12-31T00:00:00"/>
    <n v="15.42739726027397"/>
    <n v="15.42739726027397"/>
    <s v="FS"/>
    <m/>
    <s v="None"/>
    <n v="14100000"/>
    <n v="395.88948787062"/>
    <n v="0.063"/>
    <m/>
    <d v="2005-08-01T00:00:00"/>
    <x v="1977"/>
    <s v="CBRE"/>
    <x v="1472"/>
    <s v="NY"/>
    <s v="REIT"/>
    <m/>
    <m/>
    <m/>
    <s v=" "/>
    <s v=" "/>
    <m/>
    <s v=" "/>
    <s v=" "/>
    <s v=" "/>
    <m/>
    <s v=" "/>
  </r>
  <r>
    <s v="LKS00027"/>
    <s v="EPA"/>
    <s v="Federal"/>
    <s v="Fee Simple"/>
    <s v="300 Minnesota Ave"/>
    <s v="Kansas City"/>
    <s v="KS"/>
    <m/>
    <n v="2003"/>
    <n v="71979"/>
    <n v="71979"/>
    <n v="1"/>
    <m/>
    <s v=" "/>
    <n v="1477743.75"/>
    <n v="20.53020672696203"/>
    <d v="2003-03-30T00:00:00"/>
    <d v="2023-03-31T00:00:00"/>
    <d v="2023-03-31T00:00:00"/>
    <n v="17.67397260273973"/>
    <n v="17.67397260273973"/>
    <s v="FS"/>
    <m/>
    <s v="None"/>
    <n v="23456250"/>
    <n v="325.8762972533656"/>
    <n v="0.063"/>
    <m/>
    <d v="2005-08-01T00:00:00"/>
    <x v="1977"/>
    <s v="CBRE"/>
    <x v="1472"/>
    <s v="NY"/>
    <s v="REIT"/>
    <m/>
    <m/>
    <m/>
    <s v=" "/>
    <s v=" "/>
    <m/>
    <s v=" "/>
    <s v=" "/>
    <s v=" "/>
    <m/>
    <s v=" "/>
  </r>
  <r>
    <s v="LUT13736"/>
    <s v="OSHA"/>
    <s v="Federal"/>
    <s v="Fee Simple"/>
    <s v="8660 Sandy Pkwy"/>
    <s v="Sandy"/>
    <s v="UT"/>
    <n v="5.36"/>
    <n v="2003"/>
    <n v="75000"/>
    <n v="75000"/>
    <n v="1"/>
    <n v="2772587.95"/>
    <n v="36.96783933333334"/>
    <n v="1554000"/>
    <n v="20.72"/>
    <d v="2004-01-29T00:00:00"/>
    <d v="2024-01-28T00:00:00"/>
    <d v="2023-11-30T00:00:00"/>
    <n v="18.5041095890411"/>
    <n v="18.34246575342466"/>
    <s v="FS"/>
    <m/>
    <s v="None"/>
    <n v="24433594"/>
    <n v="325.7812533333333"/>
    <n v="0.0636009585818607"/>
    <m/>
    <d v="2005-08-01T00:00:00"/>
    <x v="1977"/>
    <s v="CBRE"/>
    <x v="1472"/>
    <s v="NY"/>
    <s v="REIT"/>
    <m/>
    <m/>
    <m/>
    <s v=" "/>
    <s v=" "/>
    <m/>
    <s v=" "/>
    <s v=" "/>
    <s v=" "/>
    <m/>
    <s v=" "/>
  </r>
  <r>
    <m/>
    <s v="VA/Vet Center"/>
    <s v="Federal"/>
    <s v="Condominium"/>
    <s v="702 W Drake Rd, Building C"/>
    <s v="Fort Collins"/>
    <s v="CO"/>
    <n v="0.13"/>
    <n v="2001"/>
    <n v="4209"/>
    <n v="4209"/>
    <n v="1"/>
    <m/>
    <s v=" "/>
    <m/>
    <s v=" "/>
    <m/>
    <m/>
    <m/>
    <s v=" "/>
    <s v=" "/>
    <m/>
    <m/>
    <m/>
    <n v="700000"/>
    <n v="166.3102874792112"/>
    <s v=" "/>
    <m/>
    <d v="2005-07-18T00:00:00"/>
    <x v="1979"/>
    <m/>
    <x v="1522"/>
    <s v="CO"/>
    <s v="Private"/>
    <m/>
    <m/>
    <m/>
    <s v=" "/>
    <s v=" "/>
    <m/>
    <s v=" "/>
    <s v=" "/>
    <s v=" "/>
    <m/>
    <s v=" "/>
  </r>
  <r>
    <s v="LTX14704"/>
    <s v="CBP"/>
    <s v="Federal"/>
    <s v="Fee Simple"/>
    <s v="3902 S Expressway 77"/>
    <s v="Harlingen"/>
    <s v="TX"/>
    <n v="20"/>
    <n v="1999"/>
    <n v="53075"/>
    <n v="53075"/>
    <n v="1"/>
    <n v="1882984.82"/>
    <n v="35.47781102213848"/>
    <m/>
    <s v=" "/>
    <d v="2000-08-29T00:00:00"/>
    <d v="2020-08-28T00:00:00"/>
    <d v="2014-10-14T00:00:00"/>
    <n v="15.12328767123288"/>
    <n v="9.246575342465754"/>
    <s v="Modified Gross"/>
    <s v="None"/>
    <s v="None"/>
    <m/>
    <s v=" "/>
    <s v=" "/>
    <m/>
    <d v="2005-07-18T00:00:00"/>
    <x v="1953"/>
    <m/>
    <x v="1523"/>
    <s v="NC"/>
    <s v="Private"/>
    <m/>
    <m/>
    <m/>
    <s v=" "/>
    <s v=" "/>
    <m/>
    <s v=" "/>
    <s v=" "/>
    <s v=" "/>
    <m/>
    <s v=" "/>
  </r>
  <r>
    <s v="LAR15477"/>
    <s v="SSA"/>
    <s v="Federal"/>
    <s v="Fee Simple"/>
    <s v="2475 Christina Ln"/>
    <s v="Conway"/>
    <s v="AR"/>
    <n v="1.73"/>
    <n v="2005"/>
    <n v="5757"/>
    <n v="5757"/>
    <n v="1"/>
    <n v="159003.6"/>
    <n v="27.61917665450756"/>
    <n v="103526.6"/>
    <n v="17.98273406287997"/>
    <d v="2005-02-08T00:00:00"/>
    <d v="2020-02-07T00:00:00"/>
    <d v="2010-02-07T00:00:00"/>
    <n v="14.57534246575342"/>
    <n v="4.56986301369863"/>
    <s v="Modified Gross"/>
    <s v="None"/>
    <s v="None"/>
    <n v="1625000"/>
    <n v="282.2650686121244"/>
    <n v="0.06370867692307693"/>
    <m/>
    <d v="2005-07-15T00:00:00"/>
    <x v="1256"/>
    <m/>
    <x v="1413"/>
    <s v="MI"/>
    <s v="Private"/>
    <s v="BW; Wells"/>
    <m/>
    <m/>
    <s v=" "/>
    <s v=" "/>
    <m/>
    <s v=" "/>
    <s v=" "/>
    <s v=" "/>
    <m/>
    <s v=" "/>
  </r>
  <r>
    <s v="LAR15460"/>
    <s v="SSA"/>
    <s v="Federal"/>
    <s v="Fee Simple"/>
    <s v="2708 E Parkway"/>
    <s v="Russellville"/>
    <s v="AR"/>
    <m/>
    <n v="2005"/>
    <n v="9540"/>
    <n v="9540"/>
    <n v="1"/>
    <n v="226916.85"/>
    <n v="23.78583333333333"/>
    <m/>
    <s v=" "/>
    <d v="2005-05-15T00:00:00"/>
    <d v="2020-05-14T00:00:00"/>
    <d v="2015-05-15T00:00:00"/>
    <n v="14.84109589041096"/>
    <n v="9.838356164383562"/>
    <s v="Modified Gross"/>
    <s v="None"/>
    <s v="None"/>
    <n v="2070000"/>
    <n v="216.9811320754717"/>
    <s v=" "/>
    <m/>
    <d v="2005-07-15T00:00:00"/>
    <x v="1256"/>
    <m/>
    <x v="1413"/>
    <s v="MI"/>
    <s v="Private"/>
    <m/>
    <m/>
    <m/>
    <s v=" "/>
    <s v=" "/>
    <m/>
    <s v=" "/>
    <s v=" "/>
    <s v=" "/>
    <m/>
    <s v=" "/>
  </r>
  <r>
    <m/>
    <s v="USDA"/>
    <s v="Federal"/>
    <s v="Fee Simple"/>
    <s v="1020 Lantrip Rd"/>
    <s v="Sherwood"/>
    <s v="AR"/>
    <n v="1.53"/>
    <n v="2003"/>
    <n v="10640"/>
    <n v="10640"/>
    <n v="1"/>
    <n v="187100"/>
    <n v="17.58458646616541"/>
    <n v="118332"/>
    <n v="11.12142857142857"/>
    <d v="2004-09-10T00:00:00"/>
    <d v="2014-09-09T00:00:00"/>
    <d v="2014-09-09T00:00:00"/>
    <n v="9.158904109589042"/>
    <n v="9.158904109589042"/>
    <s v="Modified Gross"/>
    <s v="None"/>
    <s v="None"/>
    <n v="1630000"/>
    <n v="153.1954887218045"/>
    <n v="0.07259631901840491"/>
    <m/>
    <d v="2005-07-15T00:00:00"/>
    <x v="1256"/>
    <m/>
    <x v="1524"/>
    <s v="MI"/>
    <s v="Private"/>
    <m/>
    <m/>
    <m/>
    <s v=" "/>
    <s v=" "/>
    <m/>
    <s v=" "/>
    <s v=" "/>
    <s v=" "/>
    <m/>
    <s v=" "/>
  </r>
  <r>
    <m/>
    <s v="HD"/>
    <s v="State"/>
    <s v="Fee Simple"/>
    <s v="10777 Main St"/>
    <s v="Fairfax"/>
    <s v="VA"/>
    <n v="2.05"/>
    <n v="1985"/>
    <n v="64681"/>
    <n v="72156"/>
    <n v="0.8964050113642663"/>
    <n v="2058126"/>
    <n v="31.81963791530743"/>
    <n v="1500001"/>
    <n v="20.78830589278785"/>
    <m/>
    <d v="2020-07-30T00:00:00"/>
    <d v="2020-07-30T00:00:00"/>
    <n v="15.06027397260274"/>
    <n v="15.06027397260274"/>
    <s v="Full Service"/>
    <s v="None"/>
    <s v="None"/>
    <n v="15693125"/>
    <n v="217.4888436166084"/>
    <n v="0.09558332072165358"/>
    <m/>
    <d v="2005-07-12T00:00:00"/>
    <x v="1980"/>
    <s v="M&amp;M; Filley"/>
    <x v="1525"/>
    <s v="VA"/>
    <s v="Private"/>
    <m/>
    <m/>
    <m/>
    <s v=" "/>
    <s v=" "/>
    <m/>
    <s v=" "/>
    <s v=" "/>
    <s v=" "/>
    <m/>
    <s v=" "/>
  </r>
  <r>
    <s v="LCO13649"/>
    <s v="SSA"/>
    <s v="Federal"/>
    <s v="Fee Simple"/>
    <s v="13151 W Alameda Pky"/>
    <s v="Lakewood"/>
    <s v="CO"/>
    <n v="2.56"/>
    <n v="2003"/>
    <n v="19800"/>
    <n v="19800"/>
    <n v="1"/>
    <n v="553855.71"/>
    <n v="27.97251060606061"/>
    <n v="352459"/>
    <n v="17.8009595959596"/>
    <d v="2002-06-21T00:00:00"/>
    <d v="2017-06-20T00:00:00"/>
    <d v="2012-06-20T00:00:00"/>
    <n v="11.94794520547945"/>
    <n v="6.945205479452055"/>
    <s v="Modified Gross"/>
    <s v="None"/>
    <s v="None"/>
    <n v="4700000"/>
    <n v="237.3737373737374"/>
    <n v="0.07499127659574469"/>
    <m/>
    <d v="2005-07-12T00:00:00"/>
    <x v="1981"/>
    <s v="Matthew Craddock"/>
    <x v="1526"/>
    <s v="CO"/>
    <s v="Private"/>
    <s v="Clifford Wetherill"/>
    <m/>
    <m/>
    <s v=" "/>
    <s v=" "/>
    <m/>
    <s v=" "/>
    <s v=" "/>
    <s v=" "/>
    <m/>
    <s v=" "/>
  </r>
  <r>
    <m/>
    <s v="SSA"/>
    <s v="Federal"/>
    <s v="Fee Simple"/>
    <s v="732 S 6th St"/>
    <s v="Las Vegas"/>
    <s v="NV"/>
    <n v="0.24"/>
    <n v="1992"/>
    <m/>
    <n v="13788"/>
    <s v=" "/>
    <m/>
    <s v=" "/>
    <m/>
    <s v=" "/>
    <m/>
    <m/>
    <m/>
    <s v=" "/>
    <s v=" "/>
    <m/>
    <m/>
    <m/>
    <n v="3700000"/>
    <n v="268.3492892370177"/>
    <s v=" "/>
    <m/>
    <d v="2005-07-01T00:00:00"/>
    <x v="1982"/>
    <m/>
    <x v="1527"/>
    <s v="NV"/>
    <s v="Private"/>
    <m/>
    <m/>
    <m/>
    <s v=" "/>
    <s v=" "/>
    <m/>
    <s v=" "/>
    <s v=" "/>
    <s v=" "/>
    <m/>
    <s v=" "/>
  </r>
  <r>
    <m/>
    <s v="ACoE"/>
    <s v="Federal"/>
    <s v="Fee Simple"/>
    <s v="1325 J St"/>
    <s v="Sacramento"/>
    <s v="CA"/>
    <n v="0.89"/>
    <n v="1989"/>
    <n v="330057"/>
    <n v="366730"/>
    <n v="0.9"/>
    <n v="8050447"/>
    <n v="24.39108093450525"/>
    <n v="5337752"/>
    <n v="14.55499141057454"/>
    <m/>
    <d v="2010-05-30T00:00:00"/>
    <d v="2010-05-30T00:00:00"/>
    <n v="4.964383561643835"/>
    <n v="4.964383561643835"/>
    <s v="Modified Gross"/>
    <s v="None"/>
    <s v="None"/>
    <n v="66000000"/>
    <n v="179.9689144602296"/>
    <n v="0.08087503030303031"/>
    <m/>
    <d v="2005-06-13T00:00:00"/>
    <x v="753"/>
    <m/>
    <x v="2"/>
    <s v="VA"/>
    <s v="Private"/>
    <m/>
    <m/>
    <m/>
    <s v=" "/>
    <s v=" "/>
    <m/>
    <s v=" "/>
    <s v=" "/>
    <s v=" "/>
    <m/>
    <s v=" "/>
  </r>
  <r>
    <m/>
    <m/>
    <s v="Federal"/>
    <s v="Fee Simple"/>
    <s v="8808-8810 Rio San Deigo Dr"/>
    <s v="San Diego"/>
    <s v="CA"/>
    <n v="9.119999999999999"/>
    <m/>
    <n v="144327"/>
    <n v="144327"/>
    <n v="1"/>
    <m/>
    <s v=" "/>
    <n v="2014000"/>
    <n v="13.9544229423462"/>
    <m/>
    <m/>
    <m/>
    <s v=" "/>
    <s v=" "/>
    <m/>
    <m/>
    <m/>
    <n v="26500000"/>
    <n v="183.6108281887658"/>
    <n v="0.076"/>
    <m/>
    <d v="2005-06-13T00:00:00"/>
    <x v="753"/>
    <m/>
    <x v="1528"/>
    <m/>
    <m/>
    <m/>
    <m/>
    <m/>
    <s v=" "/>
    <s v=" "/>
    <m/>
    <s v=" "/>
    <s v=" "/>
    <s v=" "/>
    <m/>
    <s v=" "/>
  </r>
  <r>
    <m/>
    <s v="DEA"/>
    <s v="Federal"/>
    <s v="Fee Simple"/>
    <s v="1433 West Loop S"/>
    <s v="Houston"/>
    <s v="TX"/>
    <n v="1.48"/>
    <n v="1972"/>
    <n v="132995"/>
    <n v="138000"/>
    <n v="0.9637318840579711"/>
    <n v="2144409"/>
    <n v="16.1239821045904"/>
    <n v="1039276"/>
    <n v="7.530985507246377"/>
    <m/>
    <m/>
    <m/>
    <s v=" "/>
    <s v=" "/>
    <m/>
    <m/>
    <m/>
    <n v="14400000"/>
    <n v="104.3478260869565"/>
    <n v="0.07217194444444444"/>
    <m/>
    <d v="2005-06-10T00:00:00"/>
    <x v="753"/>
    <m/>
    <x v="2"/>
    <s v="VA"/>
    <s v="Private"/>
    <m/>
    <m/>
    <m/>
    <s v=" "/>
    <s v=" "/>
    <m/>
    <s v=" "/>
    <s v=" "/>
    <s v=" "/>
    <m/>
    <s v=" "/>
  </r>
  <r>
    <m/>
    <s v="FWS"/>
    <s v="Federal"/>
    <s v="Fee Simple"/>
    <s v="755 Parfet St"/>
    <s v="Lakewood"/>
    <s v="CO"/>
    <n v="5.74"/>
    <n v="1994"/>
    <n v="53172"/>
    <n v="82265"/>
    <n v="0.6463502096882028"/>
    <n v="1097308"/>
    <n v="20.63695177913187"/>
    <n v="520893"/>
    <n v="6.331890840576187"/>
    <m/>
    <m/>
    <m/>
    <s v=" "/>
    <s v=" "/>
    <m/>
    <m/>
    <m/>
    <n v="6700000"/>
    <n v="81.44411353552543"/>
    <n v="0.07774522388059701"/>
    <m/>
    <d v="2005-06-10T00:00:00"/>
    <x v="753"/>
    <m/>
    <x v="2"/>
    <s v="VA"/>
    <s v="Private"/>
    <m/>
    <m/>
    <m/>
    <s v=" "/>
    <s v=" "/>
    <m/>
    <s v=" "/>
    <s v=" "/>
    <s v=" "/>
    <m/>
    <s v=" "/>
  </r>
  <r>
    <s v="LVA12219"/>
    <s v="DOD"/>
    <s v="Federal"/>
    <s v="Fee Simple"/>
    <s v="116 Lakeview Pkwy"/>
    <s v="Suffolk"/>
    <s v="VA"/>
    <n v="40"/>
    <n v="1993"/>
    <n v="404000"/>
    <n v="404000"/>
    <n v="1"/>
    <n v="8074740"/>
    <n v="19.9869801980198"/>
    <m/>
    <s v=" "/>
    <d v="2018-06-10T00:00:00"/>
    <d v="2028-06-09T00:00:00"/>
    <d v="2028-06-09T00:00:00"/>
    <n v="23.01643835616438"/>
    <n v="23.01643835616438"/>
    <s v="Modified Gross"/>
    <s v="None"/>
    <s v="None"/>
    <n v="68500000"/>
    <n v="169.5544554455446"/>
    <s v=" "/>
    <m/>
    <d v="2005-06-09T00:00:00"/>
    <x v="753"/>
    <m/>
    <x v="2"/>
    <s v="VA"/>
    <s v="Private"/>
    <m/>
    <m/>
    <m/>
    <s v=" "/>
    <s v=" "/>
    <m/>
    <s v=" "/>
    <s v=" "/>
    <s v=" "/>
    <m/>
    <s v=" "/>
  </r>
  <r>
    <m/>
    <s v="FEC"/>
    <s v="Municipal"/>
    <s v="Fee Simple"/>
    <s v="999 E St NW"/>
    <s v="Washington"/>
    <s v="DC"/>
    <n v="0.5"/>
    <n v="1931"/>
    <n v="136957"/>
    <n v="174072"/>
    <n v="0.7867836297623971"/>
    <m/>
    <s v=" "/>
    <m/>
    <s v=" "/>
    <m/>
    <m/>
    <m/>
    <s v=" "/>
    <s v=" "/>
    <m/>
    <m/>
    <m/>
    <n v="58800000"/>
    <n v="337.7912587894664"/>
    <s v=" "/>
    <m/>
    <d v="2005-06-09T00:00:00"/>
    <x v="753"/>
    <m/>
    <x v="2"/>
    <s v="VA"/>
    <s v="Private"/>
    <m/>
    <m/>
    <m/>
    <s v=" "/>
    <s v=" "/>
    <m/>
    <s v=" "/>
    <s v=" "/>
    <s v=" "/>
    <m/>
    <s v=" "/>
  </r>
  <r>
    <m/>
    <m/>
    <s v="Federal"/>
    <s v="Fee Simple"/>
    <s v="1900 River Rd"/>
    <s v="Burlington"/>
    <s v="NJ"/>
    <n v="116.8"/>
    <n v="1992"/>
    <n v="1050266"/>
    <n v="1050266"/>
    <n v="1"/>
    <n v="11327795"/>
    <n v="10.78564382737326"/>
    <n v="8450028"/>
    <n v="8.045607493720638"/>
    <m/>
    <m/>
    <m/>
    <s v=" "/>
    <s v=" "/>
    <m/>
    <m/>
    <m/>
    <n v="101000000"/>
    <n v="96.16611410823543"/>
    <n v="0.08366364356435643"/>
    <m/>
    <d v="2005-06-06T00:00:00"/>
    <x v="1983"/>
    <m/>
    <x v="2"/>
    <s v="VA"/>
    <s v="Private"/>
    <m/>
    <m/>
    <m/>
    <s v=" "/>
    <s v=" "/>
    <m/>
    <s v=" "/>
    <s v=" "/>
    <s v=" "/>
    <m/>
    <s v=" "/>
  </r>
  <r>
    <s v="LMA04014"/>
    <s v="ACOE"/>
    <s v="Federal"/>
    <s v="Fee Simple"/>
    <s v="696 Virginia Rd"/>
    <s v="Concord"/>
    <s v="MA"/>
    <n v="28.22"/>
    <n v="1970"/>
    <n v="104527"/>
    <n v="104527"/>
    <n v="1"/>
    <n v="3048378.56"/>
    <n v="29.16355161824218"/>
    <n v="2250000"/>
    <n v="21.52553885598936"/>
    <d v="1998-03-16T00:00:00"/>
    <d v="2018-03-11T00:00:00"/>
    <d v="2003-03-16T00:00:00"/>
    <n v="12.76986301369863"/>
    <n v="-2.227397260273972"/>
    <s v="Modified Gross"/>
    <s v="None"/>
    <s v="None"/>
    <n v="30000000"/>
    <n v="287.0071847465248"/>
    <n v="0.075"/>
    <m/>
    <d v="2005-06-06T00:00:00"/>
    <x v="753"/>
    <s v="CBRE; Ingrum"/>
    <x v="2"/>
    <s v="VA"/>
    <s v="Private"/>
    <m/>
    <m/>
    <m/>
    <s v=" "/>
    <s v=" "/>
    <m/>
    <s v=" "/>
    <s v=" "/>
    <s v=" "/>
    <m/>
    <s v=" "/>
  </r>
  <r>
    <m/>
    <m/>
    <s v="Federal"/>
    <s v="Fee Simple"/>
    <s v="1600-1620 Callowhill St"/>
    <s v="Philadelphia"/>
    <s v="PA"/>
    <n v="0.41"/>
    <m/>
    <n v="95000"/>
    <n v="95000"/>
    <n v="1"/>
    <n v="2123518"/>
    <n v="22.35282105263158"/>
    <n v="1291223"/>
    <n v="13.59182105263158"/>
    <m/>
    <m/>
    <m/>
    <s v=" "/>
    <s v=" "/>
    <m/>
    <m/>
    <m/>
    <n v="16900000"/>
    <n v="177.8947368421053"/>
    <n v="0.07640372781065088"/>
    <m/>
    <d v="2005-06-03T00:00:00"/>
    <x v="753"/>
    <s v="CBRE; Weiner"/>
    <x v="2"/>
    <s v="VA"/>
    <s v="Private"/>
    <m/>
    <m/>
    <m/>
    <s v=" "/>
    <s v=" "/>
    <m/>
    <s v=" "/>
    <s v=" "/>
    <s v=" "/>
    <m/>
    <s v=" "/>
  </r>
  <r>
    <s v="LAL44051"/>
    <s v="ACOE"/>
    <s v="Federal"/>
    <s v="Fee Simple"/>
    <s v="4820 University Sq"/>
    <s v="Huntsville"/>
    <s v="AL"/>
    <n v="5.95"/>
    <n v="2005"/>
    <n v="135746"/>
    <n v="135746"/>
    <n v="1"/>
    <n v="2033875.41"/>
    <n v="14.98294911083936"/>
    <n v="1307200"/>
    <n v="9.629749679548569"/>
    <d v="2004-10-07T00:00:00"/>
    <d v="2014-10-06T00:00:00"/>
    <d v="2014-10-06T00:00:00"/>
    <n v="9.353424657534246"/>
    <n v="9.353424657534246"/>
    <s v="Modified Gross"/>
    <s v="None"/>
    <s v="None"/>
    <n v="17200000"/>
    <n v="126.7072326256391"/>
    <n v="0.076"/>
    <m/>
    <d v="2005-06-01T00:00:00"/>
    <x v="8"/>
    <m/>
    <x v="2"/>
    <s v="VA"/>
    <s v="Private"/>
    <m/>
    <m/>
    <m/>
    <s v=" "/>
    <s v=" "/>
    <m/>
    <s v=" "/>
    <s v=" "/>
    <s v=" "/>
    <m/>
    <s v=" "/>
  </r>
  <r>
    <s v="LTX13912"/>
    <s v="AOC"/>
    <s v="Federal"/>
    <s v="Fee Simple"/>
    <s v="601 NW Loop 410"/>
    <s v="San Antonio"/>
    <s v="TX"/>
    <n v="6.16"/>
    <n v="1980"/>
    <n v="98596"/>
    <n v="219376"/>
    <n v="0.4494384071183721"/>
    <n v="1787749.7"/>
    <n v="18.13207128078218"/>
    <m/>
    <s v=" "/>
    <d v="1993-05-15T00:00:00"/>
    <d v="2013-05-14T00:00:00"/>
    <d v="2003-05-14T00:00:00"/>
    <n v="7.958904109589041"/>
    <n v="-2.049315068493151"/>
    <s v="Modified Gross"/>
    <s v="None"/>
    <s v="None"/>
    <n v="46350500"/>
    <n v="211.2833673692656"/>
    <s v=" "/>
    <m/>
    <d v="2005-05-31T00:00:00"/>
    <x v="1984"/>
    <m/>
    <x v="1529"/>
    <s v="NC"/>
    <s v="Private"/>
    <m/>
    <m/>
    <m/>
    <s v=" "/>
    <s v=" "/>
    <m/>
    <s v=" "/>
    <s v=" "/>
    <s v=" "/>
    <m/>
    <s v=" "/>
  </r>
  <r>
    <s v="LVA00176"/>
    <s v="NSF"/>
    <s v="Federal"/>
    <s v="Fee Simple"/>
    <s v="4121 Wilson Blvd"/>
    <s v="Arlington"/>
    <s v="VA"/>
    <n v="0.91"/>
    <n v="1999"/>
    <n v="95079"/>
    <n v="184548"/>
    <n v="0.5151992977436765"/>
    <n v="3802320.21"/>
    <n v="39.9911674502256"/>
    <n v="4777500"/>
    <n v="25.88757396449704"/>
    <d v="2000-11-01T00:00:00"/>
    <d v="2017-12-31T00:00:00"/>
    <d v="2017-12-31T00:00:00"/>
    <n v="12.61369863013699"/>
    <n v="12.61369863013699"/>
    <s v="FS"/>
    <m/>
    <s v="None"/>
    <n v="73500000"/>
    <n v="398.2703686845699"/>
    <n v="0.065"/>
    <m/>
    <d v="2005-05-24T00:00:00"/>
    <x v="1985"/>
    <s v="C&amp;W; James Luck"/>
    <x v="1471"/>
    <s v="DC"/>
    <s v="Private"/>
    <m/>
    <m/>
    <m/>
    <s v=" "/>
    <s v=" "/>
    <m/>
    <s v=" "/>
    <s v=" "/>
    <s v=" "/>
    <m/>
    <s v=" "/>
  </r>
  <r>
    <m/>
    <s v="DOJ"/>
    <s v="State &amp; Federal"/>
    <s v="Fee Simple"/>
    <s v="106 S Saint Marys St"/>
    <s v="San Antonio"/>
    <s v="TX"/>
    <n v="0.62"/>
    <n v="1981"/>
    <n v="104229"/>
    <n v="165500"/>
    <n v="0.6297824773413897"/>
    <m/>
    <s v=" "/>
    <m/>
    <s v=" "/>
    <m/>
    <m/>
    <m/>
    <s v=" "/>
    <s v=" "/>
    <s v="Full Service"/>
    <s v="2% annually"/>
    <s v="None"/>
    <n v="14896000"/>
    <n v="90.00604229607251"/>
    <s v=" "/>
    <m/>
    <d v="2005-05-24T00:00:00"/>
    <x v="1986"/>
    <m/>
    <x v="1530"/>
    <s v="TX"/>
    <s v="Private"/>
    <m/>
    <m/>
    <m/>
    <s v=" "/>
    <s v=" "/>
    <m/>
    <s v=" "/>
    <s v=" "/>
    <s v=" "/>
    <m/>
    <s v=" "/>
  </r>
  <r>
    <m/>
    <s v="Multi"/>
    <s v="State &amp; Federal"/>
    <s v="Fee Simple"/>
    <s v="123 William St"/>
    <s v="New York"/>
    <s v="NY"/>
    <n v="0.51"/>
    <n v="1957"/>
    <n v="172041"/>
    <n v="530500"/>
    <n v="0.3242997172478794"/>
    <m/>
    <s v=" "/>
    <m/>
    <s v=" "/>
    <m/>
    <m/>
    <m/>
    <s v=" "/>
    <s v=" "/>
    <m/>
    <m/>
    <m/>
    <n v="120000000"/>
    <n v="226.2016965127239"/>
    <s v=" "/>
    <m/>
    <d v="2005-05-19T00:00:00"/>
    <x v="1987"/>
    <s v="CBRE; Shanahan"/>
    <x v="1531"/>
    <s v="NY"/>
    <s v="Private"/>
    <m/>
    <m/>
    <m/>
    <s v=" "/>
    <s v=" "/>
    <m/>
    <s v=" "/>
    <s v=" "/>
    <s v=" "/>
    <m/>
    <s v=" "/>
  </r>
  <r>
    <m/>
    <s v="DHS"/>
    <s v="State"/>
    <s v="Fee Simple"/>
    <s v="4600 25th Ave NE"/>
    <s v="Salem"/>
    <s v="OR"/>
    <n v="24.45"/>
    <m/>
    <n v="146112"/>
    <n v="233358"/>
    <n v="0.6261280950299539"/>
    <m/>
    <s v=" "/>
    <m/>
    <s v=" "/>
    <m/>
    <m/>
    <m/>
    <s v=" "/>
    <s v=" "/>
    <m/>
    <m/>
    <m/>
    <n v="16000000"/>
    <n v="68.56418035807643"/>
    <s v=" "/>
    <m/>
    <d v="2005-05-18T00:00:00"/>
    <x v="1988"/>
    <m/>
    <x v="1532"/>
    <s v="CA"/>
    <s v="Institutional"/>
    <m/>
    <m/>
    <m/>
    <s v=" "/>
    <s v=" "/>
    <m/>
    <s v=" "/>
    <s v=" "/>
    <s v=" "/>
    <m/>
    <s v=" "/>
  </r>
  <r>
    <m/>
    <s v="BOCES"/>
    <s v="State"/>
    <s v="Fee Simple"/>
    <s v="900 Watervliet Shaker Rd"/>
    <s v="Albany"/>
    <s v="NY"/>
    <n v="19.7"/>
    <n v="2001"/>
    <n v="115200"/>
    <n v="144000"/>
    <n v="0.8"/>
    <m/>
    <s v=" "/>
    <m/>
    <s v=" "/>
    <m/>
    <m/>
    <m/>
    <s v=" "/>
    <s v=" "/>
    <m/>
    <m/>
    <m/>
    <n v="19825000"/>
    <n v="137.6736111111111"/>
    <s v=" "/>
    <m/>
    <d v="2005-05-10T00:00:00"/>
    <x v="1989"/>
    <m/>
    <x v="1533"/>
    <s v="CA"/>
    <s v="Private"/>
    <m/>
    <m/>
    <m/>
    <s v=" "/>
    <s v=" "/>
    <m/>
    <s v=" "/>
    <s v=" "/>
    <s v=" "/>
    <m/>
    <s v=" "/>
  </r>
  <r>
    <m/>
    <s v="VA"/>
    <s v="Federal"/>
    <s v="Fee Simple"/>
    <s v="3110 Hamilton Bvld"/>
    <s v="Allentown"/>
    <s v="PA"/>
    <n v="4.64"/>
    <n v="2000"/>
    <n v="38758"/>
    <n v="38758"/>
    <n v="1"/>
    <m/>
    <s v=" "/>
    <m/>
    <s v=" "/>
    <d v="2000-03-25T00:00:00"/>
    <d v="2020-03-24T00:00:00"/>
    <d v="2020-03-24T00:00:00"/>
    <n v="14.88493150684931"/>
    <n v="14.88493150684931"/>
    <s v="Full Service"/>
    <s v="None"/>
    <s v="1, 5 year"/>
    <n v="5875000"/>
    <n v="151.5816089581506"/>
    <s v=" "/>
    <m/>
    <d v="2005-05-09T00:00:00"/>
    <x v="1990"/>
    <m/>
    <x v="1413"/>
    <s v="MI"/>
    <s v="Private"/>
    <m/>
    <m/>
    <m/>
    <s v=" "/>
    <s v=" "/>
    <m/>
    <s v=" "/>
    <s v=" "/>
    <s v=" "/>
    <m/>
    <s v=" "/>
  </r>
  <r>
    <m/>
    <s v="VA/IRS"/>
    <s v="Federal"/>
    <s v="Fee Simple"/>
    <s v="130 S Elmwood Ave"/>
    <s v="Buffalo"/>
    <s v="NY"/>
    <n v="3.68"/>
    <n v="2004"/>
    <m/>
    <n v="267766"/>
    <s v=" "/>
    <m/>
    <s v=" "/>
    <m/>
    <s v=" "/>
    <m/>
    <m/>
    <m/>
    <s v=" "/>
    <s v=" "/>
    <m/>
    <m/>
    <m/>
    <n v="70600000"/>
    <n v="263.663049080167"/>
    <s v=" "/>
    <m/>
    <d v="2005-05-03T00:00:00"/>
    <x v="1991"/>
    <m/>
    <x v="1512"/>
    <m/>
    <s v="REIT"/>
    <m/>
    <m/>
    <m/>
    <s v=" "/>
    <s v=" "/>
    <m/>
    <s v=" "/>
    <s v=" "/>
    <s v=" "/>
    <m/>
    <s v=" "/>
  </r>
  <r>
    <m/>
    <s v="FS"/>
    <s v="Federal"/>
    <s v="Fee Simple"/>
    <s v="11 Forest Ln"/>
    <s v="Santa Fe"/>
    <s v="NM"/>
    <n v="5"/>
    <n v="2009"/>
    <n v="24150"/>
    <n v="24150"/>
    <n v="1"/>
    <n v="522315"/>
    <n v="21.627950310559"/>
    <n v="341241"/>
    <n v="14.13006211180124"/>
    <d v="2000-02-28T00:00:00"/>
    <d v="2020-02-28T00:00:00"/>
    <d v="2015-02-28T00:00:00"/>
    <n v="14.83835616438356"/>
    <n v="9.835616438356164"/>
    <s v="Modified Gross"/>
    <s v="None"/>
    <s v="None"/>
    <n v="5125000"/>
    <n v="212.2153209109731"/>
    <n v="0.06658360975609756"/>
    <m/>
    <d v="2005-05-01T00:00:00"/>
    <x v="1620"/>
    <m/>
    <x v="1413"/>
    <s v="MI"/>
    <s v="Private"/>
    <s v="BW; Wells"/>
    <m/>
    <m/>
    <s v=" "/>
    <s v=" "/>
    <m/>
    <s v=" "/>
    <s v=" "/>
    <s v=" "/>
    <m/>
    <s v=" "/>
  </r>
  <r>
    <m/>
    <s v="DOD"/>
    <s v="Federal"/>
    <s v="Fee Simple"/>
    <s v="5611 Columbia Pike"/>
    <s v="Falls Church"/>
    <s v="VA"/>
    <n v="6.24"/>
    <n v="1964"/>
    <n v="258248"/>
    <n v="258248"/>
    <n v="1"/>
    <m/>
    <s v=" "/>
    <m/>
    <s v=" "/>
    <m/>
    <m/>
    <m/>
    <s v=" "/>
    <s v=" "/>
    <m/>
    <m/>
    <m/>
    <n v="68000000"/>
    <n v="263.3127846101422"/>
    <s v=" "/>
    <m/>
    <d v="2005-04-27T00:00:00"/>
    <x v="1992"/>
    <s v="JLL; Molloy"/>
    <x v="1534"/>
    <s v="DC"/>
    <s v="Private"/>
    <m/>
    <m/>
    <m/>
    <s v=" "/>
    <s v=" "/>
    <m/>
    <s v=" "/>
    <s v=" "/>
    <s v=" "/>
    <m/>
    <s v=" "/>
  </r>
  <r>
    <m/>
    <s v="CBP"/>
    <s v="Federal &amp; State"/>
    <s v="Leasehold"/>
    <s v="301 E Ocean Blvd"/>
    <s v="Long Beach"/>
    <s v="CA"/>
    <n v="1.11"/>
    <n v="1988"/>
    <n v="155500"/>
    <n v="389492"/>
    <n v="0.3992379817813973"/>
    <m/>
    <s v=" "/>
    <m/>
    <s v=" "/>
    <m/>
    <d v="2021-10-31T00:00:00"/>
    <d v="2016-10-31T00:00:00"/>
    <n v="16.57808219178082"/>
    <n v="11.57534246575342"/>
    <m/>
    <m/>
    <m/>
    <n v="87400000"/>
    <n v="224.3948527825989"/>
    <s v=" "/>
    <m/>
    <d v="2005-04-07T00:00:00"/>
    <x v="1993"/>
    <s v="Eastdil"/>
    <x v="1535"/>
    <s v="NY"/>
    <s v="Private"/>
    <m/>
    <m/>
    <m/>
    <s v=" "/>
    <s v=" "/>
    <m/>
    <s v=" "/>
    <s v=" "/>
    <s v=" "/>
    <m/>
    <s v=" "/>
  </r>
  <r>
    <m/>
    <s v="CBP"/>
    <s v="Federal"/>
    <s v="Fee Simple"/>
    <s v="301 E Ocean Blvd"/>
    <s v="Long Beach"/>
    <s v="CA"/>
    <m/>
    <n v="1988"/>
    <n v="144500"/>
    <n v="396927"/>
    <n v="0.3640467894600267"/>
    <m/>
    <s v=" "/>
    <m/>
    <s v=" "/>
    <d v="2001-10-10T00:00:00"/>
    <d v="2022-08-09T00:00:00"/>
    <d v="2016-10-09T00:00:00"/>
    <n v="17.35068493150685"/>
    <n v="11.51506849315068"/>
    <s v="Modified Gross"/>
    <s v="None"/>
    <s v="None"/>
    <n v="87400000"/>
    <n v="220.191622137068"/>
    <s v=" "/>
    <m/>
    <d v="2005-04-07T00:00:00"/>
    <x v="1993"/>
    <s v="Eastdil"/>
    <x v="1535"/>
    <s v="NY"/>
    <s v="Private"/>
    <m/>
    <m/>
    <m/>
    <s v=" "/>
    <s v=" "/>
    <m/>
    <s v=" "/>
    <s v=" "/>
    <s v=" "/>
    <m/>
    <s v=" "/>
  </r>
  <r>
    <m/>
    <s v="USCIS"/>
    <s v="Federal"/>
    <s v="Fee Simple"/>
    <s v="810 Gears Rd"/>
    <s v="Houston"/>
    <s v="TX"/>
    <n v="7.19"/>
    <n v="2000"/>
    <n v="78895"/>
    <n v="78895"/>
    <n v="1"/>
    <n v="2772878.225"/>
    <n v="35.14643798719817"/>
    <n v="2248260"/>
    <n v="28.49686291906965"/>
    <d v="2001-01-12T00:00:00"/>
    <d v="2016-01-11T00:00:00"/>
    <d v="2011-01-11T00:00:00"/>
    <n v="10.78630136986301"/>
    <n v="5.783561643835617"/>
    <s v="Modified Gross"/>
    <s v="None"/>
    <s v="None"/>
    <n v="26765000"/>
    <n v="339.2483680841625"/>
    <n v="0.08400000000000001"/>
    <m/>
    <d v="2005-04-01T00:00:00"/>
    <x v="1994"/>
    <s v="Eastdil"/>
    <x v="1536"/>
    <s v="NY"/>
    <s v="REIT"/>
    <m/>
    <m/>
    <m/>
    <s v=" "/>
    <s v=" "/>
    <m/>
    <s v=" "/>
    <s v=" "/>
    <s v=" "/>
    <m/>
    <s v=" "/>
  </r>
  <r>
    <m/>
    <s v="MPS"/>
    <s v="State"/>
    <s v="Fee Simple"/>
    <s v="15-45 W Gude Dr"/>
    <s v="Rockville"/>
    <s v="MD"/>
    <n v="24.16"/>
    <n v="1986"/>
    <n v="112474"/>
    <n v="229186"/>
    <n v="0.4907542345518487"/>
    <m/>
    <s v=" "/>
    <n v="2554936"/>
    <n v="11.14787116141475"/>
    <m/>
    <d v="2022-12-31T00:00:00"/>
    <d v="2022-12-31T00:00:00"/>
    <n v="17.76164383561644"/>
    <n v="17.76164383561644"/>
    <s v="Full Service"/>
    <s v="2% annually"/>
    <s v="None"/>
    <n v="43040000"/>
    <n v="187.7950660162488"/>
    <n v="0.05936189591078067"/>
    <m/>
    <d v="2005-04-01T00:00:00"/>
    <x v="1995"/>
    <s v="CBRE"/>
    <x v="790"/>
    <s v="MA"/>
    <s v="REIT"/>
    <m/>
    <m/>
    <m/>
    <s v=" "/>
    <s v=" "/>
    <m/>
    <s v=" "/>
    <s v=" "/>
    <s v=" "/>
    <m/>
    <s v=" "/>
  </r>
  <r>
    <m/>
    <s v="SSA"/>
    <s v="Federal"/>
    <s v="Fee Simple"/>
    <s v="1207 Network Centre Dr"/>
    <s v="Effingham"/>
    <s v="IL"/>
    <n v="3.42"/>
    <n v="1995"/>
    <n v="6560"/>
    <n v="24000"/>
    <n v="0.2733333333333333"/>
    <m/>
    <s v=" "/>
    <m/>
    <s v=" "/>
    <d v="1996-09-01T00:00:00"/>
    <d v="2006-08-31T00:00:00"/>
    <d v="2006-08-31T00:00:00"/>
    <n v="1.419178082191781"/>
    <n v="1.419178082191781"/>
    <s v="Modified Gross"/>
    <s v="None"/>
    <s v="None"/>
    <n v="1800000"/>
    <n v="75"/>
    <s v=" "/>
    <m/>
    <d v="2005-03-31T00:00:00"/>
    <x v="1996"/>
    <m/>
    <x v="1537"/>
    <s v="IL"/>
    <s v="User"/>
    <m/>
    <m/>
    <m/>
    <s v=" "/>
    <s v=" "/>
    <m/>
    <s v=" "/>
    <s v=" "/>
    <s v=" "/>
    <m/>
    <s v=" "/>
  </r>
  <r>
    <m/>
    <s v="Police"/>
    <s v="State"/>
    <s v="Fee Simple"/>
    <s v="4000 Collins Rd"/>
    <s v="Lansing"/>
    <s v="MI"/>
    <n v="9.07"/>
    <n v="1983"/>
    <n v="77674"/>
    <n v="77674"/>
    <n v="1"/>
    <m/>
    <s v=" "/>
    <n v="865575"/>
    <n v="11.14369029533692"/>
    <m/>
    <d v="2016-02-28T00:00:00"/>
    <d v="2016-02-28T00:00:00"/>
    <n v="10.92328767123288"/>
    <n v="10.92328767123288"/>
    <s v="Full Service"/>
    <s v="None"/>
    <s v="None"/>
    <n v="9200000"/>
    <n v="118.4437520920771"/>
    <n v="0.09408423913043479"/>
    <m/>
    <d v="2005-03-30T00:00:00"/>
    <x v="1997"/>
    <s v="M&amp;M; Godwin"/>
    <x v="1413"/>
    <s v="MI"/>
    <s v="Private"/>
    <m/>
    <m/>
    <n v="9750000"/>
    <n v="0.08877692307692307"/>
    <n v="0.9435897435897436"/>
    <n v="9750000"/>
    <n v="0.08877692307692307"/>
    <n v="0.005307316053511715"/>
    <s v="No"/>
    <m/>
    <s v=" "/>
  </r>
  <r>
    <m/>
    <s v="Multi"/>
    <s v="Federal"/>
    <s v="Fee Simple"/>
    <s v="1201 NE Lloyd Blvd"/>
    <s v="Portland"/>
    <s v="OR"/>
    <n v="1.58"/>
    <n v="2002"/>
    <n v="165974"/>
    <n v="225057"/>
    <n v="0.7374753951221246"/>
    <n v="4670974"/>
    <n v="28.14280549965657"/>
    <n v="3530590"/>
    <n v="15.68753693508756"/>
    <d v="2003-08-18T00:00:00"/>
    <d v="2023-08-17T00:00:00"/>
    <d v="2015-08-17T00:00:00"/>
    <n v="18.4"/>
    <n v="10.39452054794521"/>
    <s v="Multiple"/>
    <s v="None"/>
    <s v="None"/>
    <n v="50437000"/>
    <n v="224.1076705012508"/>
    <n v="0.07000000000000001"/>
    <m/>
    <d v="2005-03-28T00:00:00"/>
    <x v="1998"/>
    <s v="CBRE; Swift"/>
    <x v="2"/>
    <s v="VA"/>
    <s v="Private"/>
    <m/>
    <m/>
    <m/>
    <s v=" "/>
    <s v=" "/>
    <m/>
    <s v=" "/>
    <s v=" "/>
    <s v=" "/>
    <m/>
    <s v=" "/>
  </r>
  <r>
    <m/>
    <s v="HHSC"/>
    <s v="State"/>
    <s v="Fee Simple"/>
    <s v="3000 E Villa Maria"/>
    <s v="Bryan"/>
    <s v="TX"/>
    <n v="2.2"/>
    <n v="1991"/>
    <n v="28749"/>
    <n v="28749"/>
    <n v="1"/>
    <n v="259232"/>
    <n v="9.017078854916694"/>
    <n v="189084"/>
    <n v="6.577063550036523"/>
    <m/>
    <d v="2008-08-31T00:00:00"/>
    <m/>
    <n v="3.438356164383562"/>
    <s v=" "/>
    <s v="Full Service"/>
    <s v="None"/>
    <s v="None"/>
    <m/>
    <s v=" "/>
    <s v=" "/>
    <m/>
    <d v="2005-03-25T00:00:00"/>
    <x v="921"/>
    <m/>
    <x v="1538"/>
    <s v="MI "/>
    <s v="Private"/>
    <m/>
    <m/>
    <m/>
    <s v=" "/>
    <s v=" "/>
    <m/>
    <s v=" "/>
    <s v=" "/>
    <s v=" "/>
    <m/>
    <s v=" "/>
  </r>
  <r>
    <m/>
    <s v="SSA"/>
    <s v="Federal"/>
    <s v="Fee Simple"/>
    <s v="7200-7202 Greenleaf Ave"/>
    <s v="Whittier"/>
    <s v="CA"/>
    <n v="0.96"/>
    <n v="1981"/>
    <n v="10097"/>
    <n v="38919"/>
    <n v="0.2594362650633367"/>
    <m/>
    <s v=" "/>
    <n v="425717"/>
    <n v="10.9385390169326"/>
    <m/>
    <m/>
    <m/>
    <s v=" "/>
    <s v=" "/>
    <m/>
    <m/>
    <m/>
    <n v="5200000"/>
    <n v="133.6108327552095"/>
    <n v="0.08186865384615384"/>
    <m/>
    <d v="2005-03-24T00:00:00"/>
    <x v="1999"/>
    <s v="M&amp;M; Lawrence"/>
    <x v="1539"/>
    <s v="CA"/>
    <s v="Private"/>
    <s v="M&amp;M; Walsh"/>
    <m/>
    <m/>
    <s v=" "/>
    <s v=" "/>
    <m/>
    <s v=" "/>
    <s v=" "/>
    <s v=" "/>
    <m/>
    <s v=" "/>
  </r>
  <r>
    <s v="LNC43200"/>
    <s v="SSA"/>
    <s v="Federal"/>
    <s v="Fee Simple"/>
    <s v="1517 River St"/>
    <s v="Wilkesboro"/>
    <s v="NC"/>
    <n v="2.3"/>
    <n v="2005"/>
    <n v="7857"/>
    <n v="7857"/>
    <n v="1"/>
    <n v="148361"/>
    <n v="18.88265241186203"/>
    <m/>
    <s v=" "/>
    <d v="2005-02-01T00:00:00"/>
    <d v="2015-02-01T00:00:00"/>
    <d v="2010-02-01T00:00:00"/>
    <n v="9.868493150684932"/>
    <n v="4.865753424657535"/>
    <s v="Modified Gross"/>
    <s v="None"/>
    <s v="None"/>
    <n v="1378000"/>
    <n v="175.3850070001273"/>
    <s v=" "/>
    <m/>
    <d v="2005-03-23T00:00:00"/>
    <x v="842"/>
    <m/>
    <x v="1540"/>
    <s v="NC"/>
    <s v="Private"/>
    <m/>
    <m/>
    <m/>
    <s v=" "/>
    <s v=" "/>
    <m/>
    <s v=" "/>
    <s v=" "/>
    <s v=" "/>
    <m/>
    <s v=" "/>
  </r>
  <r>
    <s v="LNV01515"/>
    <s v="USDA"/>
    <s v="Federal"/>
    <s v="Fee Simple"/>
    <s v="8775 Technology Way"/>
    <s v="Reno"/>
    <s v="NV"/>
    <n v="1.86"/>
    <n v="2004"/>
    <n v="13607"/>
    <n v="13607"/>
    <n v="1"/>
    <n v="325108.07"/>
    <n v="23.89270742999927"/>
    <m/>
    <s v=" "/>
    <d v="2005-02-15T00:00:00"/>
    <d v="2022-02-14T00:00:00"/>
    <d v="2021-02-15T00:00:00"/>
    <n v="17.0027397260274"/>
    <n v="16.00547945205479"/>
    <s v="Modified Gross"/>
    <s v="None"/>
    <s v="None"/>
    <n v="3177893"/>
    <n v="233.5483942088631"/>
    <s v=" "/>
    <m/>
    <d v="2005-02-17T00:00:00"/>
    <x v="1085"/>
    <s v="Direct"/>
    <x v="1541"/>
    <s v="CA"/>
    <s v="Private"/>
    <m/>
    <m/>
    <m/>
    <s v=" "/>
    <s v=" "/>
    <m/>
    <s v=" "/>
    <s v=" "/>
    <s v=" "/>
    <m/>
    <s v=" "/>
  </r>
  <r>
    <s v="LWV05335"/>
    <s v="CG"/>
    <s v="Federal"/>
    <s v="Fee Simple"/>
    <s v="95 Peyton Street"/>
    <s v="Barboursville"/>
    <s v="WV"/>
    <n v="2.75"/>
    <n v="2006"/>
    <n v="12119"/>
    <n v="12119"/>
    <n v="1"/>
    <n v="368107"/>
    <n v="30.37437082267514"/>
    <m/>
    <s v=" "/>
    <d v="2006-01-19T00:00:00"/>
    <d v="2016-01-18T00:00:00"/>
    <d v="2016-01-18T00:00:00"/>
    <n v="10.94520547945205"/>
    <n v="10.94520547945205"/>
    <s v="Modified Gross"/>
    <s v="None"/>
    <s v="None"/>
    <n v="3906813"/>
    <n v="322.3709051901972"/>
    <s v=" "/>
    <m/>
    <d v="2005-02-09T00:00:00"/>
    <x v="842"/>
    <m/>
    <x v="1410"/>
    <s v="NC"/>
    <s v="Private"/>
    <m/>
    <m/>
    <m/>
    <s v=" "/>
    <s v=" "/>
    <m/>
    <s v=" "/>
    <s v=" "/>
    <s v=" "/>
    <m/>
    <s v=" "/>
  </r>
  <r>
    <s v="LNV01295"/>
    <s v="SSA"/>
    <s v="Federal"/>
    <s v="Fee Simple"/>
    <s v="1170 Harvard Way"/>
    <s v="Reno"/>
    <s v="NV"/>
    <n v="2.01"/>
    <n v="2004"/>
    <n v="21759"/>
    <n v="21759"/>
    <n v="1"/>
    <n v="451237.46"/>
    <n v="20.73796865664783"/>
    <m/>
    <s v=" "/>
    <d v="2005-03-01T00:00:00"/>
    <d v="2017-02-28T00:00:00"/>
    <d v="2015-02-28T00:00:00"/>
    <n v="12.06575342465753"/>
    <n v="10.06301369863014"/>
    <s v="Modified Gross"/>
    <s v="None"/>
    <s v="None"/>
    <n v="4678500"/>
    <n v="215.0144767682338"/>
    <s v=" "/>
    <m/>
    <d v="2005-02-07T00:00:00"/>
    <x v="1085"/>
    <s v="Direct"/>
    <x v="1542"/>
    <s v="NV"/>
    <s v="Private"/>
    <m/>
    <m/>
    <m/>
    <s v=" "/>
    <s v=" "/>
    <m/>
    <s v=" "/>
    <s v=" "/>
    <s v=" "/>
    <m/>
    <s v=" "/>
  </r>
  <r>
    <m/>
    <s v="Technical College System of Georgia"/>
    <s v="State"/>
    <s v="Fee Simple"/>
    <s v="1800 Century Pl NE"/>
    <s v="Atlanta"/>
    <s v="GA"/>
    <n v="4"/>
    <n v="1984"/>
    <n v="69083"/>
    <n v="93754"/>
    <n v="0.7368538942338461"/>
    <m/>
    <s v=" "/>
    <n v="947856"/>
    <n v="10.11003263860742"/>
    <m/>
    <d v="2010-06-30T00:00:00"/>
    <m/>
    <n v="5.410958904109589"/>
    <s v=" "/>
    <s v="Full Service"/>
    <m/>
    <m/>
    <n v="12200000"/>
    <n v="130.1277812146682"/>
    <n v="0.07769311475409836"/>
    <m/>
    <d v="2005-02-01T00:00:00"/>
    <x v="2000"/>
    <s v="GVA; Tritschler"/>
    <x v="1543"/>
    <s v="GA"/>
    <s v="Private"/>
    <m/>
    <m/>
    <m/>
    <s v=" "/>
    <s v=" "/>
    <m/>
    <s v=" "/>
    <s v=" "/>
    <s v=" "/>
    <m/>
    <s v=" "/>
  </r>
  <r>
    <s v="LTX15584"/>
    <s v="SSA"/>
    <s v="Federal"/>
    <s v="Fee Simple"/>
    <s v="600 E Peyton St"/>
    <s v="Sherman"/>
    <s v="TX"/>
    <n v="1.88"/>
    <n v="2006"/>
    <n v="10117"/>
    <n v="10117"/>
    <n v="1"/>
    <n v="208882.07"/>
    <n v="20.64664129682712"/>
    <m/>
    <s v=" "/>
    <d v="2006-06-23T00:00:00"/>
    <d v="2021-06-22T00:00:00"/>
    <d v="2016-06-23T00:00:00"/>
    <n v="16.40821917808219"/>
    <n v="11.40821917808219"/>
    <s v="Modified Gross"/>
    <s v="None"/>
    <s v="None"/>
    <n v="2031000"/>
    <n v="200.751210833251"/>
    <s v=" "/>
    <m/>
    <d v="2005-01-28T00:00:00"/>
    <x v="2001"/>
    <m/>
    <x v="1544"/>
    <s v="TX"/>
    <s v="Private"/>
    <m/>
    <m/>
    <m/>
    <s v=" "/>
    <s v=" "/>
    <m/>
    <s v=" "/>
    <s v=" "/>
    <s v=" "/>
    <m/>
    <s v=" "/>
  </r>
  <r>
    <m/>
    <s v="AOC"/>
    <s v="Federal"/>
    <s v="Fee Simple"/>
    <s v="110 W A St"/>
    <s v="San Diego"/>
    <s v="CA"/>
    <n v="1.38"/>
    <n v="1971"/>
    <n v="121000"/>
    <n v="307374"/>
    <n v="0.3936572384131384"/>
    <m/>
    <s v=" "/>
    <n v="5776000"/>
    <n v="18.7914397444156"/>
    <m/>
    <m/>
    <m/>
    <s v=" "/>
    <s v=" "/>
    <m/>
    <m/>
    <m/>
    <n v="90250000"/>
    <n v="293.6162460064937"/>
    <n v="0.064"/>
    <m/>
    <d v="2005-01-27T00:00:00"/>
    <x v="643"/>
    <s v="Eastdil"/>
    <x v="1545"/>
    <s v="CA"/>
    <s v="Private"/>
    <m/>
    <m/>
    <m/>
    <s v=" "/>
    <s v=" "/>
    <m/>
    <s v=" "/>
    <s v=" "/>
    <s v=" "/>
    <m/>
    <s v=" "/>
  </r>
  <r>
    <m/>
    <s v="USDA"/>
    <s v="Federal"/>
    <s v="Fee Simple"/>
    <s v="1310-1340 Braddock Pl"/>
    <s v="Alexandria"/>
    <s v="VA"/>
    <n v="3.56"/>
    <m/>
    <n v="131000"/>
    <n v="372287"/>
    <n v="0.351879061046988"/>
    <m/>
    <s v=" "/>
    <m/>
    <s v=" "/>
    <m/>
    <m/>
    <m/>
    <s v=" "/>
    <s v=" "/>
    <m/>
    <m/>
    <m/>
    <n v="79982500"/>
    <n v="214.8409694671047"/>
    <s v=" "/>
    <m/>
    <d v="2005-01-24T00:00:00"/>
    <x v="2002"/>
    <s v="TC; Kaye"/>
    <x v="968"/>
    <s v="MA"/>
    <s v="Institutional"/>
    <m/>
    <m/>
    <m/>
    <s v=" "/>
    <s v=" "/>
    <m/>
    <s v=" "/>
    <s v=" "/>
    <s v=" "/>
    <m/>
    <s v=" "/>
  </r>
  <r>
    <s v="LTX15507"/>
    <s v="SSA"/>
    <s v="Federal"/>
    <s v="Fee Simple"/>
    <s v="4314 Wendover St"/>
    <s v="Wichita Falls"/>
    <s v="TX"/>
    <n v="1.88"/>
    <n v="2006"/>
    <n v="11854"/>
    <n v="11854"/>
    <n v="1"/>
    <n v="260049.52"/>
    <n v="21.93770204150498"/>
    <m/>
    <s v=" "/>
    <d v="2006-06-08T00:00:00"/>
    <d v="2021-06-07T00:00:00"/>
    <d v="2016-06-08T00:00:00"/>
    <n v="16.39452054794521"/>
    <n v="11.39452054794521"/>
    <s v="Modified Gross"/>
    <s v="None"/>
    <s v="None"/>
    <n v="2151600"/>
    <n v="181.5083516112705"/>
    <s v=" "/>
    <m/>
    <d v="2005-01-18T00:00:00"/>
    <x v="2003"/>
    <m/>
    <x v="1544"/>
    <s v="TX"/>
    <s v="Private"/>
    <m/>
    <m/>
    <m/>
    <s v=" "/>
    <s v=" "/>
    <m/>
    <s v=" "/>
    <s v=" "/>
    <s v=" "/>
    <m/>
    <s v=" "/>
  </r>
  <r>
    <s v="LMD01425"/>
    <s v="HRQ"/>
    <s v="Federal"/>
    <s v="Fee Simple"/>
    <s v="540 Gaither Rd"/>
    <s v="Rockville"/>
    <s v="MD"/>
    <n v="12.61"/>
    <n v="2003"/>
    <n v="133895"/>
    <n v="133895"/>
    <n v="1"/>
    <n v="4145695"/>
    <n v="30.96228387915904"/>
    <n v="2730325"/>
    <n v="20.39153814556182"/>
    <d v="2003-03-23T00:00:00"/>
    <d v="2018-03-22T00:00:00"/>
    <d v="2018-03-22T00:00:00"/>
    <n v="13.18904109589041"/>
    <n v="13.18904109589041"/>
    <s v="Modified Gross"/>
    <s v="None"/>
    <s v="None"/>
    <n v="38662000"/>
    <n v="288.7486463273461"/>
    <n v="0.07062037659717552"/>
    <m/>
    <d v="2005-01-15T00:00:00"/>
    <x v="1523"/>
    <s v="Advantis; Dek Potts"/>
    <x v="1546"/>
    <s v="MD"/>
    <s v="Private"/>
    <m/>
    <m/>
    <m/>
    <s v=" "/>
    <s v=" "/>
    <m/>
    <s v=" "/>
    <s v=" "/>
    <s v=" "/>
    <m/>
    <s v=" "/>
  </r>
  <r>
    <s v="LCA01266"/>
    <s v="SSA"/>
    <s v="Federal"/>
    <s v="Fee Simple"/>
    <s v="1521 N Carpenter Rd"/>
    <s v="Modesto"/>
    <s v="CA"/>
    <n v="2.29"/>
    <n v="2003"/>
    <n v="22352"/>
    <n v="24587"/>
    <n v="0.909098303981779"/>
    <n v="842226.9399999999"/>
    <n v="37.68016016463851"/>
    <n v="567948.4399999999"/>
    <n v="23.09954203440843"/>
    <d v="2003-11-06T00:00:00"/>
    <d v="2013-11-05T00:00:00"/>
    <d v="2011-11-06T00:00:00"/>
    <n v="8.821917808219178"/>
    <n v="6.821917808219178"/>
    <s v="Modified Gross"/>
    <s v="None"/>
    <s v="None"/>
    <n v="6750000"/>
    <n v="274.5353235449628"/>
    <n v="0.08414050962962961"/>
    <m/>
    <d v="2005-01-11T00:00:00"/>
    <x v="681"/>
    <s v="M&amp;M; Trautvetter"/>
    <x v="1413"/>
    <s v="MI"/>
    <s v="Private"/>
    <s v="BW; Wells"/>
    <s v="Imperial"/>
    <m/>
    <s v=" "/>
    <s v=" "/>
    <m/>
    <s v=" "/>
    <s v=" "/>
    <s v=" "/>
    <m/>
    <s v=" "/>
  </r>
  <r>
    <m/>
    <s v="DHS"/>
    <s v="Federal"/>
    <s v="Fee Simple"/>
    <s v="75 Lower Welden St"/>
    <s v="Saint Albans"/>
    <s v="VT"/>
    <n v="4.63"/>
    <n v="1850"/>
    <n v="149105"/>
    <n v="149105"/>
    <n v="1"/>
    <m/>
    <s v=" "/>
    <m/>
    <s v=" "/>
    <m/>
    <m/>
    <m/>
    <s v=" "/>
    <s v=" "/>
    <m/>
    <m/>
    <m/>
    <n v="25250000"/>
    <n v="169.3437510479193"/>
    <s v=" "/>
    <m/>
    <d v="2005-01-05T00:00:00"/>
    <x v="8"/>
    <m/>
    <x v="429"/>
    <s v="NY"/>
    <s v="Private"/>
    <m/>
    <m/>
    <m/>
    <s v=" "/>
    <s v=" "/>
    <m/>
    <s v=" "/>
    <s v=" "/>
    <s v=" "/>
    <m/>
    <s v=" "/>
  </r>
  <r>
    <m/>
    <s v="Raytheon"/>
    <s v="Contractor"/>
    <s v="Fee Simple"/>
    <s v="8985 Town Center Pky"/>
    <s v="Bradenton"/>
    <s v="FL"/>
    <n v="11.85"/>
    <n v="2004"/>
    <n v="106790"/>
    <n v="106790"/>
    <n v="1"/>
    <m/>
    <s v=" "/>
    <m/>
    <s v=" "/>
    <m/>
    <d v="2021-12-31T00:00:00"/>
    <d v="2021-12-31T00:00:00"/>
    <n v="17.03287671232877"/>
    <n v="17.03287671232877"/>
    <m/>
    <m/>
    <m/>
    <n v="19114700"/>
    <n v="178.9933514374005"/>
    <s v=" "/>
    <m/>
    <d v="2004-12-23T00:00:00"/>
    <x v="776"/>
    <m/>
    <x v="1547"/>
    <s v="TX"/>
    <s v="Private"/>
    <m/>
    <m/>
    <m/>
    <s v=" "/>
    <s v=" "/>
    <m/>
    <s v=" "/>
    <s v=" "/>
    <s v=" "/>
    <m/>
    <s v=" "/>
  </r>
  <r>
    <s v="LAZ98185"/>
    <s v="SSA"/>
    <s v="Federal"/>
    <s v="Fee Simple"/>
    <s v="205 N Marina"/>
    <s v="Prescott"/>
    <s v="AZ"/>
    <n v="0.52"/>
    <n v="1985"/>
    <n v="10995"/>
    <n v="10995"/>
    <n v="1"/>
    <n v="291269"/>
    <n v="26.49104138244657"/>
    <n v="254905.09"/>
    <n v="23.18372805820828"/>
    <d v="1999-11-02T00:00:00"/>
    <d v="2014-11-01T00:00:00"/>
    <d v="2009-11-02T00:00:00"/>
    <n v="9.865753424657534"/>
    <n v="4.865753424657535"/>
    <s v="Modified Gross"/>
    <s v="None"/>
    <s v="None"/>
    <n v="2550000"/>
    <n v="231.9236016371078"/>
    <n v="0.09996278039215686"/>
    <m/>
    <d v="2004-12-22T00:00:00"/>
    <x v="2004"/>
    <m/>
    <x v="1548"/>
    <s v="CA"/>
    <s v="Private"/>
    <m/>
    <m/>
    <m/>
    <s v=" "/>
    <s v=" "/>
    <m/>
    <s v=" "/>
    <s v=" "/>
    <s v=" "/>
    <m/>
    <s v=" "/>
  </r>
  <r>
    <m/>
    <s v="RS"/>
    <s v="State"/>
    <s v="Fee Simple"/>
    <s v="400 E Campus View Blvd"/>
    <s v="Columbus"/>
    <s v="OH"/>
    <n v="12.17"/>
    <s v="1987 | 2006"/>
    <n v="142246"/>
    <n v="142246"/>
    <n v="1"/>
    <m/>
    <s v=" "/>
    <n v="1353305"/>
    <n v="9.513835186929684"/>
    <d v="2002-07-01T00:00:00"/>
    <d v="2007-06-30T00:00:00"/>
    <d v="2004-06-30T00:00:00"/>
    <n v="2.536986301369863"/>
    <n v="-0.463013698630137"/>
    <s v="Full Service"/>
    <s v="2% every 2 years"/>
    <s v="None"/>
    <n v="11035000"/>
    <n v="77.57687386640046"/>
    <n v="0.122637516991391"/>
    <m/>
    <d v="2004-12-16T00:00:00"/>
    <x v="2005"/>
    <m/>
    <x v="1549"/>
    <s v="OH"/>
    <s v="Private"/>
    <m/>
    <m/>
    <m/>
    <s v=" "/>
    <s v=" "/>
    <m/>
    <s v=" "/>
    <s v=" "/>
    <s v=" "/>
    <m/>
    <s v=" "/>
  </r>
  <r>
    <m/>
    <s v="SSA"/>
    <s v="Federal"/>
    <s v="Fee Simple"/>
    <s v="800 Centre Park Dr"/>
    <s v="Asheville"/>
    <s v="NC"/>
    <n v="1.34"/>
    <n v="2002"/>
    <n v="14400"/>
    <n v="14400"/>
    <n v="1"/>
    <m/>
    <s v=" "/>
    <m/>
    <s v=" "/>
    <d v="2002-06-01T00:00:00"/>
    <d v="2012-05-31T00:00:00"/>
    <d v="2012-05-31T00:00:00"/>
    <n v="7.476712328767123"/>
    <n v="7.476712328767123"/>
    <s v="Modified Gross"/>
    <s v="None"/>
    <s v="None"/>
    <m/>
    <s v=" "/>
    <s v=" "/>
    <m/>
    <d v="2004-12-10T00:00:00"/>
    <x v="2006"/>
    <m/>
    <x v="1374"/>
    <s v="CA"/>
    <s v="Private"/>
    <m/>
    <m/>
    <m/>
    <s v=" "/>
    <s v=" "/>
    <m/>
    <s v=" "/>
    <s v=" "/>
    <s v=" "/>
    <m/>
    <s v=" "/>
  </r>
  <r>
    <s v="LTN00976"/>
    <s v="SSA"/>
    <s v="Federal"/>
    <s v="Fee Simple"/>
    <s v="3461 S 3rd St"/>
    <s v="Memphis"/>
    <s v="TN"/>
    <n v="3.64"/>
    <n v="2005"/>
    <n v="11232"/>
    <n v="11232"/>
    <n v="1"/>
    <n v="276525.78"/>
    <n v="24.61946047008547"/>
    <n v="173194"/>
    <n v="15.41969373219373"/>
    <d v="2004-04-13T00:00:00"/>
    <d v="2019-04-12T00:00:00"/>
    <d v="2014-04-13T00:00:00"/>
    <n v="14.34520547945205"/>
    <n v="9.345205479452055"/>
    <s v="Modified Gross"/>
    <s v="None"/>
    <s v="None"/>
    <n v="1875000"/>
    <n v="166.9337606837607"/>
    <n v="0.09237013333333334"/>
    <m/>
    <d v="2004-12-10T00:00:00"/>
    <x v="842"/>
    <m/>
    <x v="1374"/>
    <s v="CA"/>
    <s v="Private"/>
    <m/>
    <m/>
    <m/>
    <s v=" "/>
    <s v=" "/>
    <m/>
    <s v=" "/>
    <s v=" "/>
    <s v=" "/>
    <m/>
    <s v=" "/>
  </r>
  <r>
    <m/>
    <s v="Multi"/>
    <s v="State"/>
    <s v="Fee Simple"/>
    <s v="1949 &amp; 2121 S State St"/>
    <s v="Tacoma"/>
    <s v="WA"/>
    <n v="12.2"/>
    <n v="1986"/>
    <n v="232350.89"/>
    <n v="239537"/>
    <n v="0.97"/>
    <n v="4254000"/>
    <n v="18.30851605517844"/>
    <n v="3335000"/>
    <n v="13.92269252766796"/>
    <d v="1998-11-01T00:00:00"/>
    <d v="2008-10-31T00:00:00"/>
    <d v="1998-11-01T00:00:00"/>
    <n v="3.893150684931507"/>
    <n v="-6.112328767123287"/>
    <s v="Full Service"/>
    <s v="Yes, annually"/>
    <s v="1, 5 year"/>
    <n v="41250000"/>
    <n v="172.2072164216802"/>
    <n v="0.08084848484848485"/>
    <m/>
    <d v="2004-12-10T00:00:00"/>
    <x v="223"/>
    <s v="CBRE; Morioka"/>
    <x v="2"/>
    <s v="VA"/>
    <s v="Private"/>
    <m/>
    <m/>
    <m/>
    <s v=" "/>
    <s v=" "/>
    <m/>
    <s v=" "/>
    <s v=" "/>
    <s v=" "/>
    <m/>
    <s v=" "/>
  </r>
  <r>
    <m/>
    <s v="AOC"/>
    <s v="Federal"/>
    <s v="Fee Simple"/>
    <s v="2070 Chain Bridge Rd"/>
    <s v="Vienna"/>
    <s v="VA"/>
    <n v="9.19"/>
    <n v="1983"/>
    <n v="230652.29"/>
    <n v="435193"/>
    <n v="0.53"/>
    <m/>
    <s v=" "/>
    <n v="7413200"/>
    <n v="17.03428134184144"/>
    <m/>
    <d v="2021-08-31T00:00:00"/>
    <d v="2016-08-31T00:00:00"/>
    <n v="16.74246575342466"/>
    <n v="11.73972602739726"/>
    <s v="Modified Gross"/>
    <s v="None"/>
    <s v="None"/>
    <n v="92665000"/>
    <n v="212.9285167730179"/>
    <n v="0.08"/>
    <m/>
    <d v="2004-12-07T00:00:00"/>
    <x v="2007"/>
    <m/>
    <x v="1550"/>
    <s v="MA"/>
    <s v="Institutional"/>
    <m/>
    <m/>
    <m/>
    <s v=" "/>
    <s v=" "/>
    <m/>
    <s v=" "/>
    <s v=" "/>
    <s v=" "/>
    <d v="2004-01-12T00:00:00"/>
    <n v="330"/>
  </r>
  <r>
    <m/>
    <s v="BLM"/>
    <s v="Federal"/>
    <s v="Fee Simple"/>
    <s v="1005 Selway Dr"/>
    <s v="Dillon"/>
    <s v="MT"/>
    <n v="5.26"/>
    <n v="1999"/>
    <n v="10825"/>
    <n v="10825"/>
    <n v="1"/>
    <m/>
    <s v=" "/>
    <m/>
    <s v=" "/>
    <m/>
    <m/>
    <m/>
    <s v=" "/>
    <s v=" "/>
    <m/>
    <m/>
    <m/>
    <m/>
    <s v=" "/>
    <s v=" "/>
    <m/>
    <d v="2004-11-30T00:00:00"/>
    <x v="8"/>
    <m/>
    <x v="0"/>
    <m/>
    <m/>
    <m/>
    <m/>
    <m/>
    <s v=" "/>
    <s v=" "/>
    <m/>
    <s v=" "/>
    <s v=" "/>
    <s v=" "/>
    <m/>
    <s v=" "/>
  </r>
  <r>
    <m/>
    <s v="USCIS"/>
    <s v="Federal"/>
    <s v="Fee Simple"/>
    <s v="8101 N Stemmons Fwy"/>
    <s v="Dallas"/>
    <s v="TX"/>
    <n v="3.636"/>
    <n v="1958"/>
    <n v="56813"/>
    <n v="56813"/>
    <n v="1"/>
    <m/>
    <s v=" "/>
    <m/>
    <s v=" "/>
    <d v="2000-06-01T00:00:00"/>
    <d v="2020-06-01T00:00:00"/>
    <d v="2015-06-01T00:00:00"/>
    <n v="15.54520547945205"/>
    <n v="10.53972602739726"/>
    <s v="Modified Gross"/>
    <s v="None"/>
    <s v="None"/>
    <n v="3404800"/>
    <n v="59.92994561103973"/>
    <s v=" "/>
    <m/>
    <d v="2004-11-18T00:00:00"/>
    <x v="734"/>
    <s v="Newmark"/>
    <x v="429"/>
    <s v="NY"/>
    <s v="Private"/>
    <m/>
    <m/>
    <m/>
    <s v=" "/>
    <s v=" "/>
    <m/>
    <s v=" "/>
    <s v=" "/>
    <s v=" "/>
    <m/>
    <s v=" "/>
  </r>
  <r>
    <m/>
    <s v="FS/Rehab Center"/>
    <s v="State &amp; Federal"/>
    <s v="Fee Simple"/>
    <s v="1330 Bayshore Wy"/>
    <s v="Eureka"/>
    <s v="CA"/>
    <n v="2.4"/>
    <n v="1992"/>
    <n v="29554"/>
    <n v="31534"/>
    <n v="0.9372106297964102"/>
    <m/>
    <m/>
    <m/>
    <m/>
    <d v="1992-11-02T00:00:00"/>
    <m/>
    <m/>
    <s v=" "/>
    <s v=" "/>
    <s v="Modified Gross"/>
    <s v="None"/>
    <s v="None"/>
    <m/>
    <s v=" "/>
    <s v=" "/>
    <m/>
    <d v="2004-11-11T00:00:00"/>
    <x v="223"/>
    <m/>
    <x v="1551"/>
    <s v="CA"/>
    <s v="Private"/>
    <m/>
    <m/>
    <m/>
    <s v=" "/>
    <s v=" "/>
    <m/>
    <s v=" "/>
    <s v=" "/>
    <s v=" "/>
    <m/>
    <s v=" "/>
  </r>
  <r>
    <m/>
    <s v="USDA"/>
    <s v="Federal"/>
    <s v="Fee Simple"/>
    <s v="10383 N Executive Hills Blvd"/>
    <s v="Kansas City"/>
    <s v="MO"/>
    <n v="2.91"/>
    <n v="1986"/>
    <n v="55831"/>
    <n v="55831"/>
    <n v="1"/>
    <m/>
    <s v=" "/>
    <n v="351500"/>
    <n v="6.295785495513245"/>
    <m/>
    <m/>
    <m/>
    <s v=" "/>
    <s v=" "/>
    <m/>
    <m/>
    <m/>
    <n v="3800000"/>
    <n v="68.06254589744049"/>
    <n v="0.0925"/>
    <m/>
    <d v="2004-11-04T00:00:00"/>
    <x v="2008"/>
    <s v="Direct"/>
    <x v="429"/>
    <s v="NY"/>
    <s v="Private"/>
    <m/>
    <m/>
    <m/>
    <s v=" "/>
    <s v=" "/>
    <m/>
    <s v=" "/>
    <s v=" "/>
    <s v=" "/>
    <m/>
    <s v=" "/>
  </r>
  <r>
    <m/>
    <s v="County Veterans"/>
    <s v="County"/>
    <s v="Fee Simple"/>
    <s v="935 buckeye Ave"/>
    <s v="Newark"/>
    <s v="OH"/>
    <n v="3.42"/>
    <n v="1962"/>
    <n v="12655"/>
    <n v="12655"/>
    <n v="1"/>
    <m/>
    <s v=" "/>
    <m/>
    <s v=" "/>
    <m/>
    <m/>
    <m/>
    <s v=" "/>
    <s v=" "/>
    <m/>
    <m/>
    <m/>
    <n v="543000"/>
    <n v="42.90794152508889"/>
    <s v=" "/>
    <m/>
    <d v="2004-11-04T00:00:00"/>
    <x v="1917"/>
    <m/>
    <x v="1552"/>
    <s v="OH"/>
    <s v="Private"/>
    <m/>
    <m/>
    <m/>
    <s v=" "/>
    <s v=" "/>
    <m/>
    <s v=" "/>
    <s v=" "/>
    <s v=" "/>
    <m/>
    <s v=" "/>
  </r>
  <r>
    <m/>
    <s v="FBP"/>
    <s v="Federal"/>
    <s v="Fee Simple"/>
    <s v="302 Sentinel Dr"/>
    <s v="Annapolis Junction"/>
    <s v="MD"/>
    <n v="8.65"/>
    <n v="2007"/>
    <n v="40498"/>
    <n v="153600"/>
    <n v="0.2636588541666667"/>
    <m/>
    <s v=" "/>
    <m/>
    <s v=" "/>
    <m/>
    <m/>
    <m/>
    <s v=" "/>
    <s v=" "/>
    <m/>
    <m/>
    <m/>
    <m/>
    <s v=" "/>
    <s v=" "/>
    <m/>
    <d v="2004-10-21T00:00:00"/>
    <x v="8"/>
    <m/>
    <x v="1518"/>
    <s v="MD"/>
    <s v="REIT"/>
    <m/>
    <m/>
    <m/>
    <s v=" "/>
    <s v=" "/>
    <m/>
    <s v=" "/>
    <s v=" "/>
    <s v=" "/>
    <m/>
    <s v=" "/>
  </r>
  <r>
    <m/>
    <m/>
    <s v="State"/>
    <s v="Fee Simple"/>
    <s v="24100 Amador St"/>
    <s v="Hayward"/>
    <s v="CA"/>
    <n v="5.71"/>
    <n v="2001"/>
    <n v="175918"/>
    <n v="175918"/>
    <n v="1"/>
    <m/>
    <s v=" "/>
    <m/>
    <s v=" "/>
    <m/>
    <m/>
    <m/>
    <s v=" "/>
    <s v=" "/>
    <m/>
    <m/>
    <m/>
    <m/>
    <s v=" "/>
    <s v=" "/>
    <m/>
    <d v="2004-10-21T00:00:00"/>
    <x v="1460"/>
    <m/>
    <x v="2"/>
    <s v="VA"/>
    <s v="Private"/>
    <m/>
    <m/>
    <m/>
    <s v=" "/>
    <s v=" "/>
    <m/>
    <s v=" "/>
    <s v=" "/>
    <s v=" "/>
    <m/>
    <s v=" "/>
  </r>
  <r>
    <m/>
    <s v="SSA"/>
    <s v="Federal"/>
    <s v="Fee Simple"/>
    <s v="732 S 6th St"/>
    <s v="Las Vegas"/>
    <s v="NV"/>
    <n v="0.24"/>
    <n v="1992"/>
    <m/>
    <n v="13788"/>
    <s v=" "/>
    <m/>
    <s v=" "/>
    <m/>
    <s v=" "/>
    <m/>
    <m/>
    <m/>
    <s v=" "/>
    <s v=" "/>
    <m/>
    <m/>
    <m/>
    <n v="2300000"/>
    <n v="166.8117203365245"/>
    <s v=" "/>
    <m/>
    <d v="2004-10-21T00:00:00"/>
    <x v="8"/>
    <m/>
    <x v="0"/>
    <m/>
    <m/>
    <m/>
    <m/>
    <m/>
    <s v=" "/>
    <s v=" "/>
    <m/>
    <s v=" "/>
    <s v=" "/>
    <s v=" "/>
    <m/>
    <s v=" "/>
  </r>
  <r>
    <s v="LIL16895"/>
    <s v="SSA"/>
    <s v="Federal"/>
    <s v="Fee Simple"/>
    <s v="10718 S Roberts Rd"/>
    <s v="Palos Hills"/>
    <s v="IL"/>
    <n v="1.14"/>
    <n v="2003"/>
    <n v="9331"/>
    <n v="9331"/>
    <n v="1"/>
    <n v="387709.07"/>
    <n v="41.55064516129033"/>
    <m/>
    <s v=" "/>
    <d v="2003-06-27T00:00:00"/>
    <d v="2023-06-26T00:00:00"/>
    <d v="2013-06-26T00:00:00"/>
    <n v="18.70958904109589"/>
    <n v="8.704109589041096"/>
    <s v="Modified Gross"/>
    <s v="None"/>
    <s v="None"/>
    <n v="2846000"/>
    <n v="305.00482263423"/>
    <s v=" "/>
    <m/>
    <d v="2004-10-14T00:00:00"/>
    <x v="2"/>
    <s v="Direct"/>
    <x v="1553"/>
    <s v="WA"/>
    <s v="Private"/>
    <m/>
    <m/>
    <m/>
    <s v=" "/>
    <s v=" "/>
    <m/>
    <s v=" "/>
    <s v=" "/>
    <s v=" "/>
    <m/>
    <s v=" "/>
  </r>
  <r>
    <m/>
    <s v="CA National Guard"/>
    <s v="State"/>
    <s v="Fee Simple"/>
    <s v="9800 Goethe Rd"/>
    <s v="Sacramento"/>
    <s v="CA"/>
    <n v="7.75"/>
    <n v="1993"/>
    <n v="110500"/>
    <n v="110500"/>
    <n v="1"/>
    <m/>
    <s v=" "/>
    <m/>
    <s v=" "/>
    <d v="1993-04-01T00:00:00"/>
    <d v="2017-07-31T00:00:00"/>
    <d v="2017-07-31T00:00:00"/>
    <n v="12.80821917808219"/>
    <n v="12.80821917808219"/>
    <m/>
    <m/>
    <m/>
    <m/>
    <s v=" "/>
    <s v=" "/>
    <m/>
    <d v="2004-10-12T00:00:00"/>
    <x v="2009"/>
    <s v="Newmark; Corea"/>
    <x v="1554"/>
    <s v="CA"/>
    <s v="Private"/>
    <m/>
    <m/>
    <m/>
    <s v=" "/>
    <s v=" "/>
    <m/>
    <s v=" "/>
    <s v=" "/>
    <s v=" "/>
    <m/>
    <s v=" "/>
  </r>
  <r>
    <s v="LMD01538"/>
    <s v="FDA"/>
    <s v="Federal"/>
    <s v="Fee Simple"/>
    <s v="4300 River Rd"/>
    <s v="College Park"/>
    <s v="MD"/>
    <n v="4.39"/>
    <n v="2004"/>
    <n v="80677"/>
    <n v="80677"/>
    <n v="1"/>
    <n v="3230310"/>
    <n v="40.04003619371073"/>
    <n v="1780310"/>
    <n v="22.06713189632733"/>
    <d v="2004-09-01T00:00:00"/>
    <d v="2014-08-31T00:00:00"/>
    <d v="2014-08-31T00:00:00"/>
    <n v="9.920547945205479"/>
    <n v="9.920547945205479"/>
    <s v="Modified Gross"/>
    <s v="None"/>
    <s v="None"/>
    <n v="22300000"/>
    <n v="276.4108729873446"/>
    <n v="0.07983452914798206"/>
    <m/>
    <d v="2004-10-01T00:00:00"/>
    <x v="2010"/>
    <s v="John Cunningham"/>
    <x v="790"/>
    <s v="MA"/>
    <s v="REIT"/>
    <m/>
    <m/>
    <m/>
    <s v=" "/>
    <s v=" "/>
    <m/>
    <s v=" "/>
    <s v=" "/>
    <s v=" "/>
    <m/>
    <s v=" "/>
  </r>
  <r>
    <s v="LSC42150"/>
    <s v="SSA"/>
    <s v="Federal"/>
    <s v="Fee Simple"/>
    <s v="181 Dozier Blvd"/>
    <s v="Florence"/>
    <s v="SC"/>
    <n v="1.37"/>
    <n v="2004"/>
    <n v="14953"/>
    <n v="14953"/>
    <n v="1"/>
    <n v="272111.57"/>
    <n v="18.1977910787133"/>
    <m/>
    <s v=" "/>
    <d v="2004-08-01T00:00:00"/>
    <d v="2014-07-31T00:00:00"/>
    <d v="2009-07-31T00:00:00"/>
    <n v="9.835616438356164"/>
    <n v="4.832876712328767"/>
    <s v="Modified Gross"/>
    <s v="None"/>
    <s v="None"/>
    <n v="2495000"/>
    <n v="166.8561492677055"/>
    <s v=" "/>
    <m/>
    <d v="2004-10-01T00:00:00"/>
    <x v="842"/>
    <m/>
    <x v="1555"/>
    <s v="NC"/>
    <s v="Private"/>
    <m/>
    <m/>
    <m/>
    <s v=" "/>
    <s v=" "/>
    <m/>
    <s v=" "/>
    <s v=" "/>
    <s v=" "/>
    <m/>
    <s v=" "/>
  </r>
  <r>
    <s v="LTX14985"/>
    <s v="SSA/ODAR"/>
    <s v="Federal"/>
    <s v="Fee Simple"/>
    <s v="3801 S Port Ave"/>
    <s v="Corpus Christi"/>
    <s v="TX"/>
    <n v="1.58"/>
    <n v="2002"/>
    <n v="16847"/>
    <n v="16847"/>
    <n v="1"/>
    <n v="445702.48"/>
    <n v="26.45589600522348"/>
    <m/>
    <s v=" "/>
    <d v="2002-10-09T00:00:00"/>
    <d v="2017-10-08T00:00:00"/>
    <d v="2013-10-08T00:00:00"/>
    <n v="13.03561643835616"/>
    <n v="9.032876712328767"/>
    <s v="Modified Gross"/>
    <s v="None"/>
    <s v="None"/>
    <n v="4000000"/>
    <n v="237.4309966166083"/>
    <s v=" "/>
    <m/>
    <d v="2004-09-28T00:00:00"/>
    <x v="223"/>
    <m/>
    <x v="1556"/>
    <s v="TN"/>
    <s v="Private"/>
    <m/>
    <m/>
    <m/>
    <s v=" "/>
    <s v=" "/>
    <m/>
    <s v=" "/>
    <s v=" "/>
    <s v=" "/>
    <m/>
    <s v=" "/>
  </r>
  <r>
    <m/>
    <s v="Dep't of State"/>
    <s v="Federal"/>
    <s v="Fee Simple"/>
    <s v="3920 Pender Dr"/>
    <s v="Fairfax"/>
    <s v="VA"/>
    <n v="6"/>
    <n v="1981"/>
    <n v="83130"/>
    <n v="83130"/>
    <n v="1"/>
    <m/>
    <s v=" "/>
    <m/>
    <s v=" "/>
    <m/>
    <d v="2018-03-31T00:00:00"/>
    <m/>
    <n v="13.51506849315068"/>
    <s v=" "/>
    <s v="Modified Gross"/>
    <s v="None"/>
    <s v="None"/>
    <n v="15000000"/>
    <n v="180.4402742692169"/>
    <s v=" "/>
    <m/>
    <d v="2004-09-27T00:00:00"/>
    <x v="223"/>
    <m/>
    <x v="1557"/>
    <s v="MD"/>
    <s v="Private"/>
    <m/>
    <m/>
    <m/>
    <s v=" "/>
    <s v=" "/>
    <m/>
    <s v=" "/>
    <s v=" "/>
    <s v=" "/>
    <m/>
    <s v=" "/>
  </r>
  <r>
    <m/>
    <s v="AOC"/>
    <s v="Federal"/>
    <s v="Condominium"/>
    <s v="86 Chambers St"/>
    <s v="New York"/>
    <s v="NY"/>
    <n v="0.42"/>
    <n v="1929"/>
    <n v="72258"/>
    <n v="114891"/>
    <n v="0.6289265477713659"/>
    <m/>
    <s v=" "/>
    <m/>
    <s v=" "/>
    <m/>
    <m/>
    <m/>
    <s v=" "/>
    <s v=" "/>
    <m/>
    <m/>
    <m/>
    <n v="36500000"/>
    <n v="317.6924215125641"/>
    <s v=" "/>
    <m/>
    <d v="2004-09-24T00:00:00"/>
    <x v="2011"/>
    <s v="C&amp;W; Baxter"/>
    <x v="1558"/>
    <s v="NY"/>
    <s v="Institutional"/>
    <m/>
    <m/>
    <m/>
    <s v=" "/>
    <s v=" "/>
    <m/>
    <s v=" "/>
    <s v=" "/>
    <s v=" "/>
    <m/>
    <s v=" "/>
  </r>
  <r>
    <m/>
    <m/>
    <s v="Federal"/>
    <s v="Fee Simple"/>
    <s v="85-87 Broad St"/>
    <s v="Charleston"/>
    <s v="SC"/>
    <n v="0.32"/>
    <n v="2004"/>
    <m/>
    <m/>
    <s v=" "/>
    <m/>
    <s v=" "/>
    <m/>
    <s v=" "/>
    <m/>
    <m/>
    <m/>
    <s v=" "/>
    <s v=" "/>
    <m/>
    <m/>
    <m/>
    <n v="19025000"/>
    <s v=" "/>
    <s v=" "/>
    <m/>
    <d v="2004-09-15T00:00:00"/>
    <x v="8"/>
    <m/>
    <x v="2"/>
    <s v="VA"/>
    <s v="Private"/>
    <m/>
    <m/>
    <m/>
    <s v=" "/>
    <s v=" "/>
    <m/>
    <s v=" "/>
    <s v=" "/>
    <s v=" "/>
    <m/>
    <s v=" "/>
  </r>
  <r>
    <m/>
    <s v="FDA"/>
    <s v="Federal"/>
    <s v="Fee Simple"/>
    <s v="11510 W 80th St"/>
    <s v="Lenexa"/>
    <s v="KS"/>
    <n v="5.05"/>
    <n v="1991"/>
    <n v="61789"/>
    <n v="61789"/>
    <n v="1"/>
    <m/>
    <s v=" "/>
    <m/>
    <s v=" "/>
    <m/>
    <d v="2012-08-31T00:00:00"/>
    <d v="2007-08-31T00:00:00"/>
    <n v="8.005479452054795"/>
    <n v="3"/>
    <s v="Modified Gross"/>
    <s v="None"/>
    <s v="None"/>
    <n v="10395000"/>
    <n v="168.2338280276425"/>
    <s v=" "/>
    <m/>
    <d v="2004-08-31T00:00:00"/>
    <x v="2012"/>
    <s v="C&amp;W; Klamm"/>
    <x v="790"/>
    <s v="MA"/>
    <s v="REIT"/>
    <m/>
    <m/>
    <m/>
    <s v=" "/>
    <s v=" "/>
    <m/>
    <s v=" "/>
    <s v=" "/>
    <s v=" "/>
    <m/>
    <s v=" "/>
  </r>
  <r>
    <s v="LVA01585"/>
    <s v="SSA"/>
    <s v="Federal"/>
    <s v="Fee Simple"/>
    <s v="9502 Center St"/>
    <s v="Manassas"/>
    <s v="VA"/>
    <n v="2.62"/>
    <n v="2003"/>
    <n v="28492"/>
    <n v="28492"/>
    <n v="1"/>
    <n v="605325"/>
    <n v="21.24543731573775"/>
    <n v="364836.48"/>
    <n v="12.80487435069493"/>
    <d v="2003-12-03T00:00:00"/>
    <d v="2013-12-02T00:00:00"/>
    <d v="2013-12-02T00:00:00"/>
    <n v="9.312328767123288"/>
    <n v="9.312328767123288"/>
    <s v="Modified Gross"/>
    <s v="None"/>
    <s v="None"/>
    <n v="5650000"/>
    <n v="198.3012775515934"/>
    <n v="0.06457282831858406"/>
    <m/>
    <d v="2004-08-12T00:00:00"/>
    <x v="2013"/>
    <m/>
    <x v="763"/>
    <s v="NC"/>
    <s v="Private"/>
    <m/>
    <m/>
    <m/>
    <s v=" "/>
    <s v=" "/>
    <m/>
    <s v=" "/>
    <s v=" "/>
    <s v=" "/>
    <m/>
    <s v=" "/>
  </r>
  <r>
    <m/>
    <s v="USPS"/>
    <s v="Federal"/>
    <s v="Fee Simple"/>
    <s v="12 Cooley Rd"/>
    <s v="Parksville"/>
    <s v="NY"/>
    <n v="1.05"/>
    <n v="1992"/>
    <n v="3999"/>
    <n v="3999"/>
    <n v="1"/>
    <m/>
    <s v=" "/>
    <m/>
    <s v=" "/>
    <m/>
    <m/>
    <m/>
    <s v=" "/>
    <s v=" "/>
    <m/>
    <m/>
    <m/>
    <n v="800000"/>
    <n v="200.0500125031258"/>
    <s v=" "/>
    <m/>
    <d v="2004-08-10T00:00:00"/>
    <x v="8"/>
    <m/>
    <x v="1559"/>
    <s v="NY"/>
    <s v="Private"/>
    <m/>
    <m/>
    <m/>
    <s v=" "/>
    <s v=" "/>
    <m/>
    <s v=" "/>
    <s v=" "/>
    <s v=" "/>
    <m/>
    <s v=" "/>
  </r>
  <r>
    <m/>
    <s v="DOL/DNR"/>
    <s v="State"/>
    <s v="Fee Simple"/>
    <s v="443-520 Lafayette Rd N"/>
    <s v="Saint Paul"/>
    <s v="MN"/>
    <n v="7.1"/>
    <m/>
    <n v="397342"/>
    <n v="397342"/>
    <n v="1"/>
    <m/>
    <s v=" "/>
    <m/>
    <s v=" "/>
    <m/>
    <m/>
    <m/>
    <s v=" "/>
    <s v=" "/>
    <m/>
    <m/>
    <m/>
    <m/>
    <s v=" "/>
    <s v=" "/>
    <m/>
    <d v="2004-08-04T00:00:00"/>
    <x v="1472"/>
    <m/>
    <x v="2"/>
    <s v="VA"/>
    <s v="Private"/>
    <m/>
    <m/>
    <m/>
    <s v=" "/>
    <s v=" "/>
    <m/>
    <s v=" "/>
    <s v=" "/>
    <s v=" "/>
    <m/>
    <s v=" "/>
  </r>
  <r>
    <m/>
    <s v="FWS"/>
    <s v="Federal"/>
    <s v="Fee Simple"/>
    <s v="2493 Portola Rd"/>
    <s v="Ventura"/>
    <s v="CA"/>
    <n v="1"/>
    <n v="1986"/>
    <n v="17061"/>
    <n v="17061"/>
    <n v="1"/>
    <m/>
    <s v=" "/>
    <n v="238000"/>
    <n v="13.94994431744916"/>
    <m/>
    <d v="2007-11-30T00:00:00"/>
    <d v="2002-11-30T00:00:00"/>
    <n v="3.323287671232876"/>
    <n v="-1.679452054794521"/>
    <s v="Modified Gross"/>
    <s v="None"/>
    <s v="None"/>
    <n v="2239500"/>
    <n v="131.2642869702831"/>
    <n v="0.1062737218129047"/>
    <m/>
    <d v="2004-08-04T00:00:00"/>
    <x v="2014"/>
    <m/>
    <x v="1560"/>
    <s v="CA"/>
    <s v="Private"/>
    <m/>
    <m/>
    <m/>
    <s v=" "/>
    <s v=" "/>
    <m/>
    <s v=" "/>
    <s v=" "/>
    <s v=" "/>
    <m/>
    <s v=" "/>
  </r>
  <r>
    <m/>
    <s v="FBI"/>
    <s v="Federal"/>
    <s v="Fee Simple"/>
    <s v="3311 E Carson St"/>
    <s v="Pittsburgh"/>
    <s v="PA"/>
    <n v="4.57"/>
    <n v="2001"/>
    <n v="100054"/>
    <n v="100054"/>
    <n v="1"/>
    <m/>
    <s v=" "/>
    <m/>
    <s v=" "/>
    <d v="2001-11-01T00:00:00"/>
    <d v="2021-10-31T00:00:00"/>
    <d v="2016-10-31T00:00:00"/>
    <n v="17.25753424657534"/>
    <n v="12.25479452054794"/>
    <s v="Modified Gross"/>
    <s v="None"/>
    <s v="None"/>
    <n v="27800000"/>
    <n v="277.8499610210486"/>
    <s v=" "/>
    <m/>
    <d v="2004-08-02T00:00:00"/>
    <x v="1659"/>
    <m/>
    <x v="790"/>
    <s v="MA"/>
    <s v="REIT"/>
    <m/>
    <m/>
    <m/>
    <s v=" "/>
    <s v=" "/>
    <m/>
    <s v=" "/>
    <s v=" "/>
    <s v=" "/>
    <m/>
    <s v=" "/>
  </r>
  <r>
    <m/>
    <s v="DEA"/>
    <s v="Federal"/>
    <s v="Fee Simple"/>
    <s v="650 NW Peacock Blvd"/>
    <s v="Port Saint Lucie"/>
    <s v="FL"/>
    <n v="3.56"/>
    <n v="2002"/>
    <n v="34986"/>
    <n v="34986"/>
    <n v="1"/>
    <n v="1399118.525"/>
    <n v="39.99081132452982"/>
    <n v="923747.5"/>
    <n v="26.40334705310696"/>
    <d v="2000-06-01T00:00:00"/>
    <d v="2012-05-31T00:00:00"/>
    <d v="2012-05-31T00:00:00"/>
    <n v="7.835616438356165"/>
    <n v="7.835616438356165"/>
    <s v="Modified Gross"/>
    <s v="None"/>
    <s v="None"/>
    <n v="12160144"/>
    <n v="347.5717144000457"/>
    <n v="0.07596517771500075"/>
    <m/>
    <d v="2004-08-01T00:00:00"/>
    <x v="511"/>
    <s v="CBRE"/>
    <x v="1561"/>
    <s v="NC"/>
    <s v="Private"/>
    <m/>
    <m/>
    <m/>
    <s v=" "/>
    <s v=" "/>
    <m/>
    <s v=" "/>
    <s v=" "/>
    <s v=" "/>
    <m/>
    <s v=" "/>
  </r>
  <r>
    <s v="LAZ01187"/>
    <s v="ICE"/>
    <s v="Federal"/>
    <s v="Fee Simple"/>
    <s v="2334 East Highway 80"/>
    <s v="Douglas"/>
    <s v="AZ"/>
    <n v="3.49"/>
    <n v="2003"/>
    <n v="16151"/>
    <n v="16151"/>
    <n v="1"/>
    <n v="571592.08"/>
    <n v="35.39050708934431"/>
    <n v="384100"/>
    <n v="23.78180917590242"/>
    <d v="2003-07-18T00:00:00"/>
    <d v="2018-07-17T00:00:00"/>
    <d v="2013-07-17T00:00:00"/>
    <n v="13.97260273972603"/>
    <n v="8.96986301369863"/>
    <s v="Modified Gross"/>
    <s v="None"/>
    <s v="None"/>
    <n v="4550000"/>
    <n v="281.7163023961365"/>
    <n v="0.08441758241758242"/>
    <m/>
    <d v="2004-07-30T00:00:00"/>
    <x v="681"/>
    <m/>
    <x v="1413"/>
    <s v="MI"/>
    <s v="Private"/>
    <s v="BW; Wells"/>
    <m/>
    <m/>
    <s v=" "/>
    <s v=" "/>
    <m/>
    <s v=" "/>
    <s v=" "/>
    <s v=" "/>
    <m/>
    <s v=" "/>
  </r>
  <r>
    <m/>
    <s v="SSA"/>
    <s v="Federal"/>
    <s v="Fee Simple"/>
    <s v="20000 Mariner Ave"/>
    <s v="Torrance"/>
    <s v="CA"/>
    <n v="3.29"/>
    <n v="1986"/>
    <n v="14656"/>
    <n v="67201"/>
    <n v="0.2180919926786804"/>
    <m/>
    <s v=" "/>
    <m/>
    <s v=" "/>
    <d v="1998-07-01T00:00:00"/>
    <d v="2018-07-01T00:00:00"/>
    <d v="2013-07-01T00:00:00"/>
    <n v="13.93150684931507"/>
    <n v="8.92876712328767"/>
    <s v="Modified Gross"/>
    <s v="None"/>
    <s v="None"/>
    <n v="8820000"/>
    <n v="131.2480469040639"/>
    <s v=" "/>
    <m/>
    <d v="2004-07-29T00:00:00"/>
    <x v="1028"/>
    <s v="TC; Meyer"/>
    <x v="1562"/>
    <s v="CA"/>
    <s v="Private"/>
    <s v="Newmark; Smart"/>
    <m/>
    <m/>
    <s v=" "/>
    <s v=" "/>
    <m/>
    <s v=" "/>
    <s v=" "/>
    <s v=" "/>
    <m/>
    <s v=" "/>
  </r>
  <r>
    <m/>
    <s v="DWM&amp;R"/>
    <s v="State"/>
    <s v="Fee Simple"/>
    <s v="9850 Goethe Rd"/>
    <s v="Sacramento"/>
    <s v="CA"/>
    <n v="1.919995408631772"/>
    <n v="1995"/>
    <n v="19040"/>
    <n v="19040"/>
    <n v="1"/>
    <n v="445536"/>
    <n v="23.4"/>
    <n v="276430"/>
    <n v="14.51838235294118"/>
    <d v="1997-12-01T00:00:00"/>
    <d v="2010-11-30T00:00:00"/>
    <d v="2005-11-30T00:00:00"/>
    <n v="6.345205479452055"/>
    <n v="1.342465753424658"/>
    <s v="Full Service"/>
    <s v="Annually"/>
    <s v="None"/>
    <n v="3850000"/>
    <n v="202.2058823529412"/>
    <n v="0.0718"/>
    <m/>
    <d v="2004-07-28T00:00:00"/>
    <x v="89"/>
    <s v="Colliers; Bazan"/>
    <x v="1563"/>
    <s v="CA"/>
    <s v="Private"/>
    <s v="CB; Garvin"/>
    <m/>
    <m/>
    <s v=" "/>
    <s v=" "/>
    <m/>
    <s v=" "/>
    <s v=" "/>
    <s v=" "/>
    <d v="2004-02-29T00:00:00"/>
    <n v="150"/>
  </r>
  <r>
    <m/>
    <s v="AOC"/>
    <s v="Federal"/>
    <s v="Fee Simple"/>
    <s v="21 E Garden St"/>
    <s v="Pensacola"/>
    <s v="FL"/>
    <n v="1.32"/>
    <n v="1964"/>
    <n v="30388"/>
    <n v="48461"/>
    <n v="0.6270609355976972"/>
    <m/>
    <s v=" "/>
    <m/>
    <s v=" "/>
    <d v="1999-03-01T00:00:00"/>
    <d v="2010-07-01T00:00:00"/>
    <d v="2010-07-01T00:00:00"/>
    <n v="5.934246575342466"/>
    <n v="5.934246575342466"/>
    <s v="Modified Gross"/>
    <s v="None"/>
    <s v="None"/>
    <n v="6150000"/>
    <n v="126.9061719733394"/>
    <s v=" "/>
    <m/>
    <d v="2004-07-26T00:00:00"/>
    <x v="2015"/>
    <m/>
    <x v="1564"/>
    <s v="FL"/>
    <s v="Private"/>
    <m/>
    <m/>
    <m/>
    <s v=" "/>
    <s v=" "/>
    <m/>
    <s v=" "/>
    <s v=" "/>
    <s v=" "/>
    <m/>
    <s v=" "/>
  </r>
  <r>
    <s v="LIL16974"/>
    <s v="SSA"/>
    <s v="Federal"/>
    <s v="Fee Simple"/>
    <s v="3328 W Willow Knolls Dr"/>
    <s v="Peoria"/>
    <s v="IL"/>
    <n v="1.98"/>
    <n v="2004"/>
    <n v="16161"/>
    <n v="16161"/>
    <n v="1"/>
    <n v="429943"/>
    <n v="26.60373739248809"/>
    <m/>
    <s v=" "/>
    <d v="2004-04-07T00:00:00"/>
    <d v="2024-04-06T00:00:00"/>
    <d v="2014-04-06T00:00:00"/>
    <n v="19.71506849315069"/>
    <n v="9.706849315068494"/>
    <s v="Modified Gross"/>
    <s v="None"/>
    <s v="None"/>
    <n v="3550000"/>
    <n v="219.6646247138172"/>
    <s v=" "/>
    <m/>
    <d v="2004-07-24T00:00:00"/>
    <x v="2016"/>
    <m/>
    <x v="1565"/>
    <s v="MI"/>
    <s v="Private"/>
    <m/>
    <m/>
    <m/>
    <s v=" "/>
    <s v=" "/>
    <m/>
    <s v=" "/>
    <s v=" "/>
    <s v=" "/>
    <m/>
    <s v=" "/>
  </r>
  <r>
    <m/>
    <s v="BLM"/>
    <s v="Federal"/>
    <s v="Fee Simple"/>
    <s v="2755 Mission Blvd"/>
    <s v="Kingman"/>
    <s v="AZ"/>
    <n v="3.25"/>
    <n v="2004"/>
    <n v="18919"/>
    <n v="18919"/>
    <n v="1"/>
    <m/>
    <s v=" "/>
    <m/>
    <s v=" "/>
    <m/>
    <m/>
    <m/>
    <s v=" "/>
    <s v=" "/>
    <m/>
    <m/>
    <m/>
    <n v="3566150"/>
    <n v="188.4956921613193"/>
    <s v=" "/>
    <m/>
    <d v="2004-07-23T00:00:00"/>
    <x v="1085"/>
    <m/>
    <x v="1541"/>
    <s v="CA"/>
    <s v="Private"/>
    <m/>
    <m/>
    <m/>
    <s v=" "/>
    <s v=" "/>
    <m/>
    <s v=" "/>
    <s v=" "/>
    <s v=" "/>
    <m/>
    <s v=" "/>
  </r>
  <r>
    <m/>
    <s v="Multi"/>
    <s v="Federal"/>
    <s v="Fee Simple"/>
    <m/>
    <s v="Atlanta"/>
    <s v="GA"/>
    <m/>
    <m/>
    <m/>
    <n v="352876"/>
    <s v=" "/>
    <m/>
    <s v=" "/>
    <m/>
    <s v=" "/>
    <m/>
    <m/>
    <m/>
    <s v=" "/>
    <s v=" "/>
    <m/>
    <m/>
    <m/>
    <m/>
    <s v=" "/>
    <s v=" "/>
    <m/>
    <d v="2004-07-16T00:00:00"/>
    <x v="8"/>
    <m/>
    <x v="790"/>
    <s v="MA"/>
    <s v="REIT"/>
    <m/>
    <m/>
    <m/>
    <s v=" "/>
    <s v=" "/>
    <m/>
    <s v=" "/>
    <s v=" "/>
    <s v=" "/>
    <m/>
    <s v=" "/>
  </r>
  <r>
    <s v="LMI16777"/>
    <s v="SSA"/>
    <s v="Federal"/>
    <s v="Fee Simple"/>
    <s v="3400 Conner Road"/>
    <s v="Detroit"/>
    <s v="MI"/>
    <n v="1.96"/>
    <n v="2002"/>
    <n v="13069"/>
    <n v="13069"/>
    <n v="1"/>
    <n v="407896.35"/>
    <n v="31.21098400795776"/>
    <m/>
    <s v=" "/>
    <d v="2002-11-06T00:00:00"/>
    <d v="2018-05-05T00:00:00"/>
    <d v="2018-05-05T00:00:00"/>
    <n v="13.81369863013699"/>
    <n v="13.81369863013699"/>
    <s v="Modified Gross"/>
    <s v="None"/>
    <s v="None"/>
    <n v="2825000"/>
    <n v="216.1603795240646"/>
    <s v=" "/>
    <m/>
    <d v="2004-07-15T00:00:00"/>
    <x v="2"/>
    <m/>
    <x v="1413"/>
    <s v="MI"/>
    <s v="Private"/>
    <s v="BW; Wells"/>
    <m/>
    <m/>
    <s v=" "/>
    <s v=" "/>
    <m/>
    <s v=" "/>
    <s v=" "/>
    <s v=" "/>
    <m/>
    <s v=" "/>
  </r>
  <r>
    <s v="LMI16852"/>
    <s v="SSA"/>
    <s v="Federal"/>
    <s v="Condominium"/>
    <s v="5210 Perry Robinson Cir"/>
    <s v="Lansing"/>
    <s v="MI"/>
    <n v="1.72"/>
    <n v="2002"/>
    <n v="18574"/>
    <n v="18574"/>
    <n v="1"/>
    <n v="499984.59"/>
    <n v="26.91851997415743"/>
    <n v="292546"/>
    <n v="15.75029611284591"/>
    <d v="2003-03-24T00:00:00"/>
    <d v="2023-03-23T00:00:00"/>
    <d v="2011-11-30T00:00:00"/>
    <n v="18.6986301369863"/>
    <n v="7.380821917808219"/>
    <s v="Modified Gross"/>
    <s v="None"/>
    <s v="None"/>
    <n v="3807670"/>
    <n v="205"/>
    <n v="0.07683071274558982"/>
    <m/>
    <d v="2004-07-15T00:00:00"/>
    <x v="2"/>
    <m/>
    <x v="1413"/>
    <s v="MI"/>
    <s v="Private"/>
    <s v="BW; Wells"/>
    <m/>
    <m/>
    <s v=" "/>
    <s v=" "/>
    <m/>
    <s v=" "/>
    <s v=" "/>
    <s v=" "/>
    <m/>
    <s v=" "/>
  </r>
  <r>
    <s v="LAZ01148"/>
    <s v="SSA"/>
    <s v="Federal"/>
    <s v="Fee Simple"/>
    <s v="1235 S Redondo Center Dr"/>
    <s v="Yuma"/>
    <s v="AZ"/>
    <n v="1.87"/>
    <n v="2002"/>
    <n v="8178"/>
    <n v="8178"/>
    <n v="1"/>
    <n v="246968.32"/>
    <n v="30.19910980679873"/>
    <m/>
    <s v=" "/>
    <d v="2003-04-11T00:00:00"/>
    <d v="2013-04-10T00:00:00"/>
    <d v="2013-04-10T00:00:00"/>
    <n v="8.786301369863013"/>
    <n v="8.786301369863013"/>
    <s v="Modified Gross"/>
    <s v="None"/>
    <s v="None"/>
    <n v="2050000"/>
    <n v="250.6725360723893"/>
    <s v=" "/>
    <m/>
    <d v="2004-06-29T00:00:00"/>
    <x v="2017"/>
    <m/>
    <x v="1566"/>
    <s v="OR"/>
    <s v="Private"/>
    <m/>
    <m/>
    <m/>
    <s v=" "/>
    <s v=" "/>
    <m/>
    <s v=" "/>
    <s v=" "/>
    <s v=" "/>
    <m/>
    <s v=" "/>
  </r>
  <r>
    <m/>
    <s v="ACOE"/>
    <s v="Federal"/>
    <s v="Fee Simple"/>
    <s v="4101 Jefferson Plz NE"/>
    <s v="Albuquerque"/>
    <s v="NM"/>
    <n v="3.75"/>
    <n v="1995"/>
    <n v="62890"/>
    <n v="62890"/>
    <n v="1"/>
    <n v="1039147.59"/>
    <n v="16.52325632055971"/>
    <m/>
    <s v=" "/>
    <d v="1995-11-08T00:00:00"/>
    <d v="2016-04-30T00:00:00"/>
    <d v="2016-04-30T00:00:00"/>
    <n v="11.85479452054794"/>
    <n v="11.85479452054794"/>
    <s v="Modified Gross"/>
    <s v="None"/>
    <s v="None"/>
    <n v="26802397"/>
    <n v="426.1789950707584"/>
    <s v=" "/>
    <m/>
    <d v="2004-06-25T00:00:00"/>
    <x v="2018"/>
    <m/>
    <x v="1567"/>
    <s v="NC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n v="4844588"/>
    <n v="64.01495791434876"/>
    <s v=" "/>
    <m/>
    <d v="2004-06-24T00:00:00"/>
    <x v="2019"/>
    <m/>
    <x v="1568"/>
    <s v="TX"/>
    <s v="Private"/>
    <m/>
    <m/>
    <m/>
    <s v=" "/>
    <s v=" "/>
    <m/>
    <s v=" "/>
    <s v=" "/>
    <s v=" "/>
    <m/>
    <s v=" "/>
  </r>
  <r>
    <m/>
    <s v="USDA"/>
    <s v="Federal"/>
    <s v="Fee Simple"/>
    <s v="3411-3419 Arden Way"/>
    <s v="Sacramento"/>
    <s v="CA"/>
    <n v="1.07"/>
    <n v="1982"/>
    <n v="13592"/>
    <n v="33995"/>
    <n v="0.3998235034563907"/>
    <n v="312088"/>
    <n v="22.96115361977634"/>
    <n v="207246.25"/>
    <n v="6.096374466833358"/>
    <d v="2001-08-01T00:00:00"/>
    <d v="2011-07-31T00:00:00"/>
    <d v="2006-07-31T00:00:00"/>
    <n v="7.120547945205479"/>
    <n v="2.117808219178082"/>
    <s v="Modified Gross"/>
    <s v="None"/>
    <s v="None"/>
    <n v="2240500"/>
    <n v="65.90675099279306"/>
    <n v="0.0925"/>
    <m/>
    <d v="2004-06-18T00:00:00"/>
    <x v="2020"/>
    <s v="Borgman"/>
    <x v="1569"/>
    <s v="CA"/>
    <s v="Private"/>
    <m/>
    <m/>
    <m/>
    <s v=" "/>
    <s v=" "/>
    <m/>
    <s v=" "/>
    <s v=" "/>
    <s v=" "/>
    <m/>
    <s v=" "/>
  </r>
  <r>
    <m/>
    <s v="IRS"/>
    <s v="Federal"/>
    <s v="Fee Simple"/>
    <s v="4210 Metro Pky"/>
    <s v="Fort Myers"/>
    <s v="FL"/>
    <n v="3.53"/>
    <n v="1986"/>
    <n v="27701"/>
    <n v="60018"/>
    <n v="0.4615448698723716"/>
    <n v="729609.48"/>
    <n v="26.33874156167647"/>
    <m/>
    <s v=" "/>
    <d v="1999-12-14T00:00:00"/>
    <d v="2009-12-13T00:00:00"/>
    <d v="2001-03-01T00:00:00"/>
    <n v="5.495890410958904"/>
    <n v="-3.295890410958904"/>
    <s v="Modified Gross"/>
    <s v="None"/>
    <s v="None"/>
    <n v="7700000"/>
    <n v="128.2948448798694"/>
    <s v=" "/>
    <m/>
    <d v="2004-06-16T00:00:00"/>
    <x v="2021"/>
    <m/>
    <x v="1570"/>
    <s v="FL"/>
    <s v="Private"/>
    <m/>
    <m/>
    <m/>
    <s v=" "/>
    <s v=" "/>
    <m/>
    <s v=" "/>
    <s v=" "/>
    <s v=" "/>
    <m/>
    <s v=" "/>
  </r>
  <r>
    <m/>
    <s v="SSA"/>
    <s v="Federal"/>
    <s v="Fee Simple"/>
    <s v="1111 Civic Dr"/>
    <s v="Walnut Creek"/>
    <s v="CA"/>
    <n v="3.02"/>
    <n v="1977"/>
    <n v="11745"/>
    <n v="81198"/>
    <n v="0.1446464198625582"/>
    <m/>
    <s v=" "/>
    <m/>
    <s v=" "/>
    <d v="2001-01-01T00:00:00"/>
    <d v="2010-12-31T00:00:00"/>
    <d v="2010-12-31T00:00:00"/>
    <n v="6.558904109589041"/>
    <n v="6.558904109589041"/>
    <s v="Modified Gross"/>
    <s v="None"/>
    <s v="None"/>
    <m/>
    <s v=" "/>
    <s v=" "/>
    <m/>
    <d v="2004-06-11T00:00:00"/>
    <x v="2022"/>
    <s v="Cordoza Properties"/>
    <x v="1571"/>
    <s v="CA"/>
    <s v="Private"/>
    <m/>
    <m/>
    <m/>
    <s v=" "/>
    <s v=" "/>
    <m/>
    <s v=" "/>
    <s v=" "/>
    <s v=" "/>
    <m/>
    <s v=" "/>
  </r>
  <r>
    <s v="LNV01430"/>
    <s v="DEA"/>
    <s v="Federal"/>
    <s v="Fee Simple"/>
    <s v="8790 Double Diamond Pkwy"/>
    <s v="Reno"/>
    <s v="NV"/>
    <n v="4.36"/>
    <n v="2004"/>
    <n v="15799"/>
    <n v="15799"/>
    <n v="1"/>
    <n v="519808.65"/>
    <n v="32.90136401038041"/>
    <m/>
    <s v=" "/>
    <d v="2004-08-01T00:00:00"/>
    <d v="2024-07-31T00:00:00"/>
    <d v="2019-08-01T00:00:00"/>
    <n v="20.20821917808219"/>
    <n v="15.20547945205479"/>
    <s v="Modified Gross"/>
    <s v="None"/>
    <s v="None"/>
    <n v="6037500"/>
    <n v="382.1444395214887"/>
    <s v=" "/>
    <m/>
    <d v="2004-05-21T00:00:00"/>
    <x v="1085"/>
    <s v="Direct"/>
    <x v="1572"/>
    <s v="NV"/>
    <s v="Private"/>
    <m/>
    <m/>
    <m/>
    <s v=" "/>
    <s v=" "/>
    <m/>
    <s v=" "/>
    <s v=" "/>
    <s v=" "/>
    <m/>
    <s v=" "/>
  </r>
  <r>
    <s v="LCA02437"/>
    <s v="SSA/IRS"/>
    <s v="Federal"/>
    <s v="Fee Simple"/>
    <s v="2345 South 2nd Street"/>
    <s v="El Centro"/>
    <s v="CA"/>
    <n v="2.04"/>
    <n v="2000"/>
    <n v="15451"/>
    <n v="15451"/>
    <n v="1"/>
    <m/>
    <s v=" "/>
    <n v="195724"/>
    <n v="12.6674001682739"/>
    <d v="2000-10-01T00:00:00"/>
    <d v="2012-10-02T00:00:00"/>
    <d v="2010-10-02T00:00:00"/>
    <n v="8.38082191780822"/>
    <n v="6.378082191780821"/>
    <s v="Modified Gross"/>
    <s v="None"/>
    <s v="None"/>
    <n v="2021000"/>
    <n v="130.8005954307165"/>
    <n v="0.09684512617516081"/>
    <m/>
    <d v="2004-05-18T00:00:00"/>
    <x v="681"/>
    <m/>
    <x v="1413"/>
    <s v="MI"/>
    <s v="Private"/>
    <s v="BW; Wells"/>
    <m/>
    <m/>
    <s v=" "/>
    <s v=" "/>
    <m/>
    <s v=" "/>
    <s v=" "/>
    <s v=" "/>
    <m/>
    <s v=" "/>
  </r>
  <r>
    <m/>
    <s v="BLM, Multi"/>
    <s v="Federal &amp; State"/>
    <s v="Leasehold"/>
    <s v="1 N Central Ave"/>
    <s v="Phoenix"/>
    <s v="AZ"/>
    <n v="1.26"/>
    <n v="2001"/>
    <n v="237000"/>
    <n v="409889"/>
    <n v="0.5782053190009978"/>
    <m/>
    <s v=" "/>
    <n v="6043734.64"/>
    <n v="14.7448080821881"/>
    <m/>
    <d v="2021-07-31T00:00:00"/>
    <d v="2021-07-31T00:00:00"/>
    <n v="17.22739726027397"/>
    <n v="17.22739726027397"/>
    <s v="Full Service"/>
    <s v="None"/>
    <s v="None"/>
    <n v="82800000"/>
    <n v="202.0059089168043"/>
    <n v="0.07299196425120773"/>
    <m/>
    <d v="2004-05-13T00:00:00"/>
    <x v="2023"/>
    <s v="CW; Jacobs"/>
    <x v="1573"/>
    <s v="NY"/>
    <s v="Private"/>
    <m/>
    <m/>
    <m/>
    <s v=" "/>
    <s v=" "/>
    <m/>
    <s v=" "/>
    <s v=" "/>
    <s v=" "/>
    <m/>
    <s v=" "/>
  </r>
  <r>
    <m/>
    <s v="USDA"/>
    <s v="Federal"/>
    <s v="Fee Simple"/>
    <s v="6213 Angus Dr"/>
    <s v="Raleigh"/>
    <s v="NC"/>
    <n v="1.3"/>
    <n v="1989"/>
    <n v="4333"/>
    <n v="10680"/>
    <n v="0.4057116104868914"/>
    <m/>
    <s v=" "/>
    <m/>
    <s v=" "/>
    <m/>
    <d v="2009-04-30T00:00:00"/>
    <d v="2004-04-30T00:00:00"/>
    <n v="4.975342465753425"/>
    <n v="-0.0273972602739726"/>
    <s v="Modified Gross"/>
    <s v="None"/>
    <s v="None"/>
    <m/>
    <s v=" "/>
    <s v=" "/>
    <m/>
    <d v="2004-05-10T00:00:00"/>
    <x v="8"/>
    <m/>
    <x v="1574"/>
    <m/>
    <m/>
    <m/>
    <m/>
    <m/>
    <s v=" "/>
    <s v=" "/>
    <m/>
    <s v=" "/>
    <s v=" "/>
    <s v=" "/>
    <m/>
    <s v=" "/>
  </r>
  <r>
    <m/>
    <s v="ACOE/FS/BLM"/>
    <s v="Federal"/>
    <s v="Fee Simple"/>
    <s v="308 SW 2nd Ave"/>
    <s v="Portland"/>
    <s v="OR"/>
    <n v="0.93"/>
    <n v="1991"/>
    <n v="355272.093"/>
    <n v="362153"/>
    <n v="0.981"/>
    <m/>
    <s v=" "/>
    <n v="4998052"/>
    <n v="13.80094048647947"/>
    <d v="1991-09-18T00:00:00"/>
    <d v="2011-09-17T00:00:00"/>
    <d v="2011-09-17T00:00:00"/>
    <n v="7.389041095890411"/>
    <n v="7.389041095890411"/>
    <s v="Modified Gross"/>
    <s v="None"/>
    <s v="None"/>
    <n v="69750000"/>
    <n v="192.5981560279771"/>
    <n v="0.07165665949820789"/>
    <m/>
    <d v="2004-04-29T00:00:00"/>
    <x v="2024"/>
    <s v="Melvin Mark"/>
    <x v="2"/>
    <s v="VA"/>
    <s v="Private"/>
    <m/>
    <m/>
    <m/>
    <s v=" "/>
    <s v=" "/>
    <m/>
    <s v=" "/>
    <s v=" "/>
    <s v=" "/>
    <m/>
    <s v=" "/>
  </r>
  <r>
    <m/>
    <s v="SSA"/>
    <s v="Federal"/>
    <s v="Fee Simple"/>
    <s v="13510-13530 Aurora Ave N"/>
    <s v="Seattle"/>
    <s v="WA"/>
    <n v="1.44"/>
    <n v="1986"/>
    <n v="6110"/>
    <n v="22737"/>
    <n v="0.2687249857061178"/>
    <m/>
    <s v=" "/>
    <n v="503124.9999999999"/>
    <n v="22.1280292035009"/>
    <d v="2001-08-01T00:00:00"/>
    <d v="2011-08-01T00:00:00"/>
    <d v="2006-08-01T00:00:00"/>
    <n v="7.295890410958904"/>
    <n v="2.293150684931507"/>
    <s v="Modified Gross"/>
    <s v="None"/>
    <s v="None"/>
    <n v="5750000"/>
    <n v="252.8917623257246"/>
    <n v="0.08749999999999999"/>
    <m/>
    <d v="2004-04-16T00:00:00"/>
    <x v="2025"/>
    <s v="RHC; Harbottle"/>
    <x v="1241"/>
    <s v="WA"/>
    <s v="Private"/>
    <m/>
    <m/>
    <m/>
    <s v=" "/>
    <s v=" "/>
    <m/>
    <s v=" "/>
    <s v=" "/>
    <s v=" "/>
    <d v="2003-11-19T00:00:00"/>
    <n v="149"/>
  </r>
  <r>
    <s v="LTN42156"/>
    <s v="SSA"/>
    <s v="Federal"/>
    <s v="Fee Simple"/>
    <s v="222 Keller Lane"/>
    <s v="Maryville"/>
    <s v="TN"/>
    <n v="0.8100000000000001"/>
    <n v="2003"/>
    <n v="7308"/>
    <n v="7308"/>
    <n v="1"/>
    <n v="167815.21"/>
    <n v="22.96321975916803"/>
    <m/>
    <s v=" "/>
    <d v="2004-01-23T00:00:00"/>
    <d v="2014-01-22T00:00:00"/>
    <d v="2009-01-22T00:00:00"/>
    <n v="9.778082191780822"/>
    <n v="4.775342465753424"/>
    <s v="Modified Gross"/>
    <s v="None"/>
    <s v="None"/>
    <n v="1325000"/>
    <n v="181.3081554460865"/>
    <s v=" "/>
    <m/>
    <d v="2004-04-15T00:00:00"/>
    <x v="842"/>
    <m/>
    <x v="1374"/>
    <s v="CA"/>
    <s v="Private"/>
    <m/>
    <m/>
    <m/>
    <s v=" "/>
    <s v=" "/>
    <m/>
    <s v=" "/>
    <s v=" "/>
    <s v=" "/>
    <m/>
    <s v=" "/>
  </r>
  <r>
    <s v="LPA80705"/>
    <s v="SSA"/>
    <s v="Federal"/>
    <s v="Fee Simple"/>
    <s v="334 Washington St"/>
    <s v="Johnstown"/>
    <s v="PA"/>
    <n v="0.38"/>
    <n v="1998"/>
    <n v="24745"/>
    <n v="24745"/>
    <n v="1"/>
    <n v="667214.47"/>
    <n v="26.96360759749444"/>
    <n v="371459.47"/>
    <n v="15.01149605981006"/>
    <d v="1999-02-01T00:00:00"/>
    <d v="2019-01-31T00:00:00"/>
    <d v="2016-01-31T00:00:00"/>
    <n v="14.84383561643836"/>
    <n v="11.84109589041096"/>
    <s v="Modified Gross"/>
    <s v="None"/>
    <s v="None"/>
    <n v="5032200"/>
    <n v="203.3622954132148"/>
    <n v="0.07381651563928301"/>
    <m/>
    <d v="2004-04-01T00:00:00"/>
    <x v="1659"/>
    <m/>
    <x v="1413"/>
    <s v="MI"/>
    <s v="Private"/>
    <m/>
    <m/>
    <m/>
    <s v=" "/>
    <s v=" "/>
    <m/>
    <s v=" "/>
    <s v=" "/>
    <s v=" "/>
    <m/>
    <s v=" "/>
  </r>
  <r>
    <m/>
    <s v="Multi"/>
    <s v="State"/>
    <s v="Fee Simple"/>
    <s v="801 K St"/>
    <s v="Sacramento"/>
    <s v="CA"/>
    <n v="0.72"/>
    <n v="1989"/>
    <n v="202728.6"/>
    <n v="337881"/>
    <n v="0.6"/>
    <m/>
    <s v=" "/>
    <m/>
    <s v=" "/>
    <m/>
    <m/>
    <m/>
    <s v=" "/>
    <s v=" "/>
    <m/>
    <m/>
    <m/>
    <n v="65500000"/>
    <n v="193.8552330554248"/>
    <s v=" "/>
    <m/>
    <d v="2004-04-01T00:00:00"/>
    <x v="2026"/>
    <s v="C&amp;W; Hermann"/>
    <x v="1575"/>
    <s v="VA"/>
    <s v="Private"/>
    <s v="CBRE; Krasner"/>
    <m/>
    <m/>
    <s v=" "/>
    <s v=" "/>
    <m/>
    <s v=" "/>
    <s v=" "/>
    <s v=" "/>
    <m/>
    <s v=" "/>
  </r>
  <r>
    <s v="LPA02384"/>
    <s v="USCIS"/>
    <s v="Federal"/>
    <s v="Fee Simple"/>
    <s v="3000 Sidney St"/>
    <s v="Pittsburgh"/>
    <s v="PA"/>
    <n v="2.47"/>
    <n v="2004"/>
    <n v="36152"/>
    <n v="36152"/>
    <n v="1"/>
    <n v="1278168.22"/>
    <n v="35.35539444567382"/>
    <m/>
    <s v=" "/>
    <d v="2004-03-01T00:00:00"/>
    <d v="2014-02-28T00:00:00"/>
    <d v="2014-02-28T00:00:00"/>
    <n v="9.950684931506849"/>
    <n v="9.950684931506849"/>
    <s v="Modified Gross"/>
    <s v="None"/>
    <s v="None"/>
    <n v="5630000"/>
    <n v="155.7313564947997"/>
    <s v=" "/>
    <m/>
    <d v="2004-03-20T00:00:00"/>
    <x v="1659"/>
    <s v="Bruce McClellan"/>
    <x v="790"/>
    <s v="MA"/>
    <s v="REIT"/>
    <m/>
    <m/>
    <m/>
    <s v=" "/>
    <s v=" "/>
    <m/>
    <s v=" "/>
    <s v=" "/>
    <s v=" "/>
    <m/>
    <s v=" "/>
  </r>
  <r>
    <m/>
    <s v="SSA"/>
    <s v="Federal"/>
    <s v="Fee Simple"/>
    <s v="124 E Rich Blvd"/>
    <s v="Elizabeth City"/>
    <s v="NC"/>
    <n v="0.65"/>
    <n v="1998"/>
    <n v="5400"/>
    <n v="5400"/>
    <n v="1"/>
    <m/>
    <s v=" "/>
    <m/>
    <s v=" "/>
    <m/>
    <m/>
    <m/>
    <s v=" "/>
    <s v=" "/>
    <m/>
    <m/>
    <m/>
    <m/>
    <s v=" "/>
    <s v=" "/>
    <m/>
    <d v="2004-03-02T00:00:00"/>
    <x v="842"/>
    <m/>
    <x v="1576"/>
    <s v="NC"/>
    <s v="Private"/>
    <m/>
    <m/>
    <m/>
    <s v=" "/>
    <s v=" "/>
    <m/>
    <s v=" "/>
    <s v=" "/>
    <s v=" "/>
    <m/>
    <s v=" "/>
  </r>
  <r>
    <m/>
    <s v="SSA"/>
    <s v="Federal"/>
    <s v="Fee Simple"/>
    <s v="2565 NW Thompson Bridge Rd"/>
    <s v="Gainesville"/>
    <s v="GA"/>
    <n v="4.6"/>
    <n v="2001"/>
    <n v="17844"/>
    <n v="49830"/>
    <n v="0.3580975316074654"/>
    <m/>
    <s v=" "/>
    <m/>
    <s v=" "/>
    <m/>
    <m/>
    <m/>
    <s v=" "/>
    <s v=" "/>
    <m/>
    <m/>
    <m/>
    <n v="2821000"/>
    <n v="56.61248244029701"/>
    <s v=" "/>
    <m/>
    <d v="2004-02-18T00:00:00"/>
    <x v="2027"/>
    <m/>
    <x v="1577"/>
    <s v="GA"/>
    <s v="Private"/>
    <m/>
    <m/>
    <m/>
    <s v=" "/>
    <s v=" "/>
    <m/>
    <s v=" "/>
    <s v=" "/>
    <s v=" "/>
    <m/>
    <s v=" "/>
  </r>
  <r>
    <m/>
    <s v="Army"/>
    <s v="Federal"/>
    <s v="Leasehold"/>
    <s v="1670 N Newport Rd"/>
    <s v="Colorado Springs"/>
    <s v="CO"/>
    <n v="5.12"/>
    <n v="1986"/>
    <n v="36910"/>
    <n v="67640"/>
    <n v="0.5456830277942046"/>
    <m/>
    <s v=" "/>
    <n v="686375"/>
    <n v="10.14747191011236"/>
    <m/>
    <m/>
    <m/>
    <s v=" "/>
    <s v=" "/>
    <m/>
    <m/>
    <m/>
    <n v="7225000"/>
    <n v="106.8154937906564"/>
    <n v="0.095"/>
    <m/>
    <d v="2004-02-10T00:00:00"/>
    <x v="2028"/>
    <s v="Littmann"/>
    <x v="1578"/>
    <s v="CO"/>
    <s v="Private"/>
    <s v="GW; Reichenberg"/>
    <m/>
    <m/>
    <s v=" "/>
    <s v=" "/>
    <m/>
    <s v=" "/>
    <s v=" "/>
    <s v=" "/>
    <d v="2003-08-14T00:00:00"/>
    <n v="180"/>
  </r>
  <r>
    <m/>
    <s v="CBP/USPS"/>
    <s v="Federal"/>
    <s v="Fee Simple"/>
    <s v="11690-11698 NW 25th St"/>
    <s v="Miami"/>
    <s v="FL"/>
    <n v="37.38"/>
    <n v="1999"/>
    <n v="232294"/>
    <n v="709496"/>
    <n v="0.327407060786812"/>
    <m/>
    <s v=" "/>
    <n v="3150000"/>
    <n v="4.439771330634705"/>
    <m/>
    <m/>
    <m/>
    <s v=" "/>
    <s v=" "/>
    <m/>
    <m/>
    <m/>
    <n v="45000000"/>
    <n v="63.42530472335292"/>
    <n v="0.07000000000000001"/>
    <m/>
    <d v="2004-02-01T00:00:00"/>
    <x v="2029"/>
    <m/>
    <x v="1579"/>
    <s v="MA"/>
    <s v="Institutional"/>
    <m/>
    <m/>
    <m/>
    <s v=" "/>
    <s v=" "/>
    <m/>
    <s v=" "/>
    <s v=" "/>
    <s v=" "/>
    <m/>
    <s v=" "/>
  </r>
  <r>
    <s v="LTX14985"/>
    <s v="SSA/ODAR"/>
    <s v="Federal"/>
    <s v="Fee Simple"/>
    <s v="3801 S Port Ave"/>
    <s v="Corpus Christi"/>
    <s v="TX"/>
    <n v="1.58"/>
    <n v="2002"/>
    <n v="16847"/>
    <n v="16847"/>
    <n v="1"/>
    <n v="445702.48"/>
    <n v="26.45589600522348"/>
    <m/>
    <s v=" "/>
    <d v="2002-10-09T00:00:00"/>
    <d v="2017-10-08T00:00:00"/>
    <d v="2013-10-08T00:00:00"/>
    <n v="13.6986301369863"/>
    <n v="9.695890410958905"/>
    <s v="Modified Gross"/>
    <s v="None"/>
    <s v="None"/>
    <n v="3200000"/>
    <n v="189.9447972932866"/>
    <s v=" "/>
    <m/>
    <d v="2004-01-30T00:00:00"/>
    <x v="2030"/>
    <m/>
    <x v="429"/>
    <s v="NY"/>
    <s v="Private"/>
    <m/>
    <m/>
    <m/>
    <s v=" "/>
    <s v=" "/>
    <m/>
    <s v=" "/>
    <s v=" "/>
    <s v=" "/>
    <m/>
    <s v=" "/>
  </r>
  <r>
    <m/>
    <s v="AOC"/>
    <s v="Federal"/>
    <s v="Fee Simple"/>
    <s v="200 Jefferson Ave"/>
    <s v="Memphis"/>
    <s v="TN"/>
    <n v="0.49"/>
    <n v="1985"/>
    <n v="90690"/>
    <n v="341473"/>
    <n v="0.2655846875155576"/>
    <m/>
    <s v=" "/>
    <m/>
    <s v=" "/>
    <m/>
    <m/>
    <m/>
    <s v=" "/>
    <s v=" "/>
    <m/>
    <m/>
    <m/>
    <n v="20900000"/>
    <n v="61.20542473343427"/>
    <s v=" "/>
    <m/>
    <d v="2003-12-30T00:00:00"/>
    <x v="2031"/>
    <s v="Direct"/>
    <x v="1580"/>
    <s v="MA"/>
    <s v="Private"/>
    <m/>
    <m/>
    <m/>
    <s v=" "/>
    <s v=" "/>
    <m/>
    <s v=" "/>
    <s v=" "/>
    <s v=" "/>
    <m/>
    <s v=" "/>
  </r>
  <r>
    <s v="LTN46022"/>
    <s v="SSA/Multi"/>
    <s v="Federal"/>
    <s v="Fee Simple"/>
    <s v="215-275 Cumberland Bend"/>
    <s v="Nashville"/>
    <s v="TN"/>
    <n v="8.199999999999999"/>
    <n v="1980"/>
    <n v="32434"/>
    <n v="96960"/>
    <n v="0.3345090759075908"/>
    <n v="454076"/>
    <n v="14"/>
    <m/>
    <s v=" "/>
    <d v="2001-01-01T00:00:00"/>
    <d v="2018-03-31T00:00:00"/>
    <d v="2016-04-01T00:00:00"/>
    <n v="14.26027397260274"/>
    <n v="12.26301369863014"/>
    <s v="Modified Gross"/>
    <s v="None"/>
    <s v="None"/>
    <n v="2015929"/>
    <n v="20.79134694719472"/>
    <s v=" "/>
    <m/>
    <d v="2003-12-30T00:00:00"/>
    <x v="913"/>
    <m/>
    <x v="1581"/>
    <m/>
    <m/>
    <m/>
    <m/>
    <m/>
    <s v=" "/>
    <s v=" "/>
    <m/>
    <s v=" "/>
    <s v=" "/>
    <s v=" "/>
    <m/>
    <s v=" "/>
  </r>
  <r>
    <m/>
    <s v="SSA"/>
    <s v="Federal"/>
    <s v="Fee Simple"/>
    <s v="800 Centre Park Dr"/>
    <s v="Asheville"/>
    <s v="NC"/>
    <n v="1.34"/>
    <n v="2002"/>
    <n v="14400"/>
    <n v="14400"/>
    <n v="1"/>
    <m/>
    <s v=" "/>
    <m/>
    <s v=" "/>
    <d v="2002-06-01T00:00:00"/>
    <d v="2012-05-31T00:00:00"/>
    <d v="2012-05-31T00:00:00"/>
    <n v="8.454794520547946"/>
    <n v="8.454794520547946"/>
    <s v="Modified Gross"/>
    <s v="None"/>
    <s v="None"/>
    <n v="2890000"/>
    <n v="200.6944444444445"/>
    <s v=" "/>
    <m/>
    <d v="2003-12-19T00:00:00"/>
    <x v="842"/>
    <m/>
    <x v="1582"/>
    <s v="NC"/>
    <s v="Private"/>
    <m/>
    <m/>
    <m/>
    <s v=" "/>
    <s v=" "/>
    <m/>
    <s v=" "/>
    <s v=" "/>
    <s v=" "/>
    <m/>
    <s v=" "/>
  </r>
  <r>
    <m/>
    <s v="Multi"/>
    <s v="State"/>
    <s v="Leasehold"/>
    <s v="Portfolio of Three"/>
    <s v="Phoenix"/>
    <s v="AZ"/>
    <n v="8.1"/>
    <m/>
    <m/>
    <n v="263766"/>
    <s v=" "/>
    <m/>
    <s v=" "/>
    <m/>
    <s v=" "/>
    <m/>
    <m/>
    <m/>
    <s v=" "/>
    <s v=" "/>
    <m/>
    <m/>
    <m/>
    <m/>
    <s v=" "/>
    <s v=" "/>
    <m/>
    <d v="2003-11-04T00:00:00"/>
    <x v="2032"/>
    <m/>
    <x v="2"/>
    <s v="VA"/>
    <s v="Private"/>
    <m/>
    <m/>
    <m/>
    <s v=" "/>
    <s v=" "/>
    <m/>
    <s v=" "/>
    <s v=" "/>
    <s v=" "/>
    <m/>
    <s v=" "/>
  </r>
  <r>
    <m/>
    <s v="PD"/>
    <s v="Federal"/>
    <s v="Leasehold"/>
    <s v="850 W Adams St"/>
    <s v="Phoenix"/>
    <s v="AZ"/>
    <n v="1"/>
    <n v="2003"/>
    <n v="23283.5"/>
    <n v="46567"/>
    <n v="0.5"/>
    <m/>
    <s v=" "/>
    <m/>
    <s v=" "/>
    <m/>
    <m/>
    <m/>
    <s v=" "/>
    <s v=" "/>
    <m/>
    <m/>
    <m/>
    <n v="8550000"/>
    <n v="183.606416561084"/>
    <s v=" "/>
    <m/>
    <d v="2003-11-04T00:00:00"/>
    <x v="2032"/>
    <m/>
    <x v="2"/>
    <s v="VA"/>
    <s v="Private"/>
    <m/>
    <m/>
    <m/>
    <s v=" "/>
    <s v=" "/>
    <m/>
    <s v=" "/>
    <s v=" "/>
    <s v=" "/>
    <m/>
    <s v=" "/>
  </r>
  <r>
    <m/>
    <s v="FBI"/>
    <s v="Federal"/>
    <s v="Fee Simple"/>
    <s v="1970 E Parham Rd"/>
    <s v="Richmond"/>
    <s v="VA"/>
    <n v="11.7501"/>
    <n v="2001"/>
    <n v="96607"/>
    <n v="96607"/>
    <n v="1"/>
    <n v="2690715"/>
    <n v="27.8521742730858"/>
    <m/>
    <s v=" "/>
    <d v="1996-02-01T00:00:00"/>
    <d v="2019-01-30T00:00:00"/>
    <d v="2016-01-30T00:00:00"/>
    <n v="15.26301369863014"/>
    <n v="12.26027397260274"/>
    <s v="Modified Gross"/>
    <s v="None"/>
    <s v="None"/>
    <n v="24100000"/>
    <n v="249.4643245313487"/>
    <s v=" "/>
    <m/>
    <d v="2003-10-30T00:00:00"/>
    <x v="2033"/>
    <m/>
    <x v="2"/>
    <s v="VA"/>
    <s v="Private"/>
    <m/>
    <m/>
    <m/>
    <s v=" "/>
    <s v=" "/>
    <m/>
    <s v=" "/>
    <s v=" "/>
    <s v=" "/>
    <m/>
    <s v=" "/>
  </r>
  <r>
    <m/>
    <s v="NIH"/>
    <s v="Federal"/>
    <s v="Fee Simple"/>
    <s v="2115 E Jefferson St"/>
    <s v="Rockville"/>
    <s v="MD"/>
    <n v="5.57"/>
    <n v="1981"/>
    <n v="128645"/>
    <n v="128645"/>
    <n v="1"/>
    <m/>
    <s v=" "/>
    <m/>
    <s v=" "/>
    <m/>
    <m/>
    <m/>
    <s v=" "/>
    <s v=" "/>
    <m/>
    <m/>
    <m/>
    <n v="20000000"/>
    <n v="155.4665941155894"/>
    <s v=" "/>
    <m/>
    <d v="2003-10-22T00:00:00"/>
    <x v="1077"/>
    <s v="C&amp;W; Collins"/>
    <x v="1583"/>
    <s v="MA"/>
    <s v="Institutional"/>
    <m/>
    <m/>
    <m/>
    <s v=" "/>
    <s v=" "/>
    <m/>
    <s v=" "/>
    <s v=" "/>
    <s v=" "/>
    <m/>
    <s v=" "/>
  </r>
  <r>
    <m/>
    <s v="NRC/USCIS/BLM"/>
    <s v="Federal"/>
    <s v="Fee Simple"/>
    <s v="1185-1387 S Vinnell St"/>
    <s v="Boise"/>
    <s v="ID"/>
    <n v="3.63"/>
    <n v="1996"/>
    <n v="30421"/>
    <n v="30421"/>
    <n v="1"/>
    <m/>
    <s v=" "/>
    <n v="745132.5"/>
    <n v="24.49401729068735"/>
    <m/>
    <m/>
    <m/>
    <s v=" "/>
    <s v=" "/>
    <m/>
    <m/>
    <m/>
    <n v="8279250"/>
    <n v="272.1557476743039"/>
    <n v="0.09"/>
    <m/>
    <d v="2003-10-20T00:00:00"/>
    <x v="2034"/>
    <m/>
    <x v="2"/>
    <s v="VA"/>
    <s v="Private"/>
    <m/>
    <m/>
    <m/>
    <s v=" "/>
    <s v=" "/>
    <m/>
    <s v=" "/>
    <s v=" "/>
    <s v=" "/>
    <m/>
    <s v=" "/>
  </r>
  <r>
    <s v="LWA07366"/>
    <s v="Navy"/>
    <s v="Federal"/>
    <s v="Fee Simple"/>
    <s v="3230 NW Randall Way"/>
    <s v="Silverdale"/>
    <s v="WA"/>
    <n v="3.34"/>
    <n v="1993"/>
    <n v="38601"/>
    <n v="38601"/>
    <n v="1"/>
    <m/>
    <s v=" "/>
    <m/>
    <s v=" "/>
    <m/>
    <m/>
    <m/>
    <s v=" "/>
    <s v=" "/>
    <m/>
    <m/>
    <m/>
    <n v="4500000"/>
    <n v="116.5772907437631"/>
    <s v=" "/>
    <m/>
    <d v="2003-10-17T00:00:00"/>
    <x v="2035"/>
    <m/>
    <x v="0"/>
    <m/>
    <m/>
    <m/>
    <m/>
    <m/>
    <s v=" "/>
    <s v=" "/>
    <m/>
    <s v=" "/>
    <s v=" "/>
    <s v=" "/>
    <m/>
    <s v=" "/>
  </r>
  <r>
    <m/>
    <s v="SSA"/>
    <s v="Federal"/>
    <s v="Fee Simple"/>
    <s v="3511 Shannon Rd"/>
    <s v="Durham"/>
    <s v="NC"/>
    <n v="2.41"/>
    <n v="2001"/>
    <n v="14253"/>
    <n v="54240"/>
    <n v="0.2627765486725664"/>
    <m/>
    <s v=" "/>
    <m/>
    <s v=" "/>
    <m/>
    <m/>
    <m/>
    <s v=" "/>
    <s v=" "/>
    <m/>
    <m/>
    <m/>
    <n v="6289000"/>
    <n v="115.9476401179941"/>
    <s v=" "/>
    <m/>
    <d v="2003-10-14T00:00:00"/>
    <x v="2036"/>
    <m/>
    <x v="1584"/>
    <s v="NC"/>
    <s v="Private"/>
    <m/>
    <m/>
    <m/>
    <s v=" "/>
    <s v=" "/>
    <m/>
    <s v=" "/>
    <s v=" "/>
    <s v=" "/>
    <m/>
    <s v=" "/>
  </r>
  <r>
    <s v="LCA99009"/>
    <s v="SSA"/>
    <s v="Federal"/>
    <s v="Fee Simple"/>
    <s v="367 Via Vera Cruz"/>
    <s v="San Marcos"/>
    <s v="CA"/>
    <n v="0.95"/>
    <n v="1981"/>
    <n v="10095"/>
    <n v="10095"/>
    <n v="1"/>
    <n v="306470.58"/>
    <n v="30.35865081723626"/>
    <n v="233464"/>
    <n v="23.12669638434869"/>
    <d v="2000-06-16T00:00:00"/>
    <d v="2013-06-15T00:00:00"/>
    <d v="2011-06-16T00:00:00"/>
    <n v="9.693150684931506"/>
    <n v="7.693150684931507"/>
    <s v="Modified Gross"/>
    <s v="None"/>
    <s v="None"/>
    <n v="3032000"/>
    <n v="300.3467062902427"/>
    <n v="0.077"/>
    <m/>
    <d v="2003-10-08T00:00:00"/>
    <x v="628"/>
    <s v="C&amp;W; Erwin"/>
    <x v="1585"/>
    <s v="CA"/>
    <s v="Private"/>
    <m/>
    <m/>
    <m/>
    <s v=" "/>
    <s v=" "/>
    <m/>
    <s v=" "/>
    <s v=" "/>
    <s v=" "/>
    <m/>
    <s v=" "/>
  </r>
  <r>
    <m/>
    <s v="DCSS"/>
    <s v="State"/>
    <s v="Fee Simple"/>
    <s v="11120 International Dr"/>
    <s v="Rancho Cordova"/>
    <s v="CA"/>
    <n v="6.61"/>
    <n v="1999"/>
    <n v="90000"/>
    <n v="90000"/>
    <n v="1"/>
    <m/>
    <s v=" "/>
    <m/>
    <s v=" "/>
    <m/>
    <m/>
    <m/>
    <s v=" "/>
    <s v=" "/>
    <m/>
    <m/>
    <m/>
    <n v="19545541"/>
    <n v="217.1726777777778"/>
    <s v=" "/>
    <m/>
    <d v="2003-10-01T00:00:00"/>
    <x v="8"/>
    <m/>
    <x v="0"/>
    <m/>
    <m/>
    <m/>
    <m/>
    <m/>
    <s v=" "/>
    <s v=" "/>
    <m/>
    <s v=" "/>
    <s v=" "/>
    <s v=" "/>
    <m/>
    <s v=" "/>
  </r>
  <r>
    <s v="LAL39411"/>
    <s v="AOC"/>
    <s v="Federal"/>
    <s v="Fee Simple"/>
    <s v="1801 4th Ave N"/>
    <s v="Birmingham"/>
    <s v="AL"/>
    <n v="0.4812"/>
    <n v="2001"/>
    <n v="52467"/>
    <n v="52467"/>
    <n v="1"/>
    <n v="1018624.68"/>
    <n v="19.414578306364"/>
    <m/>
    <s v=" "/>
    <d v="2002-02-06T00:00:00"/>
    <d v="2016-02-05T00:00:00"/>
    <d v="2010-02-06T00:00:00"/>
    <n v="12.35890410958904"/>
    <n v="6.358904109589041"/>
    <s v="Modified Gross"/>
    <s v="None"/>
    <s v="None"/>
    <n v="8400000"/>
    <n v="160.1006346846589"/>
    <s v=" "/>
    <m/>
    <d v="2003-09-30T00:00:00"/>
    <x v="842"/>
    <m/>
    <x v="429"/>
    <s v="NY"/>
    <s v="Private"/>
    <m/>
    <m/>
    <m/>
    <s v=" "/>
    <s v=" "/>
    <m/>
    <s v=" "/>
    <s v=" "/>
    <s v=" "/>
    <m/>
    <s v=" "/>
  </r>
  <r>
    <s v="LCA02913"/>
    <s v="SSA/Others"/>
    <s v="Federal &amp; State"/>
    <s v="Fee Simple"/>
    <s v="12440 Imperial Hwy"/>
    <s v="Norwalk"/>
    <s v="CA"/>
    <n v="20.32"/>
    <n v="1981"/>
    <n v="53384"/>
    <n v="463998"/>
    <n v="0.1150522200526726"/>
    <n v="1243181"/>
    <n v="23.28752060542485"/>
    <m/>
    <s v=" "/>
    <d v="2003-10-03T00:00:00"/>
    <d v="2016-10-02T00:00:00"/>
    <d v="2015-04-03T00:00:00"/>
    <n v="13.01643835616438"/>
    <n v="11.51506849315068"/>
    <s v="Modified Gross"/>
    <s v="None"/>
    <s v="None"/>
    <n v="48000000"/>
    <n v="103.4487217617317"/>
    <s v=" "/>
    <m/>
    <d v="2003-09-30T00:00:00"/>
    <x v="283"/>
    <m/>
    <x v="1586"/>
    <s v="CA"/>
    <s v="Private"/>
    <m/>
    <m/>
    <m/>
    <s v=" "/>
    <s v=" "/>
    <m/>
    <s v=" "/>
    <s v=" "/>
    <s v=" "/>
    <m/>
    <s v=" "/>
  </r>
  <r>
    <s v="LNC40164"/>
    <s v="SSA"/>
    <s v="Federal"/>
    <s v="Fee Simple"/>
    <s v="3004 Tower Blvd"/>
    <s v="Durham"/>
    <s v="NC"/>
    <n v="1.84"/>
    <n v="2003"/>
    <n v="14875"/>
    <n v="14875"/>
    <n v="1"/>
    <n v="328944.86"/>
    <n v="22.11394016806723"/>
    <n v="262080"/>
    <n v="17.61882352941176"/>
    <d v="2003-09-01T00:00:00"/>
    <d v="2013-08-31T00:00:00"/>
    <d v="2008-08-31T00:00:00"/>
    <n v="9.947945205479453"/>
    <n v="4.945205479452055"/>
    <s v="Modified Gross"/>
    <s v="None"/>
    <s v="None"/>
    <n v="2900000"/>
    <n v="194.9579831932773"/>
    <n v="0.09037241379310344"/>
    <m/>
    <d v="2003-09-22T00:00:00"/>
    <x v="842"/>
    <m/>
    <x v="1587"/>
    <s v="FL"/>
    <s v="Private"/>
    <m/>
    <m/>
    <m/>
    <s v=" "/>
    <s v=" "/>
    <m/>
    <s v=" "/>
    <s v=" "/>
    <s v=" "/>
    <m/>
    <s v=" "/>
  </r>
  <r>
    <m/>
    <s v="SSA"/>
    <s v="Federal"/>
    <s v="Fee Simple"/>
    <s v="18905 33rd Ave W"/>
    <s v="Lynnwood"/>
    <s v="WA"/>
    <n v="1.22"/>
    <n v="1982"/>
    <n v="6960"/>
    <n v="23200"/>
    <n v="0.3"/>
    <m/>
    <s v=" "/>
    <n v="456239"/>
    <n v="19.66547413793104"/>
    <d v="1998-11-01T00:00:00"/>
    <d v="2008-11-30T00:00:00"/>
    <d v="2008-11-30T00:00:00"/>
    <n v="5.202739726027398"/>
    <n v="5.202739726027398"/>
    <s v="Modified Gross"/>
    <s v="None"/>
    <s v="None"/>
    <n v="3920808"/>
    <n v="169.0003448275862"/>
    <n v="0.1163635148673437"/>
    <m/>
    <d v="2003-09-19T00:00:00"/>
    <x v="2037"/>
    <s v="KM; Honsberger"/>
    <x v="1588"/>
    <s v="WA"/>
    <s v="Private"/>
    <m/>
    <m/>
    <n v="4000000"/>
    <n v="0.11405975"/>
    <n v="0.980202"/>
    <n v="4000000"/>
    <n v="0.11405975"/>
    <n v="0.002303764867343669"/>
    <s v="No"/>
    <m/>
    <s v=" "/>
  </r>
  <r>
    <m/>
    <s v="VA"/>
    <s v="Federal"/>
    <s v="Fee Simple"/>
    <s v="35000 Kaiser Ct"/>
    <s v="Willoughby"/>
    <s v="OH"/>
    <n v="3.58"/>
    <n v="1988"/>
    <n v="20725"/>
    <n v="42189"/>
    <n v="0.4912417928844012"/>
    <m/>
    <s v=" "/>
    <m/>
    <s v=" "/>
    <m/>
    <m/>
    <m/>
    <s v=" "/>
    <s v=" "/>
    <m/>
    <m/>
    <m/>
    <m/>
    <s v=" "/>
    <s v=" "/>
    <m/>
    <d v="2003-09-03T00:00:00"/>
    <x v="2038"/>
    <m/>
    <x v="1589"/>
    <s v="OH"/>
    <s v="Private"/>
    <m/>
    <m/>
    <m/>
    <s v=" "/>
    <s v=" "/>
    <m/>
    <s v=" "/>
    <s v=" "/>
    <s v=" "/>
    <m/>
    <s v=" "/>
  </r>
  <r>
    <s v="LDC12652"/>
    <s v="Multi"/>
    <s v="Federal"/>
    <s v="Leasehold"/>
    <s v="800 N Capitol St NW"/>
    <s v="Washington"/>
    <s v="DC"/>
    <n v="0.73"/>
    <n v="1991"/>
    <n v="314664"/>
    <n v="314664"/>
    <n v="1"/>
    <m/>
    <s v=" "/>
    <n v="6942200"/>
    <n v="22.06226323951898"/>
    <m/>
    <m/>
    <m/>
    <s v=" "/>
    <s v=" "/>
    <m/>
    <m/>
    <m/>
    <n v="103000000"/>
    <n v="327.3332824854448"/>
    <n v="0.0674"/>
    <m/>
    <d v="2003-09-01T00:00:00"/>
    <x v="1473"/>
    <s v="C&amp;W; Collins"/>
    <x v="1590"/>
    <s v="NY"/>
    <s v="Private"/>
    <s v="Andrew Czekaj"/>
    <m/>
    <m/>
    <s v=" "/>
    <s v=" "/>
    <m/>
    <s v=" "/>
    <s v=" "/>
    <s v=" "/>
    <m/>
    <s v=" "/>
  </r>
  <r>
    <m/>
    <s v="DCSS"/>
    <s v="State"/>
    <s v="Fee Simple"/>
    <s v="2851 Junction Ave"/>
    <s v="San Jose"/>
    <s v="CA"/>
    <n v="6.34"/>
    <n v="2002"/>
    <n v="155613"/>
    <n v="155613"/>
    <n v="1"/>
    <m/>
    <s v=" "/>
    <n v="3736200"/>
    <n v="24.00956218310809"/>
    <m/>
    <d v="2012-12-31T00:00:00"/>
    <d v="2012-12-31T00:00:00"/>
    <n v="9.347945205479451"/>
    <n v="9.347945205479451"/>
    <s v="Full Service"/>
    <s v="3.2% annually"/>
    <s v="None"/>
    <n v="47900000"/>
    <n v="307.8148997834371"/>
    <n v="0.078"/>
    <m/>
    <d v="2003-08-29T00:00:00"/>
    <x v="2039"/>
    <s v="Eastdil"/>
    <x v="2"/>
    <s v="VA"/>
    <s v="Private"/>
    <m/>
    <m/>
    <m/>
    <s v=" "/>
    <s v=" "/>
    <m/>
    <s v=" "/>
    <s v=" "/>
    <s v=" "/>
    <m/>
    <s v=" "/>
  </r>
  <r>
    <m/>
    <s v="Dep't of Fin."/>
    <s v="State"/>
    <s v="Fee Simple"/>
    <s v="915 L St"/>
    <s v="Sacramento"/>
    <s v="CA"/>
    <n v="0.51"/>
    <n v="1988"/>
    <n v="131774"/>
    <n v="163840"/>
    <n v="0.80428466796875"/>
    <m/>
    <s v=" "/>
    <m/>
    <s v=" "/>
    <m/>
    <m/>
    <m/>
    <s v=" "/>
    <s v=" "/>
    <m/>
    <m/>
    <m/>
    <n v="39000000"/>
    <n v="238.037109375"/>
    <s v=" "/>
    <m/>
    <d v="2003-08-28T00:00:00"/>
    <x v="2040"/>
    <s v="CBRE; Levin"/>
    <x v="1591"/>
    <s v="WI"/>
    <s v="Institutional"/>
    <m/>
    <m/>
    <m/>
    <s v=" "/>
    <s v=" "/>
    <m/>
    <s v=" "/>
    <s v=" "/>
    <s v=" "/>
    <m/>
    <s v=" "/>
  </r>
  <r>
    <m/>
    <s v="HHS"/>
    <s v="Federal"/>
    <s v="Fee Simple"/>
    <s v="5600 Fishers Ln"/>
    <s v="Rockville"/>
    <s v="MD"/>
    <n v="12.03"/>
    <s v="1970 | 2014"/>
    <n v="935386"/>
    <n v="1283646"/>
    <n v="0.7286946712722978"/>
    <m/>
    <s v=" "/>
    <m/>
    <s v=" "/>
    <m/>
    <m/>
    <m/>
    <s v=" "/>
    <s v=" "/>
    <m/>
    <m/>
    <m/>
    <n v="162049670"/>
    <n v="126.2417130579615"/>
    <s v=" "/>
    <m/>
    <d v="2003-08-27T00:00:00"/>
    <x v="2041"/>
    <s v="Direct"/>
    <x v="1592"/>
    <s v="NY"/>
    <s v="Institutional"/>
    <m/>
    <m/>
    <m/>
    <s v=" "/>
    <s v=" "/>
    <m/>
    <s v=" "/>
    <s v=" "/>
    <s v=" "/>
    <m/>
    <s v=" "/>
  </r>
  <r>
    <m/>
    <s v="DOC"/>
    <s v="State"/>
    <s v="Fee Simple"/>
    <s v="1900-1960 Birkmont Dr"/>
    <s v="Rancho Cordova"/>
    <s v="CA"/>
    <n v="18.91"/>
    <n v="1984"/>
    <n v="96000"/>
    <n v="96000"/>
    <n v="1"/>
    <n v="1958400"/>
    <n v="20.4"/>
    <n v="1405148"/>
    <n v="14.63695833333333"/>
    <d v="2004-01-01T00:00:00"/>
    <d v="2011-12-31T00:00:00"/>
    <d v="2006-12-31T00:00:00"/>
    <n v="8.356164383561644"/>
    <n v="3.353424657534247"/>
    <s v="Full Service"/>
    <s v="CPI annually"/>
    <s v="None"/>
    <n v="14850000"/>
    <n v="154.6875"/>
    <n v="0.09462276094276094"/>
    <m/>
    <d v="2003-08-25T00:00:00"/>
    <x v="2042"/>
    <s v="CBRE; MacHale"/>
    <x v="1593"/>
    <s v="CA"/>
    <s v="Private"/>
    <s v="Colliers; Partington"/>
    <m/>
    <m/>
    <s v=" "/>
    <s v=" "/>
    <m/>
    <s v=" "/>
    <s v=" "/>
    <s v=" "/>
    <d v="2003-06-26T00:00:00"/>
    <n v="60"/>
  </r>
  <r>
    <s v="LAZ02808"/>
    <s v="FS"/>
    <s v="Federal"/>
    <s v="Fee Simple"/>
    <s v="2324 E McDowell Rd"/>
    <s v="Phoenix"/>
    <s v="AZ"/>
    <n v="3.9"/>
    <n v="1984"/>
    <n v="32162"/>
    <n v="32162"/>
    <n v="1"/>
    <n v="525000"/>
    <n v="16.32361171568932"/>
    <n v="339701"/>
    <n v="10.56218518748834"/>
    <d v="2005-09-01T00:00:00"/>
    <d v="2015-08-31T00:00:00"/>
    <d v="2010-08-31T00:00:00"/>
    <n v="12.12876712328767"/>
    <n v="7.126027397260274"/>
    <s v="Modified Gross"/>
    <s v="None"/>
    <s v="None"/>
    <n v="3600000"/>
    <n v="111.9333374790125"/>
    <n v="0.09436138888888888"/>
    <m/>
    <d v="2003-07-18T00:00:00"/>
    <x v="2043"/>
    <s v="1st US Realty"/>
    <x v="1594"/>
    <s v="CA"/>
    <s v="Private"/>
    <m/>
    <m/>
    <m/>
    <s v=" "/>
    <s v=" "/>
    <m/>
    <s v=" "/>
    <s v=" "/>
    <s v=" "/>
    <m/>
    <s v=" "/>
  </r>
  <r>
    <m/>
    <s v="USDA"/>
    <s v="Federal"/>
    <s v="Fee Simple"/>
    <s v="537 Myatt Dr"/>
    <s v="Madison"/>
    <s v="TN"/>
    <n v="0.51"/>
    <n v="1989"/>
    <n v="4800"/>
    <n v="4800"/>
    <n v="1"/>
    <m/>
    <s v=" "/>
    <m/>
    <s v=" "/>
    <d v="2002-02-01T00:00:00"/>
    <d v="2012-02-01T00:00:00"/>
    <d v="2007-02-01T00:00:00"/>
    <n v="8.556164383561644"/>
    <n v="3.553424657534247"/>
    <s v="Modified Gross"/>
    <s v="None"/>
    <s v="None"/>
    <n v="450000"/>
    <n v="93.75"/>
    <s v=" "/>
    <m/>
    <d v="2003-07-15T00:00:00"/>
    <x v="2044"/>
    <m/>
    <x v="1595"/>
    <s v="TN"/>
    <s v="Private"/>
    <m/>
    <m/>
    <m/>
    <s v=" "/>
    <s v=" "/>
    <m/>
    <s v=" "/>
    <s v=" "/>
    <s v=" "/>
    <m/>
    <s v=" "/>
  </r>
  <r>
    <m/>
    <s v="DEP"/>
    <s v="State"/>
    <s v="Fee Simple"/>
    <s v="4244 International Pky"/>
    <s v="Atlanta"/>
    <s v="GA"/>
    <n v="7.36"/>
    <n v="1990"/>
    <n v="77292"/>
    <n v="77292"/>
    <n v="1"/>
    <m/>
    <s v=" "/>
    <n v="934200"/>
    <n v="12.08663251047974"/>
    <m/>
    <m/>
    <m/>
    <s v=" "/>
    <s v=" "/>
    <m/>
    <m/>
    <m/>
    <n v="9000000"/>
    <n v="116.4415463437354"/>
    <n v="0.1038"/>
    <m/>
    <d v="2003-07-09T00:00:00"/>
    <x v="223"/>
    <s v="SJC;"/>
    <x v="1596"/>
    <s v="TX"/>
    <s v="Private"/>
    <m/>
    <m/>
    <n v="9342000"/>
    <n v="0.1"/>
    <n v="0.9633911368015414"/>
    <n v="9342000"/>
    <n v="0.1"/>
    <n v="0.003799999999999998"/>
    <s v="No"/>
    <m/>
    <s v=" "/>
  </r>
  <r>
    <m/>
    <s v="Soc. Ser."/>
    <s v="State"/>
    <s v="Fee Simple"/>
    <s v="1 N Frederick St"/>
    <s v="Cumberland"/>
    <s v="MD"/>
    <n v="0.342"/>
    <n v="1998"/>
    <n v="39668.859"/>
    <n v="45770"/>
    <n v="0.8667000000000001"/>
    <m/>
    <s v=" "/>
    <m/>
    <s v=" "/>
    <m/>
    <m/>
    <m/>
    <s v=" "/>
    <s v=" "/>
    <m/>
    <m/>
    <m/>
    <n v="5525000"/>
    <n v="120.7122569368582"/>
    <s v=" "/>
    <m/>
    <d v="2003-07-07T00:00:00"/>
    <x v="2045"/>
    <m/>
    <x v="1597"/>
    <s v="MA"/>
    <s v="Private"/>
    <m/>
    <m/>
    <m/>
    <s v=" "/>
    <s v=" "/>
    <m/>
    <s v=" "/>
    <s v=" "/>
    <s v=" "/>
    <m/>
    <s v=" "/>
  </r>
  <r>
    <m/>
    <s v="DOCR"/>
    <s v="State"/>
    <s v="Fee Simple"/>
    <s v="814 Court St"/>
    <s v="Woodland"/>
    <s v="CA"/>
    <n v="0.48"/>
    <n v="2000"/>
    <n v="5849"/>
    <n v="5849"/>
    <n v="1"/>
    <m/>
    <s v=" "/>
    <n v="69445"/>
    <n v="11.87296973841682"/>
    <m/>
    <d v="2020-06-30T00:00:00"/>
    <d v="2010-06-30T00:00:00"/>
    <n v="17.00547945205479"/>
    <n v="6.997260273972603"/>
    <s v="Full Service"/>
    <s v="None"/>
    <s v="None"/>
    <n v="900000"/>
    <n v="153.8724568302274"/>
    <n v="0.07716111111111111"/>
    <m/>
    <d v="2003-07-03T00:00:00"/>
    <x v="2046"/>
    <m/>
    <x v="1598"/>
    <s v="CA"/>
    <s v="Private"/>
    <m/>
    <m/>
    <m/>
    <s v=" "/>
    <s v=" "/>
    <m/>
    <s v=" "/>
    <s v=" "/>
    <s v=" "/>
    <m/>
    <s v=" "/>
  </r>
  <r>
    <m/>
    <s v="GSA"/>
    <s v="Federal"/>
    <s v="Fee Simple"/>
    <s v="not known"/>
    <s v="Mobile"/>
    <s v="AL"/>
    <m/>
    <m/>
    <n v="76112"/>
    <n v="76112"/>
    <n v="1"/>
    <m/>
    <s v=" "/>
    <m/>
    <s v=" "/>
    <m/>
    <m/>
    <m/>
    <s v=" "/>
    <s v=" "/>
    <m/>
    <m/>
    <m/>
    <n v="18100000"/>
    <n v="237.8074416649149"/>
    <s v=" "/>
    <m/>
    <d v="2003-07-01T00:00:00"/>
    <x v="2047"/>
    <m/>
    <x v="1599"/>
    <m/>
    <s v="Private"/>
    <m/>
    <m/>
    <m/>
    <s v=" "/>
    <s v=" "/>
    <m/>
    <s v=" "/>
    <s v=" "/>
    <s v=" "/>
    <m/>
    <s v=" "/>
  </r>
  <r>
    <s v="LCA01839"/>
    <s v="ACoE"/>
    <s v="Federal"/>
    <s v="Fee Simple"/>
    <s v="915 Wilshire Blvd"/>
    <s v="Los Angeles"/>
    <s v="CA"/>
    <n v="1.11"/>
    <n v="1980"/>
    <n v="153057"/>
    <n v="390312"/>
    <n v="0.3921401340466089"/>
    <n v="3730553.3"/>
    <n v="24.37362093860457"/>
    <n v="2750000"/>
    <n v="7.045645534854168"/>
    <d v="2006-05-03T00:00:00"/>
    <d v="2020-05-02T00:00:00"/>
    <d v="2015-05-02T00:00:00"/>
    <n v="16.86027397260274"/>
    <n v="11.85479452054794"/>
    <s v="Modified Gross"/>
    <s v="None"/>
    <s v="None"/>
    <n v="49200000"/>
    <n v="126.0530037508455"/>
    <n v="0.05589430894308943"/>
    <m/>
    <d v="2003-06-27T00:00:00"/>
    <x v="1818"/>
    <s v="C&amp;W; Harper"/>
    <x v="1600"/>
    <s v="TX"/>
    <s v="Private"/>
    <m/>
    <m/>
    <m/>
    <s v=" "/>
    <s v=" "/>
    <m/>
    <s v=" "/>
    <s v=" "/>
    <s v=" "/>
    <m/>
    <s v=" "/>
  </r>
  <r>
    <s v="LSC41086"/>
    <s v="SSA"/>
    <s v="Federal"/>
    <s v="Fee Simple"/>
    <s v="3875 Faber Place Dr"/>
    <s v="North Charleston"/>
    <s v="SC"/>
    <n v="5.01"/>
    <n v="1996"/>
    <n v="26175"/>
    <n v="64113"/>
    <n v="0.4082635346965514"/>
    <n v="554522.12"/>
    <n v="21.18518127984718"/>
    <m/>
    <s v=" "/>
    <d v="2002-09-11T00:00:00"/>
    <d v="2013-05-11T00:00:00"/>
    <d v="2013-05-11T00:00:00"/>
    <n v="9.923287671232877"/>
    <n v="9.923287671232877"/>
    <s v="Modified Gross"/>
    <s v="None"/>
    <s v="None"/>
    <n v="17800000"/>
    <n v="277.6348010543883"/>
    <s v=" "/>
    <m/>
    <d v="2003-06-11T00:00:00"/>
    <x v="2048"/>
    <m/>
    <x v="1601"/>
    <m/>
    <m/>
    <m/>
    <m/>
    <m/>
    <s v=" "/>
    <s v=" "/>
    <m/>
    <s v=" "/>
    <s v=" "/>
    <s v=" "/>
    <m/>
    <s v=" "/>
  </r>
  <r>
    <m/>
    <s v="DHS/State Police"/>
    <s v="Federal &amp; State"/>
    <s v="Fee Simple"/>
    <s v="602 Sawyer St"/>
    <s v="Houston"/>
    <s v="TX"/>
    <n v="2.41"/>
    <n v="1982"/>
    <n v="44982"/>
    <n v="95923"/>
    <n v="0.4689386278577609"/>
    <m/>
    <s v=" "/>
    <n v="752499.9999999999"/>
    <n v="7.844833877172314"/>
    <m/>
    <d v="2011-04-30T00:00:00"/>
    <d v="2006-04-30T00:00:00"/>
    <n v="7.906849315068493"/>
    <n v="2.904109589041096"/>
    <s v="Modified Gross"/>
    <s v="None"/>
    <s v="None"/>
    <n v="8750000"/>
    <n v="91.21899857177111"/>
    <n v="0.08599999999999999"/>
    <m/>
    <d v="2003-06-05T00:00:00"/>
    <x v="1817"/>
    <s v="HFF; Tamlyn"/>
    <x v="1602"/>
    <s v="TX"/>
    <s v="Private"/>
    <m/>
    <m/>
    <m/>
    <s v=" "/>
    <s v=" "/>
    <m/>
    <s v=" "/>
    <s v=" "/>
    <s v=" "/>
    <d v="2003-02-06T00:00:00"/>
    <n v="119"/>
  </r>
  <r>
    <s v="LIL16642"/>
    <s v="SSA"/>
    <s v="Federal"/>
    <s v="Fee Simple"/>
    <s v="7440 Providence Dr"/>
    <s v="Woodridge"/>
    <s v="IL"/>
    <m/>
    <n v="1981"/>
    <n v="9000"/>
    <n v="9000"/>
    <n v="1"/>
    <n v="267260"/>
    <n v="29.69555555555555"/>
    <n v="137435"/>
    <n v="15.27055555555556"/>
    <d v="2003-04-07T00:00:00"/>
    <d v="2023-04-06T00:00:00"/>
    <d v="2013-04-06T00:00:00"/>
    <n v="19.84931506849315"/>
    <n v="9.843835616438357"/>
    <s v="Modified Gross"/>
    <s v="None"/>
    <s v="None"/>
    <n v="2135000"/>
    <n v="237.2222222222222"/>
    <n v="0.06437236533957845"/>
    <m/>
    <d v="2003-06-05T00:00:00"/>
    <x v="2049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2603 Riverside Dr"/>
    <s v="Susanville"/>
    <s v="CA"/>
    <n v="0.66"/>
    <n v="2002"/>
    <n v="4520"/>
    <n v="4520"/>
    <n v="1"/>
    <m/>
    <s v=" "/>
    <m/>
    <s v=" "/>
    <m/>
    <m/>
    <m/>
    <s v=" "/>
    <s v=" "/>
    <m/>
    <m/>
    <m/>
    <m/>
    <s v=" "/>
    <s v=" "/>
    <m/>
    <d v="2003-05-14T00:00:00"/>
    <x v="2050"/>
    <m/>
    <x v="1603"/>
    <s v="CA"/>
    <s v="Private"/>
    <m/>
    <m/>
    <m/>
    <s v=" "/>
    <s v=" "/>
    <m/>
    <s v=" "/>
    <s v=" "/>
    <s v=" "/>
    <m/>
    <s v=" "/>
  </r>
  <r>
    <m/>
    <s v="SS"/>
    <s v="Federal"/>
    <s v="Fee Simple"/>
    <s v="10350 NW 112th Ave"/>
    <s v="Medley"/>
    <s v="FL"/>
    <n v="5.96"/>
    <n v="2002"/>
    <n v="78634"/>
    <n v="78634"/>
    <n v="1"/>
    <m/>
    <s v=" "/>
    <m/>
    <s v=" "/>
    <m/>
    <d v="2012-12-31T00:00:00"/>
    <d v="2012-12-31T00:00:00"/>
    <n v="9.66027397260274"/>
    <n v="9.66027397260274"/>
    <s v="Modified Gross"/>
    <s v="None"/>
    <s v="None"/>
    <n v="19400000"/>
    <n v="246.7126179515222"/>
    <s v=" "/>
    <m/>
    <d v="2003-05-07T00:00:00"/>
    <x v="2051"/>
    <s v="Flagler; Garcia"/>
    <x v="2"/>
    <s v="VA"/>
    <s v="Private"/>
    <m/>
    <m/>
    <m/>
    <s v=" "/>
    <s v=" "/>
    <m/>
    <s v=" "/>
    <s v=" "/>
    <s v=" "/>
    <m/>
    <s v=" "/>
  </r>
  <r>
    <s v="LTN38149"/>
    <s v="SSA"/>
    <s v="Federal"/>
    <s v="Fee Simple"/>
    <s v="2401 S Wilcox Dr"/>
    <s v="Kingsport"/>
    <s v="TN"/>
    <n v="2.43"/>
    <n v="1999"/>
    <n v="22848"/>
    <n v="22848"/>
    <n v="1"/>
    <n v="576912"/>
    <n v="25.25"/>
    <n v="203979"/>
    <n v="8.927652310924369"/>
    <d v="1999-11-01T00:00:00"/>
    <d v="2014-10-31T00:00:00"/>
    <d v="2009-10-31T00:00:00"/>
    <n v="11.51232876712329"/>
    <n v="6.50958904109589"/>
    <s v="Modified Gross"/>
    <s v="None"/>
    <s v="None"/>
    <n v="2920000"/>
    <n v="127.8011204481793"/>
    <n v="0.06985582191780822"/>
    <m/>
    <d v="2003-04-30T00:00:00"/>
    <x v="2052"/>
    <m/>
    <x v="1413"/>
    <s v="MI"/>
    <s v="Private"/>
    <s v="BW; Wells"/>
    <s v="Sterling Development"/>
    <m/>
    <s v=" "/>
    <s v=" "/>
    <m/>
    <s v=" "/>
    <s v=" "/>
    <s v=" "/>
    <m/>
    <s v=" "/>
  </r>
  <r>
    <m/>
    <s v="FWS"/>
    <s v="Federal"/>
    <s v="Fee Simple"/>
    <s v="1011 E Tudor Rd"/>
    <s v="Anchorage"/>
    <s v="AK"/>
    <n v="3"/>
    <n v="1977"/>
    <n v="89049"/>
    <n v="98148"/>
    <n v="0.9072930676121775"/>
    <m/>
    <s v=" "/>
    <n v="1032850"/>
    <n v="10.52339324285773"/>
    <d v="1995-11-01T00:00:00"/>
    <d v="2015-10-31T00:00:00"/>
    <d v="2010-10-31T00:00:00"/>
    <n v="12.59178082191781"/>
    <n v="7.589041095890411"/>
    <s v="Modified Gross"/>
    <s v="None"/>
    <s v="None"/>
    <n v="11350000"/>
    <n v="115.6416839874475"/>
    <n v="0.091"/>
    <m/>
    <d v="2003-04-01T00:00:00"/>
    <x v="2053"/>
    <m/>
    <x v="429"/>
    <s v="NY"/>
    <s v="Private"/>
    <m/>
    <m/>
    <m/>
    <s v=" "/>
    <s v=" "/>
    <m/>
    <s v=" "/>
    <s v=" "/>
    <s v=" "/>
    <m/>
    <s v=" "/>
  </r>
  <r>
    <s v="LNH04177"/>
    <s v="SSA/FWS/FMCSA"/>
    <s v="Federal"/>
    <s v="Fee Simple"/>
    <s v="70 Commercial St"/>
    <s v="Concord"/>
    <s v="NH"/>
    <n v="3.63"/>
    <n v="2000"/>
    <n v="16560"/>
    <n v="53304"/>
    <n v="0.3106708689779379"/>
    <n v="291815"/>
    <n v="17.62167874396135"/>
    <n v="499644"/>
    <n v="9.373480414227826"/>
    <d v="2001-02-01T00:00:00"/>
    <d v="2017-01-31T00:00:00"/>
    <d v="2016-10-31T00:00:00"/>
    <n v="13.86301369863014"/>
    <n v="13.61095890410959"/>
    <s v="Modified Gross"/>
    <s v="None"/>
    <s v="None"/>
    <n v="6450000"/>
    <n v="121.0040522287258"/>
    <n v="0.07746418604651163"/>
    <m/>
    <d v="2003-03-26T00:00:00"/>
    <x v="2054"/>
    <s v="Bill Norton"/>
    <x v="1604"/>
    <s v="VT"/>
    <s v="Private"/>
    <m/>
    <m/>
    <m/>
    <s v=" "/>
    <s v=" "/>
    <m/>
    <s v=" "/>
    <s v=" "/>
    <s v=" "/>
    <m/>
    <s v=" "/>
  </r>
  <r>
    <m/>
    <s v="AOC"/>
    <s v="Federal"/>
    <s v="Fee Simple"/>
    <s v="110 W A St"/>
    <s v="San Diego"/>
    <s v="CA"/>
    <n v="1.38"/>
    <n v="1971"/>
    <n v="121000"/>
    <n v="307374"/>
    <n v="0.3936572384131384"/>
    <m/>
    <s v=" "/>
    <n v="4950000"/>
    <n v="16.10415975326475"/>
    <m/>
    <m/>
    <m/>
    <s v=" "/>
    <s v=" "/>
    <m/>
    <m/>
    <m/>
    <n v="55000000"/>
    <n v="178.9351083696084"/>
    <n v="0.09"/>
    <m/>
    <d v="2003-03-26T00:00:00"/>
    <x v="2055"/>
    <s v="MadMar; Murray"/>
    <x v="1605"/>
    <m/>
    <s v="Cross-Border"/>
    <m/>
    <m/>
    <m/>
    <s v=" "/>
    <s v=" "/>
    <m/>
    <s v=" "/>
    <s v=" "/>
    <s v=" "/>
    <m/>
    <s v=" "/>
  </r>
  <r>
    <m/>
    <s v="SSA"/>
    <s v="Federal"/>
    <s v="Fee Simple"/>
    <s v="521 S Orchard Ave"/>
    <s v="Ukiah"/>
    <s v="CA"/>
    <n v="0.64"/>
    <n v="2002"/>
    <n v="6750"/>
    <n v="6750"/>
    <n v="1"/>
    <m/>
    <s v=" "/>
    <m/>
    <s v=" "/>
    <d v="2002-03-28T00:00:00"/>
    <d v="2012-03-29T00:00:00"/>
    <d v="2012-03-29T00:00:00"/>
    <n v="9.032876712328767"/>
    <n v="9.032876712328767"/>
    <s v="Modified Gross"/>
    <s v="None"/>
    <s v="None"/>
    <m/>
    <s v=" "/>
    <s v=" "/>
    <m/>
    <d v="2003-03-20T00:00:00"/>
    <x v="2056"/>
    <m/>
    <x v="1606"/>
    <s v="CA"/>
    <s v="Private"/>
    <m/>
    <m/>
    <m/>
    <s v=" "/>
    <s v=" "/>
    <m/>
    <s v=" "/>
    <s v=" "/>
    <s v=" "/>
    <m/>
    <s v=" "/>
  </r>
  <r>
    <m/>
    <m/>
    <s v="Federal"/>
    <s v="Fee Simple"/>
    <s v="8001 N Stemmons Fwy"/>
    <s v="Dallas"/>
    <s v="TX"/>
    <n v="6.9972"/>
    <n v="1958"/>
    <n v="109000"/>
    <n v="109000"/>
    <n v="1"/>
    <m/>
    <s v=" "/>
    <n v="672280"/>
    <n v="6.167706422018349"/>
    <m/>
    <m/>
    <m/>
    <s v=" "/>
    <s v=" "/>
    <m/>
    <m/>
    <m/>
    <n v="5900000"/>
    <n v="54.12844036697248"/>
    <n v="0.1139457627118644"/>
    <m/>
    <d v="2003-03-14T00:00:00"/>
    <x v="2057"/>
    <m/>
    <x v="429"/>
    <s v="NY"/>
    <s v="Private"/>
    <m/>
    <m/>
    <m/>
    <s v=" "/>
    <s v=" "/>
    <m/>
    <s v=" "/>
    <s v=" "/>
    <s v=" "/>
    <m/>
    <s v=" "/>
  </r>
  <r>
    <m/>
    <s v="HUD/Edu."/>
    <s v="Federal"/>
    <s v="Fee Simple"/>
    <s v="550 12th St SW"/>
    <s v="Washington"/>
    <s v="DC"/>
    <n v="1.54"/>
    <n v="1969"/>
    <n v="427463"/>
    <n v="539713"/>
    <n v="0.7920190916283284"/>
    <m/>
    <s v=" "/>
    <m/>
    <s v=" "/>
    <d v="1994-04-01T00:00:00"/>
    <d v="2004-03-31T00:00:00"/>
    <d v="2004-03-31T00:00:00"/>
    <n v="1.087671232876712"/>
    <n v="1.087671232876712"/>
    <s v="Modified Gross"/>
    <s v="None"/>
    <s v="None"/>
    <n v="91731963"/>
    <n v="169.9643384539561"/>
    <s v=" "/>
    <m/>
    <d v="2003-02-28T00:00:00"/>
    <x v="2058"/>
    <m/>
    <x v="1607"/>
    <s v="MD"/>
    <s v="Private"/>
    <m/>
    <m/>
    <m/>
    <s v=" "/>
    <s v=" "/>
    <m/>
    <s v=" "/>
    <s v=" "/>
    <s v=" "/>
    <m/>
    <s v=" "/>
  </r>
  <r>
    <m/>
    <s v="SSA"/>
    <s v="Federal"/>
    <s v="Fee Simple"/>
    <s v="56492 Twenty Nine Palms Hwy"/>
    <s v="Yucca Valley"/>
    <s v="CA"/>
    <n v="0.55"/>
    <n v="2003"/>
    <n v="5340"/>
    <n v="5340"/>
    <n v="1"/>
    <m/>
    <s v=" "/>
    <m/>
    <s v=" "/>
    <d v="2002-06-01T00:00:00"/>
    <d v="2017-05-31T00:00:00"/>
    <d v="2012-05-31T00:00:00"/>
    <n v="14.32876712328767"/>
    <n v="9.326027397260274"/>
    <s v="Modified Gross"/>
    <s v="None"/>
    <s v="None"/>
    <n v="1457000"/>
    <n v="272.8464419475656"/>
    <s v=" "/>
    <m/>
    <d v="2003-02-04T00:00:00"/>
    <x v="681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1805 Pavilion Dr"/>
    <s v="Montrose"/>
    <s v="CO"/>
    <n v="0.5600000000000001"/>
    <n v="2002"/>
    <n v="4362"/>
    <n v="4362"/>
    <n v="1"/>
    <m/>
    <s v=" "/>
    <m/>
    <s v=" "/>
    <m/>
    <m/>
    <m/>
    <s v=" "/>
    <s v=" "/>
    <s v="Modified Gross"/>
    <s v="None"/>
    <s v="None"/>
    <n v="1412989"/>
    <n v="323.9314534617148"/>
    <s v=" "/>
    <m/>
    <d v="2003-02-03T00:00:00"/>
    <x v="1085"/>
    <m/>
    <x v="1608"/>
    <s v="MT"/>
    <s v="Private"/>
    <m/>
    <m/>
    <m/>
    <s v=" "/>
    <s v=" "/>
    <m/>
    <s v=" "/>
    <s v=" "/>
    <s v=" "/>
    <m/>
    <s v=" "/>
  </r>
  <r>
    <m/>
    <s v="SSA"/>
    <s v="Federal"/>
    <s v="Fee Simple"/>
    <s v="865 Fulton St"/>
    <s v="Fresno"/>
    <s v="CA"/>
    <n v="0.37"/>
    <n v="1969"/>
    <n v="10555"/>
    <n v="15077"/>
    <n v="0.7000729588114346"/>
    <m/>
    <s v=" "/>
    <m/>
    <s v=" "/>
    <m/>
    <d v="2012-12-31T00:00:00"/>
    <d v="2012-12-31T00:00:00"/>
    <n v="9.947945205479453"/>
    <n v="9.947945205479453"/>
    <s v="Modified Gross"/>
    <s v="None"/>
    <s v="None"/>
    <m/>
    <s v=" "/>
    <s v=" "/>
    <m/>
    <d v="2003-01-22T00:00:00"/>
    <x v="2059"/>
    <m/>
    <x v="1609"/>
    <s v="CA"/>
    <s v="Private"/>
    <m/>
    <m/>
    <m/>
    <s v=" "/>
    <s v=" "/>
    <m/>
    <s v=" "/>
    <s v=" "/>
    <s v=" "/>
    <m/>
    <s v=" "/>
  </r>
  <r>
    <s v="LMD02272"/>
    <s v="SSA"/>
    <s v="Federal"/>
    <s v="Fee Simple"/>
    <s v="7401 Forbes Blvd"/>
    <s v="Seabrook"/>
    <s v="MD"/>
    <n v="2.77"/>
    <n v="1986"/>
    <n v="8974"/>
    <n v="31000"/>
    <n v="0.2894838709677419"/>
    <n v="210449"/>
    <n v="23.45096946735012"/>
    <n v="306918"/>
    <n v="9.900580645161289"/>
    <d v="2000-10-15T00:00:00"/>
    <d v="2010-10-15T00:00:00"/>
    <d v="2005-10-15T00:00:00"/>
    <n v="7.747945205479452"/>
    <n v="2.745205479452055"/>
    <s v="Modified Gross"/>
    <s v="None"/>
    <s v="None"/>
    <n v="3069181"/>
    <n v="99.00583870967742"/>
    <n v="0.09999996741801803"/>
    <m/>
    <d v="2003-01-17T00:00:00"/>
    <x v="2060"/>
    <s v="Rick Siegel"/>
    <x v="1610"/>
    <s v="MD"/>
    <s v="Private"/>
    <m/>
    <m/>
    <m/>
    <s v=" "/>
    <s v=" "/>
    <m/>
    <s v=" "/>
    <s v=" "/>
    <s v=" "/>
    <d v="2002-07-21T00:00:00"/>
    <n v="180"/>
  </r>
  <r>
    <m/>
    <s v="HHSC/DFPS"/>
    <s v="State"/>
    <s v="Fee Simple"/>
    <s v="1460 NW 19th St"/>
    <s v="Paris"/>
    <s v="TX"/>
    <n v="3.33"/>
    <n v="2002"/>
    <n v="36580"/>
    <n v="36580"/>
    <n v="1"/>
    <n v="381041"/>
    <n v="10.41664844177146"/>
    <n v="199838"/>
    <n v="5.463039912520503"/>
    <d v="2002-09-01T00:00:00"/>
    <d v="2012-08-31T00:00:00"/>
    <d v="2012-08-31T00:00:00"/>
    <n v="9.638356164383561"/>
    <n v="9.638356164383561"/>
    <s v="Full Service"/>
    <s v="None"/>
    <s v="None"/>
    <m/>
    <s v=" "/>
    <s v=" "/>
    <m/>
    <d v="2003-01-13T00:00:00"/>
    <x v="1620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1531 S Edgewood St"/>
    <s v="Baltimore"/>
    <s v="MD"/>
    <n v="1.43"/>
    <n v="1986"/>
    <n v="7000"/>
    <n v="17685"/>
    <n v="0.3958156629912355"/>
    <n v="199430"/>
    <n v="28.49"/>
    <m/>
    <s v=" "/>
    <d v="2016-03-15T00:00:00"/>
    <d v="2011-03-15T00:00:00"/>
    <m/>
    <n v="8.189041095890412"/>
    <s v=" "/>
    <s v="Modified Gross"/>
    <s v="None"/>
    <s v="None"/>
    <m/>
    <s v=" "/>
    <s v=" "/>
    <m/>
    <d v="2003-01-07T00:00:00"/>
    <x v="8"/>
    <m/>
    <x v="0"/>
    <m/>
    <m/>
    <m/>
    <m/>
    <m/>
    <s v=" "/>
    <s v=" "/>
    <m/>
    <s v=" "/>
    <s v=" "/>
    <s v=" "/>
    <d v="2002-09-09T00:00:00"/>
    <n v="120"/>
  </r>
  <r>
    <m/>
    <s v="Children's Hospital of Philadelphia"/>
    <s v="State"/>
    <s v="Fee Simple"/>
    <s v="3535 Market St"/>
    <s v="Philadelphia"/>
    <s v="PA"/>
    <n v="0.86"/>
    <n v="1973"/>
    <n v="304507"/>
    <n v="436000"/>
    <n v="0.6984105504587156"/>
    <m/>
    <s v=" "/>
    <n v="7200000"/>
    <n v="16.51376146788991"/>
    <m/>
    <m/>
    <m/>
    <s v=" "/>
    <s v=" "/>
    <m/>
    <m/>
    <m/>
    <n v="80000000"/>
    <n v="183.4862385321101"/>
    <n v="0.09"/>
    <m/>
    <d v="2002-12-23T00:00:00"/>
    <x v="2061"/>
    <s v="C&amp;W; McManimon"/>
    <x v="1362"/>
    <s v="NY"/>
    <s v="REIT"/>
    <m/>
    <m/>
    <m/>
    <s v=" "/>
    <s v=" "/>
    <m/>
    <s v=" "/>
    <s v=" "/>
    <s v=" "/>
    <m/>
    <s v=" "/>
  </r>
  <r>
    <s v="LNV02151"/>
    <s v="Multi"/>
    <s v="State &amp; Federal"/>
    <s v="Fee Simple"/>
    <s v="4220 Maryland Pkwy"/>
    <s v="Las Vegas"/>
    <s v="NV"/>
    <n v="6.13"/>
    <n v="1974"/>
    <n v="144200"/>
    <n v="144200"/>
    <n v="1"/>
    <m/>
    <s v=" "/>
    <m/>
    <s v=" "/>
    <m/>
    <m/>
    <m/>
    <s v=" "/>
    <s v=" "/>
    <m/>
    <m/>
    <m/>
    <n v="10625000"/>
    <n v="73.68238557558946"/>
    <s v=" "/>
    <m/>
    <d v="2002-12-20T00:00:00"/>
    <x v="2062"/>
    <m/>
    <x v="164"/>
    <s v="IL"/>
    <s v="Private"/>
    <m/>
    <m/>
    <m/>
    <s v=" "/>
    <s v=" "/>
    <m/>
    <s v=" "/>
    <s v=" "/>
    <s v=" "/>
    <m/>
    <s v=" "/>
  </r>
  <r>
    <m/>
    <s v="IRS"/>
    <s v="Federal"/>
    <s v="Fee Simple"/>
    <s v="7850 SW 6th Ct"/>
    <s v="Plantation"/>
    <s v="FL"/>
    <n v="11.02"/>
    <n v="1999"/>
    <n v="135819"/>
    <n v="135819"/>
    <n v="1"/>
    <m/>
    <s v=" "/>
    <m/>
    <s v=" "/>
    <d v="2019-05-01T00:00:00"/>
    <d v="2009-04-30T00:00:00"/>
    <d v="2004-04-30T00:00:00"/>
    <n v="6.36986301369863"/>
    <n v="1.367123287671233"/>
    <s v="Modified Gross"/>
    <s v="None"/>
    <s v="None"/>
    <n v="23005000"/>
    <n v="169.3798363999146"/>
    <s v=" "/>
    <m/>
    <d v="2002-12-18T00:00:00"/>
    <x v="2063"/>
    <m/>
    <x v="1611"/>
    <s v="CA"/>
    <s v="Institutional"/>
    <m/>
    <m/>
    <m/>
    <s v=" "/>
    <s v=" "/>
    <m/>
    <s v=" "/>
    <s v=" "/>
    <s v=" "/>
    <d v="2002-07-21T00:00:00"/>
    <n v="150"/>
  </r>
  <r>
    <s v="LCA02768"/>
    <s v="DEA"/>
    <s v="Federal"/>
    <s v="Fee Simple"/>
    <s v="7400 Schirra Ct"/>
    <s v="Bakersfield"/>
    <s v="CA"/>
    <n v="2.1"/>
    <n v="2000"/>
    <n v="9800"/>
    <n v="9800"/>
    <n v="1"/>
    <n v="343344"/>
    <n v="35.03510204081633"/>
    <n v="210079"/>
    <n v="21.43663265306122"/>
    <d v="2001-04-01T00:00:00"/>
    <d v="2011-03-31T00:00:00"/>
    <d v="2011-03-31T00:00:00"/>
    <n v="8.301369863013699"/>
    <n v="8.301369863013699"/>
    <s v="Modified Gross"/>
    <s v="None"/>
    <s v="None"/>
    <n v="2056250"/>
    <n v="209.8214285714286"/>
    <n v="0.1021660790273556"/>
    <m/>
    <d v="2002-12-13T00:00:00"/>
    <x v="681"/>
    <m/>
    <x v="1413"/>
    <s v="MI"/>
    <s v="Private"/>
    <s v="BW; Wells"/>
    <s v="Imperial"/>
    <m/>
    <s v=" "/>
    <s v=" "/>
    <m/>
    <s v=" "/>
    <s v=" "/>
    <s v=" "/>
    <m/>
    <s v=" "/>
  </r>
  <r>
    <m/>
    <s v="FWS"/>
    <s v="Federal"/>
    <s v="Fee Simple"/>
    <s v="1780 Commercial Dr"/>
    <s v="Port Allen"/>
    <s v="LA"/>
    <n v="1.06"/>
    <n v="1991"/>
    <n v="3113"/>
    <n v="9000"/>
    <n v="0.3458888888888889"/>
    <m/>
    <s v=" "/>
    <m/>
    <s v=" "/>
    <m/>
    <d v="2020-02-01T00:00:00"/>
    <d v="2015-02-01T00:00:00"/>
    <n v="17.19178082191781"/>
    <n v="12.18904109589041"/>
    <s v="Modified Gross"/>
    <s v="None"/>
    <s v="None"/>
    <n v="1285000"/>
    <n v="142.7777777777778"/>
    <s v=" "/>
    <m/>
    <d v="2002-11-27T00:00:00"/>
    <x v="2064"/>
    <m/>
    <x v="1612"/>
    <s v="LA"/>
    <s v="Private"/>
    <m/>
    <m/>
    <m/>
    <s v=" "/>
    <s v=" "/>
    <m/>
    <s v=" "/>
    <s v=" "/>
    <s v=" "/>
    <m/>
    <s v=" "/>
  </r>
  <r>
    <s v="LDC02279"/>
    <s v="NASA"/>
    <s v="Federal"/>
    <s v="Fee Simple"/>
    <s v="300 E ST SW"/>
    <s v="Washington"/>
    <s v="DC"/>
    <n v="2.2"/>
    <n v="1991"/>
    <n v="597253"/>
    <n v="605897"/>
    <n v="0.9857335487714909"/>
    <m/>
    <s v=" "/>
    <n v="25875000"/>
    <n v="42.70527828987435"/>
    <m/>
    <m/>
    <m/>
    <s v=" "/>
    <s v=" "/>
    <m/>
    <m/>
    <m/>
    <n v="345000000"/>
    <n v="569.403710531658"/>
    <n v="0.075"/>
    <m/>
    <d v="2002-11-22T00:00:00"/>
    <x v="2065"/>
    <s v="MS; Weintraub"/>
    <x v="1613"/>
    <s v="NY"/>
    <s v="REIT"/>
    <m/>
    <m/>
    <m/>
    <s v=" "/>
    <s v=" "/>
    <m/>
    <s v=" "/>
    <s v=" "/>
    <s v=" "/>
    <m/>
    <s v=" "/>
  </r>
  <r>
    <m/>
    <s v="IRS"/>
    <s v="Federal"/>
    <s v="Fee Simple"/>
    <s v="4210 Metro Pky"/>
    <s v="Fort Myers"/>
    <s v="FL"/>
    <n v="3.53"/>
    <n v="1986"/>
    <n v="27701"/>
    <n v="60018"/>
    <n v="0.4615448698723716"/>
    <n v="729609.48"/>
    <n v="26.33874156167647"/>
    <m/>
    <s v=" "/>
    <d v="1999-12-14T00:00:00"/>
    <d v="2009-12-13T00:00:00"/>
    <d v="2001-03-01T00:00:00"/>
    <n v="7.101369863013699"/>
    <n v="-1.69041095890411"/>
    <s v="Modified Gross"/>
    <s v="None"/>
    <s v="None"/>
    <n v="5100000"/>
    <n v="84.97450764770569"/>
    <s v=" "/>
    <m/>
    <d v="2002-11-08T00:00:00"/>
    <x v="2066"/>
    <m/>
    <x v="1614"/>
    <s v="FL"/>
    <s v="Private"/>
    <m/>
    <m/>
    <m/>
    <s v=" "/>
    <s v=" "/>
    <m/>
    <s v=" "/>
    <s v=" "/>
    <s v=" "/>
    <m/>
    <s v=" "/>
  </r>
  <r>
    <m/>
    <s v="VA"/>
    <s v="Federal"/>
    <s v="Fee Simple"/>
    <s v="301 N Elmire St"/>
    <s v="Sayre"/>
    <s v="PA"/>
    <m/>
    <n v="1997"/>
    <n v="21217"/>
    <n v="21217"/>
    <n v="1"/>
    <m/>
    <s v=" "/>
    <m/>
    <s v=" "/>
    <d v="1997-07-17T00:00:00"/>
    <d v="2012-07-16T00:00:00"/>
    <d v="2012-07-16T00:00:00"/>
    <n v="9.712328767123287"/>
    <n v="9.712328767123287"/>
    <s v="Modified Gross"/>
    <s v="None"/>
    <s v="None"/>
    <m/>
    <s v=" "/>
    <s v=" "/>
    <m/>
    <d v="2002-11-01T00:00:00"/>
    <x v="8"/>
    <m/>
    <x v="1413"/>
    <s v="MI"/>
    <s v="Private"/>
    <m/>
    <m/>
    <m/>
    <s v=" "/>
    <s v=" "/>
    <m/>
    <s v=" "/>
    <s v=" "/>
    <s v=" "/>
    <m/>
    <s v=" "/>
  </r>
  <r>
    <s v="LAZ97189"/>
    <s v="DEA"/>
    <s v="Federal"/>
    <s v="Fee Simple"/>
    <s v="1728 Paseo San Luis"/>
    <s v="Sierra Vista"/>
    <s v="AZ"/>
    <n v="0.96"/>
    <n v="1998"/>
    <n v="8052"/>
    <n v="8052"/>
    <n v="1"/>
    <n v="182630"/>
    <n v="22.68132141082961"/>
    <n v="100200"/>
    <n v="12.4441132637854"/>
    <d v="1998-04-07T00:00:00"/>
    <d v="2013-04-06T00:00:00"/>
    <d v="2008-04-06T00:00:00"/>
    <n v="10.44657534246575"/>
    <n v="5.443835616438356"/>
    <s v="Modified Gross"/>
    <s v="None"/>
    <s v="None"/>
    <n v="1075000"/>
    <n v="133.5072031793343"/>
    <n v="0.09320930232558139"/>
    <m/>
    <d v="2002-10-28T00:00:00"/>
    <x v="2067"/>
    <m/>
    <x v="1413"/>
    <s v="MI"/>
    <s v="Private"/>
    <s v="BW; Wells"/>
    <m/>
    <m/>
    <s v=" "/>
    <s v=" "/>
    <m/>
    <s v=" "/>
    <s v=" "/>
    <s v=" "/>
    <m/>
    <s v=" "/>
  </r>
  <r>
    <m/>
    <s v="DAAS"/>
    <s v="State"/>
    <s v="Fee Simple"/>
    <s v="686 E Mill St"/>
    <s v="San Bernardino"/>
    <s v="CA"/>
    <n v="2.9"/>
    <n v="1967"/>
    <n v="20148"/>
    <n v="33580"/>
    <n v="0.6"/>
    <m/>
    <s v=" "/>
    <m/>
    <s v=" "/>
    <m/>
    <m/>
    <m/>
    <s v=" "/>
    <s v=" "/>
    <m/>
    <m/>
    <m/>
    <n v="4825000"/>
    <n v="143.6867182846933"/>
    <s v=" "/>
    <m/>
    <d v="2002-10-25T00:00:00"/>
    <x v="8"/>
    <m/>
    <x v="1615"/>
    <s v="CA"/>
    <s v="Private"/>
    <m/>
    <m/>
    <m/>
    <s v=" "/>
    <s v=" "/>
    <m/>
    <s v=" "/>
    <s v=" "/>
    <s v=" "/>
    <m/>
    <s v=" "/>
  </r>
  <r>
    <m/>
    <s v="BR"/>
    <s v="Federal"/>
    <s v="Fee Simple"/>
    <s v="7201-7401 W Mansfield Ave"/>
    <s v="Lakewood"/>
    <s v="CO"/>
    <n v="14.62"/>
    <n v="1984"/>
    <n v="212996"/>
    <n v="212996"/>
    <n v="1"/>
    <m/>
    <s v=" "/>
    <n v="2587500"/>
    <n v="12.14811545756728"/>
    <m/>
    <d v="2012-06-30T00:00:00"/>
    <d v="2012-06-30T00:00:00"/>
    <n v="9.726027397260275"/>
    <n v="9.726027397260275"/>
    <s v="Modified Gross"/>
    <s v="None"/>
    <s v="None"/>
    <n v="28750000"/>
    <n v="134.9790606396364"/>
    <n v="0.09"/>
    <m/>
    <d v="2002-10-11T00:00:00"/>
    <x v="2068"/>
    <s v="CBRE; Sullivan"/>
    <x v="790"/>
    <s v="MA"/>
    <s v="REIT"/>
    <m/>
    <m/>
    <m/>
    <s v=" "/>
    <s v=" "/>
    <m/>
    <s v=" "/>
    <s v=" "/>
    <s v=" "/>
    <m/>
    <s v=" "/>
  </r>
  <r>
    <m/>
    <s v="Multi"/>
    <s v="State"/>
    <s v="Fee Simple"/>
    <s v="1949 &amp; 2121 S State St"/>
    <s v="Tacoma"/>
    <s v="WA"/>
    <n v="12.2"/>
    <n v="1986"/>
    <n v="232350.89"/>
    <n v="239537"/>
    <n v="0.97"/>
    <n v="4254000"/>
    <n v="18.30851605517844"/>
    <n v="3291466.95"/>
    <n v="13.74095421584139"/>
    <d v="1998-11-01T00:00:00"/>
    <d v="2008-10-31T00:00:00"/>
    <d v="1998-11-01T00:00:00"/>
    <n v="6.084931506849315"/>
    <n v="-3.92054794520548"/>
    <s v="Full Service"/>
    <s v="Yes, annually"/>
    <s v="1, 5 year"/>
    <n v="36571855"/>
    <n v="152.6772690649044"/>
    <n v="0.09"/>
    <m/>
    <d v="2002-10-02T00:00:00"/>
    <x v="2069"/>
    <s v="CBRE; Morioka"/>
    <x v="429"/>
    <s v="NY"/>
    <s v="Private"/>
    <m/>
    <m/>
    <m/>
    <s v=" "/>
    <s v=" "/>
    <m/>
    <s v=" "/>
    <s v=" "/>
    <s v=" "/>
    <m/>
    <s v=" "/>
  </r>
  <r>
    <m/>
    <s v="IRS/SSA"/>
    <s v="Federal"/>
    <s v="Fee Simple"/>
    <s v="225 W Broadway"/>
    <s v="Glendale"/>
    <s v="CA"/>
    <n v="1.76"/>
    <n v="1981"/>
    <n v="47814"/>
    <n v="126509"/>
    <n v="0.3779493949047104"/>
    <m/>
    <s v=" "/>
    <n v="2096250"/>
    <n v="16.56996735410129"/>
    <m/>
    <m/>
    <m/>
    <s v=" "/>
    <s v=" "/>
    <m/>
    <m/>
    <m/>
    <n v="21500000"/>
    <n v="169.9483831189876"/>
    <n v="0.0975"/>
    <m/>
    <d v="2002-09-24T00:00:00"/>
    <x v="1028"/>
    <m/>
    <x v="1616"/>
    <s v="NY"/>
    <s v="Private"/>
    <m/>
    <m/>
    <m/>
    <s v=" "/>
    <s v=" "/>
    <m/>
    <s v=" "/>
    <s v=" "/>
    <s v=" "/>
    <m/>
    <s v=" "/>
  </r>
  <r>
    <m/>
    <s v="North Virginia Community College"/>
    <s v="State"/>
    <s v="Fee Simple"/>
    <s v="3922-3928 Pender Dr"/>
    <s v="Fairfax"/>
    <s v="VA"/>
    <n v="13.78"/>
    <m/>
    <n v="147112.46"/>
    <n v="171061"/>
    <n v="0.86"/>
    <m/>
    <s v=" "/>
    <m/>
    <s v=" "/>
    <m/>
    <m/>
    <m/>
    <s v=" "/>
    <s v=" "/>
    <m/>
    <m/>
    <m/>
    <n v="28200000"/>
    <n v="164.8534733223821"/>
    <s v=" "/>
    <m/>
    <d v="2002-09-23T00:00:00"/>
    <x v="8"/>
    <m/>
    <x v="1494"/>
    <s v="NJ"/>
    <s v="REIT"/>
    <m/>
    <m/>
    <m/>
    <s v=" "/>
    <s v=" "/>
    <m/>
    <s v=" "/>
    <s v=" "/>
    <s v=" "/>
    <m/>
    <s v=" "/>
  </r>
  <r>
    <m/>
    <s v="IRS &amp; USCIS"/>
    <s v="Federal"/>
    <s v="Fee Simple"/>
    <s v="5000 Corporate Ct"/>
    <s v="Holtsville"/>
    <s v="NY"/>
    <n v="26.76"/>
    <n v="2000"/>
    <n v="216875.24"/>
    <n v="264482"/>
    <n v="0.82"/>
    <m/>
    <s v=" "/>
    <n v="3414750"/>
    <n v="12.91108657678027"/>
    <m/>
    <m/>
    <m/>
    <s v=" "/>
    <s v=" "/>
    <s v="Modified Gross"/>
    <s v="None"/>
    <s v="None"/>
    <n v="47611000"/>
    <n v="180.0160313367261"/>
    <n v="0.07172187099619835"/>
    <m/>
    <d v="2002-09-16T00:00:00"/>
    <x v="2070"/>
    <s v="Direct"/>
    <x v="1617"/>
    <s v="MD"/>
    <s v="REIT"/>
    <m/>
    <m/>
    <m/>
    <s v=" "/>
    <s v=" "/>
    <m/>
    <s v=" "/>
    <s v=" "/>
    <s v=" "/>
    <m/>
    <s v=" "/>
  </r>
  <r>
    <m/>
    <s v="BLM"/>
    <s v="Federal"/>
    <s v="Fee Simple"/>
    <s v="2601 Barstow Rd"/>
    <s v="Barstow"/>
    <s v="CA"/>
    <n v="4.79"/>
    <n v="1997"/>
    <n v="15820"/>
    <n v="15820"/>
    <n v="1"/>
    <m/>
    <s v=" "/>
    <m/>
    <s v=" "/>
    <m/>
    <m/>
    <m/>
    <s v=" "/>
    <s v=" "/>
    <m/>
    <m/>
    <m/>
    <n v="1890000"/>
    <n v="119.4690265486726"/>
    <s v=" "/>
    <m/>
    <d v="2002-09-06T00:00:00"/>
    <x v="2071"/>
    <m/>
    <x v="1618"/>
    <s v="CA"/>
    <s v="Private"/>
    <m/>
    <m/>
    <m/>
    <s v=" "/>
    <s v=" "/>
    <m/>
    <s v=" "/>
    <s v=" "/>
    <s v=" "/>
    <m/>
    <s v=" "/>
  </r>
  <r>
    <m/>
    <s v="IRS"/>
    <s v="Federal"/>
    <s v="Fee Simple"/>
    <s v="5045 E Butler Ave"/>
    <s v="Fresno"/>
    <s v="CA"/>
    <n v="48.46"/>
    <n v="1971"/>
    <n v="531976"/>
    <n v="531976"/>
    <n v="1"/>
    <m/>
    <s v=" "/>
    <m/>
    <s v=" "/>
    <m/>
    <m/>
    <m/>
    <s v=" "/>
    <s v=" "/>
    <m/>
    <m/>
    <m/>
    <m/>
    <s v=" "/>
    <s v=" "/>
    <m/>
    <d v="2002-08-27T00:00:00"/>
    <x v="2072"/>
    <m/>
    <x v="1619"/>
    <s v="MA"/>
    <s v="Private"/>
    <m/>
    <m/>
    <m/>
    <s v=" "/>
    <s v=" "/>
    <m/>
    <s v=" "/>
    <s v=" "/>
    <s v=" "/>
    <m/>
    <s v=" "/>
  </r>
  <r>
    <m/>
    <s v="DHS"/>
    <s v="Federal"/>
    <s v="Fee Simple"/>
    <s v="1545 Hawkins Blvd"/>
    <s v="El Paso"/>
    <s v="TX"/>
    <n v="2.65"/>
    <n v="1993"/>
    <n v="53419"/>
    <n v="53419"/>
    <n v="1"/>
    <n v="692051"/>
    <n v="12.95514704505887"/>
    <n v="285988"/>
    <n v="5.353675658473577"/>
    <d v="1994-01-01T00:00:00"/>
    <d v="2010-02-01T00:00:00"/>
    <d v="2005-02-01T00:00:00"/>
    <n v="7.471232876712329"/>
    <n v="2.468493150684932"/>
    <s v="Modified Gross"/>
    <s v="None"/>
    <s v="None"/>
    <n v="3990000"/>
    <n v="74.69252513150752"/>
    <n v="0.07167619047619048"/>
    <m/>
    <d v="2002-08-15T00:00:00"/>
    <x v="2073"/>
    <m/>
    <x v="1413"/>
    <s v="MI"/>
    <s v="Private"/>
    <m/>
    <m/>
    <m/>
    <s v=" "/>
    <s v=" "/>
    <m/>
    <s v=" "/>
    <s v=" "/>
    <s v=" "/>
    <m/>
    <s v=" "/>
  </r>
  <r>
    <m/>
    <s v="FS"/>
    <s v="Federal"/>
    <s v="Fee Simple"/>
    <s v="1101 15th Street North "/>
    <s v="Great Falls"/>
    <s v="MT"/>
    <n v="2.58"/>
    <n v="1958"/>
    <n v="41750"/>
    <n v="41750"/>
    <n v="1"/>
    <n v="397556"/>
    <n v="9.522299401197605"/>
    <n v="221705"/>
    <n v="5.310299401197605"/>
    <d v="2001-10-01T00:00:00"/>
    <d v="2011-09-30T00:00:00"/>
    <d v="2011-09-30T00:00:00"/>
    <n v="9.131506849315068"/>
    <n v="9.131506849315068"/>
    <s v="Modified Gross"/>
    <s v="None"/>
    <s v="None"/>
    <n v="2140000"/>
    <n v="51.25748502994012"/>
    <n v="0.1036004672897196"/>
    <m/>
    <d v="2002-08-15T00:00:00"/>
    <x v="2074"/>
    <m/>
    <x v="1413"/>
    <s v="MI"/>
    <s v="Private"/>
    <s v="BW; Wells"/>
    <m/>
    <m/>
    <s v=" "/>
    <s v=" "/>
    <m/>
    <s v=" "/>
    <s v=" "/>
    <s v=" "/>
    <m/>
    <s v=" "/>
  </r>
  <r>
    <m/>
    <s v="FWS"/>
    <s v="Federal"/>
    <s v="Fee Simple"/>
    <s v="2493 Portola Rd"/>
    <s v="Ventura"/>
    <s v="CA"/>
    <n v="1"/>
    <n v="1986"/>
    <n v="17061"/>
    <n v="17061"/>
    <n v="1"/>
    <m/>
    <s v=" "/>
    <n v="238000"/>
    <n v="13.94994431744916"/>
    <m/>
    <d v="2007-11-30T00:00:00"/>
    <d v="2002-11-30T00:00:00"/>
    <n v="5.301369863013699"/>
    <n v="0.2986301369863014"/>
    <s v="Modified Gross"/>
    <s v="None"/>
    <s v="None"/>
    <m/>
    <s v=" "/>
    <s v=" "/>
    <m/>
    <d v="2002-08-13T00:00:00"/>
    <x v="2075"/>
    <m/>
    <x v="1620"/>
    <s v="CA"/>
    <s v="Private"/>
    <m/>
    <m/>
    <m/>
    <s v=" "/>
    <s v=" "/>
    <m/>
    <s v=" "/>
    <s v=" "/>
    <s v=" "/>
    <m/>
    <s v=" "/>
  </r>
  <r>
    <s v="LAR15129"/>
    <s v="SSA"/>
    <s v="Federal"/>
    <s v="Fee Simple"/>
    <s v="112 Corporate Ter"/>
    <s v="Hot Springs"/>
    <s v="AR"/>
    <n v="1.16"/>
    <n v="2003"/>
    <n v="10980"/>
    <n v="10980"/>
    <n v="1"/>
    <n v="244737"/>
    <n v="22.28934426229508"/>
    <m/>
    <s v=" "/>
    <d v="2003-08-12T00:00:00"/>
    <d v="2013-08-11T00:00:00"/>
    <d v="2013-08-11T00:00:00"/>
    <n v="11.02465753424658"/>
    <n v="11.02465753424658"/>
    <s v="Modified Gross"/>
    <s v="None"/>
    <s v="None"/>
    <n v="595000"/>
    <n v="54.18943533697632"/>
    <s v=" "/>
    <m/>
    <d v="2002-08-05T00:00:00"/>
    <x v="982"/>
    <m/>
    <x v="1413"/>
    <s v="MI"/>
    <s v="Private"/>
    <s v="BW; Wells"/>
    <m/>
    <m/>
    <s v=" "/>
    <s v=" "/>
    <m/>
    <s v=" "/>
    <s v=" "/>
    <s v=" "/>
    <m/>
    <s v=" "/>
  </r>
  <r>
    <m/>
    <s v="USPS"/>
    <s v="Federal"/>
    <s v="Fee Simple"/>
    <s v="17283 General Puller Hwy"/>
    <s v="Deltaville"/>
    <s v="VA"/>
    <n v="1.81"/>
    <n v="1999"/>
    <n v="4415"/>
    <n v="4415"/>
    <n v="1"/>
    <n v="61430.7"/>
    <n v="13.91408833522084"/>
    <n v="0"/>
    <s v=" "/>
    <m/>
    <d v="2020-01-31T00:00:00"/>
    <m/>
    <n v="17.51232876712329"/>
    <s v=" "/>
    <s v="Rider"/>
    <s v="Options"/>
    <s v="4, 5 yr"/>
    <m/>
    <s v=" "/>
    <s v=" "/>
    <m/>
    <d v="2002-08-01T00:00:00"/>
    <x v="8"/>
    <m/>
    <x v="1413"/>
    <s v="MI"/>
    <s v="Private"/>
    <m/>
    <m/>
    <m/>
    <s v=" "/>
    <s v=" "/>
    <m/>
    <s v=" "/>
    <s v=" "/>
    <s v=" "/>
    <m/>
    <s v=" "/>
  </r>
  <r>
    <m/>
    <s v="HHSC"/>
    <s v="State"/>
    <s v="Fee Simple"/>
    <s v="2110 Telephone Rd"/>
    <s v="Houston"/>
    <s v="TX"/>
    <n v="1.12"/>
    <n v="1992"/>
    <n v="26865"/>
    <n v="26865"/>
    <n v="1"/>
    <n v="387160"/>
    <n v="14.41131583845152"/>
    <n v="192640"/>
    <n v="7.170668155592779"/>
    <d v="1997-02-01T00:00:00"/>
    <d v="2009-01-31T00:00:00"/>
    <m/>
    <n v="6.534246575342466"/>
    <s v=" "/>
    <s v="Full Service"/>
    <s v="None"/>
    <s v="None"/>
    <m/>
    <s v=" "/>
    <s v=" "/>
    <m/>
    <d v="2002-07-22T00:00:00"/>
    <x v="2076"/>
    <m/>
    <x v="1413"/>
    <s v="MI"/>
    <s v="Private"/>
    <m/>
    <m/>
    <m/>
    <s v=" "/>
    <s v=" "/>
    <m/>
    <s v=" "/>
    <s v=" "/>
    <s v=" "/>
    <m/>
    <s v=" "/>
  </r>
  <r>
    <m/>
    <s v="DSHS"/>
    <s v="State"/>
    <s v="Fee Simple"/>
    <s v="1301 E 72nd St"/>
    <s v="Tacoma"/>
    <s v="WA"/>
    <n v="2.93"/>
    <n v="1994"/>
    <n v="30000"/>
    <n v="30000"/>
    <n v="1"/>
    <n v="615000"/>
    <n v="20.5"/>
    <n v="251402.48"/>
    <n v="8.380082666666667"/>
    <d v="2002-08-01T00:00:00"/>
    <d v="2012-07-31T00:00:00"/>
    <d v="2002-08-01T00:00:00"/>
    <n v="10.06301369863014"/>
    <n v="0.05753424657534247"/>
    <s v="Full Service"/>
    <s v="None"/>
    <s v="2, 5 year"/>
    <n v="3142531"/>
    <n v="104.7510333333333"/>
    <n v="0.08"/>
    <m/>
    <d v="2002-07-11T00:00:00"/>
    <x v="2077"/>
    <m/>
    <x v="1621"/>
    <s v="WA"/>
    <s v="Private"/>
    <m/>
    <m/>
    <m/>
    <s v=" "/>
    <s v=" "/>
    <m/>
    <s v=" "/>
    <s v=" "/>
    <s v=" "/>
    <m/>
    <s v=" "/>
  </r>
  <r>
    <m/>
    <s v="DHS"/>
    <s v="State"/>
    <s v="Fee Simple"/>
    <s v="7400 Diana"/>
    <s v="El Paso"/>
    <s v="TX"/>
    <n v="1.76"/>
    <n v="2002"/>
    <n v="17720"/>
    <n v="17720"/>
    <n v="1"/>
    <n v="231227"/>
    <n v="13.04892776523702"/>
    <n v="143434"/>
    <n v="8.094469525959369"/>
    <d v="2002-01-01T00:00:00"/>
    <d v="2010-12-31T00:00:00"/>
    <m/>
    <n v="8.482191780821918"/>
    <s v=" "/>
    <s v="Modified Gross"/>
    <s v="None"/>
    <s v="None"/>
    <n v="1375000"/>
    <n v="77.59593679458239"/>
    <n v="0.1043156363636364"/>
    <m/>
    <d v="2002-07-10T00:00:00"/>
    <x v="2078"/>
    <m/>
    <x v="1413"/>
    <s v="MI"/>
    <s v="Private"/>
    <m/>
    <m/>
    <m/>
    <s v=" "/>
    <s v=" "/>
    <m/>
    <s v=" "/>
    <s v=" "/>
    <s v=" "/>
    <m/>
    <s v=" "/>
  </r>
  <r>
    <m/>
    <s v="AOC"/>
    <s v="Federal"/>
    <s v="Fee Simple"/>
    <s v="1310 N Courthouse Rd"/>
    <s v="Arlington"/>
    <s v="VA"/>
    <n v="1.97"/>
    <n v="1983"/>
    <n v="71450"/>
    <n v="380499"/>
    <n v="0.1877797313527762"/>
    <m/>
    <s v=" "/>
    <m/>
    <s v=" "/>
    <m/>
    <m/>
    <m/>
    <s v=" "/>
    <s v=" "/>
    <m/>
    <m/>
    <m/>
    <n v="64800000"/>
    <n v="170.3026814787949"/>
    <s v=" "/>
    <m/>
    <d v="2002-07-01T00:00:00"/>
    <x v="2079"/>
    <s v="HFF; Conley"/>
    <x v="1622"/>
    <m/>
    <s v="Cross-Border"/>
    <m/>
    <m/>
    <m/>
    <s v=" "/>
    <s v=" "/>
    <m/>
    <s v=" "/>
    <s v=" "/>
    <s v=" "/>
    <m/>
    <s v=" "/>
  </r>
  <r>
    <m/>
    <s v="DI"/>
    <s v="Federal"/>
    <s v="Fee Simple"/>
    <s v="1201 Elmwood Park Blvd"/>
    <s v="New Orleans"/>
    <s v="LA"/>
    <n v="4.506"/>
    <n v="1985"/>
    <n v="197084"/>
    <n v="197084"/>
    <n v="1"/>
    <m/>
    <s v=" "/>
    <m/>
    <s v=" "/>
    <m/>
    <d v="2015-12-31T00:00:00"/>
    <d v="2010-12-31T00:00:00"/>
    <n v="13.50958904109589"/>
    <n v="8.506849315068493"/>
    <m/>
    <m/>
    <m/>
    <n v="23600000"/>
    <n v="119.745895151306"/>
    <s v=" "/>
    <m/>
    <d v="2002-07-01T00:00:00"/>
    <x v="8"/>
    <m/>
    <x v="429"/>
    <s v="NY"/>
    <s v="Private"/>
    <m/>
    <m/>
    <m/>
    <s v=" "/>
    <s v=" "/>
    <m/>
    <s v=" "/>
    <s v=" "/>
    <s v=" "/>
    <m/>
    <s v=" "/>
  </r>
  <r>
    <m/>
    <s v="VA"/>
    <s v="Federal"/>
    <s v="Fee Simple"/>
    <s v="1500-1506 Dodson Ave"/>
    <s v="Fort Smith"/>
    <s v="AR"/>
    <n v="8.08"/>
    <m/>
    <n v="12000"/>
    <n v="64546"/>
    <n v="0.1859139218541815"/>
    <m/>
    <s v=" "/>
    <m/>
    <s v=" "/>
    <m/>
    <m/>
    <m/>
    <s v=" "/>
    <s v=" "/>
    <m/>
    <m/>
    <m/>
    <n v="17174000"/>
    <n v="266.0738078269761"/>
    <s v=" "/>
    <m/>
    <d v="2002-06-27T00:00:00"/>
    <x v="2080"/>
    <m/>
    <x v="1623"/>
    <m/>
    <m/>
    <m/>
    <m/>
    <m/>
    <s v=" "/>
    <s v=" "/>
    <m/>
    <s v=" "/>
    <s v=" "/>
    <s v=" "/>
    <m/>
    <s v=" "/>
  </r>
  <r>
    <m/>
    <s v="SSA"/>
    <s v="Federal"/>
    <s v="Fee Simple"/>
    <s v="1014 S Main St"/>
    <s v="Culpepper"/>
    <s v="VA"/>
    <n v="0.25"/>
    <n v="2002"/>
    <n v="5520"/>
    <n v="5520"/>
    <n v="1"/>
    <m/>
    <s v=" "/>
    <m/>
    <s v=" "/>
    <d v="2002-07-01T00:00:00"/>
    <d v="2022-06-30T00:00:00"/>
    <d v="2017-06-30T00:00:00"/>
    <n v="20.0958904109589"/>
    <n v="15.09315068493151"/>
    <s v="Modified Gross"/>
    <s v="None"/>
    <s v="None"/>
    <n v="1085000"/>
    <n v="196.5579710144928"/>
    <s v=" "/>
    <m/>
    <d v="2002-05-31T00:00:00"/>
    <x v="2081"/>
    <m/>
    <x v="1624"/>
    <s v="VA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n v="6523650"/>
    <n v="86.20158828737166"/>
    <s v=" "/>
    <m/>
    <d v="2002-05-31T00:00:00"/>
    <x v="1071"/>
    <m/>
    <x v="1625"/>
    <s v="TX"/>
    <s v="Private"/>
    <m/>
    <m/>
    <m/>
    <s v=" "/>
    <s v=" "/>
    <m/>
    <s v=" "/>
    <s v=" "/>
    <s v=" "/>
    <m/>
    <s v=" "/>
  </r>
  <r>
    <m/>
    <s v="SSA"/>
    <s v="Federal"/>
    <s v="Fee Simple"/>
    <s v="2234 Girard St"/>
    <s v="Delano"/>
    <s v="CA"/>
    <n v="0.6899908172635445"/>
    <n v="1998"/>
    <n v="10040"/>
    <n v="10040"/>
    <n v="1"/>
    <m/>
    <s v=" "/>
    <m/>
    <s v=" "/>
    <m/>
    <d v="2009-08-01T00:00:00"/>
    <d v="2009-08-01T00:00:00"/>
    <n v="7.194520547945205"/>
    <n v="7.194520547945205"/>
    <s v="Modified Gross"/>
    <s v="None"/>
    <s v="None"/>
    <n v="3845000"/>
    <n v="382.9681274900398"/>
    <s v=" "/>
    <m/>
    <d v="2002-05-24T00:00:00"/>
    <x v="2050"/>
    <m/>
    <x v="1626"/>
    <s v="CA"/>
    <s v="Private"/>
    <m/>
    <m/>
    <m/>
    <s v=" "/>
    <s v=" "/>
    <m/>
    <s v=" "/>
    <s v=" "/>
    <s v=" "/>
    <m/>
    <s v=" "/>
  </r>
  <r>
    <m/>
    <s v="IRS"/>
    <s v="Federal"/>
    <s v="Fee Simple"/>
    <s v="1122 Town &amp; Country Commons"/>
    <s v="Chesterfield"/>
    <s v="MO"/>
    <n v="6.9"/>
    <n v="1995"/>
    <n v="48642"/>
    <n v="48642"/>
    <n v="1"/>
    <n v="918201.01"/>
    <n v="18.87671168948645"/>
    <n v="529224.9600000001"/>
    <n v="10.88"/>
    <d v="2011-04-01T00:00:00"/>
    <d v="2021-03-31T00:00:00"/>
    <d v="2016-04-01T00:00:00"/>
    <n v="18.87671232876712"/>
    <n v="13.87671232876712"/>
    <s v="Modified Gross"/>
    <s v="None"/>
    <s v="None"/>
    <n v="5550000"/>
    <n v="114.0989268533366"/>
    <n v="0.09535584864864867"/>
    <m/>
    <d v="2002-05-20T00:00:00"/>
    <x v="2082"/>
    <s v="Colliers"/>
    <x v="1627"/>
    <s v="MO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n v="4389000"/>
    <n v="57.99495236459256"/>
    <s v=" "/>
    <m/>
    <d v="2002-05-14T00:00:00"/>
    <x v="1266"/>
    <m/>
    <x v="1628"/>
    <s v="TX"/>
    <s v="Private"/>
    <m/>
    <m/>
    <m/>
    <s v=" "/>
    <s v=" "/>
    <m/>
    <s v=" "/>
    <s v=" "/>
    <s v=" "/>
    <m/>
    <s v=" "/>
  </r>
  <r>
    <m/>
    <s v="THECB"/>
    <s v="State"/>
    <s v="Fee Simple"/>
    <s v="1200 E Anderson Ln"/>
    <s v="Austin"/>
    <s v="TX"/>
    <n v="3.66"/>
    <n v="1982"/>
    <n v="86910"/>
    <n v="86910"/>
    <n v="1"/>
    <m/>
    <s v=" "/>
    <n v="865000"/>
    <n v="9.952824761247268"/>
    <d v="2000-07-01T00:00:00"/>
    <d v="2010-06-30T00:00:00"/>
    <d v="2001-07-01T00:00:00"/>
    <n v="8.169863013698631"/>
    <n v="-0.8328767123287671"/>
    <s v="Full Service"/>
    <s v="None"/>
    <s v="2, 5 yr"/>
    <n v="8650000"/>
    <n v="99.52824761247267"/>
    <n v="0.1"/>
    <m/>
    <d v="2002-05-01T00:00:00"/>
    <x v="2083"/>
    <m/>
    <x v="1629"/>
    <s v="TX"/>
    <s v="Private"/>
    <m/>
    <m/>
    <m/>
    <s v=" "/>
    <s v=" "/>
    <m/>
    <s v=" "/>
    <s v=" "/>
    <s v=" "/>
    <d v="2001-05-01T00:00:00"/>
    <n v="365"/>
  </r>
  <r>
    <s v="LTX14880"/>
    <s v="INS"/>
    <s v="Federal"/>
    <s v="Fee Simple"/>
    <s v="6451 Boeing Dr"/>
    <s v="El Paso"/>
    <s v="TX"/>
    <n v="4.51"/>
    <n v="1970"/>
    <n v="20865"/>
    <n v="20865"/>
    <n v="1"/>
    <n v="631844"/>
    <n v="30.28248262640786"/>
    <n v="383826"/>
    <n v="18.39568655643422"/>
    <d v="2001-12-19T00:00:00"/>
    <d v="2016-12-18T00:00:00"/>
    <d v="2006-12-18T00:00:00"/>
    <n v="14.64931506849315"/>
    <n v="4.641095890410959"/>
    <s v="Modified Gross"/>
    <s v="None"/>
    <s v="None"/>
    <m/>
    <s v=" "/>
    <s v=" "/>
    <m/>
    <d v="2002-04-29T00:00:00"/>
    <x v="8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2565 NW Thompson Bridge Rd"/>
    <s v="Gainesville"/>
    <s v="GA"/>
    <n v="4.6"/>
    <n v="2001"/>
    <n v="17844"/>
    <n v="49830"/>
    <n v="0.3580975316074654"/>
    <m/>
    <s v=" "/>
    <m/>
    <s v=" "/>
    <m/>
    <m/>
    <m/>
    <s v=" "/>
    <s v=" "/>
    <m/>
    <m/>
    <m/>
    <n v="3917600"/>
    <n v="78.61930563917319"/>
    <s v=" "/>
    <m/>
    <d v="2002-04-23T00:00:00"/>
    <x v="8"/>
    <m/>
    <x v="1630"/>
    <s v="GA"/>
    <s v="Private"/>
    <m/>
    <m/>
    <m/>
    <s v=" "/>
    <s v=" "/>
    <m/>
    <s v=" "/>
    <s v=" "/>
    <s v=" "/>
    <m/>
    <s v=" "/>
  </r>
  <r>
    <m/>
    <s v="SSA"/>
    <s v="Federal"/>
    <s v="Fee Simple"/>
    <s v="1735 Coffee Port Rd"/>
    <s v="Brownsville"/>
    <s v="TX"/>
    <n v="1.47"/>
    <n v="2002"/>
    <n v="23978"/>
    <n v="23978"/>
    <n v="1"/>
    <n v="282653"/>
    <n v="11.78801401284511"/>
    <n v="212209"/>
    <n v="8.850154308115773"/>
    <d v="2002-04-01T00:00:00"/>
    <d v="2012-05-01T00:00:00"/>
    <d v="2012-05-01T00:00:00"/>
    <n v="10.04383561643836"/>
    <n v="10.04383561643836"/>
    <s v="Modified Gross"/>
    <s v="None"/>
    <s v="None"/>
    <n v="2200000"/>
    <n v="91.75077154057887"/>
    <n v="0.09645863636363636"/>
    <m/>
    <d v="2002-04-18T00:00:00"/>
    <x v="2084"/>
    <m/>
    <x v="1413"/>
    <s v="MI"/>
    <s v="Private"/>
    <m/>
    <m/>
    <m/>
    <s v=" "/>
    <s v=" "/>
    <m/>
    <s v=" "/>
    <s v=" "/>
    <s v=" "/>
    <m/>
    <s v=" "/>
  </r>
  <r>
    <m/>
    <s v="BLM/FS"/>
    <s v="Federal"/>
    <s v="Leasehold"/>
    <s v="101 Sun Ave Ne"/>
    <s v="Albuquerque"/>
    <s v="NM"/>
    <n v="5.22"/>
    <n v="1989"/>
    <n v="165534"/>
    <n v="233000"/>
    <n v="0.7104463519313304"/>
    <m/>
    <s v=" "/>
    <m/>
    <s v=" "/>
    <m/>
    <m/>
    <m/>
    <s v=" "/>
    <s v=" "/>
    <m/>
    <m/>
    <m/>
    <n v="15300000"/>
    <n v="65.66523605150215"/>
    <s v=" "/>
    <m/>
    <d v="2002-04-01T00:00:00"/>
    <x v="2085"/>
    <m/>
    <x v="1631"/>
    <s v="NM"/>
    <s v="Private"/>
    <m/>
    <m/>
    <m/>
    <s v=" "/>
    <s v=" "/>
    <m/>
    <s v=" "/>
    <s v=" "/>
    <s v=" "/>
    <m/>
    <s v=" "/>
  </r>
  <r>
    <m/>
    <s v="DHS"/>
    <s v="Federal"/>
    <s v="Fee Simple"/>
    <s v="7701 N Stemmons Fwy"/>
    <s v="Dallas"/>
    <s v="TX"/>
    <n v="5.6416"/>
    <n v="1968"/>
    <n v="175801"/>
    <n v="175801"/>
    <n v="1"/>
    <m/>
    <s v=" "/>
    <m/>
    <s v=" "/>
    <m/>
    <d v="2011-04-30T00:00:00"/>
    <d v="2006-04-30T00:00:00"/>
    <n v="9.095890410958905"/>
    <n v="4.093150684931507"/>
    <s v="Modified Gross"/>
    <s v="None"/>
    <s v="None"/>
    <n v="15760500"/>
    <n v="89.64966069590048"/>
    <s v=" "/>
    <m/>
    <d v="2002-03-28T00:00:00"/>
    <x v="2086"/>
    <m/>
    <x v="429"/>
    <s v="NY"/>
    <s v="Private"/>
    <m/>
    <m/>
    <m/>
    <s v=" "/>
    <s v=" "/>
    <m/>
    <s v=" "/>
    <s v=" "/>
    <s v=" "/>
    <m/>
    <s v=" "/>
  </r>
  <r>
    <m/>
    <s v="Soc. Ser."/>
    <s v="County"/>
    <s v="Fee Simple"/>
    <s v="7987 Ashton Ave"/>
    <s v="Manassas"/>
    <s v="VA"/>
    <n v="5.52"/>
    <n v="1987"/>
    <n v="69374"/>
    <n v="69374"/>
    <n v="1"/>
    <m/>
    <s v=" "/>
    <m/>
    <s v=" "/>
    <m/>
    <m/>
    <m/>
    <s v=" "/>
    <s v=" "/>
    <m/>
    <m/>
    <m/>
    <n v="9829400"/>
    <n v="141.6870873814397"/>
    <s v=" "/>
    <m/>
    <d v="2002-03-27T00:00:00"/>
    <x v="2087"/>
    <m/>
    <x v="1632"/>
    <s v="VA"/>
    <s v="Private"/>
    <m/>
    <m/>
    <m/>
    <s v=" "/>
    <s v=" "/>
    <m/>
    <s v=" "/>
    <s v=" "/>
    <s v=" "/>
    <m/>
    <s v=" "/>
  </r>
  <r>
    <s v="LTX14894"/>
    <s v="SSA"/>
    <s v="Federal"/>
    <s v="Fee Simple"/>
    <s v="5414 Aldine Mail Rd"/>
    <s v="Houston"/>
    <s v="TX"/>
    <n v="2.19"/>
    <n v="2001"/>
    <n v="21019"/>
    <n v="21019"/>
    <n v="1"/>
    <n v="534589.8199999999"/>
    <n v="25.43364670060421"/>
    <m/>
    <s v=" "/>
    <d v="2002-02-22T00:00:00"/>
    <d v="2017-02-21T00:00:00"/>
    <d v="2012-02-22T00:00:00"/>
    <n v="14.93150684931507"/>
    <n v="9.92876712328767"/>
    <s v="Modified Gross"/>
    <s v="None"/>
    <s v="None"/>
    <n v="2100000"/>
    <n v="99.90960559493791"/>
    <s v=" "/>
    <m/>
    <d v="2002-03-22T00:00:00"/>
    <x v="8"/>
    <m/>
    <x v="1633"/>
    <s v="TX"/>
    <s v="Private"/>
    <m/>
    <m/>
    <m/>
    <s v=" "/>
    <s v=" "/>
    <m/>
    <s v=" "/>
    <s v=" "/>
    <s v=" "/>
    <m/>
    <s v=" "/>
  </r>
  <r>
    <m/>
    <s v="BIA"/>
    <s v="Federal"/>
    <s v="Fee Simple"/>
    <s v="256 S 2nd Ave"/>
    <s v="Yuma"/>
    <s v="AZ"/>
    <n v="0.95"/>
    <n v="1993"/>
    <n v="5495"/>
    <n v="11045"/>
    <n v="0.4975101856043458"/>
    <n v="121667"/>
    <n v="22.14140127388535"/>
    <m/>
    <s v=" "/>
    <m/>
    <d v="2011-08-31T00:00:00"/>
    <d v="2006-08-31T00:00:00"/>
    <n v="9.452054794520548"/>
    <n v="4.449315068493151"/>
    <s v="Modified Gross"/>
    <s v="None"/>
    <s v="None"/>
    <n v="880000"/>
    <n v="79.67406066093255"/>
    <s v=" "/>
    <m/>
    <d v="2002-03-21T00:00:00"/>
    <x v="2088"/>
    <m/>
    <x v="1634"/>
    <s v="AZ"/>
    <s v="Private"/>
    <m/>
    <m/>
    <m/>
    <s v=" "/>
    <s v=" "/>
    <m/>
    <s v=" "/>
    <s v=" "/>
    <s v=" "/>
    <m/>
    <s v=" "/>
  </r>
  <r>
    <m/>
    <s v="NIH"/>
    <s v="Federal"/>
    <s v="Leasehold"/>
    <s v="333 Cassell DDr"/>
    <s v="Baltimore"/>
    <s v="MD"/>
    <m/>
    <n v="1989"/>
    <n v="101386"/>
    <n v="101386"/>
    <n v="1"/>
    <m/>
    <s v=" "/>
    <n v="1720000"/>
    <n v="16.96486694415402"/>
    <m/>
    <d v="2010-01-31T00:00:00"/>
    <d v="2010-01-31T00:00:00"/>
    <n v="7.926027397260274"/>
    <n v="7.926027397260274"/>
    <s v="NNN"/>
    <s v="None"/>
    <s v="None"/>
    <n v="21500000"/>
    <n v="212.0608368019253"/>
    <n v="0.08"/>
    <m/>
    <d v="2002-03-01T00:00:00"/>
    <x v="2089"/>
    <m/>
    <x v="1635"/>
    <s v="TX"/>
    <s v="Private"/>
    <m/>
    <m/>
    <m/>
    <s v=" "/>
    <s v=" "/>
    <m/>
    <s v=" "/>
    <s v=" "/>
    <s v=" "/>
    <m/>
    <s v=" "/>
  </r>
  <r>
    <m/>
    <m/>
    <s v="Federal"/>
    <s v="Fee Simple"/>
    <s v="Portfolio of Two"/>
    <s v="Washington"/>
    <s v="DC"/>
    <n v="2.93"/>
    <m/>
    <n v="792610"/>
    <n v="792610"/>
    <n v="1"/>
    <n v="17390687"/>
    <n v="21.941039098674"/>
    <n v="13236107"/>
    <n v="16.6993944058238"/>
    <m/>
    <m/>
    <m/>
    <s v=" "/>
    <s v=" "/>
    <m/>
    <m/>
    <m/>
    <n v="162373191"/>
    <n v="204.8588725855086"/>
    <n v="0.08151657868200669"/>
    <m/>
    <d v="2002-03-01T00:00:00"/>
    <x v="1473"/>
    <m/>
    <x v="1636"/>
    <s v="DC"/>
    <s v="Private"/>
    <m/>
    <m/>
    <m/>
    <s v=" "/>
    <s v=" "/>
    <m/>
    <s v=" "/>
    <s v=" "/>
    <s v=" "/>
    <m/>
    <s v=" "/>
  </r>
  <r>
    <m/>
    <s v="DEA"/>
    <s v="Federal"/>
    <s v="Fee Simple"/>
    <s v="5810 Newton Dr"/>
    <s v="Carlsbad"/>
    <s v="CA"/>
    <n v="1.5"/>
    <n v="1996"/>
    <n v="18922"/>
    <n v="18922"/>
    <n v="1"/>
    <m/>
    <s v=" "/>
    <m/>
    <s v=" "/>
    <m/>
    <d v="2011-11-30T00:00:00"/>
    <d v="2006-11-30T00:00:00"/>
    <n v="9.813698630136987"/>
    <n v="4.810958904109589"/>
    <s v="Modified Gross"/>
    <s v="None"/>
    <s v="None"/>
    <m/>
    <s v=" "/>
    <s v=" "/>
    <m/>
    <d v="2002-02-08T00:00:00"/>
    <x v="2090"/>
    <m/>
    <x v="1637"/>
    <s v="CA"/>
    <s v="Private"/>
    <m/>
    <m/>
    <m/>
    <s v=" "/>
    <s v=" "/>
    <m/>
    <s v=" "/>
    <s v=" "/>
    <s v=" "/>
    <m/>
    <s v=" "/>
  </r>
  <r>
    <m/>
    <s v="DEA"/>
    <s v="Federal"/>
    <s v="Leasehold"/>
    <s v="111 Greencourt Rd"/>
    <s v="Richmond"/>
    <s v="VA"/>
    <n v="2.14"/>
    <n v="1989"/>
    <n v="27229"/>
    <n v="27229"/>
    <n v="1"/>
    <m/>
    <s v=" "/>
    <m/>
    <s v=" "/>
    <m/>
    <d v="2011-05-31T00:00:00"/>
    <d v="2006-05-31T00:00:00"/>
    <n v="9.315068493150685"/>
    <n v="4.312328767123287"/>
    <s v="Modified Gross"/>
    <s v="None"/>
    <s v="None"/>
    <n v="2250000"/>
    <n v="82.63248742149914"/>
    <s v=" "/>
    <m/>
    <d v="2002-02-07T00:00:00"/>
    <x v="2091"/>
    <s v="Northmarq; Lowry"/>
    <x v="1638"/>
    <s v="DC"/>
    <s v="Private"/>
    <m/>
    <m/>
    <n v="2550000"/>
    <s v=" "/>
    <n v="0.8823529411764706"/>
    <n v="2550000"/>
    <s v=" "/>
    <s v=" "/>
    <s v="No"/>
    <m/>
    <s v=" "/>
  </r>
  <r>
    <s v="LAZ98185"/>
    <s v="SSA"/>
    <s v="Federal"/>
    <s v="Fee Simple"/>
    <s v="205 N Marina"/>
    <s v="Prescott"/>
    <s v="AZ"/>
    <n v="0.52"/>
    <n v="1985"/>
    <n v="10995"/>
    <n v="10995"/>
    <n v="1"/>
    <n v="291269"/>
    <n v="26.49104138244657"/>
    <n v="254905.09"/>
    <n v="23.18372805820828"/>
    <d v="1999-11-02T00:00:00"/>
    <d v="2014-11-01T00:00:00"/>
    <d v="2009-11-02T00:00:00"/>
    <n v="12.8027397260274"/>
    <n v="7.802739726027397"/>
    <s v="Modified Gross"/>
    <s v="None"/>
    <s v="None"/>
    <n v="2500000"/>
    <n v="227.3760800363802"/>
    <n v="0.101962036"/>
    <m/>
    <d v="2002-01-15T00:00:00"/>
    <x v="2092"/>
    <m/>
    <x v="1637"/>
    <s v="CA"/>
    <s v="Private"/>
    <m/>
    <m/>
    <m/>
    <s v=" "/>
    <s v=" "/>
    <m/>
    <s v=" "/>
    <s v=" "/>
    <s v=" "/>
    <m/>
    <s v=" "/>
  </r>
  <r>
    <m/>
    <s v="BLM"/>
    <s v="Federal"/>
    <s v="Fee Simple"/>
    <s v="2909 W Second St"/>
    <s v="Roswell"/>
    <s v="NM"/>
    <n v="6.49"/>
    <n v="1996"/>
    <n v="39444"/>
    <n v="39444"/>
    <n v="1"/>
    <n v="474560"/>
    <n v="12.03123415475104"/>
    <n v="266101"/>
    <n v="6.746298549842815"/>
    <d v="1996-09-10T00:00:00"/>
    <d v="2011-09-09T00:00:00"/>
    <d v="2011-09-09T00:00:00"/>
    <n v="9.654794520547945"/>
    <n v="9.654794520547945"/>
    <s v="Modified Gross"/>
    <s v="None"/>
    <s v="None"/>
    <n v="3040000"/>
    <n v="77.07129094412332"/>
    <n v="0.08753322368421053"/>
    <m/>
    <d v="2002-01-15T00:00:00"/>
    <x v="223"/>
    <m/>
    <x v="1413"/>
    <s v="MI"/>
    <s v="Private"/>
    <m/>
    <m/>
    <m/>
    <s v=" "/>
    <s v=" "/>
    <m/>
    <s v=" "/>
    <s v=" "/>
    <s v=" "/>
    <m/>
    <s v=" "/>
  </r>
  <r>
    <s v="LIL16186"/>
    <s v="SSA"/>
    <s v="Federal"/>
    <s v="Fee Simple"/>
    <s v="230 N Mannheim Rd"/>
    <s v="Hillside"/>
    <s v="IL"/>
    <n v="1.38"/>
    <n v="1998"/>
    <n v="14899"/>
    <n v="14899"/>
    <n v="1"/>
    <n v="383885"/>
    <n v="25.76582320961138"/>
    <n v="295138"/>
    <n v="19.80924894288207"/>
    <d v="1998-10-05T00:00:00"/>
    <d v="2018-10-31T00:00:00"/>
    <d v="2008-10-31T00:00:00"/>
    <n v="16.84383561643835"/>
    <n v="6.838356164383562"/>
    <s v="Modified Gross"/>
    <s v="None"/>
    <s v="None"/>
    <n v="2764000"/>
    <n v="185.5158064299617"/>
    <n v="0.1067793053545586"/>
    <m/>
    <d v="2001-12-31T00:00:00"/>
    <x v="1708"/>
    <m/>
    <x v="1413"/>
    <s v="MI"/>
    <s v="Private"/>
    <m/>
    <m/>
    <m/>
    <s v=" "/>
    <s v=" "/>
    <m/>
    <s v=" "/>
    <s v=" "/>
    <s v=" "/>
    <m/>
    <s v=" "/>
  </r>
  <r>
    <m/>
    <s v="USPS"/>
    <s v="Federal"/>
    <s v="Fee Simple"/>
    <s v="40090 Hempstead Highway"/>
    <s v="Waller"/>
    <s v="TX"/>
    <n v="2.62"/>
    <n v="2001"/>
    <n v="8695"/>
    <n v="8695"/>
    <n v="1"/>
    <n v="104907"/>
    <n v="12.06520989074181"/>
    <n v="81225"/>
    <n v="9.341575618171364"/>
    <d v="2001-04-01T00:00:00"/>
    <d v="2021-03-31T00:00:00"/>
    <d v="2021-03-31T00:00:00"/>
    <n v="19.26849315068493"/>
    <n v="19.26849315068493"/>
    <s v="Rider"/>
    <s v="None"/>
    <s v="4, 5 yr"/>
    <n v="1006300"/>
    <n v="115.7331799884991"/>
    <n v="0.08071648613733479"/>
    <m/>
    <d v="2001-12-28T00:00:00"/>
    <x v="1620"/>
    <m/>
    <x v="1413"/>
    <s v="MI"/>
    <s v="Private"/>
    <m/>
    <m/>
    <m/>
    <s v=" "/>
    <s v=" "/>
    <m/>
    <s v=" "/>
    <s v=" "/>
    <s v=" "/>
    <m/>
    <s v=" "/>
  </r>
  <r>
    <m/>
    <s v="RMV"/>
    <s v="State"/>
    <s v="Fee Simple"/>
    <s v="25 Newport Ave Ex"/>
    <s v="Quincy"/>
    <s v="MA"/>
    <n v="4.77"/>
    <n v="1985"/>
    <n v="83294"/>
    <n v="220581"/>
    <n v="0.3776118523354233"/>
    <m/>
    <s v=" "/>
    <n v="2937000"/>
    <n v="13.31483672664463"/>
    <m/>
    <m/>
    <m/>
    <s v=" "/>
    <s v=" "/>
    <m/>
    <m/>
    <m/>
    <n v="26700000"/>
    <n v="121.0439702422239"/>
    <n v="0.11"/>
    <m/>
    <d v="2001-11-15T00:00:00"/>
    <x v="2093"/>
    <s v="Colliers; Pergola"/>
    <x v="1639"/>
    <s v="MA"/>
    <s v="Private"/>
    <m/>
    <m/>
    <m/>
    <s v=" "/>
    <s v=" "/>
    <m/>
    <s v=" "/>
    <s v=" "/>
    <s v=" "/>
    <m/>
    <s v=" "/>
  </r>
  <r>
    <m/>
    <s v="Multi"/>
    <s v="State &amp; Federal"/>
    <s v="Fee Simple"/>
    <s v="123 William St"/>
    <s v="New York"/>
    <s v="NY"/>
    <n v="0.51"/>
    <n v="1957"/>
    <n v="172041"/>
    <n v="530500"/>
    <n v="0.3242997172478794"/>
    <m/>
    <s v=" "/>
    <m/>
    <s v=" "/>
    <m/>
    <m/>
    <m/>
    <s v=" "/>
    <s v=" "/>
    <m/>
    <m/>
    <m/>
    <m/>
    <s v=" "/>
    <s v=" "/>
    <m/>
    <d v="2001-10-23T00:00:00"/>
    <x v="8"/>
    <m/>
    <x v="1640"/>
    <s v="NY"/>
    <s v="Private"/>
    <m/>
    <m/>
    <m/>
    <s v=" "/>
    <s v=" "/>
    <m/>
    <s v=" "/>
    <s v=" "/>
    <s v=" "/>
    <m/>
    <s v=" "/>
  </r>
  <r>
    <m/>
    <s v="NIH"/>
    <s v="Federal"/>
    <s v="Fee Simple"/>
    <s v="301 N Stonestreet Ave"/>
    <s v="Rockville"/>
    <s v="MD"/>
    <n v="3.18"/>
    <n v="1991"/>
    <n v="49956"/>
    <n v="49956"/>
    <n v="1"/>
    <m/>
    <s v=" "/>
    <m/>
    <s v=" "/>
    <m/>
    <d v="2020-07-01T00:00:00"/>
    <d v="2015-07-01T00:00:00"/>
    <n v="18.71506849315069"/>
    <n v="13.70958904109589"/>
    <s v="Modified Gross"/>
    <s v="None"/>
    <s v="None"/>
    <n v="3525000"/>
    <n v="70.56209464328609"/>
    <s v=" "/>
    <m/>
    <d v="2001-10-18T00:00:00"/>
    <x v="2094"/>
    <m/>
    <x v="1557"/>
    <s v="MD"/>
    <s v="Private"/>
    <m/>
    <m/>
    <m/>
    <s v=" "/>
    <s v=" "/>
    <m/>
    <s v=" "/>
    <s v=" "/>
    <s v=" "/>
    <m/>
    <s v=" "/>
  </r>
  <r>
    <m/>
    <s v="USPS"/>
    <s v="Federal"/>
    <s v="Fee Simple"/>
    <s v="703 Church Street"/>
    <s v="East Bernard"/>
    <s v="TX"/>
    <n v="1.52"/>
    <n v="2001"/>
    <n v="7204"/>
    <n v="7204"/>
    <n v="1"/>
    <n v="79423"/>
    <n v="11.02484730705164"/>
    <n v="54620"/>
    <n v="7.581898945030539"/>
    <d v="2001-07-31T00:00:00"/>
    <d v="2021-08-01T00:00:00"/>
    <d v="2021-08-01T00:00:00"/>
    <n v="19.84657534246575"/>
    <n v="19.84657534246575"/>
    <s v="Rider"/>
    <s v="None"/>
    <s v="4, 5 yr"/>
    <m/>
    <s v=" "/>
    <s v=" "/>
    <m/>
    <d v="2001-10-01T00:00:00"/>
    <x v="2076"/>
    <m/>
    <x v="1413"/>
    <s v="MI"/>
    <s v="Private"/>
    <m/>
    <m/>
    <m/>
    <m/>
    <m/>
    <m/>
    <m/>
    <m/>
    <m/>
    <m/>
    <m/>
  </r>
  <r>
    <s v="LMA04120"/>
    <s v="FDA"/>
    <s v="Federal"/>
    <s v="Fee Simple"/>
    <s v="1 Montvale Ave"/>
    <s v="Stoneham"/>
    <s v="MA"/>
    <n v="1.84"/>
    <n v="1987"/>
    <n v="33398"/>
    <n v="97777"/>
    <n v="0.3415731716047741"/>
    <n v="929431.9"/>
    <n v="27.82896880052698"/>
    <n v="1104000"/>
    <n v="11.29099890567311"/>
    <d v="2000-03-01T00:00:00"/>
    <d v="2020-02-29T00:00:00"/>
    <d v="2010-02-28T00:00:00"/>
    <n v="18.44383561643836"/>
    <n v="8.435616438356165"/>
    <s v="Modified Gross"/>
    <s v="None"/>
    <s v="None"/>
    <n v="9200000"/>
    <n v="94.09165754727594"/>
    <n v="0.12"/>
    <m/>
    <d v="2001-09-24T00:00:00"/>
    <x v="2068"/>
    <s v="C&amp;W; Phaneuf"/>
    <x v="1619"/>
    <s v="MA"/>
    <s v="Private"/>
    <m/>
    <m/>
    <m/>
    <s v=" "/>
    <s v=" "/>
    <m/>
    <s v=" "/>
    <s v=" "/>
    <s v=" "/>
    <m/>
    <s v=" "/>
  </r>
  <r>
    <m/>
    <m/>
    <s v="State"/>
    <s v="Fee Simple"/>
    <s v="840 North Broadway"/>
    <s v="Everett"/>
    <s v="WA"/>
    <n v="5.82"/>
    <n v="1985"/>
    <n v="111908"/>
    <n v="111908"/>
    <n v="1"/>
    <n v="2290262"/>
    <n v="20.46557886835615"/>
    <n v="1640650"/>
    <n v="14.66070343496444"/>
    <m/>
    <d v="2010-12-31T00:00:00"/>
    <d v="2010-12-31T00:00:00"/>
    <n v="9.282191780821918"/>
    <n v="9.282191780821918"/>
    <s v="Full Service"/>
    <s v="2% annually"/>
    <s v="None"/>
    <n v="17270000"/>
    <n v="154.3231940522572"/>
    <n v="0.095"/>
    <m/>
    <d v="2001-09-21T00:00:00"/>
    <x v="223"/>
    <m/>
    <x v="1641"/>
    <s v="CA"/>
    <s v="Private"/>
    <m/>
    <m/>
    <m/>
    <s v=" "/>
    <s v=" "/>
    <m/>
    <s v=" "/>
    <s v=" "/>
    <s v=" "/>
    <m/>
    <s v=" "/>
  </r>
  <r>
    <m/>
    <s v="USCIS"/>
    <s v="Federal"/>
    <s v="Fee Simple"/>
    <s v="810 Gears Rd"/>
    <s v="Houston"/>
    <s v="TX"/>
    <n v="7.19"/>
    <n v="2000"/>
    <n v="78895"/>
    <n v="78895"/>
    <n v="1"/>
    <n v="2772878.225"/>
    <n v="35.14643798719817"/>
    <n v="2248260"/>
    <n v="28.49686291906965"/>
    <d v="2001-01-12T00:00:00"/>
    <d v="2016-01-11T00:00:00"/>
    <d v="2011-01-11T00:00:00"/>
    <n v="14.35616438356164"/>
    <n v="9.353424657534246"/>
    <s v="Modified Gross"/>
    <s v="None"/>
    <s v="None"/>
    <n v="20750000"/>
    <n v="263.0077951707966"/>
    <n v="0.1083498795180723"/>
    <m/>
    <d v="2001-09-06T00:00:00"/>
    <x v="2095"/>
    <s v="C&amp;W; Relyea"/>
    <x v="1642"/>
    <s v="TX"/>
    <s v="Private"/>
    <m/>
    <m/>
    <m/>
    <s v=" "/>
    <s v=" "/>
    <m/>
    <s v=" "/>
    <s v=" "/>
    <s v=" "/>
    <m/>
    <s v=" "/>
  </r>
  <r>
    <m/>
    <s v="Dep't of State"/>
    <s v="Federal"/>
    <s v="Fee Simple"/>
    <s v="1400 Wilson Blvd"/>
    <s v="Arlington"/>
    <s v="VA"/>
    <n v="0.83"/>
    <n v="1965"/>
    <n v="180296"/>
    <n v="180296"/>
    <n v="1"/>
    <m/>
    <s v=" "/>
    <n v="2400837.5"/>
    <n v="13.31608854328438"/>
    <m/>
    <d v="2010-04-30T00:00:00"/>
    <d v="2010-04-30T00:00:00"/>
    <n v="8.726027397260275"/>
    <n v="8.726027397260275"/>
    <s v="Modified Gross"/>
    <s v="None"/>
    <s v="None"/>
    <n v="22375000"/>
    <n v="124.1014775702179"/>
    <n v="0.1073"/>
    <m/>
    <d v="2001-08-10T00:00:00"/>
    <x v="693"/>
    <s v="GVA; McNair"/>
    <x v="1643"/>
    <s v="MA"/>
    <s v="Private"/>
    <m/>
    <m/>
    <m/>
    <s v=" "/>
    <s v=" "/>
    <m/>
    <s v=" "/>
    <s v=" "/>
    <s v=" "/>
    <m/>
    <s v=" "/>
  </r>
  <r>
    <m/>
    <s v="BLM"/>
    <s v="Federal"/>
    <s v="Fee Simple"/>
    <s v="21605 N 7th Ave"/>
    <s v="Phoenix"/>
    <s v="AZ"/>
    <n v="3.44"/>
    <n v="2001"/>
    <n v="25480"/>
    <n v="25480"/>
    <n v="1"/>
    <n v="427944.29"/>
    <n v="16.79530180533752"/>
    <n v="289742.4"/>
    <n v="11.37136577708006"/>
    <d v="2001-10-04T00:00:00"/>
    <d v="2016-10-03T00:00:00"/>
    <d v="2016-10-03T00:00:00"/>
    <n v="15.18356164383562"/>
    <n v="15.18356164383562"/>
    <s v="Modified Gross"/>
    <s v="None"/>
    <s v="None"/>
    <n v="3177000"/>
    <n v="124.6860282574568"/>
    <n v="0.0912"/>
    <m/>
    <d v="2001-08-01T00:00:00"/>
    <x v="2096"/>
    <s v="CBRE; Fernandez"/>
    <x v="1644"/>
    <s v="AZ"/>
    <s v="Private"/>
    <s v="Keirnes"/>
    <m/>
    <m/>
    <s v=" "/>
    <s v=" "/>
    <m/>
    <s v=" "/>
    <s v=" "/>
    <s v=" "/>
    <m/>
    <s v=" "/>
  </r>
  <r>
    <m/>
    <s v="BLM"/>
    <s v="Federal"/>
    <s v="Fee Simple"/>
    <s v="2555 E Gila Ridge Rd"/>
    <s v="Yuma"/>
    <s v="AZ"/>
    <n v="4.88"/>
    <n v="1996"/>
    <n v="32041"/>
    <n v="32041"/>
    <n v="1"/>
    <m/>
    <s v=" "/>
    <n v="240480"/>
    <n v="7.505383727099654"/>
    <d v="1996-04-19T00:00:00"/>
    <d v="2016-04-18T00:00:00"/>
    <d v="2011-04-18T00:00:00"/>
    <n v="14.72602739726027"/>
    <n v="9.72054794520548"/>
    <s v="Modified Gross"/>
    <s v="None"/>
    <s v="None"/>
    <n v="2695000"/>
    <n v="84.11098280328329"/>
    <n v="0.08923191094619666"/>
    <m/>
    <d v="2001-07-31T00:00:00"/>
    <x v="223"/>
    <m/>
    <x v="1413"/>
    <s v="MI"/>
    <s v="Private"/>
    <s v="BW; Wells"/>
    <m/>
    <m/>
    <s v=" "/>
    <s v=" "/>
    <m/>
    <s v=" "/>
    <s v=" "/>
    <s v=" "/>
    <m/>
    <s v=" "/>
  </r>
  <r>
    <m/>
    <s v="USGS"/>
    <s v="Federal"/>
    <s v="Fee Simple"/>
    <s v="3916 Sunset Ridge Rd"/>
    <s v="Raleigh"/>
    <s v="NC"/>
    <n v="1.27"/>
    <n v="1990"/>
    <n v="21631"/>
    <n v="21631"/>
    <n v="1"/>
    <m/>
    <s v=" "/>
    <m/>
    <s v=" "/>
    <m/>
    <m/>
    <m/>
    <s v=" "/>
    <s v=" "/>
    <m/>
    <m/>
    <m/>
    <n v="2750000"/>
    <n v="127.1323563404373"/>
    <s v=" "/>
    <m/>
    <d v="2001-07-05T00:00:00"/>
    <x v="2097"/>
    <m/>
    <x v="1645"/>
    <s v="NC"/>
    <s v="Private"/>
    <m/>
    <m/>
    <m/>
    <s v=" "/>
    <s v=" "/>
    <m/>
    <s v=" "/>
    <s v=" "/>
    <s v=" "/>
    <m/>
    <s v=" "/>
  </r>
  <r>
    <m/>
    <s v="PPO"/>
    <s v="Federal"/>
    <s v="Fee Simple"/>
    <s v="2330 Broad St"/>
    <s v="Durham"/>
    <s v="NC"/>
    <n v="1.14"/>
    <n v="2000"/>
    <n v="4308"/>
    <n v="4308"/>
    <n v="1"/>
    <m/>
    <s v=" "/>
    <m/>
    <s v=" "/>
    <d v="2000-12-15T00:00:00"/>
    <d v="2010-12-31T00:00:00"/>
    <d v="2010-12-31T00:00:00"/>
    <n v="9.515068493150684"/>
    <n v="9.515068493150684"/>
    <s v="Modified Gross"/>
    <s v="None"/>
    <s v="None"/>
    <n v="707500"/>
    <n v="164.2293407613742"/>
    <s v=" "/>
    <m/>
    <d v="2001-06-28T00:00:00"/>
    <x v="842"/>
    <m/>
    <x v="1646"/>
    <m/>
    <m/>
    <m/>
    <m/>
    <m/>
    <s v=" "/>
    <s v=" "/>
    <m/>
    <s v=" "/>
    <s v=" "/>
    <s v=" "/>
    <m/>
    <s v=" "/>
  </r>
  <r>
    <m/>
    <s v="DHS/State Police"/>
    <s v="Federal &amp; State"/>
    <s v="Fee Simple"/>
    <s v="602 Sawyer St"/>
    <s v="Houston"/>
    <s v="TX"/>
    <n v="2.41"/>
    <n v="1982"/>
    <n v="44982"/>
    <n v="95923"/>
    <n v="0.4689386278577609"/>
    <m/>
    <s v=" "/>
    <n v="505000"/>
    <n v="5.264639346142218"/>
    <m/>
    <d v="2011-04-30T00:00:00"/>
    <d v="2006-04-30T00:00:00"/>
    <n v="9.967123287671233"/>
    <n v="4.964383561643835"/>
    <s v="Modified Gross"/>
    <s v="None"/>
    <s v="None"/>
    <n v="5050000"/>
    <n v="52.64639346142219"/>
    <n v="0.1"/>
    <m/>
    <d v="2001-05-14T00:00:00"/>
    <x v="2098"/>
    <m/>
    <x v="1554"/>
    <s v="TX"/>
    <s v="Private"/>
    <m/>
    <m/>
    <m/>
    <s v=" "/>
    <s v=" "/>
    <m/>
    <s v=" "/>
    <s v=" "/>
    <s v=" "/>
    <m/>
    <s v=" "/>
  </r>
  <r>
    <m/>
    <s v="DHS"/>
    <s v="Federal"/>
    <s v="Fee Simple"/>
    <s v="1110 N Glebe Rd"/>
    <s v="Arlington"/>
    <s v="VA"/>
    <n v="1.36"/>
    <n v="1988"/>
    <n v="120435"/>
    <n v="233929"/>
    <n v="0.514835698010935"/>
    <m/>
    <s v=" "/>
    <n v="4207972.18"/>
    <n v="17.98824506581057"/>
    <m/>
    <m/>
    <m/>
    <s v=" "/>
    <s v=" "/>
    <m/>
    <m/>
    <m/>
    <n v="44294444"/>
    <n v="189.3499480611638"/>
    <n v="0.09499999999999999"/>
    <m/>
    <d v="2001-05-11T00:00:00"/>
    <x v="2099"/>
    <m/>
    <x v="1647"/>
    <s v="VA"/>
    <s v="Private"/>
    <m/>
    <m/>
    <m/>
    <s v=" "/>
    <s v=" "/>
    <m/>
    <s v=" "/>
    <s v=" "/>
    <s v=" "/>
    <m/>
    <s v=" "/>
  </r>
  <r>
    <m/>
    <s v="SSA"/>
    <s v="Federal"/>
    <s v="Fee Simple"/>
    <s v="7200-7202 Greenleaf Ave"/>
    <s v="Whittier"/>
    <s v="CA"/>
    <n v="0.96"/>
    <n v="1981"/>
    <n v="10097"/>
    <n v="38919"/>
    <n v="0.2594362650633367"/>
    <m/>
    <s v=" "/>
    <n v="457524"/>
    <n v="11.75580050874894"/>
    <m/>
    <m/>
    <m/>
    <s v=" "/>
    <s v=" "/>
    <m/>
    <m/>
    <m/>
    <n v="4250000"/>
    <n v="109.2011613864693"/>
    <n v="0.1076527058823529"/>
    <m/>
    <d v="2001-05-04T00:00:00"/>
    <x v="2100"/>
    <s v="M&amp;M; Lawrence"/>
    <x v="1648"/>
    <s v="CA"/>
    <s v="Private"/>
    <s v="SVN; Austin"/>
    <m/>
    <m/>
    <s v=" "/>
    <s v=" "/>
    <m/>
    <s v=" "/>
    <s v=" "/>
    <s v=" "/>
    <m/>
    <s v=" "/>
  </r>
  <r>
    <m/>
    <s v="SSA"/>
    <s v="Federal"/>
    <s v="Fee Simple"/>
    <s v="1240 S Grandstaff Dr"/>
    <s v="Auburn"/>
    <s v="IN"/>
    <n v="2.22"/>
    <n v="1996"/>
    <n v="6233"/>
    <n v="6233"/>
    <n v="1"/>
    <m/>
    <s v=" "/>
    <m/>
    <s v=" "/>
    <d v="1997-04-01T00:00:00"/>
    <d v="2013-04-30T00:00:00"/>
    <d v="2011-04-30T00:00:00"/>
    <n v="12"/>
    <n v="9.997260273972604"/>
    <s v="Modified Gross"/>
    <s v="None"/>
    <s v="None"/>
    <m/>
    <s v=" "/>
    <s v=" "/>
    <m/>
    <d v="2001-05-03T00:00:00"/>
    <x v="2101"/>
    <m/>
    <x v="1649"/>
    <m/>
    <m/>
    <m/>
    <m/>
    <m/>
    <s v=" "/>
    <s v=" "/>
    <m/>
    <s v=" "/>
    <s v=" "/>
    <s v=" "/>
    <m/>
    <s v=" "/>
  </r>
  <r>
    <s v="LNJ90424"/>
    <s v="SSA"/>
    <s v="Federal"/>
    <s v="Fee Simple"/>
    <s v="1350 Doughty Rd"/>
    <s v="Egg Harbor Township"/>
    <s v="NJ"/>
    <n v="2.02"/>
    <n v="2000"/>
    <n v="11321"/>
    <n v="11321"/>
    <n v="1"/>
    <n v="307185"/>
    <n v="27.13408709477961"/>
    <n v="131301"/>
    <n v="11.59800370991962"/>
    <d v="2000-10-13T00:00:00"/>
    <d v="2013-10-12T00:00:00"/>
    <d v="2012-10-13T00:00:00"/>
    <n v="12.66575342465753"/>
    <n v="11.66849315068493"/>
    <s v="Modified Gross"/>
    <s v="None"/>
    <s v="None"/>
    <n v="1600000"/>
    <n v="141.3302711774578"/>
    <n v="0.082063125"/>
    <m/>
    <d v="2001-02-14T00:00:00"/>
    <x v="2084"/>
    <m/>
    <x v="1413"/>
    <s v="MI"/>
    <s v="Private"/>
    <m/>
    <m/>
    <m/>
    <s v=" "/>
    <s v=" "/>
    <m/>
    <s v=" "/>
    <s v=" "/>
    <s v=" "/>
    <m/>
    <s v=" "/>
  </r>
  <r>
    <s v="LIL16502"/>
    <s v="SSA"/>
    <s v="Federal"/>
    <s v="Fee Simple"/>
    <s v="1033 University Pl"/>
    <s v="Evanston"/>
    <s v="IL"/>
    <n v="0.77"/>
    <n v="1991"/>
    <n v="19320"/>
    <n v="55685"/>
    <n v="0.3469516027655563"/>
    <n v="869028"/>
    <n v="44.98074534161491"/>
    <n v="810781.6649999999"/>
    <n v="14.56014483254018"/>
    <d v="2001-08-30T00:00:00"/>
    <d v="2016-11-30T00:00:00"/>
    <d v="2015-11-30T00:00:00"/>
    <n v="15.81643835616438"/>
    <n v="14.81369863013699"/>
    <s v="Modified Gross"/>
    <s v="None"/>
    <s v="None"/>
    <n v="8690080"/>
    <n v="156.0578252671276"/>
    <n v="0.09329967790860383"/>
    <m/>
    <d v="2001-02-09T00:00:00"/>
    <x v="2102"/>
    <s v="CBRE; Buenger"/>
    <x v="1650"/>
    <s v="IL"/>
    <m/>
    <m/>
    <m/>
    <m/>
    <s v=" "/>
    <s v=" "/>
    <m/>
    <s v=" "/>
    <s v=" "/>
    <s v=" "/>
    <d v="2000-05-30T00:00:00"/>
    <n v="255"/>
  </r>
  <r>
    <m/>
    <s v="NPS"/>
    <s v="Federal"/>
    <s v="Fee Simple"/>
    <s v="12795 W Alameda Pky"/>
    <s v="Lakewood"/>
    <s v="CO"/>
    <n v="7.05"/>
    <n v="1988"/>
    <n v="166745"/>
    <n v="166745"/>
    <n v="1"/>
    <n v="3009757"/>
    <n v="18.05005847251792"/>
    <n v="1953000"/>
    <n v="11.71249512729017"/>
    <d v="1999-10-01T00:00:00"/>
    <d v="2009-09-30T00:00:00"/>
    <d v="2006-10-01T00:00:00"/>
    <n v="8.663013698630136"/>
    <n v="5.663013698630137"/>
    <s v="Modified Gross"/>
    <s v="None"/>
    <s v="None"/>
    <n v="21000000"/>
    <n v="125.9408078203245"/>
    <n v="0.093"/>
    <m/>
    <d v="2001-02-02T00:00:00"/>
    <x v="2103"/>
    <s v="CBRE; Neiman"/>
    <x v="1221"/>
    <s v="CO"/>
    <s v="Private"/>
    <m/>
    <m/>
    <m/>
    <s v=" "/>
    <s v=" "/>
    <m/>
    <s v=" "/>
    <s v=" "/>
    <s v=" "/>
    <d v="2000-10-20T00:00:00"/>
    <n v="105"/>
  </r>
  <r>
    <m/>
    <s v="Multi"/>
    <s v="State &amp; Federal"/>
    <s v="Fee Simple"/>
    <s v="75 Piedmont Ave NE"/>
    <s v="Atlanta"/>
    <s v="GA"/>
    <n v="2.2"/>
    <n v="1969"/>
    <n v="158653.35"/>
    <n v="170595"/>
    <n v="0.93"/>
    <n v="2985412.5"/>
    <n v="18.81720430107527"/>
    <n v="1198732.5"/>
    <n v="7.026773938274862"/>
    <m/>
    <m/>
    <m/>
    <s v=" "/>
    <s v=" "/>
    <s v="Full Service"/>
    <s v="2% annually"/>
    <s v="None"/>
    <n v="10325000"/>
    <n v="60.52346200064481"/>
    <n v="0.1161"/>
    <m/>
    <d v="2001-01-26T00:00:00"/>
    <x v="2104"/>
    <s v="CBRE: Van Barron"/>
    <x v="1362"/>
    <s v="NY"/>
    <s v="REIT"/>
    <m/>
    <m/>
    <m/>
    <s v=" "/>
    <s v=" "/>
    <m/>
    <s v=" "/>
    <s v=" "/>
    <s v=" "/>
    <m/>
    <s v=" "/>
  </r>
  <r>
    <s v="LTN39071"/>
    <s v="FWS"/>
    <s v="Federal"/>
    <s v="Fee Simple"/>
    <s v="3006 Dinkins Ln"/>
    <s v="Paris"/>
    <s v="TN"/>
    <n v="1.19"/>
    <n v="2000"/>
    <n v="5637"/>
    <n v="5637"/>
    <n v="1"/>
    <n v="70879"/>
    <n v="12.57388681923009"/>
    <m/>
    <s v=" "/>
    <d v="2000-10-01T00:00:00"/>
    <d v="2013-09-30T00:00:00"/>
    <d v="2012-12-31T00:00:00"/>
    <n v="12.76164383561644"/>
    <n v="12.01369863013699"/>
    <s v="Modified Gross"/>
    <s v="None"/>
    <s v="None"/>
    <n v="547000"/>
    <n v="97.03743125776123"/>
    <s v=" "/>
    <m/>
    <d v="2000-12-29T00:00:00"/>
    <x v="842"/>
    <s v="None"/>
    <x v="1651"/>
    <s v="TN"/>
    <s v="Private"/>
    <m/>
    <m/>
    <m/>
    <s v=" "/>
    <s v=" "/>
    <m/>
    <s v=" "/>
    <s v=" "/>
    <s v=" "/>
    <m/>
    <s v=" "/>
  </r>
  <r>
    <m/>
    <s v="SSA"/>
    <s v="Federal"/>
    <s v="Fee Simple"/>
    <s v="20000 Mariner Ave"/>
    <s v="Torrance"/>
    <s v="CA"/>
    <n v="3.29"/>
    <n v="1986"/>
    <n v="14656"/>
    <n v="67201"/>
    <n v="0.2180919926786804"/>
    <m/>
    <s v=" "/>
    <m/>
    <s v=" "/>
    <d v="1998-07-01T00:00:00"/>
    <d v="2018-07-01T00:00:00"/>
    <d v="2013-07-01T00:00:00"/>
    <n v="17.55342465753425"/>
    <n v="12.55068493150685"/>
    <s v="Modified Gross"/>
    <s v="None"/>
    <s v="None"/>
    <m/>
    <s v=" "/>
    <s v=" "/>
    <m/>
    <d v="2000-12-15T00:00:00"/>
    <x v="2105"/>
    <m/>
    <x v="71"/>
    <s v="CA"/>
    <s v="Institutional"/>
    <m/>
    <m/>
    <m/>
    <s v=" "/>
    <s v=" "/>
    <m/>
    <s v=" "/>
    <s v=" "/>
    <s v=" "/>
    <m/>
    <s v=" "/>
  </r>
  <r>
    <m/>
    <s v="BLM"/>
    <s v="Federal"/>
    <s v="Fee Simple"/>
    <s v="2103 N Park Ave"/>
    <s v="Kremmling"/>
    <s v="CO"/>
    <n v="2"/>
    <n v="2000"/>
    <n v="15681"/>
    <n v="15681"/>
    <n v="1"/>
    <m/>
    <s v=" "/>
    <m/>
    <s v=" "/>
    <m/>
    <m/>
    <m/>
    <s v=" "/>
    <s v=" "/>
    <m/>
    <m/>
    <m/>
    <n v="1550000"/>
    <n v="98.84573687902557"/>
    <s v=" "/>
    <m/>
    <d v="2000-12-05T00:00:00"/>
    <x v="1085"/>
    <m/>
    <x v="1652"/>
    <s v="CO"/>
    <s v="Private"/>
    <m/>
    <m/>
    <m/>
    <s v=" "/>
    <s v=" "/>
    <m/>
    <s v=" "/>
    <s v=" "/>
    <s v=" "/>
    <m/>
    <s v=" "/>
  </r>
  <r>
    <m/>
    <s v="DOT"/>
    <s v="State"/>
    <s v="Fee Simple"/>
    <s v="600 W Peachtree ST NW"/>
    <s v="Atlanta"/>
    <s v="GA"/>
    <n v="2.14"/>
    <n v="1968"/>
    <n v="308360"/>
    <n v="375952"/>
    <n v="0.8202110907775461"/>
    <m/>
    <s v=" "/>
    <m/>
    <s v=" "/>
    <m/>
    <m/>
    <m/>
    <s v=" "/>
    <s v=" "/>
    <m/>
    <m/>
    <m/>
    <n v="35000000"/>
    <n v="93.09699110524748"/>
    <s v=" "/>
    <m/>
    <d v="2000-12-01T00:00:00"/>
    <x v="8"/>
    <m/>
    <x v="1653"/>
    <s v="GA"/>
    <s v="Private"/>
    <m/>
    <m/>
    <m/>
    <s v=" "/>
    <s v=" "/>
    <m/>
    <s v=" "/>
    <s v=" "/>
    <s v=" "/>
    <m/>
    <s v=" "/>
  </r>
  <r>
    <m/>
    <s v="AOC"/>
    <s v="Federal"/>
    <s v="Fee Simple"/>
    <s v="2070 Chain Bridge Rd"/>
    <s v="Vienna"/>
    <s v="VA"/>
    <n v="9.19"/>
    <n v="1983"/>
    <n v="230652"/>
    <n v="435193"/>
    <n v="0.5299993336289875"/>
    <m/>
    <s v=" "/>
    <n v="6624340"/>
    <n v="15.22161431824501"/>
    <m/>
    <d v="2021-08-31T00:00:00"/>
    <d v="2016-08-31T00:00:00"/>
    <n v="20.76712328767123"/>
    <n v="15.76438356164384"/>
    <s v="Modified Gross"/>
    <s v="None"/>
    <s v="None"/>
    <n v="67000000"/>
    <n v="153.9546821754946"/>
    <n v="0.09887074626865672"/>
    <m/>
    <d v="2000-11-29T00:00:00"/>
    <x v="2099"/>
    <s v="HFF; Conley"/>
    <x v="1654"/>
    <s v="NY"/>
    <s v="Institutional"/>
    <m/>
    <m/>
    <m/>
    <s v=" "/>
    <s v=" "/>
    <m/>
    <s v=" "/>
    <s v=" "/>
    <s v=" "/>
    <d v="2000-04-03T00:00:00"/>
    <n v="240"/>
  </r>
  <r>
    <m/>
    <s v="SSA"/>
    <s v="Federal"/>
    <s v="Fee Simple"/>
    <s v="4010 Gunn Hwy"/>
    <s v="Tampa"/>
    <s v="FL"/>
    <n v="3.03"/>
    <n v="1986"/>
    <n v="23033"/>
    <n v="46353"/>
    <n v="0.4969041917459496"/>
    <m/>
    <s v=" "/>
    <n v="932094"/>
    <n v="20.10860138502362"/>
    <d v="1996-09-01T00:00:00"/>
    <d v="2006-09-15T00:00:00"/>
    <d v="2001-09-01T00:00:00"/>
    <n v="5.868493150684931"/>
    <n v="0.8273972602739726"/>
    <s v="Modified Gross"/>
    <s v="None"/>
    <s v="None"/>
    <n v="6315000"/>
    <n v="136.2371367549026"/>
    <n v="0.1476"/>
    <m/>
    <d v="2000-11-03T00:00:00"/>
    <x v="2106"/>
    <m/>
    <x v="1655"/>
    <s v="FL"/>
    <s v="Private"/>
    <m/>
    <m/>
    <m/>
    <s v=" "/>
    <s v=" "/>
    <m/>
    <s v=" "/>
    <s v=" "/>
    <s v=" "/>
    <m/>
    <s v=" "/>
  </r>
  <r>
    <m/>
    <s v="SSA"/>
    <s v="Federal"/>
    <s v="Fee Simple"/>
    <s v="4240 Lee's Summit Road"/>
    <s v="Independence"/>
    <s v="MO"/>
    <m/>
    <n v="2001"/>
    <n v="13002"/>
    <n v="13002"/>
    <n v="1"/>
    <n v="286753"/>
    <n v="22.05453007229657"/>
    <n v="169682"/>
    <n v="13.0504537763421"/>
    <d v="2001-03-10T00:00:00"/>
    <d v="2016-03-11T00:00:00"/>
    <d v="2011-03-11T00:00:00"/>
    <n v="15.51506849315068"/>
    <n v="10.50958904109589"/>
    <s v="Modified Gross"/>
    <s v="None"/>
    <s v="None"/>
    <n v="2000000"/>
    <n v="153.8224888478696"/>
    <n v="0.084841"/>
    <m/>
    <d v="2000-09-08T00:00:00"/>
    <x v="2107"/>
    <m/>
    <x v="1413"/>
    <s v="MI"/>
    <s v="Private"/>
    <s v="BW; Wells"/>
    <m/>
    <m/>
    <s v=" "/>
    <s v=" "/>
    <m/>
    <s v=" "/>
    <s v=" "/>
    <s v=" "/>
    <m/>
    <s v=" "/>
  </r>
  <r>
    <s v="LOK14766"/>
    <s v="SSA"/>
    <s v="Federal"/>
    <s v="Fee Simple"/>
    <s v="1610 SW Lee Blvd"/>
    <s v="Lawton"/>
    <s v="OK"/>
    <n v="0.85"/>
    <n v="1999"/>
    <n v="9298"/>
    <n v="9298"/>
    <n v="1"/>
    <n v="179693.49"/>
    <n v="19.32603678210368"/>
    <n v="103061"/>
    <n v="11.08421165842117"/>
    <d v="2000-07-24T00:00:00"/>
    <d v="2015-07-23T00:00:00"/>
    <d v="2011-07-24T00:00:00"/>
    <n v="14.94520547945205"/>
    <n v="10.94520547945205"/>
    <s v="Modified Gross"/>
    <s v="None"/>
    <s v="None"/>
    <n v="1145000"/>
    <n v="123.1447623144762"/>
    <n v="0.09000960698689957"/>
    <m/>
    <d v="2000-08-15T00:00:00"/>
    <x v="2108"/>
    <m/>
    <x v="1656"/>
    <m/>
    <s v="Private"/>
    <s v="BW; Wells"/>
    <m/>
    <m/>
    <s v=" "/>
    <s v=" "/>
    <m/>
    <s v=" "/>
    <s v=" "/>
    <s v=" "/>
    <m/>
    <s v=" "/>
  </r>
  <r>
    <s v="LCA98159"/>
    <s v="SSA"/>
    <s v="Federal"/>
    <s v="Fee Simple"/>
    <s v="7961-7995 University Ave"/>
    <s v="La Mesa"/>
    <s v="CA"/>
    <n v="0.57"/>
    <n v="1986"/>
    <n v="9500"/>
    <n v="9500"/>
    <n v="1"/>
    <n v="220760"/>
    <n v="23.2378947368421"/>
    <m/>
    <s v=" "/>
    <d v="2000-04-06T00:00:00"/>
    <d v="2015-04-05T00:00:00"/>
    <d v="2010-04-06T00:00:00"/>
    <n v="14.66301369863014"/>
    <n v="9.663013698630136"/>
    <s v="Modified Gross"/>
    <s v="None"/>
    <s v="None"/>
    <m/>
    <s v=" "/>
    <s v=" "/>
    <m/>
    <d v="2000-08-09T00:00:00"/>
    <x v="2109"/>
    <m/>
    <x v="1657"/>
    <s v="TX"/>
    <s v="Private"/>
    <m/>
    <m/>
    <m/>
    <s v=" "/>
    <s v=" "/>
    <m/>
    <s v=" "/>
    <s v=" "/>
    <s v=" "/>
    <m/>
    <s v=" "/>
  </r>
  <r>
    <m/>
    <s v="SSA"/>
    <s v="Federal"/>
    <s v="Fee Simple"/>
    <s v="6140-50 Cottle Rd"/>
    <s v="San Jose"/>
    <s v="CA"/>
    <n v="1.58"/>
    <n v="2001"/>
    <n v="9668"/>
    <n v="20867"/>
    <n v="0.4633152825034744"/>
    <n v="400212"/>
    <n v="41.39553165080679"/>
    <n v="287585"/>
    <n v="13.78180859730675"/>
    <d v="2001-03-01T00:00:00"/>
    <d v="2011-02-28T00:00:00"/>
    <d v="2011-02-28T00:00:00"/>
    <n v="10.56164383561644"/>
    <n v="10.56164383561644"/>
    <s v="Modified Gross"/>
    <s v="None"/>
    <s v="None"/>
    <n v="5100000"/>
    <n v="244.4050414530119"/>
    <n v="0.05638921568627451"/>
    <m/>
    <d v="2000-08-09T00:00:00"/>
    <x v="2110"/>
    <s v="C&amp;C; Stelle"/>
    <x v="1658"/>
    <s v="CA"/>
    <s v="Private"/>
    <m/>
    <m/>
    <m/>
    <s v=" "/>
    <s v=" "/>
    <m/>
    <s v=" "/>
    <s v=" "/>
    <s v=" "/>
    <m/>
    <s v=" "/>
  </r>
  <r>
    <m/>
    <s v="DOJ/DEA/ATF"/>
    <s v="Federal"/>
    <s v="Fee Simple"/>
    <s v="56 Park of Commerce Blvd"/>
    <s v="Savannah"/>
    <s v="GA"/>
    <n v="1.47"/>
    <n v="1999"/>
    <n v="28252"/>
    <n v="28252"/>
    <n v="1"/>
    <n v="704950"/>
    <n v="24.9522157723347"/>
    <m/>
    <s v=" "/>
    <m/>
    <d v="2012-09-30T00:00:00"/>
    <d v="2010-09-30T00:00:00"/>
    <n v="12.17260273972603"/>
    <n v="10.16986301369863"/>
    <s v="Modified Gross"/>
    <s v="None"/>
    <s v="None"/>
    <n v="3500000"/>
    <n v="123.8850346878097"/>
    <s v=" "/>
    <m/>
    <d v="2000-08-01T00:00:00"/>
    <x v="842"/>
    <m/>
    <x v="1659"/>
    <s v="NC"/>
    <s v="Private"/>
    <m/>
    <m/>
    <m/>
    <s v=" "/>
    <s v=" "/>
    <m/>
    <s v=" "/>
    <s v=" "/>
    <s v=" "/>
    <m/>
    <s v=" "/>
  </r>
  <r>
    <m/>
    <s v="Dep't of State"/>
    <s v="Federal"/>
    <s v="Fee Simple"/>
    <s v="3920 Pender Dr"/>
    <s v="Fairfax"/>
    <s v="VA"/>
    <n v="6"/>
    <n v="1981"/>
    <n v="83130"/>
    <n v="83130"/>
    <n v="1"/>
    <m/>
    <s v=" "/>
    <m/>
    <s v=" "/>
    <m/>
    <d v="2018-03-31T00:00:00"/>
    <m/>
    <n v="17.70684931506849"/>
    <s v=" "/>
    <s v="Modified Gross"/>
    <s v="None"/>
    <s v="None"/>
    <n v="8025000"/>
    <n v="96.53554673403103"/>
    <s v=" "/>
    <m/>
    <d v="2000-07-20T00:00:00"/>
    <x v="2111"/>
    <s v="C&amp;W; Berkman"/>
    <x v="429"/>
    <s v="NY"/>
    <s v="Private"/>
    <m/>
    <m/>
    <m/>
    <s v=" "/>
    <s v=" "/>
    <m/>
    <s v=" "/>
    <s v=" "/>
    <s v=" "/>
    <m/>
    <s v=" "/>
  </r>
  <r>
    <m/>
    <s v="BLM"/>
    <s v="Federal"/>
    <s v="Fee Simple"/>
    <s v="708 W 12th St"/>
    <s v="Alturas"/>
    <s v="CA"/>
    <n v="4.5"/>
    <m/>
    <m/>
    <m/>
    <s v=" "/>
    <m/>
    <s v=" "/>
    <m/>
    <s v=" "/>
    <m/>
    <m/>
    <m/>
    <s v=" "/>
    <s v=" "/>
    <m/>
    <m/>
    <m/>
    <m/>
    <s v=" "/>
    <s v=" "/>
    <m/>
    <d v="2000-07-17T00:00:00"/>
    <x v="2112"/>
    <m/>
    <x v="1660"/>
    <s v="CA"/>
    <s v="Private"/>
    <m/>
    <m/>
    <m/>
    <s v=" "/>
    <s v=" "/>
    <m/>
    <s v=" "/>
    <s v=" "/>
    <s v=" "/>
    <m/>
    <s v=" "/>
  </r>
  <r>
    <m/>
    <s v="BR"/>
    <s v="Federal"/>
    <s v="Fee Simple"/>
    <s v="1243 N St"/>
    <s v="Fresno"/>
    <s v="CA"/>
    <n v="0.86"/>
    <n v="2000"/>
    <n v="16955"/>
    <n v="16955"/>
    <n v="1"/>
    <n v="402517"/>
    <n v="23.74031259215571"/>
    <n v="252000"/>
    <n v="14.86287230905338"/>
    <d v="2000-05-01T00:00:00"/>
    <d v="2012-04-30T00:00:00"/>
    <d v="2010-04-30T00:00:00"/>
    <n v="11.86575342465753"/>
    <n v="9.863013698630137"/>
    <s v="Modified Gross"/>
    <s v="None"/>
    <s v="None"/>
    <n v="2800000"/>
    <n v="165.1430256561486"/>
    <n v="0.09"/>
    <m/>
    <d v="2000-06-21T00:00:00"/>
    <x v="2113"/>
    <m/>
    <x v="1661"/>
    <s v="CA"/>
    <s v="Private"/>
    <m/>
    <m/>
    <m/>
    <s v=" "/>
    <s v=" "/>
    <m/>
    <s v=" "/>
    <s v=" "/>
    <s v=" "/>
    <m/>
    <s v=" "/>
  </r>
  <r>
    <m/>
    <s v="SSA"/>
    <s v="Federal"/>
    <s v="Fee Simple"/>
    <s v="1118 Academy St N"/>
    <s v="Ahoskie"/>
    <s v="NC"/>
    <n v="0.57"/>
    <n v="1999"/>
    <n v="5400"/>
    <n v="5400"/>
    <n v="1"/>
    <m/>
    <s v=" "/>
    <m/>
    <s v=" "/>
    <m/>
    <m/>
    <m/>
    <s v=" "/>
    <s v=" "/>
    <s v="Modified Gross"/>
    <s v="None"/>
    <s v="None"/>
    <m/>
    <s v=" "/>
    <s v=" "/>
    <m/>
    <d v="2000-06-01T00:00:00"/>
    <x v="842"/>
    <m/>
    <x v="1576"/>
    <s v="NC"/>
    <s v="Private"/>
    <m/>
    <m/>
    <m/>
    <s v=" "/>
    <s v=" "/>
    <m/>
    <s v=" "/>
    <s v=" "/>
    <s v=" "/>
    <m/>
    <s v=" "/>
  </r>
  <r>
    <s v="LIL16382"/>
    <s v="SSA"/>
    <s v="Federal"/>
    <s v="Fee Simple"/>
    <s v="104 S Halsted St"/>
    <s v="Chicago Heights"/>
    <s v="IL"/>
    <n v="0.52"/>
    <n v="2000"/>
    <n v="15283"/>
    <n v="15283"/>
    <n v="1"/>
    <n v="349614"/>
    <n v="22.87600601976052"/>
    <n v="220432"/>
    <n v="14.42334620166198"/>
    <d v="2000-06-01T00:00:00"/>
    <d v="2020-05-31T00:00:00"/>
    <d v="2010-05-31T00:00:00"/>
    <n v="20.01369863013699"/>
    <n v="10.00547945205479"/>
    <s v="Modified Gross"/>
    <s v="None"/>
    <s v="None"/>
    <n v="2542000"/>
    <n v="166.3286004056795"/>
    <n v="0.08671597167584578"/>
    <m/>
    <d v="2000-05-31T00:00:00"/>
    <x v="2084"/>
    <m/>
    <x v="1413"/>
    <s v="MI"/>
    <s v="Private"/>
    <m/>
    <m/>
    <m/>
    <s v=" "/>
    <s v=" "/>
    <m/>
    <s v=" "/>
    <s v=" "/>
    <s v=" "/>
    <m/>
    <s v=" "/>
  </r>
  <r>
    <m/>
    <s v="IRS"/>
    <s v="Federal"/>
    <s v="Fee Simple"/>
    <s v="4330 Watt Ave"/>
    <s v="Sacramento"/>
    <s v="CA"/>
    <n v="6.13"/>
    <n v="1987"/>
    <n v="89440"/>
    <n v="145473"/>
    <n v="0.614821994459453"/>
    <m/>
    <s v=" "/>
    <m/>
    <s v=" "/>
    <m/>
    <m/>
    <m/>
    <s v=" "/>
    <s v=" "/>
    <s v="Modified Gross"/>
    <s v="None"/>
    <s v="None"/>
    <n v="12800000"/>
    <n v="87.98883641637967"/>
    <s v=" "/>
    <m/>
    <d v="2000-05-22T00:00:00"/>
    <x v="2114"/>
    <s v="Mark Heffner"/>
    <x v="1662"/>
    <s v="CA"/>
    <s v="Private"/>
    <m/>
    <m/>
    <m/>
    <s v=" "/>
    <s v=" "/>
    <m/>
    <s v=" "/>
    <s v=" "/>
    <s v=" "/>
    <m/>
    <s v=" "/>
  </r>
  <r>
    <s v="LWA07244"/>
    <s v="SSA"/>
    <s v="Federal"/>
    <s v="Fee Simple"/>
    <s v="151 SW 157th St"/>
    <s v="Burien"/>
    <s v="WA"/>
    <n v="84"/>
    <n v="2000"/>
    <n v="7563"/>
    <n v="7563"/>
    <n v="1"/>
    <m/>
    <s v=" "/>
    <m/>
    <s v=" "/>
    <m/>
    <m/>
    <m/>
    <s v=" "/>
    <s v=" "/>
    <m/>
    <m/>
    <m/>
    <n v="2400000"/>
    <n v="317.3343911146371"/>
    <s v=" "/>
    <m/>
    <d v="2000-05-09T00:00:00"/>
    <x v="1085"/>
    <m/>
    <x v="1541"/>
    <m/>
    <s v="Private"/>
    <m/>
    <m/>
    <m/>
    <s v=" "/>
    <s v=" "/>
    <m/>
    <s v=" "/>
    <s v=" "/>
    <s v=" "/>
    <m/>
    <s v=" "/>
  </r>
  <r>
    <m/>
    <s v="Multi"/>
    <s v="State"/>
    <s v="Fee Simple"/>
    <s v="801 K St"/>
    <s v="Sacramento"/>
    <s v="CA"/>
    <n v="0.72"/>
    <n v="1989"/>
    <n v="202728.6"/>
    <n v="337881"/>
    <n v="0.6"/>
    <m/>
    <s v=" "/>
    <m/>
    <s v=" "/>
    <m/>
    <m/>
    <m/>
    <s v=" "/>
    <s v=" "/>
    <m/>
    <m/>
    <m/>
    <n v="51000000"/>
    <n v="150.9407158141476"/>
    <s v=" "/>
    <m/>
    <d v="2000-04-20T00:00:00"/>
    <x v="2115"/>
    <s v="CBRE; Bill Palmer"/>
    <x v="1663"/>
    <s v="CA"/>
    <s v="Private"/>
    <m/>
    <m/>
    <m/>
    <s v=" "/>
    <s v=" "/>
    <m/>
    <s v=" "/>
    <s v=" "/>
    <s v=" "/>
    <m/>
    <s v=" "/>
  </r>
  <r>
    <m/>
    <s v="P&amp;PO"/>
    <s v="Federal"/>
    <s v="Fee Simple"/>
    <s v="5500 Telegraph Rd"/>
    <s v="Ventura"/>
    <s v="CA"/>
    <n v="0.92"/>
    <n v="1991"/>
    <n v="3574"/>
    <n v="19829"/>
    <n v="0.180241061072167"/>
    <n v="459436"/>
    <n v="128.5495243424734"/>
    <n v="284433"/>
    <n v="14.34429371123102"/>
    <m/>
    <d v="2010-06-01T00:00:00"/>
    <d v="2005-06-01T00:00:00"/>
    <n v="10.15616438356164"/>
    <n v="5.153424657534247"/>
    <s v="Modified Gross"/>
    <s v="None"/>
    <s v="None"/>
    <n v="3030000"/>
    <n v="152.80649553684"/>
    <n v="0.09387227722772278"/>
    <m/>
    <d v="2000-04-07T00:00:00"/>
    <x v="2116"/>
    <s v="M&amp;M; Sullivan"/>
    <x v="1664"/>
    <s v="CA"/>
    <s v="Private"/>
    <m/>
    <m/>
    <m/>
    <s v=" "/>
    <s v=" "/>
    <m/>
    <s v=" "/>
    <s v=" "/>
    <s v=" "/>
    <m/>
    <s v=" "/>
  </r>
  <r>
    <m/>
    <s v="DOJ"/>
    <s v="State &amp; Federal"/>
    <s v="Fee Simple"/>
    <s v="106 S Saint Marys St"/>
    <s v="San Antonio"/>
    <s v="TX"/>
    <n v="0.62"/>
    <n v="1981"/>
    <n v="104229"/>
    <n v="165500"/>
    <n v="0.6297824773413897"/>
    <m/>
    <s v=" "/>
    <n v="715649"/>
    <n v="4.324163141993957"/>
    <m/>
    <m/>
    <m/>
    <s v=" "/>
    <s v=" "/>
    <s v="Full Service"/>
    <s v="2% annually"/>
    <s v="None"/>
    <n v="8321500"/>
    <n v="50.2809667673716"/>
    <n v="0.08599999999999999"/>
    <m/>
    <d v="2000-03-17T00:00:00"/>
    <x v="2117"/>
    <s v="CBRE; Mills"/>
    <x v="1665"/>
    <s v="NY"/>
    <s v="Private"/>
    <m/>
    <m/>
    <m/>
    <s v=" "/>
    <s v=" "/>
    <m/>
    <s v=" "/>
    <s v=" "/>
    <s v=" "/>
    <d v="1999-06-21T00:00:00"/>
    <n v="270"/>
  </r>
  <r>
    <m/>
    <s v="USDA"/>
    <s v="Federal"/>
    <s v="Fee Simple"/>
    <s v="1310-1340 Braddock Pl"/>
    <s v="Alexandria"/>
    <s v="VA"/>
    <n v="3.56"/>
    <m/>
    <n v="131000"/>
    <n v="372287"/>
    <n v="0.351879061046988"/>
    <m/>
    <s v=" "/>
    <m/>
    <s v=" "/>
    <m/>
    <m/>
    <m/>
    <s v=" "/>
    <s v=" "/>
    <m/>
    <m/>
    <m/>
    <n v="45295000"/>
    <n v="121.6668860314757"/>
    <s v=" "/>
    <m/>
    <d v="2000-03-14T00:00:00"/>
    <x v="2118"/>
    <s v="TC; Kaye"/>
    <x v="1666"/>
    <s v="MD"/>
    <s v="Private"/>
    <m/>
    <m/>
    <m/>
    <s v=" "/>
    <s v=" "/>
    <m/>
    <s v=" "/>
    <s v=" "/>
    <s v=" "/>
    <m/>
    <s v=" "/>
  </r>
  <r>
    <m/>
    <s v="Multi"/>
    <s v="State"/>
    <s v="Fee Simple"/>
    <s v="1200-1298 Veterans Hwy"/>
    <s v="Bristol"/>
    <s v="PA"/>
    <n v="21.1"/>
    <n v="1960"/>
    <n v="208500"/>
    <n v="208500"/>
    <n v="1"/>
    <m/>
    <s v=" "/>
    <m/>
    <s v=" "/>
    <m/>
    <m/>
    <m/>
    <s v=" "/>
    <s v=" "/>
    <m/>
    <m/>
    <m/>
    <n v="7297067"/>
    <n v="34.99792326139089"/>
    <s v=" "/>
    <m/>
    <d v="2000-03-09T00:00:00"/>
    <x v="8"/>
    <m/>
    <x v="1667"/>
    <s v="PA"/>
    <s v="Private"/>
    <m/>
    <m/>
    <m/>
    <s v=" "/>
    <s v=" "/>
    <m/>
    <s v=" "/>
    <s v=" "/>
    <s v=" "/>
    <m/>
    <s v=" "/>
  </r>
  <r>
    <m/>
    <s v="HHSC/DFPS"/>
    <s v="State"/>
    <s v="Fee Simple"/>
    <s v="317 Casa Dr"/>
    <s v="Copperas Cove"/>
    <s v="TX"/>
    <n v="0.73"/>
    <n v="1988"/>
    <n v="8344"/>
    <n v="8344"/>
    <n v="1"/>
    <n v="109614"/>
    <n v="13.13686481303931"/>
    <n v="82608"/>
    <n v="9.900287631831256"/>
    <d v="1997-06-01T00:00:00"/>
    <d v="2007-05-31T00:00:00"/>
    <m/>
    <n v="7.273972602739726"/>
    <s v=" "/>
    <s v="Full Service"/>
    <s v="None"/>
    <s v="None"/>
    <m/>
    <s v=" "/>
    <s v=" "/>
    <m/>
    <d v="2000-02-22T00:00:00"/>
    <x v="2076"/>
    <m/>
    <x v="1413"/>
    <s v="MI"/>
    <s v="Private"/>
    <m/>
    <m/>
    <m/>
    <s v=" "/>
    <s v=" "/>
    <m/>
    <s v=" "/>
    <s v=" "/>
    <s v=" "/>
    <m/>
    <s v=" "/>
  </r>
  <r>
    <m/>
    <s v="VA"/>
    <s v="Federal"/>
    <s v="Fee Simple"/>
    <s v="5788 Eckhert Rd"/>
    <s v="San Antonio"/>
    <s v="TX"/>
    <n v="4.86"/>
    <n v="1998"/>
    <n v="63514"/>
    <n v="63514"/>
    <n v="1"/>
    <m/>
    <s v=" "/>
    <m/>
    <s v=" "/>
    <m/>
    <d v="2021-11-30T00:00:00"/>
    <d v="2021-11-30T00:00:00"/>
    <n v="21.8"/>
    <n v="21.8"/>
    <s v="Full Service"/>
    <s v="None"/>
    <s v="None"/>
    <m/>
    <s v=" "/>
    <s v=" "/>
    <m/>
    <d v="2000-02-17T00:00:00"/>
    <x v="2076"/>
    <m/>
    <x v="1413"/>
    <s v="MI"/>
    <s v="Private"/>
    <m/>
    <m/>
    <m/>
    <s v=" "/>
    <s v=" "/>
    <m/>
    <s v=" "/>
    <s v=" "/>
    <s v=" "/>
    <m/>
    <s v=" "/>
  </r>
  <r>
    <m/>
    <s v="BLM"/>
    <s v="Federal"/>
    <s v="Fee Simple"/>
    <s v="176 E. DL Sargent Drive"/>
    <s v="Cedar City"/>
    <s v="UT"/>
    <n v="3.07"/>
    <n v="2017"/>
    <n v="18026.3"/>
    <n v="18026"/>
    <n v="1.000016642627316"/>
    <m/>
    <s v=" "/>
    <m/>
    <s v=" "/>
    <m/>
    <m/>
    <m/>
    <s v=" "/>
    <s v=" "/>
    <m/>
    <m/>
    <m/>
    <m/>
    <s v=" "/>
    <s v=" "/>
    <m/>
    <d v="2000-01-31T00:00:00"/>
    <x v="2119"/>
    <m/>
    <x v="1668"/>
    <s v="UT"/>
    <s v="Private"/>
    <m/>
    <m/>
    <m/>
    <s v=" "/>
    <s v=" "/>
    <m/>
    <s v=" "/>
    <s v=" "/>
    <s v=" "/>
    <m/>
    <s v=" "/>
  </r>
  <r>
    <s v="LMD10192"/>
    <s v="NPS"/>
    <s v="Federal"/>
    <s v="Fee Simple"/>
    <s v="6501-7001 Lafayette Ave"/>
    <s v="Riverdale"/>
    <s v="MD"/>
    <n v="20.41"/>
    <n v="1992"/>
    <n v="102159"/>
    <n v="299882"/>
    <n v="0.3406639945045051"/>
    <n v="919857.13"/>
    <n v="9.004171242866512"/>
    <m/>
    <s v=" "/>
    <d v="1992-02-17T00:00:00"/>
    <d v="2013-03-31T00:00:00"/>
    <d v="2013-03-31T00:00:00"/>
    <n v="13.17260273972603"/>
    <n v="13.17260273972603"/>
    <s v="Modified Gross"/>
    <s v="None"/>
    <s v="None"/>
    <n v="9225000"/>
    <n v="30.76209975923863"/>
    <s v=" "/>
    <m/>
    <d v="2000-01-31T00:00:00"/>
    <x v="2120"/>
    <s v="Michaels; Lassise"/>
    <x v="1669"/>
    <s v="MD"/>
    <s v="Private"/>
    <m/>
    <m/>
    <m/>
    <s v=" "/>
    <s v=" "/>
    <m/>
    <s v=" "/>
    <s v=" "/>
    <s v=" "/>
    <d v="1999-05-06T00:00:00"/>
    <n v="270"/>
  </r>
  <r>
    <m/>
    <s v="USDA"/>
    <s v="Federal"/>
    <s v="Fee Simple"/>
    <s v="245 Jimmy Doolittle Rd"/>
    <s v="Salt Lake City"/>
    <s v="UT"/>
    <n v="0.8"/>
    <n v="1989"/>
    <n v="10768"/>
    <n v="10768"/>
    <n v="1"/>
    <m/>
    <s v=" "/>
    <n v="63799.99999999999"/>
    <n v="5.924962852897473"/>
    <m/>
    <d v="2005-09-30T00:00:00"/>
    <d v="2005-09-30T00:00:00"/>
    <n v="5.745205479452054"/>
    <n v="5.745205479452054"/>
    <s v="Modified Gross"/>
    <s v="None"/>
    <s v="None"/>
    <n v="725000"/>
    <n v="67.32912332838039"/>
    <n v="0.08799999999999999"/>
    <m/>
    <d v="2000-01-03T00:00:00"/>
    <x v="2121"/>
    <m/>
    <x v="1670"/>
    <s v="UT"/>
    <s v="Private"/>
    <m/>
    <m/>
    <m/>
    <s v=" "/>
    <s v=" "/>
    <m/>
    <s v=" "/>
    <s v=" "/>
    <s v=" "/>
    <d v="1999-06-07T00:00:00"/>
    <n v="210"/>
  </r>
  <r>
    <m/>
    <s v="DOE"/>
    <s v="State"/>
    <s v="Fee Simple"/>
    <s v="3190 160th Ave SE"/>
    <s v="Bellevue"/>
    <s v="WA"/>
    <n v="3.66"/>
    <n v="1982"/>
    <n v="60423"/>
    <n v="60423"/>
    <n v="1"/>
    <m/>
    <s v=" "/>
    <n v="647069.5"/>
    <n v="10.70899326415438"/>
    <m/>
    <d v="2005-06-30T00:00:00"/>
    <d v="2005-06-30T00:00:00"/>
    <n v="5.498630136986302"/>
    <n v="5.498630136986302"/>
    <s v="Modified Gross"/>
    <s v="CPI annually"/>
    <s v="None"/>
    <n v="9432500"/>
    <n v="156.1077735299472"/>
    <n v="0.06859999999999999"/>
    <m/>
    <d v="2000-01-01T00:00:00"/>
    <x v="2122"/>
    <m/>
    <x v="1671"/>
    <s v="WA"/>
    <s v="Private"/>
    <m/>
    <m/>
    <m/>
    <s v=" "/>
    <s v=" "/>
    <m/>
    <s v=" "/>
    <s v=" "/>
    <s v=" "/>
    <m/>
    <s v=" "/>
  </r>
  <r>
    <m/>
    <s v="ATF"/>
    <s v="Federal"/>
    <s v="Fee Simple"/>
    <s v="355 N Wiget Ln"/>
    <s v="Walnut Creek"/>
    <s v="CA"/>
    <n v="0.52"/>
    <n v="1980"/>
    <n v="22500"/>
    <n v="22500"/>
    <n v="1"/>
    <m/>
    <s v=" "/>
    <n v="340578"/>
    <n v="15.1368"/>
    <m/>
    <m/>
    <m/>
    <s v=" "/>
    <s v=" "/>
    <s v="Modified Gross"/>
    <s v="None"/>
    <s v="None"/>
    <n v="3710000"/>
    <n v="164.8888888888889"/>
    <n v="0.09180000000000001"/>
    <m/>
    <d v="1999-12-30T00:00:00"/>
    <x v="2123"/>
    <s v="Colliers; Arechadarra"/>
    <x v="1672"/>
    <s v="CA"/>
    <s v="Private"/>
    <s v="CBC; Ware"/>
    <m/>
    <m/>
    <s v=" "/>
    <s v=" "/>
    <m/>
    <s v=" "/>
    <s v=" "/>
    <s v=" "/>
    <m/>
    <s v=" "/>
  </r>
  <r>
    <m/>
    <s v="TSA/Boeing"/>
    <s v="Federal"/>
    <s v="Fee Simple"/>
    <s v="13651 McLearen Rd"/>
    <s v="Herndon"/>
    <s v="VA"/>
    <n v="10.44"/>
    <n v="1987"/>
    <n v="159664"/>
    <n v="159664"/>
    <n v="1"/>
    <n v="2227500"/>
    <n v="13.95117246217056"/>
    <n v="2160675"/>
    <n v="13.53263728830544"/>
    <m/>
    <d v="2008-12-31T00:00:00"/>
    <m/>
    <n v="9.016438356164384"/>
    <s v=" "/>
    <s v="Modified Gross"/>
    <s v="None"/>
    <s v="None"/>
    <n v="25586814"/>
    <n v="160.2541211544243"/>
    <n v="0.08444486288914282"/>
    <m/>
    <d v="1999-12-28T00:00:00"/>
    <x v="2124"/>
    <s v="Newmark; Donhauser"/>
    <x v="1673"/>
    <s v="NY"/>
    <s v="REIT"/>
    <m/>
    <m/>
    <m/>
    <s v=" "/>
    <s v=" "/>
    <m/>
    <s v=" "/>
    <s v=" "/>
    <s v=" "/>
    <d v="1999-07-01T00:00:00"/>
    <n v="180"/>
  </r>
  <r>
    <m/>
    <s v="HHSC"/>
    <s v="State"/>
    <s v="Fee Simple"/>
    <s v="3000 E Villa Maria"/>
    <s v="Bryan"/>
    <s v="TX"/>
    <n v="2.2"/>
    <n v="1991"/>
    <n v="28749"/>
    <n v="28749"/>
    <n v="1"/>
    <n v="259232"/>
    <n v="9.017078854916694"/>
    <n v="189084"/>
    <n v="6.577063550036523"/>
    <m/>
    <d v="2008-08-31T00:00:00"/>
    <m/>
    <n v="8.75068493150685"/>
    <s v=" "/>
    <s v="Full Service"/>
    <s v="None"/>
    <s v="None"/>
    <m/>
    <s v=" "/>
    <s v=" "/>
    <m/>
    <d v="1999-12-03T00:00:00"/>
    <x v="2076"/>
    <m/>
    <x v="1413"/>
    <s v="MI"/>
    <s v="Private"/>
    <m/>
    <m/>
    <m/>
    <s v=" "/>
    <s v=" "/>
    <m/>
    <s v=" "/>
    <s v=" "/>
    <s v=" "/>
    <m/>
    <s v=" "/>
  </r>
  <r>
    <m/>
    <s v="HHSC"/>
    <s v="State"/>
    <s v="Fee Simple"/>
    <s v="2010 La Salle Ave"/>
    <s v="Waco"/>
    <s v="TX"/>
    <n v="1.29"/>
    <n v="1989"/>
    <n v="16980"/>
    <n v="16980"/>
    <n v="1"/>
    <n v="106716"/>
    <n v="6.284805653710247"/>
    <n v="78156"/>
    <n v="4.602826855123675"/>
    <d v="1998-01-01T00:00:00"/>
    <d v="2009-12-01T00:00:00"/>
    <m/>
    <n v="10.0027397260274"/>
    <s v=" "/>
    <s v="Full Service"/>
    <s v="None"/>
    <s v="None"/>
    <m/>
    <s v=" "/>
    <s v=" "/>
    <m/>
    <d v="1999-12-03T00:00:00"/>
    <x v="2076"/>
    <m/>
    <x v="1413"/>
    <s v="MI"/>
    <s v="Private"/>
    <m/>
    <m/>
    <m/>
    <s v=" "/>
    <s v=" "/>
    <m/>
    <s v=" "/>
    <s v=" "/>
    <s v=" "/>
    <m/>
    <s v=" "/>
  </r>
  <r>
    <s v="LAZ98185"/>
    <s v="SSA"/>
    <s v="Federal"/>
    <s v="Fee Simple"/>
    <s v="205 N Marina"/>
    <s v="Prescott"/>
    <s v="AZ"/>
    <n v="0.52"/>
    <n v="1985"/>
    <n v="10995"/>
    <n v="10995"/>
    <n v="1"/>
    <n v="291269"/>
    <n v="26.49104138244657"/>
    <n v="254905.09"/>
    <n v="23.18372805820828"/>
    <d v="1999-11-02T00:00:00"/>
    <d v="2014-11-01T00:00:00"/>
    <d v="2009-11-02T00:00:00"/>
    <n v="14.95342465753425"/>
    <n v="9.953424657534246"/>
    <s v="Modified Gross"/>
    <s v="None"/>
    <s v="None"/>
    <n v="2093000"/>
    <n v="190.3592542064575"/>
    <n v="0.1217893406593407"/>
    <m/>
    <d v="1999-11-22T00:00:00"/>
    <x v="681"/>
    <m/>
    <x v="1674"/>
    <s v="CA"/>
    <s v="Private"/>
    <m/>
    <m/>
    <m/>
    <s v=" "/>
    <s v=" "/>
    <m/>
    <s v=" "/>
    <s v=" "/>
    <s v=" "/>
    <m/>
    <s v=" "/>
  </r>
  <r>
    <m/>
    <s v="DHS"/>
    <s v="State"/>
    <s v="Fee Simple"/>
    <s v="11307 Roszell"/>
    <s v="San Antonio"/>
    <s v="TX"/>
    <n v="3.33"/>
    <n v="1993"/>
    <n v="66050"/>
    <n v="66050"/>
    <n v="1"/>
    <n v="1173708.5"/>
    <n v="17.77"/>
    <n v="727871"/>
    <n v="11.02"/>
    <d v="1998-10-01T00:00:00"/>
    <d v="2008-09-30T00:00:00"/>
    <m/>
    <n v="8.87945205479452"/>
    <s v=" "/>
    <s v="Full Service"/>
    <s v="None"/>
    <s v="None"/>
    <m/>
    <s v=" "/>
    <s v=" "/>
    <m/>
    <d v="1999-11-16T00:00:00"/>
    <x v="2076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6005 Landmark Center Blvd"/>
    <s v="Greensboro"/>
    <s v="NC"/>
    <n v="2.47"/>
    <n v="1999"/>
    <n v="18984"/>
    <n v="18984"/>
    <n v="1"/>
    <m/>
    <s v=" "/>
    <m/>
    <s v=" "/>
    <d v="1999-07-01T00:00:00"/>
    <d v="2011-06-30T00:00:00"/>
    <d v="2006-06-30T00:00:00"/>
    <n v="11.63013698630137"/>
    <n v="6.627397260273972"/>
    <s v="Modified Gross"/>
    <s v="None"/>
    <s v="None"/>
    <n v="2026000"/>
    <n v="106.7214496418036"/>
    <s v=" "/>
    <m/>
    <d v="1999-11-15T00:00:00"/>
    <x v="842"/>
    <m/>
    <x v="1675"/>
    <s v="HI"/>
    <s v="Private"/>
    <m/>
    <m/>
    <m/>
    <s v=" "/>
    <s v=" "/>
    <m/>
    <s v=" "/>
    <s v=" "/>
    <s v=" "/>
    <m/>
    <s v=" "/>
  </r>
  <r>
    <m/>
    <s v="HHSC"/>
    <s v="State"/>
    <s v="Fee Simple"/>
    <s v="2520 South 1 Road"/>
    <s v="Edinburg"/>
    <s v="TX"/>
    <n v="3.22"/>
    <n v="1994"/>
    <n v="44613"/>
    <n v="44613"/>
    <n v="1"/>
    <n v="547031"/>
    <n v="12.26169502163047"/>
    <n v="249849"/>
    <n v="5.600363122856566"/>
    <d v="1999-11-01T00:00:00"/>
    <d v="2011-10-31T00:00:00"/>
    <m/>
    <n v="12.02465753424658"/>
    <s v=" "/>
    <s v="Full Service"/>
    <s v="None"/>
    <s v="None"/>
    <m/>
    <s v=" "/>
    <s v=" "/>
    <m/>
    <d v="1999-10-25T00:00:00"/>
    <x v="2076"/>
    <m/>
    <x v="1413"/>
    <s v="MI"/>
    <s v="Private"/>
    <m/>
    <m/>
    <m/>
    <s v=" "/>
    <s v=" "/>
    <m/>
    <s v=" "/>
    <s v=" "/>
    <s v=" "/>
    <m/>
    <s v=" "/>
  </r>
  <r>
    <m/>
    <s v="HHSC/DFPS"/>
    <s v="State"/>
    <s v="Fee Simple"/>
    <s v="2505 Stone Hollow"/>
    <s v="Brenham"/>
    <s v="TX"/>
    <n v="1.5"/>
    <n v="1992"/>
    <n v="10368"/>
    <n v="10368"/>
    <n v="1"/>
    <n v="72075"/>
    <n v="6.95167824074074"/>
    <n v="45546"/>
    <n v="4.392939814814815"/>
    <d v="1997-09-01T00:00:00"/>
    <d v="2012-08-31T00:00:00"/>
    <m/>
    <n v="12.87945205479452"/>
    <s v=" "/>
    <s v="Modified Gross"/>
    <s v="None"/>
    <s v="None"/>
    <m/>
    <s v=" "/>
    <s v=" "/>
    <m/>
    <d v="1999-10-18T00:00:00"/>
    <x v="2076"/>
    <m/>
    <x v="1413"/>
    <s v="MI"/>
    <s v="Private"/>
    <m/>
    <m/>
    <m/>
    <s v=" "/>
    <s v=" "/>
    <m/>
    <s v=" "/>
    <s v=" "/>
    <s v=" "/>
    <m/>
    <s v=" "/>
  </r>
  <r>
    <s v="LDC12652"/>
    <s v="Multi"/>
    <s v="Federal"/>
    <s v="Leasehold"/>
    <s v="800 N Capitol St NW"/>
    <s v="Washington"/>
    <s v="DC"/>
    <n v="0.73"/>
    <n v="1991"/>
    <n v="314664"/>
    <n v="314664"/>
    <n v="1"/>
    <m/>
    <s v=" "/>
    <n v="6401472"/>
    <n v="20.34383342231714"/>
    <m/>
    <m/>
    <m/>
    <s v=" "/>
    <s v=" "/>
    <m/>
    <m/>
    <m/>
    <n v="73920000"/>
    <n v="234.9172450613988"/>
    <n v="0.0866"/>
    <m/>
    <d v="1999-10-01T00:00:00"/>
    <x v="2125"/>
    <s v="Direct"/>
    <x v="2"/>
    <s v="VA"/>
    <s v="Private"/>
    <m/>
    <m/>
    <m/>
    <s v=" "/>
    <s v=" "/>
    <m/>
    <s v=" "/>
    <s v=" "/>
    <s v=" "/>
    <m/>
    <s v=" "/>
  </r>
  <r>
    <m/>
    <s v="Multi"/>
    <s v="Federal, State, &amp; Municipal"/>
    <s v="Fee Simple"/>
    <s v="330 2nd Ave S"/>
    <s v="Minneapolis"/>
    <s v="MN"/>
    <n v="1"/>
    <n v="1980"/>
    <n v="65648"/>
    <n v="193594"/>
    <n v="0.3391014184323894"/>
    <m/>
    <s v=" "/>
    <m/>
    <s v=" "/>
    <m/>
    <m/>
    <m/>
    <s v=" "/>
    <s v=" "/>
    <m/>
    <m/>
    <m/>
    <n v="18816785"/>
    <n v="97.19714970505284"/>
    <s v=" "/>
    <m/>
    <d v="1999-09-30T00:00:00"/>
    <x v="2126"/>
    <s v="Direct"/>
    <x v="1676"/>
    <s v="IL"/>
    <s v="Private"/>
    <m/>
    <m/>
    <m/>
    <s v=" "/>
    <s v=" "/>
    <m/>
    <s v=" "/>
    <s v=" "/>
    <s v=" "/>
    <m/>
    <s v=" "/>
  </r>
  <r>
    <m/>
    <s v="FS"/>
    <s v="Federal"/>
    <s v="Fee Simple"/>
    <s v="2013 Eastside 2nd St"/>
    <s v="Sheridan"/>
    <s v="WY"/>
    <n v="2.2"/>
    <n v="2000"/>
    <n v="13533"/>
    <n v="13533"/>
    <n v="1"/>
    <m/>
    <s v=" "/>
    <n v="140250"/>
    <n v="10.36355575260474"/>
    <d v="2000-01-01T00:00:00"/>
    <d v="2020-12-31T00:00:00"/>
    <d v="2015-12-31T00:00:00"/>
    <n v="21.32328767123288"/>
    <n v="16.31780821917808"/>
    <s v="Modified Gross"/>
    <s v="None"/>
    <s v="None"/>
    <m/>
    <s v=" "/>
    <s v=" "/>
    <m/>
    <d v="1999-09-10T00:00:00"/>
    <x v="8"/>
    <m/>
    <x v="0"/>
    <m/>
    <m/>
    <m/>
    <m/>
    <m/>
    <s v=" "/>
    <s v=" "/>
    <m/>
    <s v=" "/>
    <s v=" "/>
    <s v=" "/>
    <m/>
    <s v=" "/>
  </r>
  <r>
    <m/>
    <s v="TBPC"/>
    <s v="State"/>
    <s v="Fee Simple"/>
    <s v="2400 Osborn Ln"/>
    <s v="Bryan"/>
    <s v="TX"/>
    <n v="1.18"/>
    <n v="1999"/>
    <n v="13914"/>
    <n v="13914"/>
    <n v="1"/>
    <n v="158870"/>
    <n v="11.41799626275693"/>
    <n v="69562"/>
    <n v="4.999425039528532"/>
    <d v="1999-02-20T00:00:00"/>
    <d v="2009-01-19T00:00:00"/>
    <m/>
    <n v="9.394520547945206"/>
    <s v=" "/>
    <s v="Full Service"/>
    <s v="None"/>
    <s v="None"/>
    <m/>
    <s v=" "/>
    <s v=" "/>
    <m/>
    <d v="1999-08-31T00:00:00"/>
    <x v="2076"/>
    <m/>
    <x v="1413"/>
    <s v="MI"/>
    <s v="Private"/>
    <m/>
    <m/>
    <m/>
    <s v=" "/>
    <s v=" "/>
    <m/>
    <s v=" "/>
    <s v=" "/>
    <s v=" "/>
    <m/>
    <s v=" "/>
  </r>
  <r>
    <m/>
    <s v="SSA"/>
    <s v="Federal"/>
    <s v="Fee Simple"/>
    <s v="202 Charter St"/>
    <s v="Albemarle"/>
    <s v="NC"/>
    <n v="1.27"/>
    <n v="1989"/>
    <n v="5950"/>
    <n v="5950"/>
    <n v="1"/>
    <m/>
    <s v=" "/>
    <m/>
    <s v=" "/>
    <m/>
    <d v="2010-09-30T00:00:00"/>
    <d v="2010-09-30T00:00:00"/>
    <n v="11.09315068493151"/>
    <n v="11.09315068493151"/>
    <s v="Modified Gross"/>
    <s v="None"/>
    <s v="None"/>
    <m/>
    <s v=" "/>
    <s v=" "/>
    <m/>
    <d v="1999-08-30T00:00:00"/>
    <x v="842"/>
    <m/>
    <x v="1677"/>
    <s v="NC"/>
    <s v="Private"/>
    <m/>
    <m/>
    <m/>
    <s v=" "/>
    <s v=" "/>
    <m/>
    <s v=" "/>
    <s v=" "/>
    <s v=" "/>
    <m/>
    <s v=" "/>
  </r>
  <r>
    <m/>
    <s v="SSA"/>
    <s v="Federal"/>
    <s v="Fee Simple"/>
    <s v="1122 N 7th St"/>
    <s v="Phoenix"/>
    <s v="AZ"/>
    <n v="0.89"/>
    <n v="1964"/>
    <n v="23998"/>
    <n v="23998"/>
    <n v="1"/>
    <m/>
    <s v=" "/>
    <m/>
    <s v=" "/>
    <m/>
    <m/>
    <m/>
    <s v=" "/>
    <s v=" "/>
    <m/>
    <m/>
    <m/>
    <n v="2100000"/>
    <n v="87.5072922743562"/>
    <s v=" "/>
    <m/>
    <d v="1999-08-25T00:00:00"/>
    <x v="2127"/>
    <m/>
    <x v="1678"/>
    <s v="AZ"/>
    <s v="Private"/>
    <m/>
    <m/>
    <m/>
    <s v=" "/>
    <s v=" "/>
    <m/>
    <s v=" "/>
    <s v=" "/>
    <s v=" "/>
    <d v="1998-12-29T00:00:00"/>
    <n v="239"/>
  </r>
  <r>
    <s v="LCA01582"/>
    <s v="SSA"/>
    <s v="Federal"/>
    <s v="Fee Simple"/>
    <s v="2045 Allston Wy"/>
    <s v="Berkeley"/>
    <s v="CA"/>
    <m/>
    <n v="1996"/>
    <n v="9105"/>
    <n v="12304"/>
    <n v="0.7400032509752926"/>
    <n v="355189"/>
    <n v="39.0103239978034"/>
    <m/>
    <s v=" "/>
    <m/>
    <d v="2005-06-01T00:00:00"/>
    <d v="2005-06-01T00:00:00"/>
    <n v="5.786301369863014"/>
    <n v="5.786301369863014"/>
    <s v="Modified Gross"/>
    <s v="None"/>
    <s v="None"/>
    <m/>
    <s v=" "/>
    <s v=" "/>
    <m/>
    <d v="1999-08-20T00:00:00"/>
    <x v="2128"/>
    <m/>
    <x v="1679"/>
    <s v="CA"/>
    <s v="Private"/>
    <m/>
    <m/>
    <m/>
    <s v=" "/>
    <s v=" "/>
    <m/>
    <s v=" "/>
    <s v=" "/>
    <s v=" "/>
    <m/>
    <s v=" "/>
  </r>
  <r>
    <m/>
    <s v="DEA"/>
    <s v="Federal"/>
    <s v="Fee Simple"/>
    <s v="600-700 Army-Navy Dr"/>
    <s v="Arlington"/>
    <s v="VA"/>
    <n v="9.41"/>
    <n v="1988"/>
    <n v="511487"/>
    <n v="511487"/>
    <n v="1"/>
    <n v="19434708"/>
    <n v="37.99648475914344"/>
    <n v="13572000"/>
    <n v="26.53439872372122"/>
    <d v="1988-04-01T00:00:00"/>
    <d v="2018-09-30T00:00:00"/>
    <d v="2018-09-30T00:00:00"/>
    <n v="19.16712328767123"/>
    <n v="19.16712328767123"/>
    <s v="Modified Gross"/>
    <s v="None"/>
    <s v="None"/>
    <n v="156000000"/>
    <n v="304.9930887784049"/>
    <n v="0.08699999999999999"/>
    <m/>
    <d v="1999-08-05T00:00:00"/>
    <x v="2129"/>
    <s v="CBRE; Murphy"/>
    <x v="1680"/>
    <s v="CA"/>
    <s v="Institutional"/>
    <m/>
    <m/>
    <m/>
    <s v=" "/>
    <s v=" "/>
    <m/>
    <s v=" "/>
    <s v=" "/>
    <s v=" "/>
    <m/>
    <s v=" "/>
  </r>
  <r>
    <m/>
    <s v="BPC"/>
    <s v="State"/>
    <s v="Fee Simple"/>
    <s v="7450 John White Blvd"/>
    <s v="Fort Worth"/>
    <s v="TX"/>
    <n v="2.38"/>
    <n v="1996"/>
    <n v="23647"/>
    <n v="23647"/>
    <n v="1"/>
    <n v="214890"/>
    <n v="9.087410665200659"/>
    <n v="128508"/>
    <n v="5.434431428933903"/>
    <m/>
    <d v="2012-03-31T00:00:00"/>
    <m/>
    <n v="12.67671232876712"/>
    <s v=" "/>
    <s v="Full Service"/>
    <s v="None"/>
    <s v="None"/>
    <m/>
    <s v=" "/>
    <s v=" "/>
    <m/>
    <d v="1999-07-31T00:00:00"/>
    <x v="2076"/>
    <m/>
    <x v="1413"/>
    <s v="MI"/>
    <s v="Private"/>
    <m/>
    <m/>
    <m/>
    <s v=" "/>
    <s v=" "/>
    <m/>
    <s v=" "/>
    <s v=" "/>
    <s v=" "/>
    <m/>
    <s v=" "/>
  </r>
  <r>
    <m/>
    <s v="VA"/>
    <s v="Federal"/>
    <s v="Fee Simple"/>
    <s v="1500-1506 Dodson Ave"/>
    <s v="Fort Smith"/>
    <s v="AR"/>
    <n v="8.08"/>
    <m/>
    <n v="12000"/>
    <n v="64546"/>
    <n v="0.1859139218541815"/>
    <m/>
    <s v=" "/>
    <m/>
    <s v=" "/>
    <m/>
    <m/>
    <m/>
    <s v=" "/>
    <s v=" "/>
    <m/>
    <m/>
    <m/>
    <n v="18000000"/>
    <n v="278.8708827812723"/>
    <s v=" "/>
    <m/>
    <d v="1999-07-30T00:00:00"/>
    <x v="2130"/>
    <m/>
    <x v="1681"/>
    <m/>
    <m/>
    <m/>
    <m/>
    <m/>
    <s v=" "/>
    <s v=" "/>
    <m/>
    <s v=" "/>
    <s v=" "/>
    <s v=" "/>
    <m/>
    <s v=" "/>
  </r>
  <r>
    <m/>
    <s v="AOC"/>
    <s v="Federal"/>
    <s v="Condominium"/>
    <s v="86 Chambers St"/>
    <s v="New York"/>
    <s v="NY"/>
    <n v="0.42"/>
    <n v="1929"/>
    <n v="72258"/>
    <n v="114891"/>
    <n v="0.6289265477713659"/>
    <m/>
    <s v=" "/>
    <m/>
    <s v=" "/>
    <m/>
    <m/>
    <m/>
    <s v=" "/>
    <s v=" "/>
    <m/>
    <m/>
    <m/>
    <n v="38360000"/>
    <n v="333.881679156766"/>
    <s v=" "/>
    <m/>
    <d v="1999-07-22T00:00:00"/>
    <x v="2131"/>
    <m/>
    <x v="1682"/>
    <s v="NY"/>
    <s v="Private"/>
    <m/>
    <m/>
    <m/>
    <s v=" "/>
    <s v=" "/>
    <m/>
    <s v=" "/>
    <s v=" "/>
    <s v=" "/>
    <m/>
    <s v=" "/>
  </r>
  <r>
    <m/>
    <s v="Health"/>
    <s v="State"/>
    <s v="Fee Simple"/>
    <s v="901 N 5th St"/>
    <s v="Kansas City"/>
    <s v="KS"/>
    <n v="4.12"/>
    <n v="1999"/>
    <n v="192595"/>
    <n v="192595"/>
    <n v="1"/>
    <m/>
    <s v=" "/>
    <m/>
    <s v=" "/>
    <m/>
    <m/>
    <m/>
    <s v=" "/>
    <s v=" "/>
    <m/>
    <m/>
    <m/>
    <n v="34844292"/>
    <n v="180.9200238843168"/>
    <s v=" "/>
    <m/>
    <d v="1999-07-01T00:00:00"/>
    <x v="8"/>
    <m/>
    <x v="1254"/>
    <s v="CA"/>
    <s v="Institutional"/>
    <m/>
    <m/>
    <m/>
    <s v=" "/>
    <s v=" "/>
    <m/>
    <s v=" "/>
    <s v=" "/>
    <s v=" "/>
    <m/>
    <s v=" "/>
  </r>
  <r>
    <m/>
    <s v="Workman's Comp"/>
    <s v="State"/>
    <s v="Fee Simple"/>
    <s v="270 Peachtree St NW"/>
    <s v="Atlanta"/>
    <s v="GA"/>
    <n v="1.47"/>
    <n v="1961"/>
    <n v="71020"/>
    <n v="326023"/>
    <n v="0.217837391840453"/>
    <m/>
    <s v=" "/>
    <n v="3770000"/>
    <n v="11.56360134100968"/>
    <m/>
    <m/>
    <m/>
    <s v=" "/>
    <s v=" "/>
    <m/>
    <m/>
    <m/>
    <n v="47000000"/>
    <n v="144.1616082300942"/>
    <n v="0.08021276595744681"/>
    <m/>
    <d v="1999-06-10T00:00:00"/>
    <x v="2132"/>
    <s v="RB; Johnson"/>
    <x v="1683"/>
    <s v="GA"/>
    <s v="Private"/>
    <m/>
    <m/>
    <m/>
    <s v=" "/>
    <s v=" "/>
    <m/>
    <s v=" "/>
    <s v=" "/>
    <s v=" "/>
    <m/>
    <s v=" "/>
  </r>
  <r>
    <m/>
    <s v="HHSC/DFPS"/>
    <s v="State"/>
    <s v="Fee Simple"/>
    <s v="605 West 4th St"/>
    <s v="Cameron"/>
    <s v="TX"/>
    <n v="1.22"/>
    <n v="1990"/>
    <n v="8125"/>
    <n v="8125"/>
    <n v="1"/>
    <n v="54650"/>
    <n v="6.726153846153847"/>
    <n v="32280"/>
    <n v="3.972923076923077"/>
    <d v="1999-02-01T00:00:00"/>
    <d v="2009-03-01T00:00:00"/>
    <m/>
    <n v="9.756164383561643"/>
    <s v=" "/>
    <s v="Full Service"/>
    <s v="None"/>
    <s v="None"/>
    <m/>
    <s v=" "/>
    <s v=" "/>
    <m/>
    <d v="1999-06-01T00:00:00"/>
    <x v="2076"/>
    <m/>
    <x v="1413"/>
    <s v="MI"/>
    <s v="Private"/>
    <m/>
    <m/>
    <m/>
    <s v=" "/>
    <s v=" "/>
    <m/>
    <s v=" "/>
    <s v=" "/>
    <s v=" "/>
    <m/>
    <s v=" "/>
  </r>
  <r>
    <m/>
    <s v="HHSC/DFPS"/>
    <s v="State"/>
    <s v="Fee Simple"/>
    <s v="103 Park Hill Dr"/>
    <s v="Hamilton"/>
    <s v="TX"/>
    <n v="0.54"/>
    <n v="1990"/>
    <n v="5865"/>
    <n v="5865"/>
    <n v="1"/>
    <n v="42460"/>
    <n v="7.239556692242115"/>
    <n v="27529"/>
    <n v="4.693776641091219"/>
    <m/>
    <d v="2008-08-31T00:00:00"/>
    <m/>
    <n v="9.257534246575343"/>
    <s v=" "/>
    <s v="Full Service"/>
    <s v="None"/>
    <s v="None"/>
    <m/>
    <s v=" "/>
    <s v=" "/>
    <m/>
    <d v="1999-06-01T00:00:00"/>
    <x v="2076"/>
    <m/>
    <x v="1413"/>
    <s v="MI"/>
    <s v="Private"/>
    <m/>
    <m/>
    <m/>
    <s v=" "/>
    <s v=" "/>
    <m/>
    <s v=" "/>
    <s v=" "/>
    <s v=" "/>
    <m/>
    <s v=" "/>
  </r>
  <r>
    <m/>
    <s v="HHSC"/>
    <s v="State"/>
    <s v="Fee Simple"/>
    <s v="1320 E Highway 84"/>
    <s v="Teague"/>
    <s v="TX"/>
    <n v="1.1"/>
    <n v="1990"/>
    <n v="3750"/>
    <n v="3750"/>
    <n v="1"/>
    <n v="28841"/>
    <n v="7.690933333333334"/>
    <n v="11334"/>
    <n v="3.0224"/>
    <d v="1999-07-01T00:00:00"/>
    <d v="2009-08-01T00:00:00"/>
    <m/>
    <n v="10.17534246575342"/>
    <s v=" "/>
    <s v="Full Service"/>
    <s v="None"/>
    <s v="None"/>
    <m/>
    <s v=" "/>
    <s v=" "/>
    <m/>
    <d v="1999-06-01T00:00:00"/>
    <x v="2076"/>
    <m/>
    <x v="1413"/>
    <s v="MI"/>
    <s v="Private"/>
    <m/>
    <m/>
    <m/>
    <s v=" "/>
    <s v=" "/>
    <m/>
    <s v=" "/>
    <s v=" "/>
    <s v=" "/>
    <m/>
    <s v=" "/>
  </r>
  <r>
    <m/>
    <s v="DOD"/>
    <s v="Federal"/>
    <s v="Fee Simple"/>
    <s v="5775 General Washington Dr"/>
    <s v="Alexandria"/>
    <s v="VA"/>
    <n v="6.18"/>
    <n v="1992"/>
    <n v="109029"/>
    <n v="109029"/>
    <n v="1"/>
    <m/>
    <s v=" "/>
    <n v="1200000"/>
    <n v="11.00624604463033"/>
    <m/>
    <d v="2003-05-31T00:00:00"/>
    <d v="2003-05-31T00:00:00"/>
    <n v="4.038356164383561"/>
    <n v="4.038356164383561"/>
    <s v="Modified Gross"/>
    <s v="None"/>
    <s v="None"/>
    <n v="8100000"/>
    <n v="74.29216080125471"/>
    <n v="0.1481481481481481"/>
    <m/>
    <d v="1999-05-18T00:00:00"/>
    <x v="2133"/>
    <s v="TW; Conley"/>
    <x v="2"/>
    <s v="VA"/>
    <s v="Private"/>
    <m/>
    <m/>
    <m/>
    <s v=" "/>
    <s v=" "/>
    <m/>
    <s v=" "/>
    <s v=" "/>
    <s v=" "/>
    <d v="1998-11-19T00:00:00"/>
    <n v="180"/>
  </r>
  <r>
    <m/>
    <s v="NARA"/>
    <s v="Federal"/>
    <s v="Fee Simple"/>
    <s v="10 Conte Dr"/>
    <s v="Pittsfield"/>
    <s v="MA"/>
    <n v="13.74"/>
    <n v="1993"/>
    <n v="136720"/>
    <n v="136720"/>
    <n v="1"/>
    <m/>
    <s v=" "/>
    <m/>
    <s v=" "/>
    <m/>
    <m/>
    <m/>
    <s v=" "/>
    <s v=" "/>
    <m/>
    <m/>
    <m/>
    <n v="12450000"/>
    <n v="91.06202457577531"/>
    <s v=" "/>
    <m/>
    <d v="1999-05-17T00:00:00"/>
    <x v="2134"/>
    <m/>
    <x v="1567"/>
    <s v="NC"/>
    <s v="Private"/>
    <m/>
    <m/>
    <m/>
    <s v=" "/>
    <s v=" "/>
    <m/>
    <s v=" "/>
    <s v=" "/>
    <s v=" "/>
    <m/>
    <s v=" "/>
  </r>
  <r>
    <m/>
    <s v="SSA"/>
    <s v="Federal"/>
    <s v="Fee Simple"/>
    <s v="1301 Young St"/>
    <s v="Dallas"/>
    <s v="TX"/>
    <n v="3.25"/>
    <n v="1984"/>
    <n v="385000"/>
    <n v="592123"/>
    <n v="0.6502027450377709"/>
    <m/>
    <s v=" "/>
    <m/>
    <s v=" "/>
    <m/>
    <m/>
    <m/>
    <s v=" "/>
    <s v=" "/>
    <m/>
    <m/>
    <m/>
    <n v="42000000"/>
    <n v="70.931208549575"/>
    <s v=" "/>
    <m/>
    <d v="1999-05-11T00:00:00"/>
    <x v="2135"/>
    <m/>
    <x v="1684"/>
    <s v="NC"/>
    <s v="Private"/>
    <m/>
    <m/>
    <m/>
    <s v=" "/>
    <s v=" "/>
    <m/>
    <s v=" "/>
    <s v=" "/>
    <s v=" "/>
    <m/>
    <s v=" "/>
  </r>
  <r>
    <m/>
    <s v="BWC"/>
    <s v="State"/>
    <s v="Fee Simple"/>
    <s v="13430 Yarmouth Dr NW"/>
    <s v="Pickerington"/>
    <s v="OH"/>
    <n v="5.92"/>
    <n v="1981"/>
    <n v="40500"/>
    <n v="40500"/>
    <n v="1"/>
    <n v="608184"/>
    <n v="15.01688888888889"/>
    <n v="296704"/>
    <n v="7.326024691358024"/>
    <d v="1997-07-01T00:00:00"/>
    <d v="2007-06-30T00:00:00"/>
    <d v="2007-06-30T00:00:00"/>
    <n v="8.158904109589042"/>
    <n v="8.158904109589042"/>
    <s v="Full Service"/>
    <s v="None"/>
    <s v="None"/>
    <n v="2900000"/>
    <n v="71.60493827160494"/>
    <n v="0.102311724137931"/>
    <m/>
    <d v="1999-05-05T00:00:00"/>
    <x v="2136"/>
    <m/>
    <x v="1413"/>
    <s v="MI"/>
    <s v="Private"/>
    <m/>
    <m/>
    <m/>
    <s v=" "/>
    <s v=" "/>
    <m/>
    <s v=" "/>
    <s v=" "/>
    <s v=" "/>
    <m/>
    <s v=" "/>
  </r>
  <r>
    <m/>
    <s v="AOC"/>
    <s v="Federal"/>
    <s v="Fee Simple"/>
    <s v="2070 Chain Bridge Rd"/>
    <s v="Vienna"/>
    <s v="VA"/>
    <n v="9.19"/>
    <n v="1983"/>
    <n v="230652"/>
    <n v="435193"/>
    <n v="0.5299993336289875"/>
    <m/>
    <s v=" "/>
    <n v="5656184"/>
    <n v="12.99695537382265"/>
    <m/>
    <d v="2021-08-31T00:00:00"/>
    <d v="2016-08-31T00:00:00"/>
    <n v="22.43287671232877"/>
    <n v="17.43013698630137"/>
    <s v="Modified Gross"/>
    <s v="None"/>
    <s v="None"/>
    <n v="57500000"/>
    <n v="132.1252869416558"/>
    <n v="0.09836841739130435"/>
    <m/>
    <d v="1999-04-01T00:00:00"/>
    <x v="2137"/>
    <m/>
    <x v="1685"/>
    <s v="NY"/>
    <s v="Institutional"/>
    <m/>
    <m/>
    <m/>
    <s v=" "/>
    <s v=" "/>
    <m/>
    <s v=" "/>
    <s v=" "/>
    <s v=" "/>
    <m/>
    <s v=" "/>
  </r>
  <r>
    <m/>
    <s v="IRS/SSA"/>
    <s v="Federal"/>
    <s v="Fee Simple"/>
    <s v="225 W Broadway"/>
    <s v="Glendale"/>
    <s v="CA"/>
    <n v="1.76"/>
    <n v="1981"/>
    <n v="47814"/>
    <n v="126509"/>
    <n v="0.3779493949047104"/>
    <n v="2537388"/>
    <n v="53.06788806625674"/>
    <n v="1446311"/>
    <n v="11.43247515987005"/>
    <m/>
    <m/>
    <m/>
    <s v=" "/>
    <s v=" "/>
    <m/>
    <m/>
    <m/>
    <n v="16125000"/>
    <n v="127.4612873392407"/>
    <n v="0.08969370542635659"/>
    <m/>
    <d v="1999-03-25T00:00:00"/>
    <x v="2138"/>
    <s v="C&amp;W; Fitzgerald"/>
    <x v="71"/>
    <s v="CA"/>
    <s v="Institutional"/>
    <m/>
    <m/>
    <m/>
    <s v=" "/>
    <s v=" "/>
    <m/>
    <s v=" "/>
    <s v=" "/>
    <s v=" "/>
    <d v="1998-09-26T00:00:00"/>
    <n v="180"/>
  </r>
  <r>
    <m/>
    <s v="SSA"/>
    <s v="Federal"/>
    <s v="Fee Simple"/>
    <s v="732 S 6th St"/>
    <s v="Las Vegas"/>
    <s v="NV"/>
    <n v="0.24"/>
    <n v="1992"/>
    <m/>
    <n v="13788"/>
    <s v=" "/>
    <m/>
    <s v=" "/>
    <m/>
    <s v=" "/>
    <m/>
    <m/>
    <m/>
    <s v=" "/>
    <s v=" "/>
    <m/>
    <m/>
    <m/>
    <n v="1370460"/>
    <n v="99.39512619669277"/>
    <s v=" "/>
    <m/>
    <d v="1999-03-19T00:00:00"/>
    <x v="8"/>
    <m/>
    <x v="0"/>
    <m/>
    <m/>
    <m/>
    <m/>
    <m/>
    <s v=" "/>
    <s v=" "/>
    <m/>
    <s v=" "/>
    <s v=" "/>
    <s v=" "/>
    <m/>
    <s v=" "/>
  </r>
  <r>
    <s v="LIL16186"/>
    <s v="SSA"/>
    <s v="Federal"/>
    <s v="Fee Simple"/>
    <s v="230 N Mannheim Rd"/>
    <s v="Hillside"/>
    <s v="IL"/>
    <n v="1.38"/>
    <n v="1998"/>
    <n v="14899"/>
    <n v="14899"/>
    <n v="1"/>
    <n v="383885"/>
    <n v="25.76582320961138"/>
    <n v="295138"/>
    <n v="19.80924894288207"/>
    <d v="1998-10-05T00:00:00"/>
    <d v="2018-10-31T00:00:00"/>
    <d v="2008-10-31T00:00:00"/>
    <n v="19.63835616438356"/>
    <n v="9.632876712328768"/>
    <s v="Modified Gross"/>
    <s v="None"/>
    <s v="None"/>
    <n v="2957500"/>
    <n v="198.5032552520303"/>
    <n v="0.09979306846999154"/>
    <m/>
    <d v="1999-03-17T00:00:00"/>
    <x v="2084"/>
    <m/>
    <x v="1516"/>
    <s v="IL"/>
    <s v="Private"/>
    <m/>
    <m/>
    <m/>
    <s v=" "/>
    <s v=" "/>
    <m/>
    <s v=" "/>
    <s v=" "/>
    <s v=" "/>
    <m/>
    <s v=" "/>
  </r>
  <r>
    <s v="LWI16089"/>
    <s v="SSA"/>
    <s v="Federal"/>
    <s v="Fee Simple"/>
    <s v="6300 W Fond du Lac"/>
    <s v="Milwaukee"/>
    <s v="WI"/>
    <n v="1.14"/>
    <n v="1997"/>
    <n v="24854"/>
    <n v="24854"/>
    <n v="1"/>
    <n v="677700"/>
    <n v="27.26724068560393"/>
    <n v="475950"/>
    <n v="19.14983503661383"/>
    <d v="1997-10-10T00:00:00"/>
    <d v="2017-10-09T00:00:00"/>
    <d v="2007-10-09T00:00:00"/>
    <n v="18.6027397260274"/>
    <n v="8.594520547945205"/>
    <s v="Modified Gross"/>
    <s v="None"/>
    <s v="None"/>
    <n v="4930200"/>
    <n v="198.3664601271425"/>
    <n v="0.09653766581477424"/>
    <m/>
    <d v="1999-03-08T00:00:00"/>
    <x v="2084"/>
    <m/>
    <x v="1413"/>
    <s v="MI"/>
    <s v="Private"/>
    <s v="BW; Wells"/>
    <m/>
    <m/>
    <s v=" "/>
    <s v=" "/>
    <m/>
    <s v=" "/>
    <s v=" "/>
    <s v=" "/>
    <m/>
    <s v=" "/>
  </r>
  <r>
    <m/>
    <s v="AOC"/>
    <s v="Federal"/>
    <s v="Fee Simple"/>
    <s v="1310 N Courthouse Rd"/>
    <s v="Arlington"/>
    <s v="VA"/>
    <n v="1.97"/>
    <n v="1983"/>
    <n v="71450"/>
    <n v="380499"/>
    <n v="0.1877797313527762"/>
    <m/>
    <s v=" "/>
    <m/>
    <s v=" "/>
    <m/>
    <m/>
    <m/>
    <s v=" "/>
    <s v=" "/>
    <m/>
    <m/>
    <m/>
    <n v="55000000"/>
    <n v="144.5470290329278"/>
    <s v=" "/>
    <m/>
    <d v="1998-12-29T00:00:00"/>
    <x v="2139"/>
    <s v="JLL; Norjen"/>
    <x v="1686"/>
    <s v="DC"/>
    <s v="Private"/>
    <m/>
    <m/>
    <m/>
    <s v=" "/>
    <s v=" "/>
    <m/>
    <s v=" "/>
    <s v=" "/>
    <s v=" "/>
    <m/>
    <s v=" "/>
  </r>
  <r>
    <m/>
    <s v="HUD/Edu."/>
    <s v="Federal"/>
    <s v="Fee Simple"/>
    <s v="550 12th St SW"/>
    <s v="Washington"/>
    <s v="DC"/>
    <n v="1.54"/>
    <n v="1969"/>
    <n v="427463"/>
    <n v="539713"/>
    <n v="0.7920190916283284"/>
    <m/>
    <s v=" "/>
    <n v="5510376"/>
    <n v="10.20982633362546"/>
    <d v="1994-04-01T00:00:00"/>
    <d v="2004-03-31T00:00:00"/>
    <d v="2004-03-31T00:00:00"/>
    <n v="5.331506849315068"/>
    <n v="5.331506849315068"/>
    <s v="Modified Gross"/>
    <s v="None"/>
    <s v="None"/>
    <n v="55750000"/>
    <n v="103.2956404607634"/>
    <n v="0.09884082511210762"/>
    <m/>
    <d v="1998-12-02T00:00:00"/>
    <x v="2140"/>
    <m/>
    <x v="1687"/>
    <s v="DC"/>
    <s v="Private"/>
    <m/>
    <m/>
    <m/>
    <s v=" "/>
    <s v=" "/>
    <m/>
    <s v=" "/>
    <s v=" "/>
    <s v=" "/>
    <m/>
    <s v=" "/>
  </r>
  <r>
    <s v="LNV03308"/>
    <s v="BLM"/>
    <s v="Federal"/>
    <s v="Fee Simple"/>
    <s v="5665 Morgan Mill Rd"/>
    <s v="Carson City"/>
    <s v="NV"/>
    <n v="7"/>
    <n v="1997"/>
    <n v="35839"/>
    <n v="35839"/>
    <n v="1"/>
    <m/>
    <s v=" "/>
    <m/>
    <s v=" "/>
    <d v="1997-03-07T00:00:00"/>
    <d v="2017-03-06T00:00:00"/>
    <d v="2012-03-06T00:00:00"/>
    <n v="18.4"/>
    <n v="13.3972602739726"/>
    <s v="Modified Gross"/>
    <s v="None"/>
    <s v="None"/>
    <n v="4403437"/>
    <n v="122.8671837941907"/>
    <s v=" "/>
    <m/>
    <d v="1998-10-16T00:00:00"/>
    <x v="1085"/>
    <m/>
    <x v="1541"/>
    <s v="CA"/>
    <s v="Private"/>
    <m/>
    <m/>
    <m/>
    <s v=" "/>
    <s v=" "/>
    <m/>
    <s v=" "/>
    <s v=" "/>
    <s v=" "/>
    <m/>
    <s v=" "/>
  </r>
  <r>
    <m/>
    <s v="Multi"/>
    <s v="State"/>
    <s v="Fee Simple"/>
    <s v="4201 Patterson Ave"/>
    <s v="Baltimore"/>
    <s v="MD"/>
    <n v="3.09"/>
    <n v="1989"/>
    <n v="84674"/>
    <n v="84674"/>
    <n v="1"/>
    <m/>
    <s v=" "/>
    <m/>
    <s v=" "/>
    <m/>
    <m/>
    <m/>
    <s v=" "/>
    <s v=" "/>
    <m/>
    <m/>
    <m/>
    <m/>
    <s v=" "/>
    <s v=" "/>
    <m/>
    <d v="1998-10-15T00:00:00"/>
    <x v="8"/>
    <m/>
    <x v="790"/>
    <s v="MA"/>
    <s v="REIT"/>
    <m/>
    <m/>
    <m/>
    <s v=" "/>
    <s v=" "/>
    <m/>
    <s v=" "/>
    <s v=" "/>
    <s v=" "/>
    <m/>
    <s v=" "/>
  </r>
  <r>
    <m/>
    <m/>
    <s v="Federal"/>
    <s v="Fee Simple"/>
    <s v="Portfolio of Two"/>
    <s v="Washington"/>
    <s v="DC"/>
    <n v="2.93"/>
    <m/>
    <n v="792610"/>
    <n v="792610"/>
    <n v="1"/>
    <n v="17390687"/>
    <n v="21.941039098674"/>
    <n v="13236107"/>
    <n v="16.6993944058238"/>
    <m/>
    <m/>
    <m/>
    <s v=" "/>
    <s v=" "/>
    <m/>
    <m/>
    <m/>
    <n v="143000000"/>
    <n v="180.4165983270461"/>
    <n v="0.09256018881118881"/>
    <m/>
    <d v="1998-09-15T00:00:00"/>
    <x v="2141"/>
    <m/>
    <x v="2"/>
    <s v="VA"/>
    <s v="Private"/>
    <m/>
    <m/>
    <m/>
    <s v=" "/>
    <s v=" "/>
    <m/>
    <s v=" "/>
    <s v=" "/>
    <s v=" "/>
    <d v="1998-05-18T00:00:00"/>
    <n v="120"/>
  </r>
  <r>
    <m/>
    <s v="Dep't of State"/>
    <s v="Federal"/>
    <s v="Fee Simple"/>
    <s v="1400 Wilson Blvd"/>
    <s v="Arlington"/>
    <s v="VA"/>
    <n v="0.83"/>
    <n v="1965"/>
    <n v="180296"/>
    <n v="180296"/>
    <n v="1"/>
    <m/>
    <s v=" "/>
    <n v="1656250"/>
    <n v="9.186282557571992"/>
    <m/>
    <d v="2000-04-30T00:00:00"/>
    <d v="1995-04-30T00:00:00"/>
    <n v="1.723287671232877"/>
    <n v="-3.282191780821918"/>
    <s v="Modified Gross"/>
    <s v="None"/>
    <s v="None"/>
    <n v="13250000"/>
    <n v="73.49026046057594"/>
    <n v="0.125"/>
    <m/>
    <d v="1998-08-10T00:00:00"/>
    <x v="2142"/>
    <m/>
    <x v="1607"/>
    <s v="MD"/>
    <s v="Private"/>
    <m/>
    <m/>
    <m/>
    <s v=" "/>
    <s v=" "/>
    <m/>
    <s v=" "/>
    <s v=" "/>
    <s v=" "/>
    <m/>
    <s v=" "/>
  </r>
  <r>
    <m/>
    <s v="FS"/>
    <s v="Federal"/>
    <s v="Fee Simple"/>
    <s v="595 NW Industrial Way"/>
    <s v="Estacada"/>
    <s v="OR"/>
    <n v="1.76"/>
    <n v="1984"/>
    <n v="15220"/>
    <n v="15220"/>
    <n v="1"/>
    <n v="302508"/>
    <n v="19.87568988173456"/>
    <n v="244106"/>
    <n v="16.03850197109067"/>
    <d v="1997-06-01T00:00:00"/>
    <d v="2007-05-31T00:00:00"/>
    <d v="2007-05-31T00:00:00"/>
    <n v="8.810958904109588"/>
    <n v="8.810958904109588"/>
    <s v="Modified Gross"/>
    <s v="None"/>
    <s v="None"/>
    <n v="2100000"/>
    <n v="137.976346911958"/>
    <n v="0.1162409523809524"/>
    <m/>
    <d v="1998-08-10T00:00:00"/>
    <x v="2143"/>
    <m/>
    <x v="1688"/>
    <s v="CA"/>
    <s v="Private"/>
    <m/>
    <m/>
    <m/>
    <s v=" "/>
    <s v=" "/>
    <m/>
    <s v=" "/>
    <s v=" "/>
    <s v=" "/>
    <m/>
    <s v=" "/>
  </r>
  <r>
    <m/>
    <m/>
    <s v="Federal"/>
    <s v="Fee Simple"/>
    <s v="875 Greentree Rd"/>
    <s v="Pittsburgh"/>
    <s v="PA"/>
    <n v="4.3465"/>
    <n v="1983"/>
    <n v="43344"/>
    <n v="55445"/>
    <n v="0.7817476778789791"/>
    <m/>
    <s v=" "/>
    <m/>
    <s v=" "/>
    <m/>
    <m/>
    <m/>
    <s v=" "/>
    <s v=" "/>
    <m/>
    <m/>
    <m/>
    <n v="6300000"/>
    <n v="113.6261159707819"/>
    <s v=" "/>
    <m/>
    <d v="1998-08-05T00:00:00"/>
    <x v="8"/>
    <m/>
    <x v="0"/>
    <m/>
    <m/>
    <m/>
    <m/>
    <m/>
    <s v=" "/>
    <s v=" "/>
    <m/>
    <s v=" "/>
    <s v=" "/>
    <s v=" "/>
    <m/>
    <s v=" "/>
  </r>
  <r>
    <s v="LMA04014"/>
    <s v="ACOE"/>
    <s v="Federal"/>
    <s v="Fee Simple"/>
    <s v="696 Virginia Rd"/>
    <s v="Concord"/>
    <s v="MA"/>
    <n v="28.22"/>
    <n v="1970"/>
    <n v="104527"/>
    <n v="104527"/>
    <n v="1"/>
    <n v="3048378.56"/>
    <n v="29.16355161824218"/>
    <n v="2150000"/>
    <n v="20.56884824016761"/>
    <d v="1998-03-16T00:00:00"/>
    <d v="2018-03-11T00:00:00"/>
    <d v="2003-03-16T00:00:00"/>
    <n v="19.65479452054795"/>
    <n v="4.657534246575342"/>
    <s v="Modified Gross"/>
    <s v="None"/>
    <s v="None"/>
    <n v="15000000"/>
    <n v="143.5035923732624"/>
    <n v="0.1433333333333333"/>
    <m/>
    <d v="1998-07-20T00:00:00"/>
    <x v="2144"/>
    <m/>
    <x v="1254"/>
    <s v="CA"/>
    <s v="Institutional"/>
    <m/>
    <m/>
    <m/>
    <s v=" "/>
    <s v=" "/>
    <m/>
    <s v=" "/>
    <s v=" "/>
    <s v=" "/>
    <m/>
    <s v=" "/>
  </r>
  <r>
    <m/>
    <s v="DEP"/>
    <s v="State"/>
    <s v="Fee Simple"/>
    <s v="4244 International Pky"/>
    <s v="Atlanta"/>
    <s v="GA"/>
    <n v="7.36"/>
    <n v="1990"/>
    <n v="77292"/>
    <n v="77292"/>
    <n v="1"/>
    <m/>
    <s v=" "/>
    <n v="834372"/>
    <n v="10.79506287843503"/>
    <m/>
    <m/>
    <m/>
    <s v=" "/>
    <s v=" "/>
    <m/>
    <m/>
    <m/>
    <n v="7740000"/>
    <n v="100.1397298556125"/>
    <n v="0.1078"/>
    <m/>
    <d v="1998-07-08T00:00:00"/>
    <x v="2145"/>
    <s v="SJC;"/>
    <x v="429"/>
    <s v="NY"/>
    <s v="Private"/>
    <m/>
    <m/>
    <m/>
    <s v=" "/>
    <s v=" "/>
    <m/>
    <s v=" "/>
    <s v=" "/>
    <s v=" "/>
    <m/>
    <s v=" "/>
  </r>
  <r>
    <m/>
    <s v="DWM&amp;R"/>
    <s v="State"/>
    <s v="Fee Simple"/>
    <s v="9850 Goethe Rd"/>
    <s v="Sacramento"/>
    <s v="CA"/>
    <n v="1.919995408631772"/>
    <n v="1995"/>
    <n v="19040"/>
    <n v="19040"/>
    <n v="1"/>
    <n v="395623.2177337072"/>
    <n v="20.77853034315689"/>
    <n v="226530"/>
    <n v="11.89758403361344"/>
    <d v="1997-12-01T00:00:00"/>
    <d v="2010-11-30T00:00:00"/>
    <d v="2005-11-30T00:00:00"/>
    <n v="12.52054794520548"/>
    <n v="7.517808219178082"/>
    <s v="Full Service"/>
    <s v="Annually"/>
    <s v="None"/>
    <n v="3030000"/>
    <n v="159.1386554621849"/>
    <n v="0.07476237623762376"/>
    <m/>
    <d v="1998-05-27T00:00:00"/>
    <x v="1742"/>
    <m/>
    <x v="763"/>
    <s v="CA"/>
    <s v="Private"/>
    <m/>
    <m/>
    <m/>
    <s v=" "/>
    <s v=" "/>
    <m/>
    <s v=" "/>
    <s v=" "/>
    <s v=" "/>
    <m/>
    <s v=" "/>
  </r>
  <r>
    <m/>
    <s v="TAM"/>
    <s v="Federal"/>
    <s v="Fee Simple"/>
    <s v="939 Elkridge Landing Rd"/>
    <s v="Linthicum Heights"/>
    <s v="MD"/>
    <n v="2.86"/>
    <n v="1983"/>
    <n v="12333"/>
    <n v="53031"/>
    <n v="0.2325620863268654"/>
    <n v="268859"/>
    <n v="21.79996756669099"/>
    <m/>
    <s v=" "/>
    <d v="1995-07-01T00:00:00"/>
    <d v="2005-06-30T00:00:00"/>
    <d v="2005-06-30T00:00:00"/>
    <n v="7.112328767123287"/>
    <n v="7.112328767123287"/>
    <s v="Modified Gross"/>
    <s v="None"/>
    <s v="None"/>
    <m/>
    <s v=" "/>
    <s v=" "/>
    <m/>
    <d v="1998-05-22T00:00:00"/>
    <x v="8"/>
    <m/>
    <x v="790"/>
    <s v="MA"/>
    <s v="REIT"/>
    <m/>
    <m/>
    <m/>
    <s v=" "/>
    <s v=" "/>
    <m/>
    <s v=" "/>
    <s v=" "/>
    <s v=" "/>
    <m/>
    <s v=" "/>
  </r>
  <r>
    <s v="LCA19246"/>
    <s v="SSA"/>
    <s v="Federal"/>
    <s v="Fee Simple"/>
    <s v="3840 Crenshaw Blvd"/>
    <s v="Los Angeles"/>
    <s v="CA"/>
    <n v="0.93"/>
    <n v="1995"/>
    <n v="14430"/>
    <n v="14430"/>
    <n v="1"/>
    <n v="434031"/>
    <n v="30.07837837837838"/>
    <n v="314751.85"/>
    <n v="21.81232501732502"/>
    <d v="1995-09-13T00:00:00"/>
    <d v="2011-09-12T00:00:00"/>
    <d v="2011-09-12T00:00:00"/>
    <n v="13.52876712328767"/>
    <n v="13.52876712328767"/>
    <s v="Modified Gross"/>
    <s v="None"/>
    <s v="None"/>
    <n v="3648000"/>
    <n v="252.8066528066528"/>
    <n v="0.0862806606359649"/>
    <m/>
    <d v="1998-03-06T00:00:00"/>
    <x v="2146"/>
    <s v="Newmark; Barkan"/>
    <x v="1567"/>
    <s v="NC"/>
    <s v="Private"/>
    <m/>
    <m/>
    <m/>
    <s v=" "/>
    <s v=" "/>
    <m/>
    <s v=" "/>
    <s v=" "/>
    <s v=" "/>
    <m/>
    <s v=" "/>
  </r>
  <r>
    <m/>
    <s v="SSA"/>
    <s v="Federal"/>
    <s v="Fee Simple"/>
    <s v="605 N Arrowhead Ave"/>
    <s v="San Bernardino"/>
    <s v="CA"/>
    <n v="3.08"/>
    <n v="1997"/>
    <n v="46946"/>
    <n v="46946"/>
    <n v="1"/>
    <n v="1427484"/>
    <n v="30.40693562816853"/>
    <n v="986619"/>
    <n v="21.0160397051932"/>
    <d v="1997-05-01T00:00:00"/>
    <d v="2007-05-01T00:00:00"/>
    <d v="2007-05-01T00:00:00"/>
    <n v="9.178082191780822"/>
    <n v="9.178082191780822"/>
    <s v="Modified Gross"/>
    <s v="None"/>
    <s v="None"/>
    <m/>
    <s v=" "/>
    <s v=" "/>
    <m/>
    <d v="1998-02-27T00:00:00"/>
    <x v="2147"/>
    <m/>
    <x v="1449"/>
    <s v="NC"/>
    <s v="Private"/>
    <m/>
    <m/>
    <m/>
    <s v=" "/>
    <s v=" "/>
    <m/>
    <s v=" "/>
    <s v=" "/>
    <s v=" "/>
    <m/>
    <s v=" "/>
  </r>
  <r>
    <s v="LCA02913"/>
    <s v="SSA/Others"/>
    <s v="Federal &amp; State"/>
    <s v="Fee Simple"/>
    <s v="12440 Imperial Hwy"/>
    <s v="Norwalk"/>
    <s v="CA"/>
    <n v="20.32"/>
    <n v="1981"/>
    <n v="53384"/>
    <n v="463998"/>
    <n v="0.1150522200526726"/>
    <m/>
    <s v=" "/>
    <m/>
    <s v=" "/>
    <m/>
    <m/>
    <m/>
    <s v=" "/>
    <s v=" "/>
    <m/>
    <m/>
    <m/>
    <n v="73500000"/>
    <n v="158.4058551976517"/>
    <s v=" "/>
    <m/>
    <d v="1998-02-26T00:00:00"/>
    <x v="2148"/>
    <m/>
    <x v="777"/>
    <m/>
    <m/>
    <m/>
    <m/>
    <m/>
    <s v=" "/>
    <s v=" "/>
    <m/>
    <s v=" "/>
    <s v=" "/>
    <s v=" "/>
    <m/>
    <s v=" "/>
  </r>
  <r>
    <m/>
    <s v="Lottery"/>
    <s v="State"/>
    <s v="Fee Simple"/>
    <s v="2645-2655 Long Lake Rd"/>
    <s v="Roseville"/>
    <s v="MN"/>
    <n v="0.74"/>
    <n v="1987"/>
    <n v="29377"/>
    <n v="61426"/>
    <n v="0.4782502523361443"/>
    <m/>
    <s v=" "/>
    <m/>
    <s v=" "/>
    <m/>
    <m/>
    <m/>
    <s v=" "/>
    <s v=" "/>
    <m/>
    <m/>
    <m/>
    <n v="22039000"/>
    <n v="358.789437697392"/>
    <s v=" "/>
    <m/>
    <d v="1998-01-22T00:00:00"/>
    <x v="2149"/>
    <m/>
    <x v="1689"/>
    <s v="TX"/>
    <s v="Private"/>
    <m/>
    <m/>
    <m/>
    <s v=" "/>
    <s v=" "/>
    <m/>
    <s v=" "/>
    <s v=" "/>
    <s v=" "/>
    <m/>
    <s v=" "/>
  </r>
  <r>
    <m/>
    <s v="AHPCA"/>
    <s v="State"/>
    <s v="Fee Simple"/>
    <s v="2737 Fort Knox Blvd"/>
    <s v="Tallahassee"/>
    <s v="FL"/>
    <n v="5.4"/>
    <n v="1988"/>
    <n v="108126"/>
    <n v="108126"/>
    <n v="1"/>
    <m/>
    <s v=" "/>
    <m/>
    <s v=" "/>
    <m/>
    <m/>
    <m/>
    <s v=" "/>
    <s v=" "/>
    <m/>
    <m/>
    <m/>
    <n v="11122000"/>
    <n v="102.8614764256516"/>
    <s v=" "/>
    <m/>
    <d v="1998-01-16T00:00:00"/>
    <x v="8"/>
    <m/>
    <x v="429"/>
    <s v="NY"/>
    <s v="Private"/>
    <m/>
    <m/>
    <m/>
    <s v=" "/>
    <s v=" "/>
    <m/>
    <s v=" "/>
    <s v=" "/>
    <s v=" "/>
    <m/>
    <s v=" "/>
  </r>
  <r>
    <m/>
    <s v="FS/Rehab Center"/>
    <s v="State &amp; Federal"/>
    <s v="Fee Simple"/>
    <s v="1330 Bayshore Wy"/>
    <s v="Eureka"/>
    <s v="CA"/>
    <n v="2.4"/>
    <n v="1992"/>
    <n v="29554"/>
    <n v="31534"/>
    <n v="0.9372106297964102"/>
    <m/>
    <m/>
    <m/>
    <m/>
    <d v="1992-11-02T00:00:00"/>
    <m/>
    <m/>
    <s v=" "/>
    <s v=" "/>
    <s v="Modified Gross"/>
    <s v="None"/>
    <s v="None"/>
    <n v="3600000"/>
    <n v="114.1624912792541"/>
    <s v=" "/>
    <m/>
    <d v="1998-01-15T00:00:00"/>
    <x v="2150"/>
    <m/>
    <x v="1690"/>
    <s v="NY"/>
    <s v="Private"/>
    <m/>
    <m/>
    <m/>
    <s v=" "/>
    <s v=" "/>
    <m/>
    <s v=" "/>
    <s v=" "/>
    <s v=" "/>
    <m/>
    <s v=" "/>
  </r>
  <r>
    <s v="LTX14339"/>
    <s v="VA/RBO"/>
    <s v="Federal"/>
    <s v="Leasehold"/>
    <s v="701 Clay Ave"/>
    <s v="Waco"/>
    <s v="TX"/>
    <n v="5.57"/>
    <n v="1997"/>
    <n v="138608"/>
    <n v="138608"/>
    <n v="1"/>
    <n v="2002131.74"/>
    <n v="14.44456120858825"/>
    <m/>
    <s v=" "/>
    <d v="1997-10-13T00:00:00"/>
    <d v="2017-10-12T00:00:00"/>
    <d v="2017-10-12T00:00:00"/>
    <n v="19.81643835616438"/>
    <n v="19.81643835616438"/>
    <s v="Modified Gross"/>
    <s v="None"/>
    <s v="None"/>
    <m/>
    <s v=" "/>
    <s v=" "/>
    <m/>
    <d v="1997-12-23T00:00:00"/>
    <x v="8"/>
    <m/>
    <x v="790"/>
    <s v="MA"/>
    <s v="REIT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m/>
    <s v=" "/>
    <s v=" "/>
    <m/>
    <d v="1997-12-11T00:00:00"/>
    <x v="2151"/>
    <m/>
    <x v="1691"/>
    <s v="NJ"/>
    <s v="Institutional"/>
    <m/>
    <m/>
    <m/>
    <s v=" "/>
    <s v=" "/>
    <m/>
    <s v=" "/>
    <s v=" "/>
    <s v=" "/>
    <m/>
    <s v=" "/>
  </r>
  <r>
    <m/>
    <s v="ACoE"/>
    <s v="Federal"/>
    <s v="Fee Simple"/>
    <s v="1325 J St"/>
    <s v="Sacramento"/>
    <s v="CA"/>
    <n v="0.89"/>
    <n v="1989"/>
    <n v="330057"/>
    <n v="366730"/>
    <n v="0.9"/>
    <m/>
    <s v=" "/>
    <n v="5890000"/>
    <n v="16.06086221470837"/>
    <m/>
    <d v="2010-05-30T00:00:00"/>
    <d v="2010-05-30T00:00:00"/>
    <n v="12.51780821917808"/>
    <n v="12.51780821917808"/>
    <s v="Modified Gross"/>
    <s v="NOne"/>
    <s v="None"/>
    <n v="62000000"/>
    <n v="169.061707523246"/>
    <n v="0.095"/>
    <m/>
    <d v="1997-11-25T00:00:00"/>
    <x v="2152"/>
    <m/>
    <x v="1254"/>
    <s v="NY"/>
    <s v="Private"/>
    <m/>
    <m/>
    <m/>
    <s v=" "/>
    <s v=" "/>
    <m/>
    <s v=" "/>
    <s v=" "/>
    <s v=" "/>
    <d v="1997-07-13T00:00:00"/>
    <n v="135"/>
  </r>
  <r>
    <m/>
    <s v="FPD/BBH"/>
    <s v="Federal &amp; Municipal"/>
    <s v="Leasehold"/>
    <s v="100 S Charles St"/>
    <s v="Baltimore"/>
    <s v="MD"/>
    <n v="5.79"/>
    <n v="1988"/>
    <n v="89066"/>
    <n v="160754"/>
    <n v="0.5540515321547209"/>
    <n v="2469305"/>
    <n v="27.72444030269688"/>
    <n v="1200000"/>
    <n v="7.464822026201525"/>
    <m/>
    <m/>
    <m/>
    <s v=" "/>
    <s v=" "/>
    <m/>
    <m/>
    <m/>
    <n v="12150000"/>
    <n v="75.58132301529044"/>
    <n v="0.09876543209876543"/>
    <m/>
    <d v="1997-11-24T00:00:00"/>
    <x v="2153"/>
    <s v="LPC; Williams"/>
    <x v="1692"/>
    <s v="MD"/>
    <s v="REIT"/>
    <m/>
    <m/>
    <m/>
    <s v=" "/>
    <s v=" "/>
    <m/>
    <s v=" "/>
    <s v=" "/>
    <s v=" "/>
    <m/>
    <s v=" "/>
  </r>
  <r>
    <m/>
    <s v="SSA"/>
    <s v="Federal"/>
    <s v="Fee Simple"/>
    <s v="7200-7202 Greenleaf Ave"/>
    <s v="Whittier"/>
    <s v="CA"/>
    <n v="0.96"/>
    <n v="1981"/>
    <n v="10097"/>
    <n v="38919"/>
    <n v="0.2594362650633367"/>
    <m/>
    <s v=" "/>
    <n v="258400"/>
    <n v="6.639430612297335"/>
    <m/>
    <m/>
    <m/>
    <s v=" "/>
    <s v=" "/>
    <m/>
    <m/>
    <m/>
    <n v="1800000"/>
    <n v="46.24990364603407"/>
    <n v="0.1435555555555555"/>
    <m/>
    <d v="1997-11-04T00:00:00"/>
    <x v="2154"/>
    <s v="Lee; Indvik"/>
    <x v="1693"/>
    <s v="CA"/>
    <s v="Private"/>
    <s v="Lee; Michelson"/>
    <m/>
    <m/>
    <s v=" "/>
    <s v=" "/>
    <m/>
    <s v=" "/>
    <s v=" "/>
    <s v=" "/>
    <m/>
    <s v=" "/>
  </r>
  <r>
    <m/>
    <s v="Embassy"/>
    <s v="Federal"/>
    <s v="Fee Simple"/>
    <s v="2230 Gallows Rd"/>
    <s v="Vienna"/>
    <s v="VA"/>
    <n v="2.06"/>
    <n v="1987"/>
    <m/>
    <n v="57687"/>
    <s v=" "/>
    <n v="1020294"/>
    <s v=" "/>
    <n v="600839"/>
    <n v="10.4155008927488"/>
    <m/>
    <m/>
    <m/>
    <s v=" "/>
    <s v=" "/>
    <m/>
    <m/>
    <m/>
    <n v="6050000"/>
    <n v="104.8763152876731"/>
    <n v="0.09931223140495868"/>
    <m/>
    <d v="1997-10-21T00:00:00"/>
    <x v="2155"/>
    <m/>
    <x v="1694"/>
    <s v="VA"/>
    <s v="Private"/>
    <m/>
    <m/>
    <m/>
    <s v=" "/>
    <s v=" "/>
    <m/>
    <s v=" "/>
    <s v=" "/>
    <s v=" "/>
    <m/>
    <s v=" "/>
  </r>
  <r>
    <m/>
    <s v="BLM"/>
    <s v="Federal"/>
    <s v="Fee Simple"/>
    <s v="5100 E Winnemucca Blvd"/>
    <s v="Winnemucca"/>
    <s v="NV"/>
    <n v="9.06"/>
    <n v="1995"/>
    <n v="34560"/>
    <n v="34560"/>
    <n v="1"/>
    <m/>
    <s v=" "/>
    <m/>
    <s v=" "/>
    <m/>
    <m/>
    <m/>
    <s v=" "/>
    <s v=" "/>
    <m/>
    <m/>
    <m/>
    <m/>
    <s v=" "/>
    <s v=" "/>
    <m/>
    <d v="1997-09-05T00:00:00"/>
    <x v="8"/>
    <m/>
    <x v="1695"/>
    <s v="WY"/>
    <s v="Private"/>
    <m/>
    <m/>
    <m/>
    <s v=" "/>
    <s v=" "/>
    <m/>
    <s v=" "/>
    <s v=" "/>
    <s v=" "/>
    <m/>
    <s v=" "/>
  </r>
  <r>
    <m/>
    <s v="NPS"/>
    <s v="Federal"/>
    <s v="Fee Simple"/>
    <s v="691 Scenic View Rd"/>
    <s v="Page"/>
    <s v="AZ"/>
    <n v="4.27"/>
    <n v="1992"/>
    <n v="26826"/>
    <n v="26826"/>
    <n v="1"/>
    <m/>
    <s v=" "/>
    <m/>
    <s v=" "/>
    <m/>
    <d v="2013-01-31T00:00:00"/>
    <d v="2008-01-31T00:00:00"/>
    <n v="15.43561643835617"/>
    <n v="10.43013698630137"/>
    <s v="Modified Gross"/>
    <s v="None"/>
    <s v="None"/>
    <n v="3466443"/>
    <n v="129.2195258331469"/>
    <s v=" "/>
    <m/>
    <d v="1997-08-29T00:00:00"/>
    <x v="2156"/>
    <m/>
    <x v="1567"/>
    <s v="NC"/>
    <s v="Private"/>
    <m/>
    <m/>
    <m/>
    <s v=" "/>
    <s v=" "/>
    <m/>
    <s v=" "/>
    <s v=" "/>
    <s v=" "/>
    <m/>
    <s v=" "/>
  </r>
  <r>
    <m/>
    <s v="Army"/>
    <s v="Federal"/>
    <s v="Leasehold"/>
    <s v="1670 N Newport Rd"/>
    <s v="Colorado Springs"/>
    <s v="CO"/>
    <n v="5.12"/>
    <n v="1986"/>
    <n v="36910"/>
    <n v="67640"/>
    <n v="0.5456830277942046"/>
    <m/>
    <s v=" "/>
    <n v="669375"/>
    <n v="9.896141336487286"/>
    <m/>
    <m/>
    <m/>
    <s v=" "/>
    <s v=" "/>
    <m/>
    <m/>
    <m/>
    <n v="5950000"/>
    <n v="87.96570076877587"/>
    <n v="0.1125"/>
    <m/>
    <d v="1997-08-20T00:00:00"/>
    <x v="2157"/>
    <m/>
    <x v="1696"/>
    <s v="NY"/>
    <s v="REIT"/>
    <m/>
    <m/>
    <m/>
    <s v=" "/>
    <s v=" "/>
    <m/>
    <s v=" "/>
    <s v=" "/>
    <s v=" "/>
    <d v="1997-04-22T00:00:00"/>
    <n v="120"/>
  </r>
  <r>
    <s v="LID06091"/>
    <s v="AOC"/>
    <s v="Federal"/>
    <s v="Fee Simple"/>
    <s v="801 E Sherman St"/>
    <s v="Pocatello"/>
    <s v="ID"/>
    <n v="2.08"/>
    <n v="1999"/>
    <n v="36818"/>
    <n v="36818"/>
    <n v="1"/>
    <n v="1535176.38"/>
    <n v="41.69635450051605"/>
    <n v="1113500"/>
    <n v="30.24335922646532"/>
    <d v="1999-03-29T00:00:00"/>
    <d v="2019-03-28T00:00:00"/>
    <d v="2019-02-26T00:00:00"/>
    <n v="21.66849315068493"/>
    <n v="21.58630136986301"/>
    <s v="Modified Gross"/>
    <s v="None"/>
    <s v="None"/>
    <n v="11900000"/>
    <n v="323.2114726492476"/>
    <n v="0.09357142857142857"/>
    <m/>
    <d v="1997-08-01T00:00:00"/>
    <x v="913"/>
    <m/>
    <x v="1567"/>
    <s v="NC"/>
    <s v="Private"/>
    <m/>
    <m/>
    <m/>
    <s v=" "/>
    <s v=" "/>
    <m/>
    <s v=" "/>
    <s v=" "/>
    <s v=" "/>
    <m/>
    <s v=" "/>
  </r>
  <r>
    <m/>
    <s v="Multi"/>
    <s v="State"/>
    <s v="Fee Simple"/>
    <s v="925 L St"/>
    <s v="Sacramento"/>
    <s v="CA"/>
    <n v="0.36"/>
    <n v="1973"/>
    <n v="106371.72"/>
    <n v="168844"/>
    <n v="0.63"/>
    <m/>
    <s v=" "/>
    <m/>
    <s v=" "/>
    <m/>
    <m/>
    <m/>
    <s v=" "/>
    <s v=" "/>
    <m/>
    <m/>
    <m/>
    <n v="25000000"/>
    <n v="148.0656700859965"/>
    <s v=" "/>
    <m/>
    <d v="1997-07-01T00:00:00"/>
    <x v="2158"/>
    <m/>
    <x v="132"/>
    <s v="IL"/>
    <s v="Institutional"/>
    <m/>
    <m/>
    <m/>
    <s v=" "/>
    <s v=" "/>
    <m/>
    <s v=" "/>
    <s v=" "/>
    <s v=" "/>
    <m/>
    <s v=" "/>
  </r>
  <r>
    <m/>
    <s v="Lottery"/>
    <s v="State"/>
    <s v="Fee Simple"/>
    <s v="601-621 E 6th St"/>
    <s v="Austin"/>
    <s v="TX"/>
    <n v="5.25"/>
    <m/>
    <n v="87986"/>
    <n v="87986"/>
    <n v="1"/>
    <m/>
    <s v=" "/>
    <m/>
    <s v=" "/>
    <m/>
    <m/>
    <m/>
    <s v=" "/>
    <s v=" "/>
    <m/>
    <m/>
    <m/>
    <n v="14630000"/>
    <n v="166.2764530720796"/>
    <s v=" "/>
    <m/>
    <d v="1997-06-06T00:00:00"/>
    <x v="2159"/>
    <m/>
    <x v="1697"/>
    <s v="TX"/>
    <s v="Private"/>
    <m/>
    <m/>
    <m/>
    <s v=" "/>
    <s v=" "/>
    <m/>
    <s v=" "/>
    <s v=" "/>
    <s v=" "/>
    <m/>
    <s v=" "/>
  </r>
  <r>
    <s v="LMO79031"/>
    <s v="FBI"/>
    <s v="Federal"/>
    <s v="Fee Simple"/>
    <s v="1300 Summit Rd"/>
    <s v="Kansas City"/>
    <s v="MO"/>
    <n v="2.76"/>
    <n v="1998"/>
    <n v="86739"/>
    <n v="86739"/>
    <n v="1"/>
    <n v="2056211"/>
    <n v="23.70572637452588"/>
    <n v="1177500"/>
    <n v="13.57520838377201"/>
    <d v="1998-06-19T00:00:00"/>
    <d v="2018-06-18T00:00:00"/>
    <d v="2018-06-18T00:00:00"/>
    <n v="21.16986301369863"/>
    <n v="21.16986301369863"/>
    <s v="Modified Gross"/>
    <s v="None"/>
    <s v="None"/>
    <n v="16492000"/>
    <n v="190.1336192485502"/>
    <n v="0.07139825369876304"/>
    <m/>
    <d v="1997-04-22T00:00:00"/>
    <x v="2160"/>
    <m/>
    <x v="2"/>
    <s v="VA"/>
    <s v="Private"/>
    <m/>
    <m/>
    <m/>
    <s v=" "/>
    <s v=" "/>
    <m/>
    <s v=" "/>
    <s v=" "/>
    <s v=" "/>
    <m/>
    <s v=" "/>
  </r>
  <r>
    <m/>
    <s v="SSA"/>
    <s v="Federal"/>
    <s v="Fee Simple"/>
    <s v="2250 Nostrand Ave"/>
    <s v="Brooklyn"/>
    <s v="NY"/>
    <n v="0.44"/>
    <n v="1920"/>
    <n v="19716"/>
    <n v="19716"/>
    <n v="1"/>
    <m/>
    <s v=" "/>
    <m/>
    <s v=" "/>
    <m/>
    <m/>
    <m/>
    <s v=" "/>
    <s v=" "/>
    <m/>
    <m/>
    <m/>
    <n v="3606000"/>
    <n v="182.8971393791844"/>
    <s v=" "/>
    <m/>
    <d v="1997-04-18T00:00:00"/>
    <x v="2161"/>
    <m/>
    <x v="1698"/>
    <s v="NY"/>
    <s v="Private"/>
    <m/>
    <m/>
    <m/>
    <s v=" "/>
    <s v=" "/>
    <m/>
    <s v=" "/>
    <s v=" "/>
    <s v=" "/>
    <m/>
    <s v=" "/>
  </r>
  <r>
    <m/>
    <s v="BLM"/>
    <s v="Federal"/>
    <s v="Fee Simple"/>
    <s v="5353 N Yellowstone Rd"/>
    <s v="Cheyenne"/>
    <s v="WY"/>
    <m/>
    <m/>
    <n v="122647"/>
    <n v="122647"/>
    <n v="1"/>
    <n v="1758000"/>
    <n v="14.33381982437402"/>
    <m/>
    <s v=" "/>
    <m/>
    <m/>
    <m/>
    <s v=" "/>
    <s v=" "/>
    <m/>
    <m/>
    <m/>
    <n v="10656000"/>
    <n v="86.88349490815104"/>
    <s v=" "/>
    <m/>
    <d v="1997-03-31T00:00:00"/>
    <x v="8"/>
    <m/>
    <x v="790"/>
    <s v="MA"/>
    <s v="REIT"/>
    <m/>
    <m/>
    <m/>
    <s v=" "/>
    <s v=" "/>
    <m/>
    <s v=" "/>
    <s v=" "/>
    <s v=" "/>
    <m/>
    <s v=" "/>
  </r>
  <r>
    <m/>
    <m/>
    <s v="Federal"/>
    <s v="Fee Simple"/>
    <s v="2029 Stonewall Jackson Dr"/>
    <s v="Falling Waters"/>
    <s v="WV"/>
    <m/>
    <m/>
    <n v="40348"/>
    <n v="40348"/>
    <n v="1"/>
    <n v="776000"/>
    <n v="19.23267572122534"/>
    <m/>
    <s v=" "/>
    <m/>
    <m/>
    <m/>
    <s v=" "/>
    <s v=" "/>
    <m/>
    <m/>
    <m/>
    <n v="3188000"/>
    <n v="79.01259046297214"/>
    <s v=" "/>
    <m/>
    <d v="1997-03-31T00:00:00"/>
    <x v="8"/>
    <m/>
    <x v="790"/>
    <s v="MA"/>
    <s v="REIT"/>
    <m/>
    <m/>
    <m/>
    <s v=" "/>
    <s v=" "/>
    <m/>
    <s v=" "/>
    <s v=" "/>
    <s v=" "/>
    <m/>
    <s v=" "/>
  </r>
  <r>
    <m/>
    <s v="EPA"/>
    <s v="Federal"/>
    <s v="Fee Simple"/>
    <s v="16194 W 45th St"/>
    <s v="Golden"/>
    <s v="CO"/>
    <n v="6.11"/>
    <n v="1997"/>
    <n v="43232"/>
    <n v="43232"/>
    <n v="1"/>
    <m/>
    <s v=" "/>
    <m/>
    <s v=" "/>
    <d v="1996-12-23T00:00:00"/>
    <d v="2016-12-22T00:00:00"/>
    <d v="2016-12-22T00:00:00"/>
    <n v="19.74246575342466"/>
    <n v="19.74246575342466"/>
    <s v="Modified Gross"/>
    <s v="None"/>
    <s v="None"/>
    <m/>
    <s v=" "/>
    <s v=" "/>
    <m/>
    <d v="1997-03-31T00:00:00"/>
    <x v="1456"/>
    <m/>
    <x v="790"/>
    <s v="MA"/>
    <s v="REIT"/>
    <m/>
    <m/>
    <m/>
    <s v=" "/>
    <s v=" "/>
    <m/>
    <s v=" "/>
    <s v=" "/>
    <s v=" "/>
    <m/>
    <s v=" "/>
  </r>
  <r>
    <m/>
    <m/>
    <s v="Federal"/>
    <s v="Fee Simple"/>
    <s v="2420-2430 Stevens Ctr"/>
    <s v="Richland"/>
    <s v="WA"/>
    <m/>
    <n v="1985"/>
    <n v="140142"/>
    <n v="140142"/>
    <n v="1"/>
    <n v="2810000"/>
    <n v="20.05109103623468"/>
    <m/>
    <s v=" "/>
    <m/>
    <m/>
    <m/>
    <s v=" "/>
    <s v=" "/>
    <m/>
    <m/>
    <m/>
    <n v="21774000"/>
    <n v="155.3709808622683"/>
    <s v=" "/>
    <m/>
    <d v="1997-03-31T00:00:00"/>
    <x v="8"/>
    <m/>
    <x v="790"/>
    <s v="MA"/>
    <s v="REIT"/>
    <m/>
    <m/>
    <m/>
    <s v=" "/>
    <s v=" "/>
    <m/>
    <s v=" "/>
    <s v=" "/>
    <s v=" "/>
    <m/>
    <s v=" "/>
  </r>
  <r>
    <m/>
    <s v="DEA"/>
    <s v="Federal"/>
    <s v="Fee Simple"/>
    <s v="4560 Viewridge Ave"/>
    <s v="San Diego"/>
    <s v="CA"/>
    <n v="8.779999999999999"/>
    <n v="1996"/>
    <n v="147955"/>
    <n v="147955"/>
    <n v="1"/>
    <n v="3205000"/>
    <n v="21.66199182183772"/>
    <m/>
    <s v=" "/>
    <m/>
    <m/>
    <m/>
    <s v=" "/>
    <s v=" "/>
    <m/>
    <m/>
    <m/>
    <m/>
    <s v=" "/>
    <s v=" "/>
    <m/>
    <d v="1997-03-31T00:00:00"/>
    <x v="8"/>
    <m/>
    <x v="790"/>
    <s v="MA"/>
    <s v="REIT"/>
    <m/>
    <m/>
    <m/>
    <s v=" "/>
    <s v=" "/>
    <m/>
    <s v=" "/>
    <s v=" "/>
    <s v=" "/>
    <m/>
    <s v=" "/>
  </r>
  <r>
    <m/>
    <m/>
    <s v="Federal"/>
    <s v="Fee Simple"/>
    <s v="20 Massachusetts Ave"/>
    <s v="Washington"/>
    <s v="DC"/>
    <n v="1.15"/>
    <n v="1996"/>
    <n v="340119"/>
    <n v="340119"/>
    <n v="1"/>
    <m/>
    <s v=" "/>
    <m/>
    <s v=" "/>
    <m/>
    <m/>
    <m/>
    <s v=" "/>
    <s v=" "/>
    <m/>
    <m/>
    <m/>
    <n v="114750000"/>
    <n v="337.3819163292848"/>
    <s v=" "/>
    <m/>
    <d v="1997-03-31T00:00:00"/>
    <x v="8"/>
    <m/>
    <x v="790"/>
    <s v="MA"/>
    <s v="REIT"/>
    <m/>
    <m/>
    <m/>
    <s v=" "/>
    <s v=" "/>
    <m/>
    <s v=" "/>
    <s v=" "/>
    <s v=" "/>
    <m/>
    <s v=" "/>
  </r>
  <r>
    <m/>
    <m/>
    <s v="State"/>
    <s v="Fee Simple"/>
    <s v="840 North Broadway"/>
    <s v="Everett"/>
    <s v="WA"/>
    <n v="5.82"/>
    <n v="1985"/>
    <n v="111908"/>
    <n v="111908"/>
    <n v="1"/>
    <n v="1704221.718210401"/>
    <n v="15.22877469180399"/>
    <n v="1515706.998210401"/>
    <n v="13.5442238107231"/>
    <m/>
    <d v="2010-12-31T00:00:00"/>
    <d v="2010-12-31T00:00:00"/>
    <n v="13.83835616438356"/>
    <n v="13.83835616438356"/>
    <s v="Full Service"/>
    <s v="2% annually"/>
    <s v="None"/>
    <n v="13775000"/>
    <n v="123.0921828644958"/>
    <n v="0.1100331759136407"/>
    <m/>
    <d v="1997-03-03T00:00:00"/>
    <x v="2162"/>
    <m/>
    <x v="429"/>
    <s v="NY"/>
    <s v="Private"/>
    <m/>
    <m/>
    <m/>
    <s v=" "/>
    <s v=" "/>
    <m/>
    <s v=" "/>
    <s v=" "/>
    <s v=" "/>
    <m/>
    <s v=" "/>
  </r>
  <r>
    <m/>
    <s v="DEA"/>
    <s v="Federal"/>
    <s v="Fee Simple"/>
    <s v="5810 Newton Dr"/>
    <s v="Carlsbad"/>
    <s v="CA"/>
    <n v="1.5"/>
    <n v="1996"/>
    <n v="18922"/>
    <n v="18922"/>
    <n v="1"/>
    <m/>
    <s v=" "/>
    <m/>
    <s v=" "/>
    <m/>
    <d v="2011-11-30T00:00:00"/>
    <d v="2006-11-30T00:00:00"/>
    <n v="14.87671232876712"/>
    <n v="9.873972602739727"/>
    <s v="Modified Gross"/>
    <s v="None"/>
    <s v="None"/>
    <n v="3512500"/>
    <n v="185.6304830356199"/>
    <s v=" "/>
    <m/>
    <d v="1997-01-17T00:00:00"/>
    <x v="681"/>
    <m/>
    <x v="1699"/>
    <s v="CA"/>
    <s v="Private"/>
    <m/>
    <m/>
    <m/>
    <s v=" "/>
    <s v=" "/>
    <m/>
    <s v=" "/>
    <s v=" "/>
    <s v=" "/>
    <m/>
    <s v=" "/>
  </r>
  <r>
    <m/>
    <s v="Dep't of Econ Security"/>
    <s v="Federal"/>
    <s v="Fee Simple"/>
    <s v="8800 N 22nd Ave"/>
    <s v="Phoenix"/>
    <s v="AZ"/>
    <n v="3.23"/>
    <n v="2013"/>
    <n v="38238"/>
    <n v="38238"/>
    <n v="1"/>
    <m/>
    <s v=" "/>
    <n v="344400"/>
    <n v="9.00674721481249"/>
    <m/>
    <m/>
    <m/>
    <s v=" "/>
    <s v=" "/>
    <m/>
    <m/>
    <m/>
    <n v="3500000"/>
    <n v="91.53198389037084"/>
    <n v="0.0984"/>
    <m/>
    <d v="1997-01-15T00:00:00"/>
    <x v="2163"/>
    <m/>
    <x v="1700"/>
    <s v="AZ"/>
    <s v="Private"/>
    <m/>
    <m/>
    <m/>
    <s v=" "/>
    <s v=" "/>
    <m/>
    <s v=" "/>
    <s v=" "/>
    <s v=" "/>
    <m/>
    <s v=" "/>
  </r>
  <r>
    <m/>
    <s v="SSA"/>
    <s v="Federal"/>
    <s v="Fee Simple"/>
    <s v="770 W Hamilton Ave"/>
    <s v="Campbell"/>
    <s v="CA"/>
    <n v="0.9"/>
    <n v="1980"/>
    <n v="6250"/>
    <n v="8800"/>
    <n v="0.7102272727272727"/>
    <n v="64890"/>
    <n v="10.3824"/>
    <n v="59796"/>
    <n v="6.795"/>
    <m/>
    <d v="1999-06-01T00:00:00"/>
    <d v="1999-06-01T00:00:00"/>
    <n v="2.391780821917808"/>
    <n v="2.391780821917808"/>
    <s v="Modified Gross"/>
    <s v="None"/>
    <s v="None"/>
    <n v="952500"/>
    <n v="108.2386363636364"/>
    <n v="0.06277795275590552"/>
    <m/>
    <d v="1997-01-09T00:00:00"/>
    <x v="2164"/>
    <s v="Leondardo Borello"/>
    <x v="1701"/>
    <s v="CA"/>
    <s v="Private"/>
    <m/>
    <m/>
    <m/>
    <s v=" "/>
    <s v=" "/>
    <m/>
    <s v=" "/>
    <s v=" "/>
    <s v=" "/>
    <m/>
    <s v=" "/>
  </r>
  <r>
    <m/>
    <s v="Technical College System of Georgia"/>
    <s v="State"/>
    <s v="Fee Simple"/>
    <s v="1800 Century Pl NE"/>
    <s v="Atlanta"/>
    <s v="GA"/>
    <n v="4"/>
    <n v="1984"/>
    <n v="67998"/>
    <n v="93754"/>
    <n v="0.7252810546750005"/>
    <n v="1489472"/>
    <n v="21.90464425424277"/>
    <n v="803567"/>
    <n v="8.57101563666617"/>
    <m/>
    <d v="1997-05-31T00:00:00"/>
    <m/>
    <n v="0.4328767123287671"/>
    <s v=" "/>
    <s v="Full Service"/>
    <m/>
    <m/>
    <n v="7100000"/>
    <n v="75.73010218230689"/>
    <n v="0.1131784507042254"/>
    <m/>
    <d v="1996-12-24T00:00:00"/>
    <x v="2165"/>
    <s v="Kevin Markwood"/>
    <x v="1702"/>
    <s v="IL"/>
    <s v="Private"/>
    <m/>
    <m/>
    <m/>
    <s v=" "/>
    <s v=" "/>
    <m/>
    <s v=" "/>
    <s v=" "/>
    <s v=" "/>
    <m/>
    <s v=" "/>
  </r>
  <r>
    <m/>
    <s v="IRS"/>
    <s v="Federal"/>
    <s v="Fee Simple"/>
    <s v="4210 Metro Pky"/>
    <s v="Fort Myers"/>
    <s v="FL"/>
    <n v="3.53"/>
    <n v="1986"/>
    <n v="27701"/>
    <n v="60018"/>
    <n v="0.4615448698723716"/>
    <n v="729609.48"/>
    <n v="26.33874156167647"/>
    <m/>
    <s v=" "/>
    <d v="1989-12-14T00:00:00"/>
    <d v="1999-12-13T00:00:00"/>
    <d v="1991-03-01T00:00:00"/>
    <n v="3.002739726027397"/>
    <n v="-5.789041095890411"/>
    <s v="Modified Gross"/>
    <s v="None"/>
    <s v="None"/>
    <n v="4750000"/>
    <n v="79.1429237895298"/>
    <s v=" "/>
    <m/>
    <d v="1996-12-12T00:00:00"/>
    <x v="8"/>
    <m/>
    <x v="1703"/>
    <s v="FL"/>
    <s v="Private"/>
    <m/>
    <m/>
    <m/>
    <s v=" "/>
    <s v=" "/>
    <m/>
    <s v=" "/>
    <s v=" "/>
    <s v=" "/>
    <m/>
    <s v=" "/>
  </r>
  <r>
    <m/>
    <s v="DNSB &amp; VA"/>
    <s v="Federal"/>
    <s v="Fee Simple"/>
    <s v="625 Indiana Ave NW"/>
    <s v="Washington"/>
    <s v="DC"/>
    <n v="0.34"/>
    <n v="1989"/>
    <n v="137845"/>
    <n v="175336"/>
    <n v="0.7861762558744354"/>
    <n v="6105263"/>
    <n v="44.29078312597483"/>
    <n v="3800000"/>
    <n v="21.67267417986038"/>
    <m/>
    <m/>
    <m/>
    <s v=" "/>
    <s v=" "/>
    <m/>
    <m/>
    <m/>
    <n v="35445055"/>
    <n v="202.155033763745"/>
    <n v="0.1072081846113654"/>
    <m/>
    <d v="1996-10-09T00:00:00"/>
    <x v="2166"/>
    <m/>
    <x v="1704"/>
    <s v="DC"/>
    <s v="Private"/>
    <m/>
    <m/>
    <m/>
    <s v=" "/>
    <s v=" "/>
    <m/>
    <s v=" "/>
    <s v=" "/>
    <s v=" "/>
    <m/>
    <s v=" "/>
  </r>
  <r>
    <m/>
    <s v="BLM"/>
    <s v="Federal"/>
    <s v="Fee Simple"/>
    <s v="2909 W Second St"/>
    <s v="Roswell"/>
    <s v="NM"/>
    <n v="6.49"/>
    <n v="1996"/>
    <n v="39444"/>
    <n v="39444"/>
    <n v="1"/>
    <n v="474560"/>
    <n v="12.03123415475104"/>
    <n v="266101"/>
    <n v="6.746298549842815"/>
    <d v="1996-09-10T00:00:00"/>
    <d v="2011-09-09T00:00:00"/>
    <d v="2011-09-09T00:00:00"/>
    <n v="14.95890410958904"/>
    <n v="14.95890410958904"/>
    <s v="Modified Gross"/>
    <s v="None"/>
    <s v="None"/>
    <n v="2925000"/>
    <n v="74.15576513538181"/>
    <n v="0.09097470085470086"/>
    <m/>
    <d v="1996-09-27T00:00:00"/>
    <x v="2167"/>
    <m/>
    <x v="429"/>
    <s v="NY"/>
    <s v="Private"/>
    <m/>
    <m/>
    <m/>
    <s v=" "/>
    <s v=" "/>
    <m/>
    <s v=" "/>
    <s v=" "/>
    <s v=" "/>
    <m/>
    <s v=" "/>
  </r>
  <r>
    <m/>
    <s v="BLM"/>
    <s v="Federal"/>
    <s v="Fee Simple"/>
    <s v="2909 W Second St"/>
    <s v="Roswell"/>
    <s v="NM"/>
    <n v="6.49"/>
    <n v="1996"/>
    <n v="39444"/>
    <n v="39444"/>
    <n v="1"/>
    <n v="474560"/>
    <n v="12.03123415475104"/>
    <n v="266101"/>
    <n v="6.746298549842815"/>
    <d v="1996-09-10T00:00:00"/>
    <d v="2011-09-09T00:00:00"/>
    <d v="2011-09-09T00:00:00"/>
    <n v="14.99178082191781"/>
    <n v="14.99178082191781"/>
    <s v="Modified Gross"/>
    <s v="None"/>
    <s v="None"/>
    <n v="2700000"/>
    <n v="68.4514755095832"/>
    <n v="0.09855592592592592"/>
    <m/>
    <d v="1996-09-15T00:00:00"/>
    <x v="2168"/>
    <m/>
    <x v="1705"/>
    <s v="NY"/>
    <s v="Private"/>
    <m/>
    <m/>
    <m/>
    <s v=" "/>
    <s v=" "/>
    <m/>
    <s v=" "/>
    <s v=" "/>
    <s v=" "/>
    <m/>
    <s v=" "/>
  </r>
  <r>
    <m/>
    <s v="SBA"/>
    <s v="Federal"/>
    <s v="Fee Simple"/>
    <s v="13221 Woodland Park Rd"/>
    <s v="Herndon"/>
    <s v="VA"/>
    <n v="6.27"/>
    <n v="1988"/>
    <n v="55620"/>
    <n v="127585"/>
    <n v="0.4359446643414194"/>
    <m/>
    <s v=" "/>
    <m/>
    <s v=" "/>
    <m/>
    <d v="2011-01-31T00:00:00"/>
    <d v="2006-01-31T00:00:00"/>
    <n v="14.41369863013699"/>
    <n v="9.41095890410959"/>
    <s v="Modified Gross"/>
    <s v="None"/>
    <s v="None"/>
    <n v="21022244"/>
    <n v="164.7704980993063"/>
    <s v=" "/>
    <m/>
    <d v="1996-09-05T00:00:00"/>
    <x v="2169"/>
    <m/>
    <x v="1706"/>
    <s v="NY"/>
    <s v="Institutional"/>
    <m/>
    <m/>
    <m/>
    <s v=" "/>
    <s v=" "/>
    <m/>
    <s v=" "/>
    <s v=" "/>
    <s v=" "/>
    <m/>
    <s v=" "/>
  </r>
  <r>
    <m/>
    <s v="Multi"/>
    <s v="Federal &amp; State"/>
    <s v="Fee Simple"/>
    <s v="400 State Ave"/>
    <s v="Kansas City"/>
    <s v="KS"/>
    <n v="5.3"/>
    <n v="1971"/>
    <n v="170817"/>
    <n v="170817"/>
    <n v="1"/>
    <m/>
    <s v=" "/>
    <m/>
    <s v=" "/>
    <m/>
    <m/>
    <m/>
    <s v=" "/>
    <s v=" "/>
    <m/>
    <m/>
    <m/>
    <m/>
    <s v=" "/>
    <s v=" "/>
    <m/>
    <d v="1996-09-01T00:00:00"/>
    <x v="8"/>
    <m/>
    <x v="1704"/>
    <s v="NJ"/>
    <s v="Private"/>
    <m/>
    <m/>
    <m/>
    <s v=" "/>
    <s v=" "/>
    <m/>
    <s v=" "/>
    <s v=" "/>
    <s v=" "/>
    <m/>
    <s v=" "/>
  </r>
  <r>
    <m/>
    <s v="CA National Guard"/>
    <s v="State"/>
    <s v="Fee Simple"/>
    <s v="9800 Goethe Rd"/>
    <s v="Sacramento"/>
    <s v="CA"/>
    <n v="7.75"/>
    <n v="1993"/>
    <n v="110500"/>
    <n v="110500"/>
    <n v="1"/>
    <m/>
    <s v=" "/>
    <m/>
    <s v=" "/>
    <d v="1993-04-01T00:00:00"/>
    <d v="2017-07-31T00:00:00"/>
    <d v="2017-07-31T00:00:00"/>
    <n v="20.97260273972603"/>
    <n v="20.97260273972603"/>
    <m/>
    <m/>
    <m/>
    <n v="12449000"/>
    <n v="112.6606334841629"/>
    <s v=" "/>
    <m/>
    <d v="1996-08-15T00:00:00"/>
    <x v="2170"/>
    <m/>
    <x v="1707"/>
    <s v="CA"/>
    <s v="Private"/>
    <m/>
    <m/>
    <m/>
    <s v=" "/>
    <s v=" "/>
    <m/>
    <s v=" "/>
    <s v=" "/>
    <s v=" "/>
    <m/>
    <s v=" "/>
  </r>
  <r>
    <m/>
    <s v="BLM"/>
    <s v="Federal"/>
    <s v="Fee Simple"/>
    <s v="2555 E Gila Ridge Rd"/>
    <s v="Yuma"/>
    <s v="AZ"/>
    <n v="4.88"/>
    <n v="1996"/>
    <n v="32041"/>
    <n v="32041"/>
    <n v="1"/>
    <m/>
    <s v=" "/>
    <n v="240480"/>
    <n v="7.505383727099654"/>
    <d v="1996-04-19T00:00:00"/>
    <d v="2016-04-18T00:00:00"/>
    <d v="2011-04-18T00:00:00"/>
    <n v="19.91506849315068"/>
    <n v="14.90958904109589"/>
    <s v="Modified Gross"/>
    <s v="None"/>
    <s v="None"/>
    <n v="2257500"/>
    <n v="70.45660247807497"/>
    <n v="0.1065249169435216"/>
    <m/>
    <d v="1996-05-24T00:00:00"/>
    <x v="2171"/>
    <m/>
    <x v="429"/>
    <s v="NY"/>
    <s v="Private"/>
    <m/>
    <m/>
    <m/>
    <s v=" "/>
    <s v=" "/>
    <m/>
    <s v=" "/>
    <s v=" "/>
    <s v=" "/>
    <m/>
    <s v=" "/>
  </r>
  <r>
    <m/>
    <s v="AOC"/>
    <s v="Federal"/>
    <s v="Fee Simple"/>
    <s v="2070 Chain Bridge Rd"/>
    <s v="Vienna"/>
    <s v="VA"/>
    <n v="9.19"/>
    <n v="1983"/>
    <n v="230652"/>
    <n v="435193"/>
    <n v="0.5299993336289875"/>
    <m/>
    <s v=" "/>
    <n v="4698525"/>
    <n v="10.79641676221814"/>
    <m/>
    <d v="2021-08-31T00:00:00"/>
    <d v="2016-08-31T00:00:00"/>
    <n v="25.6958904109589"/>
    <n v="20.69315068493151"/>
    <s v="Modified Gross"/>
    <s v="None"/>
    <s v="None"/>
    <n v="45750000"/>
    <n v="105.1257717840131"/>
    <n v="0.1027"/>
    <m/>
    <d v="1995-12-27T00:00:00"/>
    <x v="189"/>
    <m/>
    <x v="1708"/>
    <s v="VA"/>
    <s v="Private"/>
    <m/>
    <m/>
    <m/>
    <s v=" "/>
    <s v=" "/>
    <m/>
    <s v=" "/>
    <s v=" "/>
    <s v=" "/>
    <m/>
    <s v=" "/>
  </r>
  <r>
    <m/>
    <s v="VA"/>
    <s v="Federal"/>
    <s v="Fee Simple"/>
    <s v="251 Causeway St"/>
    <s v="Boston"/>
    <s v="MA"/>
    <n v="0.4"/>
    <n v="1987"/>
    <n v="141453"/>
    <n v="141453"/>
    <n v="1"/>
    <n v="3253419"/>
    <n v="23"/>
    <n v="1670000"/>
    <n v="11.80604158271652"/>
    <m/>
    <d v="2000-12-31T00:00:00"/>
    <d v="1998-12-31T00:00:00"/>
    <n v="5.038356164383561"/>
    <n v="3.035616438356164"/>
    <s v="Modified Gross"/>
    <s v="None"/>
    <s v="None"/>
    <n v="15000000"/>
    <n v="106.0422896651184"/>
    <n v="0.1113333333333333"/>
    <m/>
    <d v="1995-12-19T00:00:00"/>
    <x v="2172"/>
    <m/>
    <x v="1709"/>
    <s v="MA"/>
    <s v="Institutional"/>
    <m/>
    <m/>
    <m/>
    <s v=" "/>
    <s v=" "/>
    <m/>
    <s v=" "/>
    <s v=" "/>
    <s v=" "/>
    <m/>
    <s v=" "/>
  </r>
  <r>
    <m/>
    <s v="DFPS"/>
    <s v="State"/>
    <s v="Fee Simple"/>
    <s v="4201 Greenwood Dr"/>
    <s v="Corpus Christi"/>
    <s v="TX"/>
    <n v="4.27"/>
    <n v="1995"/>
    <n v="51307"/>
    <n v="51307"/>
    <n v="1"/>
    <m/>
    <s v=" "/>
    <m/>
    <s v=" "/>
    <m/>
    <m/>
    <m/>
    <s v=" "/>
    <s v=" "/>
    <m/>
    <m/>
    <m/>
    <n v="1725000"/>
    <n v="33.62114331377785"/>
    <s v=" "/>
    <m/>
    <d v="1995-07-31T00:00:00"/>
    <x v="8"/>
    <m/>
    <x v="1710"/>
    <s v="TX"/>
    <s v="Private"/>
    <m/>
    <m/>
    <m/>
    <s v=" "/>
    <s v=" "/>
    <m/>
    <s v=" "/>
    <s v=" "/>
    <s v=" "/>
    <m/>
    <s v=" "/>
  </r>
  <r>
    <m/>
    <s v="USPS"/>
    <s v="Federal"/>
    <s v="Fee Simple"/>
    <s v="4500 1st Ave S"/>
    <s v="Birmingham"/>
    <s v="AL"/>
    <n v="14.2"/>
    <n v="1970"/>
    <n v="175000"/>
    <n v="175000"/>
    <n v="1"/>
    <m/>
    <s v=" "/>
    <m/>
    <s v=" "/>
    <m/>
    <m/>
    <m/>
    <s v=" "/>
    <s v=" "/>
    <m/>
    <m/>
    <m/>
    <n v="2500000"/>
    <n v="14.28571428571429"/>
    <s v=" "/>
    <m/>
    <d v="1995-07-27T00:00:00"/>
    <x v="2173"/>
    <m/>
    <x v="1413"/>
    <s v="MI"/>
    <s v="Private"/>
    <m/>
    <m/>
    <m/>
    <s v=" "/>
    <s v=" "/>
    <m/>
    <s v=" "/>
    <s v=" "/>
    <s v=" "/>
    <m/>
    <s v=" "/>
  </r>
  <r>
    <m/>
    <s v="NIH"/>
    <s v="Federal"/>
    <s v="Fee Simple"/>
    <s v="2115 E Jefferson St"/>
    <s v="Rockville"/>
    <s v="MD"/>
    <n v="5.57"/>
    <n v="1981"/>
    <n v="128645"/>
    <n v="128645"/>
    <n v="1"/>
    <n v="2278978"/>
    <n v="17.71524738621789"/>
    <n v="1259597"/>
    <n v="9.791262777410704"/>
    <m/>
    <m/>
    <m/>
    <s v=" "/>
    <s v=" "/>
    <m/>
    <m/>
    <m/>
    <n v="10706000"/>
    <n v="83.22126783007501"/>
    <n v="0.1176533719409677"/>
    <m/>
    <d v="1995-05-11T00:00:00"/>
    <x v="8"/>
    <s v="Lasalle; Duke"/>
    <x v="132"/>
    <s v="IL"/>
    <s v="Institutional"/>
    <m/>
    <m/>
    <m/>
    <s v=" "/>
    <s v=" "/>
    <m/>
    <s v=" "/>
    <s v=" "/>
    <s v=" "/>
    <m/>
    <s v=" "/>
  </r>
  <r>
    <m/>
    <s v="FDA"/>
    <s v="Federal"/>
    <s v="Fee Simple"/>
    <s v="1 Montvale Ave"/>
    <s v="Stoneham"/>
    <s v="MA"/>
    <n v="1.84"/>
    <n v="1987"/>
    <n v="47000"/>
    <n v="97777"/>
    <n v="0.4806856418176054"/>
    <m/>
    <s v=" "/>
    <m/>
    <s v=" "/>
    <d v="1987-03-01T00:00:00"/>
    <d v="2000-02-28T00:00:00"/>
    <d v="2000-02-28T00:00:00"/>
    <n v="4.824657534246575"/>
    <n v="4.824657534246575"/>
    <s v="Modified Gross"/>
    <s v="None"/>
    <s v="None"/>
    <n v="7328750"/>
    <n v="74.95372122278245"/>
    <s v=" "/>
    <m/>
    <d v="1995-05-04T00:00:00"/>
    <x v="8"/>
    <m/>
    <x v="1711"/>
    <s v="TX"/>
    <s v="Private"/>
    <m/>
    <m/>
    <m/>
    <s v=" "/>
    <s v=" "/>
    <m/>
    <s v=" "/>
    <s v=" "/>
    <s v=" "/>
    <m/>
    <s v=" "/>
  </r>
  <r>
    <m/>
    <s v="Treas."/>
    <s v="Federal"/>
    <s v="Fee Simple"/>
    <s v="4241 NE 34th St"/>
    <s v="Kansas City"/>
    <s v="MO"/>
    <n v="7.02"/>
    <n v="2003"/>
    <n v="87993"/>
    <n v="87993"/>
    <n v="1"/>
    <m/>
    <s v=" "/>
    <m/>
    <s v=" "/>
    <m/>
    <m/>
    <m/>
    <s v=" "/>
    <s v=" "/>
    <m/>
    <m/>
    <m/>
    <m/>
    <s v=" "/>
    <s v=" "/>
    <m/>
    <d v="1995-02-01T00:00:00"/>
    <x v="8"/>
    <m/>
    <x v="0"/>
    <m/>
    <m/>
    <m/>
    <m/>
    <m/>
    <s v=" "/>
    <s v=" "/>
    <m/>
    <s v=" "/>
    <s v=" "/>
    <s v=" "/>
    <m/>
    <s v=" "/>
  </r>
  <r>
    <m/>
    <s v="VA"/>
    <s v="Federal"/>
    <s v="Fee Simple"/>
    <s v="1500-1506 Dodson Ave"/>
    <s v="Fort Smith"/>
    <s v="AR"/>
    <n v="8.08"/>
    <m/>
    <n v="12000"/>
    <n v="64546"/>
    <n v="0.1859139218541815"/>
    <m/>
    <s v=" "/>
    <m/>
    <s v=" "/>
    <m/>
    <m/>
    <m/>
    <s v=" "/>
    <s v=" "/>
    <m/>
    <m/>
    <m/>
    <n v="19800000"/>
    <n v="306.7579710593995"/>
    <s v=" "/>
    <m/>
    <d v="1994-12-21T00:00:00"/>
    <x v="2174"/>
    <m/>
    <x v="1712"/>
    <m/>
    <m/>
    <m/>
    <m/>
    <m/>
    <s v=" "/>
    <s v=" "/>
    <m/>
    <s v=" "/>
    <s v=" "/>
    <s v=" "/>
    <m/>
    <s v=" "/>
  </r>
  <r>
    <m/>
    <s v="IRS"/>
    <s v="Federal"/>
    <s v="Fee Simple"/>
    <s v="5045 E Butler Ave"/>
    <s v="Fresno"/>
    <s v="CA"/>
    <n v="48.46"/>
    <n v="1971"/>
    <n v="531976"/>
    <n v="531976"/>
    <n v="1"/>
    <m/>
    <s v=" "/>
    <m/>
    <s v=" "/>
    <m/>
    <m/>
    <m/>
    <s v=" "/>
    <s v=" "/>
    <m/>
    <m/>
    <m/>
    <m/>
    <s v=" "/>
    <s v=" "/>
    <m/>
    <d v="1994-12-15T00:00:00"/>
    <x v="2175"/>
    <m/>
    <x v="1713"/>
    <s v="CA"/>
    <s v="Private"/>
    <m/>
    <m/>
    <m/>
    <s v=" "/>
    <s v=" "/>
    <m/>
    <s v=" "/>
    <s v=" "/>
    <s v=" "/>
    <m/>
    <s v=" "/>
  </r>
  <r>
    <m/>
    <s v="Multi"/>
    <s v="State"/>
    <s v="Fee Simple"/>
    <s v="3813 N Santa Fe Ave"/>
    <s v="Oklahoma City"/>
    <s v="OK"/>
    <n v="6.22"/>
    <n v="1959"/>
    <n v="216000"/>
    <n v="216000"/>
    <n v="1"/>
    <m/>
    <s v=" "/>
    <m/>
    <s v=" "/>
    <m/>
    <m/>
    <m/>
    <s v=" "/>
    <s v=" "/>
    <m/>
    <m/>
    <m/>
    <m/>
    <s v=" "/>
    <s v=" "/>
    <m/>
    <d v="1994-10-07T00:00:00"/>
    <x v="8"/>
    <m/>
    <x v="46"/>
    <s v="OK"/>
    <s v="Private"/>
    <s v="M&amp;M; Ficke"/>
    <m/>
    <m/>
    <s v=" "/>
    <s v=" "/>
    <m/>
    <s v=" "/>
    <s v=" "/>
    <s v=" "/>
    <m/>
    <s v=" "/>
  </r>
  <r>
    <m/>
    <s v="SSA"/>
    <s v="Federal"/>
    <s v="Fee Simple"/>
    <s v="7440 Providence Dr"/>
    <s v="Woodridge"/>
    <s v="IL"/>
    <m/>
    <n v="1981"/>
    <n v="9000"/>
    <n v="9000"/>
    <n v="1"/>
    <n v="267260"/>
    <n v="29.69555555555555"/>
    <m/>
    <s v=" "/>
    <d v="2003-04-07T00:00:00"/>
    <d v="2023-04-06T00:00:00"/>
    <d v="2013-04-06T00:00:00"/>
    <n v="28.70684931506849"/>
    <n v="18.7013698630137"/>
    <s v="Modified Gross"/>
    <s v="None"/>
    <s v="None"/>
    <m/>
    <s v=" "/>
    <s v=" "/>
    <m/>
    <d v="1994-07-29T00:00:00"/>
    <x v="2176"/>
    <m/>
    <x v="1714"/>
    <m/>
    <m/>
    <m/>
    <m/>
    <m/>
    <s v=" "/>
    <s v=" "/>
    <m/>
    <s v=" "/>
    <s v=" "/>
    <s v=" "/>
    <m/>
    <s v=" "/>
  </r>
  <r>
    <m/>
    <s v="BLM"/>
    <s v="Federal"/>
    <s v="Fee Simple"/>
    <s v="711 S 14th St"/>
    <s v="Safford"/>
    <s v="AZ"/>
    <n v="4.6"/>
    <n v="1992"/>
    <n v="36139"/>
    <n v="36139"/>
    <n v="1"/>
    <m/>
    <s v=" "/>
    <m/>
    <s v=" "/>
    <m/>
    <m/>
    <m/>
    <s v=" "/>
    <s v=" "/>
    <m/>
    <m/>
    <m/>
    <n v="2219200"/>
    <n v="61.40734386673677"/>
    <s v=" "/>
    <m/>
    <d v="1994-06-17T00:00:00"/>
    <x v="2177"/>
    <s v="Direct"/>
    <x v="1715"/>
    <s v="MA"/>
    <s v="Private"/>
    <m/>
    <m/>
    <m/>
    <s v=" "/>
    <s v=" "/>
    <m/>
    <s v=" "/>
    <s v=" "/>
    <s v=" "/>
    <m/>
    <s v=" "/>
  </r>
  <r>
    <m/>
    <s v="Dep't of Fin."/>
    <s v="State"/>
    <s v="Fee Simple"/>
    <s v="915 L St"/>
    <s v="Sacramento"/>
    <s v="CA"/>
    <n v="0.51"/>
    <n v="1988"/>
    <n v="131774"/>
    <n v="163840"/>
    <n v="0.80428466796875"/>
    <m/>
    <s v=" "/>
    <n v="2862227.5"/>
    <n v="17.46965026855469"/>
    <m/>
    <d v="2003-10-30T00:00:00"/>
    <d v="2003-10-30T00:00:00"/>
    <n v="10.16438356164384"/>
    <n v="10.16438356164384"/>
    <s v="Full Service"/>
    <s v="Annually"/>
    <s v="None"/>
    <n v="26675000"/>
    <n v="162.811279296875"/>
    <n v="0.1073"/>
    <m/>
    <d v="1993-09-02T00:00:00"/>
    <x v="2178"/>
    <s v="John Vandenberg"/>
    <x v="1716"/>
    <s v="CA"/>
    <s v="Private"/>
    <m/>
    <m/>
    <m/>
    <s v=" "/>
    <s v=" "/>
    <m/>
    <s v=" "/>
    <s v=" "/>
    <s v=" "/>
    <m/>
    <s v=" "/>
  </r>
  <r>
    <m/>
    <s v="AG"/>
    <s v="Federal"/>
    <s v="Fee Simple"/>
    <s v="138 Delaware Ave"/>
    <s v="Buffalo"/>
    <s v="NY"/>
    <n v="0.55"/>
    <n v="1994"/>
    <n v="71796"/>
    <n v="121711"/>
    <n v="0.5898891636746062"/>
    <m/>
    <s v=" "/>
    <m/>
    <s v=" "/>
    <m/>
    <m/>
    <m/>
    <s v=" "/>
    <s v=" "/>
    <m/>
    <m/>
    <m/>
    <m/>
    <s v=" "/>
    <s v=" "/>
    <m/>
    <d v="1993-08-17T00:00:00"/>
    <x v="913"/>
    <m/>
    <x v="1717"/>
    <s v="NY"/>
    <s v="Private"/>
    <m/>
    <m/>
    <m/>
    <s v=" "/>
    <s v=" "/>
    <m/>
    <s v=" "/>
    <s v=" "/>
    <s v=" "/>
    <m/>
    <s v=" "/>
  </r>
  <r>
    <m/>
    <s v="CBP/SBA"/>
    <s v="Federal"/>
    <s v="Fee Simple"/>
    <s v="150 Westpark Way"/>
    <s v="Euless"/>
    <s v="TX"/>
    <n v="4.32"/>
    <n v="1985"/>
    <n v="39353.08"/>
    <n v="75679"/>
    <n v="0.52"/>
    <m/>
    <s v=" "/>
    <m/>
    <s v=" "/>
    <m/>
    <m/>
    <m/>
    <s v=" "/>
    <s v=" "/>
    <m/>
    <m/>
    <m/>
    <m/>
    <s v=" "/>
    <s v=" "/>
    <m/>
    <d v="1992-12-10T00:00:00"/>
    <x v="8"/>
    <m/>
    <x v="0"/>
    <m/>
    <m/>
    <m/>
    <m/>
    <m/>
    <s v=" "/>
    <s v=" "/>
    <m/>
    <s v=" "/>
    <s v=" "/>
    <s v=" "/>
    <m/>
    <s v=" "/>
  </r>
  <r>
    <m/>
    <s v="SSA"/>
    <s v="Federal"/>
    <s v="Fee Simple"/>
    <s v="1122 N 7th St"/>
    <s v="Phoenix"/>
    <s v="AZ"/>
    <n v="0.89"/>
    <n v="1964"/>
    <n v="23998"/>
    <n v="23998"/>
    <n v="1"/>
    <m/>
    <s v=" "/>
    <m/>
    <s v=" "/>
    <m/>
    <m/>
    <m/>
    <s v=" "/>
    <s v=" "/>
    <m/>
    <m/>
    <m/>
    <n v="1065902"/>
    <n v="44.41628469039087"/>
    <s v=" "/>
    <m/>
    <d v="1992-05-26T00:00:00"/>
    <x v="8"/>
    <m/>
    <x v="1718"/>
    <s v="CA"/>
    <s v="Private"/>
    <m/>
    <m/>
    <m/>
    <s v=" "/>
    <s v=" "/>
    <m/>
    <s v=" "/>
    <s v=" "/>
    <s v=" "/>
    <m/>
    <s v=" "/>
  </r>
  <r>
    <m/>
    <s v="FDA"/>
    <s v="Federal"/>
    <s v="Fee Simple"/>
    <s v="12420 Parklawn Dr"/>
    <s v="Rockville"/>
    <s v="MD"/>
    <n v="2.4"/>
    <n v="1972"/>
    <n v="93014"/>
    <n v="93014"/>
    <n v="1"/>
    <m/>
    <s v=" "/>
    <m/>
    <s v=" "/>
    <m/>
    <m/>
    <m/>
    <s v=" "/>
    <s v=" "/>
    <m/>
    <m/>
    <m/>
    <n v="28500000"/>
    <n v="306.4054873459909"/>
    <s v=" "/>
    <m/>
    <d v="1991-04-16T00:00:00"/>
    <x v="2179"/>
    <m/>
    <x v="1607"/>
    <s v="IL"/>
    <s v="Private"/>
    <m/>
    <m/>
    <m/>
    <s v=" "/>
    <s v=" "/>
    <m/>
    <s v=" "/>
    <s v=" "/>
    <s v=" "/>
    <m/>
    <s v=" "/>
  </r>
  <r>
    <m/>
    <s v="Multi"/>
    <s v="State"/>
    <s v="Fee Simple"/>
    <s v="925 L St"/>
    <s v="Sacramento"/>
    <s v="CA"/>
    <n v="0.36"/>
    <n v="1973"/>
    <n v="106371.72"/>
    <n v="168844"/>
    <n v="0.63"/>
    <m/>
    <s v=" "/>
    <m/>
    <s v=" "/>
    <m/>
    <m/>
    <m/>
    <s v=" "/>
    <s v=" "/>
    <m/>
    <m/>
    <m/>
    <n v="33000000"/>
    <n v="195.4466845135154"/>
    <s v=" "/>
    <m/>
    <d v="1990-03-22T00:00:00"/>
    <x v="189"/>
    <m/>
    <x v="1719"/>
    <s v="CA"/>
    <s v="Private"/>
    <m/>
    <m/>
    <m/>
    <s v=" "/>
    <s v=" "/>
    <m/>
    <s v=" "/>
    <s v=" "/>
    <s v=" "/>
    <m/>
    <s v=" "/>
  </r>
  <r>
    <m/>
    <s v="FWS"/>
    <s v="Federal"/>
    <s v="Fee Simple"/>
    <s v="2493 Portola Rd"/>
    <s v="Ventura"/>
    <s v="CA"/>
    <n v="1"/>
    <n v="1986"/>
    <n v="17061"/>
    <n v="17061"/>
    <n v="1"/>
    <m/>
    <s v=" "/>
    <n v="238000"/>
    <n v="13.94994431744916"/>
    <m/>
    <d v="2007-11-30T00:00:00"/>
    <d v="2002-11-30T00:00:00"/>
    <n v="18.92328767123288"/>
    <n v="13.92054794520548"/>
    <s v="Modified Gross"/>
    <s v="None"/>
    <s v="None"/>
    <n v="1175000"/>
    <n v="68.87052341597796"/>
    <n v="0.2025531914893617"/>
    <m/>
    <d v="1989-01-01T00:00:00"/>
    <x v="2180"/>
    <m/>
    <x v="1720"/>
    <s v="CA"/>
    <s v="Private"/>
    <m/>
    <m/>
    <m/>
    <s v=" "/>
    <s v=" "/>
    <m/>
    <s v=" "/>
    <s v=" "/>
    <s v=" "/>
    <m/>
    <s v=" "/>
  </r>
  <r>
    <m/>
    <s v="BLM"/>
    <s v="Federal"/>
    <s v="Fee Simple"/>
    <s v="2850 Youngfield St"/>
    <s v="Lakewood"/>
    <s v="CO"/>
    <n v="2.28"/>
    <n v="1982"/>
    <n v="87926"/>
    <n v="87926"/>
    <n v="1"/>
    <m/>
    <s v=" "/>
    <m/>
    <s v=" "/>
    <m/>
    <m/>
    <m/>
    <s v=" "/>
    <s v=" "/>
    <m/>
    <m/>
    <m/>
    <n v="8600000"/>
    <n v="97.80952164319996"/>
    <s v=" "/>
    <m/>
    <d v="1988-12-01T00:00:00"/>
    <x v="8"/>
    <m/>
    <x v="1721"/>
    <s v="CO"/>
    <s v="Private"/>
    <m/>
    <m/>
    <m/>
    <s v=" "/>
    <s v=" "/>
    <m/>
    <s v=" "/>
    <s v=" "/>
    <s v=" "/>
    <m/>
    <s v=" "/>
  </r>
  <r>
    <m/>
    <s v="Multi"/>
    <s v="Federal"/>
    <s v="Fee Simple"/>
    <s v="1331 Pennsylvania Ave NW"/>
    <s v="Washington"/>
    <s v="DC"/>
    <n v="2.32"/>
    <n v="1984"/>
    <n v="421632"/>
    <n v="691200"/>
    <n v="0.61"/>
    <m/>
    <s v=" "/>
    <m/>
    <s v=" "/>
    <m/>
    <m/>
    <m/>
    <s v=" "/>
    <s v=" "/>
    <m/>
    <m/>
    <m/>
    <n v="43101900"/>
    <n v="62.35807291666666"/>
    <s v=" "/>
    <m/>
    <d v="1988-08-11T00:00:00"/>
    <x v="2181"/>
    <m/>
    <x v="1722"/>
    <s v="DC"/>
    <s v="Private"/>
    <m/>
    <m/>
    <m/>
    <s v=" "/>
    <s v=" "/>
    <m/>
    <s v=" "/>
    <s v=" "/>
    <s v=" "/>
    <m/>
    <s v=" "/>
  </r>
  <r>
    <m/>
    <s v="BR"/>
    <s v="Federal"/>
    <s v="Fee Simple"/>
    <s v="7201-7401 W Mansfield Ave"/>
    <s v="Lakewood"/>
    <s v="CO"/>
    <n v="14.62"/>
    <n v="1984"/>
    <n v="212996"/>
    <n v="212996"/>
    <n v="1"/>
    <m/>
    <s v=" "/>
    <m/>
    <s v=" "/>
    <m/>
    <m/>
    <m/>
    <s v=" "/>
    <s v=" "/>
    <m/>
    <m/>
    <m/>
    <m/>
    <s v=" "/>
    <s v=" "/>
    <m/>
    <d v="1986-12-31T00:00:00"/>
    <x v="2182"/>
    <m/>
    <x v="1723"/>
    <s v="TX"/>
    <s v="Private"/>
    <m/>
    <m/>
    <m/>
    <s v=" "/>
    <s v=" "/>
    <m/>
    <s v=" "/>
    <s v=" "/>
    <s v=" "/>
    <m/>
    <s v=" "/>
  </r>
  <r>
    <m/>
    <s v="DOE"/>
    <s v="State"/>
    <s v="Fee Simple"/>
    <s v="3190 160th Ave SE"/>
    <s v="Bellevue"/>
    <s v="WA"/>
    <n v="3.66"/>
    <n v="1982"/>
    <n v="60423"/>
    <n v="60423"/>
    <n v="1"/>
    <m/>
    <s v=" "/>
    <m/>
    <s v=" "/>
    <m/>
    <m/>
    <m/>
    <s v=" "/>
    <s v=" "/>
    <m/>
    <m/>
    <m/>
    <n v="4300000"/>
    <n v="71.16495374278007"/>
    <s v=" "/>
    <m/>
    <d v="1983-09-14T00:00:00"/>
    <x v="2183"/>
    <m/>
    <x v="1724"/>
    <s v="NY"/>
    <s v="Institutional"/>
    <m/>
    <m/>
    <m/>
    <s v=" "/>
    <s v=" "/>
    <m/>
    <s v=" "/>
    <s v=" "/>
    <s v=" "/>
    <m/>
    <s v=" "/>
  </r>
  <r>
    <m/>
    <s v="USPS"/>
    <s v="Federal"/>
    <s v="Fee Simple"/>
    <s v="1538 Tallahassee Blvd"/>
    <s v="Intercession City"/>
    <s v="FL"/>
    <n v="0.33"/>
    <n v="1976"/>
    <n v="2488"/>
    <n v="2488"/>
    <n v="1"/>
    <m/>
    <s v=" "/>
    <m/>
    <s v=" "/>
    <m/>
    <m/>
    <m/>
    <s v=" "/>
    <s v=" "/>
    <m/>
    <m/>
    <m/>
    <n v="104900"/>
    <n v="42.16237942122186"/>
    <s v=" "/>
    <m/>
    <d v="1979-01-01T00:00:00"/>
    <x v="8"/>
    <m/>
    <x v="1725"/>
    <s v="FL"/>
    <s v="Private"/>
    <m/>
    <m/>
    <m/>
    <s v=" "/>
    <s v=" "/>
    <m/>
    <s v=" "/>
    <s v=" "/>
    <s v=" "/>
    <m/>
    <s v=" "/>
  </r>
  <r>
    <s v="LPR19158"/>
    <m/>
    <m/>
    <m/>
    <s v="# 50 STATE ROAD PR-165"/>
    <s v="GUAYNABO"/>
    <s v="PR"/>
    <m/>
    <m/>
    <n v="59196"/>
    <m/>
    <s v=" "/>
    <n v="1554633.23"/>
    <n v="26.2624709439827"/>
    <m/>
    <s v=" "/>
    <d v="2010-10-22T00:00:00"/>
    <d v="2020-10-21T00:00:00"/>
    <d v="2015-10-22T00:00:00"/>
    <s v=" "/>
    <s v=" "/>
    <s v="Y"/>
    <m/>
    <s v="None"/>
    <n v="14574686.53125"/>
    <s v=" "/>
    <s v=" "/>
    <m/>
    <m/>
    <x v="2184"/>
    <m/>
    <x v="1726"/>
    <m/>
    <s v="Private"/>
    <m/>
    <m/>
    <m/>
    <s v=" "/>
    <s v=" "/>
    <m/>
    <s v=" "/>
    <s v=" "/>
    <s v=" "/>
    <m/>
    <s v=" "/>
  </r>
  <r>
    <s v="LGU97555"/>
    <m/>
    <m/>
    <m/>
    <s v="108 HERNAN CORTEZ"/>
    <s v="HAGATNA"/>
    <s v="GU"/>
    <m/>
    <m/>
    <n v="60118"/>
    <m/>
    <s v=" "/>
    <n v="2207532.96"/>
    <n v="36.72"/>
    <m/>
    <s v=" "/>
    <d v="1998-04-01T00:00:00"/>
    <d v="2016-03-31T00:00:00"/>
    <d v="2013-04-02T00:00:00"/>
    <s v=" "/>
    <s v=" "/>
    <s v="Y"/>
    <m/>
    <s v="None"/>
    <n v="20695621.5"/>
    <s v=" "/>
    <s v=" "/>
    <m/>
    <m/>
    <x v="2185"/>
    <m/>
    <x v="1727"/>
    <m/>
    <s v="Institutional"/>
    <m/>
    <m/>
    <m/>
    <s v=" "/>
    <s v=" "/>
    <m/>
    <s v=" "/>
    <s v=" "/>
    <s v=" "/>
    <m/>
    <s v=" "/>
  </r>
  <r>
    <s v="LKY50026"/>
    <s v="MSHA"/>
    <s v="Federal"/>
    <s v="Fee Simple"/>
    <s v="145 Reynolds Lane"/>
    <s v="Hazard"/>
    <s v="KY"/>
    <n v="1.1"/>
    <n v="2011"/>
    <n v="8836"/>
    <n v="8836"/>
    <n v="1"/>
    <n v="335748.19"/>
    <n v="37.99775803531009"/>
    <n v="272383"/>
    <n v="30.82650520597555"/>
    <d v="2011-09-15T00:00:00"/>
    <d v="2021-09-14T00:00:00"/>
    <d v="2016-09-15T00:00:00"/>
    <s v=" "/>
    <s v=" "/>
    <s v="Modified Gross"/>
    <s v="None"/>
    <s v="None"/>
    <m/>
    <s v=" "/>
    <s v=" "/>
    <m/>
    <m/>
    <x v="8"/>
    <m/>
    <x v="1728"/>
    <s v="OK"/>
    <s v="Private"/>
    <m/>
    <m/>
    <m/>
    <s v=" "/>
    <s v=" "/>
    <m/>
    <s v=" "/>
    <s v=" "/>
    <s v=" "/>
    <m/>
    <s v=" "/>
  </r>
  <r>
    <m/>
    <s v="VA Clinic"/>
    <s v="Federal"/>
    <s v="Fee Simple"/>
    <s v="6104 Ave Q S Dr"/>
    <s v="Lubbock"/>
    <s v="TX"/>
    <m/>
    <m/>
    <n v="42000"/>
    <n v="42000"/>
    <n v="1"/>
    <m/>
    <s v=" "/>
    <n v="420000"/>
    <n v="10"/>
    <d v="2003-02-03T00:00:00"/>
    <d v="2023-02-04T00:00:00"/>
    <m/>
    <s v=" "/>
    <s v=" "/>
    <m/>
    <m/>
    <m/>
    <m/>
    <s v=" "/>
    <s v=" "/>
    <m/>
    <m/>
    <x v="2186"/>
    <m/>
    <x v="1729"/>
    <m/>
    <m/>
    <m/>
    <m/>
    <m/>
    <s v=" "/>
    <s v=" "/>
    <m/>
    <s v=" "/>
    <s v=" "/>
    <s v=" "/>
    <m/>
    <s v=" "/>
  </r>
  <r>
    <m/>
    <m/>
    <s v="Federal"/>
    <s v="Fee Simple"/>
    <s v="4090 Truxel Rd"/>
    <s v="Sacramento"/>
    <s v="CA"/>
    <n v="1.54"/>
    <n v="2006"/>
    <n v="10950"/>
    <n v="20922"/>
    <n v="0.5233725265271006"/>
    <m/>
    <s v=" "/>
    <m/>
    <s v=" "/>
    <m/>
    <m/>
    <m/>
    <s v=" "/>
    <s v=" "/>
    <m/>
    <m/>
    <m/>
    <n v="3500000"/>
    <n v="167.2880221776121"/>
    <s v=" "/>
    <m/>
    <m/>
    <x v="2187"/>
    <s v="Robb Osborne; Tri Commercial"/>
    <x v="1730"/>
    <m/>
    <m/>
    <m/>
    <s v="Vanir Development Company"/>
    <n v="3900000"/>
    <s v=" "/>
    <n v="0.8974358974358975"/>
    <n v="3900000"/>
    <s v=" "/>
    <s v=" "/>
    <s v="No"/>
    <m/>
    <s v=" "/>
  </r>
  <r>
    <s v="LCA94651"/>
    <s v="AOC"/>
    <s v="Federal"/>
    <s v="Fee Simple"/>
    <s v="1415 State St"/>
    <s v="Santa Barbara"/>
    <s v="CA"/>
    <n v="0.46"/>
    <n v="1950"/>
    <n v="22324"/>
    <n v="22324"/>
    <n v="1"/>
    <n v="1370795"/>
    <n v="61.40454219673894"/>
    <m/>
    <s v=" "/>
    <d v="1997-11-13T00:00:00"/>
    <d v="2017-11-12T00:00:00"/>
    <d v="2012-11-13T00:00:00"/>
    <s v=" "/>
    <s v=" "/>
    <s v="Modified Gross"/>
    <s v="None"/>
    <s v="None"/>
    <n v="12851203.125"/>
    <n v="575.6675830944275"/>
    <s v=" "/>
    <m/>
    <m/>
    <x v="2188"/>
    <m/>
    <x v="1731"/>
    <s v="CA"/>
    <s v="Private"/>
    <m/>
    <m/>
    <m/>
    <s v=" "/>
    <s v=" "/>
    <m/>
    <s v=" "/>
    <s v=" "/>
    <s v=" "/>
    <m/>
    <s v=" "/>
  </r>
  <r>
    <m/>
    <s v="SSA"/>
    <s v="Federal"/>
    <s v="Fee Simple"/>
    <s v="1916 Smith Ave"/>
    <s v="Thomasville"/>
    <s v="GA"/>
    <n v="1.22"/>
    <n v="2008"/>
    <n v="11150"/>
    <n v="11150"/>
    <n v="1"/>
    <n v="424310.09"/>
    <n v="38.05471659192825"/>
    <n v="232772"/>
    <n v="20.87641255605381"/>
    <d v="2018-08-15T00:00:00"/>
    <d v="2028-08-14T00:00:00"/>
    <d v="2028-08-14T00:00:00"/>
    <s v=" "/>
    <s v=" "/>
    <m/>
    <m/>
    <m/>
    <m/>
    <s v=" "/>
    <s v=" "/>
    <m/>
    <m/>
    <x v="8"/>
    <m/>
    <x v="0"/>
    <m/>
    <m/>
    <m/>
    <m/>
    <m/>
    <s v=" "/>
    <s v=" "/>
    <m/>
    <s v=" "/>
    <s v=" "/>
    <s v=" "/>
    <m/>
    <s v=" "/>
  </r>
  <r>
    <s v="LWA06463"/>
    <s v="HS"/>
    <s v="Federal"/>
    <s v="Fee Simple"/>
    <s v="12500 Tukwila International Blvd"/>
    <s v="Tukwila"/>
    <s v="WA"/>
    <n v="6.91"/>
    <n v="2005"/>
    <n v="120345"/>
    <n v="125000"/>
    <n v="0.9627599999999999"/>
    <n v="3477977.57"/>
    <n v="28.90005874776683"/>
    <m/>
    <s v=" "/>
    <d v="2004-10-11T00:00:00"/>
    <d v="2024-10-10T00:00:00"/>
    <d v="2024-10-10T00:00:00"/>
    <s v=" "/>
    <s v=" "/>
    <s v="FS"/>
    <m/>
    <s v="None"/>
    <n v="32606039.71875"/>
    <n v="260.84831775"/>
    <s v=" "/>
    <m/>
    <m/>
    <x v="2189"/>
    <m/>
    <x v="1732"/>
    <m/>
    <s v="Private"/>
    <m/>
    <m/>
    <m/>
    <s v=" "/>
    <s v=" "/>
    <m/>
    <s v=" "/>
    <s v=" "/>
    <s v=" "/>
    <m/>
    <s v=" 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737" firstHeaderRow="0" firstDataRow="1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843">
        <item t="data" sd="1" x="950"/>
        <item t="data" sd="1" x="1257"/>
        <item t="data" sd="1" x="1220"/>
        <item t="data" sd="1" x="784"/>
        <item t="data" sd="1" x="1202"/>
        <item t="data" sd="1" x="1058"/>
        <item t="data" sd="1" x="1108"/>
        <item t="data" sd="1" x="1222"/>
        <item t="data" sd="1" x="657"/>
        <item t="data" sd="1" x="42"/>
        <item t="data" sd="1" x="682"/>
        <item t="data" sd="1" m="1" x="1838"/>
        <item t="data" sd="1" x="51"/>
        <item t="data" sd="1" x="1056"/>
        <item t="data" sd="1" m="1" x="1762"/>
        <item t="data" sd="1" x="1183"/>
        <item t="data" sd="1" x="1337"/>
        <item t="data" sd="1" x="1096"/>
        <item t="data" sd="1" x="651"/>
        <item t="data" sd="1" x="1103"/>
        <item t="data" sd="1" x="681"/>
        <item t="data" sd="1" x="1231"/>
        <item t="data" sd="1" x="696"/>
        <item t="data" sd="1" x="1167"/>
        <item t="data" sd="1" x="1305"/>
        <item t="data" sd="1" x="564"/>
        <item t="data" sd="1" x="838"/>
        <item t="data" sd="1" x="960"/>
        <item t="data" sd="1" x="1279"/>
        <item t="data" sd="1" x="962"/>
        <item t="data" sd="1" x="265"/>
        <item t="data" sd="1" m="1" x="1747"/>
        <item t="data" sd="1" x="895"/>
        <item t="data" sd="1" x="890"/>
        <item t="data" sd="1" x="843"/>
        <item t="data" sd="1" x="1100"/>
        <item t="data" sd="1" x="68"/>
        <item t="data" sd="1" m="1" x="1733"/>
        <item t="data" sd="1" x="1117"/>
        <item t="data" sd="1" x="1345"/>
        <item t="data" sd="1" x="996"/>
        <item t="data" sd="1" x="830"/>
        <item t="data" sd="1" x="1297"/>
        <item t="data" sd="1" x="1268"/>
        <item t="data" sd="1" x="502"/>
        <item t="data" sd="1" x="1341"/>
        <item t="data" sd="1" x="827"/>
        <item t="data" sd="1" x="1"/>
        <item t="data" sd="1" m="1" x="1783"/>
        <item t="data" sd="1" x="975"/>
        <item t="data" sd="1" x="1328"/>
        <item t="data" sd="1" x="1060"/>
        <item t="data" sd="1" x="886"/>
        <item t="data" sd="1" x="764"/>
        <item t="data" sd="1" x="496"/>
        <item t="data" sd="1" x="1459"/>
        <item t="data" sd="1" m="1" x="1758"/>
        <item t="data" sd="1" x="1180"/>
        <item t="data" sd="1" x="1288"/>
        <item t="data" sd="1" x="1129"/>
        <item t="data" sd="1" x="1207"/>
        <item t="data" sd="1" x="469"/>
        <item t="data" sd="1" x="910"/>
        <item t="data" sd="1" x="1472"/>
        <item t="data" sd="1" m="1" x="1753"/>
        <item t="data" sd="1" x="737"/>
        <item t="data" sd="1" x="1196"/>
        <item t="data" sd="1" x="440"/>
        <item t="data" sd="1" m="1" x="1824"/>
        <item t="data" sd="1" x="1025"/>
        <item t="data" sd="1" x="1214"/>
        <item t="data" sd="1" x="852"/>
        <item t="data" sd="1" x="1283"/>
        <item t="data" sd="1" m="1" x="1735"/>
        <item t="data" sd="1" x="662"/>
        <item t="data" sd="1" x="848"/>
        <item t="data" sd="1" x="899"/>
        <item t="data" sd="1" x="949"/>
        <item t="data" sd="1" x="563"/>
        <item t="data" sd="1" x="1247"/>
        <item t="data" sd="1" x="880"/>
        <item t="data" sd="1" x="968"/>
        <item t="data" sd="1" x="965"/>
        <item t="data" sd="1" x="849"/>
        <item t="data" sd="1" x="620"/>
        <item t="data" sd="1" x="982"/>
        <item t="data" sd="1" x="1120"/>
        <item t="data" sd="1" x="1057"/>
        <item t="data" sd="1" x="1139"/>
        <item t="data" sd="1" x="668"/>
        <item t="data" sd="1" x="1230"/>
        <item t="data" sd="1" x="629"/>
        <item t="data" sd="1" x="805"/>
        <item t="data" sd="1" x="750"/>
        <item t="data" sd="1" x="497"/>
        <item t="data" sd="1" x="753"/>
        <item t="data" sd="1" x="847"/>
        <item t="data" sd="1" x="1385"/>
        <item t="data" sd="1" x="500"/>
        <item t="data" sd="1" x="716"/>
        <item t="data" sd="1" x="831"/>
        <item t="data" sd="1" m="1" x="1741"/>
        <item t="data" sd="1" x="591"/>
        <item t="data" sd="1" x="906"/>
        <item t="data" sd="1" x="701"/>
        <item t="data" sd="1" x="1292"/>
        <item t="data" sd="1" x="658"/>
        <item t="data" sd="1" x="1447"/>
        <item t="data" sd="1" x="758"/>
        <item t="data" sd="1" x="794"/>
        <item t="data" sd="1" x="885"/>
        <item t="data" sd="1" m="1" x="1802"/>
        <item t="data" sd="1" x="1448"/>
        <item t="data" sd="1" x="623"/>
        <item t="data" sd="1" x="607"/>
        <item t="data" sd="1" x="999"/>
        <item t="data" sd="1" x="1322"/>
        <item t="data" sd="1" x="1265"/>
        <item t="data" sd="1" x="1199"/>
        <item t="data" sd="1" x="957"/>
        <item t="data" sd="1" x="1471"/>
        <item t="data" sd="1" x="924"/>
        <item t="data" sd="1" x="3"/>
        <item t="data" sd="1" m="1" x="1820"/>
        <item t="data" sd="1" x="855"/>
        <item t="data" sd="1" m="1" x="1798"/>
        <item t="data" sd="1" x="174"/>
        <item t="data" sd="1" x="1119"/>
        <item t="data" sd="1" x="914"/>
        <item t="data" sd="1" x="858"/>
        <item t="data" sd="1" x="429"/>
        <item t="data" sd="1" x="1690"/>
        <item t="data" sd="1" x="931"/>
        <item t="data" sd="1" x="141"/>
        <item t="data" sd="1" x="1045"/>
        <item t="data" sd="1" x="856"/>
        <item t="data" sd="1" x="874"/>
        <item t="data" sd="1" x="891"/>
        <item t="data" sd="1" x="1101"/>
        <item t="data" sd="1" x="1143"/>
        <item t="data" sd="1" x="1083"/>
        <item t="data" sd="1" x="308"/>
        <item t="data" sd="1" x="1145"/>
        <item t="data" sd="1" x="173"/>
        <item t="data" sd="1" x="726"/>
        <item t="data" sd="1" x="937"/>
        <item t="data" sd="1" x="854"/>
        <item t="data" sd="1" x="801"/>
        <item t="data" sd="1" x="1264"/>
        <item t="data" sd="1" x="1164"/>
        <item t="data" sd="1" m="1" x="1745"/>
        <item t="data" sd="1" x="656"/>
        <item t="data" sd="1" m="1" x="1830"/>
        <item t="data" sd="1" m="1" x="1740"/>
        <item t="data" sd="1" m="1" x="1827"/>
        <item t="data" sd="1" x="1106"/>
        <item t="data" sd="1" x="1198"/>
        <item t="data" sd="1" x="846"/>
        <item t="data" sd="1" x="354"/>
        <item t="data" sd="1" x="1413"/>
        <item t="data" sd="1" x="679"/>
        <item t="data" sd="1" x="1726"/>
        <item t="data" sd="1" x="631"/>
        <item t="data" sd="1" x="62"/>
        <item t="data" sd="1" x="705"/>
        <item t="data" sd="1" x="793"/>
        <item t="data" sd="1" x="638"/>
        <item t="data" sd="1" x="749"/>
        <item t="data" sd="1" x="972"/>
        <item t="data" sd="1" x="983"/>
        <item t="data" sd="1" m="1" x="1841"/>
        <item t="data" sd="1" m="1" x="1755"/>
        <item t="data" sd="1" x="1369"/>
        <item t="data" sd="1" x="792"/>
        <item t="data" sd="1" m="1" x="1803"/>
        <item t="data" sd="1" m="1" x="1828"/>
        <item t="data" sd="1" m="1" x="1774"/>
        <item t="data" sd="1" m="1" x="1813"/>
        <item t="data" sd="1" m="1" x="1816"/>
        <item t="data" sd="1" x="518"/>
        <item t="data" sd="1" x="703"/>
        <item t="data" sd="1" x="951"/>
        <item t="data" sd="1" x="772"/>
        <item t="data" sd="1" x="1110"/>
        <item t="data" sd="1" x="1187"/>
        <item t="data" sd="1" m="1" x="1840"/>
        <item t="data" sd="1" x="748"/>
        <item t="data" sd="1" x="54"/>
        <item t="data" sd="1" x="953"/>
        <item t="data" sd="1" m="1" x="1738"/>
        <item t="data" sd="1" x="1428"/>
        <item t="data" sd="1" m="1" x="1811"/>
        <item t="data" sd="1" x="1330"/>
        <item t="data" sd="1" x="873"/>
        <item t="data" sd="1" x="988"/>
        <item t="data" sd="1" x="1263"/>
        <item t="data" sd="1" x="878"/>
        <item t="data" sd="1" x="1064"/>
        <item t="data" sd="1" x="619"/>
        <item t="data" sd="1" x="1063"/>
        <item t="data" sd="1" x="766"/>
        <item t="data" sd="1" x="1195"/>
        <item t="data" sd="1" m="1" x="1829"/>
        <item t="data" sd="1" x="1319"/>
        <item t="data" sd="1" m="1" x="1834"/>
        <item t="data" sd="1" x="229"/>
        <item t="data" sd="1" x="876"/>
        <item t="data" sd="1" x="1034"/>
        <item t="data" sd="1" x="1210"/>
        <item t="data" sd="1" x="837"/>
        <item t="data" sd="1" x="1261"/>
        <item t="data" sd="1" x="653"/>
        <item t="data" sd="1" x="976"/>
        <item t="data" sd="1" x="851"/>
        <item t="data" sd="1" m="1" x="1791"/>
        <item t="data" sd="1" x="673"/>
        <item t="data" sd="1" x="671"/>
        <item t="data" sd="1" x="1732"/>
        <item t="data" sd="1" x="593"/>
        <item t="data" sd="1" x="980"/>
        <item t="data" sd="1" x="606"/>
        <item t="data" sd="1" x="720"/>
        <item t="data" sd="1" x="575"/>
        <item t="data" sd="1" x="600"/>
        <item t="data" sd="1" x="1211"/>
        <item t="data" sd="1" x="881"/>
        <item t="data" sd="1" x="1158"/>
        <item t="data" sd="1" x="724"/>
        <item t="data" sd="1" x="551"/>
        <item t="data" sd="1" x="1173"/>
        <item t="data" sd="1" x="740"/>
        <item t="data" sd="1" x="641"/>
        <item t="data" sd="1" x="1039"/>
        <item t="data" sd="1" x="832"/>
        <item t="data" sd="1" x="485"/>
        <item t="data" sd="1" x="1379"/>
        <item t="data" sd="1" x="1306"/>
        <item t="data" sd="1" m="1" x="1780"/>
        <item t="data" sd="1" x="941"/>
        <item t="data" sd="1" x="918"/>
        <item t="data" sd="1" m="1" x="1746"/>
        <item t="data" sd="1" x="1401"/>
        <item t="data" sd="1" x="1599"/>
        <item t="data" sd="1" x="640"/>
        <item t="data" sd="1" x="571"/>
        <item t="data" sd="1" x="1022"/>
        <item t="data" sd="1" x="164"/>
        <item t="data" sd="1" x="664"/>
        <item t="data" sd="1" x="732"/>
        <item t="data" sd="1" x="903"/>
        <item t="data" sd="1" x="806"/>
        <item t="data" sd="1" x="884"/>
        <item t="data" sd="1" x="1278"/>
        <item t="data" sd="1" m="1" x="1766"/>
        <item t="data" sd="1" x="835"/>
        <item t="data" sd="1" x="822"/>
        <item t="data" sd="1" m="1" x="1833"/>
        <item t="data" sd="1" m="1" x="1794"/>
        <item t="data" sd="1" x="1074"/>
        <item t="data" sd="1" x="1221"/>
        <item t="data" sd="1" x="71"/>
        <item t="data" sd="1" x="602"/>
        <item t="data" sd="1" x="127"/>
        <item t="data" sd="1" x="1179"/>
        <item t="data" sd="1" x="1160"/>
        <item t="data" sd="1" x="713"/>
        <item t="data" sd="1" x="893"/>
        <item t="data" sd="1" x="1234"/>
        <item t="data" sd="1" x="666"/>
        <item t="data" sd="1" x="826"/>
        <item t="data" sd="1" m="1" x="1770"/>
        <item t="data" sd="1" x="678"/>
        <item t="data" sd="1" x="647"/>
        <item t="data" sd="1" x="821"/>
        <item t="data" sd="1" x="888"/>
        <item t="data" sd="1" x="1209"/>
        <item t="data" sd="1" x="754"/>
        <item t="data" sd="1" x="896"/>
        <item t="data" sd="1" x="986"/>
        <item t="data" sd="1" x="1270"/>
        <item t="data" sd="1" x="1089"/>
        <item t="data" sd="1" x="1377"/>
        <item t="data" sd="1" x="1313"/>
        <item t="data" sd="1" x="540"/>
        <item t="data" sd="1" x="1469"/>
        <item t="data" sd="1" m="1" x="1779"/>
        <item t="data" sd="1" x="1229"/>
        <item t="data" sd="1" x="901"/>
        <item t="data" sd="1" x="672"/>
        <item t="data" sd="1" x="813"/>
        <item t="data" sd="1" m="1" x="1756"/>
        <item t="data" sd="1" x="680"/>
        <item t="data" sd="1" x="1184"/>
        <item t="data" sd="1" x="559"/>
        <item t="data" sd="1" x="1312"/>
        <item t="data" sd="1" m="1" x="1769"/>
        <item t="data" sd="1" x="1111"/>
        <item t="data" sd="1" m="1" x="1751"/>
        <item t="data" sd="1" x="2"/>
        <item t="data" sd="1" m="1" x="1739"/>
        <item t="data" sd="1" x="628"/>
        <item t="data" sd="1" x="1215"/>
        <item t="data" sd="1" x="1496"/>
        <item t="data" sd="1" x="669"/>
        <item t="data" sd="1" x="1318"/>
        <item t="data" sd="1" x="786"/>
        <item t="data" sd="1" x="570"/>
        <item t="data" sd="1" x="613"/>
        <item t="data" sd="1" x="829"/>
        <item t="data" sd="1" x="1488"/>
        <item t="data" sd="1" x="1113"/>
        <item t="data" sd="1" x="1731"/>
        <item t="data" sd="1" x="636"/>
        <item t="data" sd="1" m="1" x="1759"/>
        <item t="data" sd="1" x="1323"/>
        <item t="data" sd="1" x="1171"/>
        <item t="data" sd="1" m="1" x="1773"/>
        <item t="data" sd="1" x="659"/>
        <item t="data" sd="1" x="864"/>
        <item t="data" sd="1" x="927"/>
        <item t="data" sd="1" x="1169"/>
        <item t="data" sd="1" x="494"/>
        <item t="data" sd="1" x="814"/>
        <item t="data" sd="1" m="1" x="1785"/>
        <item t="data" sd="1" m="1" x="1771"/>
        <item t="data" sd="1" x="1029"/>
        <item t="data" sd="1" x="1248"/>
        <item t="data" sd="1" x="1148"/>
        <item t="data" sd="1" x="1107"/>
        <item t="data" sd="1" x="834"/>
        <item t="data" sd="1" x="1174"/>
        <item t="data" sd="1" m="1" x="1784"/>
        <item t="data" sd="1" x="693"/>
        <item t="data" sd="1" x="1238"/>
        <item t="data" sd="1" x="1181"/>
        <item t="data" sd="1" x="1190"/>
        <item t="data" sd="1" x="333"/>
        <item t="data" sd="1" x="687"/>
        <item t="data" sd="1" x="692"/>
        <item t="data" sd="1" m="1" x="1790"/>
        <item t="data" sd="1" x="1091"/>
        <item t="data" sd="1" x="1282"/>
        <item t="data" sd="1" m="1" x="1757"/>
        <item t="data" sd="1" m="1" x="1792"/>
        <item t="data" sd="1" m="1" x="1776"/>
        <item t="data" sd="1" x="912"/>
        <item t="data" sd="1" x="1556"/>
        <item t="data" sd="1" x="663"/>
        <item t="data" sd="1" x="718"/>
        <item t="data" sd="1" x="1728"/>
        <item t="data" sd="1" x="919"/>
        <item t="data" sd="1" x="808"/>
        <item t="data" sd="1" x="755"/>
        <item t="data" sd="1" x="868"/>
        <item t="data" sd="1" x="790"/>
        <item t="data" sd="1" x="697"/>
        <item t="data" sd="1" m="1" x="1737"/>
        <item t="data" sd="1" x="572"/>
        <item t="data" sd="1" x="480"/>
        <item t="data" sd="1" x="683"/>
        <item t="data" sd="1" x="655"/>
        <item t="data" sd="1" x="393"/>
        <item t="data" sd="1" x="841"/>
        <item t="data" sd="1" x="840"/>
        <item t="data" sd="1" x="622"/>
        <item t="data" sd="1" m="1" x="1801"/>
        <item t="data" sd="1" x="1357"/>
        <item t="data" sd="1" x="605"/>
        <item t="data" sd="1" x="1188"/>
        <item t="data" sd="1" x="1191"/>
        <item t="data" sd="1" x="734"/>
        <item t="data" sd="1" x="763"/>
        <item t="data" sd="1" x="1249"/>
        <item t="data" sd="1" x="743"/>
        <item t="data" sd="1" x="742"/>
        <item t="data" sd="1" x="1510"/>
        <item t="data" sd="1" x="1197"/>
        <item t="data" sd="1" x="677"/>
        <item t="data" sd="1" x="702"/>
        <item t="data" sd="1" x="775"/>
        <item t="data" sd="1" x="1546"/>
        <item t="data" sd="1" x="853"/>
        <item t="data" sd="1" x="995"/>
        <item t="data" sd="1" m="1" x="1825"/>
        <item t="data" sd="1" x="1026"/>
        <item t="data" sd="1" x="810"/>
        <item t="data" sd="1" x="762"/>
        <item t="data" sd="1" x="738"/>
        <item t="data" sd="1" x="1062"/>
        <item t="data" sd="1" x="1290"/>
        <item t="data" sd="1" x="850"/>
        <item t="data" sd="1" x="589"/>
        <item t="data" sd="1" x="1206"/>
        <item t="data" sd="1" x="1127"/>
        <item t="data" sd="1" x="1128"/>
        <item t="data" sd="1" x="550"/>
        <item t="data" sd="1" x="946"/>
        <item t="data" sd="1" m="1" x="1787"/>
        <item t="data" sd="1" x="1298"/>
        <item t="data" sd="1" x="1514"/>
        <item t="data" sd="1" x="892"/>
        <item t="data" sd="1" x="1542"/>
        <item t="data" sd="1" x="865"/>
        <item t="data" sd="1" x="719"/>
        <item t="data" sd="1" x="1232"/>
        <item t="data" sd="1" x="29"/>
        <item t="data" sd="1" x="1335"/>
        <item t="data" sd="1" m="1" x="1781"/>
        <item t="data" sd="1" x="712"/>
        <item t="data" sd="1" x="562"/>
        <item t="data" sd="1" x="1042"/>
        <item t="data" sd="1" m="1" x="1826"/>
        <item t="data" sd="1" x="661"/>
        <item t="data" sd="1" m="1" x="1748"/>
        <item t="data" sd="1" x="1727"/>
        <item t="data" sd="1" x="987"/>
        <item t="data" sd="1" x="869"/>
        <item t="data" sd="1" x="872"/>
        <item t="data" sd="1" x="546"/>
        <item t="data" sd="1" x="1126"/>
        <item t="data" sd="1" x="1043"/>
        <item t="data" sd="1" x="760"/>
        <item t="data" sd="1" x="1051"/>
        <item t="data" sd="1" m="1" x="1836"/>
        <item t="data" sd="1" x="925"/>
        <item t="data" sd="1" m="1" x="1764"/>
        <item t="data" sd="1" x="913"/>
        <item t="data" sd="1" x="862"/>
        <item t="data" sd="1" x="1016"/>
        <item t="data" sd="1" x="1125"/>
        <item t="data" sd="1" x="711"/>
        <item t="data" sd="1" x="1036"/>
        <item t="data" sd="1" x="1439"/>
        <item t="data" sd="1" x="1466"/>
        <item t="data" sd="1" m="1" x="1832"/>
        <item t="data" sd="1" x="889"/>
        <item t="data" sd="1" x="1115"/>
        <item t="data" sd="1" x="569"/>
        <item t="data" sd="1" m="1" x="1763"/>
        <item t="data" sd="1" x="1159"/>
        <item t="data" sd="1" m="1" x="1796"/>
        <item t="data" sd="1" x="1175"/>
        <item t="data" sd="1" x="618"/>
        <item t="data" sd="1" m="1" x="1772"/>
        <item t="data" sd="1" x="84"/>
        <item t="data" sd="1" m="1" x="1809"/>
        <item t="data" sd="1" x="836"/>
        <item t="data" sd="1" m="1" x="1775"/>
        <item t="data" sd="1" x="242"/>
        <item t="data" sd="1" x="6"/>
        <item t="data" sd="1" x="627"/>
        <item t="data" sd="1" x="331"/>
        <item t="data" sd="1" x="707"/>
        <item t="data" sd="1" m="1" x="1736"/>
        <item t="data" sd="1" x="1176"/>
        <item t="data" sd="1" x="1020"/>
        <item t="data" sd="1" x="1307"/>
        <item t="data" sd="1" x="1098"/>
        <item t="data" sd="1" x="770"/>
        <item t="data" sd="1" x="1201"/>
        <item t="data" sd="1" x="522"/>
        <item t="data" sd="1" x="1086"/>
        <item t="data" sd="1" x="1374"/>
        <item t="data" sd="1" x="1277"/>
        <item t="data" sd="1" x="685"/>
        <item t="data" sd="1" m="1" x="1812"/>
        <item t="data" sd="1" x="474"/>
        <item t="data" sd="1" x="399"/>
        <item t="data" sd="1" x="1590"/>
        <item t="data" sd="1" x="1613"/>
        <item t="data" sd="1" x="809"/>
        <item t="data" sd="1" m="1" x="1793"/>
        <item t="data" sd="1" x="974"/>
        <item t="data" sd="1" x="728"/>
        <item t="data" sd="1" x="1085"/>
        <item t="data" sd="1" x="1015"/>
        <item t="data" sd="1" x="59"/>
        <item t="data" sd="1" x="800"/>
        <item t="data" sd="1" x="807"/>
        <item t="data" sd="1" x="665"/>
        <item t="data" sd="1" m="1" x="1749"/>
        <item t="data" sd="1" m="1" x="1823"/>
        <item t="data" sd="1" x="670"/>
        <item t="data" sd="1" x="897"/>
        <item t="data" sd="1" x="1165"/>
        <item t="data" sd="1" x="904"/>
        <item t="data" sd="1" x="0"/>
        <item t="data" sd="1" x="328"/>
        <item t="data" sd="1" x="334"/>
        <item t="data" sd="1" x="337"/>
        <item t="data" sd="1" x="341"/>
        <item t="data" sd="1" x="342"/>
        <item t="data" sd="1" x="343"/>
        <item t="data" sd="1" x="346"/>
        <item t="data" sd="1" x="347"/>
        <item t="data" sd="1" x="348"/>
        <item t="data" sd="1" x="349"/>
        <item t="data" sd="1" x="72"/>
        <item t="data" sd="1" x="353"/>
        <item t="data" sd="1" m="1" x="1768"/>
        <item t="data" sd="1" x="119"/>
        <item t="data" sd="1" x="355"/>
        <item t="data" sd="1" x="359"/>
        <item t="data" sd="1" x="361"/>
        <item t="data" sd="1" x="365"/>
        <item t="data" sd="1" x="367"/>
        <item t="data" sd="1" x="368"/>
        <item t="data" sd="1" m="1" x="1799"/>
        <item t="data" sd="1" m="1" x="1839"/>
        <item t="data" sd="1" x="371"/>
        <item t="data" sd="1" x="374"/>
        <item t="data" sd="1" x="376"/>
        <item t="data" sd="1" x="378"/>
        <item t="data" sd="1" x="379"/>
        <item t="data" sd="1" x="381"/>
        <item t="data" sd="1" x="386"/>
        <item t="data" sd="1" x="388"/>
        <item t="data" sd="1" x="389"/>
        <item t="data" sd="1" x="390"/>
        <item t="data" sd="1" x="391"/>
        <item t="data" sd="1" x="396"/>
        <item t="data" sd="1" x="195"/>
        <item t="data" sd="1" x="397"/>
        <item t="data" sd="1" x="398"/>
        <item t="data" sd="1" x="401"/>
        <item t="data" sd="1" x="403"/>
        <item t="data" sd="1" x="319"/>
        <item t="data" sd="1" m="1" x="1818"/>
        <item t="data" sd="1" x="406"/>
        <item t="data" sd="1" x="409"/>
        <item t="data" sd="1" x="412"/>
        <item t="data" sd="1" x="413"/>
        <item t="data" sd="1" x="414"/>
        <item t="data" sd="1" x="415"/>
        <item t="data" sd="1" m="1" x="1754"/>
        <item t="data" sd="1" x="418"/>
        <item t="data" sd="1" x="421"/>
        <item t="data" sd="1" x="85"/>
        <item t="data" sd="1" x="186"/>
        <item t="data" sd="1" x="422"/>
        <item t="data" sd="1" x="408"/>
        <item t="data" sd="1" x="423"/>
        <item t="data" sd="1" x="424"/>
        <item t="data" sd="1" x="426"/>
        <item t="data" sd="1" x="427"/>
        <item t="data" sd="1" x="7"/>
        <item t="data" sd="1" x="428"/>
        <item t="data" sd="1" x="430"/>
        <item t="data" sd="1" x="431"/>
        <item t="data" sd="1" x="432"/>
        <item t="data" sd="1" x="433"/>
        <item t="data" sd="1" x="116"/>
        <item t="data" sd="1" x="434"/>
        <item t="data" sd="1" x="436"/>
        <item t="data" sd="1" x="437"/>
        <item t="data" sd="1" x="439"/>
        <item t="data" sd="1" x="245"/>
        <item t="data" sd="1" x="442"/>
        <item t="data" sd="1" x="443"/>
        <item t="data" sd="1" x="447"/>
        <item t="data" sd="1" x="450"/>
        <item t="data" sd="1" x="451"/>
        <item t="data" sd="1" x="453"/>
        <item t="data" sd="1" x="456"/>
        <item t="data" sd="1" x="457"/>
        <item t="data" sd="1" x="458"/>
        <item t="data" sd="1" x="459"/>
        <item t="data" sd="1" x="460"/>
        <item t="data" sd="1" x="461"/>
        <item t="data" sd="1" x="463"/>
        <item t="data" sd="1" x="464"/>
        <item t="data" sd="1" x="465"/>
        <item t="data" sd="1" x="466"/>
        <item t="data" sd="1" x="467"/>
        <item t="data" sd="1" x="468"/>
        <item t="data" sd="1" x="470"/>
        <item t="data" sd="1" x="472"/>
        <item t="data" sd="1" x="473"/>
        <item t="data" sd="1" x="476"/>
        <item t="data" sd="1" x="478"/>
        <item t="data" sd="1" x="481"/>
        <item t="data" sd="1" x="482"/>
        <item t="data" sd="1" x="484"/>
        <item t="data" sd="1" x="486"/>
        <item t="data" sd="1" x="488"/>
        <item t="data" sd="1" x="489"/>
        <item t="data" sd="1" x="490"/>
        <item t="data" sd="1" x="491"/>
        <item t="data" sd="1" x="492"/>
        <item t="data" sd="1" x="493"/>
        <item t="data" sd="1" m="1" x="1837"/>
        <item t="data" sd="1" x="495"/>
        <item t="data" sd="1" x="498"/>
        <item t="data" sd="1" x="499"/>
        <item t="data" sd="1" x="501"/>
        <item t="data" sd="1" x="503"/>
        <item t="data" sd="1" x="506"/>
        <item t="data" sd="1" x="509"/>
        <item t="data" sd="1" x="510"/>
        <item t="data" sd="1" x="512"/>
        <item t="data" sd="1" x="513"/>
        <item t="data" sd="1" x="514"/>
        <item t="data" sd="1" x="515"/>
        <item t="data" sd="1" m="1" x="1800"/>
        <item t="data" sd="1" x="317"/>
        <item t="data" sd="1" x="523"/>
        <item t="data" sd="1" x="525"/>
        <item t="data" sd="1" x="526"/>
        <item t="data" sd="1" x="527"/>
        <item t="data" sd="1" x="529"/>
        <item t="data" sd="1" x="531"/>
        <item t="data" sd="1" x="167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2"/>
        <item t="data" sd="1" x="544"/>
        <item t="data" sd="1" x="545"/>
        <item t="data" sd="1" x="547"/>
        <item t="data" sd="1" x="548"/>
        <item t="data" sd="1" x="549"/>
        <item t="data" sd="1" x="552"/>
        <item t="data" sd="1" x="553"/>
        <item t="data" sd="1" x="554"/>
        <item t="data" sd="1" x="555"/>
        <item t="data" sd="1" x="558"/>
        <item t="data" sd="1" x="560"/>
        <item t="data" sd="1" x="561"/>
        <item t="data" sd="1" x="565"/>
        <item t="data" sd="1" x="567"/>
        <item t="data" sd="1" x="578"/>
        <item t="data" sd="1" x="579"/>
        <item t="data" sd="1" x="580"/>
        <item t="data" sd="1" m="1" x="1777"/>
        <item t="data" sd="1" m="1" x="1789"/>
        <item t="data" sd="1" x="581"/>
        <item t="data" sd="1" x="583"/>
        <item t="data" sd="1" x="584"/>
        <item t="data" sd="1" x="585"/>
        <item t="data" sd="1" x="586"/>
        <item t="data" sd="1" x="588"/>
        <item t="data" sd="1" x="590"/>
        <item t="data" sd="1" x="592"/>
        <item t="data" sd="1" x="594"/>
        <item t="data" sd="1" x="595"/>
        <item t="data" sd="1" x="597"/>
        <item t="data" sd="1" x="599"/>
        <item t="data" sd="1" x="603"/>
        <item t="data" sd="1" x="604"/>
        <item t="data" sd="1" x="610"/>
        <item t="data" sd="1" x="612"/>
        <item t="data" sd="1" x="617"/>
        <item t="data" sd="1" x="621"/>
        <item t="data" sd="1" x="625"/>
        <item t="data" sd="1" x="632"/>
        <item t="data" sd="1" x="633"/>
        <item t="data" sd="1" x="635"/>
        <item t="data" sd="1" x="643"/>
        <item t="data" sd="1" x="644"/>
        <item t="data" sd="1" x="648"/>
        <item t="data" sd="1" x="649"/>
        <item t="data" sd="1" x="654"/>
        <item t="data" sd="1" x="667"/>
        <item t="data" sd="1" x="675"/>
        <item t="data" sd="1" x="688"/>
        <item t="data" sd="1" x="689"/>
        <item t="data" sd="1" x="690"/>
        <item t="data" sd="1" x="691"/>
        <item t="data" sd="1" x="694"/>
        <item t="data" sd="1" x="695"/>
        <item t="data" sd="1" x="698"/>
        <item t="data" sd="1" x="699"/>
        <item t="data" sd="1" x="700"/>
        <item t="data" sd="1" x="704"/>
        <item t="data" sd="1" x="706"/>
        <item t="data" sd="1" x="708"/>
        <item t="data" sd="1" x="721"/>
        <item t="data" sd="1" x="723"/>
        <item t="data" sd="1" m="1" x="1795"/>
        <item t="data" sd="1" x="730"/>
        <item t="data" sd="1" x="735"/>
        <item t="data" sd="1" x="745"/>
        <item t="data" sd="1" x="752"/>
        <item t="data" sd="1" x="761"/>
        <item t="data" sd="1" x="765"/>
        <item t="data" sd="1" x="769"/>
        <item t="data" sd="1" x="773"/>
        <item t="data" sd="1" x="774"/>
        <item t="data" sd="1" x="779"/>
        <item t="data" sd="1" x="780"/>
        <item t="data" sd="1" x="781"/>
        <item t="data" sd="1" x="782"/>
        <item t="data" sd="1" x="785"/>
        <item t="data" sd="1" x="788"/>
        <item t="data" sd="1" x="802"/>
        <item t="data" sd="1" x="804"/>
        <item t="data" sd="1" x="816"/>
        <item t="data" sd="1" x="820"/>
        <item t="data" sd="1" x="824"/>
        <item t="data" sd="1" x="825"/>
        <item t="data" sd="1" x="828"/>
        <item t="data" sd="1" x="833"/>
        <item t="data" sd="1" x="844"/>
        <item t="data" sd="1" x="845"/>
        <item t="data" sd="1" x="857"/>
        <item t="data" sd="1" x="863"/>
        <item t="data" sd="1" x="866"/>
        <item t="data" sd="1" x="870"/>
        <item t="data" sd="1" x="875"/>
        <item t="data" sd="1" x="882"/>
        <item t="data" sd="1" m="1" x="1761"/>
        <item t="data" sd="1" x="911"/>
        <item t="data" sd="1" x="916"/>
        <item t="data" sd="1" x="917"/>
        <item t="data" sd="1" x="920"/>
        <item t="data" sd="1" x="922"/>
        <item t="data" sd="1" m="1" x="1788"/>
        <item t="data" sd="1" x="926"/>
        <item t="data" sd="1" x="929"/>
        <item t="data" sd="1" x="930"/>
        <item t="data" sd="1" x="932"/>
        <item t="data" sd="1" x="934"/>
        <item t="data" sd="1" x="936"/>
        <item t="data" sd="1" x="943"/>
        <item t="data" sd="1" x="945"/>
        <item t="data" sd="1" x="947"/>
        <item t="data" sd="1" x="948"/>
        <item t="data" sd="1" x="955"/>
        <item t="data" sd="1" x="959"/>
        <item t="data" sd="1" x="967"/>
        <item t="data" sd="1" x="971"/>
        <item t="data" sd="1" x="989"/>
        <item t="data" sd="1" x="993"/>
        <item t="data" sd="1" x="998"/>
        <item t="data" sd="1" x="1010"/>
        <item t="data" sd="1" x="1011"/>
        <item t="data" sd="1" x="1013"/>
        <item t="data" sd="1" x="1019"/>
        <item t="data" sd="1" x="1023"/>
        <item t="data" sd="1" x="1031"/>
        <item t="data" sd="1" x="1037"/>
        <item t="data" sd="1" x="1038"/>
        <item t="data" sd="1" x="1040"/>
        <item t="data" sd="1" x="1044"/>
        <item t="data" sd="1" m="1" x="1797"/>
        <item t="data" sd="1" m="1" x="1782"/>
        <item t="data" sd="1" x="1065"/>
        <item t="data" sd="1" x="1070"/>
        <item t="data" sd="1" x="1073"/>
        <item t="data" sd="1" x="1079"/>
        <item t="data" sd="1" x="1082"/>
        <item t="data" sd="1" x="1084"/>
        <item t="data" sd="1" x="1088"/>
        <item t="data" sd="1" x="1090"/>
        <item t="data" sd="1" x="1092"/>
        <item t="data" sd="1" x="1093"/>
        <item t="data" sd="1" x="1097"/>
        <item t="data" sd="1" x="1105"/>
        <item t="data" sd="1" x="1116"/>
        <item t="data" sd="1" x="1123"/>
        <item t="data" sd="1" m="1" x="1752"/>
        <item t="data" sd="1" x="1136"/>
        <item t="data" sd="1" x="1138"/>
        <item t="data" sd="1" x="1146"/>
        <item t="data" sd="1" x="1147"/>
        <item t="data" sd="1" x="1152"/>
        <item t="data" sd="1" x="1155"/>
        <item t="data" sd="1" x="1157"/>
        <item t="data" sd="1" m="1" x="1821"/>
        <item t="data" sd="1" x="1163"/>
        <item t="data" sd="1" x="1168"/>
        <item t="data" sd="1" x="1177"/>
        <item t="data" sd="1" x="1185"/>
        <item t="data" sd="1" x="1189"/>
        <item t="data" sd="1" x="1192"/>
        <item t="data" sd="1" x="1194"/>
        <item t="data" sd="1" x="1218"/>
        <item t="data" sd="1" x="1219"/>
        <item t="data" sd="1" x="1224"/>
        <item t="data" sd="1" x="1225"/>
        <item t="data" sd="1" x="1233"/>
        <item t="data" sd="1" x="1237"/>
        <item t="data" sd="1" x="1244"/>
        <item t="data" sd="1" x="1252"/>
        <item t="data" sd="1" m="1" x="1815"/>
        <item t="data" sd="1" x="1259"/>
        <item t="data" sd="1" x="1262"/>
        <item t="data" sd="1" x="1269"/>
        <item t="data" sd="1" x="1271"/>
        <item t="data" sd="1" x="1280"/>
        <item t="data" sd="1" x="1284"/>
        <item t="data" sd="1" x="1304"/>
        <item t="data" sd="1" x="1309"/>
        <item t="data" sd="1" x="1316"/>
        <item t="data" sd="1" x="1326"/>
        <item t="data" sd="1" x="1332"/>
        <item t="data" sd="1" x="1333"/>
        <item t="data" sd="1" x="1334"/>
        <item t="data" sd="1" x="1336"/>
        <item t="data" sd="1" x="1338"/>
        <item t="data" sd="1" x="1340"/>
        <item t="data" sd="1" x="1346"/>
        <item t="data" sd="1" x="1351"/>
        <item t="data" sd="1" x="1354"/>
        <item t="data" sd="1" x="1355"/>
        <item t="data" sd="1" x="1356"/>
        <item t="data" sd="1" x="1371"/>
        <item t="data" sd="1" x="1376"/>
        <item t="data" sd="1" m="1" x="1814"/>
        <item t="data" sd="1" x="1394"/>
        <item t="data" sd="1" x="1395"/>
        <item t="data" sd="1" x="1396"/>
        <item t="data" sd="1" x="1403"/>
        <item t="data" sd="1" x="1408"/>
        <item t="data" sd="1" x="1444"/>
        <item t="data" sd="1" x="1452"/>
        <item t="data" sd="1" x="1470"/>
        <item t="data" sd="1" x="1460"/>
        <item t="data" sd="1" x="1476"/>
        <item t="data" sd="1" x="1497"/>
        <item t="data" sd="1" x="1506"/>
        <item t="data" sd="1" x="1507"/>
        <item t="data" sd="1" x="1511"/>
        <item t="data" sd="1" x="1512"/>
        <item t="data" sd="1" x="1515"/>
        <item t="data" sd="1" x="1519"/>
        <item t="data" sd="1" x="1520"/>
        <item t="data" sd="1" x="1523"/>
        <item t="data" sd="1" x="1534"/>
        <item t="data" sd="1" x="1541"/>
        <item t="data" sd="1" m="1" x="1819"/>
        <item t="data" sd="1" x="1543"/>
        <item t="data" sd="1" m="1" x="1808"/>
        <item t="data" sd="1" m="1" x="1742"/>
        <item t="data" sd="1" x="1553"/>
        <item t="data" sd="1" x="1554"/>
        <item t="data" sd="1" x="1594"/>
        <item t="data" sd="1" x="1596"/>
        <item t="data" sd="1" x="1597"/>
        <item t="data" sd="1" x="1611"/>
        <item t="data" sd="1" x="1621"/>
        <item t="data" sd="1" x="1644"/>
        <item t="data" sd="1" x="1662"/>
        <item t="data" sd="1" x="1672"/>
        <item t="data" sd="1" x="1683"/>
        <item t="data" sd="1" x="1567"/>
        <item t="data" sd="1" x="1688"/>
        <item t="data" sd="1" x="1254"/>
        <item t="data" sd="1" x="1697"/>
        <item t="data" sd="1" x="1702"/>
        <item t="data" sd="1" x="1707"/>
        <item t="data" sd="1" x="1710"/>
        <item t="data" sd="1" x="1730"/>
        <item t="data" sd="1" x="307"/>
        <item t="data" sd="1" x="449"/>
        <item t="data" sd="1" x="923"/>
        <item t="data" sd="1" x="1076"/>
        <item t="data" sd="1" m="1" x="1806"/>
        <item t="data" sd="1" x="66"/>
        <item t="data" sd="1" x="710"/>
        <item t="data" sd="1" x="1024"/>
        <item t="data" sd="1" x="1344"/>
        <item t="data" sd="1" x="796"/>
        <item t="data" sd="1" x="1434"/>
        <item t="data" sd="1" x="1492"/>
        <item t="data" sd="1" x="321"/>
        <item t="data" sd="1" x="395"/>
        <item t="data" sd="1" x="446"/>
        <item t="data" sd="1" x="741"/>
        <item t="data" sd="1" x="791"/>
        <item t="data" sd="1" x="883"/>
        <item t="data" sd="1" x="939"/>
        <item t="data" sd="1" x="981"/>
        <item t="data" sd="1" x="1001"/>
        <item t="data" sd="1" x="1000"/>
        <item t="data" sd="1" x="634"/>
        <item t="data" sd="1" x="1430"/>
        <item t="data" sd="1" x="1557"/>
        <item t="data" sd="1" x="407"/>
        <item t="data" sd="1" x="479"/>
        <item t="data" sd="1" x="528"/>
        <item t="data" sd="1" x="566"/>
        <item t="data" sd="1" x="601"/>
        <item t="data" sd="1" x="1314"/>
        <item t="data" sd="1" x="1410"/>
        <item t="data" sd="1" x="1715"/>
        <item t="data" sd="1" x="1521"/>
        <item t="data" sd="1" x="1575"/>
        <item t="data" sd="1" x="1619"/>
        <item t="data" sd="1" x="1663"/>
        <item t="data" sd="1" x="1713"/>
        <item t="data" sd="1" x="630"/>
        <item t="data" sd="1" x="731"/>
        <item t="data" sd="1" x="1425"/>
        <item t="data" sd="1" x="1591"/>
        <item t="data" sd="1" x="1653"/>
        <item t="data" sd="1" x="1704"/>
        <item t="data" sd="1" x="1709"/>
        <item t="data" sd="1" x="1716"/>
        <item t="data" sd="1" x="1723"/>
        <item t="data" sd="1" x="524"/>
        <item t="data" sd="1" x="727"/>
        <item t="data" sd="1" x="1412"/>
        <item t="data" sd="1" x="616"/>
        <item t="data" sd="1" x="1532"/>
        <item t="data" sd="1" x="1583"/>
        <item t="data" sd="1" x="1592"/>
        <item t="data" sd="1" x="1617"/>
        <item t="data" sd="1" x="1639"/>
        <item t="data" sd="1" x="1676"/>
        <item t="data" sd="1" x="1689"/>
        <item t="data" sd="1" x="132"/>
        <item t="data" sd="1" x="1711"/>
        <item t="data" sd="1" x="1717"/>
        <item t="data" sd="1" x="1287"/>
        <item t="data" sd="1" x="1503"/>
        <item t="data" sd="1" x="1580"/>
        <item t="data" sd="1" x="1494"/>
        <item t="data" sd="1" x="1632"/>
        <item t="data" sd="1" x="1641"/>
        <item t="data" sd="1" x="652"/>
        <item t="data" sd="1" x="771"/>
        <item t="data" sd="1" x="230"/>
        <item t="data" sd="1" x="1068"/>
        <item t="data" sd="1" x="1223"/>
        <item t="data" sd="1" x="1362"/>
        <item t="data" sd="1" x="1397"/>
        <item t="data" sd="1" x="1427"/>
        <item t="data" sd="1" x="1528"/>
        <item t="data" sd="1" x="1636"/>
        <item t="data" sd="1" x="1647"/>
        <item t="data" sd="1" x="1607"/>
        <item t="data" sd="1" x="639"/>
        <item t="data" sd="1" x="97"/>
        <item t="data" sd="1" x="722"/>
        <item t="data" sd="1" x="1080"/>
        <item t="data" sd="1" x="1217"/>
        <item t="data" sd="1" x="1321"/>
        <item t="data" sd="1" x="1324"/>
        <item t="data" sd="1" x="284"/>
        <item t="data" sd="1" x="1416"/>
        <item t="data" sd="1" x="1435"/>
        <item t="data" sd="1" x="316"/>
        <item t="data" sd="1" x="340"/>
        <item t="data" sd="1" x="366"/>
        <item t="data" sd="1" x="709"/>
        <item t="data" sd="1" x="1069"/>
        <item t="data" sd="1" x="1235"/>
        <item t="data" sd="1" x="1243"/>
        <item t="data" sd="1" x="1593"/>
        <item t="data" sd="1" x="860"/>
        <item t="data" sd="1" x="309"/>
        <item t="data" sd="1" x="311"/>
        <item t="data" sd="1" m="1" x="1786"/>
        <item t="data" sd="1" x="329"/>
        <item t="data" sd="1" x="332"/>
        <item t="data" sd="1" x="438"/>
        <item t="data" sd="1" x="516"/>
        <item t="data" sd="1" x="76"/>
        <item t="data" sd="1" x="768"/>
        <item t="data" sd="1" x="1009"/>
        <item t="data" sd="1" x="1012"/>
        <item t="data" sd="1" x="1027"/>
        <item t="data" sd="1" x="1032"/>
        <item t="data" sd="1" x="1200"/>
        <item t="data" sd="1" x="1205"/>
        <item t="data" sd="1" x="1239"/>
        <item t="data" sd="1" x="1303"/>
        <item t="data" sd="1" x="1315"/>
        <item t="data" sd="1" x="1381"/>
        <item t="data" sd="1" x="1398"/>
        <item t="data" sd="1" x="1415"/>
        <item t="data" sd="1" x="1432"/>
        <item t="data" sd="1" x="1479"/>
        <item t="data" sd="1" x="1481"/>
        <item t="data" sd="1" x="1509"/>
        <item t="data" sd="1" x="1513"/>
        <item t="data" sd="1" x="1533"/>
        <item t="data" sd="1" x="1603"/>
        <item t="data" sd="1" x="1618"/>
        <item t="data" sd="1" x="1524"/>
        <item t="data" sd="1" x="1643"/>
        <item t="data" sd="1" x="1652"/>
        <item t="data" sd="1" x="1660"/>
        <item t="data" sd="1" x="1668"/>
        <item t="data" sd="1" x="1673"/>
        <item t="data" sd="1" x="1695"/>
        <item t="data" sd="1" x="1705"/>
        <item t="data" sd="1" x="1721"/>
        <item t="data" sd="1" x="306"/>
        <item t="data" sd="1" x="314"/>
        <item t="data" sd="1" x="344"/>
        <item t="data" sd="1" x="1343"/>
        <item t="data" sd="1" x="364"/>
        <item t="data" sd="1" x="1302"/>
        <item t="data" sd="1" x="1559"/>
        <item t="data" sd="1" x="1725"/>
        <item t="data" sd="1" x="1228"/>
        <item t="data" sd="1" x="1258"/>
        <item t="data" sd="1" x="425"/>
        <item t="data" sd="1" x="315"/>
        <item t="data" sd="1" x="322"/>
        <item t="data" sd="1" x="387"/>
        <item t="data" sd="1" x="417"/>
        <item t="data" sd="1" x="483"/>
        <item t="data" sd="1" x="504"/>
        <item t="data" sd="1" x="530"/>
        <item t="data" sd="1" x="650"/>
        <item t="data" sd="1" x="1137"/>
        <item t="data" sd="1" x="1172"/>
        <item t="data" sd="1" x="1212"/>
        <item t="data" sd="1" x="1393"/>
        <item t="data" sd="1" x="1615"/>
        <item t="data" sd="1" x="1671"/>
        <item t="data" sd="1" x="1724"/>
        <item t="data" sd="1" x="508"/>
        <item t="data" sd="1" x="519"/>
        <item t="data" sd="1" x="611"/>
        <item t="data" sd="1" x="645"/>
        <item t="data" sd="1" x="907"/>
        <item t="data" sd="1" x="1014"/>
        <item t="data" sd="1" x="1213"/>
        <item t="data" sd="1" x="1301"/>
        <item t="data" sd="1" x="1386"/>
        <item t="data" sd="1" x="1463"/>
        <item t="data" sd="1" x="1482"/>
        <item t="data" sd="1" x="1483"/>
        <item t="data" sd="1" x="1508"/>
        <item t="data" sd="1" x="1518"/>
        <item t="data" sd="1" x="1529"/>
        <item t="data" sd="1" x="1550"/>
        <item t="data" sd="1" x="1568"/>
        <item t="data" sd="1" x="1578"/>
        <item t="data" sd="1" x="1625"/>
        <item t="data" sd="1" x="1628"/>
        <item t="data" sd="1" x="1638"/>
        <item t="data" sd="1" x="1654"/>
        <item t="data" sd="1" x="1685"/>
        <item t="data" sd="1" x="1691"/>
        <item t="data" sd="1" x="1696"/>
        <item t="data" sd="1" x="1706"/>
        <item t="data" sd="1" x="1708"/>
        <item t="data" sd="1" x="283"/>
        <item t="data" sd="1" x="206"/>
        <item t="data" sd="1" x="285"/>
        <item t="data" sd="1" x="287"/>
        <item t="data" sd="1" x="292"/>
        <item t="data" sd="1" x="312"/>
        <item t="data" sd="1" x="318"/>
        <item t="data" sd="1" x="323"/>
        <item t="data" sd="1" x="326"/>
        <item t="data" sd="1" x="380"/>
        <item t="data" sd="1" x="383"/>
        <item t="data" sd="1" x="402"/>
        <item t="data" sd="1" x="435"/>
        <item t="data" sd="1" x="445"/>
        <item t="data" sd="1" x="455"/>
        <item t="data" sd="1" x="477"/>
        <item t="data" sd="1" x="505"/>
        <item t="data" sd="1" x="568"/>
        <item t="data" sd="1" m="1" x="1807"/>
        <item t="data" sd="1" x="608"/>
        <item t="data" sd="1" x="676"/>
        <item t="data" sd="1" x="759"/>
        <item t="data" sd="1" x="767"/>
        <item t="data" sd="1" x="818"/>
        <item t="data" sd="1" x="921"/>
        <item t="data" sd="1" x="933"/>
        <item t="data" sd="1" x="956"/>
        <item t="data" sd="1" x="970"/>
        <item t="data" sd="1" x="978"/>
        <item t="data" sd="1" x="1028"/>
        <item t="data" sd="1" x="1052"/>
        <item t="data" sd="1" x="1061"/>
        <item t="data" sd="1" x="1067"/>
        <item t="data" sd="1" x="1078"/>
        <item t="data" sd="1" x="1077"/>
        <item t="data" sd="1" x="1094"/>
        <item t="data" sd="1" x="1122"/>
        <item t="data" sd="1" x="1166"/>
        <item t="data" sd="1" x="1170"/>
        <item t="data" sd="1" x="1178"/>
        <item t="data" sd="1" x="1242"/>
        <item t="data" sd="1" x="1272"/>
        <item t="data" sd="1" x="1273"/>
        <item t="data" sd="1" x="1276"/>
        <item t="data" sd="1" x="1286"/>
        <item t="data" sd="1" x="1296"/>
        <item t="data" sd="1" x="1300"/>
        <item t="data" sd="1" x="1325"/>
        <item t="data" sd="1" x="1368"/>
        <item t="data" sd="1" x="1399"/>
        <item t="data" sd="1" x="1404"/>
        <item t="data" sd="1" x="1406"/>
        <item t="data" sd="1" x="1423"/>
        <item t="data" sd="1" x="1441"/>
        <item t="data" sd="1" m="1" x="1743"/>
        <item t="data" sd="1" x="1445"/>
        <item t="data" sd="1" x="1461"/>
        <item t="data" sd="1" x="1464"/>
        <item t="data" sd="1" x="1474"/>
        <item t="data" sd="1" x="1477"/>
        <item t="data" sd="1" x="1478"/>
        <item t="data" sd="1" x="1484"/>
        <item t="data" sd="1" x="1498"/>
        <item t="data" sd="1" x="1539"/>
        <item t="data" sd="1" x="1558"/>
        <item t="data" sd="1" x="1560"/>
        <item t="data" sd="1" x="1589"/>
        <item t="data" sd="1" x="1600"/>
        <item t="data" sd="1" x="1612"/>
        <item t="data" sd="1" x="1620"/>
        <item t="data" sd="1" x="1633"/>
        <item t="data" sd="1" x="1648"/>
        <item t="data" sd="1" x="1664"/>
        <item t="data" sd="1" x="1670"/>
        <item t="data" sd="1" x="1682"/>
        <item t="data" sd="1" x="1684"/>
        <item t="data" sd="1" x="1687"/>
        <item t="data" sd="1" x="1692"/>
        <item t="data" sd="1" x="1693"/>
        <item t="data" sd="1" x="1694"/>
        <item t="data" sd="1" x="1720"/>
        <item t="data" sd="1" x="1722"/>
        <item t="data" sd="1" x="181"/>
        <item t="data" sd="1" x="214"/>
        <item t="data" sd="1" x="280"/>
        <item t="data" sd="1" x="392"/>
        <item t="data" sd="1" x="462"/>
        <item t="data" sd="1" x="556"/>
        <item t="data" sd="1" x="574"/>
        <item t="data" sd="1" x="598"/>
        <item t="data" sd="1" x="637"/>
        <item t="data" sd="1" x="733"/>
        <item t="data" sd="1" x="739"/>
        <item t="data" sd="1" x="798"/>
        <item t="data" sd="1" x="861"/>
        <item t="data" sd="1" x="894"/>
        <item t="data" sd="1" x="935"/>
        <item t="data" sd="1" x="1059"/>
        <item t="data" sd="1" x="1099"/>
        <item t="data" sd="1" x="1140"/>
        <item t="data" sd="1" x="1256"/>
        <item t="data" sd="1" x="1260"/>
        <item t="data" sd="1" x="1291"/>
        <item t="data" sd="1" x="1370"/>
        <item t="data" sd="1" x="1380"/>
        <item t="data" sd="1" x="1450"/>
        <item t="data" sd="1" x="1502"/>
        <item t="data" sd="1" x="1516"/>
        <item t="data" sd="1" x="1522"/>
        <item t="data" sd="1" x="1525"/>
        <item t="data" sd="1" x="1552"/>
        <item t="data" sd="1" x="1666"/>
        <item t="data" sd="1" x="258"/>
        <item t="data" sd="1" x="928"/>
        <item t="data" sd="1" x="1426"/>
        <item t="data" sd="1" x="259"/>
        <item t="data" sd="1" x="279"/>
        <item t="data" sd="1" x="288"/>
        <item t="data" sd="1" x="291"/>
        <item t="data" sd="1" x="297"/>
        <item t="data" sd="1" x="303"/>
        <item t="data" sd="1" x="305"/>
        <item t="data" sd="1" x="320"/>
        <item t="data" sd="1" x="330"/>
        <item t="data" sd="1" x="787"/>
        <item t="data" sd="1" m="1" x="1804"/>
        <item t="data" sd="1" x="1118"/>
        <item t="data" sd="1" x="1250"/>
        <item t="data" sd="1" x="1457"/>
        <item t="data" sd="1" x="969"/>
        <item t="data" sd="1" x="1436"/>
        <item t="data" sd="1" x="1549"/>
        <item t="data" sd="1" x="272"/>
        <item t="data" sd="1" m="1" x="1760"/>
        <item t="data" sd="1" x="325"/>
        <item t="data" sd="1" x="372"/>
        <item t="data" sd="1" x="441"/>
        <item t="data" sd="1" x="444"/>
        <item t="data" sd="1" x="626"/>
        <item t="data" sd="1" x="795"/>
        <item t="data" sd="1" x="803"/>
        <item t="data" sd="1" x="879"/>
        <item t="data" sd="1" x="908"/>
        <item t="data" sd="1" x="985"/>
        <item t="data" sd="1" x="1329"/>
        <item t="data" sd="1" x="1331"/>
        <item t="data" sd="1" x="1358"/>
        <item t="data" sd="1" x="1418"/>
        <item t="data" sd="1" x="1438"/>
        <item t="data" sd="1" x="1475"/>
        <item t="data" sd="1" x="1493"/>
        <item t="data" sd="1" x="1495"/>
        <item t="data" sd="1" x="1608"/>
        <item t="data" sd="1" x="1623"/>
        <item t="data" sd="1" x="1681"/>
        <item t="data" sd="1" x="1712"/>
        <item t="data" sd="1" x="223"/>
        <item t="data" sd="1" x="226"/>
        <item t="data" sd="1" x="615"/>
        <item t="data" sd="1" x="624"/>
        <item t="data" sd="1" x="1071"/>
        <item t="data" sd="1" x="1109"/>
        <item t="data" sd="1" x="1133"/>
        <item t="data" sd="1" x="1281"/>
        <item t="data" sd="1" x="1285"/>
        <item t="data" sd="1" x="1384"/>
        <item t="data" sd="1" x="1387"/>
        <item t="data" sd="1" x="1431"/>
        <item t="data" sd="1" x="1468"/>
        <item t="data" sd="1" x="1535"/>
        <item t="data" sd="1" x="1545"/>
        <item t="data" sd="1" x="1605"/>
        <item t="data" sd="1" x="1622"/>
        <item t="data" sd="1" x="1686"/>
        <item t="data" sd="1" x="251"/>
        <item t="data" sd="1" x="405"/>
        <item t="data" sd="1" x="193"/>
        <item t="data" sd="1" x="196"/>
        <item t="data" sd="1" x="212"/>
        <item t="data" sd="1" x="213"/>
        <item t="data" sd="1" x="219"/>
        <item t="data" sd="1" x="228"/>
        <item t="data" sd="1" x="243"/>
        <item t="data" sd="1" x="253"/>
        <item t="data" sd="1" x="684"/>
        <item t="data" sd="1" x="815"/>
        <item t="data" sd="1" x="842"/>
        <item t="data" sd="1" x="997"/>
        <item t="data" sd="1" x="1352"/>
        <item t="data" sd="1" x="1390"/>
        <item t="data" sd="1" x="1573"/>
        <item t="data" sd="1" x="188"/>
        <item t="data" sd="1" x="1360"/>
        <item t="data" sd="1" x="1049"/>
        <item t="data" sd="1" x="299"/>
        <item t="data" sd="1" x="1075"/>
        <item t="data" sd="1" x="1569"/>
        <item t="data" sd="1" x="1203"/>
        <item t="data" sd="1" x="177"/>
        <item t="data" sd="1" x="179"/>
        <item t="data" sd="1" x="180"/>
        <item t="data" sd="1" x="183"/>
        <item t="data" sd="1" m="1" x="1734"/>
        <item t="data" sd="1" x="191"/>
        <item t="data" sd="1" x="198"/>
        <item t="data" sd="1" x="200"/>
        <item t="data" sd="1" x="205"/>
        <item t="data" sd="1" x="208"/>
        <item t="data" sd="1" x="209"/>
        <item t="data" sd="1" m="1" x="1810"/>
        <item t="data" sd="1" x="210"/>
        <item t="data" sd="1" x="211"/>
        <item t="data" sd="1" x="217"/>
        <item t="data" sd="1" x="218"/>
        <item t="data" sd="1" x="225"/>
        <item t="data" sd="1" x="238"/>
        <item t="data" sd="1" x="452"/>
        <item t="data" sd="1" x="520"/>
        <item t="data" sd="1" x="777"/>
        <item t="data" sd="1" x="789"/>
        <item t="data" sd="1" x="942"/>
        <item t="data" sd="1" x="1631"/>
        <item t="data" sd="1" x="131"/>
        <item t="data" sd="1" x="135"/>
        <item t="data" sd="1" x="139"/>
        <item t="data" sd="1" x="143"/>
        <item t="data" sd="1" x="144"/>
        <item t="data" sd="1" x="146"/>
        <item t="data" sd="1" x="147"/>
        <item t="data" sd="1" m="1" x="1835"/>
        <item t="data" sd="1" x="150"/>
        <item t="data" sd="1" x="153"/>
        <item t="data" sd="1" x="154"/>
        <item t="data" sd="1" x="156"/>
        <item t="data" sd="1" x="157"/>
        <item t="data" sd="1" x="158"/>
        <item t="data" sd="1" x="160"/>
        <item t="data" sd="1" x="161"/>
        <item t="data" sd="1" x="162"/>
        <item t="data" sd="1" x="163"/>
        <item t="data" sd="1" x="165"/>
        <item t="data" sd="1" x="169"/>
        <item t="data" sd="1" x="170"/>
        <item t="data" sd="1" x="172"/>
        <item t="data" sd="1" x="175"/>
        <item t="data" sd="1" x="176"/>
        <item t="data" sd="1" m="1" x="1805"/>
        <item t="data" sd="1" x="187"/>
        <item t="data" sd="1" x="189"/>
        <item t="data" sd="1" x="197"/>
        <item t="data" sd="1" x="204"/>
        <item t="data" sd="1" x="220"/>
        <item t="data" sd="1" x="234"/>
        <item t="data" sd="1" x="237"/>
        <item t="data" sd="1" x="247"/>
        <item t="data" sd="1" x="254"/>
        <item t="data" sd="1" x="256"/>
        <item t="data" sd="1" x="261"/>
        <item t="data" sd="1" x="264"/>
        <item t="data" sd="1" x="267"/>
        <item t="data" sd="1" x="275"/>
        <item t="data" sd="1" x="289"/>
        <item t="data" sd="1" x="296"/>
        <item t="data" sd="1" x="302"/>
        <item t="data" sd="1" x="310"/>
        <item t="data" sd="1" x="327"/>
        <item t="data" sd="1" x="336"/>
        <item t="data" sd="1" x="350"/>
        <item t="data" sd="1" m="1" x="1750"/>
        <item t="data" sd="1" x="475"/>
        <item t="data" sd="1" x="577"/>
        <item t="data" sd="1" x="587"/>
        <item t="data" sd="1" x="609"/>
        <item t="data" sd="1" x="614"/>
        <item t="data" sd="1" x="642"/>
        <item t="data" sd="1" x="725"/>
        <item t="data" sd="1" x="729"/>
        <item t="data" sd="1" x="778"/>
        <item t="data" sd="1" x="823"/>
        <item t="data" sd="1" x="867"/>
        <item t="data" sd="1" x="898"/>
        <item t="data" sd="1" x="1002"/>
        <item t="data" sd="1" x="1017"/>
        <item t="data" sd="1" x="1041"/>
        <item t="data" sd="1" x="1047"/>
        <item t="data" sd="1" x="1216"/>
        <item t="data" sd="1" x="1227"/>
        <item t="data" sd="1" x="1364"/>
        <item t="data" sd="1" x="1372"/>
        <item t="data" sd="1" x="1429"/>
        <item t="data" sd="1" x="1440"/>
        <item t="data" sd="1" x="1547"/>
        <item t="data" sd="1" x="1574"/>
        <item t="data" sd="1" x="1624"/>
        <item t="data" sd="1" x="1629"/>
        <item t="data" sd="1" x="1635"/>
        <item t="data" sd="1" x="1637"/>
        <item t="data" sd="1" x="1699"/>
        <item t="data" sd="1" x="1729"/>
        <item t="data" sd="1" x="178"/>
        <item t="data" sd="1" x="201"/>
        <item t="data" sd="1" x="940"/>
        <item t="data" sd="1" x="1443"/>
        <item t="data" sd="1" x="46"/>
        <item t="data" sd="1" x="104"/>
        <item t="data" sd="1" x="108"/>
        <item t="data" sd="1" x="110"/>
        <item t="data" sd="1" x="111"/>
        <item t="data" sd="1" x="112"/>
        <item t="data" sd="1" x="114"/>
        <item t="data" sd="1" x="115"/>
        <item t="data" sd="1" x="120"/>
        <item t="data" sd="1" x="123"/>
        <item t="data" sd="1" x="133"/>
        <item t="data" sd="1" x="142"/>
        <item t="data" sd="1" m="1" x="1817"/>
        <item t="data" sd="1" x="416"/>
        <item t="data" sd="1" x="757"/>
        <item t="data" sd="1" x="1365"/>
        <item t="data" sd="1" x="1719"/>
        <item t="data" sd="1" x="100"/>
        <item t="data" sd="1" x="125"/>
        <item t="data" sd="1" x="137"/>
        <item t="data" sd="1" x="138"/>
        <item t="data" sd="1" x="521"/>
        <item t="data" sd="1" x="541"/>
        <item t="data" sd="1" x="839"/>
        <item t="data" sd="1" x="1072"/>
        <item t="data" sd="1" x="1667"/>
        <item t="data" sd="1" x="184"/>
        <item t="data" sd="1" x="286"/>
        <item t="data" sd="1" x="26"/>
        <item t="data" sd="1" x="239"/>
        <item t="data" sd="1" x="240"/>
        <item t="data" sd="1" x="107"/>
        <item t="data" sd="1" x="38"/>
        <item t="data" sd="1" x="715"/>
        <item t="data" sd="1" x="1033"/>
        <item t="data" sd="1" x="1144"/>
        <item t="data" sd="1" x="1500"/>
        <item t="data" sd="1" x="1531"/>
        <item t="data" sd="1" x="1640"/>
        <item t="data" sd="1" x="86"/>
        <item t="data" sd="1" x="89"/>
        <item t="data" sd="1" x="95"/>
        <item t="data" sd="1" x="98"/>
        <item t="data" sd="1" x="101"/>
        <item t="data" sd="1" x="103"/>
        <item t="data" sd="1" x="117"/>
        <item t="data" sd="1" x="124"/>
        <item t="data" sd="1" x="128"/>
        <item t="data" sd="1" x="134"/>
        <item t="data" sd="1" x="140"/>
        <item t="data" sd="1" x="145"/>
        <item t="data" sd="1" x="155"/>
        <item t="data" sd="1" x="159"/>
        <item t="data" sd="1" x="166"/>
        <item t="data" sd="1" x="168"/>
        <item t="data" sd="1" x="182"/>
        <item t="data" sd="1" x="185"/>
        <item t="data" sd="1" x="199"/>
        <item t="data" sd="1" x="207"/>
        <item t="data" sd="1" x="216"/>
        <item t="data" sd="1" x="227"/>
        <item t="data" sd="1" x="235"/>
        <item t="data" sd="1" x="241"/>
        <item t="data" sd="1" x="249"/>
        <item t="data" sd="1" x="262"/>
        <item t="data" sd="1" x="263"/>
        <item t="data" sd="1" x="269"/>
        <item t="data" sd="1" x="273"/>
        <item t="data" sd="1" x="281"/>
        <item t="data" sd="1" x="293"/>
        <item t="data" sd="1" x="335"/>
        <item t="data" sd="1" x="357"/>
        <item t="data" sd="1" x="360"/>
        <item t="data" sd="1" x="419"/>
        <item t="data" sd="1" x="517"/>
        <item t="data" sd="1" x="717"/>
        <item t="data" sd="1" x="744"/>
        <item t="data" sd="1" x="746"/>
        <item t="data" sd="1" x="812"/>
        <item t="data" sd="1" x="859"/>
        <item t="data" sd="1" m="1" x="1778"/>
        <item t="data" sd="1" x="1007"/>
        <item t="data" sd="1" x="1021"/>
        <item t="data" sd="1" x="1053"/>
        <item t="data" sd="1" x="1162"/>
        <item t="data" sd="1" x="1186"/>
        <item t="data" sd="1" x="1308"/>
        <item t="data" sd="1" x="1310"/>
        <item t="data" sd="1" x="1363"/>
        <item t="data" sd="1" m="1" x="1831"/>
        <item t="data" sd="1" x="1402"/>
        <item t="data" sd="1" x="1411"/>
        <item t="data" sd="1" x="1414"/>
        <item t="data" sd="1" x="1421"/>
        <item t="data" sd="1" x="1446"/>
        <item t="data" sd="1" x="1454"/>
        <item t="data" sd="1" x="1486"/>
        <item t="data" sd="1" x="1501"/>
        <item t="data" sd="1" x="1548"/>
        <item t="data" sd="1" x="1577"/>
        <item t="data" sd="1" x="1602"/>
        <item t="data" sd="1" x="1627"/>
        <item t="data" sd="1" x="1630"/>
        <item t="data" sd="1" x="1649"/>
        <item t="data" sd="1" x="1658"/>
        <item t="data" sd="1" x="1674"/>
        <item t="data" sd="1" x="1698"/>
        <item t="data" sd="1" x="756"/>
        <item t="data" sd="1" x="783"/>
        <item t="data" sd="1" x="887"/>
        <item t="data" sd="1" x="902"/>
        <item t="data" sd="1" x="905"/>
        <item t="data" sd="1" x="909"/>
        <item t="data" sd="1" x="915"/>
        <item t="data" sd="1" x="952"/>
        <item t="data" sd="1" x="966"/>
        <item t="data" sd="1" x="1267"/>
        <item t="data" sd="1" x="1584"/>
        <item t="data" sd="1" x="75"/>
        <item t="data" sd="1" x="192"/>
        <item t="data" sd="1" x="990"/>
        <item t="data" sd="1" x="994"/>
        <item t="data" sd="1" x="1004"/>
        <item t="data" sd="1" x="1006"/>
        <item t="data" sd="1" x="1018"/>
        <item t="data" sd="1" x="1048"/>
        <item t="data" sd="1" x="1054"/>
        <item t="data" sd="1" x="1066"/>
        <item t="data" sd="1" x="1081"/>
        <item t="data" sd="1" x="1104"/>
        <item t="data" sd="1" x="1114"/>
        <item t="data" sd="1" x="1124"/>
        <item t="data" sd="1" x="1134"/>
        <item t="data" sd="1" x="1135"/>
        <item t="data" sd="1" x="1141"/>
        <item t="data" sd="1" x="1151"/>
        <item t="data" sd="1" x="1150"/>
        <item t="data" sd="1" x="1154"/>
        <item t="data" sd="1" x="1161"/>
        <item t="data" sd="1" x="1193"/>
        <item t="data" sd="1" x="1266"/>
        <item t="data" sd="1" x="1485"/>
        <item t="data" sd="1" x="1491"/>
        <item t="data" sd="1" x="1544"/>
        <item t="data" sd="1" x="1555"/>
        <item t="data" sd="1" x="1566"/>
        <item t="data" sd="1" x="1601"/>
        <item t="data" sd="1" x="1606"/>
        <item t="data" sd="1" x="80"/>
        <item t="data" sd="1" x="351"/>
        <item t="data" sd="1" x="871"/>
        <item t="data" sd="1" x="1240"/>
        <item t="data" sd="1" x="1251"/>
        <item t="data" sd="1" x="1255"/>
        <item t="data" sd="1" x="1275"/>
        <item t="data" sd="1" x="1299"/>
        <item t="data" sd="1" x="1327"/>
        <item t="data" sd="1" x="1349"/>
        <item t="data" sd="1" x="1388"/>
        <item t="data" sd="1" x="1391"/>
        <item t="data" sd="1" x="1467"/>
        <item t="data" sd="1" x="1642"/>
        <item t="data" sd="1" x="64"/>
        <item t="data" sd="1" x="69"/>
        <item t="data" sd="1" x="70"/>
        <item t="data" sd="1" x="73"/>
        <item t="data" sd="1" x="77"/>
        <item t="data" sd="1" x="78"/>
        <item t="data" sd="1" x="79"/>
        <item t="data" sd="1" x="82"/>
        <item t="data" sd="1" x="83"/>
        <item t="data" sd="1" x="87"/>
        <item t="data" sd="1" x="90"/>
        <item t="data" sd="1" x="99"/>
        <item t="data" sd="1" x="113"/>
        <item t="data" sd="1" x="118"/>
        <item t="data" sd="1" x="126"/>
        <item t="data" sd="1" x="130"/>
        <item t="data" sd="1" x="148"/>
        <item t="data" sd="1" x="149"/>
        <item t="data" sd="1" x="233"/>
        <item t="data" sd="1" x="248"/>
        <item t="data" sd="1" x="271"/>
        <item t="data" sd="1" x="811"/>
        <item t="data" sd="1" x="979"/>
        <item t="data" sd="1" x="1035"/>
        <item t="data" sd="1" x="1046"/>
        <item t="data" sd="1" x="1087"/>
        <item t="data" sd="1" x="1095"/>
        <item t="data" sd="1" x="1131"/>
        <item t="data" sd="1" x="958"/>
        <item t="data" sd="1" x="1241"/>
        <item t="data" sd="1" x="1245"/>
        <item t="data" sd="1" x="1339"/>
        <item t="data" sd="1" x="1342"/>
        <item t="data" sd="1" x="1347"/>
        <item t="data" sd="1" x="1348"/>
        <item t="data" sd="1" x="1353"/>
        <item t="data" sd="1" x="1367"/>
        <item t="data" sd="1" x="1420"/>
        <item t="data" sd="1" x="1462"/>
        <item t="data" sd="1" x="1480"/>
        <item t="data" sd="1" x="1487"/>
        <item t="data" sd="1" x="1490"/>
        <item t="data" sd="1" x="1517"/>
        <item t="data" sd="1" x="1526"/>
        <item t="data" sd="1" x="1527"/>
        <item t="data" sd="1" x="1562"/>
        <item t="data" sd="1" x="1571"/>
        <item t="data" sd="1" x="1585"/>
        <item t="data" sd="1" x="1586"/>
        <item t="data" sd="1" x="1604"/>
        <item t="data" sd="1" x="1610"/>
        <item t="data" sd="1" x="1616"/>
        <item t="data" sd="1" x="1646"/>
        <item t="data" sd="1" x="1650"/>
        <item t="data" sd="1" x="1655"/>
        <item t="data" sd="1" x="1657"/>
        <item t="data" sd="1" x="1659"/>
        <item t="data" sd="1" x="1678"/>
        <item t="data" sd="1" m="1" x="1767"/>
        <item t="data" sd="1" x="1700"/>
        <item t="data" sd="1" x="1714"/>
        <item t="data" sd="1" x="1718"/>
        <item t="data" sd="1" x="1208"/>
        <item t="data" sd="1" x="1274"/>
        <item t="data" sd="1" x="1293"/>
        <item t="data" sd="1" x="1311"/>
        <item t="data" sd="1" x="1361"/>
        <item t="data" sd="1" x="1400"/>
        <item t="data" sd="1" x="1582"/>
        <item t="data" sd="1" x="1576"/>
        <item t="data" sd="1" x="1677"/>
        <item t="data" sd="1" x="1055"/>
        <item t="data" sd="1" x="1392"/>
        <item t="data" sd="1" x="1540"/>
        <item t="data" sd="1" x="1581"/>
        <item t="data" sd="1" x="1587"/>
        <item t="data" sd="1" x="1675"/>
        <item t="data" sd="1" m="1" x="1822"/>
        <item t="data" sd="1" x="797"/>
        <item t="data" sd="1" x="799"/>
        <item t="data" sd="1" x="973"/>
        <item t="data" sd="1" x="1003"/>
        <item t="data" sd="1" x="1008"/>
        <item t="data" sd="1" m="1" x="1744"/>
        <item t="data" sd="1" x="1112"/>
        <item t="data" sd="1" x="1246"/>
        <item t="data" sd="1" x="1350"/>
        <item t="data" sd="1" x="1382"/>
        <item t="data" sd="1" x="1424"/>
        <item t="data" sd="1" x="1651"/>
        <item t="data" sd="1" x="944"/>
        <item t="data" sd="1" x="1121"/>
        <item t="data" sd="1" x="1538"/>
        <item t="data" sd="1" m="1" x="1765"/>
        <item t="data" sd="1" x="963"/>
        <item t="data" sd="1" x="1005"/>
        <item t="data" sd="1" x="194"/>
        <item t="data" sd="1" x="660"/>
        <item t="data" sd="1" x="819"/>
        <item t="data" sd="1" x="1030"/>
        <item t="data" sd="1" x="1226"/>
        <item t="data" sd="1" x="1289"/>
        <item t="data" sd="1" x="1536"/>
        <item t="data" sd="1" x="102"/>
        <item t="data" sd="1" x="576"/>
        <item t="data" sd="1" x="900"/>
        <item t="data" sd="1" x="961"/>
        <item t="data" sd="1" x="977"/>
        <item t="data" sd="1" x="1253"/>
        <item t="data" sd="1" x="1320"/>
        <item t="data" sd="1" x="1366"/>
        <item t="data" sd="1" x="1389"/>
        <item t="data" sd="1" x="1453"/>
        <item t="data" sd="1" x="1456"/>
        <item t="data" sd="1" x="1504"/>
        <item t="data" sd="1" x="736"/>
        <item t="data" sd="1" x="1656"/>
        <item t="data" sd="1" x="232"/>
        <item t="data" sd="1" x="1182"/>
        <item t="data" sd="1" x="1405"/>
        <item t="data" sd="1" x="1442"/>
        <item t="data" sd="1" x="1451"/>
        <item t="data" sd="1" x="1499"/>
        <item t="data" sd="1" x="1595"/>
        <item t="data" sd="1" x="1609"/>
        <item t="data" sd="1" x="1626"/>
        <item t="data" sd="1" x="1679"/>
        <item t="data" sd="1" x="1701"/>
        <item t="data" sd="1" x="56"/>
        <item t="data" sd="1" x="964"/>
        <item t="data" sd="1" x="50"/>
        <item t="data" sd="1" x="1102"/>
        <item t="data" sd="1" x="1680"/>
        <item t="data" sd="1" x="1375"/>
        <item t="data" sd="1" x="1156"/>
        <item t="data" sd="1" x="1419"/>
        <item t="data" sd="1" x="1564"/>
        <item t="data" sd="1" x="96"/>
        <item t="data" sd="1" x="57"/>
        <item t="data" sd="1" x="751"/>
        <item t="data" sd="1" x="1561"/>
        <item t="data" sd="1" x="954"/>
        <item t="data" sd="1" x="1465"/>
        <item t="data" sd="1" x="1473"/>
        <item t="data" sd="1" x="313"/>
        <item t="data" sd="1" x="65"/>
        <item t="data" sd="1" x="215"/>
        <item t="data" sd="1" x="63"/>
        <item t="data" sd="1" x="39"/>
        <item t="data" sd="1" x="43"/>
        <item t="data" sd="1" x="44"/>
        <item t="data" sd="1" x="47"/>
        <item t="data" sd="1" x="49"/>
        <item t="data" sd="1" x="52"/>
        <item t="data" sd="1" x="53"/>
        <item t="data" sd="1" x="58"/>
        <item t="data" sd="1" x="60"/>
        <item t="data" sd="1" x="67"/>
        <item t="data" sd="1" x="81"/>
        <item t="data" sd="1" x="88"/>
        <item t="data" sd="1" x="91"/>
        <item t="data" sd="1" x="93"/>
        <item t="data" sd="1" x="94"/>
        <item t="data" sd="1" x="105"/>
        <item t="data" sd="1" x="109"/>
        <item t="data" sd="1" x="121"/>
        <item t="data" sd="1" x="129"/>
        <item t="data" sd="1" x="136"/>
        <item t="data" sd="1" x="152"/>
        <item t="data" sd="1" x="151"/>
        <item t="data" sd="1" x="171"/>
        <item t="data" sd="1" x="190"/>
        <item t="data" sd="1" x="202"/>
        <item t="data" sd="1" x="221"/>
        <item t="data" sd="1" x="222"/>
        <item t="data" sd="1" x="224"/>
        <item t="data" sd="1" x="236"/>
        <item t="data" sd="1" x="244"/>
        <item t="data" sd="1" x="246"/>
        <item t="data" sd="1" x="250"/>
        <item t="data" sd="1" x="252"/>
        <item t="data" sd="1" x="255"/>
        <item t="data" sd="1" x="260"/>
        <item t="data" sd="1" x="266"/>
        <item t="data" sd="1" x="270"/>
        <item t="data" sd="1" x="268"/>
        <item t="data" sd="1" x="274"/>
        <item t="data" sd="1" x="276"/>
        <item t="data" sd="1" x="277"/>
        <item t="data" sd="1" x="278"/>
        <item t="data" sd="1" x="282"/>
        <item t="data" sd="1" x="290"/>
        <item t="data" sd="1" x="294"/>
        <item t="data" sd="1" x="295"/>
        <item t="data" sd="1" x="298"/>
        <item t="data" sd="1" x="300"/>
        <item t="data" sd="1" x="301"/>
        <item t="data" sd="1" x="304"/>
        <item t="data" sd="1" x="338"/>
        <item t="data" sd="1" x="339"/>
        <item t="data" sd="1" x="345"/>
        <item t="data" sd="1" x="363"/>
        <item t="data" sd="1" x="362"/>
        <item t="data" sd="1" x="370"/>
        <item t="data" sd="1" x="375"/>
        <item t="data" sd="1" x="377"/>
        <item t="data" sd="1" x="382"/>
        <item t="data" sd="1" x="384"/>
        <item t="data" sd="1" x="385"/>
        <item t="data" sd="1" x="394"/>
        <item t="data" sd="1" x="404"/>
        <item t="data" sd="1" x="410"/>
        <item t="data" sd="1" x="420"/>
        <item t="data" sd="1" x="448"/>
        <item t="data" sd="1" x="511"/>
        <item t="data" sd="1" x="557"/>
        <item t="data" sd="1" x="573"/>
        <item t="data" sd="1" x="582"/>
        <item t="data" sd="1" x="646"/>
        <item t="data" sd="1" x="686"/>
        <item t="data" sd="1" x="714"/>
        <item t="data" sd="1" x="747"/>
        <item t="data" sd="1" x="776"/>
        <item t="data" sd="1" x="817"/>
        <item t="data" sd="1" x="877"/>
        <item t="data" sd="1" x="938"/>
        <item t="data" sd="1" x="984"/>
        <item t="data" sd="1" x="992"/>
        <item t="data" sd="1" x="1050"/>
        <item t="data" sd="1" x="1130"/>
        <item t="data" sd="1" x="1132"/>
        <item t="data" sd="1" x="1149"/>
        <item t="data" sd="1" x="1153"/>
        <item t="data" sd="1" x="1204"/>
        <item t="data" sd="1" x="1236"/>
        <item t="data" sd="1" x="1294"/>
        <item t="data" sd="1" x="1295"/>
        <item t="data" sd="1" x="1317"/>
        <item t="data" sd="1" x="1359"/>
        <item t="data" sd="1" x="1373"/>
        <item t="data" sd="1" x="1378"/>
        <item t="data" sd="1" x="1383"/>
        <item t="data" sd="1" x="1417"/>
        <item t="data" sd="1" x="1433"/>
        <item t="data" sd="1" x="1449"/>
        <item t="data" sd="1" x="1455"/>
        <item t="data" sd="1" x="1489"/>
        <item t="data" sd="1" x="1537"/>
        <item t="data" sd="1" x="1551"/>
        <item t="data" sd="1" x="1563"/>
        <item t="data" sd="1" x="1570"/>
        <item t="data" sd="1" x="1572"/>
        <item t="data" sd="1" x="1579"/>
        <item t="data" sd="1" x="1588"/>
        <item t="data" sd="1" x="1598"/>
        <item t="data" sd="1" x="1614"/>
        <item t="data" sd="1" x="1634"/>
        <item t="data" sd="1" x="1645"/>
        <item t="data" sd="1" x="1661"/>
        <item t="data" sd="1" x="1669"/>
        <item t="data" sd="1" x="1703"/>
        <item t="data" sd="1" x="30"/>
        <item t="data" sd="1" x="34"/>
        <item t="data" sd="1" x="33"/>
        <item t="data" sd="1" x="48"/>
        <item t="data" sd="1" x="61"/>
        <item t="data" sd="1" x="74"/>
        <item t="data" sd="1" x="106"/>
        <item t="data" sd="1" x="231"/>
        <item t="data" sd="1" x="257"/>
        <item t="data" sd="1" x="373"/>
        <item t="data" sd="1" x="400"/>
        <item t="data" sd="1" x="487"/>
        <item t="data" sd="1" x="596"/>
        <item t="data" sd="1" x="674"/>
        <item t="data" sd="1" x="991"/>
        <item t="data" sd="1" x="1409"/>
        <item t="data" sd="1" x="1422"/>
        <item t="data" sd="1" x="1505"/>
        <item t="data" sd="1" x="1530"/>
        <item t="data" sd="1" x="1665"/>
        <item t="data" sd="1" x="4"/>
        <item t="data" sd="1" x="5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7"/>
        <item t="data" sd="1" x="28"/>
        <item t="data" sd="1" x="31"/>
        <item t="data" sd="1" x="32"/>
        <item t="data" sd="1" x="35"/>
        <item t="data" sd="1" x="36"/>
        <item t="data" sd="1" x="37"/>
        <item t="data" sd="1" x="40"/>
        <item t="data" sd="1" x="41"/>
        <item t="data" sd="1" x="45"/>
        <item t="data" sd="1" x="55"/>
        <item t="data" sd="1" x="92"/>
        <item t="data" sd="1" x="122"/>
        <item t="data" sd="1" x="203"/>
        <item t="data" sd="1" x="324"/>
        <item t="data" sd="1" x="352"/>
        <item t="data" sd="1" x="356"/>
        <item t="data" sd="1" x="358"/>
        <item t="data" sd="1" x="369"/>
        <item t="data" sd="1" x="411"/>
        <item t="data" sd="1" x="454"/>
        <item t="data" sd="1" x="471"/>
        <item t="data" sd="1" x="507"/>
        <item t="data" sd="1" x="543"/>
        <item t="data" sd="1" x="1142"/>
        <item t="data" sd="1" x="1407"/>
        <item t="data" sd="1" x="1437"/>
        <item t="data" sd="1" x="1458"/>
        <item t="data" sd="1" x="156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1"/>
  </rowFields>
  <rowItems count="1734">
    <i t="data" r="0" i="0">
      <x v="47"/>
    </i>
    <i t="data" r="0" i="0">
      <x v="486"/>
    </i>
    <i t="data" r="0" i="0">
      <x v="863"/>
    </i>
    <i t="data" r="0" i="0">
      <x v="298"/>
    </i>
    <i t="data" r="0" i="0">
      <x v="122"/>
    </i>
    <i t="data" r="0" i="0">
      <x v="354"/>
    </i>
    <i t="data" r="0" i="0">
      <x v="444"/>
    </i>
    <i t="data" r="0" i="0">
      <x v="130"/>
    </i>
    <i t="data" r="0" i="0">
      <x v="159"/>
    </i>
    <i t="data" r="0" i="0">
      <x v="1350"/>
    </i>
    <i t="data" r="0" i="0">
      <x v="163"/>
    </i>
    <i t="data" r="0" i="0">
      <x v="94"/>
    </i>
    <i t="data" r="0" i="0">
      <x v="719"/>
    </i>
    <i t="data" r="0" i="0">
      <x v="187"/>
    </i>
    <i t="data" r="0" i="0">
      <x v="472"/>
    </i>
    <i t="data" r="0" i="0">
      <x v="457"/>
    </i>
    <i t="data" r="0" i="0">
      <x v="338"/>
    </i>
    <i t="data" r="0" i="0">
      <x v="448"/>
    </i>
    <i t="data" r="0" i="0">
      <x v="169"/>
    </i>
    <i t="data" r="0" i="0">
      <x v="466"/>
    </i>
    <i t="data" r="0" i="0">
      <x v="410"/>
    </i>
    <i t="data" r="0" i="0">
      <x v="9"/>
    </i>
    <i t="data" r="0" i="0">
      <x v="467"/>
    </i>
    <i t="data" r="0" i="0">
      <x v="371"/>
    </i>
    <i t="data" r="0" i="0">
      <x v="889"/>
    </i>
    <i t="data" r="0" i="0">
      <x v="218"/>
    </i>
    <i t="data" r="0" i="0">
      <x v="462"/>
    </i>
    <i t="data" r="0" i="0">
      <x v="537"/>
    </i>
    <i t="data" r="0" i="0">
      <x v="19"/>
    </i>
    <i t="data" r="0" i="0">
      <x v="1130"/>
    </i>
    <i t="data" r="0" i="0">
      <x v="545"/>
    </i>
    <i t="data" r="0" i="0">
      <x v="497"/>
    </i>
    <i t="data" r="0" i="0">
      <x v="500"/>
    </i>
    <i t="data" r="0" i="0">
      <x v="63"/>
    </i>
    <i t="data" r="0" i="0">
      <x v="1540"/>
    </i>
    <i t="data" r="0" i="0">
      <x v="963"/>
    </i>
    <i t="data" r="0" i="0">
      <x v="1048"/>
    </i>
    <i t="data" r="0" i="0">
      <x v="850"/>
    </i>
    <i t="data" r="0" i="0">
      <x v="536"/>
    </i>
    <i t="data" r="0" i="0">
      <x v="422"/>
    </i>
    <i t="data" r="0" i="0">
      <x v="362"/>
    </i>
    <i t="data" r="0" i="0">
      <x v="449"/>
    </i>
    <i t="data" r="0" i="0">
      <x v="54"/>
    </i>
    <i t="data" r="0" i="0">
      <x v="67"/>
    </i>
    <i t="data" r="0" i="0">
      <x v="1382"/>
    </i>
    <i t="data" r="0" i="0">
      <x v="834"/>
    </i>
    <i t="data" r="0" i="0">
      <x v="720"/>
    </i>
    <i t="data" r="0" i="0">
      <x v="852"/>
    </i>
    <i t="data" r="0" i="0">
      <x v="526"/>
    </i>
    <i t="data" r="0" i="0">
      <x v="532"/>
    </i>
    <i t="data" r="0" i="0">
      <x v="260"/>
    </i>
    <i t="data" r="0" i="0">
      <x v="246"/>
    </i>
    <i t="data" r="0" i="0">
      <x v="18"/>
    </i>
    <i t="data" r="0" i="0">
      <x v="139"/>
    </i>
    <i t="data" r="0" i="0">
      <x v="1305"/>
    </i>
    <i t="data" r="0" i="0">
      <x v="1378"/>
    </i>
    <i t="data" r="0" i="0">
      <x v="930"/>
    </i>
    <i t="data" r="0" i="0">
      <x v="916"/>
    </i>
    <i t="data" r="0" i="0">
      <x v="704"/>
    </i>
    <i t="data" r="0" i="0">
      <x v="936"/>
    </i>
    <i t="data" r="0" i="0">
      <x v="528"/>
    </i>
    <i t="data" r="0" i="0">
      <x v="405"/>
    </i>
    <i t="data" r="0" i="0">
      <x v="513"/>
    </i>
    <i t="data" r="0" i="0">
      <x v="551"/>
    </i>
    <i t="data" r="0" i="0">
      <x v="538"/>
    </i>
    <i t="data" r="0" i="0">
      <x v="477"/>
    </i>
    <i t="data" r="0" i="0">
      <x v="621"/>
    </i>
    <i t="data" r="0" i="0">
      <x v="611"/>
    </i>
    <i t="data" r="0" i="0">
      <x v="221"/>
    </i>
    <i t="data" r="0" i="0">
      <x v="262"/>
    </i>
    <i t="data" r="0" i="0">
      <x v="259"/>
    </i>
    <i t="data" r="0" i="0">
      <x v="8"/>
    </i>
    <i t="data" r="0" i="0">
      <x v="36"/>
    </i>
    <i t="data" r="0" i="0">
      <x v="81"/>
    </i>
    <i t="data" r="0" i="0">
      <x v="13"/>
    </i>
    <i t="data" r="0" i="0">
      <x v="126"/>
    </i>
    <i t="data" r="0" i="0">
      <x v="61"/>
    </i>
    <i t="data" r="0" i="0">
      <x v="142"/>
    </i>
    <i t="data" r="0" i="0">
      <x v="143"/>
    </i>
    <i t="data" r="0" i="0">
      <x v="183"/>
    </i>
    <i t="data" r="0" i="0">
      <x v="1710"/>
    </i>
    <i t="data" r="0" i="0">
      <x v="1678"/>
    </i>
    <i t="data" r="0" i="0">
      <x v="1756"/>
    </i>
    <i t="data" r="0" i="0">
      <x v="1581"/>
    </i>
    <i t="data" r="0" i="0">
      <x v="1705"/>
    </i>
    <i t="data" r="0" i="0">
      <x v="1593"/>
    </i>
    <i t="data" r="0" i="0">
      <x v="1746"/>
    </i>
    <i t="data" r="0" i="0">
      <x v="1616"/>
    </i>
    <i t="data" r="0" i="0">
      <x v="1623"/>
    </i>
    <i t="data" r="0" i="0">
      <x v="1808"/>
    </i>
    <i t="data" r="0" i="0">
      <x v="1442"/>
    </i>
    <i t="data" r="0" i="0">
      <x v="1335"/>
    </i>
    <i t="data" r="0" i="0">
      <x v="1493"/>
    </i>
    <i t="data" r="0" i="0">
      <x v="1265"/>
    </i>
    <i t="data" r="0" i="0">
      <x v="1541"/>
    </i>
    <i t="data" r="0" i="0">
      <x v="1528"/>
    </i>
    <i t="data" r="0" i="0">
      <x v="1466"/>
    </i>
    <i t="data" r="0" i="0">
      <x v="1261"/>
    </i>
    <i t="data" r="0" i="0">
      <x v="1343"/>
    </i>
    <i t="data" r="0" i="0">
      <x v="1396"/>
    </i>
    <i t="data" r="0" i="0">
      <x v="1398"/>
    </i>
    <i t="data" r="0" i="0">
      <x v="1129"/>
    </i>
    <i t="data" r="0" i="0">
      <x v="1021"/>
    </i>
    <i t="data" r="0" i="0">
      <x v="1141"/>
    </i>
    <i t="data" r="0" i="0">
      <x v="1024"/>
    </i>
    <i t="data" r="0" i="0">
      <x v="1221"/>
    </i>
    <i t="data" r="0" i="0">
      <x v="1033"/>
    </i>
    <i t="data" r="0" i="0">
      <x v="1007"/>
    </i>
    <i t="data" r="0" i="0">
      <x v="1154"/>
    </i>
    <i t="data" r="0" i="0">
      <x v="1145"/>
    </i>
    <i t="data" r="0" i="0">
      <x v="1206"/>
    </i>
    <i t="data" r="0" i="0">
      <x v="1060"/>
    </i>
    <i t="data" r="0" i="0">
      <x v="1208"/>
    </i>
    <i t="data" r="0" i="0">
      <x v="1053"/>
    </i>
    <i t="data" r="0" i="0">
      <x v="1216"/>
    </i>
    <i t="data" r="0" i="0">
      <x v="703"/>
    </i>
    <i t="data" r="0" i="0">
      <x v="822"/>
    </i>
    <i t="data" r="0" i="0">
      <x v="901"/>
    </i>
    <i t="data" r="0" i="0">
      <x v="707"/>
    </i>
    <i t="data" r="0" i="0">
      <x v="816"/>
    </i>
    <i t="data" r="0" i="0">
      <x v="908"/>
    </i>
    <i t="data" r="0" i="0">
      <x v="893"/>
    </i>
    <i t="data" r="0" i="0">
      <x v="828"/>
    </i>
    <i t="data" r="0" i="0">
      <x v="840"/>
    </i>
    <i t="data" r="0" i="0">
      <x v="927"/>
    </i>
    <i t="data" r="0" i="0">
      <x v="922"/>
    </i>
    <i t="data" r="0" i="0">
      <x v="938"/>
    </i>
    <i t="data" r="0" i="0">
      <x v="928"/>
    </i>
    <i t="data" r="0" i="0">
      <x v="696"/>
    </i>
    <i t="data" r="0" i="0">
      <x v="932"/>
    </i>
    <i t="data" r="0" i="0">
      <x v="880"/>
    </i>
    <i t="data" r="0" i="0">
      <x v="882"/>
    </i>
    <i t="data" r="0" i="0">
      <x v="944"/>
    </i>
    <i t="data" r="0" i="0">
      <x v="858"/>
    </i>
    <i t="data" r="0" i="0">
      <x v="955"/>
    </i>
    <i t="data" r="0" i="0">
      <x v="540"/>
    </i>
    <i t="data" r="0" i="0">
      <x v="576"/>
    </i>
    <i t="data" r="0" i="0">
      <x v="428"/>
    </i>
    <i t="data" r="0" i="0">
      <x v="367"/>
    </i>
    <i t="data" r="0" i="0">
      <x v="418"/>
    </i>
    <i t="data" r="0" i="0">
      <x v="454"/>
    </i>
    <i t="data" r="0" i="0">
      <x v="547"/>
    </i>
    <i t="data" r="0" i="0">
      <x v="348"/>
    </i>
    <i t="data" r="0" i="0">
      <x v="556"/>
    </i>
    <i t="data" r="0" i="0">
      <x v="470"/>
    </i>
    <i t="data" r="0" i="0">
      <x v="446"/>
    </i>
    <i t="data" r="0" i="0">
      <x v="609"/>
    </i>
    <i t="data" r="0" i="0">
      <x v="358"/>
    </i>
    <i t="data" r="0" i="0">
      <x v="368"/>
    </i>
    <i t="data" r="0" i="0">
      <x v="355"/>
    </i>
    <i t="data" r="0" i="0">
      <x v="336"/>
    </i>
    <i t="data" r="0" i="0">
      <x v="550"/>
    </i>
    <i t="data" r="0" i="0">
      <x v="372"/>
    </i>
    <i t="data" r="0" i="0">
      <x v="554"/>
    </i>
    <i t="data" r="0" i="0">
      <x v="521"/>
    </i>
    <i t="data" r="0" i="0">
      <x v="562"/>
    </i>
    <i t="data" r="0" i="0">
      <x v="378"/>
    </i>
    <i t="data" r="0" i="0">
      <x v="604"/>
    </i>
    <i t="data" r="0" i="0">
      <x v="361"/>
    </i>
    <i t="data" r="0" i="0">
      <x v="409"/>
    </i>
    <i t="data" r="0" i="0">
      <x v="476"/>
    </i>
    <i t="data" r="0" i="0">
      <x v="492"/>
    </i>
    <i t="data" r="0" i="0">
      <x v="212"/>
    </i>
    <i t="data" r="0" i="0">
      <x v="118"/>
    </i>
    <i t="data" r="0" i="0">
      <x v="241"/>
    </i>
    <i t="data" r="0" i="0">
      <x v="321"/>
    </i>
    <i t="data" r="0" i="0">
      <x v="266"/>
    </i>
    <i t="data" r="0" i="0">
      <x v="140"/>
    </i>
    <i t="data" r="0" i="0">
      <x v="12"/>
    </i>
    <i t="data" r="0" i="0">
      <x v="141"/>
    </i>
    <i t="data" r="0" i="0">
      <x v="251"/>
    </i>
    <i t="data" r="0" i="0">
      <x v="83"/>
    </i>
    <i t="data" r="0" i="0">
      <x v="80"/>
    </i>
    <i t="data" r="0" i="0">
      <x v="86"/>
    </i>
    <i t="data" r="0" i="0">
      <x v="133"/>
    </i>
    <i t="data" r="0" i="0">
      <x v="26"/>
    </i>
    <i t="data" r="0" i="0">
      <x v="46"/>
    </i>
    <i t="data" r="0" i="0">
      <x v="30"/>
    </i>
    <i t="data" r="0" i="0">
      <x v="234"/>
    </i>
    <i t="data" r="0" i="0">
      <x v="17"/>
    </i>
    <i t="data" r="0" i="0">
      <x v="117"/>
    </i>
    <i t="data" r="0" i="0">
      <x v="186"/>
    </i>
    <i t="data" r="0" i="0">
      <x v="254"/>
    </i>
    <i t="data" r="0" i="0">
      <x v="90"/>
    </i>
    <i t="data" r="0" i="0">
      <x v="120"/>
    </i>
    <i t="data" r="0" i="0">
      <x v="193"/>
    </i>
    <i t="data" r="0" i="0">
      <x v="263"/>
    </i>
    <i t="data" r="0" i="0">
      <x v="197"/>
    </i>
    <i t="data" r="0" i="0">
      <x v="286"/>
    </i>
    <i t="data" r="0" i="0">
      <x v="200"/>
    </i>
    <i t="data" r="0" i="0">
      <x v="205"/>
    </i>
    <i t="data" r="0" i="0">
      <x v="158"/>
    </i>
    <i t="data" r="0" i="0">
      <x v="1829"/>
    </i>
    <i t="data" r="0" i="0">
      <x v="1755"/>
    </i>
    <i t="data" r="0" i="0">
      <x v="1723"/>
    </i>
    <i t="data" r="0" i="0">
      <x v="1561"/>
    </i>
    <i t="data" r="0" i="0">
      <x v="1787"/>
    </i>
    <i t="data" r="0" i="0">
      <x v="1562"/>
    </i>
    <i t="data" r="0" i="0">
      <x v="1707"/>
    </i>
    <i t="data" r="0" i="0">
      <x v="1563"/>
    </i>
    <i t="data" r="0" i="0">
      <x v="1739"/>
    </i>
    <i t="data" r="0" i="0">
      <x v="1564"/>
    </i>
    <i t="data" r="0" i="0">
      <x v="1771"/>
    </i>
    <i t="data" r="0" i="0">
      <x v="1565"/>
    </i>
    <i t="data" r="0" i="0">
      <x v="1803"/>
    </i>
    <i t="data" r="0" i="0">
      <x v="1566"/>
    </i>
    <i t="data" r="0" i="0">
      <x v="1699"/>
    </i>
    <i t="data" r="0" i="0">
      <x v="1567"/>
    </i>
    <i t="data" r="0" i="0">
      <x v="1715"/>
    </i>
    <i t="data" r="0" i="0">
      <x v="1568"/>
    </i>
    <i t="data" r="0" i="0">
      <x v="1731"/>
    </i>
    <i t="data" r="0" i="0">
      <x v="1569"/>
    </i>
    <i t="data" r="0" i="0">
      <x v="1747"/>
    </i>
    <i t="data" r="0" i="0">
      <x v="1571"/>
    </i>
    <i t="data" r="0" i="0">
      <x v="1763"/>
    </i>
    <i t="data" r="0" i="0">
      <x v="1572"/>
    </i>
    <i t="data" r="0" i="0">
      <x v="1779"/>
    </i>
    <i t="data" r="0" i="0">
      <x v="1573"/>
    </i>
    <i t="data" r="0" i="0">
      <x v="1795"/>
    </i>
    <i t="data" r="0" i="0">
      <x v="1574"/>
    </i>
    <i t="data" r="0" i="0">
      <x v="1821"/>
    </i>
    <i t="data" r="0" i="0">
      <x v="1575"/>
    </i>
    <i t="data" r="0" i="0">
      <x v="1837"/>
    </i>
    <i t="data" r="0" i="0">
      <x v="1576"/>
    </i>
    <i t="data" r="0" i="0">
      <x v="1703"/>
    </i>
    <i t="data" r="0" i="0">
      <x v="1577"/>
    </i>
    <i t="data" r="0" i="0">
      <x v="1711"/>
    </i>
    <i t="data" r="0" i="0">
      <x v="1578"/>
    </i>
    <i t="data" r="0" i="0">
      <x v="1719"/>
    </i>
    <i t="data" r="0" i="0">
      <x v="1579"/>
    </i>
    <i t="data" r="0" i="0">
      <x v="1727"/>
    </i>
    <i t="data" r="0" i="0">
      <x v="1580"/>
    </i>
    <i t="data" r="0" i="0">
      <x v="1735"/>
    </i>
    <i t="data" r="0" i="0">
      <x v="1551"/>
    </i>
    <i t="data" r="0" i="0">
      <x v="1743"/>
    </i>
    <i t="data" r="0" i="0">
      <x v="1582"/>
    </i>
    <i t="data" r="0" i="0">
      <x v="1751"/>
    </i>
    <i t="data" r="0" i="0">
      <x v="1583"/>
    </i>
    <i t="data" r="0" i="0">
      <x v="1759"/>
    </i>
    <i t="data" r="0" i="0">
      <x v="1584"/>
    </i>
    <i t="data" r="0" i="0">
      <x v="1767"/>
    </i>
    <i t="data" r="0" i="0">
      <x v="1585"/>
    </i>
    <i t="data" r="0" i="0">
      <x v="1775"/>
    </i>
    <i t="data" r="0" i="0">
      <x v="1586"/>
    </i>
    <i t="data" r="0" i="0">
      <x v="1783"/>
    </i>
    <i t="data" r="0" i="0">
      <x v="1587"/>
    </i>
    <i t="data" r="0" i="0">
      <x v="1791"/>
    </i>
    <i t="data" r="0" i="0">
      <x v="1588"/>
    </i>
    <i t="data" r="0" i="0">
      <x v="1799"/>
    </i>
    <i t="data" r="0" i="0">
      <x v="1590"/>
    </i>
    <i t="data" r="0" i="0">
      <x v="1560"/>
    </i>
    <i t="data" r="0" i="0">
      <x v="1591"/>
    </i>
    <i t="data" r="0" i="0">
      <x v="1825"/>
    </i>
    <i t="data" r="0" i="0">
      <x v="1592"/>
    </i>
    <i t="data" r="0" i="0">
      <x v="1833"/>
    </i>
    <i t="data" r="0" i="0">
      <x v="1552"/>
    </i>
    <i t="data" r="0" i="0">
      <x v="1841"/>
    </i>
    <i t="data" r="0" i="0">
      <x v="1594"/>
    </i>
    <i t="data" r="0" i="0">
      <x v="1701"/>
    </i>
    <i t="data" r="0" i="0">
      <x v="1596"/>
    </i>
    <i t="data" r="0" i="0">
      <x v="1556"/>
    </i>
    <i t="data" r="0" i="0">
      <x v="1597"/>
    </i>
    <i t="data" r="0" i="0">
      <x v="1709"/>
    </i>
    <i t="data" r="0" i="0">
      <x v="1598"/>
    </i>
    <i t="data" r="0" i="0">
      <x v="1713"/>
    </i>
    <i t="data" r="0" i="0">
      <x v="1599"/>
    </i>
    <i t="data" r="0" i="0">
      <x v="1717"/>
    </i>
    <i t="data" r="0" i="0">
      <x v="1600"/>
    </i>
    <i t="data" r="0" i="0">
      <x v="1721"/>
    </i>
    <i t="data" r="0" i="0">
      <x v="1601"/>
    </i>
    <i t="data" r="0" i="0">
      <x v="1725"/>
    </i>
    <i t="data" r="0" i="0">
      <x v="1602"/>
    </i>
    <i t="data" r="0" i="0">
      <x v="1729"/>
    </i>
    <i t="data" r="0" i="0">
      <x v="1603"/>
    </i>
    <i t="data" r="0" i="0">
      <x v="1733"/>
    </i>
    <i t="data" r="0" i="0">
      <x v="1604"/>
    </i>
    <i t="data" r="0" i="0">
      <x v="1737"/>
    </i>
    <i t="data" r="0" i="0">
      <x v="1606"/>
    </i>
    <i t="data" r="0" i="0">
      <x v="1741"/>
    </i>
    <i t="data" r="0" i="0">
      <x v="1607"/>
    </i>
    <i t="data" r="0" i="0">
      <x v="1745"/>
    </i>
    <i t="data" r="0" i="0">
      <x v="1608"/>
    </i>
    <i t="data" r="0" i="0">
      <x v="1749"/>
    </i>
    <i t="data" r="0" i="0">
      <x v="1609"/>
    </i>
    <i t="data" r="0" i="0">
      <x v="1753"/>
    </i>
    <i t="data" r="0" i="0">
      <x v="1610"/>
    </i>
    <i t="data" r="0" i="0">
      <x v="1757"/>
    </i>
    <i t="data" r="0" i="0">
      <x v="1611"/>
    </i>
    <i t="data" r="0" i="0">
      <x v="1761"/>
    </i>
    <i t="data" r="0" i="0">
      <x v="1612"/>
    </i>
    <i t="data" r="0" i="0">
      <x v="1765"/>
    </i>
    <i t="data" r="0" i="0">
      <x v="1613"/>
    </i>
    <i t="data" r="0" i="0">
      <x v="1769"/>
    </i>
    <i t="data" r="0" i="0">
      <x v="1614"/>
    </i>
    <i t="data" r="0" i="0">
      <x v="1773"/>
    </i>
    <i t="data" r="0" i="0">
      <x v="1615"/>
    </i>
    <i t="data" r="0" i="0">
      <x v="1777"/>
    </i>
    <i t="data" r="0" i="0">
      <x v="1553"/>
    </i>
    <i t="data" r="0" i="0">
      <x v="1781"/>
    </i>
    <i t="data" r="0" i="0">
      <x v="1617"/>
    </i>
    <i t="data" r="0" i="0">
      <x v="1785"/>
    </i>
    <i t="data" r="0" i="0">
      <x v="1618"/>
    </i>
    <i t="data" r="0" i="0">
      <x v="1789"/>
    </i>
    <i t="data" r="0" i="0">
      <x v="1619"/>
    </i>
    <i t="data" r="0" i="0">
      <x v="1793"/>
    </i>
    <i t="data" r="0" i="0">
      <x v="1620"/>
    </i>
    <i t="data" r="0" i="0">
      <x v="1797"/>
    </i>
    <i t="data" r="0" i="0">
      <x v="1621"/>
    </i>
    <i t="data" r="0" i="0">
      <x v="1801"/>
    </i>
    <i t="data" r="0" i="0">
      <x v="1622"/>
    </i>
    <i t="data" r="0" i="0">
      <x v="1805"/>
    </i>
    <i t="data" r="0" i="0">
      <x v="1554"/>
    </i>
    <i t="data" r="0" i="0">
      <x v="1819"/>
    </i>
    <i t="data" r="0" i="0">
      <x v="1624"/>
    </i>
    <i t="data" r="0" i="0">
      <x v="1823"/>
    </i>
    <i t="data" r="0" i="0">
      <x v="1625"/>
    </i>
    <i t="data" r="0" i="0">
      <x v="1827"/>
    </i>
    <i t="data" r="0" i="0">
      <x v="1626"/>
    </i>
    <i t="data" r="0" i="0">
      <x v="1831"/>
    </i>
    <i t="data" r="0" i="0">
      <x v="1627"/>
    </i>
    <i t="data" r="0" i="0">
      <x v="1835"/>
    </i>
    <i t="data" r="0" i="0">
      <x v="1628"/>
    </i>
    <i t="data" r="0" i="0">
      <x v="1839"/>
    </i>
    <i t="data" r="0" i="0">
      <x v="1629"/>
    </i>
    <i t="data" r="0" i="0">
      <x v="1698"/>
    </i>
    <i t="data" r="0" i="0">
      <x v="1630"/>
    </i>
    <i t="data" r="0" i="0">
      <x v="1700"/>
    </i>
    <i t="data" r="0" i="0">
      <x v="1631"/>
    </i>
    <i t="data" r="0" i="0">
      <x v="1702"/>
    </i>
    <i t="data" r="0" i="0">
      <x v="1632"/>
    </i>
    <i t="data" r="0" i="0">
      <x v="1704"/>
    </i>
    <i t="data" r="0" i="0">
      <x v="1633"/>
    </i>
    <i t="data" r="0" i="0">
      <x v="1706"/>
    </i>
    <i t="data" r="0" i="0">
      <x v="1634"/>
    </i>
    <i t="data" r="0" i="0">
      <x v="1708"/>
    </i>
    <i t="data" r="0" i="0">
      <x v="1635"/>
    </i>
    <i t="data" r="0" i="0">
      <x v="1557"/>
    </i>
    <i t="data" r="0" i="0">
      <x v="1636"/>
    </i>
    <i t="data" r="0" i="0">
      <x v="1712"/>
    </i>
    <i t="data" r="0" i="0">
      <x v="1637"/>
    </i>
    <i t="data" r="0" i="0">
      <x v="1714"/>
    </i>
    <i t="data" r="0" i="0">
      <x v="1638"/>
    </i>
    <i t="data" r="0" i="0">
      <x v="1716"/>
    </i>
    <i t="data" r="0" i="0">
      <x v="1639"/>
    </i>
    <i t="data" r="0" i="0">
      <x v="1718"/>
    </i>
    <i t="data" r="0" i="0">
      <x v="1640"/>
    </i>
    <i t="data" r="0" i="0">
      <x v="1720"/>
    </i>
    <i t="data" r="0" i="0">
      <x v="1641"/>
    </i>
    <i t="data" r="0" i="0">
      <x v="1722"/>
    </i>
    <i t="data" r="0" i="0">
      <x v="1642"/>
    </i>
    <i t="data" r="0" i="0">
      <x v="1724"/>
    </i>
    <i t="data" r="0" i="0">
      <x v="1643"/>
    </i>
    <i t="data" r="0" i="0">
      <x v="1726"/>
    </i>
    <i t="data" r="0" i="0">
      <x v="1644"/>
    </i>
    <i t="data" r="0" i="0">
      <x v="1728"/>
    </i>
    <i t="data" r="0" i="0">
      <x v="1645"/>
    </i>
    <i t="data" r="0" i="0">
      <x v="1730"/>
    </i>
    <i t="data" r="0" i="0">
      <x v="1646"/>
    </i>
    <i t="data" r="0" i="0">
      <x v="1732"/>
    </i>
    <i t="data" r="0" i="0">
      <x v="1647"/>
    </i>
    <i t="data" r="0" i="0">
      <x v="1734"/>
    </i>
    <i t="data" r="0" i="0">
      <x v="1648"/>
    </i>
    <i t="data" r="0" i="0">
      <x v="1736"/>
    </i>
    <i t="data" r="0" i="0">
      <x v="1649"/>
    </i>
    <i t="data" r="0" i="0">
      <x v="1738"/>
    </i>
    <i t="data" r="0" i="0">
      <x v="1650"/>
    </i>
    <i t="data" r="0" i="0">
      <x v="1740"/>
    </i>
    <i t="data" r="0" i="0">
      <x v="1651"/>
    </i>
    <i t="data" r="0" i="0">
      <x v="1742"/>
    </i>
    <i t="data" r="0" i="0">
      <x v="1652"/>
    </i>
    <i t="data" r="0" i="0">
      <x v="1744"/>
    </i>
    <i t="data" r="0" i="0">
      <x v="1653"/>
    </i>
    <i t="data" r="0" i="0">
      <x v="1558"/>
    </i>
    <i t="data" r="0" i="0">
      <x v="1654"/>
    </i>
    <i t="data" r="0" i="0">
      <x v="1748"/>
    </i>
    <i t="data" r="0" i="0">
      <x v="1655"/>
    </i>
    <i t="data" r="0" i="0">
      <x v="1750"/>
    </i>
    <i t="data" r="0" i="0">
      <x v="1656"/>
    </i>
    <i t="data" r="0" i="0">
      <x v="1752"/>
    </i>
    <i t="data" r="0" i="0">
      <x v="1657"/>
    </i>
    <i t="data" r="0" i="0">
      <x v="1754"/>
    </i>
    <i t="data" r="0" i="0">
      <x v="1658"/>
    </i>
    <i t="data" r="0" i="0">
      <x v="1559"/>
    </i>
    <i t="data" r="0" i="0">
      <x v="1659"/>
    </i>
    <i t="data" r="0" i="0">
      <x v="1758"/>
    </i>
    <i t="data" r="0" i="0">
      <x v="1660"/>
    </i>
    <i t="data" r="0" i="0">
      <x v="1760"/>
    </i>
    <i t="data" r="0" i="0">
      <x v="1661"/>
    </i>
    <i t="data" r="0" i="0">
      <x v="1762"/>
    </i>
    <i t="data" r="0" i="0">
      <x v="1662"/>
    </i>
    <i t="data" r="0" i="0">
      <x v="1764"/>
    </i>
    <i t="data" r="0" i="0">
      <x v="1663"/>
    </i>
    <i t="data" r="0" i="0">
      <x v="1766"/>
    </i>
    <i t="data" r="0" i="0">
      <x v="1664"/>
    </i>
    <i t="data" r="0" i="0">
      <x v="1768"/>
    </i>
    <i t="data" r="0" i="0">
      <x v="1665"/>
    </i>
    <i t="data" r="0" i="0">
      <x v="1770"/>
    </i>
    <i t="data" r="0" i="0">
      <x v="1666"/>
    </i>
    <i t="data" r="0" i="0">
      <x v="1772"/>
    </i>
    <i t="data" r="0" i="0">
      <x v="1667"/>
    </i>
    <i t="data" r="0" i="0">
      <x v="1774"/>
    </i>
    <i t="data" r="0" i="0">
      <x v="1668"/>
    </i>
    <i t="data" r="0" i="0">
      <x v="1776"/>
    </i>
    <i t="data" r="0" i="0">
      <x v="1669"/>
    </i>
    <i t="data" r="0" i="0">
      <x v="1778"/>
    </i>
    <i t="data" r="0" i="0">
      <x v="1670"/>
    </i>
    <i t="data" r="0" i="0">
      <x v="1780"/>
    </i>
    <i t="data" r="0" i="0">
      <x v="1671"/>
    </i>
    <i t="data" r="0" i="0">
      <x v="1782"/>
    </i>
    <i t="data" r="0" i="0">
      <x v="1672"/>
    </i>
    <i t="data" r="0" i="0">
      <x v="1784"/>
    </i>
    <i t="data" r="0" i="0">
      <x v="1673"/>
    </i>
    <i t="data" r="0" i="0">
      <x v="1786"/>
    </i>
    <i t="data" r="0" i="0">
      <x v="1674"/>
    </i>
    <i t="data" r="0" i="0">
      <x v="1788"/>
    </i>
    <i t="data" r="0" i="0">
      <x v="1675"/>
    </i>
    <i t="data" r="0" i="0">
      <x v="1790"/>
    </i>
    <i t="data" r="0" i="0">
      <x v="1676"/>
    </i>
    <i t="data" r="0" i="0">
      <x v="1792"/>
    </i>
    <i t="data" r="0" i="0">
      <x v="1677"/>
    </i>
    <i t="data" r="0" i="0">
      <x v="1794"/>
    </i>
    <i t="data" r="0" i="0">
      <x v="1555"/>
    </i>
    <i t="data" r="0" i="0">
      <x v="1796"/>
    </i>
    <i t="data" r="0" i="0">
      <x v="1679"/>
    </i>
    <i t="data" r="0" i="0">
      <x v="1798"/>
    </i>
    <i t="data" r="0" i="0">
      <x v="1807"/>
    </i>
    <i t="data" r="0" i="0">
      <x v="1800"/>
    </i>
    <i t="data" r="0" i="0">
      <x v="1809"/>
    </i>
    <i t="data" r="0" i="0">
      <x v="1802"/>
    </i>
    <i t="data" r="0" i="0">
      <x v="1811"/>
    </i>
    <i t="data" r="0" i="0">
      <x v="1804"/>
    </i>
    <i t="data" r="0" i="0">
      <x v="1813"/>
    </i>
    <i t="data" r="0" i="0">
      <x v="1806"/>
    </i>
    <i t="data" r="0" i="0">
      <x v="1815"/>
    </i>
    <i t="data" r="0" i="0">
      <x v="1817"/>
    </i>
    <i t="data" r="0" i="0">
      <x v="1680"/>
    </i>
    <i t="data" r="0" i="0">
      <x v="1810"/>
    </i>
    <i t="data" r="0" i="0">
      <x v="1681"/>
    </i>
    <i t="data" r="0" i="0">
      <x v="1812"/>
    </i>
    <i t="data" r="0" i="0">
      <x v="1682"/>
    </i>
    <i t="data" r="0" i="0">
      <x v="1814"/>
    </i>
    <i t="data" r="0" i="0">
      <x v="1683"/>
    </i>
    <i t="data" r="0" i="0">
      <x v="1816"/>
    </i>
    <i t="data" r="0" i="0">
      <x v="1684"/>
    </i>
    <i t="data" r="0" i="0">
      <x v="1818"/>
    </i>
    <i t="data" r="0" i="0">
      <x v="1685"/>
    </i>
    <i t="data" r="0" i="0">
      <x v="1820"/>
    </i>
    <i t="data" r="0" i="0">
      <x v="1686"/>
    </i>
    <i t="data" r="0" i="0">
      <x v="1822"/>
    </i>
    <i t="data" r="0" i="0">
      <x v="1687"/>
    </i>
    <i t="data" r="0" i="0">
      <x v="1824"/>
    </i>
    <i t="data" r="0" i="0">
      <x v="1688"/>
    </i>
    <i t="data" r="0" i="0">
      <x v="1826"/>
    </i>
    <i t="data" r="0" i="0">
      <x v="1689"/>
    </i>
    <i t="data" r="0" i="0">
      <x v="1828"/>
    </i>
    <i t="data" r="0" i="0">
      <x v="1690"/>
    </i>
    <i t="data" r="0" i="0">
      <x v="1830"/>
    </i>
    <i t="data" r="0" i="0">
      <x v="1691"/>
    </i>
    <i t="data" r="0" i="0">
      <x v="1832"/>
    </i>
    <i t="data" r="0" i="0">
      <x v="1692"/>
    </i>
    <i t="data" r="0" i="0">
      <x v="1834"/>
    </i>
    <i t="data" r="0" i="0">
      <x v="1693"/>
    </i>
    <i t="data" r="0" i="0">
      <x v="1836"/>
    </i>
    <i t="data" r="0" i="0">
      <x v="1694"/>
    </i>
    <i t="data" r="0" i="0">
      <x v="1838"/>
    </i>
    <i t="data" r="0" i="0">
      <x v="1695"/>
    </i>
    <i t="data" r="0" i="0">
      <x v="1840"/>
    </i>
    <i t="data" r="0" i="0">
      <x v="1696"/>
    </i>
    <i t="data" r="0" i="0">
      <x v="1550"/>
    </i>
    <i t="data" r="0" i="0">
      <x v="1697"/>
    </i>
    <i t="data" r="0" i="0">
      <x v="1533"/>
    </i>
    <i t="data" r="0" i="0">
      <x v="1469"/>
    </i>
    <i t="data" r="0" i="0">
      <x v="1436"/>
    </i>
    <i t="data" r="0" i="0">
      <x v="1272"/>
    </i>
    <i t="data" r="0" i="0">
      <x v="1501"/>
    </i>
    <i t="data" r="0" i="0">
      <x v="1273"/>
    </i>
    <i t="data" r="0" i="0">
      <x v="1419"/>
    </i>
    <i t="data" r="0" i="0">
      <x v="1274"/>
    </i>
    <i t="data" r="0" i="0">
      <x v="1453"/>
    </i>
    <i t="data" r="0" i="0">
      <x v="1275"/>
    </i>
    <i t="data" r="0" i="0">
      <x v="1485"/>
    </i>
    <i t="data" r="0" i="0">
      <x v="1277"/>
    </i>
    <i t="data" r="0" i="0">
      <x v="1517"/>
    </i>
    <i t="data" r="0" i="0">
      <x v="1278"/>
    </i>
    <i t="data" r="0" i="0">
      <x v="1411"/>
    </i>
    <i t="data" r="0" i="0">
      <x v="1279"/>
    </i>
    <i t="data" r="0" i="0">
      <x v="1427"/>
    </i>
    <i t="data" r="0" i="0">
      <x v="1280"/>
    </i>
    <i t="data" r="0" i="0">
      <x v="1445"/>
    </i>
    <i t="data" r="0" i="0">
      <x v="1281"/>
    </i>
    <i t="data" r="0" i="0">
      <x v="1461"/>
    </i>
    <i t="data" r="0" i="0">
      <x v="1282"/>
    </i>
    <i t="data" r="0" i="0">
      <x v="1477"/>
    </i>
    <i t="data" r="0" i="0">
      <x v="1283"/>
    </i>
    <i t="data" r="0" i="0">
      <x v="1269"/>
    </i>
    <i t="data" r="0" i="0">
      <x v="1284"/>
    </i>
    <i t="data" r="0" i="0">
      <x v="1509"/>
    </i>
    <i t="data" r="0" i="0">
      <x v="1285"/>
    </i>
    <i t="data" r="0" i="0">
      <x v="1525"/>
    </i>
    <i t="data" r="0" i="0">
      <x v="1286"/>
    </i>
    <i t="data" r="0" i="0">
      <x v="1407"/>
    </i>
    <i t="data" r="0" i="0">
      <x v="1287"/>
    </i>
    <i t="data" r="0" i="0">
      <x v="1415"/>
    </i>
    <i t="data" r="0" i="0">
      <x v="1288"/>
    </i>
    <i t="data" r="0" i="0">
      <x v="1423"/>
    </i>
    <i t="data" r="0" i="0">
      <x v="1289"/>
    </i>
    <i t="data" r="0" i="0">
      <x v="1432"/>
    </i>
    <i t="data" r="0" i="0">
      <x v="1290"/>
    </i>
    <i t="data" r="0" i="0">
      <x v="1441"/>
    </i>
    <i t="data" r="0" i="0">
      <x v="1291"/>
    </i>
    <i t="data" r="0" i="0">
      <x v="1449"/>
    </i>
    <i t="data" r="0" i="0">
      <x v="1292"/>
    </i>
    <i t="data" r="0" i="0">
      <x v="1457"/>
    </i>
    <i t="data" r="0" i="0">
      <x v="1294"/>
    </i>
    <i t="data" r="0" i="0">
      <x v="1465"/>
    </i>
    <i t="data" r="0" i="0">
      <x v="1295"/>
    </i>
    <i t="data" r="0" i="0">
      <x v="1473"/>
    </i>
    <i t="data" r="0" i="0">
      <x v="1296"/>
    </i>
    <i t="data" r="0" i="0">
      <x v="1481"/>
    </i>
    <i t="data" r="0" i="0">
      <x v="1297"/>
    </i>
    <i t="data" r="0" i="0">
      <x v="1489"/>
    </i>
    <i t="data" r="0" i="0">
      <x v="1298"/>
    </i>
    <i t="data" r="0" i="0">
      <x v="1497"/>
    </i>
    <i t="data" r="0" i="0">
      <x v="1299"/>
    </i>
    <i t="data" r="0" i="0">
      <x v="1505"/>
    </i>
    <i t="data" r="0" i="0">
      <x v="1300"/>
    </i>
    <i t="data" r="0" i="0">
      <x v="1513"/>
    </i>
    <i t="data" r="0" i="0">
      <x v="1301"/>
    </i>
    <i t="data" r="0" i="0">
      <x v="1521"/>
    </i>
    <i t="data" r="0" i="0">
      <x v="1302"/>
    </i>
    <i t="data" r="0" i="0">
      <x v="1529"/>
    </i>
    <i t="data" r="0" i="0">
      <x v="1303"/>
    </i>
    <i t="data" r="0" i="0">
      <x v="1537"/>
    </i>
    <i t="data" r="0" i="0">
      <x v="1304"/>
    </i>
    <i t="data" r="0" i="0">
      <x v="1409"/>
    </i>
    <i t="data" r="0" i="0">
      <x v="1258"/>
    </i>
    <i t="data" r="0" i="0">
      <x v="1413"/>
    </i>
    <i t="data" r="0" i="0">
      <x v="1306"/>
    </i>
    <i t="data" r="0" i="0">
      <x v="1417"/>
    </i>
    <i t="data" r="0" i="0">
      <x v="1307"/>
    </i>
    <i t="data" r="0" i="0">
      <x v="1421"/>
    </i>
    <i t="data" r="0" i="0">
      <x v="1308"/>
    </i>
    <i t="data" r="0" i="0">
      <x v="1425"/>
    </i>
    <i t="data" r="0" i="0">
      <x v="1309"/>
    </i>
    <i t="data" r="0" i="0">
      <x v="1429"/>
    </i>
    <i t="data" r="0" i="0">
      <x v="1310"/>
    </i>
    <i t="data" r="0" i="0">
      <x v="1434"/>
    </i>
    <i t="data" r="0" i="0">
      <x v="1311"/>
    </i>
    <i t="data" r="0" i="0">
      <x v="1438"/>
    </i>
    <i t="data" r="0" i="0">
      <x v="1312"/>
    </i>
    <i t="data" r="0" i="0">
      <x v="1443"/>
    </i>
    <i t="data" r="0" i="0">
      <x v="1313"/>
    </i>
    <i t="data" r="0" i="0">
      <x v="1447"/>
    </i>
    <i t="data" r="0" i="0">
      <x v="1314"/>
    </i>
    <i t="data" r="0" i="0">
      <x v="1451"/>
    </i>
    <i t="data" r="0" i="0">
      <x v="1316"/>
    </i>
    <i t="data" r="0" i="0">
      <x v="1455"/>
    </i>
    <i t="data" r="0" i="0">
      <x v="1317"/>
    </i>
    <i t="data" r="0" i="0">
      <x v="1459"/>
    </i>
    <i t="data" r="0" i="0">
      <x v="1318"/>
    </i>
    <i t="data" r="0" i="0">
      <x v="1463"/>
    </i>
    <i t="data" r="0" i="0">
      <x v="1319"/>
    </i>
    <i t="data" r="0" i="0">
      <x v="1467"/>
    </i>
    <i t="data" r="0" i="0">
      <x v="1320"/>
    </i>
    <i t="data" r="0" i="0">
      <x v="1471"/>
    </i>
    <i t="data" r="0" i="0">
      <x v="1321"/>
    </i>
    <i t="data" r="0" i="0">
      <x v="1475"/>
    </i>
    <i t="data" r="0" i="0">
      <x v="1322"/>
    </i>
    <i t="data" r="0" i="0">
      <x v="1479"/>
    </i>
    <i t="data" r="0" i="0">
      <x v="1323"/>
    </i>
    <i t="data" r="0" i="0">
      <x v="1483"/>
    </i>
    <i t="data" r="0" i="0">
      <x v="1324"/>
    </i>
    <i t="data" r="0" i="0">
      <x v="1487"/>
    </i>
    <i t="data" r="0" i="0">
      <x v="1325"/>
    </i>
    <i t="data" r="0" i="0">
      <x v="1491"/>
    </i>
    <i t="data" r="0" i="0">
      <x v="1326"/>
    </i>
    <i t="data" r="0" i="0">
      <x v="1495"/>
    </i>
    <i t="data" r="0" i="0">
      <x v="1327"/>
    </i>
    <i t="data" r="0" i="0">
      <x v="1499"/>
    </i>
    <i t="data" r="0" i="0">
      <x v="1328"/>
    </i>
    <i t="data" r="0" i="0">
      <x v="1503"/>
    </i>
    <i t="data" r="0" i="0">
      <x v="1329"/>
    </i>
    <i t="data" r="0" i="0">
      <x v="1507"/>
    </i>
    <i t="data" r="0" i="0">
      <x v="1330"/>
    </i>
    <i t="data" r="0" i="0">
      <x v="1511"/>
    </i>
    <i t="data" r="0" i="0">
      <x v="1331"/>
    </i>
    <i t="data" r="0" i="0">
      <x v="1515"/>
    </i>
    <i t="data" r="0" i="0">
      <x v="1332"/>
    </i>
    <i t="data" r="0" i="0">
      <x v="1519"/>
    </i>
    <i t="data" r="0" i="0">
      <x v="1333"/>
    </i>
    <i t="data" r="0" i="0">
      <x v="1523"/>
    </i>
    <i t="data" r="0" i="0">
      <x v="1334"/>
    </i>
    <i t="data" r="0" i="0">
      <x v="1527"/>
    </i>
    <i t="data" r="0" i="0">
      <x v="1259"/>
    </i>
    <i t="data" r="0" i="0">
      <x v="1531"/>
    </i>
    <i t="data" r="0" i="0">
      <x v="1336"/>
    </i>
    <i t="data" r="0" i="0">
      <x v="1535"/>
    </i>
    <i t="data" r="0" i="0">
      <x v="1337"/>
    </i>
    <i t="data" r="0" i="0">
      <x v="1539"/>
    </i>
    <i t="data" r="0" i="0">
      <x v="1338"/>
    </i>
    <i t="data" r="0" i="0">
      <x v="1408"/>
    </i>
    <i t="data" r="0" i="0">
      <x v="1339"/>
    </i>
    <i t="data" r="0" i="0">
      <x v="1410"/>
    </i>
    <i t="data" r="0" i="0">
      <x v="1340"/>
    </i>
    <i t="data" r="0" i="0">
      <x v="1412"/>
    </i>
    <i t="data" r="0" i="0">
      <x v="1341"/>
    </i>
    <i t="data" r="0" i="0">
      <x v="1414"/>
    </i>
    <i t="data" r="0" i="0">
      <x v="1342"/>
    </i>
    <i t="data" r="0" i="0">
      <x v="1416"/>
    </i>
    <i t="data" r="0" i="0">
      <x v="1260"/>
    </i>
    <i t="data" r="0" i="0">
      <x v="1418"/>
    </i>
    <i t="data" r="0" i="0">
      <x v="1344"/>
    </i>
    <i t="data" r="0" i="0">
      <x v="1420"/>
    </i>
    <i t="data" r="0" i="0">
      <x v="1346"/>
    </i>
    <i t="data" r="0" i="0">
      <x v="1422"/>
    </i>
    <i t="data" r="0" i="0">
      <x v="1347"/>
    </i>
    <i t="data" r="0" i="0">
      <x v="1424"/>
    </i>
    <i t="data" r="0" i="0">
      <x v="1348"/>
    </i>
    <i t="data" r="0" i="0">
      <x v="1426"/>
    </i>
    <i t="data" r="0" i="0">
      <x v="1349"/>
    </i>
    <i t="data" r="0" i="0">
      <x v="1428"/>
    </i>
    <i t="data" r="0" i="0">
      <x v="1255"/>
    </i>
    <i t="data" r="0" i="0">
      <x v="1431"/>
    </i>
    <i t="data" r="0" i="0">
      <x v="1351"/>
    </i>
    <i t="data" r="0" i="0">
      <x v="1433"/>
    </i>
    <i t="data" r="0" i="0">
      <x v="1352"/>
    </i>
    <i t="data" r="0" i="0">
      <x v="1435"/>
    </i>
    <i t="data" r="0" i="0">
      <x v="1353"/>
    </i>
    <i t="data" r="0" i="0">
      <x v="1437"/>
    </i>
    <i t="data" r="0" i="0">
      <x v="1354"/>
    </i>
    <i t="data" r="0" i="0">
      <x v="1440"/>
    </i>
    <i t="data" r="0" i="0">
      <x v="1355"/>
    </i>
    <i t="data" r="0" i="0">
      <x v="1267"/>
    </i>
    <i t="data" r="0" i="0">
      <x v="1356"/>
    </i>
    <i t="data" r="0" i="0">
      <x v="1444"/>
    </i>
    <i t="data" r="0" i="0">
      <x v="1357"/>
    </i>
    <i t="data" r="0" i="0">
      <x v="1446"/>
    </i>
    <i t="data" r="0" i="0">
      <x v="1358"/>
    </i>
    <i t="data" r="0" i="0">
      <x v="1448"/>
    </i>
    <i t="data" r="0" i="0">
      <x v="1359"/>
    </i>
    <i t="data" r="0" i="0">
      <x v="1450"/>
    </i>
    <i t="data" r="0" i="0">
      <x v="1360"/>
    </i>
    <i t="data" r="0" i="0">
      <x v="1452"/>
    </i>
    <i t="data" r="0" i="0">
      <x v="1361"/>
    </i>
    <i t="data" r="0" i="0">
      <x v="1454"/>
    </i>
    <i t="data" r="0" i="0">
      <x v="1363"/>
    </i>
    <i t="data" r="0" i="0">
      <x v="1456"/>
    </i>
    <i t="data" r="0" i="0">
      <x v="1364"/>
    </i>
    <i t="data" r="0" i="0">
      <x v="1458"/>
    </i>
    <i t="data" r="0" i="0">
      <x v="1365"/>
    </i>
    <i t="data" r="0" i="0">
      <x v="1460"/>
    </i>
    <i t="data" r="0" i="0">
      <x v="1366"/>
    </i>
    <i t="data" r="0" i="0">
      <x v="1462"/>
    </i>
    <i t="data" r="0" i="0">
      <x v="1367"/>
    </i>
    <i t="data" r="0" i="0">
      <x v="1464"/>
    </i>
    <i t="data" r="0" i="0">
      <x v="1368"/>
    </i>
    <i t="data" r="0" i="0">
      <x v="1268"/>
    </i>
    <i t="data" r="0" i="0">
      <x v="1369"/>
    </i>
    <i t="data" r="0" i="0">
      <x v="1468"/>
    </i>
    <i t="data" r="0" i="0">
      <x v="1370"/>
    </i>
    <i t="data" r="0" i="0">
      <x v="1470"/>
    </i>
    <i t="data" r="0" i="0">
      <x v="1371"/>
    </i>
    <i t="data" r="0" i="0">
      <x v="1472"/>
    </i>
    <i t="data" r="0" i="0">
      <x v="1372"/>
    </i>
    <i t="data" r="0" i="0">
      <x v="1474"/>
    </i>
    <i t="data" r="0" i="0">
      <x v="1373"/>
    </i>
    <i t="data" r="0" i="0">
      <x v="1476"/>
    </i>
    <i t="data" r="0" i="0">
      <x v="1374"/>
    </i>
    <i t="data" r="0" i="0">
      <x v="1478"/>
    </i>
    <i t="data" r="0" i="0">
      <x v="1375"/>
    </i>
    <i t="data" r="0" i="0">
      <x v="1480"/>
    </i>
    <i t="data" r="0" i="0">
      <x v="1376"/>
    </i>
    <i t="data" r="0" i="0">
      <x v="1482"/>
    </i>
    <i t="data" r="0" i="0">
      <x v="1377"/>
    </i>
    <i t="data" r="0" i="0">
      <x v="1484"/>
    </i>
    <i t="data" r="0" i="0">
      <x v="1262"/>
    </i>
    <i t="data" r="0" i="0">
      <x v="1486"/>
    </i>
    <i t="data" r="0" i="0">
      <x v="1379"/>
    </i>
    <i t="data" r="0" i="0">
      <x v="1488"/>
    </i>
    <i t="data" r="0" i="0">
      <x v="1380"/>
    </i>
    <i t="data" r="0" i="0">
      <x v="1490"/>
    </i>
    <i t="data" r="0" i="0">
      <x v="1381"/>
    </i>
    <i t="data" r="0" i="0">
      <x v="1492"/>
    </i>
    <i t="data" r="0" i="0">
      <x v="1263"/>
    </i>
    <i t="data" r="0" i="0">
      <x v="1494"/>
    </i>
    <i t="data" r="0" i="0">
      <x v="1383"/>
    </i>
    <i t="data" r="0" i="0">
      <x v="1496"/>
    </i>
    <i t="data" r="0" i="0">
      <x v="1384"/>
    </i>
    <i t="data" r="0" i="0">
      <x v="1498"/>
    </i>
    <i t="data" r="0" i="0">
      <x v="1385"/>
    </i>
    <i t="data" r="0" i="0">
      <x v="1500"/>
    </i>
    <i t="data" r="0" i="0">
      <x v="1386"/>
    </i>
    <i t="data" r="0" i="0">
      <x v="1502"/>
    </i>
    <i t="data" r="0" i="0">
      <x v="1387"/>
    </i>
    <i t="data" r="0" i="0">
      <x v="1504"/>
    </i>
    <i t="data" r="0" i="0">
      <x v="1388"/>
    </i>
    <i t="data" r="0" i="0">
      <x v="1506"/>
    </i>
    <i t="data" r="0" i="0">
      <x v="1389"/>
    </i>
    <i t="data" r="0" i="0">
      <x v="1508"/>
    </i>
    <i t="data" r="0" i="0">
      <x v="1390"/>
    </i>
    <i t="data" r="0" i="0">
      <x v="1510"/>
    </i>
    <i t="data" r="0" i="0">
      <x v="1391"/>
    </i>
    <i t="data" r="0" i="0">
      <x v="1512"/>
    </i>
    <i t="data" r="0" i="0">
      <x v="1392"/>
    </i>
    <i t="data" r="0" i="0">
      <x v="1514"/>
    </i>
    <i t="data" r="0" i="0">
      <x v="1393"/>
    </i>
    <i t="data" r="0" i="0">
      <x v="1516"/>
    </i>
    <i t="data" r="0" i="0">
      <x v="1394"/>
    </i>
    <i t="data" r="0" i="0">
      <x v="1518"/>
    </i>
    <i t="data" r="0" i="0">
      <x v="1395"/>
    </i>
    <i t="data" r="0" i="0">
      <x v="1520"/>
    </i>
    <i t="data" r="0" i="0">
      <x v="1264"/>
    </i>
    <i t="data" r="0" i="0">
      <x v="1522"/>
    </i>
    <i t="data" r="0" i="0">
      <x v="1397"/>
    </i>
    <i t="data" r="0" i="0">
      <x v="1524"/>
    </i>
    <i t="data" r="0" i="0">
      <x v="1257"/>
    </i>
    <i t="data" r="0" i="0">
      <x v="1526"/>
    </i>
    <i t="data" r="0" i="0">
      <x v="1266"/>
    </i>
    <i t="data" r="0" i="0">
      <x v="1270"/>
    </i>
    <i t="data" r="0" i="0">
      <x v="1543"/>
    </i>
    <i t="data" r="0" i="0">
      <x v="1530"/>
    </i>
    <i t="data" r="0" i="0">
      <x v="1545"/>
    </i>
    <i t="data" r="0" i="0">
      <x v="1532"/>
    </i>
    <i t="data" r="0" i="0">
      <x v="1547"/>
    </i>
    <i t="data" r="0" i="0">
      <x v="1534"/>
    </i>
    <i t="data" r="0" i="0">
      <x v="1549"/>
    </i>
    <i t="data" r="0" i="0">
      <x v="1536"/>
    </i>
    <i t="data" r="0" i="0">
      <x v="1404"/>
    </i>
    <i t="data" r="0" i="0">
      <x v="1538"/>
    </i>
    <i t="data" r="0" i="0">
      <x v="1405"/>
    </i>
    <i t="data" r="0" i="0">
      <x v="1271"/>
    </i>
    <i t="data" r="0" i="0">
      <x v="1406"/>
    </i>
    <i t="data" r="0" i="0">
      <x v="1542"/>
    </i>
    <i t="data" r="0" i="0">
      <x v="1399"/>
    </i>
    <i t="data" r="0" i="0">
      <x v="1544"/>
    </i>
    <i t="data" r="0" i="0">
      <x v="1400"/>
    </i>
    <i t="data" r="0" i="0">
      <x v="1546"/>
    </i>
    <i t="data" r="0" i="0">
      <x v="1401"/>
    </i>
    <i t="data" r="0" i="0">
      <x v="1548"/>
    </i>
    <i t="data" r="0" i="0">
      <x v="1402"/>
    </i>
    <i t="data" r="0" i="0">
      <x v="1254"/>
    </i>
    <i t="data" r="0" i="0">
      <x v="1403"/>
    </i>
    <i t="data" r="0" i="0">
      <x v="960"/>
    </i>
    <i t="data" r="0" i="0">
      <x v="1170"/>
    </i>
    <i t="data" r="0" i="0">
      <x v="1138"/>
    </i>
    <i t="data" r="0" i="0">
      <x v="978"/>
    </i>
    <i t="data" r="0" i="0">
      <x v="1204"/>
    </i>
    <i t="data" r="0" i="0">
      <x v="979"/>
    </i>
    <i t="data" r="0" i="0">
      <x v="1122"/>
    </i>
    <i t="data" r="0" i="0">
      <x v="980"/>
    </i>
    <i t="data" r="0" i="0">
      <x v="974"/>
    </i>
    <i t="data" r="0" i="0">
      <x v="981"/>
    </i>
    <i t="data" r="0" i="0">
      <x v="1188"/>
    </i>
    <i t="data" r="0" i="0">
      <x v="982"/>
    </i>
    <i t="data" r="0" i="0">
      <x v="1237"/>
    </i>
    <i t="data" r="0" i="0">
      <x v="983"/>
    </i>
    <i t="data" r="0" i="0">
      <x v="1114"/>
    </i>
    <i t="data" r="0" i="0">
      <x v="984"/>
    </i>
    <i t="data" r="0" i="0">
      <x v="971"/>
    </i>
    <i t="data" r="0" i="0">
      <x v="985"/>
    </i>
    <i t="data" r="0" i="0">
      <x v="1146"/>
    </i>
    <i t="data" r="0" i="0">
      <x v="986"/>
    </i>
    <i t="data" r="0" i="0">
      <x v="1162"/>
    </i>
    <i t="data" r="0" i="0">
      <x v="987"/>
    </i>
    <i t="data" r="0" i="0">
      <x v="1179"/>
    </i>
    <i t="data" r="0" i="0">
      <x v="988"/>
    </i>
    <i t="data" r="0" i="0">
      <x v="1196"/>
    </i>
    <i t="data" r="0" i="0">
      <x v="989"/>
    </i>
    <i t="data" r="0" i="0">
      <x v="1212"/>
    </i>
    <i t="data" r="0" i="0">
      <x v="990"/>
    </i>
    <i t="data" r="0" i="0">
      <x v="1245"/>
    </i>
    <i t="data" r="0" i="0">
      <x v="991"/>
    </i>
    <i t="data" r="0" i="0">
      <x v="1110"/>
    </i>
    <i t="data" r="0" i="0">
      <x v="992"/>
    </i>
    <i t="data" r="0" i="0">
      <x v="1118"/>
    </i>
    <i t="data" r="0" i="0">
      <x v="993"/>
    </i>
    <i t="data" r="0" i="0">
      <x v="1126"/>
    </i>
    <i t="data" r="0" i="0">
      <x v="994"/>
    </i>
    <i t="data" r="0" i="0">
      <x v="1134"/>
    </i>
    <i t="data" r="0" i="0">
      <x v="995"/>
    </i>
    <i t="data" r="0" i="0">
      <x v="1142"/>
    </i>
    <i t="data" r="0" i="0">
      <x v="996"/>
    </i>
    <i t="data" r="0" i="0">
      <x v="1150"/>
    </i>
    <i t="data" r="0" i="0">
      <x v="997"/>
    </i>
    <i t="data" r="0" i="0">
      <x v="1158"/>
    </i>
    <i t="data" r="0" i="0">
      <x v="998"/>
    </i>
    <i t="data" r="0" i="0">
      <x v="1166"/>
    </i>
    <i t="data" r="0" i="0">
      <x v="999"/>
    </i>
    <i t="data" r="0" i="0">
      <x v="1175"/>
    </i>
    <i t="data" r="0" i="0">
      <x v="1000"/>
    </i>
    <i t="data" r="0" i="0">
      <x v="1184"/>
    </i>
    <i t="data" r="0" i="0">
      <x v="1001"/>
    </i>
    <i t="data" r="0" i="0">
      <x v="1192"/>
    </i>
    <i t="data" r="0" i="0">
      <x v="1002"/>
    </i>
    <i t="data" r="0" i="0">
      <x v="1200"/>
    </i>
    <i t="data" r="0" i="0">
      <x v="1003"/>
    </i>
    <i t="data" r="0" i="0">
      <x v="976"/>
    </i>
    <i t="data" r="0" i="0">
      <x v="1004"/>
    </i>
    <i t="data" r="0" i="0">
      <x v="1233"/>
    </i>
    <i t="data" r="0" i="0">
      <x v="1005"/>
    </i>
    <i t="data" r="0" i="0">
      <x v="1241"/>
    </i>
    <i t="data" r="0" i="0">
      <x v="1006"/>
    </i>
    <i t="data" r="0" i="0">
      <x v="1250"/>
    </i>
    <i t="data" r="0" i="0">
      <x v="962"/>
    </i>
    <i t="data" r="0" i="0">
      <x v="1108"/>
    </i>
    <i t="data" r="0" i="0">
      <x v="1008"/>
    </i>
    <i t="data" r="0" i="0">
      <x v="1112"/>
    </i>
    <i t="data" r="0" i="0">
      <x v="1009"/>
    </i>
    <i t="data" r="0" i="0">
      <x v="1116"/>
    </i>
    <i t="data" r="0" i="0">
      <x v="1010"/>
    </i>
    <i t="data" r="0" i="0">
      <x v="1120"/>
    </i>
    <i t="data" r="0" i="0">
      <x v="1011"/>
    </i>
    <i t="data" r="0" i="0">
      <x v="1124"/>
    </i>
    <i t="data" r="0" i="0">
      <x v="1012"/>
    </i>
    <i t="data" r="0" i="0">
      <x v="1128"/>
    </i>
    <i t="data" r="0" i="0">
      <x v="1013"/>
    </i>
    <i t="data" r="0" i="0">
      <x v="1132"/>
    </i>
    <i t="data" r="0" i="0">
      <x v="1014"/>
    </i>
    <i t="data" r="0" i="0">
      <x v="1136"/>
    </i>
    <i t="data" r="0" i="0">
      <x v="1015"/>
    </i>
    <i t="data" r="0" i="0">
      <x v="1140"/>
    </i>
    <i t="data" r="0" i="0">
      <x v="1016"/>
    </i>
    <i t="data" r="0" i="0">
      <x v="1144"/>
    </i>
    <i t="data" r="0" i="0">
      <x v="1017"/>
    </i>
    <i t="data" r="0" i="0">
      <x v="1148"/>
    </i>
    <i t="data" r="0" i="0">
      <x v="1018"/>
    </i>
    <i t="data" r="0" i="0">
      <x v="1152"/>
    </i>
    <i t="data" r="0" i="0">
      <x v="1019"/>
    </i>
    <i t="data" r="0" i="0">
      <x v="1156"/>
    </i>
    <i t="data" r="0" i="0">
      <x v="1020"/>
    </i>
    <i t="data" r="0" i="0">
      <x v="1160"/>
    </i>
    <i t="data" r="0" i="0">
      <x v="961"/>
    </i>
    <i t="data" r="0" i="0">
      <x v="1164"/>
    </i>
    <i t="data" r="0" i="0">
      <x v="1022"/>
    </i>
    <i t="data" r="0" i="0">
      <x v="1168"/>
    </i>
    <i t="data" r="0" i="0">
      <x v="1023"/>
    </i>
    <i t="data" r="0" i="0">
      <x v="1173"/>
    </i>
    <i t="data" r="0" i="0">
      <x v="964"/>
    </i>
    <i t="data" r="0" i="0">
      <x v="1177"/>
    </i>
    <i t="data" r="0" i="0">
      <x v="1025"/>
    </i>
    <i t="data" r="0" i="0">
      <x v="1182"/>
    </i>
    <i t="data" r="0" i="0">
      <x v="1026"/>
    </i>
    <i t="data" r="0" i="0">
      <x v="1186"/>
    </i>
    <i t="data" r="0" i="0">
      <x v="1027"/>
    </i>
    <i t="data" r="0" i="0">
      <x v="1190"/>
    </i>
    <i t="data" r="0" i="0">
      <x v="1028"/>
    </i>
    <i t="data" r="0" i="0">
      <x v="1194"/>
    </i>
    <i t="data" r="0" i="0">
      <x v="1029"/>
    </i>
    <i t="data" r="0" i="0">
      <x v="1198"/>
    </i>
    <i t="data" r="0" i="0">
      <x v="1030"/>
    </i>
    <i t="data" r="0" i="0">
      <x v="1202"/>
    </i>
    <i t="data" r="0" i="0">
      <x v="1031"/>
    </i>
    <i t="data" r="0" i="0">
      <x v="975"/>
    </i>
    <i t="data" r="0" i="0">
      <x v="1032"/>
    </i>
    <i t="data" r="0" i="0">
      <x v="1210"/>
    </i>
    <i t="data" r="0" i="0">
      <x v="965"/>
    </i>
    <i t="data" r="0" i="0">
      <x v="1214"/>
    </i>
    <i t="data" r="0" i="0">
      <x v="1034"/>
    </i>
    <i t="data" r="0" i="0">
      <x v="1235"/>
    </i>
    <i t="data" r="0" i="0">
      <x v="1035"/>
    </i>
    <i t="data" r="0" i="0">
      <x v="1239"/>
    </i>
    <i t="data" r="0" i="0">
      <x v="1036"/>
    </i>
    <i t="data" r="0" i="0">
      <x v="1243"/>
    </i>
    <i t="data" r="0" i="0">
      <x v="1037"/>
    </i>
    <i t="data" r="0" i="0">
      <x v="1247"/>
    </i>
    <i t="data" r="0" i="0">
      <x v="1038"/>
    </i>
    <i t="data" r="0" i="0">
      <x v="1252"/>
    </i>
    <i t="data" r="0" i="0">
      <x v="1039"/>
    </i>
    <i t="data" r="0" i="0">
      <x v="1107"/>
    </i>
    <i t="data" r="0" i="0">
      <x v="1040"/>
    </i>
    <i t="data" r="0" i="0">
      <x v="1109"/>
    </i>
    <i t="data" r="0" i="0">
      <x v="1041"/>
    </i>
    <i t="data" r="0" i="0">
      <x v="1111"/>
    </i>
    <i t="data" r="0" i="0">
      <x v="1042"/>
    </i>
    <i t="data" r="0" i="0">
      <x v="1113"/>
    </i>
    <i t="data" r="0" i="0">
      <x v="1043"/>
    </i>
    <i t="data" r="0" i="0">
      <x v="1115"/>
    </i>
    <i t="data" r="0" i="0">
      <x v="1044"/>
    </i>
    <i t="data" r="0" i="0">
      <x v="1117"/>
    </i>
    <i t="data" r="0" i="0">
      <x v="1045"/>
    </i>
    <i t="data" r="0" i="0">
      <x v="1119"/>
    </i>
    <i t="data" r="0" i="0">
      <x v="1046"/>
    </i>
    <i t="data" r="0" i="0">
      <x v="1121"/>
    </i>
    <i t="data" r="0" i="0">
      <x v="1047"/>
    </i>
    <i t="data" r="0" i="0">
      <x v="1123"/>
    </i>
    <i t="data" r="0" i="0">
      <x v="966"/>
    </i>
    <i t="data" r="0" i="0">
      <x v="1125"/>
    </i>
    <i t="data" r="0" i="0">
      <x v="1049"/>
    </i>
    <i t="data" r="0" i="0">
      <x v="1127"/>
    </i>
    <i t="data" r="0" i="0">
      <x v="1050"/>
    </i>
    <i t="data" r="0" i="0">
      <x v="970"/>
    </i>
    <i t="data" r="0" i="0">
      <x v="1051"/>
    </i>
    <i t="data" r="0" i="0">
      <x v="1131"/>
    </i>
    <i t="data" r="0" i="0">
      <x v="1052"/>
    </i>
    <i t="data" r="0" i="0">
      <x v="1133"/>
    </i>
    <i t="data" r="0" i="0">
      <x v="967"/>
    </i>
    <i t="data" r="0" i="0">
      <x v="1135"/>
    </i>
    <i t="data" r="0" i="0">
      <x v="1054"/>
    </i>
    <i t="data" r="0" i="0">
      <x v="1137"/>
    </i>
    <i t="data" r="0" i="0">
      <x v="1055"/>
    </i>
    <i t="data" r="0" i="0">
      <x v="1139"/>
    </i>
    <i t="data" r="0" i="0">
      <x v="1056"/>
    </i>
    <i t="data" r="0" i="0">
      <x v="972"/>
    </i>
    <i t="data" r="0" i="0">
      <x v="1057"/>
    </i>
    <i t="data" r="0" i="0">
      <x v="1143"/>
    </i>
    <i t="data" r="0" i="0">
      <x v="1058"/>
    </i>
    <i t="data" r="0" i="0">
      <x v="973"/>
    </i>
    <i t="data" r="0" i="0">
      <x v="1059"/>
    </i>
    <i t="data" r="0" i="0">
      <x v="1147"/>
    </i>
    <i t="data" r="0" i="0">
      <x v="968"/>
    </i>
    <i t="data" r="0" i="0">
      <x v="1149"/>
    </i>
    <i t="data" r="0" i="0">
      <x v="1061"/>
    </i>
    <i t="data" r="0" i="0">
      <x v="1151"/>
    </i>
    <i t="data" r="0" i="0">
      <x v="1062"/>
    </i>
    <i t="data" r="0" i="0">
      <x v="1153"/>
    </i>
    <i t="data" r="0" i="0">
      <x v="1063"/>
    </i>
    <i t="data" r="0" i="0">
      <x v="1155"/>
    </i>
    <i t="data" r="0" i="0">
      <x v="1064"/>
    </i>
    <i t="data" r="0" i="0">
      <x v="1157"/>
    </i>
    <i t="data" r="0" i="0">
      <x v="1066"/>
    </i>
    <i t="data" r="0" i="0">
      <x v="1159"/>
    </i>
    <i t="data" r="0" i="0">
      <x v="1067"/>
    </i>
    <i t="data" r="0" i="0">
      <x v="1161"/>
    </i>
    <i t="data" r="0" i="0">
      <x v="1068"/>
    </i>
    <i t="data" r="0" i="0">
      <x v="1163"/>
    </i>
    <i t="data" r="0" i="0">
      <x v="1069"/>
    </i>
    <i t="data" r="0" i="0">
      <x v="1165"/>
    </i>
    <i t="data" r="0" i="0">
      <x v="1070"/>
    </i>
    <i t="data" r="0" i="0">
      <x v="1167"/>
    </i>
    <i t="data" r="0" i="0">
      <x v="1071"/>
    </i>
    <i t="data" r="0" i="0">
      <x v="1169"/>
    </i>
    <i t="data" r="0" i="0">
      <x v="1072"/>
    </i>
    <i t="data" r="0" i="0">
      <x v="1171"/>
    </i>
    <i t="data" r="0" i="0">
      <x v="1073"/>
    </i>
    <i t="data" r="0" i="0">
      <x v="1174"/>
    </i>
    <i t="data" r="0" i="0">
      <x v="1074"/>
    </i>
    <i t="data" r="0" i="0">
      <x v="1176"/>
    </i>
    <i t="data" r="0" i="0">
      <x v="1075"/>
    </i>
    <i t="data" r="0" i="0">
      <x v="1178"/>
    </i>
    <i t="data" r="0" i="0">
      <x v="1076"/>
    </i>
    <i t="data" r="0" i="0">
      <x v="1181"/>
    </i>
    <i t="data" r="0" i="0">
      <x v="1077"/>
    </i>
    <i t="data" r="0" i="0">
      <x v="1183"/>
    </i>
    <i t="data" r="0" i="0">
      <x v="1078"/>
    </i>
    <i t="data" r="0" i="0">
      <x v="1185"/>
    </i>
    <i t="data" r="0" i="0">
      <x v="1079"/>
    </i>
    <i t="data" r="0" i="0">
      <x v="1187"/>
    </i>
    <i t="data" r="0" i="0">
      <x v="1080"/>
    </i>
    <i t="data" r="0" i="0">
      <x v="1189"/>
    </i>
    <i t="data" r="0" i="0">
      <x v="1081"/>
    </i>
    <i t="data" r="0" i="0">
      <x v="1191"/>
    </i>
    <i t="data" r="0" i="0">
      <x v="1082"/>
    </i>
    <i t="data" r="0" i="0">
      <x v="1193"/>
    </i>
    <i t="data" r="0" i="0">
      <x v="1083"/>
    </i>
    <i t="data" r="0" i="0">
      <x v="1195"/>
    </i>
    <i t="data" r="0" i="0">
      <x v="1084"/>
    </i>
    <i t="data" r="0" i="0">
      <x v="1197"/>
    </i>
    <i t="data" r="0" i="0">
      <x v="1085"/>
    </i>
    <i t="data" r="0" i="0">
      <x v="1199"/>
    </i>
    <i t="data" r="0" i="0">
      <x v="1215"/>
    </i>
    <i t="data" r="0" i="0">
      <x v="1201"/>
    </i>
    <i t="data" r="0" i="0">
      <x v="1217"/>
    </i>
    <i t="data" r="0" i="0">
      <x v="1203"/>
    </i>
    <i t="data" r="0" i="0">
      <x v="1219"/>
    </i>
    <i t="data" r="0" i="0">
      <x v="1205"/>
    </i>
    <i t="data" r="0" i="0">
      <x v="969"/>
    </i>
    <i t="data" r="0" i="0">
      <x v="1207"/>
    </i>
    <i t="data" r="0" i="0">
      <x v="1223"/>
    </i>
    <i t="data" r="0" i="0">
      <x v="1209"/>
    </i>
    <i t="data" r="0" i="0">
      <x v="1225"/>
    </i>
    <i t="data" r="0" i="0">
      <x v="1211"/>
    </i>
    <i t="data" r="0" i="0">
      <x v="1227"/>
    </i>
    <i t="data" r="0" i="0">
      <x v="1213"/>
    </i>
    <i t="data" r="0" i="0">
      <x v="1229"/>
    </i>
    <i t="data" r="0" i="0">
      <x v="977"/>
    </i>
    <i t="data" r="0" i="0">
      <x v="1231"/>
    </i>
    <i t="data" r="0" i="0">
      <x v="1086"/>
    </i>
    <i t="data" r="0" i="0">
      <x v="1218"/>
    </i>
    <i t="data" r="0" i="0">
      <x v="1087"/>
    </i>
    <i t="data" r="0" i="0">
      <x v="1220"/>
    </i>
    <i t="data" r="0" i="0">
      <x v="1088"/>
    </i>
    <i t="data" r="0" i="0">
      <x v="1222"/>
    </i>
    <i t="data" r="0" i="0">
      <x v="1089"/>
    </i>
    <i t="data" r="0" i="0">
      <x v="1224"/>
    </i>
    <i t="data" r="0" i="0">
      <x v="1090"/>
    </i>
    <i t="data" r="0" i="0">
      <x v="1226"/>
    </i>
    <i t="data" r="0" i="0">
      <x v="1091"/>
    </i>
    <i t="data" r="0" i="0">
      <x v="1228"/>
    </i>
    <i t="data" r="0" i="0">
      <x v="1092"/>
    </i>
    <i t="data" r="0" i="0">
      <x v="1230"/>
    </i>
    <i t="data" r="0" i="0">
      <x v="1093"/>
    </i>
    <i t="data" r="0" i="0">
      <x v="1232"/>
    </i>
    <i t="data" r="0" i="0">
      <x v="1094"/>
    </i>
    <i t="data" r="0" i="0">
      <x v="1234"/>
    </i>
    <i t="data" r="0" i="0">
      <x v="1095"/>
    </i>
    <i t="data" r="0" i="0">
      <x v="1236"/>
    </i>
    <i t="data" r="0" i="0">
      <x v="1096"/>
    </i>
    <i t="data" r="0" i="0">
      <x v="1238"/>
    </i>
    <i t="data" r="0" i="0">
      <x v="1097"/>
    </i>
    <i t="data" r="0" i="0">
      <x v="1240"/>
    </i>
    <i t="data" r="0" i="0">
      <x v="1098"/>
    </i>
    <i t="data" r="0" i="0">
      <x v="1242"/>
    </i>
    <i t="data" r="0" i="0">
      <x v="1099"/>
    </i>
    <i t="data" r="0" i="0">
      <x v="1244"/>
    </i>
    <i t="data" r="0" i="0">
      <x v="1100"/>
    </i>
    <i t="data" r="0" i="0">
      <x v="1246"/>
    </i>
    <i t="data" r="0" i="0">
      <x v="1102"/>
    </i>
    <i t="data" r="0" i="0">
      <x v="1248"/>
    </i>
    <i t="data" r="0" i="0">
      <x v="1103"/>
    </i>
    <i t="data" r="0" i="0">
      <x v="1251"/>
    </i>
    <i t="data" r="0" i="0">
      <x v="1104"/>
    </i>
    <i t="data" r="0" i="0">
      <x v="1253"/>
    </i>
    <i t="data" r="0" i="0">
      <x v="1105"/>
    </i>
    <i t="data" r="0" i="0">
      <x v="1106"/>
    </i>
    <i t="data" r="0" i="0">
      <x v="824"/>
    </i>
    <i t="data" r="0" i="0">
      <x v="676"/>
    </i>
    <i t="data" r="0" i="0">
      <x v="860"/>
    </i>
    <i t="data" r="0" i="0">
      <x v="690"/>
    </i>
    <i t="data" r="0" i="0">
      <x v="925"/>
    </i>
    <i t="data" r="0" i="0">
      <x v="691"/>
    </i>
    <i t="data" r="0" i="0">
      <x v="843"/>
    </i>
    <i t="data" r="0" i="0">
      <x v="692"/>
    </i>
    <i t="data" r="0" i="0">
      <x v="877"/>
    </i>
    <i t="data" r="0" i="0">
      <x v="693"/>
    </i>
    <i t="data" r="0" i="0">
      <x v="909"/>
    </i>
    <i t="data" r="0" i="0">
      <x v="694"/>
    </i>
    <i t="data" r="0" i="0">
      <x v="941"/>
    </i>
    <i t="data" r="0" i="0">
      <x v="695"/>
    </i>
    <i t="data" r="0" i="0">
      <x v="832"/>
    </i>
    <i t="data" r="0" i="0">
      <x v="658"/>
    </i>
    <i t="data" r="0" i="0">
      <x v="851"/>
    </i>
    <i t="data" r="0" i="0">
      <x v="697"/>
    </i>
    <i t="data" r="0" i="0">
      <x v="869"/>
    </i>
    <i t="data" r="0" i="0">
      <x v="698"/>
    </i>
    <i t="data" r="0" i="0">
      <x v="885"/>
    </i>
    <i t="data" r="0" i="0">
      <x v="699"/>
    </i>
    <i t="data" r="0" i="0">
      <x v="677"/>
    </i>
    <i t="data" r="0" i="0">
      <x v="700"/>
    </i>
    <i t="data" r="0" i="0">
      <x v="917"/>
    </i>
    <i t="data" r="0" i="0">
      <x v="701"/>
    </i>
    <i t="data" r="0" i="0">
      <x v="933"/>
    </i>
    <i t="data" r="0" i="0">
      <x v="702"/>
    </i>
    <i t="data" r="0" i="0">
      <x v="949"/>
    </i>
    <i t="data" r="0" i="0">
      <x v="659"/>
    </i>
    <i t="data" r="0" i="0">
      <x v="666"/>
    </i>
    <i t="data" r="0" i="0">
      <x v="660"/>
    </i>
    <i t="data" r="0" i="0">
      <x v="839"/>
    </i>
    <i t="data" r="0" i="0">
      <x v="705"/>
    </i>
    <i t="data" r="0" i="0">
      <x v="847"/>
    </i>
    <i t="data" r="0" i="0">
      <x v="706"/>
    </i>
    <i t="data" r="0" i="0">
      <x v="855"/>
    </i>
    <i t="data" r="0" i="0">
      <x v="661"/>
    </i>
    <i t="data" r="0" i="0">
      <x v="865"/>
    </i>
    <i t="data" r="0" i="0">
      <x v="708"/>
    </i>
    <i t="data" r="0" i="0">
      <x v="873"/>
    </i>
    <i t="data" r="0" i="0">
      <x v="709"/>
    </i>
    <i t="data" r="0" i="0">
      <x v="881"/>
    </i>
    <i t="data" r="0" i="0">
      <x v="710"/>
    </i>
    <i t="data" r="0" i="0">
      <x v="675"/>
    </i>
    <i t="data" r="0" i="0">
      <x v="711"/>
    </i>
    <i t="data" r="0" i="0">
      <x v="897"/>
    </i>
    <i t="data" r="0" i="0">
      <x v="712"/>
    </i>
    <i t="data" r="0" i="0">
      <x v="905"/>
    </i>
    <i t="data" r="0" i="0">
      <x v="713"/>
    </i>
    <i t="data" r="0" i="0">
      <x v="913"/>
    </i>
    <i t="data" r="0" i="0">
      <x v="714"/>
    </i>
    <i t="data" r="0" i="0">
      <x v="921"/>
    </i>
    <i t="data" r="0" i="0">
      <x v="716"/>
    </i>
    <i t="data" r="0" i="0">
      <x v="929"/>
    </i>
    <i t="data" r="0" i="0">
      <x v="717"/>
    </i>
    <i t="data" r="0" i="0">
      <x v="937"/>
    </i>
    <i t="data" r="0" i="0">
      <x v="718"/>
    </i>
    <i t="data" r="0" i="0">
      <x v="945"/>
    </i>
    <i t="data" r="0" i="0">
      <x v="662"/>
    </i>
    <i t="data" r="0" i="0">
      <x v="953"/>
    </i>
    <i t="data" r="0" i="0">
      <x v="663"/>
    </i>
    <i t="data" r="0" i="0">
      <x v="826"/>
    </i>
    <i t="data" r="0" i="0">
      <x v="722"/>
    </i>
    <i t="data" r="0" i="0">
      <x v="830"/>
    </i>
    <i t="data" r="0" i="0">
      <x v="723"/>
    </i>
    <i t="data" r="0" i="0">
      <x v="667"/>
    </i>
    <i t="data" r="0" i="0">
      <x v="724"/>
    </i>
    <i t="data" r="0" i="0">
      <x v="841"/>
    </i>
    <i t="data" r="0" i="0">
      <x v="725"/>
    </i>
    <i t="data" r="0" i="0">
      <x v="845"/>
    </i>
    <i t="data" r="0" i="0">
      <x v="726"/>
    </i>
    <i t="data" r="0" i="0">
      <x v="849"/>
    </i>
    <i t="data" r="0" i="0">
      <x v="727"/>
    </i>
    <i t="data" r="0" i="0">
      <x v="853"/>
    </i>
    <i t="data" r="0" i="0">
      <x v="728"/>
    </i>
    <i t="data" r="0" i="0">
      <x v="671"/>
    </i>
    <i t="data" r="0" i="0">
      <x v="729"/>
    </i>
    <i t="data" r="0" i="0">
      <x v="672"/>
    </i>
    <i t="data" r="0" i="0">
      <x v="730"/>
    </i>
    <i t="data" r="0" i="0">
      <x v="867"/>
    </i>
    <i t="data" r="0" i="0">
      <x v="731"/>
    </i>
    <i t="data" r="0" i="0">
      <x v="871"/>
    </i>
    <i t="data" r="0" i="0">
      <x v="732"/>
    </i>
    <i t="data" r="0" i="0">
      <x v="875"/>
    </i>
    <i t="data" r="0" i="0">
      <x v="733"/>
    </i>
    <i t="data" r="0" i="0">
      <x v="879"/>
    </i>
    <i t="data" r="0" i="0">
      <x v="734"/>
    </i>
    <i t="data" r="0" i="0">
      <x v="883"/>
    </i>
    <i t="data" r="0" i="0">
      <x v="735"/>
    </i>
    <i t="data" r="0" i="0">
      <x v="887"/>
    </i>
    <i t="data" r="0" i="0">
      <x v="736"/>
    </i>
    <i t="data" r="0" i="0">
      <x v="891"/>
    </i>
    <i t="data" r="0" i="0">
      <x v="737"/>
    </i>
    <i t="data" r="0" i="0">
      <x v="895"/>
    </i>
    <i t="data" r="0" i="0">
      <x v="738"/>
    </i>
    <i t="data" r="0" i="0">
      <x v="899"/>
    </i>
    <i t="data" r="0" i="0">
      <x v="739"/>
    </i>
    <i t="data" r="0" i="0">
      <x v="903"/>
    </i>
    <i t="data" r="0" i="0">
      <x v="740"/>
    </i>
    <i t="data" r="0" i="0">
      <x v="907"/>
    </i>
    <i t="data" r="0" i="0">
      <x v="741"/>
    </i>
    <i t="data" r="0" i="0">
      <x v="911"/>
    </i>
    <i t="data" r="0" i="0">
      <x v="742"/>
    </i>
    <i t="data" r="0" i="0">
      <x v="915"/>
    </i>
    <i t="data" r="0" i="0">
      <x v="743"/>
    </i>
    <i t="data" r="0" i="0">
      <x v="919"/>
    </i>
    <i t="data" r="0" i="0">
      <x v="744"/>
    </i>
    <i t="data" r="0" i="0">
      <x v="923"/>
    </i>
    <i t="data" r="0" i="0">
      <x v="745"/>
    </i>
    <i t="data" r="0" i="0">
      <x v="681"/>
    </i>
    <i t="data" r="0" i="0">
      <x v="746"/>
    </i>
    <i t="data" r="0" i="0">
      <x v="931"/>
    </i>
    <i t="data" r="0" i="0">
      <x v="747"/>
    </i>
    <i t="data" r="0" i="0">
      <x v="935"/>
    </i>
    <i t="data" r="0" i="0">
      <x v="748"/>
    </i>
    <i t="data" r="0" i="0">
      <x v="939"/>
    </i>
    <i t="data" r="0" i="0">
      <x v="751"/>
    </i>
    <i t="data" r="0" i="0">
      <x v="943"/>
    </i>
    <i t="data" r="0" i="0">
      <x v="752"/>
    </i>
    <i t="data" r="0" i="0">
      <x v="947"/>
    </i>
    <i t="data" r="0" i="0">
      <x v="753"/>
    </i>
    <i t="data" r="0" i="0">
      <x v="951"/>
    </i>
    <i t="data" r="0" i="0">
      <x v="754"/>
    </i>
    <i t="data" r="0" i="0">
      <x v="823"/>
    </i>
    <i t="data" r="0" i="0">
      <x v="755"/>
    </i>
    <i t="data" r="0" i="0">
      <x v="825"/>
    </i>
    <i t="data" r="0" i="0">
      <x v="756"/>
    </i>
    <i t="data" r="0" i="0">
      <x v="827"/>
    </i>
    <i t="data" r="0" i="0">
      <x v="757"/>
    </i>
    <i t="data" r="0" i="0">
      <x v="829"/>
    </i>
    <i t="data" r="0" i="0">
      <x v="758"/>
    </i>
    <i t="data" r="0" i="0">
      <x v="831"/>
    </i>
    <i t="data" r="0" i="0">
      <x v="759"/>
    </i>
    <i t="data" r="0" i="0">
      <x v="833"/>
    </i>
    <i t="data" r="0" i="0">
      <x v="760"/>
    </i>
    <i t="data" r="0" i="0">
      <x v="836"/>
    </i>
    <i t="data" r="0" i="0">
      <x v="761"/>
    </i>
    <i t="data" r="0" i="0">
      <x v="668"/>
    </i>
    <i t="data" r="0" i="0">
      <x v="762"/>
    </i>
    <i t="data" r="0" i="0">
      <x v="842"/>
    </i>
    <i t="data" r="0" i="0">
      <x v="763"/>
    </i>
    <i t="data" r="0" i="0">
      <x v="844"/>
    </i>
    <i t="data" r="0" i="0">
      <x v="764"/>
    </i>
    <i t="data" r="0" i="0">
      <x v="846"/>
    </i>
    <i t="data" r="0" i="0">
      <x v="766"/>
    </i>
    <i t="data" r="0" i="0">
      <x v="848"/>
    </i>
    <i t="data" r="0" i="0">
      <x v="767"/>
    </i>
    <i t="data" r="0" i="0">
      <x v="669"/>
    </i>
    <i t="data" r="0" i="0">
      <x v="768"/>
    </i>
    <i t="data" r="0" i="0">
      <x v="670"/>
    </i>
    <i t="data" r="0" i="0">
      <x v="769"/>
    </i>
    <i t="data" r="0" i="0">
      <x v="854"/>
    </i>
    <i t="data" r="0" i="0">
      <x v="770"/>
    </i>
    <i t="data" r="0" i="0">
      <x v="856"/>
    </i>
    <i t="data" r="0" i="0">
      <x v="771"/>
    </i>
    <i t="data" r="0" i="0">
      <x v="859"/>
    </i>
    <i t="data" r="0" i="0">
      <x v="772"/>
    </i>
    <i t="data" r="0" i="0">
      <x v="861"/>
    </i>
    <i t="data" r="0" i="0">
      <x v="774"/>
    </i>
    <i t="data" r="0" i="0">
      <x v="864"/>
    </i>
    <i t="data" r="0" i="0">
      <x v="775"/>
    </i>
    <i t="data" r="0" i="0">
      <x v="866"/>
    </i>
    <i t="data" r="0" i="0">
      <x v="776"/>
    </i>
    <i t="data" r="0" i="0">
      <x v="868"/>
    </i>
    <i t="data" r="0" i="0">
      <x v="777"/>
    </i>
    <i t="data" r="0" i="0">
      <x v="870"/>
    </i>
    <i t="data" r="0" i="0">
      <x v="778"/>
    </i>
    <i t="data" r="0" i="0">
      <x v="872"/>
    </i>
    <i t="data" r="0" i="0">
      <x v="779"/>
    </i>
    <i t="data" r="0" i="0">
      <x v="874"/>
    </i>
    <i t="data" r="0" i="0">
      <x v="780"/>
    </i>
    <i t="data" r="0" i="0">
      <x v="876"/>
    </i>
    <i t="data" r="0" i="0">
      <x v="781"/>
    </i>
    <i t="data" r="0" i="0">
      <x v="878"/>
    </i>
    <i t="data" r="0" i="0">
      <x v="782"/>
    </i>
    <i t="data" r="0" i="0">
      <x v="673"/>
    </i>
    <i t="data" r="0" i="0">
      <x v="783"/>
    </i>
    <i t="data" r="0" i="0">
      <x v="674"/>
    </i>
    <i t="data" r="0" i="0">
      <x v="784"/>
    </i>
    <i t="data" r="0" i="0">
      <x v="884"/>
    </i>
    <i t="data" r="0" i="0">
      <x v="785"/>
    </i>
    <i t="data" r="0" i="0">
      <x v="886"/>
    </i>
    <i t="data" r="0" i="0">
      <x v="786"/>
    </i>
    <i t="data" r="0" i="0">
      <x v="888"/>
    </i>
    <i t="data" r="0" i="0">
      <x v="787"/>
    </i>
    <i t="data" r="0" i="0">
      <x v="890"/>
    </i>
    <i t="data" r="0" i="0">
      <x v="788"/>
    </i>
    <i t="data" r="0" i="0">
      <x v="892"/>
    </i>
    <i t="data" r="0" i="0">
      <x v="790"/>
    </i>
    <i t="data" r="0" i="0">
      <x v="894"/>
    </i>
    <i t="data" r="0" i="0">
      <x v="791"/>
    </i>
    <i t="data" r="0" i="0">
      <x v="896"/>
    </i>
    <i t="data" r="0" i="0">
      <x v="792"/>
    </i>
    <i t="data" r="0" i="0">
      <x v="898"/>
    </i>
    <i t="data" r="0" i="0">
      <x v="793"/>
    </i>
    <i t="data" r="0" i="0">
      <x v="900"/>
    </i>
    <i t="data" r="0" i="0">
      <x v="794"/>
    </i>
    <i t="data" r="0" i="0">
      <x v="902"/>
    </i>
    <i t="data" r="0" i="0">
      <x v="795"/>
    </i>
    <i t="data" r="0" i="0">
      <x v="904"/>
    </i>
    <i t="data" r="0" i="0">
      <x v="796"/>
    </i>
    <i t="data" r="0" i="0">
      <x v="906"/>
    </i>
    <i t="data" r="0" i="0">
      <x v="797"/>
    </i>
    <i t="data" r="0" i="0">
      <x v="678"/>
    </i>
    <i t="data" r="0" i="0">
      <x v="798"/>
    </i>
    <i t="data" r="0" i="0">
      <x v="910"/>
    </i>
    <i t="data" r="0" i="0">
      <x v="799"/>
    </i>
    <i t="data" r="0" i="0">
      <x v="912"/>
    </i>
    <i t="data" r="0" i="0">
      <x v="800"/>
    </i>
    <i t="data" r="0" i="0">
      <x v="914"/>
    </i>
    <i t="data" r="0" i="0">
      <x v="801"/>
    </i>
    <i t="data" r="0" i="0">
      <x v="679"/>
    </i>
    <i t="data" r="0" i="0">
      <x v="802"/>
    </i>
    <i t="data" r="0" i="0">
      <x v="918"/>
    </i>
    <i t="data" r="0" i="0">
      <x v="803"/>
    </i>
    <i t="data" r="0" i="0">
      <x v="920"/>
    </i>
    <i t="data" r="0" i="0">
      <x v="804"/>
    </i>
    <i t="data" r="0" i="0">
      <x v="680"/>
    </i>
    <i t="data" r="0" i="0">
      <x v="805"/>
    </i>
    <i t="data" r="0" i="0">
      <x v="924"/>
    </i>
    <i t="data" r="0" i="0">
      <x v="954"/>
    </i>
    <i t="data" r="0" i="0">
      <x v="926"/>
    </i>
    <i t="data" r="0" i="0">
      <x v="956"/>
    </i>
    <i t="data" r="0" i="0">
      <x v="682"/>
    </i>
    <i t="data" r="0" i="0">
      <x v="959"/>
    </i>
    <i t="data" r="0" i="0">
      <x v="684"/>
    </i>
    <i t="data" r="0" i="0">
      <x v="657"/>
    </i>
    <i t="data" r="0" i="0">
      <x v="685"/>
    </i>
    <i t="data" r="0" i="0">
      <x v="810"/>
    </i>
    <i t="data" r="0" i="0">
      <x v="934"/>
    </i>
    <i t="data" r="0" i="0">
      <x v="811"/>
    </i>
    <i t="data" r="0" i="0">
      <x v="686"/>
    </i>
    <i t="data" r="0" i="0">
      <x v="812"/>
    </i>
    <i t="data" r="0" i="0">
      <x v="687"/>
    </i>
    <i t="data" r="0" i="0">
      <x v="814"/>
    </i>
    <i t="data" r="0" i="0">
      <x v="940"/>
    </i>
    <i t="data" r="0" i="0">
      <x v="815"/>
    </i>
    <i t="data" r="0" i="0">
      <x v="942"/>
    </i>
    <i t="data" r="0" i="0">
      <x v="664"/>
    </i>
    <i t="data" r="0" i="0">
      <x v="688"/>
    </i>
    <i t="data" r="0" i="0">
      <x v="817"/>
    </i>
    <i t="data" r="0" i="0">
      <x v="946"/>
    </i>
    <i t="data" r="0" i="0">
      <x v="818"/>
    </i>
    <i t="data" r="0" i="0">
      <x v="948"/>
    </i>
    <i t="data" r="0" i="0">
      <x v="819"/>
    </i>
    <i t="data" r="0" i="0">
      <x v="950"/>
    </i>
    <i t="data" r="0" i="0">
      <x v="820"/>
    </i>
    <i t="data" r="0" i="0">
      <x v="952"/>
    </i>
    <i t="data" r="0" i="0">
      <x v="821"/>
    </i>
    <i t="data" r="0" i="0">
      <x v="689"/>
    </i>
    <i t="data" r="0" i="0">
      <x v="665"/>
    </i>
    <i t="data" r="0" i="0">
      <x v="806"/>
    </i>
    <i t="data" r="0" i="0">
      <x v="957"/>
    </i>
    <i t="data" r="0" i="0">
      <x v="807"/>
    </i>
    <i t="data" r="0" i="0">
      <x v="808"/>
    </i>
    <i t="data" r="0" i="0">
      <x v="809"/>
    </i>
    <i t="data" r="0" i="0">
      <x v="391"/>
    </i>
    <i t="data" r="0" i="0">
      <x v="401"/>
    </i>
    <i t="data" r="0" i="0">
      <x v="582"/>
    </i>
    <i t="data" r="0" i="0">
      <x v="402"/>
    </i>
    <i t="data" r="0" i="0">
      <x v="533"/>
    </i>
    <i t="data" r="0" i="0">
      <x v="403"/>
    </i>
    <i t="data" r="0" i="0">
      <x v="566"/>
    </i>
    <i t="data" r="0" i="0">
      <x v="404"/>
    </i>
    <i t="data" r="0" i="0">
      <x v="599"/>
    </i>
    <i t="data" r="0" i="0">
      <x v="359"/>
    </i>
    <i t="data" r="0" i="0">
      <x v="524"/>
    </i>
    <i t="data" r="0" i="0">
      <x v="406"/>
    </i>
    <i t="data" r="0" i="0">
      <x v="542"/>
    </i>
    <i t="data" r="0" i="0">
      <x v="408"/>
    </i>
    <i t="data" r="0" i="0">
      <x v="558"/>
    </i>
    <i t="data" r="0" i="0">
      <x v="360"/>
    </i>
    <i t="data" r="0" i="0">
      <x v="574"/>
    </i>
    <i t="data" r="0" i="0">
      <x v="340"/>
    </i>
    <i t="data" r="0" i="0">
      <x v="591"/>
    </i>
    <i t="data" r="0" i="0">
      <x v="412"/>
    </i>
    <i t="data" r="0" i="0">
      <x v="608"/>
    </i>
    <i t="data" r="0" i="0">
      <x v="415"/>
    </i>
    <i t="data" r="0" i="0">
      <x v="520"/>
    </i>
    <i t="data" r="0" i="0">
      <x v="416"/>
    </i>
    <i t="data" r="0" i="0">
      <x v="529"/>
    </i>
    <i t="data" r="0" i="0">
      <x v="417"/>
    </i>
    <i t="data" r="0" i="0">
      <x v="387"/>
    </i>
    <i t="data" r="0" i="0">
      <x v="369"/>
    </i>
    <i t="data" r="0" i="0">
      <x v="546"/>
    </i>
    <i t="data" r="0" i="0">
      <x v="419"/>
    </i>
    <i t="data" r="0" i="0">
      <x v="393"/>
    </i>
    <i t="data" r="0" i="0">
      <x v="420"/>
    </i>
    <i t="data" r="0" i="0">
      <x v="395"/>
    </i>
    <i t="data" r="0" i="0">
      <x v="421"/>
    </i>
    <i t="data" r="0" i="0">
      <x v="570"/>
    </i>
    <i t="data" r="0" i="0">
      <x v="370"/>
    </i>
    <i t="data" r="0" i="0">
      <x v="578"/>
    </i>
    <i t="data" r="0" i="0">
      <x v="424"/>
    </i>
    <i t="data" r="0" i="0">
      <x v="586"/>
    </i>
    <i t="data" r="0" i="0">
      <x v="426"/>
    </i>
    <i t="data" r="0" i="0">
      <x v="595"/>
    </i>
    <i t="data" r="0" i="0">
      <x v="427"/>
    </i>
    <i t="data" r="0" i="0">
      <x v="398"/>
    </i>
    <i t="data" r="0" i="0">
      <x v="363"/>
    </i>
    <i t="data" r="0" i="0">
      <x v="612"/>
    </i>
    <i t="data" r="0" i="0">
      <x v="429"/>
    </i>
    <i t="data" r="0" i="0">
      <x v="518"/>
    </i>
    <i t="data" r="0" i="0">
      <x v="430"/>
    </i>
    <i t="data" r="0" i="0">
      <x v="522"/>
    </i>
    <i t="data" r="0" i="0">
      <x v="431"/>
    </i>
    <i t="data" r="0" i="0">
      <x v="382"/>
    </i>
    <i t="data" r="0" i="0">
      <x v="432"/>
    </i>
    <i t="data" r="0" i="0">
      <x v="531"/>
    </i>
    <i t="data" r="0" i="0">
      <x v="433"/>
    </i>
    <i t="data" r="0" i="0">
      <x v="386"/>
    </i>
    <i t="data" r="0" i="0">
      <x v="435"/>
    </i>
    <i t="data" r="0" i="0">
      <x v="388"/>
    </i>
    <i t="data" r="0" i="0">
      <x v="436"/>
    </i>
    <i t="data" r="0" i="0">
      <x v="544"/>
    </i>
    <i t="data" r="0" i="0">
      <x v="437"/>
    </i>
    <i t="data" r="0" i="0">
      <x v="548"/>
    </i>
    <i t="data" r="0" i="0">
      <x v="439"/>
    </i>
    <i t="data" r="0" i="0">
      <x v="552"/>
    </i>
    <i t="data" r="0" i="0">
      <x v="441"/>
    </i>
    <i t="data" r="0" i="0">
      <x v="394"/>
    </i>
    <i t="data" r="0" i="0">
      <x v="442"/>
    </i>
    <i t="data" r="0" i="0">
      <x v="560"/>
    </i>
    <i t="data" r="0" i="0">
      <x v="341"/>
    </i>
    <i t="data" r="0" i="0">
      <x v="564"/>
    </i>
    <i t="data" r="0" i="0">
      <x v="364"/>
    </i>
    <i t="data" r="0" i="0">
      <x v="568"/>
    </i>
    <i t="data" r="0" i="0">
      <x v="345"/>
    </i>
    <i t="data" r="0" i="0">
      <x v="572"/>
    </i>
    <i t="data" r="0" i="0">
      <x v="373"/>
    </i>
    <i t="data" r="0" i="0">
      <x v="396"/>
    </i>
    <i t="data" r="0" i="0">
      <x v="450"/>
    </i>
    <i t="data" r="0" i="0">
      <x v="580"/>
    </i>
    <i t="data" r="0" i="0">
      <x v="451"/>
    </i>
    <i t="data" r="0" i="0">
      <x v="584"/>
    </i>
    <i t="data" r="0" i="0">
      <x v="452"/>
    </i>
    <i t="data" r="0" i="0">
      <x v="588"/>
    </i>
    <i t="data" r="0" i="0">
      <x v="374"/>
    </i>
    <i t="data" r="0" i="0">
      <x v="593"/>
    </i>
    <i t="data" r="0" i="0">
      <x v="455"/>
    </i>
    <i t="data" r="0" i="0">
      <x v="597"/>
    </i>
    <i t="data" r="0" i="0">
      <x v="456"/>
    </i>
    <i t="data" r="0" i="0">
      <x v="601"/>
    </i>
    <i t="data" r="0" i="0">
      <x v="346"/>
    </i>
    <i t="data" r="0" i="0">
      <x v="606"/>
    </i>
    <i t="data" r="0" i="0">
      <x v="458"/>
    </i>
    <i t="data" r="0" i="0">
      <x v="610"/>
    </i>
    <i t="data" r="0" i="0">
      <x v="459"/>
    </i>
    <i t="data" r="0" i="0">
      <x v="614"/>
    </i>
    <i t="data" r="0" i="0">
      <x v="460"/>
    </i>
    <i t="data" r="0" i="0">
      <x v="517"/>
    </i>
    <i t="data" r="0" i="0">
      <x v="461"/>
    </i>
    <i t="data" r="0" i="0">
      <x v="519"/>
    </i>
    <i t="data" r="0" i="0">
      <x v="347"/>
    </i>
    <i t="data" r="0" i="0">
      <x v="381"/>
    </i>
    <i t="data" r="0" i="0">
      <x v="463"/>
    </i>
    <i t="data" r="0" i="0">
      <x v="523"/>
    </i>
    <i t="data" r="0" i="0">
      <x v="464"/>
    </i>
    <i t="data" r="0" i="0">
      <x v="525"/>
    </i>
    <i t="data" r="0" i="0">
      <x v="375"/>
    </i>
    <i t="data" r="0" i="0">
      <x v="384"/>
    </i>
    <i t="data" r="0" i="0">
      <x v="350"/>
    </i>
    <i t="data" r="0" i="0">
      <x v="530"/>
    </i>
    <i t="data" r="0" i="0">
      <x v="468"/>
    </i>
    <i t="data" r="0" i="0">
      <x v="385"/>
    </i>
    <i t="data" r="0" i="0">
      <x v="469"/>
    </i>
    <i t="data" r="0" i="0">
      <x v="535"/>
    </i>
    <i t="data" r="0" i="0">
      <x v="376"/>
    </i>
    <i t="data" r="0" i="0">
      <x v="337"/>
    </i>
    <i t="data" r="0" i="0">
      <x v="351"/>
    </i>
    <i t="data" r="0" i="0">
      <x v="539"/>
    </i>
    <i t="data" r="0" i="0">
      <x v="473"/>
    </i>
    <i t="data" r="0" i="0">
      <x v="541"/>
    </i>
    <i t="data" r="0" i="0">
      <x v="474"/>
    </i>
    <i t="data" r="0" i="0">
      <x v="543"/>
    </i>
    <i t="data" r="0" i="0">
      <x v="475"/>
    </i>
    <i t="data" r="0" i="0">
      <x v="389"/>
    </i>
    <i t="data" r="0" i="0">
      <x v="377"/>
    </i>
    <i t="data" r="0" i="0">
      <x v="390"/>
    </i>
    <i t="data" r="0" i="0">
      <x v="366"/>
    </i>
    <i t="data" r="0" i="0">
      <x v="549"/>
    </i>
    <i t="data" r="0" i="0">
      <x v="478"/>
    </i>
    <i t="data" r="0" i="0">
      <x v="392"/>
    </i>
    <i t="data" r="0" i="0">
      <x v="479"/>
    </i>
    <i t="data" r="0" i="0">
      <x v="553"/>
    </i>
    <i t="data" r="0" i="0">
      <x v="482"/>
    </i>
    <i t="data" r="0" i="0">
      <x v="555"/>
    </i>
    <i t="data" r="0" i="0">
      <x v="483"/>
    </i>
    <i t="data" r="0" i="0">
      <x v="557"/>
    </i>
    <i t="data" r="0" i="0">
      <x v="484"/>
    </i>
    <i t="data" r="0" i="0">
      <x v="559"/>
    </i>
    <i t="data" r="0" i="0">
      <x v="485"/>
    </i>
    <i t="data" r="0" i="0">
      <x v="561"/>
    </i>
    <i t="data" r="0" i="0">
      <x v="352"/>
    </i>
    <i t="data" r="0" i="0">
      <x v="563"/>
    </i>
    <i t="data" r="0" i="0">
      <x v="487"/>
    </i>
    <i t="data" r="0" i="0">
      <x v="565"/>
    </i>
    <i t="data" r="0" i="0">
      <x v="488"/>
    </i>
    <i t="data" r="0" i="0">
      <x v="567"/>
    </i>
    <i t="data" r="0" i="0">
      <x v="489"/>
    </i>
    <i t="data" r="0" i="0">
      <x v="569"/>
    </i>
    <i t="data" r="0" i="0">
      <x v="490"/>
    </i>
    <i t="data" r="0" i="0">
      <x v="571"/>
    </i>
    <i t="data" r="0" i="0">
      <x v="491"/>
    </i>
    <i t="data" r="0" i="0">
      <x v="573"/>
    </i>
    <i t="data" r="0" i="0">
      <x v="616"/>
    </i>
    <i t="data" r="0" i="0">
      <x v="575"/>
    </i>
    <i t="data" r="0" i="0">
      <x v="617"/>
    </i>
    <i t="data" r="0" i="0">
      <x v="577"/>
    </i>
    <i t="data" r="0" i="0">
      <x v="619"/>
    </i>
    <i t="data" r="0" i="0">
      <x v="579"/>
    </i>
    <i t="data" r="0" i="0">
      <x v="379"/>
    </i>
    <i t="data" r="0" i="0">
      <x v="581"/>
    </i>
    <i t="data" r="0" i="0">
      <x v="623"/>
    </i>
    <i t="data" r="0" i="0">
      <x v="583"/>
    </i>
    <i t="data" r="0" i="0">
      <x v="625"/>
    </i>
    <i t="data" r="0" i="0">
      <x v="585"/>
    </i>
    <i t="data" r="0" i="0">
      <x v="627"/>
    </i>
    <i t="data" r="0" i="0">
      <x v="587"/>
    </i>
    <i t="data" r="0" i="0">
      <x v="629"/>
    </i>
    <i t="data" r="0" i="0">
      <x v="589"/>
    </i>
    <i t="data" r="0" i="0">
      <x v="631"/>
    </i>
    <i t="data" r="0" i="0">
      <x v="592"/>
    </i>
    <i t="data" r="0" i="0">
      <x v="633"/>
    </i>
    <i t="data" r="0" i="0">
      <x v="594"/>
    </i>
    <i t="data" r="0" i="0">
      <x v="635"/>
    </i>
    <i t="data" r="0" i="0">
      <x v="596"/>
    </i>
    <i t="data" r="0" i="0">
      <x v="637"/>
    </i>
    <i t="data" r="0" i="0">
      <x v="598"/>
    </i>
    <i t="data" r="0" i="0">
      <x v="641"/>
    </i>
    <i t="data" r="0" i="0">
      <x v="600"/>
    </i>
    <i t="data" r="0" i="0">
      <x v="643"/>
    </i>
    <i t="data" r="0" i="0">
      <x v="602"/>
    </i>
    <i t="data" r="0" i="0">
      <x v="645"/>
    </i>
    <i t="data" r="0" i="0">
      <x v="605"/>
    </i>
    <i t="data" r="0" i="0">
      <x v="647"/>
    </i>
    <i t="data" r="0" i="0">
      <x v="607"/>
    </i>
    <i t="data" r="0" i="0">
      <x v="511"/>
    </i>
    <i t="data" r="0" i="0">
      <x v="399"/>
    </i>
    <i t="data" r="0" i="0">
      <x v="512"/>
    </i>
    <i t="data" r="0" i="0">
      <x v="400"/>
    </i>
    <i t="data" r="0" i="0">
      <x v="380"/>
    </i>
    <i t="data" r="0" i="0">
      <x v="613"/>
    </i>
    <i t="data" r="0" i="0">
      <x v="514"/>
    </i>
    <i t="data" r="0" i="0">
      <x v="615"/>
    </i>
    <i t="data" r="0" i="0">
      <x v="515"/>
    </i>
    <i t="data" r="0" i="0">
      <x v="516"/>
    </i>
    <i t="data" r="0" i="0">
      <x v="618"/>
    </i>
    <i t="data" r="0" i="0">
      <x v="493"/>
    </i>
    <i t="data" r="0" i="0">
      <x v="620"/>
    </i>
    <i t="data" r="0" i="0">
      <x v="494"/>
    </i>
    <i t="data" r="0" i="0">
      <x v="622"/>
    </i>
    <i t="data" r="0" i="0">
      <x v="495"/>
    </i>
    <i t="data" r="0" i="0">
      <x v="624"/>
    </i>
    <i t="data" r="0" i="0">
      <x v="496"/>
    </i>
    <i t="data" r="0" i="0">
      <x v="626"/>
    </i>
    <i t="data" r="0" i="0">
      <x v="353"/>
    </i>
    <i t="data" r="0" i="0">
      <x v="628"/>
    </i>
    <i t="data" r="0" i="0">
      <x v="498"/>
    </i>
    <i t="data" r="0" i="0">
      <x v="630"/>
    </i>
    <i t="data" r="0" i="0">
      <x v="648"/>
    </i>
    <i t="data" r="0" i="0">
      <x v="632"/>
    </i>
    <i t="data" r="0" i="0">
      <x v="649"/>
    </i>
    <i t="data" r="0" i="0">
      <x v="634"/>
    </i>
    <i t="data" r="0" i="0">
      <x v="651"/>
    </i>
    <i t="data" r="0" i="0">
      <x v="636"/>
    </i>
    <i t="data" r="0" i="0">
      <x v="653"/>
    </i>
    <i t="data" r="0" i="0">
      <x v="640"/>
    </i>
    <i t="data" r="0" i="0">
      <x v="655"/>
    </i>
    <i t="data" r="0" i="0">
      <x v="642"/>
    </i>
    <i t="data" r="0" i="0">
      <x v="505"/>
    </i>
    <i t="data" r="0" i="0">
      <x v="644"/>
    </i>
    <i t="data" r="0" i="0">
      <x v="506"/>
    </i>
    <i t="data" r="0" i="0">
      <x v="646"/>
    </i>
    <i t="data" r="0" i="0">
      <x v="509"/>
    </i>
    <i t="data" r="0" i="0">
      <x v="357"/>
    </i>
    <i t="data" r="0" i="0">
      <x v="510"/>
    </i>
    <i t="data" r="0" i="0">
      <x v="650"/>
    </i>
    <i t="data" r="0" i="0">
      <x v="501"/>
    </i>
    <i t="data" r="0" i="0">
      <x v="652"/>
    </i>
    <i t="data" r="0" i="0">
      <x v="502"/>
    </i>
    <i t="data" r="0" i="0">
      <x v="654"/>
    </i>
    <i t="data" r="0" i="0">
      <x v="503"/>
    </i>
    <i t="data" r="0" i="0">
      <x v="656"/>
    </i>
    <i t="data" r="0" i="0">
      <x v="335"/>
    </i>
    <i t="data" r="0" i="0">
      <x v="504"/>
    </i>
    <i t="data" r="0" i="0">
      <x v="219"/>
    </i>
    <i t="data" r="0" i="0">
      <x v="291"/>
    </i>
    <i t="data" r="0" i="0">
      <x v="59"/>
    </i>
    <i t="data" r="0" i="0">
      <x v="70"/>
    </i>
    <i t="data" r="0" i="0">
      <x v="199"/>
    </i>
    <i t="data" r="0" i="0">
      <x v="71"/>
    </i>
    <i t="data" r="0" i="0">
      <x v="235"/>
    </i>
    <i t="data" r="0" i="0">
      <x v="72"/>
    </i>
    <i t="data" r="0" i="0">
      <x v="273"/>
    </i>
    <i t="data" r="0" i="0">
      <x v="74"/>
    </i>
    <i t="data" r="0" i="0">
      <x v="310"/>
    </i>
    <i t="data" r="0" i="0">
      <x v="75"/>
    </i>
    <i t="data" r="0" i="0">
      <x v="209"/>
    </i>
    <i t="data" r="0" i="0">
      <x v="76"/>
    </i>
    <i t="data" r="0" i="0">
      <x v="227"/>
    </i>
    <i t="data" r="0" i="0">
      <x v="77"/>
    </i>
    <i t="data" r="0" i="0">
      <x v="245"/>
    </i>
    <i t="data" r="0" i="0">
      <x v="78"/>
    </i>
    <i t="data" r="0" i="0">
      <x v="264"/>
    </i>
    <i t="data" r="0" i="0">
      <x v="79"/>
    </i>
    <i t="data" r="0" i="0">
      <x v="281"/>
    </i>
    <i t="data" r="0" i="0">
      <x v="23"/>
    </i>
    <i t="data" r="0" i="0">
      <x v="302"/>
    </i>
    <i t="data" r="0" i="0">
      <x v="24"/>
    </i>
    <i t="data" r="0" i="0">
      <x v="22"/>
    </i>
    <i t="data" r="0" i="0">
      <x v="82"/>
    </i>
    <i t="data" r="0" i="0">
      <x v="50"/>
    </i>
    <i t="data" r="0" i="0">
      <x v="25"/>
    </i>
    <i t="data" r="0" i="0">
      <x v="213"/>
    </i>
    <i t="data" r="0" i="0">
      <x v="84"/>
    </i>
    <i t="data" r="0" i="0">
      <x v="223"/>
    </i>
    <i t="data" r="0" i="0">
      <x v="85"/>
    </i>
    <i t="data" r="0" i="0">
      <x v="231"/>
    </i>
    <i t="data" r="0" i="0">
      <x v="15"/>
    </i>
    <i t="data" r="0" i="0">
      <x v="55"/>
    </i>
    <i t="data" r="0" i="0">
      <x v="87"/>
    </i>
    <i t="data" r="0" i="0">
      <x v="249"/>
    </i>
    <i t="data" r="0" i="0">
      <x v="88"/>
    </i>
    <i t="data" r="0" i="0">
      <x v="20"/>
    </i>
    <i t="data" r="0" i="0">
      <x v="89"/>
    </i>
    <i t="data" r="0" i="0">
      <x v="268"/>
    </i>
    <i t="data" r="0" i="0">
      <x v="27"/>
    </i>
    <i t="data" r="0" i="0">
      <x v="277"/>
    </i>
    <i t="data" r="0" i="0">
      <x v="91"/>
    </i>
    <i t="data" r="0" i="0">
      <x v="66"/>
    </i>
    <i t="data" r="0" i="0">
      <x v="92"/>
    </i>
    <i t="data" r="0" i="0">
      <x v="296"/>
    </i>
    <i t="data" r="0" i="0">
      <x v="93"/>
    </i>
    <i t="data" r="0" i="0">
      <x v="306"/>
    </i>
    <i t="data" r="0" i="0">
      <x v="28"/>
    </i>
    <i t="data" r="0" i="0">
      <x v="317"/>
    </i>
    <i t="data" r="0" i="0">
      <x v="95"/>
    </i>
    <i t="data" r="0" i="0">
      <x v="1"/>
    </i>
    <i t="data" r="0" i="0">
      <x v="96"/>
    </i>
    <i t="data" r="0" i="0">
      <x v="201"/>
    </i>
    <i t="data" r="0" i="0">
      <x v="97"/>
    </i>
    <i t="data" r="0" i="0">
      <x v="207"/>
    </i>
    <i t="data" r="0" i="0">
      <x v="98"/>
    </i>
    <i t="data" r="0" i="0">
      <x v="211"/>
    </i>
    <i t="data" r="0" i="0">
      <x v="99"/>
    </i>
    <i t="data" r="0" i="0">
      <x v="216"/>
    </i>
    <i t="data" r="0" i="0">
      <x v="100"/>
    </i>
    <i t="data" r="0" i="0">
      <x v="53"/>
    </i>
    <i t="data" r="0" i="0">
      <x v="102"/>
    </i>
    <i t="data" r="0" i="0">
      <x v="225"/>
    </i>
    <i t="data" r="0" i="0">
      <x v="103"/>
    </i>
    <i t="data" r="0" i="0">
      <x v="229"/>
    </i>
    <i t="data" r="0" i="0">
      <x v="104"/>
    </i>
    <i t="data" r="0" i="0">
      <x v="233"/>
    </i>
    <i t="data" r="0" i="0">
      <x v="105"/>
    </i>
    <i t="data" r="0" i="0">
      <x v="238"/>
    </i>
    <i t="data" r="0" i="0">
      <x v="106"/>
    </i>
    <i t="data" r="0" i="0">
      <x v="243"/>
    </i>
    <i t="data" r="0" i="0">
      <x v="107"/>
    </i>
    <i t="data" r="0" i="0">
      <x v="247"/>
    </i>
    <i t="data" r="0" i="0">
      <x v="108"/>
    </i>
    <i t="data" r="0" i="0">
      <x v="58"/>
    </i>
    <i t="data" r="0" i="0">
      <x v="109"/>
    </i>
    <i t="data" r="0" i="0">
      <x v="258"/>
    </i>
    <i t="data" r="0" i="0">
      <x v="110"/>
    </i>
    <i t="data" r="0" i="0">
      <x v="62"/>
    </i>
    <i t="data" r="0" i="0">
      <x v="112"/>
    </i>
    <i t="data" r="0" i="0">
      <x v="65"/>
    </i>
    <i t="data" r="0" i="0">
      <x v="113"/>
    </i>
    <i t="data" r="0" i="0">
      <x v="271"/>
    </i>
    <i t="data" r="0" i="0">
      <x v="114"/>
    </i>
    <i t="data" r="0" i="0">
      <x v="275"/>
    </i>
    <i t="data" r="0" i="0">
      <x v="115"/>
    </i>
    <i t="data" r="0" i="0">
      <x v="279"/>
    </i>
    <i t="data" r="0" i="0">
      <x v="116"/>
    </i>
    <i t="data" r="0" i="0">
      <x v="283"/>
    </i>
    <i t="data" r="0" i="0">
      <x v="29"/>
    </i>
    <i t="data" r="0" i="0">
      <x v="288"/>
    </i>
    <i t="data" r="0" i="0">
      <x v="16"/>
    </i>
    <i t="data" r="0" i="0">
      <x v="293"/>
    </i>
    <i t="data" r="0" i="0">
      <x v="119"/>
    </i>
    <i t="data" r="0" i="0">
      <x v="300"/>
    </i>
    <i t="data" r="0" i="0">
      <x v="32"/>
    </i>
    <i t="data" r="0" i="0">
      <x v="304"/>
    </i>
    <i t="data" r="0" i="0">
      <x v="121"/>
    </i>
    <i t="data" r="0" i="0">
      <x v="308"/>
    </i>
    <i t="data" r="0" i="0">
      <x v="2"/>
    </i>
    <i t="data" r="0" i="0">
      <x v="314"/>
    </i>
    <i t="data" r="0" i="0">
      <x v="124"/>
    </i>
    <i t="data" r="0" i="0">
      <x v="319"/>
    </i>
    <i t="data" r="0" i="0">
      <x v="33"/>
    </i>
    <i t="data" r="0" i="0">
      <x v="325"/>
    </i>
    <i t="data" r="0" i="0">
      <x v="127"/>
    </i>
    <i t="data" r="0" i="0">
      <x v="198"/>
    </i>
    <i t="data" r="0" i="0">
      <x v="128"/>
    </i>
    <i t="data" r="0" i="0">
      <x v="49"/>
    </i>
    <i t="data" r="0" i="0">
      <x v="129"/>
    </i>
    <i t="data" r="0" i="0">
      <x v="203"/>
    </i>
    <i t="data" r="0" i="0">
      <x v="3"/>
    </i>
    <i t="data" r="0" i="0">
      <x v="206"/>
    </i>
    <i t="data" r="0" i="0">
      <x v="131"/>
    </i>
    <i t="data" r="0" i="0">
      <x v="208"/>
    </i>
    <i t="data" r="0" i="0">
      <x v="132"/>
    </i>
    <i t="data" r="0" i="0">
      <x v="210"/>
    </i>
    <i t="data" r="0" i="0">
      <x v="34"/>
    </i>
    <i t="data" r="0" i="0">
      <x v="51"/>
    </i>
    <i t="data" r="0" i="0">
      <x v="134"/>
    </i>
    <i t="data" r="0" i="0">
      <x v="215"/>
    </i>
    <i t="data" r="0" i="0">
      <x v="135"/>
    </i>
    <i t="data" r="0" i="0">
      <x v="52"/>
    </i>
    <i t="data" r="0" i="0">
      <x v="136"/>
    </i>
    <i t="data" r="0" i="0">
      <x v="220"/>
    </i>
    <i t="data" r="0" i="0">
      <x v="137"/>
    </i>
    <i t="data" r="0" i="0">
      <x v="222"/>
    </i>
    <i t="data" r="0" i="0">
      <x v="138"/>
    </i>
    <i t="data" r="0" i="0">
      <x v="224"/>
    </i>
    <i t="data" r="0" i="0">
      <x v="35"/>
    </i>
    <i t="data" r="0" i="0">
      <x v="226"/>
    </i>
    <i t="data" r="0" i="0">
      <x v="10"/>
    </i>
    <i t="data" r="0" i="0">
      <x v="228"/>
    </i>
    <i t="data" r="0" i="0">
      <x v="38"/>
    </i>
    <i t="data" r="0" i="0">
      <x v="230"/>
    </i>
    <i t="data" r="0" i="0">
      <x v="39"/>
    </i>
    <i t="data" r="0" i="0">
      <x v="232"/>
    </i>
    <i t="data" r="0" i="0">
      <x v="40"/>
    </i>
    <i t="data" r="0" i="0">
      <x v="7"/>
    </i>
    <i t="data" r="0" i="0">
      <x v="144"/>
    </i>
    <i t="data" r="0" i="0">
      <x v="236"/>
    </i>
    <i t="data" r="0" i="0">
      <x v="145"/>
    </i>
    <i t="data" r="0" i="0">
      <x v="239"/>
    </i>
    <i t="data" r="0" i="0">
      <x v="146"/>
    </i>
    <i t="data" r="0" i="0">
      <x v="242"/>
    </i>
    <i t="data" r="0" i="0">
      <x v="147"/>
    </i>
    <i t="data" r="0" i="0">
      <x v="244"/>
    </i>
    <i t="data" r="0" i="0">
      <x v="148"/>
    </i>
    <i t="data" r="0" i="0">
      <x v="57"/>
    </i>
    <i t="data" r="0" i="0">
      <x v="149"/>
    </i>
    <i t="data" r="0" i="0">
      <x v="248"/>
    </i>
    <i t="data" r="0" i="0">
      <x v="151"/>
    </i>
    <i t="data" r="0" i="0">
      <x v="250"/>
    </i>
    <i t="data" r="0" i="0">
      <x v="155"/>
    </i>
    <i t="data" r="0" i="0">
      <x v="252"/>
    </i>
    <i t="data" r="0" i="0">
      <x v="156"/>
    </i>
    <i t="data" r="0" i="0">
      <x v="255"/>
    </i>
    <i t="data" r="0" i="0">
      <x v="157"/>
    </i>
    <i t="data" r="0" i="0">
      <x v="60"/>
    </i>
    <i t="data" r="0" i="0">
      <x v="326"/>
    </i>
    <i t="data" r="0" i="0">
      <x v="261"/>
    </i>
    <i t="data" r="0" i="0">
      <x v="327"/>
    </i>
    <i t="data" r="0" i="0">
      <x v="21"/>
    </i>
    <i t="data" r="0" i="0">
      <x v="329"/>
    </i>
    <i t="data" r="0" i="0">
      <x v="265"/>
    </i>
    <i t="data" r="0" i="0">
      <x v="332"/>
    </i>
    <i t="data" r="0" i="0">
      <x v="267"/>
    </i>
    <i t="data" r="0" i="0">
      <x v="162"/>
    </i>
    <i t="data" r="0" i="0">
      <x v="269"/>
    </i>
    <i t="data" r="0" i="0">
      <x v="41"/>
    </i>
    <i t="data" r="0" i="0">
      <x v="272"/>
    </i>
    <i t="data" r="0" i="0">
      <x v="164"/>
    </i>
    <i t="data" r="0" i="0">
      <x v="274"/>
    </i>
    <i t="data" r="0" i="0">
      <x v="165"/>
    </i>
    <i t="data" r="0" i="0">
      <x v="276"/>
    </i>
    <i t="data" r="0" i="0">
      <x v="166"/>
    </i>
    <i t="data" r="0" i="0">
      <x v="278"/>
    </i>
    <i t="data" r="0" i="0">
      <x v="167"/>
    </i>
    <i t="data" r="0" i="0">
      <x v="280"/>
    </i>
    <i t="data" r="0" i="0">
      <x v="168"/>
    </i>
    <i t="data" r="0" i="0">
      <x v="282"/>
    </i>
    <i t="data" r="0" i="0">
      <x v="42"/>
    </i>
    <i t="data" r="0" i="0">
      <x v="284"/>
    </i>
    <i t="data" r="0" i="0">
      <x v="172"/>
    </i>
    <i t="data" r="0" i="0">
      <x v="287"/>
    </i>
    <i t="data" r="0" i="0">
      <x v="173"/>
    </i>
    <i t="data" r="0" i="0">
      <x v="289"/>
    </i>
    <i t="data" r="0" i="0">
      <x v="179"/>
    </i>
    <i t="data" r="0" i="0">
      <x v="292"/>
    </i>
    <i t="data" r="0" i="0">
      <x v="180"/>
    </i>
    <i t="data" r="0" i="0">
      <x v="294"/>
    </i>
    <i t="data" r="0" i="0">
      <x v="181"/>
    </i>
    <i t="data" r="0" i="0">
      <x v="4"/>
    </i>
    <i t="data" r="0" i="0">
      <x v="182"/>
    </i>
    <i t="data" r="0" i="0">
      <x v="301"/>
    </i>
    <i t="data" r="0" i="0">
      <x v="43"/>
    </i>
    <i t="data" r="0" i="0">
      <x v="303"/>
    </i>
    <i t="data" r="0" i="0">
      <x v="184"/>
    </i>
    <i t="data" r="0" i="0">
      <x v="305"/>
    </i>
    <i t="data" r="0" i="0">
      <x v="44"/>
    </i>
    <i t="data" r="0" i="0">
      <x v="307"/>
    </i>
    <i t="data" r="0" i="0">
      <x v="45"/>
    </i>
    <i t="data" r="0" i="0">
      <x v="309"/>
    </i>
    <i t="data" r="0" i="0">
      <x v="188"/>
    </i>
    <i t="data" r="0" i="0">
      <x v="312"/>
    </i>
    <i t="data" r="0" i="0">
      <x v="190"/>
    </i>
    <i t="data" r="0" i="0">
      <x v="315"/>
    </i>
    <i t="data" r="0" i="0">
      <x v="192"/>
    </i>
    <i t="data" r="0" i="0">
      <x v="318"/>
    </i>
    <i t="data" r="0" i="0">
      <x v="6"/>
    </i>
    <i t="data" r="0" i="0">
      <x v="320"/>
    </i>
    <i t="data" r="0" i="0">
      <x v="194"/>
    </i>
    <i t="data" r="0" i="0">
      <x v="322"/>
    </i>
    <i t="data" r="0" i="0">
      <x v="195"/>
    </i>
    <i t="data" r="0" i="0">
      <x v="69"/>
    </i>
    <i t="data" r="0" i="0">
      <x v="196"/>
    </i>
    <i t="data" r="0" i="0">
      <x v="328"/>
    </i>
    <i t="data" r="0" i="0">
      <x v="333"/>
    </i>
    <i t="data" r="0" i="0">
      <x v="330"/>
    </i>
    <i t="data" r="0" i="0">
      <x v="334"/>
    </i>
    <i t="data" r="0" i="0">
      <x v="5"/>
    </i>
    <i t="data" r="0" i="0">
      <x v="0"/>
    </i>
    <i t="data" r="0" i="0">
      <x v="160"/>
    </i>
    <i t="data" r="0" i="0">
      <x v="1345"/>
    </i>
    <i t="data" r="0" i="0">
      <x v="857"/>
    </i>
    <i t="data" r="0" i="0">
      <x v="414"/>
    </i>
    <i t="data" r="0" i="0">
      <x v="349"/>
    </i>
    <i t="data" r="0" i="0">
      <x v="217"/>
    </i>
    <i t="data" r="0" i="0">
      <x v="311"/>
    </i>
    <i t="data" r="0" i="0">
      <x v="161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Count of DATE" fld="28" subtotal="count" showDataAs="normal" baseField="0" baseItem="0" numFmtId="38"/>
    <dataField name="Sum of SOLD PRICE" fld="24" subtotal="sum" showDataAs="normal" baseField="31" baseItem="0" numFmtId="6"/>
  </dataFields>
  <formats count="4">
    <format action="formatting" dxfId="16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5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14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  <format action="formatting" dxfId="13">
      <pivotArea type="normal" dataOnly="0" labelOnly="1" outline="0" fieldPosition="0">
        <references count="1">
          <reference field="4294967294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2194" firstHeaderRow="0" firstDataRow="1" firstDataCol="1"/>
  <pivotFields count="4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2273">
        <item t="data" sd="1" m="1" x="2262"/>
        <item t="data" sd="1" x="639"/>
        <item t="data" sd="1" x="567"/>
        <item t="data" sd="1" x="1761"/>
        <item t="data" sd="1" x="847"/>
        <item t="data" sd="1" x="1635"/>
        <item t="data" sd="1" x="2043"/>
        <item t="data" sd="1" x="2093"/>
        <item t="data" sd="1" x="1135"/>
        <item t="data" sd="1" x="2125"/>
        <item t="data" sd="1" x="1705"/>
        <item t="data" sd="1" x="863"/>
        <item t="data" sd="1" x="1605"/>
        <item t="data" sd="1" x="763"/>
        <item t="data" sd="1" x="858"/>
        <item t="data" sd="1" x="913"/>
        <item t="data" sd="1" x="1898"/>
        <item t="data" sd="1" x="1196"/>
        <item t="data" sd="1" x="869"/>
        <item t="data" sd="1" x="92"/>
        <item t="data" sd="1" x="1084"/>
        <item t="data" sd="1" x="834"/>
        <item t="data" sd="1" x="965"/>
        <item t="data" sd="1" x="2042"/>
        <item t="data" sd="1" x="1287"/>
        <item t="data" sd="1" x="854"/>
        <item t="data" sd="1" x="1126"/>
        <item t="data" sd="1" x="1032"/>
        <item t="data" sd="1" x="1082"/>
        <item t="data" sd="1" x="510"/>
        <item t="data" sd="1" x="1771"/>
        <item t="data" sd="1" x="1347"/>
        <item t="data" sd="1" x="181"/>
        <item t="data" sd="1" x="1460"/>
        <item t="data" sd="1" m="1" x="2192"/>
        <item t="data" sd="1" x="1696"/>
        <item t="data" sd="1" x="808"/>
        <item t="data" sd="1" x="1410"/>
        <item t="data" sd="1" x="1199"/>
        <item t="data" sd="1" x="1067"/>
        <item t="data" sd="1" x="1158"/>
        <item t="data" sd="1" x="1983"/>
        <item t="data" sd="1" x="795"/>
        <item t="data" sd="1" x="496"/>
        <item t="data" sd="1" x="1101"/>
        <item t="data" sd="1" x="1617"/>
        <item t="data" sd="1" x="1456"/>
        <item t="data" sd="1" x="1678"/>
        <item t="data" sd="1" x="2019"/>
        <item t="data" sd="1" x="2114"/>
        <item t="data" sd="1" x="1057"/>
        <item t="data" sd="1" x="2188"/>
        <item t="data" sd="1" x="1536"/>
        <item t="data" sd="1" x="1309"/>
        <item t="data" sd="1" x="1650"/>
        <item t="data" sd="1" x="1255"/>
        <item t="data" sd="1" x="593"/>
        <item t="data" sd="1" x="731"/>
        <item t="data" sd="1" x="1322"/>
        <item t="data" sd="1" x="1012"/>
        <item t="data" sd="1" x="1023"/>
        <item t="data" sd="1" x="1259"/>
        <item t="data" sd="1" x="1613"/>
        <item t="data" sd="1" x="1817"/>
        <item t="data" sd="1" x="1949"/>
        <item t="data" sd="1" x="1404"/>
        <item t="data" sd="1" x="1572"/>
        <item t="data" sd="1" m="1" x="2201"/>
        <item t="data" sd="1" x="2068"/>
        <item t="data" sd="1" m="1" x="2190"/>
        <item t="data" sd="1" x="540"/>
        <item t="data" sd="1" x="1017"/>
        <item t="data" sd="1" x="1325"/>
        <item t="data" sd="1" x="912"/>
        <item t="data" sd="1" x="176"/>
        <item t="data" sd="1" x="1597"/>
        <item t="data" sd="1" x="2142"/>
        <item t="data" sd="1" x="1124"/>
        <item t="data" sd="1" x="859"/>
        <item t="data" sd="1" x="1828"/>
        <item t="data" sd="1" x="1968"/>
        <item t="data" sd="1" x="1384"/>
        <item t="data" sd="1" x="981"/>
        <item t="data" sd="1" x="1295"/>
        <item t="data" sd="1" x="1069"/>
        <item t="data" sd="1" x="794"/>
        <item t="data" sd="1" x="469"/>
        <item t="data" sd="1" x="1374"/>
        <item t="data" sd="1" x="694"/>
        <item t="data" sd="1" x="1654"/>
        <item t="data" sd="1" x="1665"/>
        <item t="data" sd="1" x="633"/>
        <item t="data" sd="1" x="1323"/>
        <item t="data" sd="1" x="1284"/>
        <item t="data" sd="1" x="1185"/>
        <item t="data" sd="1" x="947"/>
        <item t="data" sd="1" x="1342"/>
        <item t="data" sd="1" x="1128"/>
        <item t="data" sd="1" x="1142"/>
        <item t="data" sd="1" x="526"/>
        <item t="data" sd="1" x="1292"/>
        <item t="data" sd="1" m="1" x="2202"/>
        <item t="data" sd="1" x="1728"/>
        <item t="data" sd="1" x="440"/>
        <item t="data" sd="1" x="962"/>
        <item t="data" sd="1" x="1163"/>
        <item t="data" sd="1" x="1048"/>
        <item t="data" sd="1" x="1940"/>
        <item t="data" sd="1" x="1242"/>
        <item t="data" sd="1" x="1977"/>
        <item t="data" sd="1" x="1172"/>
        <item t="data" sd="1" x="1275"/>
        <item t="data" sd="1" x="1260"/>
        <item t="data" sd="1" x="670"/>
        <item t="data" sd="1" x="1806"/>
        <item t="data" sd="1" x="1192"/>
        <item t="data" sd="1" x="2134"/>
        <item t="data" sd="1" m="1" x="2263"/>
        <item t="data" sd="1" x="616"/>
        <item t="data" sd="1" x="754"/>
        <item t="data" sd="1" x="1429"/>
        <item t="data" sd="1" x="1400"/>
        <item t="data" sd="1" x="2145"/>
        <item t="data" sd="1" x="698"/>
        <item t="data" sd="1" x="1639"/>
        <item t="data" sd="1" x="1808"/>
        <item t="data" sd="1" m="1" x="2243"/>
        <item t="data" sd="1" x="1522"/>
        <item t="data" sd="1" x="1253"/>
        <item t="data" sd="1" x="1152"/>
        <item t="data" sd="1" x="1238"/>
        <item t="data" sd="1" x="814"/>
        <item t="data" sd="1" x="428"/>
        <item t="data" sd="1" x="2086"/>
        <item t="data" sd="1" x="1204"/>
        <item t="data" sd="1" x="1337"/>
        <item t="data" sd="1" x="1182"/>
        <item t="data" sd="1" x="1861"/>
        <item t="data" sd="1" x="1712"/>
        <item t="data" sd="1" x="573"/>
        <item t="data" sd="1" x="1248"/>
        <item t="data" sd="1" x="1498"/>
        <item t="data" sd="1" x="697"/>
        <item t="data" sd="1" x="1581"/>
        <item t="data" sd="1" m="1" x="2268"/>
        <item t="data" sd="1" x="1905"/>
        <item t="data" sd="1" x="1649"/>
        <item t="data" sd="1" x="1420"/>
        <item t="data" sd="1" x="1298"/>
        <item t="data" sd="1" x="966"/>
        <item t="data" sd="1" x="493"/>
        <item t="data" sd="1" x="1485"/>
        <item t="data" sd="1" x="1011"/>
        <item t="data" sd="1" x="1294"/>
        <item t="data" sd="1" x="1766"/>
        <item t="data" sd="1" x="1257"/>
        <item t="data" sd="1" x="1881"/>
        <item t="data" sd="1" x="1341"/>
        <item t="data" sd="1" x="1087"/>
        <item t="data" sd="1" m="1" x="2206"/>
        <item t="data" sd="1" x="841"/>
        <item t="data" sd="1" x="1024"/>
        <item t="data" sd="1" x="1224"/>
        <item t="data" sd="1" x="1096"/>
        <item t="data" sd="1" x="1134"/>
        <item t="data" sd="1" m="1" x="2237"/>
        <item t="data" sd="1" x="1071"/>
        <item t="data" sd="1" m="1" x="2239"/>
        <item t="data" sd="1" x="1668"/>
        <item t="data" sd="1" x="1059"/>
        <item t="data" sd="1" x="1587"/>
        <item t="data" sd="1" x="521"/>
        <item t="data" sd="1" x="692"/>
        <item t="data" sd="1" x="1820"/>
        <item t="data" sd="1" x="1695"/>
        <item t="data" sd="1" x="525"/>
        <item t="data" sd="1" x="1221"/>
        <item t="data" sd="1" x="1454"/>
        <item t="data" sd="1" x="729"/>
        <item t="data" sd="1" x="739"/>
        <item t="data" sd="1" x="715"/>
        <item t="data" sd="1" x="956"/>
        <item t="data" sd="1" x="632"/>
        <item t="data" sd="1" x="1733"/>
        <item t="data" sd="1" x="1704"/>
        <item t="data" sd="1" x="1413"/>
        <item t="data" sd="1" x="687"/>
        <item t="data" sd="1" x="1459"/>
        <item t="data" sd="1" x="445"/>
        <item t="data" sd="1" x="1731"/>
        <item t="data" sd="1" m="1" x="2258"/>
        <item t="data" sd="1" x="758"/>
        <item t="data" sd="1" x="1080"/>
        <item t="data" sd="1" x="904"/>
        <item t="data" sd="1" x="1180"/>
        <item t="data" sd="1" x="1557"/>
        <item t="data" sd="1" x="755"/>
        <item t="data" sd="1" x="2077"/>
        <item t="data" sd="1" x="1495"/>
        <item t="data" sd="1" x="597"/>
        <item t="data" sd="1" x="943"/>
        <item t="data" sd="1" x="1788"/>
        <item t="data" sd="1" x="1826"/>
        <item t="data" sd="1" x="798"/>
        <item t="data" sd="1" x="1334"/>
        <item t="data" sd="1" x="770"/>
        <item t="data" sd="1" x="478"/>
        <item t="data" sd="1" x="710"/>
        <item t="data" sd="1" m="1" x="2240"/>
        <item t="data" sd="1" x="2099"/>
        <item t="data" sd="1" x="1648"/>
        <item t="data" sd="1" x="479"/>
        <item t="data" sd="1" x="777"/>
        <item t="data" sd="1" x="537"/>
        <item t="data" sd="1" x="807"/>
        <item t="data" sd="1" x="2137"/>
        <item t="data" sd="1" x="563"/>
        <item t="data" sd="1" x="726"/>
        <item t="data" sd="1" x="603"/>
        <item t="data" sd="1" x="1793"/>
        <item t="data" sd="1" x="1852"/>
        <item t="data" sd="1" x="1782"/>
        <item t="data" sd="1" x="1001"/>
        <item t="data" sd="1" x="2183"/>
        <item t="data" sd="1" x="584"/>
        <item t="data" sd="1" x="1931"/>
        <item t="data" sd="1" x="1683"/>
        <item t="data" sd="1" x="594"/>
        <item t="data" sd="1" x="2063"/>
        <item t="data" sd="1" x="952"/>
        <item t="data" sd="1" x="1251"/>
        <item t="data" sd="1" x="397"/>
        <item t="data" sd="1" x="1076"/>
        <item t="data" sd="1" x="501"/>
        <item t="data" sd="1" x="1053"/>
        <item t="data" sd="1" x="993"/>
        <item t="data" sd="1" x="1462"/>
        <item t="data" sd="1" x="1725"/>
        <item t="data" sd="1" x="1527"/>
        <item t="data" sd="1" x="1423"/>
        <item t="data" sd="1" x="813"/>
        <item t="data" sd="1" x="590"/>
        <item t="data" sd="1" x="1494"/>
        <item t="data" sd="1" x="1976"/>
        <item t="data" sd="1" x="957"/>
        <item t="data" sd="1" x="792"/>
        <item t="data" sd="1" x="2104"/>
        <item t="data" sd="1" x="793"/>
        <item t="data" sd="1" x="506"/>
        <item t="data" sd="1" x="939"/>
        <item t="data" sd="1" x="734"/>
        <item t="data" sd="1" x="1177"/>
        <item t="data" sd="1" x="1288"/>
        <item t="data" sd="1" x="998"/>
        <item t="data" sd="1" x="832"/>
        <item t="data" sd="1" x="935"/>
        <item t="data" sd="1" x="781"/>
        <item t="data" sd="1" x="2028"/>
        <item t="data" sd="1" x="2000"/>
        <item t="data" sd="1" x="2051"/>
        <item t="data" sd="1" x="1147"/>
        <item t="data" sd="1" x="1058"/>
        <item t="data" sd="1" x="881"/>
        <item t="data" sd="1" x="836"/>
        <item t="data" sd="1" x="888"/>
        <item t="data" sd="1" x="686"/>
        <item t="data" sd="1" x="1157"/>
        <item t="data" sd="1" x="1657"/>
        <item t="data" sd="1" x="1244"/>
        <item t="data" sd="1" x="2091"/>
        <item t="data" sd="1" x="996"/>
        <item t="data" sd="1" x="1585"/>
        <item t="data" sd="1" x="1038"/>
        <item t="data" sd="1" x="1796"/>
        <item t="data" sd="1" x="1366"/>
        <item t="data" sd="1" x="930"/>
        <item t="data" sd="1" x="492"/>
        <item t="data" sd="1" x="576"/>
        <item t="data" sd="1" x="1233"/>
        <item t="data" sd="1" x="821"/>
        <item t="data" sd="1" x="450"/>
        <item t="data" sd="1" x="784"/>
        <item t="data" sd="1" x="910"/>
        <item t="data" sd="1" x="1564"/>
        <item t="data" sd="1" x="1136"/>
        <item t="data" sd="1" x="684"/>
        <item t="data" sd="1" x="1092"/>
        <item t="data" sd="1" x="1491"/>
        <item t="data" sd="1" x="1119"/>
        <item t="data" sd="1" x="1671"/>
        <item t="data" sd="1" x="1897"/>
        <item t="data" sd="1" x="135"/>
        <item t="data" sd="1" x="1083"/>
        <item t="data" sd="1" x="885"/>
        <item t="data" sd="1" x="2159"/>
        <item t="data" sd="1" x="1478"/>
        <item t="data" sd="1" x="1018"/>
        <item t="data" sd="1" x="1387"/>
        <item t="data" sd="1" x="1209"/>
        <item t="data" sd="1" x="1043"/>
        <item t="data" sd="1" x="982"/>
        <item t="data" sd="1" x="611"/>
        <item t="data" sd="1" x="970"/>
        <item t="data" sd="1" x="656"/>
        <item t="data" sd="1" x="839"/>
        <item t="data" sd="1" x="1709"/>
        <item t="data" sd="1" x="815"/>
        <item t="data" sd="1" x="1770"/>
        <item t="data" sd="1" x="1389"/>
        <item t="data" sd="1" x="520"/>
        <item t="data" sd="1" x="1187"/>
        <item t="data" sd="1" x="1690"/>
        <item t="data" sd="1" x="1130"/>
        <item t="data" sd="1" x="548"/>
        <item t="data" sd="1" x="800"/>
        <item t="data" sd="1" x="1832"/>
        <item t="data" sd="1" x="1215"/>
        <item t="data" sd="1" x="960"/>
        <item t="data" sd="1" x="1194"/>
        <item t="data" sd="1" x="1547"/>
        <item t="data" sd="1" x="1689"/>
        <item t="data" sd="1" x="1992"/>
        <item t="data" sd="1" x="932"/>
        <item t="data" sd="1" x="1405"/>
        <item t="data" sd="1" x="1643"/>
        <item t="data" sd="1" x="1458"/>
        <item t="data" sd="1" x="1934"/>
        <item t="data" sd="1" x="544"/>
        <item t="data" sd="1" x="2096"/>
        <item t="data" sd="1" x="1166"/>
        <item t="data" sd="1" x="1738"/>
        <item t="data" sd="1" x="762"/>
        <item t="data" sd="1" x="1592"/>
        <item t="data" sd="1" x="773"/>
        <item t="data" sd="1" x="1380"/>
        <item t="data" sd="1" x="668"/>
        <item t="data" sd="1" x="790"/>
        <item t="data" sd="1" x="764"/>
        <item t="data" sd="1" x="1764"/>
        <item t="data" sd="1" x="2032"/>
        <item t="data" sd="1" x="646"/>
        <item t="data" sd="1" x="1664"/>
        <item t="data" sd="1" x="1174"/>
        <item t="data" sd="1" x="1310"/>
        <item t="data" sd="1" x="1195"/>
        <item t="data" sd="1" x="1751"/>
        <item t="data" sd="1" x="624"/>
        <item t="data" sd="1" x="1707"/>
        <item t="data" sd="1" x="1515"/>
        <item t="data" sd="1" m="1" x="2227"/>
        <item t="data" sd="1" x="1598"/>
        <item t="data" sd="1" x="1447"/>
        <item t="data" sd="1" x="1538"/>
        <item t="data" sd="1" x="609"/>
        <item t="data" sd="1" x="1190"/>
        <item t="data" sd="1" x="1884"/>
        <item t="data" sd="1" x="657"/>
        <item t="data" sd="1" x="1033"/>
        <item t="data" sd="1" x="890"/>
        <item t="data" sd="1" m="1" x="2215"/>
        <item t="data" sd="1" x="1469"/>
        <item t="data" sd="1" x="1297"/>
        <item t="data" sd="1" x="629"/>
        <item t="data" sd="1" x="1970"/>
        <item t="data" sd="1" x="1628"/>
        <item t="data" sd="1" x="505"/>
        <item t="data" sd="1" x="819"/>
        <item t="data" sd="1" x="2179"/>
        <item t="data" sd="1" x="1630"/>
        <item t="data" sd="1" m="1" x="2230"/>
        <item t="data" sd="1" x="620"/>
        <item t="data" sd="1" m="1" x="2248"/>
        <item t="data" sd="1" x="776"/>
        <item t="data" sd="1" x="1365"/>
        <item t="data" sd="1" x="1364"/>
        <item t="data" sd="1" x="1353"/>
        <item t="data" sd="1" x="1168"/>
        <item t="data" sd="1" x="126"/>
        <item t="data" sd="1" x="724"/>
        <item t="data" sd="1" x="931"/>
        <item t="data" sd="1" x="1497"/>
        <item t="data" sd="1" x="2123"/>
        <item t="data" sd="1" x="546"/>
        <item t="data" sd="1" x="1107"/>
        <item t="data" sd="1" x="1667"/>
        <item t="data" sd="1" x="2184"/>
        <item t="data" sd="1" x="1240"/>
        <item t="data" sd="1" x="1162"/>
        <item t="data" sd="1" x="701"/>
        <item t="data" sd="1" x="38"/>
        <item t="data" sd="1" x="911"/>
        <item t="data" sd="1" x="676"/>
        <item t="data" sd="1" x="1567"/>
        <item t="data" sd="1" x="873"/>
        <item t="data" sd="1" m="1" x="2198"/>
        <item t="data" sd="1" x="105"/>
        <item t="data" sd="1" x="223"/>
        <item t="data" sd="1" x="472"/>
        <item t="data" sd="1" x="1933"/>
        <item t="data" sd="1" x="1757"/>
        <item t="data" sd="1" x="446"/>
        <item t="data" sd="1" x="500"/>
        <item t="data" sd="1" x="851"/>
        <item t="data" sd="1" x="1115"/>
        <item t="data" sd="1" x="1923"/>
        <item t="data" sd="1" x="1791"/>
        <item t="data" sd="1" x="1167"/>
        <item t="data" sd="1" x="1178"/>
        <item t="data" sd="1" x="1772"/>
        <item t="data" sd="1" x="857"/>
        <item t="data" sd="1" x="2143"/>
        <item t="data" sd="1" x="1539"/>
        <item t="data" sd="1" x="2169"/>
        <item t="data" sd="1" x="2149"/>
        <item t="data" sd="1" x="2170"/>
        <item t="data" sd="1" x="1660"/>
        <item t="data" sd="1" x="1125"/>
        <item t="data" sd="1" x="1748"/>
        <item t="data" sd="1" x="1164"/>
        <item t="data" sd="1" x="999"/>
        <item t="data" sd="1" x="1351"/>
        <item t="data" sd="1" x="705"/>
        <item t="data" sd="1" x="1448"/>
        <item t="data" sd="1" x="1105"/>
        <item t="data" sd="1" x="1206"/>
        <item t="data" sd="1" x="749"/>
        <item t="data" sd="1" x="1686"/>
        <item t="data" sd="1" x="1140"/>
        <item t="data" sd="1" x="531"/>
        <item t="data" sd="1" x="1272"/>
        <item t="data" sd="1" x="1533"/>
        <item t="data" sd="1" x="1010"/>
        <item t="data" sd="1" x="1541"/>
        <item t="data" sd="1" x="892"/>
        <item t="data" sd="1" x="882"/>
        <item t="data" sd="1" x="1455"/>
        <item t="data" sd="1" x="1219"/>
        <item t="data" sd="1" x="1072"/>
        <item t="data" sd="1" x="1640"/>
        <item t="data" sd="1" x="827"/>
        <item t="data" sd="1" x="94"/>
        <item t="data" sd="1" x="1439"/>
        <item t="data" sd="1" x="753"/>
        <item t="data" sd="1" x="1237"/>
        <item t="data" sd="1" x="750"/>
        <item t="data" sd="1" x="1925"/>
        <item t="data" sd="1" x="441"/>
        <item t="data" sd="1" x="1015"/>
        <item t="data" sd="1" x="1350"/>
        <item t="data" sd="1" x="791"/>
        <item t="data" sd="1" x="1795"/>
        <item t="data" sd="1" x="860"/>
        <item t="data" sd="1" x="1005"/>
        <item t="data" sd="1" x="2175"/>
        <item t="data" sd="1" x="571"/>
        <item t="data" sd="1" x="1042"/>
        <item t="data" sd="1" x="543"/>
        <item t="data" sd="1" x="2119"/>
        <item t="data" sd="1" x="86"/>
        <item t="data" sd="1" x="1443"/>
        <item t="data" sd="1" x="628"/>
        <item t="data" sd="1" x="889"/>
        <item t="data" sd="1" x="2050"/>
        <item t="data" sd="1" x="1229"/>
        <item t="data" sd="1" x="1769"/>
        <item t="data" sd="1" x="1097"/>
        <item t="data" sd="1" x="1487"/>
        <item t="data" sd="1" x="1486"/>
        <item t="data" sd="1" x="1507"/>
        <item t="data" sd="1" x="1293"/>
        <item t="data" sd="1" x="961"/>
        <item t="data" sd="1" x="983"/>
        <item t="data" sd="1" x="1503"/>
        <item t="data" sd="1" x="1688"/>
        <item t="data" sd="1" x="1814"/>
        <item t="data" sd="1" x="1078"/>
        <item t="data" sd="1" m="1" x="2244"/>
        <item t="data" sd="1" m="1" x="2260"/>
        <item t="data" sd="1" m="1" x="2231"/>
        <item t="data" sd="1" m="1" x="2217"/>
        <item t="data" sd="1" x="921"/>
        <item t="data" sd="1" x="1203"/>
        <item t="data" sd="1" x="1997"/>
        <item t="data" sd="1" x="1132"/>
        <item t="data" sd="1" m="1" x="2256"/>
        <item t="data" sd="1" x="850"/>
        <item t="data" sd="1" x="884"/>
        <item t="data" sd="1" x="1289"/>
        <item t="data" sd="1" x="1391"/>
        <item t="data" sd="1" x="1332"/>
        <item t="data" sd="1" x="1039"/>
        <item t="data" sd="1" x="1261"/>
        <item t="data" sd="1" x="1556"/>
        <item t="data" sd="1" x="742"/>
        <item t="data" sd="1" x="1397"/>
        <item t="data" sd="1" x="1842"/>
        <item t="data" sd="1" x="20"/>
        <item t="data" sd="1" x="1545"/>
        <item t="data" sd="1" x="1315"/>
        <item t="data" sd="1" x="1088"/>
        <item t="data" sd="1" x="1878"/>
        <item t="data" sd="1" x="669"/>
        <item t="data" sd="1" x="1701"/>
        <item t="data" sd="1" x="1003"/>
        <item t="data" sd="1" x="1537"/>
        <item t="data" sd="1" x="672"/>
        <item t="data" sd="1" x="1041"/>
        <item t="data" sd="1" x="1014"/>
        <item t="data" sd="1" x="1691"/>
        <item t="data" sd="1" x="1860"/>
        <item t="data" sd="1" x="1291"/>
        <item t="data" sd="1" x="1173"/>
        <item t="data" sd="1" x="1371"/>
        <item t="data" sd="1" x="1685"/>
        <item t="data" sd="1" x="1468"/>
        <item t="data" sd="1" x="1525"/>
        <item t="data" sd="1" x="1051"/>
        <item t="data" sd="1" x="1112"/>
        <item t="data" sd="1" x="1362"/>
        <item t="data" sd="1" x="1314"/>
        <item t="data" sd="1" x="458"/>
        <item t="data" sd="1" x="1009"/>
        <item t="data" sd="1" x="2185"/>
        <item t="data" sd="1" x="1551"/>
        <item t="data" sd="1" x="1946"/>
        <item t="data" sd="1" x="2030"/>
        <item t="data" sd="1" x="704"/>
        <item t="data" sd="1" x="1616"/>
        <item t="data" sd="1" x="1276"/>
        <item t="data" sd="1" x="1431"/>
        <item t="data" sd="1" x="497"/>
        <item t="data" sd="1" x="1932"/>
        <item t="data" sd="1" x="874"/>
        <item t="data" sd="1" x="663"/>
        <item t="data" sd="1" x="1975"/>
        <item t="data" sd="1" x="1403"/>
        <item t="data" sd="1" x="1759"/>
        <item t="data" sd="1" x="891"/>
        <item t="data" sd="1" x="1880"/>
        <item t="data" sd="1" x="922"/>
        <item t="data" sd="1" x="1727"/>
        <item t="data" sd="1" x="989"/>
        <item t="data" sd="1" x="220"/>
        <item t="data" sd="1" x="1286"/>
        <item t="data" sd="1" x="1652"/>
        <item t="data" sd="1" x="835"/>
        <item t="data" sd="1" x="761"/>
        <item t="data" sd="1" x="43"/>
        <item t="data" sd="1" x="2070"/>
        <item t="data" sd="1" x="923"/>
        <item t="data" sd="1" x="1938"/>
        <item t="data" sd="1" x="585"/>
        <item t="data" sd="1" x="1008"/>
        <item t="data" sd="1" x="1025"/>
        <item t="data" sd="1" x="968"/>
        <item t="data" sd="1" x="1408"/>
        <item t="data" sd="1" x="1729"/>
        <item t="data" sd="1" x="1307"/>
        <item t="data" sd="1" x="1300"/>
        <item t="data" sd="1" x="811"/>
        <item t="data" sd="1" x="774"/>
        <item t="data" sd="1" x="946"/>
        <item t="data" sd="1" x="1530"/>
        <item t="data" sd="1" x="1519"/>
        <item t="data" sd="1" x="1790"/>
        <item t="data" sd="1" x="1798"/>
        <item t="data" sd="1" x="1794"/>
        <item t="data" sd="1" x="2031"/>
        <item t="data" sd="1" x="1836"/>
        <item t="data" sd="1" x="471"/>
        <item t="data" sd="1" x="1054"/>
        <item t="data" sd="1" x="716"/>
        <item t="data" sd="1" x="741"/>
        <item t="data" sd="1" x="1749"/>
        <item t="data" sd="1" x="602"/>
        <item t="data" sd="1" x="536"/>
        <item t="data" sd="1" x="861"/>
        <item t="data" sd="1" x="230"/>
        <item t="data" sd="1" x="295"/>
        <item t="data" sd="1" x="2034"/>
        <item t="data" sd="1" x="1670"/>
        <item t="data" sd="1" m="1" x="2232"/>
        <item t="data" sd="1" x="1230"/>
        <item t="data" sd="1" m="1" x="2221"/>
        <item t="data" sd="1" x="681"/>
        <item t="data" sd="1" m="1" x="2207"/>
        <item t="data" sd="1" x="1437"/>
        <item t="data" sd="1" x="1663"/>
        <item t="data" sd="1" x="1708"/>
        <item t="data" sd="1" x="723"/>
        <item t="data" sd="1" x="1345"/>
        <item t="data" sd="1" x="1419"/>
        <item t="data" sd="1" x="1998"/>
        <item t="data" sd="1" x="1535"/>
        <item t="data" sd="1" m="1" x="2228"/>
        <item t="data" sd="1" x="804"/>
        <item t="data" sd="1" x="1355"/>
        <item t="data" sd="1" x="448"/>
        <item t="data" sd="1" x="1370"/>
        <item t="data" sd="1" x="1122"/>
        <item t="data" sd="1" x="455"/>
        <item t="data" sd="1" x="780"/>
        <item t="data" sd="1" x="955"/>
        <item t="data" sd="1" x="677"/>
        <item t="data" sd="1" x="1411"/>
        <item t="data" sd="1" x="1799"/>
        <item t="data" sd="1" x="875"/>
        <item t="data" sd="1" m="1" x="2242"/>
        <item t="data" sd="1" x="1702"/>
        <item t="data" sd="1" x="1619"/>
        <item t="data" sd="1" x="1016"/>
        <item t="data" sd="1" x="743"/>
        <item t="data" sd="1" x="728"/>
        <item t="data" sd="1" x="986"/>
        <item t="data" sd="1" x="1333"/>
        <item t="data" sd="1" x="1747"/>
        <item t="data" sd="1" x="1113"/>
        <item t="data" sd="1" x="740"/>
        <item t="data" sd="1" x="552"/>
        <item t="data" sd="1" x="1866"/>
        <item t="data" sd="1" x="1653"/>
        <item t="data" sd="1" x="495"/>
        <item t="data" sd="1" x="693"/>
        <item t="data" sd="1" m="1" x="2219"/>
        <item t="data" sd="1" x="1450"/>
        <item t="data" sd="1" x="842"/>
        <item t="data" sd="1" m="1" x="2194"/>
        <item t="data" sd="1" m="1" x="2224"/>
        <item t="data" sd="1" m="1" x="2259"/>
        <item t="data" sd="1" x="1235"/>
        <item t="data" sd="1" x="1110"/>
        <item t="data" sd="1" x="673"/>
        <item t="data" sd="1" x="977"/>
        <item t="data" sd="1" x="1865"/>
        <item t="data" sd="1" x="1149"/>
        <item t="data" sd="1" x="1378"/>
        <item t="data" sd="1" x="1245"/>
        <item t="data" sd="1" x="641"/>
        <item t="data" sd="1" x="886"/>
        <item t="data" sd="1" x="846"/>
        <item t="data" sd="1" x="636"/>
        <item t="data" sd="1" x="619"/>
        <item t="data" sd="1" x="845"/>
        <item t="data" sd="1" x="730"/>
        <item t="data" sd="1" x="1363"/>
        <item t="data" sd="1" x="1844"/>
        <item t="data" sd="1" x="1821"/>
        <item t="data" sd="1" x="1480"/>
        <item t="data" sd="1" x="1335"/>
        <item t="data" sd="1" x="218"/>
        <item t="data" sd="1" x="480"/>
        <item t="data" sd="1" x="600"/>
        <item t="data" sd="1" x="601"/>
        <item t="data" sd="1" x="1440"/>
        <item t="data" sd="1" x="1212"/>
        <item t="data" sd="1" x="978"/>
        <item t="data" sd="1" x="2167"/>
        <item t="data" sd="1" x="1073"/>
        <item t="data" sd="1" x="866"/>
        <item t="data" sd="1" x="1474"/>
        <item t="data" sd="1" m="1" x="2238"/>
        <item t="data" sd="1" x="447"/>
        <item t="data" sd="1" x="1094"/>
        <item t="data" sd="1" x="787"/>
        <item t="data" sd="1" x="1133"/>
        <item t="data" sd="1" x="487"/>
        <item t="data" sd="1" x="1267"/>
        <item t="data" sd="1" x="404"/>
        <item t="data" sd="1" x="2115"/>
        <item t="data" sd="1" x="1383"/>
        <item t="data" sd="1" x="926"/>
        <item t="data" sd="1" x="1121"/>
        <item t="data" sd="1" x="1141"/>
        <item t="data" sd="1" x="830"/>
        <item t="data" sd="1" x="997"/>
        <item t="data" sd="1" x="1037"/>
        <item t="data" sd="1" x="1638"/>
        <item t="data" sd="1" x="785"/>
        <item t="data" sd="1" x="1518"/>
        <item t="data" sd="1" x="2039"/>
        <item t="data" sd="1" m="1" x="2254"/>
        <item t="data" sd="1" x="717"/>
        <item t="data" sd="1" x="1753"/>
        <item t="data" sd="1" x="1801"/>
        <item t="data" sd="1" x="1800"/>
        <item t="data" sd="1" x="1843"/>
        <item t="data" sd="1" x="1321"/>
        <item t="data" sd="1" x="1506"/>
        <item t="data" sd="1" x="1634"/>
        <item t="data" sd="1" x="1313"/>
        <item t="data" sd="1" x="937"/>
        <item t="data" sd="1" x="1562"/>
        <item t="data" sd="1" x="1703"/>
        <item t="data" sd="1" x="1641"/>
        <item t="data" sd="1" x="566"/>
        <item t="data" sd="1" x="1301"/>
        <item t="data" sd="1" x="2007"/>
        <item t="data" sd="1" x="1718"/>
        <item t="data" sd="1" x="1222"/>
        <item t="data" sd="1" x="1339"/>
        <item t="data" sd="1" m="1" x="2216"/>
        <item t="data" sd="1" x="1467"/>
        <item t="data" sd="1" x="2141"/>
        <item t="data" sd="1" x="454"/>
        <item t="data" sd="1" x="1669"/>
        <item t="data" sd="1" x="599"/>
        <item t="data" sd="1" x="1797"/>
        <item t="data" sd="1" x="837"/>
        <item t="data" sd="1" x="1720"/>
        <item t="data" sd="1" x="1247"/>
        <item t="data" sd="1" x="713"/>
        <item t="data" sd="1" x="1061"/>
        <item t="data" sd="1" x="1722"/>
        <item t="data" sd="1" x="1625"/>
        <item t="data" sd="1" x="2172"/>
        <item t="data" sd="1" x="655"/>
        <item t="data" sd="1" x="992"/>
        <item t="data" sd="1" x="1311"/>
        <item t="data" sd="1" m="1" x="2267"/>
        <item t="data" sd="1" x="582"/>
        <item t="data" sd="1" x="746"/>
        <item t="data" sd="1" x="1060"/>
        <item t="data" sd="1" x="903"/>
        <item t="data" sd="1" x="1189"/>
        <item t="data" sd="1" x="1618"/>
        <item t="data" sd="1" x="1372"/>
        <item t="data" sd="1" x="1483"/>
        <item t="data" sd="1" x="1176"/>
        <item t="data" sd="1" x="1511"/>
        <item t="data" sd="1" x="1246"/>
        <item t="data" sd="1" x="1095"/>
        <item t="data" sd="1" x="565"/>
        <item t="data" sd="1" x="1418"/>
        <item t="data" sd="1" x="1559"/>
        <item t="data" sd="1" x="1368"/>
        <item t="data" sd="1" x="518"/>
        <item t="data" sd="1" x="651"/>
        <item t="data" sd="1" x="1210"/>
        <item t="data" sd="1" x="825"/>
        <item t="data" sd="1" x="936"/>
        <item t="data" sd="1" x="1961"/>
        <item t="data" sd="1" x="504"/>
        <item t="data" sd="1" x="1352"/>
        <item t="data" sd="1" x="1607"/>
        <item t="data" sd="1" x="2151"/>
        <item t="data" sd="1" x="1699"/>
        <item t="data" sd="1" x="1780"/>
        <item t="data" sd="1" x="224"/>
        <item t="data" sd="1" x="1103"/>
        <item t="data" sd="1" x="1750"/>
        <item t="data" sd="1" x="1077"/>
        <item t="data" sd="1" x="2041"/>
        <item t="data" sd="1" x="1201"/>
        <item t="data" sd="1" x="696"/>
        <item t="data" sd="1" x="613"/>
        <item t="data" sd="1" x="748"/>
        <item t="data" sd="1" x="568"/>
        <item t="data" sd="1" x="1532"/>
        <item t="data" sd="1" x="828"/>
        <item t="data" sd="1" x="1692"/>
        <item t="data" sd="1" x="1608"/>
        <item t="data" sd="1" x="1438"/>
        <item t="data" sd="1" x="1785"/>
        <item t="data" sd="1" x="1666"/>
        <item t="data" sd="1" x="919"/>
        <item t="data" sd="1" x="457"/>
        <item t="data" sd="1" x="438"/>
        <item t="data" sd="1" x="658"/>
        <item t="data" sd="1" x="1745"/>
        <item t="data" sd="1" x="2126"/>
        <item t="data" sd="1" x="1655"/>
        <item t="data" sd="1" x="1694"/>
        <item t="data" sd="1" x="1226"/>
        <item t="data" sd="1" x="1822"/>
        <item t="data" sd="1" x="1807"/>
        <item t="data" sd="1" x="1243"/>
        <item t="data" sd="1" x="1984"/>
        <item t="data" sd="1" x="1263"/>
        <item t="data" sd="1" x="1985"/>
        <item t="data" sd="1" x="1193"/>
        <item t="data" sd="1" x="1978"/>
        <item t="data" sd="1" x="848"/>
        <item t="data" sd="1" x="1327"/>
        <item t="data" sd="1" x="1682"/>
        <item t="data" sd="1" x="809"/>
        <item t="data" sd="1" x="980"/>
        <item t="data" sd="1" x="695"/>
        <item t="data" sd="1" x="699"/>
        <item t="data" sd="1" m="1" x="2218"/>
        <item t="data" sd="1" x="1266"/>
        <item t="data" sd="1" x="1823"/>
        <item t="data" sd="1" x="1234"/>
        <item t="data" sd="1" x="760"/>
        <item t="data" sd="1" x="1236"/>
        <item t="data" sd="1" x="1644"/>
        <item t="data" sd="1" x="1026"/>
        <item t="data" sd="1" x="435"/>
        <item t="data" sd="1" x="553"/>
        <item t="data" sd="1" x="610"/>
        <item t="data" sd="1" x="575"/>
        <item t="data" sd="1" x="1282"/>
        <item t="data" sd="1" x="2166"/>
        <item t="data" sd="1" x="1402"/>
        <item t="data" sd="1" x="1228"/>
        <item t="data" sd="1" x="1386"/>
        <item t="data" sd="1" x="1369"/>
        <item t="data" sd="1" x="1049"/>
        <item t="data" sd="1" x="905"/>
        <item t="data" sd="1" x="826"/>
        <item t="data" sd="1" x="985"/>
        <item t="data" sd="1" x="916"/>
        <item t="data" sd="1" x="266"/>
        <item t="data" sd="1" x="864"/>
        <item t="data" sd="1" x="1496"/>
        <item t="data" sd="1" x="2024"/>
        <item t="data" sd="1" x="1183"/>
        <item t="data" sd="1" x="1603"/>
        <item t="data" sd="1" x="1781"/>
        <item t="data" sd="1" x="1179"/>
        <item t="data" sd="1" x="1629"/>
        <item t="data" sd="1" x="1030"/>
        <item t="data" sd="1" m="1" x="2225"/>
        <item t="data" sd="1" x="1516"/>
        <item t="data" sd="1" x="1079"/>
        <item t="data" sd="1" x="1328"/>
        <item t="data" sd="1" x="1138"/>
        <item t="data" sd="1" x="2124"/>
        <item t="data" sd="1" x="1198"/>
        <item t="data" sd="1" x="645"/>
        <item t="data" sd="1" x="1472"/>
        <item t="data" sd="1" x="1561"/>
        <item t="data" sd="1" x="2047"/>
        <item t="data" sd="1" x="642"/>
        <item t="data" sd="1" x="554"/>
        <item t="data" sd="1" x="877"/>
        <item t="data" sd="1" x="1117"/>
        <item t="data" sd="1" x="2132"/>
        <item t="data" sd="1" x="995"/>
        <item t="data" sd="1" x="727"/>
        <item t="data" sd="1" x="678"/>
        <item t="data" sd="1" x="707"/>
        <item t="data" sd="1" x="1578"/>
        <item t="data" sd="1" x="1656"/>
        <item t="data" sd="1" x="675"/>
        <item t="data" sd="1" x="288"/>
        <item t="data" sd="1" m="1" x="2246"/>
        <item t="data" sd="1" x="1421"/>
        <item t="data" sd="1" x="1250"/>
        <item t="data" sd="1" x="1170"/>
        <item t="data" sd="1" x="1687"/>
        <item t="data" sd="1" x="984"/>
        <item t="data" sd="1" x="1589"/>
        <item t="data" sd="1" x="2160"/>
        <item t="data" sd="1" x="591"/>
        <item t="data" sd="1" x="1106"/>
        <item t="data" sd="1" x="634"/>
        <item t="data" sd="1" x="1565"/>
        <item t="data" sd="1" x="1566"/>
        <item t="data" sd="1" x="488"/>
        <item t="data" sd="1" x="1803"/>
        <item t="data" sd="1" x="1464"/>
        <item t="data" sd="1" x="556"/>
        <item t="data" sd="1" x="1837"/>
        <item t="data" sd="1" x="802"/>
        <item t="data" sd="1" x="615"/>
        <item t="data" sd="1" x="1642"/>
        <item t="data" sd="1" x="1216"/>
        <item t="data" sd="1" x="907"/>
        <item t="data" sd="1" x="539"/>
        <item t="data" sd="1" x="1609"/>
        <item t="data" sd="1" x="1249"/>
        <item t="data" sd="1" x="737"/>
        <item t="data" sd="1" x="406"/>
        <item t="data" sd="1" x="953"/>
        <item t="data" sd="1" x="856"/>
        <item t="data" sd="1" x="933"/>
        <item t="data" sd="1" x="988"/>
        <item t="data" sd="1" x="1732"/>
        <item t="data" sd="1" x="2112"/>
        <item t="data" sd="1" x="1758"/>
        <item t="data" sd="1" x="1595"/>
        <item t="data" sd="1" x="1890"/>
        <item t="data" sd="1" x="1591"/>
        <item t="data" sd="1" x="1888"/>
        <item t="data" sd="1" x="1319"/>
        <item t="data" sd="1" x="1631"/>
        <item t="data" sd="1" x="1303"/>
        <item t="data" sd="1" x="1622"/>
        <item t="data" sd="1" x="1473"/>
        <item t="data" sd="1" x="550"/>
        <item t="data" sd="1" x="958"/>
        <item t="data" sd="1" x="928"/>
        <item t="data" sd="1" x="527"/>
        <item t="data" sd="1" x="1306"/>
        <item t="data" sd="1" x="2040"/>
        <item t="data" sd="1" x="1909"/>
        <item t="data" sd="1" m="1" x="2223"/>
        <item t="data" sd="1" x="1271"/>
        <item t="data" sd="1" x="1265"/>
        <item t="data" sd="1" x="1373"/>
        <item t="data" sd="1" x="765"/>
        <item t="data" sd="1" x="1621"/>
        <item t="data" sd="1" x="577"/>
        <item t="data" sd="1" x="1787"/>
        <item t="data" sd="1" x="2122"/>
        <item t="data" sd="1" x="1036"/>
        <item t="data" sd="1" x="1207"/>
        <item t="data" sd="1" x="630"/>
        <item t="data" sd="1" x="1719"/>
        <item t="data" sd="1" x="2045"/>
        <item t="data" sd="1" x="1239"/>
        <item t="data" sd="1" x="1020"/>
        <item t="data" sd="1" x="1824"/>
        <item t="data" sd="1" x="474"/>
        <item t="data" sd="1" x="703"/>
        <item t="data" sd="1" x="453"/>
        <item t="data" sd="1" x="578"/>
        <item t="data" sd="1" x="1859"/>
        <item t="data" sd="1" x="1659"/>
        <item t="data" sd="1" x="1091"/>
        <item t="data" sd="1" x="1586"/>
        <item t="data" sd="1" x="1211"/>
        <item t="data" sd="1" x="1120"/>
        <item t="data" sd="1" x="564"/>
        <item t="data" sd="1" x="1594"/>
        <item t="data" sd="1" x="1674"/>
        <item t="data" sd="1" x="2087"/>
        <item t="data" sd="1" x="924"/>
        <item t="data" sd="1" x="1357"/>
        <item t="data" sd="1" x="1396"/>
        <item t="data" sd="1" m="1" x="2211"/>
        <item t="data" sd="1" x="914"/>
        <item t="data" sd="1" x="498"/>
        <item t="data" sd="1" x="1531"/>
        <item t="data" sd="1" x="549"/>
        <item t="data" sd="1" x="1756"/>
        <item t="data" sd="1" x="767"/>
        <item t="data" sd="1" x="1430"/>
        <item t="data" sd="1" x="1570"/>
        <item t="data" sd="1" x="1395"/>
        <item t="data" sd="1" x="788"/>
        <item t="data" sd="1" x="1499"/>
        <item t="data" sd="1" x="927"/>
        <item t="data" sd="1" x="1433"/>
        <item t="data" sd="1" x="1123"/>
        <item t="data" sd="1" x="720"/>
        <item t="data" sd="1" x="915"/>
        <item t="data" sd="1" x="1197"/>
        <item t="data" sd="1" x="2033"/>
        <item t="data" sd="1" x="1543"/>
        <item t="data" sd="1" x="822"/>
        <item t="data" sd="1" x="2103"/>
        <item t="data" sd="1" x="1492"/>
        <item t="data" sd="1" x="1548"/>
        <item t="data" sd="1" x="1305"/>
        <item t="data" sd="1" x="509"/>
        <item t="data" sd="1" x="607"/>
        <item t="data" sd="1" x="1031"/>
        <item t="data" sd="1" x="1611"/>
        <item t="data" sd="1" x="855"/>
        <item t="data" sd="1" x="840"/>
        <item t="data" sd="1" x="625"/>
        <item t="data" sd="1" x="2026"/>
        <item t="data" sd="1" x="1007"/>
        <item t="data" sd="1" x="1809"/>
        <item t="data" sd="1" x="887"/>
        <item t="data" sd="1" x="2136"/>
        <item t="data" sd="1" x="865"/>
        <item t="data" sd="1" x="1114"/>
        <item t="data" sd="1" x="2173"/>
        <item t="data" sd="1" x="1160"/>
        <item t="data" sd="1" m="1" x="2257"/>
        <item t="data" sd="1" x="1969"/>
        <item t="data" sd="1" x="868"/>
        <item t="data" sd="1" x="779"/>
        <item t="data" sd="1" x="1"/>
        <item t="data" sd="1" x="1599"/>
        <item t="data" sd="1" x="530"/>
        <item t="data" sd="1" x="345"/>
        <item t="data" sd="1" x="690"/>
        <item t="data" sd="1" x="1681"/>
        <item t="data" sd="1" x="906"/>
        <item t="data" sd="1" x="427"/>
        <item t="data" sd="1" x="569"/>
        <item t="data" sd="1" x="954"/>
        <item t="data" sd="1" x="1466"/>
        <item t="data" sd="1" m="1" x="2251"/>
        <item t="data" sd="1" x="3"/>
        <item t="data" sd="1" x="1200"/>
        <item t="data" sd="1" x="189"/>
        <item t="data" sd="1" x="439"/>
        <item t="data" sd="1" x="1875"/>
        <item t="data" sd="1" x="745"/>
        <item t="data" sd="1" x="1504"/>
        <item t="data" sd="1" x="1651"/>
        <item t="data" sd="1" x="1401"/>
        <item t="data" sd="1" x="944"/>
        <item t="data" sd="1" x="862"/>
        <item t="data" sd="1" x="976"/>
        <item t="data" sd="1" x="1966"/>
        <item t="data" sd="1" x="1647"/>
        <item t="data" sd="1" x="824"/>
        <item t="data" sd="1" x="2071"/>
        <item t="data" sd="1" x="1004"/>
        <item t="data" sd="1" x="1225"/>
        <item t="data" sd="1" x="1612"/>
        <item t="data" sd="1" x="1186"/>
        <item t="data" sd="1" x="1476"/>
        <item t="data" sd="1" x="2165"/>
        <item t="data" sd="1" x="533"/>
        <item t="data" sd="1" x="1840"/>
        <item t="data" sd="1" x="1776"/>
        <item t="data" sd="1" x="1786"/>
        <item t="data" sd="1" x="1741"/>
        <item t="data" sd="1" x="483"/>
        <item t="data" sd="1" x="1146"/>
        <item t="data" sd="1" x="1614"/>
        <item t="data" sd="1" x="818"/>
        <item t="data" sd="1" x="1471"/>
        <item t="data" sd="1" x="1376"/>
        <item t="data" sd="1" x="1816"/>
        <item t="data" sd="1" x="434"/>
        <item t="data" sd="1" x="2057"/>
        <item t="data" sd="1" x="725"/>
        <item t="data" sd="1" x="1596"/>
        <item t="data" sd="1" x="1340"/>
        <item t="data" sd="1" x="1040"/>
        <item t="data" sd="1" x="1021"/>
        <item t="data" sd="1" x="1680"/>
        <item t="data" sd="1" x="769"/>
        <item t="data" sd="1" x="1412"/>
        <item t="data" sd="1" x="1854"/>
        <item t="data" sd="1" x="706"/>
        <item t="data" sd="1" x="1845"/>
        <item t="data" sd="1" x="768"/>
        <item t="data" sd="1" x="2010"/>
        <item t="data" sd="1" m="1" x="2245"/>
        <item t="data" sd="1" x="589"/>
        <item t="data" sd="1" x="608"/>
        <item t="data" sd="1" x="1606"/>
        <item t="data" sd="1" x="894"/>
        <item t="data" sd="1" x="247"/>
        <item t="data" sd="1" x="1139"/>
        <item t="data" sd="1" x="1449"/>
        <item t="data" sd="1" x="1812"/>
        <item t="data" sd="1" x="783"/>
        <item t="data" sd="1" x="757"/>
        <item t="data" sd="1" x="1677"/>
        <item t="data" sd="1" x="308"/>
        <item t="data" sd="1" x="1343"/>
        <item t="data" sd="1" x="1580"/>
        <item t="data" sd="1" x="627"/>
        <item t="data" sd="1" x="801"/>
        <item t="data" sd="1" x="709"/>
        <item t="data" sd="1" x="561"/>
        <item t="data" sd="1" x="1227"/>
        <item t="data" sd="1" x="1805"/>
        <item t="data" sd="1" x="2157"/>
        <item t="data" sd="1" x="711"/>
        <item t="data" sd="1" x="1568"/>
        <item t="data" sd="1" x="667"/>
        <item t="data" sd="1" x="1066"/>
        <item t="data" sd="1" x="579"/>
        <item t="data" sd="1" x="1715"/>
        <item t="data" sd="1" x="901"/>
        <item t="data" sd="1" x="1658"/>
        <item t="data" sd="1" x="782"/>
        <item t="data" sd="1" x="1143"/>
        <item t="data" sd="1" x="387"/>
        <item t="data" sd="1" x="103"/>
        <item t="data" sd="1" x="1627"/>
        <item t="data" sd="1" x="1090"/>
        <item t="data" sd="1" x="778"/>
        <item t="data" sd="1" x="1830"/>
        <item t="data" sd="1" x="643"/>
        <item t="data" sd="1" x="1778"/>
        <item t="data" sd="1" x="708"/>
        <item t="data" sd="1" x="895"/>
        <item t="data" sd="1" x="1583"/>
        <item t="data" sd="1" x="1320"/>
        <item t="data" sd="1" x="823"/>
        <item t="data" sd="1" x="1848"/>
        <item t="data" sd="1" x="1636"/>
        <item t="data" sd="1" x="2072"/>
        <item t="data" sd="1" x="108"/>
        <item t="data" sd="1" x="1510"/>
        <item t="data" sd="1" x="1615"/>
        <item t="data" sd="1" x="1414"/>
        <item t="data" sd="1" x="1679"/>
        <item t="data" sd="1" x="1188"/>
        <item t="data" sd="1" x="1262"/>
        <item t="data" sd="1" x="991"/>
        <item t="data" sd="1" x="2189"/>
        <item t="data" sd="1" x="2177"/>
        <item t="data" sd="1" x="1220"/>
        <item t="data" sd="1" x="812"/>
        <item t="data" sd="1" m="1" x="2270"/>
        <item t="data" sd="1" m="1" x="2210"/>
        <item t="data" sd="1" x="1534"/>
        <item t="data" sd="1" x="849"/>
        <item t="data" sd="1" x="1392"/>
        <item t="data" sd="1" x="2012"/>
        <item t="data" sd="1" x="1500"/>
        <item t="data" sd="1" x="934"/>
        <item t="data" sd="1" x="555"/>
        <item t="data" sd="1" x="35"/>
        <item t="data" sd="1" x="476"/>
        <item t="data" sd="1" x="1102"/>
        <item t="data" sd="1" x="586"/>
        <item t="data" sd="1" x="1062"/>
        <item t="data" sd="1" m="1" x="2226"/>
        <item t="data" sd="1" m="1" x="2266"/>
        <item t="data" sd="1" x="1085"/>
        <item t="data" sd="1" x="1432"/>
        <item t="data" sd="1" x="1754"/>
        <item t="data" sd="1" x="752"/>
        <item t="data" sd="1" x="489"/>
        <item t="data" sd="1" x="1942"/>
        <item t="data" sd="1" x="1901"/>
        <item t="data" sd="1" x="948"/>
        <item t="data" sd="1" x="1452"/>
        <item t="data" sd="1" x="529"/>
        <item t="data" sd="1" x="644"/>
        <item t="data" sd="1" x="1045"/>
        <item t="data" sd="1" x="1915"/>
        <item t="data" sd="1" x="1554"/>
        <item t="data" sd="1" x="1730"/>
        <item t="data" sd="1" x="1740"/>
        <item t="data" sd="1" x="1935"/>
        <item t="data" sd="1" x="949"/>
        <item t="data" sd="1" x="1232"/>
        <item t="data" sd="1" x="712"/>
        <item t="data" sd="1" x="1047"/>
        <item t="data" sd="1" x="612"/>
        <item t="data" sd="1" x="1089"/>
        <item t="data" sd="1" x="2035"/>
        <item t="data" sd="1" x="351"/>
        <item t="data" sd="1" x="702"/>
        <item t="data" sd="1" x="1381"/>
        <item t="data" sd="1" x="1330"/>
        <item t="data" sd="1" x="736"/>
        <item t="data" sd="1" x="1989"/>
        <item t="data" sd="1" x="1802"/>
        <item t="data" sd="1" x="1529"/>
        <item t="data" sd="1" x="1967"/>
        <item t="data" sd="1" x="2065"/>
        <item t="data" sd="1" x="1046"/>
        <item t="data" sd="1" m="1" x="2236"/>
        <item t="data" sd="1" x="1624"/>
        <item t="data" sd="1" x="1974"/>
        <item t="data" sd="1" x="1159"/>
        <item t="data" sd="1" x="466"/>
        <item t="data" sd="1" x="1662"/>
        <item t="data" sd="1" x="1256"/>
        <item t="data" sd="1" m="1" x="2197"/>
        <item t="data" sd="1" x="688"/>
        <item t="data" sd="1" x="1442"/>
        <item t="data" sd="1" x="1582"/>
        <item t="data" sd="1" x="838"/>
        <item t="data" sd="1" x="1724"/>
        <item t="data" sd="1" x="1646"/>
        <item t="data" sd="1" x="1000"/>
        <item t="data" sd="1" x="940"/>
        <item t="data" sd="1" m="1" x="2203"/>
        <item t="data" sd="1" x="938"/>
        <item t="data" sd="1" x="1675"/>
        <item t="data" sd="1" x="973"/>
        <item t="data" sd="1" m="1" x="2191"/>
        <item t="data" sd="1" x="1988"/>
        <item t="data" sd="1" x="1700"/>
        <item t="data" sd="1" x="732"/>
        <item t="data" sd="1" x="1523"/>
        <item t="data" sd="1" x="2052"/>
        <item t="data" sd="1" x="649"/>
        <item t="data" sd="1" x="2133"/>
        <item t="data" sd="1" x="833"/>
        <item t="data" sd="1" x="512"/>
        <item t="data" sd="1" x="756"/>
        <item t="data" sd="1" x="747"/>
        <item t="data" sd="1" x="959"/>
        <item t="data" sd="1" x="515"/>
        <item t="data" sd="1" x="2084"/>
        <item t="data" sd="1" x="971"/>
        <item t="data" sd="1" x="139"/>
        <item t="data" sd="1" x="463"/>
        <item t="data" sd="1" x="1329"/>
        <item t="data" sd="1" x="1013"/>
        <item t="data" sd="1" x="897"/>
        <item t="data" sd="1" x="870"/>
        <item t="data" sd="1" x="963"/>
        <item t="data" sd="1" x="595"/>
        <item t="data" sd="1" x="893"/>
        <item t="data" sd="1" x="1109"/>
        <item t="data" sd="1" x="524"/>
        <item t="data" sd="1" x="1175"/>
        <item t="data" sd="1" x="967"/>
        <item t="data" sd="1" x="56"/>
        <item t="data" sd="1" x="423"/>
        <item t="data" sd="1" m="1" x="2212"/>
        <item t="data" sd="1" x="719"/>
        <item t="data" sd="1" x="1765"/>
        <item t="data" sd="1" x="661"/>
        <item t="data" sd="1" x="444"/>
        <item t="data" sd="1" x="1281"/>
        <item t="data" sd="1" x="1231"/>
        <item t="data" sd="1" x="1762"/>
        <item t="data" sd="1" x="1100"/>
        <item t="data" sd="1" x="1055"/>
        <item t="data" sd="1" x="1475"/>
        <item t="data" sd="1" x="484"/>
        <item t="data" sd="1" x="909"/>
        <item t="data" sd="1" x="654"/>
        <item t="data" sd="1" x="1385"/>
        <item t="data" sd="1" x="772"/>
        <item t="data" sd="1" x="1920"/>
        <item t="data" sd="1" x="1777"/>
        <item t="data" sd="1" x="775"/>
        <item t="data" sd="1" x="1324"/>
        <item t="data" sd="1" x="1632"/>
        <item t="data" sd="1" x="1299"/>
        <item t="data" sd="1" x="1792"/>
        <item t="data" sd="1" x="1258"/>
        <item t="data" sd="1" x="744"/>
        <item t="data" sd="1" x="1213"/>
        <item t="data" sd="1" x="1560"/>
        <item t="data" sd="1" x="1052"/>
        <item t="data" sd="1" x="1928"/>
        <item t="data" sd="1" x="2009"/>
        <item t="data" sd="1" x="1540"/>
        <item t="data" sd="1" x="1155"/>
        <item t="data" sd="1" x="1127"/>
        <item t="data" sd="1" x="2168"/>
        <item t="data" sd="1" x="1417"/>
        <item t="data" sd="1" x="994"/>
        <item t="data" sd="1" x="979"/>
        <item t="data" sd="1" x="1544"/>
        <item t="data" sd="1" x="917"/>
        <item t="data" sd="1" x="1424"/>
        <item t="data" sd="1" x="1927"/>
        <item t="data" sd="1" x="1398"/>
        <item t="data" sd="1" x="456"/>
        <item t="data" sd="1" x="2182"/>
        <item t="data" sd="1" x="1713"/>
        <item t="data" sd="1" x="820"/>
        <item t="data" sd="1" x="494"/>
        <item t="data" sd="1" x="665"/>
        <item t="data" sd="1" x="867"/>
        <item t="data" sd="1" x="2061"/>
        <item t="data" sd="1" x="1312"/>
        <item t="data" sd="1" x="614"/>
        <item t="data" sd="1" x="1065"/>
        <item t="data" sd="1" x="878"/>
        <item t="data" sd="1" x="452"/>
        <item t="data" sd="1" m="1" x="2195"/>
        <item t="data" sd="1" x="1958"/>
        <item t="data" sd="1" x="1191"/>
        <item t="data" sd="1" x="1278"/>
        <item t="data" sd="1" x="514"/>
        <item t="data" sd="1" x="528"/>
        <item t="data" sd="1" x="1991"/>
        <item t="data" sd="1" x="1273"/>
        <item t="data" sd="1" x="1027"/>
        <item t="data" sd="1" x="635"/>
        <item t="data" sd="1" m="1" x="2269"/>
        <item t="data" sd="1" x="950"/>
        <item t="data" sd="1" x="2111"/>
        <item t="data" sd="1" x="44"/>
        <item t="data" sd="1" x="1165"/>
        <item t="data" sd="1" x="1661"/>
        <item t="data" sd="1" x="1600"/>
        <item t="data" sd="1" x="1302"/>
        <item t="data" sd="1" x="714"/>
        <item t="data" sd="1" x="1883"/>
        <item t="data" sd="1" x="532"/>
        <item t="data" sd="1" x="738"/>
        <item t="data" sd="1" x="951"/>
        <item t="data" sd="1" x="2187"/>
        <item t="data" sd="1" x="1171"/>
        <item t="data" sd="1" x="1269"/>
        <item t="data" sd="1" m="1" x="2233"/>
        <item t="data" sd="1" x="964"/>
        <item t="data" sd="1" x="1481"/>
        <item t="data" sd="1" x="461"/>
        <item t="data" sd="1" x="31"/>
        <item t="data" sd="1" x="1153"/>
        <item t="data" sd="1" x="797"/>
        <item t="data" sd="1" x="680"/>
        <item t="data" sd="1" x="1873"/>
        <item t="data" sd="1" x="638"/>
        <item t="data" sd="1" x="2069"/>
        <item t="data" sd="1" x="2162"/>
        <item t="data" sd="1" x="902"/>
        <item t="data" sd="1" x="1903"/>
        <item t="data" sd="1" x="1726"/>
        <item t="data" sd="1" x="1218"/>
        <item t="data" sd="1" x="1721"/>
        <item t="data" sd="1" x="1358"/>
        <item t="data" sd="1" x="1739"/>
        <item t="data" sd="1" x="1874"/>
        <item t="data" sd="1" x="1877"/>
        <item t="data" sd="1" x="1445"/>
        <item t="data" sd="1" x="1098"/>
        <item t="data" sd="1" x="574"/>
        <item t="data" sd="1" x="766"/>
        <item t="data" sd="1" x="1490"/>
        <item t="data" sd="1" x="1872"/>
        <item t="data" sd="1" x="592"/>
        <item t="data" sd="1" x="1714"/>
        <item t="data" sd="1" x="1348"/>
        <item t="data" sd="1" x="1006"/>
        <item t="data" sd="1" m="1" x="2255"/>
        <item t="data" sd="1" x="796"/>
        <item t="data" sd="1" x="831"/>
        <item t="data" sd="1" x="111"/>
        <item t="data" sd="1" x="1444"/>
        <item t="data" sd="1" x="1428"/>
        <item t="data" sd="1" x="1268"/>
        <item t="data" sd="1" x="1509"/>
        <item t="data" sd="1" x="511"/>
        <item t="data" sd="1" x="1831"/>
        <item t="data" sd="1" x="2144"/>
        <item t="data" sd="1" x="1202"/>
        <item t="data" sd="1" x="1505"/>
        <item t="data" sd="1" x="899"/>
        <item t="data" sd="1" x="975"/>
        <item t="data" sd="1" m="1" x="2235"/>
        <item t="data" sd="1" x="810"/>
        <item t="data" sd="1" x="1425"/>
        <item t="data" sd="1" x="1181"/>
        <item t="data" sd="1" x="1676"/>
        <item t="data" sd="1" x="1359"/>
        <item t="data" sd="1" x="104"/>
        <item t="data" sd="1" m="1" x="2253"/>
        <item t="data" sd="1" x="876"/>
        <item t="data" sd="1" x="622"/>
        <item t="data" sd="1" x="481"/>
        <item t="data" sd="1" x="1477"/>
        <item t="data" sd="1" x="631"/>
        <item t="data" sd="1" x="1099"/>
        <item t="data" sd="1" x="1549"/>
        <item t="data" sd="1" x="1588"/>
        <item t="data" sd="1" x="1563"/>
        <item t="data" sd="1" x="691"/>
        <item t="data" sd="1" x="1214"/>
        <item t="data" sd="1" x="1277"/>
        <item t="data" sd="1" x="451"/>
        <item t="data" sd="1" x="721"/>
        <item t="data" sd="1" x="2178"/>
        <item t="data" sd="1" x="805"/>
        <item t="data" sd="1" x="502"/>
        <item t="data" sd="1" x="465"/>
        <item t="data" sd="1" x="415"/>
        <item t="data" sd="1" x="1326"/>
        <item t="data" sd="1" x="898"/>
        <item t="data" sd="1" x="1990"/>
        <item t="data" sd="1" x="1573"/>
        <item t="data" sd="1" x="1965"/>
        <item t="data" sd="1" x="1074"/>
        <item t="data" sd="1" x="659"/>
        <item t="data" sd="1" x="637"/>
        <item t="data" sd="1" x="666"/>
        <item t="data" sd="1" x="1034"/>
        <item t="data" sd="1" x="2"/>
        <item t="data" sd="1" x="1317"/>
        <item t="data" sd="1" x="2062"/>
        <item t="data" sd="1" x="1019"/>
        <item t="data" sd="1" x="237"/>
        <item t="data" sd="1" x="1936"/>
        <item t="data" sd="1" x="1876"/>
        <item t="data" sd="1" x="467"/>
        <item t="data" sd="1" x="2008"/>
        <item t="data" sd="1" x="1953"/>
        <item t="data" sd="1" x="803"/>
        <item t="data" sd="1" x="759"/>
        <item t="data" sd="1" x="1693"/>
        <item t="data" sd="1" x="8"/>
        <item t="data" sd="1" x="390"/>
        <item t="data" sd="1" x="400"/>
        <item t="data" sd="1" x="401"/>
        <item t="data" sd="1" x="402"/>
        <item t="data" sd="1" x="403"/>
        <item t="data" sd="1" x="407"/>
        <item t="data" sd="1" x="405"/>
        <item t="data" sd="1" m="1" x="2222"/>
        <item t="data" sd="1" x="413"/>
        <item t="data" sd="1" x="418"/>
        <item t="data" sd="1" x="419"/>
        <item t="data" sd="1" x="432"/>
        <item t="data" sd="1" x="437"/>
        <item t="data" sd="1" x="443"/>
        <item t="data" sd="1" x="449"/>
        <item t="data" sd="1" x="459"/>
        <item t="data" sd="1" x="468"/>
        <item t="data" sd="1" x="551"/>
        <item t="data" sd="1" x="559"/>
        <item t="data" sd="1" x="581"/>
        <item t="data" sd="1" x="640"/>
        <item t="data" sd="1" x="653"/>
        <item t="data" sd="1" x="664"/>
        <item t="data" sd="1" x="689"/>
        <item t="data" sd="1" x="806"/>
        <item t="data" sd="1" x="871"/>
        <item t="data" sd="1" x="883"/>
        <item t="data" sd="1" x="974"/>
        <item t="data" sd="1" x="1002"/>
        <item t="data" sd="1" x="89"/>
        <item t="data" sd="1" x="1081"/>
        <item t="data" sd="1" x="1086"/>
        <item t="data" sd="1" x="1252"/>
        <item t="data" sd="1" x="1290"/>
        <item t="data" sd="1" x="1304"/>
        <item t="data" sd="1" x="1338"/>
        <item t="data" sd="1" x="1354"/>
        <item t="data" sd="1" x="1422"/>
        <item t="data" sd="1" x="1426"/>
        <item t="data" sd="1" x="1427"/>
        <item t="data" sd="1" x="1463"/>
        <item t="data" sd="1" x="1470"/>
        <item t="data" sd="1" x="1484"/>
        <item t="data" sd="1" x="1501"/>
        <item t="data" sd="1" x="1590"/>
        <item t="data" sd="1" x="1593"/>
        <item t="data" sd="1" x="1601"/>
        <item t="data" sd="1" x="1742"/>
        <item t="data" sd="1" x="1746"/>
        <item t="data" sd="1" x="1763"/>
        <item t="data" sd="1" x="24"/>
        <item t="data" sd="1" x="1779"/>
        <item t="data" sd="1" x="1783"/>
        <item t="data" sd="1" x="1811"/>
        <item t="data" sd="1" x="1818"/>
        <item t="data" sd="1" x="1885"/>
        <item t="data" sd="1" x="1887"/>
        <item t="data" sd="1" x="1896"/>
        <item t="data" sd="1" x="1910"/>
        <item t="data" sd="1" x="1911"/>
        <item t="data" sd="1" x="1912"/>
        <item t="data" sd="1" x="1921"/>
        <item t="data" sd="1" x="1924"/>
        <item t="data" sd="1" x="1528"/>
        <item t="data" sd="1" x="1943"/>
        <item t="data" sd="1" x="1951"/>
        <item t="data" sd="1" x="1956"/>
        <item t="data" sd="1" x="1962"/>
        <item t="data" sd="1" x="1999"/>
        <item t="data" sd="1" x="2011"/>
        <item t="data" sd="1" x="2014"/>
        <item t="data" sd="1" x="2038"/>
        <item t="data" sd="1" x="2058"/>
        <item t="data" sd="1" x="2064"/>
        <item t="data" sd="1" x="2073"/>
        <item t="data" sd="1" x="2075"/>
        <item t="data" sd="1" x="2100"/>
        <item t="data" sd="1" x="2116"/>
        <item t="data" sd="1" x="2121"/>
        <item t="data" sd="1" x="2131"/>
        <item t="data" sd="1" x="2135"/>
        <item t="data" sd="1" x="2140"/>
        <item t="data" sd="1" x="2152"/>
        <item t="data" sd="1" x="2153"/>
        <item t="data" sd="1" x="2154"/>
        <item t="data" sd="1" x="2155"/>
        <item t="data" sd="1" x="2180"/>
        <item t="data" sd="1" x="2181"/>
        <item t="data" sd="1" x="149"/>
        <item t="data" sd="1" x="362"/>
        <item t="data" sd="1" x="367"/>
        <item t="data" sd="1" x="380"/>
        <item t="data" sd="1" x="382"/>
        <item t="data" sd="1" x="381"/>
        <item t="data" sd="1" x="386"/>
        <item t="data" sd="1" x="384"/>
        <item t="data" sd="1" x="388"/>
        <item t="data" sd="1" x="213"/>
        <item t="data" sd="1" x="396"/>
        <item t="data" sd="1" x="570"/>
        <item t="data" sd="1" x="674"/>
        <item t="data" sd="1" x="789"/>
        <item t="data" sd="1" x="853"/>
        <item t="data" sd="1" x="920"/>
        <item t="data" sd="1" x="1044"/>
        <item t="data" sd="1" x="1056"/>
        <item t="data" sd="1" x="1068"/>
        <item t="data" sd="1" x="1131"/>
        <item t="data" sd="1" x="1208"/>
        <item t="data" sd="1" x="1264"/>
        <item t="data" sd="1" x="74"/>
        <item t="data" sd="1" x="1461"/>
        <item t="data" sd="1" x="1546"/>
        <item t="data" sd="1" x="1569"/>
        <item t="data" sd="1" x="1717"/>
        <item t="data" sd="1" x="1723"/>
        <item t="data" sd="1" x="1768"/>
        <item t="data" sd="1" x="1853"/>
        <item t="data" sd="1" x="1914"/>
        <item t="data" sd="1" x="1960"/>
        <item t="data" sd="1" x="1972"/>
        <item t="data" sd="1" x="1979"/>
        <item t="data" sd="1" x="1980"/>
        <item t="data" sd="1" x="2002"/>
        <item t="data" sd="1" m="1" x="2199"/>
        <item t="data" sd="1" x="2118"/>
        <item t="data" sd="1" x="392"/>
        <item t="data" sd="1" x="393"/>
        <item t="data" sd="1" x="1296"/>
        <item t="data" sd="1" x="1899"/>
        <item t="data" sd="1" x="355"/>
        <item t="data" sd="1" x="364"/>
        <item t="data" sd="1" x="290"/>
        <item t="data" sd="1" x="385"/>
        <item t="data" sd="1" x="391"/>
        <item t="data" sd="1" x="395"/>
        <item t="data" sd="1" x="409"/>
        <item t="data" sd="1" x="412"/>
        <item t="data" sd="1" x="429"/>
        <item t="data" sd="1" x="433"/>
        <item t="data" sd="1" x="473"/>
        <item t="data" sd="1" x="969"/>
        <item t="data" sd="1" x="1116"/>
        <item t="data" sd="1" x="1710"/>
        <item t="data" sd="1" x="1918"/>
        <item t="data" sd="1" x="356"/>
        <item t="data" sd="1" x="1349"/>
        <item t="data" sd="1" x="1907"/>
        <item t="data" sd="1" x="2005"/>
        <item t="data" sd="1" x="317"/>
        <item t="data" sd="1" x="316"/>
        <item t="data" sd="1" x="339"/>
        <item t="data" sd="1" x="376"/>
        <item t="data" sd="1" x="426"/>
        <item t="data" sd="1" x="464"/>
        <item t="data" sd="1" x="541"/>
        <item t="data" sd="1" x="648"/>
        <item t="data" sd="1" x="652"/>
        <item t="data" sd="1" x="900"/>
        <item t="data" sd="1" x="1129"/>
        <item t="data" sd="1" x="1137"/>
        <item t="data" sd="1" x="77"/>
        <item t="data" sd="1" x="1241"/>
        <item t="data" sd="1" x="1254"/>
        <item t="data" sd="1" x="1279"/>
        <item t="data" sd="1" x="1399"/>
        <item t="data" sd="1" x="1623"/>
        <item t="data" sd="1" x="1815"/>
        <item t="data" sd="1" x="1819"/>
        <item t="data" sd="1" x="1846"/>
        <item t="data" sd="1" x="1892"/>
        <item t="data" sd="1" x="1908"/>
        <item t="data" sd="1" x="1939"/>
        <item t="data" sd="1" x="1955"/>
        <item t="data" sd="1" x="2080"/>
        <item t="data" sd="1" x="2130"/>
        <item t="data" sd="1" x="2174"/>
        <item t="data" sd="1" x="291"/>
        <item t="data" sd="1" x="299"/>
        <item t="data" sd="1" x="302"/>
        <item t="data" sd="1" x="311"/>
        <item t="data" sd="1" x="336"/>
        <item t="data" sd="1" x="420"/>
        <item t="data" sd="1" x="880"/>
        <item t="data" sd="1" x="896"/>
        <item t="data" sd="1" x="1479"/>
        <item t="data" sd="1" x="1521"/>
        <item t="data" sd="1" x="1553"/>
        <item t="data" sd="1" x="1734"/>
        <item t="data" sd="1" x="1755"/>
        <item t="data" sd="1" x="1760"/>
        <item t="data" sd="1" x="1864"/>
        <item t="data" sd="1" x="1867"/>
        <item t="data" sd="1" x="1904"/>
        <item t="data" sd="1" x="1930"/>
        <item t="data" sd="1" x="1993"/>
        <item t="data" sd="1" x="2055"/>
        <item t="data" sd="1" x="2079"/>
        <item t="data" sd="1" x="2139"/>
        <item t="data" sd="1" x="398"/>
        <item t="data" sd="1" x="587"/>
        <item t="data" sd="1" x="263"/>
        <item t="data" sd="1" x="276"/>
        <item t="data" sd="1" x="278"/>
        <item t="data" sd="1" m="1" x="2249"/>
        <item t="data" sd="1" x="284"/>
        <item t="data" sd="1" x="287"/>
        <item t="data" sd="1" x="305"/>
        <item t="data" sd="1" x="304"/>
        <item t="data" sd="1" x="314"/>
        <item t="data" sd="1" x="318"/>
        <item t="data" sd="1" x="321"/>
        <item t="data" sd="1" x="324"/>
        <item t="data" sd="1" x="327"/>
        <item t="data" sd="1" x="343"/>
        <item t="data" sd="1" x="331"/>
        <item t="data" sd="1" x="987"/>
        <item t="data" sd="1" x="1029"/>
        <item t="data" sd="1" x="1148"/>
        <item t="data" sd="1" x="1382"/>
        <item t="data" sd="1" x="1841"/>
        <item t="data" sd="1" x="1870"/>
        <item t="data" sd="1" x="2023"/>
        <item t="data" sd="1" x="286"/>
        <item t="data" sd="1" m="1" x="2247"/>
        <item t="data" sd="1" x="297"/>
        <item t="data" sd="1" x="309"/>
        <item t="data" sd="1" x="313"/>
        <item t="data" sd="1" x="338"/>
        <item t="data" sd="1" x="348"/>
        <item t="data" sd="1" x="350"/>
        <item t="data" sd="1" x="354"/>
        <item t="data" sd="1" x="360"/>
        <item t="data" sd="1" x="365"/>
        <item t="data" sd="1" x="368"/>
        <item t="data" sd="1" x="370"/>
        <item t="data" sd="1" x="375"/>
        <item t="data" sd="1" x="431"/>
        <item t="data" sd="1" x="436"/>
        <item t="data" sd="1" x="477"/>
        <item t="data" sd="1" x="485"/>
        <item t="data" sd="1" x="588"/>
        <item t="data" sd="1" x="606"/>
        <item t="data" sd="1" x="604"/>
        <item t="data" sd="1" x="605"/>
        <item t="data" sd="1" x="621"/>
        <item t="data" sd="1" x="623"/>
        <item t="data" sd="1" x="626"/>
        <item t="data" sd="1" x="647"/>
        <item t="data" sd="1" x="650"/>
        <item t="data" sd="1" x="679"/>
        <item t="data" sd="1" x="255"/>
        <item t="data" sd="1" x="685"/>
        <item t="data" sd="1" x="1356"/>
        <item t="data" sd="1" x="1451"/>
        <item t="data" sd="1" x="422"/>
        <item t="data" sd="1" x="1482"/>
        <item t="data" sd="1" x="2020"/>
        <item t="data" sd="1" x="242"/>
        <item t="data" sd="1" x="249"/>
        <item t="data" sd="1" x="267"/>
        <item t="data" sd="1" x="273"/>
        <item t="data" sd="1" x="294"/>
        <item t="data" sd="1" x="236"/>
        <item t="data" sd="1" x="235"/>
        <item t="data" sd="1" x="69"/>
        <item t="data" sd="1" x="239"/>
        <item t="data" sd="1" x="241"/>
        <item t="data" sd="1" x="243"/>
        <item t="data" sd="1" x="244"/>
        <item t="data" sd="1" x="245"/>
        <item t="data" sd="1" x="246"/>
        <item t="data" sd="1" x="250"/>
        <item t="data" sd="1" x="259"/>
        <item t="data" sd="1" x="260"/>
        <item t="data" sd="1" x="265"/>
        <item t="data" sd="1" x="274"/>
        <item t="data" sd="1" x="275"/>
        <item t="data" sd="1" x="279"/>
        <item t="data" sd="1" x="280"/>
        <item t="data" sd="1" x="281"/>
        <item t="data" sd="1" x="283"/>
        <item t="data" sd="1" x="285"/>
        <item t="data" sd="1" x="293"/>
        <item t="data" sd="1" x="301"/>
        <item t="data" sd="1" x="660"/>
        <item t="data" sd="1" x="751"/>
        <item t="data" sd="1" x="843"/>
        <item t="data" sd="1" x="1318"/>
        <item t="data" sd="1" x="1520"/>
        <item t="data" sd="1" x="1626"/>
        <item t="data" sd="1" m="1" x="2208"/>
        <item t="data" sd="1" x="2018"/>
        <item t="data" sd="1" x="2085"/>
        <item t="data" sd="1" x="2156"/>
        <item t="data" sd="1" x="269"/>
        <item t="data" sd="1" m="1" x="2264"/>
        <item t="data" sd="1" x="175"/>
        <item t="data" sd="1" x="185"/>
        <item t="data" sd="1" x="188"/>
        <item t="data" sd="1" x="194"/>
        <item t="data" sd="1" x="197"/>
        <item t="data" sd="1" x="200"/>
        <item t="data" sd="1" x="199"/>
        <item t="data" sd="1" x="202"/>
        <item t="data" sd="1" x="203"/>
        <item t="data" sd="1" x="2186"/>
        <item t="data" sd="1" x="206"/>
        <item t="data" sd="1" x="207"/>
        <item t="data" sd="1" x="210"/>
        <item t="data" sd="1" x="211"/>
        <item t="data" sd="1" x="216"/>
        <item t="data" sd="1" x="215"/>
        <item t="data" sd="1" x="219"/>
        <item t="data" sd="1" x="221"/>
        <item t="data" sd="1" x="222"/>
        <item t="data" sd="1" x="225"/>
        <item t="data" sd="1" x="161"/>
        <item t="data" sd="1" x="227"/>
        <item t="data" sd="1" x="229"/>
        <item t="data" sd="1" x="231"/>
        <item t="data" sd="1" x="232"/>
        <item t="data" sd="1" x="234"/>
        <item t="data" sd="1" x="238"/>
        <item t="data" sd="1" x="257"/>
        <item t="data" sd="1" x="254"/>
        <item t="data" sd="1" x="256"/>
        <item t="data" sd="1" x="264"/>
        <item t="data" sd="1" x="272"/>
        <item t="data" sd="1" x="296"/>
        <item t="data" sd="1" x="312"/>
        <item t="data" sd="1" x="322"/>
        <item t="data" sd="1" x="332"/>
        <item t="data" sd="1" x="337"/>
        <item t="data" sd="1" x="346"/>
        <item t="data" sd="1" x="358"/>
        <item t="data" sd="1" x="363"/>
        <item t="data" sd="1" x="369"/>
        <item t="data" sd="1" x="378"/>
        <item t="data" sd="1" x="379"/>
        <item t="data" sd="1" x="408"/>
        <item t="data" sd="1" x="410"/>
        <item t="data" sd="1" x="442"/>
        <item t="data" sd="1" x="470"/>
        <item t="data" sd="1" x="475"/>
        <item t="data" sd="1" x="671"/>
        <item t="data" sd="1" x="817"/>
        <item t="data" sd="1" x="872"/>
        <item t="data" sd="1" x="879"/>
        <item t="data" sd="1" x="925"/>
        <item t="data" sd="1" x="941"/>
        <item t="data" sd="1" x="942"/>
        <item t="data" sd="1" x="1093"/>
        <item t="data" sd="1" x="1108"/>
        <item t="data" sd="1" x="1156"/>
        <item t="data" sd="1" x="1217"/>
        <item t="data" sd="1" x="1388"/>
        <item t="data" sd="1" x="1407"/>
        <item t="data" sd="1" x="1441"/>
        <item t="data" sd="1" x="1645"/>
        <item t="data" sd="1" x="1673"/>
        <item t="data" sd="1" x="1706"/>
        <item t="data" sd="1" x="1810"/>
        <item t="data" sd="1" x="1850"/>
        <item t="data" sd="1" x="1855"/>
        <item t="data" sd="1" x="1902"/>
        <item t="data" sd="1" x="2081"/>
        <item t="data" sd="1" x="2083"/>
        <item t="data" sd="1" x="2089"/>
        <item t="data" sd="1" x="2090"/>
        <item t="data" sd="1" x="177"/>
        <item t="data" sd="1" x="240"/>
        <item t="data" sd="1" x="268"/>
        <item t="data" sd="1" x="786"/>
        <item t="data" sd="1" x="1035"/>
        <item t="data" sd="1" x="1316"/>
        <item t="data" sd="1" x="353"/>
        <item t="data" sd="1" x="144"/>
        <item t="data" sd="1" x="145"/>
        <item t="data" sd="1" x="147"/>
        <item t="data" sd="1" x="150"/>
        <item t="data" sd="1" x="152"/>
        <item t="data" sd="1" x="156"/>
        <item t="data" sd="1" x="158"/>
        <item t="data" sd="1" x="163"/>
        <item t="data" sd="1" x="164"/>
        <item t="data" sd="1" x="170"/>
        <item t="data" sd="1" x="174"/>
        <item t="data" sd="1" x="186"/>
        <item t="data" sd="1" x="198"/>
        <item t="data" sd="1" x="2158"/>
        <item t="data" sd="1" x="157"/>
        <item t="data" sd="1" x="140"/>
        <item t="data" sd="1" x="141"/>
        <item t="data" sd="1" x="155"/>
        <item t="data" sd="1" x="162"/>
        <item t="data" sd="1" x="169"/>
        <item t="data" sd="1" x="172"/>
        <item t="data" sd="1" x="179"/>
        <item t="data" sd="1" x="191"/>
        <item t="data" sd="1" x="192"/>
        <item t="data" sd="1" x="196"/>
        <item t="data" sd="1" x="735"/>
        <item t="data" sd="1" x="1184"/>
        <item t="data" sd="1" x="251"/>
        <item t="data" sd="1" x="122"/>
        <item t="data" sd="1" x="124"/>
        <item t="data" sd="1" x="154"/>
        <item t="data" sd="1" x="166"/>
        <item t="data" sd="1" x="253"/>
        <item t="data" sd="1" x="1434"/>
        <item t="data" sd="1" x="1517"/>
        <item t="data" sd="1" x="1571"/>
        <item t="data" sd="1" x="1987"/>
        <item t="data" sd="1" x="110"/>
        <item t="data" sd="1" x="112"/>
        <item t="data" sd="1" x="123"/>
        <item t="data" sd="1" x="128"/>
        <item t="data" sd="1" x="134"/>
        <item t="data" sd="1" x="137"/>
        <item t="data" sd="1" x="138"/>
        <item t="data" sd="1" x="142"/>
        <item t="data" sd="1" x="167"/>
        <item t="data" sd="1" x="178"/>
        <item t="data" sd="1" x="182"/>
        <item t="data" sd="1" x="193"/>
        <item t="data" sd="1" x="195"/>
        <item t="data" sd="1" x="201"/>
        <item t="data" sd="1" x="212"/>
        <item t="data" sd="1" x="217"/>
        <item t="data" sd="1" x="226"/>
        <item t="data" sd="1" x="228"/>
        <item t="data" sd="1" x="248"/>
        <item t="data" sd="1" x="252"/>
        <item t="data" sd="1" x="277"/>
        <item t="data" sd="1" x="292"/>
        <item t="data" sd="1" x="303"/>
        <item t="data" sd="1" x="319"/>
        <item t="data" sd="1" x="323"/>
        <item t="data" sd="1" m="1" x="2250"/>
        <item t="data" sd="1" x="325"/>
        <item t="data" sd="1" x="334"/>
        <item t="data" sd="1" x="341"/>
        <item t="data" sd="1" x="359"/>
        <item t="data" sd="1" x="361"/>
        <item t="data" sd="1" x="372"/>
        <item t="data" sd="1" x="377"/>
        <item t="data" sd="1" x="414"/>
        <item t="data" sd="1" x="486"/>
        <item t="data" sd="1" x="516"/>
        <item t="data" sd="1" x="519"/>
        <item t="data" sd="1" x="538"/>
        <item t="data" sd="1" x="617"/>
        <item t="data" sd="1" m="1" x="2205"/>
        <item t="data" sd="1" x="1022"/>
        <item t="data" sd="1" x="1063"/>
        <item t="data" sd="1" x="1145"/>
        <item t="data" sd="1" x="1205"/>
        <item t="data" sd="1" m="1" x="2265"/>
        <item t="data" sd="1" x="1394"/>
        <item t="data" sd="1" x="1415"/>
        <item t="data" sd="1" x="1331"/>
        <item t="data" sd="1" x="1457"/>
        <item t="data" sd="1" x="1465"/>
        <item t="data" sd="1" x="1610"/>
        <item t="data" sd="1" x="1789"/>
        <item t="data" sd="1" x="1849"/>
        <item t="data" sd="1" m="1" x="2241"/>
        <item t="data" sd="1" x="1882"/>
        <item t="data" sd="1" x="1894"/>
        <item t="data" sd="1" x="1913"/>
        <item t="data" sd="1" x="1917"/>
        <item t="data" sd="1" x="1959"/>
        <item t="data" sd="1" x="2004"/>
        <item t="data" sd="1" x="2027"/>
        <item t="data" sd="1" x="2082"/>
        <item t="data" sd="1" x="2092"/>
        <item t="data" sd="1" x="2094"/>
        <item t="data" sd="1" x="2098"/>
        <item t="data" sd="1" x="2101"/>
        <item t="data" sd="1" x="2110"/>
        <item t="data" sd="1" x="2161"/>
        <item t="data" sd="1" x="1075"/>
        <item t="data" sd="1" x="1111"/>
        <item t="data" sd="1" x="1270"/>
        <item t="data" sd="1" x="1274"/>
        <item t="data" sd="1" x="1280"/>
        <item t="data" sd="1" x="1285"/>
        <item t="data" sd="1" x="1346"/>
        <item t="data" sd="1" x="1737"/>
        <item t="data" sd="1" m="1" x="2261"/>
        <item t="data" sd="1" x="2036"/>
        <item t="data" sd="1" x="261"/>
        <item t="data" sd="1" x="1375"/>
        <item t="data" sd="1" x="1379"/>
        <item t="data" sd="1" x="1390"/>
        <item t="data" sd="1" x="1393"/>
        <item t="data" sd="1" x="1409"/>
        <item t="data" sd="1" x="1488"/>
        <item t="data" sd="1" x="1489"/>
        <item t="data" sd="1" x="1514"/>
        <item t="data" sd="1" x="1526"/>
        <item t="data" sd="1" x="1542"/>
        <item t="data" sd="1" x="1555"/>
        <item t="data" sd="1" x="1558"/>
        <item t="data" sd="1" x="1575"/>
        <item t="data" sd="1" x="1574"/>
        <item t="data" sd="1" x="1577"/>
        <item t="data" sd="1" x="1584"/>
        <item t="data" sd="1" x="1620"/>
        <item t="data" sd="1" x="1736"/>
        <item t="data" sd="1" x="1735"/>
        <item t="data" sd="1" x="1857"/>
        <item t="data" sd="1" x="1944"/>
        <item t="data" sd="1" x="1950"/>
        <item t="data" sd="1" x="2001"/>
        <item t="data" sd="1" x="2003"/>
        <item t="data" sd="1" x="2017"/>
        <item t="data" sd="1" x="2048"/>
        <item t="data" sd="1" x="2056"/>
        <item t="data" sd="1" x="87"/>
        <item t="data" sd="1" x="88"/>
        <item t="data" sd="1" m="1" x="2220"/>
        <item t="data" sd="1" x="93"/>
        <item t="data" sd="1" x="101"/>
        <item t="data" sd="1" x="106"/>
        <item t="data" sd="1" x="109"/>
        <item t="data" sd="1" x="117"/>
        <item t="data" sd="1" x="507"/>
        <item t="data" sd="1" x="1223"/>
        <item t="data" sd="1" x="1513"/>
        <item t="data" sd="1" x="1697"/>
        <item t="data" sd="1" x="1711"/>
        <item t="data" sd="1" x="1716"/>
        <item t="data" sd="1" x="1744"/>
        <item t="data" sd="1" x="1752"/>
        <item t="data" sd="1" x="1813"/>
        <item t="data" sd="1" x="1838"/>
        <item t="data" sd="1" x="1868"/>
        <item t="data" sd="1" x="1871"/>
        <item t="data" sd="1" x="1929"/>
        <item t="data" sd="1" x="2095"/>
        <item t="data" sd="1" x="96"/>
        <item t="data" sd="1" x="5"/>
        <item t="data" sd="1" x="98"/>
        <item t="data" sd="1" x="100"/>
        <item t="data" sd="1" x="114"/>
        <item t="data" sd="1" x="115"/>
        <item t="data" sd="1" x="116"/>
        <item t="data" sd="1" x="119"/>
        <item t="data" sd="1" x="121"/>
        <item t="data" sd="1" x="120"/>
        <item t="data" sd="1" x="125"/>
        <item t="data" sd="1" x="129"/>
        <item t="data" sd="1" m="1" x="2271"/>
        <item t="data" sd="1" x="153"/>
        <item t="data" sd="1" x="160"/>
        <item t="data" sd="1" x="165"/>
        <item t="data" sd="1" x="168"/>
        <item t="data" sd="1" x="180"/>
        <item t="data" sd="1" x="184"/>
        <item t="data" sd="1" x="28"/>
        <item t="data" sd="1" x="204"/>
        <item t="data" sd="1" x="205"/>
        <item t="data" sd="1" x="310"/>
        <item t="data" sd="1" x="333"/>
        <item t="data" sd="1" x="352"/>
        <item t="data" sd="1" x="374"/>
        <item t="data" sd="1" x="733"/>
        <item t="data" sd="1" x="799"/>
        <item t="data" sd="1" x="1118"/>
        <item t="data" sd="1" x="1144"/>
        <item t="data" sd="1" m="1" x="2234"/>
        <item t="data" sd="1" x="1436"/>
        <item t="data" sd="1" x="1446"/>
        <item t="data" sd="1" m="1" x="2229"/>
        <item t="data" sd="1" x="1493"/>
        <item t="data" sd="1" x="1502"/>
        <item t="data" sd="1" x="1550"/>
        <item t="data" sd="1" x="1698"/>
        <item t="data" sd="1" m="1" x="2209"/>
        <item t="data" sd="1" x="1825"/>
        <item t="data" sd="1" x="1827"/>
        <item t="data" sd="1" x="1829"/>
        <item t="data" sd="1" x="1833"/>
        <item t="data" sd="1" x="1834"/>
        <item t="data" sd="1" x="1851"/>
        <item t="data" sd="1" x="1893"/>
        <item t="data" sd="1" x="1922"/>
        <item t="data" sd="1" x="1941"/>
        <item t="data" sd="1" x="1945"/>
        <item t="data" sd="1" x="1948"/>
        <item t="data" sd="1" x="1971"/>
        <item t="data" sd="1" x="1973"/>
        <item t="data" sd="1" x="1981"/>
        <item t="data" sd="1" x="1982"/>
        <item t="data" sd="1" x="2013"/>
        <item t="data" sd="1" x="1028"/>
        <item t="data" sd="1" x="2022"/>
        <item t="data" sd="1" x="2025"/>
        <item t="data" sd="1" x="2049"/>
        <item t="data" sd="1" x="2054"/>
        <item t="data" sd="1" x="2060"/>
        <item t="data" sd="1" m="1" x="2214"/>
        <item t="data" sd="1" x="2102"/>
        <item t="data" sd="1" x="2105"/>
        <item t="data" sd="1" x="2106"/>
        <item t="data" sd="1" x="2109"/>
        <item t="data" sd="1" x="2127"/>
        <item t="data" sd="1" x="2138"/>
        <item t="data" sd="1" m="1" x="2196"/>
        <item t="data" sd="1" x="2146"/>
        <item t="data" sd="1" x="2148"/>
        <item t="data" sd="1" x="2163"/>
        <item t="data" sd="1" x="2176"/>
        <item t="data" sd="1" x="1161"/>
        <item t="data" sd="1" x="1637"/>
        <item t="data" sd="1" x="1743"/>
        <item t="data" sd="1" x="1773"/>
        <item t="data" sd="1" x="1879"/>
        <item t="data" sd="1" x="2006"/>
        <item t="data" sd="1" x="83"/>
        <item t="data" sd="1" x="1406"/>
        <item t="data" sd="1" x="1524"/>
        <item t="data" sd="1" x="1839"/>
        <item t="data" sd="1" x="1862"/>
        <item t="data" sd="1" x="2067"/>
        <item t="data" sd="1" x="2074"/>
        <item t="data" sd="1" m="1" x="2252"/>
        <item t="data" sd="1" x="2107"/>
        <item t="data" sd="1" m="1" x="2193"/>
        <item t="data" sd="1" x="2171"/>
        <item t="data" sd="1" m="1" x="2200"/>
        <item t="data" sd="1" m="1" x="2204"/>
        <item t="data" sd="1" x="2078"/>
        <item t="data" sd="1" x="2076"/>
        <item t="data" sd="1" m="1" x="2213"/>
        <item t="data" sd="1" x="844"/>
        <item t="data" sd="1" x="1360"/>
        <item t="data" sd="1" x="1361"/>
        <item t="data" sd="1" x="113"/>
        <item t="data" sd="1" x="214"/>
        <item t="data" sd="1" x="262"/>
        <item t="data" sd="1" x="344"/>
        <item t="data" sd="1" x="1151"/>
        <item t="data" sd="1" x="1672"/>
        <item t="data" sd="1" x="1767"/>
        <item t="data" sd="1" x="1995"/>
        <item t="data" sd="1" x="1994"/>
        <item t="data" sd="1" x="143"/>
        <item t="data" sd="1" x="816"/>
        <item t="data" sd="1" x="918"/>
        <item t="data" sd="1" x="1804"/>
        <item t="data" sd="1" x="1869"/>
        <item t="data" sd="1" x="1916"/>
        <item t="data" sd="1" x="1952"/>
        <item t="data" sd="1" x="1963"/>
        <item t="data" sd="1" x="1050"/>
        <item t="data" sd="1" x="2108"/>
        <item t="data" sd="1" x="558"/>
        <item t="data" sd="1" x="1435"/>
        <item t="data" sd="1" x="1604"/>
        <item t="data" sd="1" x="1886"/>
        <item t="data" sd="1" x="1900"/>
        <item t="data" sd="1" x="1957"/>
        <item t="data" sd="1" x="2044"/>
        <item t="data" sd="1" x="2059"/>
        <item t="data" sd="1" x="2128"/>
        <item t="data" sd="1" x="2164"/>
        <item t="data" sd="1" x="80"/>
        <item t="data" sd="1" x="1344"/>
        <item t="data" sd="1" x="73"/>
        <item t="data" sd="1" x="91"/>
        <item t="data" sd="1" x="1512"/>
        <item t="data" sd="1" x="2129"/>
        <item t="data" sd="1" x="1858"/>
        <item t="data" sd="1" x="1835"/>
        <item t="data" sd="1" x="1579"/>
        <item t="data" sd="1" x="2015"/>
        <item t="data" sd="1" x="136"/>
        <item t="data" sd="1" x="1070"/>
        <item t="data" sd="1" x="1602"/>
        <item t="data" sd="1" x="1336"/>
        <item t="data" sd="1" x="1926"/>
        <item t="data" sd="1" x="1937"/>
        <item t="data" sd="1" x="90"/>
        <item t="data" sd="1" x="282"/>
        <item t="data" sd="1" x="1508"/>
        <item t="data" sd="1" x="289"/>
        <item t="data" sd="1" x="57"/>
        <item t="data" sd="1" x="64"/>
        <item t="data" sd="1" x="65"/>
        <item t="data" sd="1" x="66"/>
        <item t="data" sd="1" x="68"/>
        <item t="data" sd="1" x="70"/>
        <item t="data" sd="1" x="72"/>
        <item t="data" sd="1" x="75"/>
        <item t="data" sd="1" x="76"/>
        <item t="data" sd="1" x="78"/>
        <item t="data" sd="1" x="81"/>
        <item t="data" sd="1" x="82"/>
        <item t="data" sd="1" x="84"/>
        <item t="data" sd="1" x="95"/>
        <item t="data" sd="1" x="97"/>
        <item t="data" sd="1" x="99"/>
        <item t="data" sd="1" x="102"/>
        <item t="data" sd="1" x="118"/>
        <item t="data" sd="1" x="127"/>
        <item t="data" sd="1" x="130"/>
        <item t="data" sd="1" x="132"/>
        <item t="data" sd="1" x="133"/>
        <item t="data" sd="1" x="146"/>
        <item t="data" sd="1" x="151"/>
        <item t="data" sd="1" x="159"/>
        <item t="data" sd="1" x="171"/>
        <item t="data" sd="1" x="183"/>
        <item t="data" sd="1" x="187"/>
        <item t="data" sd="1" x="190"/>
        <item t="data" sd="1" x="209"/>
        <item t="data" sd="1" x="208"/>
        <item t="data" sd="1" x="233"/>
        <item t="data" sd="1" x="258"/>
        <item t="data" sd="1" x="270"/>
        <item t="data" sd="1" x="298"/>
        <item t="data" sd="1" x="300"/>
        <item t="data" sd="1" x="306"/>
        <item t="data" sd="1" x="315"/>
        <item t="data" sd="1" x="320"/>
        <item t="data" sd="1" x="326"/>
        <item t="data" sd="1" x="328"/>
        <item t="data" sd="1" x="329"/>
        <item t="data" sd="1" x="330"/>
        <item t="data" sd="1" x="335"/>
        <item t="data" sd="1" x="340"/>
        <item t="data" sd="1" x="342"/>
        <item t="data" sd="1" x="347"/>
        <item t="data" sd="1" x="357"/>
        <item t="data" sd="1" x="366"/>
        <item t="data" sd="1" x="373"/>
        <item t="data" sd="1" x="371"/>
        <item t="data" sd="1" x="383"/>
        <item t="data" sd="1" x="389"/>
        <item t="data" sd="1" x="394"/>
        <item t="data" sd="1" x="399"/>
        <item t="data" sd="1" x="411"/>
        <item t="data" sd="1" x="416"/>
        <item t="data" sd="1" x="417"/>
        <item t="data" sd="1" x="421"/>
        <item t="data" sd="1" x="424"/>
        <item t="data" sd="1" x="425"/>
        <item t="data" sd="1" x="430"/>
        <item t="data" sd="1" x="460"/>
        <item t="data" sd="1" x="482"/>
        <item t="data" sd="1" x="490"/>
        <item t="data" sd="1" x="491"/>
        <item t="data" sd="1" x="499"/>
        <item t="data" sd="1" x="503"/>
        <item t="data" sd="1" x="523"/>
        <item t="data" sd="1" x="522"/>
        <item t="data" sd="1" x="535"/>
        <item t="data" sd="1" x="545"/>
        <item t="data" sd="1" x="547"/>
        <item t="data" sd="1" x="557"/>
        <item t="data" sd="1" x="560"/>
        <item t="data" sd="1" x="562"/>
        <item t="data" sd="1" x="572"/>
        <item t="data" sd="1" x="583"/>
        <item t="data" sd="1" x="596"/>
        <item t="data" sd="1" x="618"/>
        <item t="data" sd="1" x="682"/>
        <item t="data" sd="1" x="722"/>
        <item t="data" sd="1" x="829"/>
        <item t="data" sd="1" x="908"/>
        <item t="data" sd="1" x="929"/>
        <item t="data" sd="1" x="990"/>
        <item t="data" sd="1" x="1064"/>
        <item t="data" sd="1" x="1104"/>
        <item t="data" sd="1" x="1150"/>
        <item t="data" sd="1" x="1308"/>
        <item t="data" sd="1" x="1367"/>
        <item t="data" sd="1" x="1377"/>
        <item t="data" sd="1" x="1453"/>
        <item t="data" sd="1" x="1552"/>
        <item t="data" sd="1" x="1576"/>
        <item t="data" sd="1" x="1633"/>
        <item t="data" sd="1" x="1684"/>
        <item t="data" sd="1" x="1774"/>
        <item t="data" sd="1" x="1775"/>
        <item t="data" sd="1" x="1847"/>
        <item t="data" sd="1" x="1856"/>
        <item t="data" sd="1" x="1863"/>
        <item t="data" sd="1" x="1891"/>
        <item t="data" sd="1" x="1906"/>
        <item t="data" sd="1" x="1947"/>
        <item t="data" sd="1" x="1996"/>
        <item t="data" sd="1" x="2021"/>
        <item t="data" sd="1" x="2029"/>
        <item t="data" sd="1" x="2037"/>
        <item t="data" sd="1" x="2046"/>
        <item t="data" sd="1" x="2053"/>
        <item t="data" sd="1" x="2066"/>
        <item t="data" sd="1" x="2088"/>
        <item t="data" sd="1" x="2097"/>
        <item t="data" sd="1" x="2113"/>
        <item t="data" sd="1" x="2120"/>
        <item t="data" sd="1" x="2147"/>
        <item t="data" sd="1" x="2150"/>
        <item t="data" sd="1" x="41"/>
        <item t="data" sd="1" x="42"/>
        <item t="data" sd="1" x="45"/>
        <item t="data" sd="1" x="46"/>
        <item t="data" sd="1" x="49"/>
        <item t="data" sd="1" x="48"/>
        <item t="data" sd="1" x="51"/>
        <item t="data" sd="1" x="54"/>
        <item t="data" sd="1" x="58"/>
        <item t="data" sd="1" x="63"/>
        <item t="data" sd="1" x="67"/>
        <item t="data" sd="1" x="71"/>
        <item t="data" sd="1" x="85"/>
        <item t="data" sd="1" x="107"/>
        <item t="data" sd="1" x="148"/>
        <item t="data" sd="1" x="307"/>
        <item t="data" sd="1" x="349"/>
        <item t="data" sd="1" x="542"/>
        <item t="data" sd="1" x="580"/>
        <item t="data" sd="1" x="700"/>
        <item t="data" sd="1" x="852"/>
        <item t="data" sd="1" x="945"/>
        <item t="data" sd="1" x="972"/>
        <item t="data" sd="1" x="1169"/>
        <item t="data" sd="1" x="1784"/>
        <item t="data" sd="1" x="1889"/>
        <item t="data" sd="1" x="1895"/>
        <item t="data" sd="1" x="1964"/>
        <item t="data" sd="1" x="1986"/>
        <item t="data" sd="1" x="2117"/>
        <item t="data" sd="1" x="0"/>
        <item t="data" sd="1" x="4"/>
        <item t="data" sd="1" x="6"/>
        <item t="data" sd="1" x="7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1"/>
        <item t="data" sd="1" x="22"/>
        <item t="data" sd="1" x="23"/>
        <item t="data" sd="1" x="25"/>
        <item t="data" sd="1" x="26"/>
        <item t="data" sd="1" x="27"/>
        <item t="data" sd="1" x="29"/>
        <item t="data" sd="1" x="30"/>
        <item t="data" sd="1" x="32"/>
        <item t="data" sd="1" x="33"/>
        <item t="data" sd="1" x="34"/>
        <item t="data" sd="1" x="36"/>
        <item t="data" sd="1" x="37"/>
        <item t="data" sd="1" x="39"/>
        <item t="data" sd="1" x="40"/>
        <item t="data" sd="1" x="47"/>
        <item t="data" sd="1" x="50"/>
        <item t="data" sd="1" x="52"/>
        <item t="data" sd="1" x="53"/>
        <item t="data" sd="1" x="55"/>
        <item t="data" sd="1" x="59"/>
        <item t="data" sd="1" x="60"/>
        <item t="data" sd="1" x="61"/>
        <item t="data" sd="1" x="62"/>
        <item t="data" sd="1" x="79"/>
        <item t="data" sd="1" x="131"/>
        <item t="data" sd="1" x="173"/>
        <item t="data" sd="1" x="271"/>
        <item t="data" sd="1" x="462"/>
        <item t="data" sd="1" x="508"/>
        <item t="data" sd="1" x="513"/>
        <item t="data" sd="1" x="517"/>
        <item t="data" sd="1" x="534"/>
        <item t="data" sd="1" x="598"/>
        <item t="data" sd="1" x="662"/>
        <item t="data" sd="1" x="683"/>
        <item t="data" sd="1" x="718"/>
        <item t="data" sd="1" x="771"/>
        <item t="data" sd="1" x="1154"/>
        <item t="data" sd="1" x="1283"/>
        <item t="data" sd="1" x="1416"/>
        <item t="data" sd="1" x="1919"/>
        <item t="data" sd="1" x="1954"/>
        <item t="data" sd="1" x="2016"/>
        <item t="default" sd="1"/>
      </items>
      <autoSortScope>
        <pivotArea type="normal" dataOnly="0" outline="0" fieldPosition="0">
          <references count="1">
            <reference field="4294967294" selected="0">
              <x v="1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9"/>
  </rowFields>
  <rowItems count="2191">
    <i t="data" r="0" i="0">
      <x v="1375"/>
    </i>
    <i t="data" r="0" i="0">
      <x v="480"/>
    </i>
    <i t="data" r="0" i="0">
      <x v="625"/>
    </i>
    <i t="data" r="0" i="0">
      <x v="301"/>
    </i>
    <i t="data" r="0" i="0">
      <x v="396"/>
    </i>
    <i t="data" r="0" i="0">
      <x v="584"/>
    </i>
    <i t="data" r="0" i="0">
      <x v="1331"/>
    </i>
    <i t="data" r="0" i="0">
      <x v="1362"/>
    </i>
    <i t="data" r="0" i="0">
      <x v="1041"/>
    </i>
    <i t="data" r="0" i="0">
      <x v="1069"/>
    </i>
    <i t="data" r="0" i="0">
      <x v="1313"/>
    </i>
    <i t="data" r="0" i="0">
      <x v="1153"/>
    </i>
    <i t="data" r="0" i="0">
      <x v="1328"/>
    </i>
    <i t="data" r="0" i="0">
      <x v="1112"/>
    </i>
    <i t="data" r="0" i="0">
      <x v="300"/>
    </i>
    <i t="data" r="0" i="0">
      <x v="2011"/>
    </i>
    <i t="data" r="0" i="0">
      <x v="1266"/>
    </i>
    <i t="data" r="0" i="0">
      <x v="1282"/>
    </i>
    <i t="data" r="0" i="0">
      <x v="496"/>
    </i>
    <i t="data" r="0" i="0">
      <x v="1464"/>
    </i>
    <i t="data" r="0" i="0">
      <x v="428"/>
    </i>
    <i t="data" r="0" i="0">
      <x v="1183"/>
    </i>
    <i t="data" r="0" i="0">
      <x v="1405"/>
    </i>
    <i t="data" r="0" i="0">
      <x v="442"/>
    </i>
    <i t="data" r="0" i="0">
      <x v="70"/>
    </i>
    <i t="data" r="0" i="0">
      <x v="1264"/>
    </i>
    <i t="data" r="0" i="0">
      <x v="1318"/>
    </i>
    <i t="data" r="0" i="0">
      <x v="1160"/>
    </i>
    <i t="data" r="0" i="0">
      <x v="978"/>
    </i>
    <i t="data" r="0" i="0">
      <x v="305"/>
    </i>
    <i t="data" r="0" i="0">
      <x v="1286"/>
    </i>
    <i t="data" r="0" i="0">
      <x v="918"/>
    </i>
    <i t="data" r="0" i="0">
      <x v="756"/>
    </i>
    <i t="data" r="0" i="0">
      <x v="533"/>
    </i>
    <i t="data" r="0" i="0">
      <x v="536"/>
    </i>
    <i t="data" r="0" i="0">
      <x v="365"/>
    </i>
    <i t="data" r="0" i="0">
      <x v="15"/>
    </i>
    <i t="data" r="0" i="0">
      <x v="1641"/>
    </i>
    <i t="data" r="0" i="0">
      <x v="1196"/>
    </i>
    <i t="data" r="0" i="0">
      <x v="1217"/>
    </i>
    <i t="data" r="0" i="0">
      <x v="1306"/>
    </i>
    <i t="data" r="0" i="0">
      <x v="1104"/>
    </i>
    <i t="data" r="0" i="0">
      <x v="888"/>
    </i>
    <i t="data" r="0" i="0">
      <x v="664"/>
    </i>
    <i t="data" r="0" i="0">
      <x v="386"/>
    </i>
    <i t="data" r="0" i="0">
      <x v="1885"/>
    </i>
    <i t="data" r="0" i="0">
      <x v="1181"/>
    </i>
    <i t="data" r="0" i="0">
      <x v="1257"/>
    </i>
    <i t="data" r="0" i="0">
      <x v="1283"/>
    </i>
    <i t="data" r="0" i="0">
      <x v="1125"/>
    </i>
    <i t="data" r="0" i="0">
      <x v="738"/>
    </i>
    <i t="data" r="0" i="0">
      <x v="435"/>
    </i>
    <i t="data" r="0" i="0">
      <x v="314"/>
    </i>
    <i t="data" r="0" i="0">
      <x v="372"/>
    </i>
    <i t="data" r="0" i="0">
      <x v="373"/>
    </i>
    <i t="data" r="0" i="0">
      <x v="109"/>
    </i>
    <i t="data" r="0" i="0">
      <x v="214"/>
    </i>
    <i t="data" r="0" i="0">
      <x v="250"/>
    </i>
    <i t="data" r="0" i="0">
      <x v="142"/>
    </i>
    <i t="data" r="0" i="0">
      <x v="1366"/>
    </i>
    <i t="data" r="0" i="0">
      <x v="1223"/>
    </i>
    <i t="data" r="0" i="0">
      <x v="1084"/>
    </i>
    <i t="data" r="0" i="0">
      <x v="750"/>
    </i>
    <i t="data" r="0" i="0">
      <x v="622"/>
    </i>
    <i t="data" r="0" i="0">
      <x v="572"/>
    </i>
    <i t="data" r="0" i="0">
      <x v="808"/>
    </i>
    <i t="data" r="0" i="0">
      <x v="709"/>
    </i>
    <i t="data" r="0" i="0">
      <x v="411"/>
    </i>
    <i t="data" r="0" i="0">
      <x v="405"/>
    </i>
    <i t="data" r="0" i="0">
      <x v="366"/>
    </i>
    <i t="data" r="0" i="0">
      <x v="543"/>
    </i>
    <i t="data" r="0" i="0">
      <x v="221"/>
    </i>
    <i t="data" r="0" i="0">
      <x v="280"/>
    </i>
    <i t="data" r="0" i="0">
      <x v="2028"/>
    </i>
    <i t="data" r="0" i="0">
      <x v="2132"/>
    </i>
    <i t="data" r="0" i="0">
      <x v="1973"/>
    </i>
    <i t="data" r="0" i="0">
      <x v="1712"/>
    </i>
    <i t="data" r="0" i="0">
      <x v="1919"/>
    </i>
    <i t="data" r="0" i="0">
      <x v="1663"/>
    </i>
    <i t="data" r="0" i="0">
      <x v="1537"/>
    </i>
    <i t="data" r="0" i="0">
      <x v="1696"/>
    </i>
    <i t="data" r="0" i="0">
      <x v="1236"/>
    </i>
    <i t="data" r="0" i="0">
      <x v="1316"/>
    </i>
    <i t="data" r="0" i="0">
      <x v="1199"/>
    </i>
    <i t="data" r="0" i="0">
      <x v="1378"/>
    </i>
    <i t="data" r="0" i="0">
      <x v="1249"/>
    </i>
    <i t="data" r="0" i="0">
      <x v="1342"/>
    </i>
    <i t="data" r="0" i="0">
      <x v="1288"/>
    </i>
    <i t="data" r="0" i="0">
      <x v="974"/>
    </i>
    <i t="data" r="0" i="0">
      <x v="1091"/>
    </i>
    <i t="data" r="0" i="0">
      <x v="994"/>
    </i>
    <i t="data" r="0" i="0">
      <x v="1082"/>
    </i>
    <i t="data" r="0" i="0">
      <x v="967"/>
    </i>
    <i t="data" r="0" i="0">
      <x v="989"/>
    </i>
    <i t="data" r="0" i="0">
      <x v="1048"/>
    </i>
    <i t="data" r="0" i="0">
      <x v="987"/>
    </i>
    <i t="data" r="0" i="0">
      <x v="990"/>
    </i>
    <i t="data" r="0" i="0">
      <x v="1006"/>
    </i>
    <i t="data" r="0" i="0">
      <x v="747"/>
    </i>
    <i t="data" r="0" i="0">
      <x v="794"/>
    </i>
    <i t="data" r="0" i="0">
      <x v="775"/>
    </i>
    <i t="data" r="0" i="0">
      <x v="701"/>
    </i>
    <i t="data" r="0" i="0">
      <x v="649"/>
    </i>
    <i t="data" r="0" i="0">
      <x v="811"/>
    </i>
    <i t="data" r="0" i="0">
      <x v="766"/>
    </i>
    <i t="data" r="0" i="0">
      <x v="829"/>
    </i>
    <i t="data" r="0" i="0">
      <x v="429"/>
    </i>
    <i t="data" r="0" i="0">
      <x v="348"/>
    </i>
    <i t="data" r="0" i="0">
      <x v="458"/>
    </i>
    <i t="data" r="0" i="0">
      <x v="377"/>
    </i>
    <i t="data" r="0" i="0">
      <x v="566"/>
    </i>
    <i t="data" r="0" i="0">
      <x v="141"/>
    </i>
    <i t="data" r="0" i="0">
      <x v="166"/>
    </i>
    <i t="data" r="0" i="0">
      <x v="158"/>
    </i>
    <i t="data" r="0" i="0">
      <x v="17"/>
    </i>
    <i t="data" r="0" i="0">
      <x v="191"/>
    </i>
    <i t="data" r="0" i="0">
      <x v="131"/>
    </i>
    <i t="data" r="0" i="0">
      <x v="245"/>
    </i>
    <i t="data" r="0" i="0">
      <x v="2091"/>
    </i>
    <i t="data" r="0" i="0">
      <x v="2161"/>
    </i>
    <i t="data" r="0" i="0">
      <x v="2122"/>
    </i>
    <i t="data" r="0" i="0">
      <x v="2026"/>
    </i>
    <i t="data" r="0" i="0">
      <x v="2191"/>
    </i>
    <i t="data" r="0" i="0">
      <x v="2029"/>
    </i>
    <i t="data" r="0" i="0">
      <x v="2129"/>
    </i>
    <i t="data" r="0" i="0">
      <x v="1871"/>
    </i>
    <i t="data" r="0" i="0">
      <x v="1899"/>
    </i>
    <i t="data" r="0" i="0">
      <x v="1750"/>
    </i>
    <i t="data" r="0" i="0">
      <x v="1937"/>
    </i>
    <i t="data" r="0" i="0">
      <x v="1740"/>
    </i>
    <i t="data" r="0" i="0">
      <x v="1772"/>
    </i>
    <i t="data" r="0" i="0">
      <x v="1938"/>
    </i>
    <i t="data" r="0" i="0">
      <x v="1773"/>
    </i>
    <i t="data" r="0" i="0">
      <x v="1837"/>
    </i>
    <i t="data" r="0" i="0">
      <x v="1847"/>
    </i>
    <i t="data" r="0" i="0">
      <x v="1647"/>
    </i>
    <i t="data" r="0" i="0">
      <x v="1629"/>
    </i>
    <i t="data" r="0" i="0">
      <x v="1588"/>
    </i>
    <i t="data" r="0" i="0">
      <x v="1439"/>
    </i>
    <i t="data" r="0" i="0">
      <x v="1637"/>
    </i>
    <i t="data" r="0" i="0">
      <x v="1473"/>
    </i>
    <i t="data" r="0" i="0">
      <x v="1659"/>
    </i>
    <i t="data" r="0" i="0">
      <x v="1486"/>
    </i>
    <i t="data" r="0" i="0">
      <x v="1602"/>
    </i>
    <i t="data" r="0" i="0">
      <x v="1508"/>
    </i>
    <i t="data" r="0" i="0">
      <x v="1634"/>
    </i>
    <i t="data" r="0" i="0">
      <x v="1511"/>
    </i>
    <i t="data" r="0" i="0">
      <x v="1646"/>
    </i>
    <i t="data" r="0" i="0">
      <x v="1705"/>
    </i>
    <i t="data" r="0" i="0">
      <x v="1657"/>
    </i>
    <i t="data" r="0" i="0">
      <x v="1430"/>
    </i>
    <i t="data" r="0" i="0">
      <x v="1661"/>
    </i>
    <i t="data" r="0" i="0">
      <x v="1571"/>
    </i>
    <i t="data" r="0" i="0">
      <x v="1693"/>
    </i>
    <i t="data" r="0" i="0">
      <x v="1164"/>
    </i>
    <i t="data" r="0" i="0">
      <x v="1382"/>
    </i>
    <i t="data" r="0" i="0">
      <x v="1359"/>
    </i>
    <i t="data" r="0" i="0">
      <x v="1189"/>
    </i>
    <i t="data" r="0" i="0">
      <x v="1296"/>
    </i>
    <i t="data" r="0" i="0">
      <x v="1201"/>
    </i>
    <i t="data" r="0" i="0">
      <x v="1337"/>
    </i>
    <i t="data" r="0" i="0">
      <x v="1213"/>
    </i>
    <i t="data" r="0" i="0">
      <x v="1372"/>
    </i>
    <i t="data" r="0" i="0">
      <x v="1216"/>
    </i>
    <i t="data" r="0" i="0">
      <x v="1426"/>
    </i>
    <i t="data" r="0" i="0">
      <x v="1242"/>
    </i>
    <i t="data" r="0" i="0">
      <x v="1302"/>
    </i>
    <i t="data" r="0" i="0">
      <x v="1250"/>
    </i>
    <i t="data" r="0" i="0">
      <x v="1166"/>
    </i>
    <i t="data" r="0" i="0">
      <x v="1252"/>
    </i>
    <i t="data" r="0" i="0">
      <x v="1171"/>
    </i>
    <i t="data" r="0" i="0">
      <x v="1267"/>
    </i>
    <i t="data" r="0" i="0">
      <x v="1371"/>
    </i>
    <i t="data" r="0" i="0">
      <x v="1277"/>
    </i>
    <i t="data" r="0" i="0">
      <x v="1373"/>
    </i>
    <i t="data" r="0" i="0">
      <x v="1278"/>
    </i>
    <i t="data" r="0" i="0">
      <x v="1423"/>
    </i>
    <i t="data" r="0" i="0">
      <x v="1281"/>
    </i>
    <i t="data" r="0" i="0">
      <x v="1146"/>
    </i>
    <i t="data" r="0" i="0">
      <x v="1303"/>
    </i>
    <i t="data" r="0" i="0">
      <x v="898"/>
    </i>
    <i t="data" r="0" i="0">
      <x v="923"/>
    </i>
    <i t="data" r="0" i="0">
      <x v="985"/>
    </i>
    <i t="data" r="0" i="0">
      <x v="1034"/>
    </i>
    <i t="data" r="0" i="0">
      <x v="1105"/>
    </i>
    <i t="data" r="0" i="0">
      <x v="975"/>
    </i>
    <i t="data" r="0" i="0">
      <x v="1136"/>
    </i>
    <i t="data" r="0" i="0">
      <x v="977"/>
    </i>
    <i t="data" r="0" i="0">
      <x v="919"/>
    </i>
    <i t="data" r="0" i="0">
      <x v="1050"/>
    </i>
    <i t="data" r="0" i="0">
      <x v="862"/>
    </i>
    <i t="data" r="0" i="0">
      <x v="1054"/>
    </i>
    <i t="data" r="0" i="0">
      <x v="1107"/>
    </i>
    <i t="data" r="0" i="0">
      <x v="1062"/>
    </i>
    <i t="data" r="0" i="0">
      <x v="1116"/>
    </i>
    <i t="data" r="0" i="0">
      <x v="872"/>
    </i>
    <i t="data" r="0" i="0">
      <x v="1023"/>
    </i>
    <i t="data" r="0" i="0">
      <x v="1074"/>
    </i>
    <i t="data" r="0" i="0">
      <x v="1000"/>
    </i>
    <i t="data" r="0" i="0">
      <x v="621"/>
    </i>
    <i t="data" r="0" i="0">
      <x v="675"/>
    </i>
    <i t="data" r="0" i="0">
      <x v="765"/>
    </i>
    <i t="data" r="0" i="0">
      <x v="854"/>
    </i>
    <i t="data" r="0" i="0">
      <x v="597"/>
    </i>
    <i t="data" r="0" i="0">
      <x v="723"/>
    </i>
    <i t="data" r="0" i="0">
      <x v="833"/>
    </i>
    <i t="data" r="0" i="0">
      <x v="735"/>
    </i>
    <i t="data" r="0" i="0">
      <x v="593"/>
    </i>
    <i t="data" r="0" i="0">
      <x v="578"/>
    </i>
    <i t="data" r="0" i="0">
      <x v="789"/>
    </i>
    <i t="data" r="0" i="0">
      <x v="746"/>
    </i>
    <i t="data" r="0" i="0">
      <x v="799"/>
    </i>
    <i t="data" r="0" i="0">
      <x v="577"/>
    </i>
    <i t="data" r="0" i="0">
      <x v="818"/>
    </i>
    <i t="data" r="0" i="0">
      <x v="643"/>
    </i>
    <i t="data" r="0" i="0">
      <x v="588"/>
    </i>
    <i t="data" r="0" i="0">
      <x v="715"/>
    </i>
    <i t="data" r="0" i="0">
      <x v="844"/>
    </i>
    <i t="data" r="0" i="0">
      <x v="716"/>
    </i>
    <i t="data" r="0" i="0">
      <x v="719"/>
    </i>
    <i t="data" r="0" i="0">
      <x v="571"/>
    </i>
    <i t="data" r="0" i="0">
      <x v="555"/>
    </i>
    <i t="data" r="0" i="0">
      <x v="402"/>
    </i>
    <i t="data" r="0" i="0">
      <x v="494"/>
    </i>
    <i t="data" r="0" i="0">
      <x v="433"/>
    </i>
    <i t="data" r="0" i="0">
      <x v="375"/>
    </i>
    <i t="data" r="0" i="0">
      <x v="339"/>
    </i>
    <i t="data" r="0" i="0">
      <x v="488"/>
    </i>
    <i t="data" r="0" i="0">
      <x v="436"/>
    </i>
    <i t="data" r="0" i="0">
      <x v="498"/>
    </i>
    <i t="data" r="0" i="0">
      <x v="438"/>
    </i>
    <i t="data" r="0" i="0">
      <x v="538"/>
    </i>
    <i t="data" r="0" i="0">
      <x v="440"/>
    </i>
    <i t="data" r="0" i="0">
      <x v="551"/>
    </i>
    <i t="data" r="0" i="0">
      <x v="297"/>
    </i>
    <i t="data" r="0" i="0">
      <x v="561"/>
    </i>
    <i t="data" r="0" i="0">
      <x v="564"/>
    </i>
    <i t="data" r="0" i="0">
      <x v="492"/>
    </i>
    <i t="data" r="0" i="0">
      <x v="449"/>
    </i>
    <i t="data" r="0" i="0">
      <x v="497"/>
    </i>
    <i t="data" r="0" i="0">
      <x v="456"/>
    </i>
    <i t="data" r="0" i="0">
      <x v="511"/>
    </i>
    <i t="data" r="0" i="0">
      <x v="389"/>
    </i>
    <i t="data" r="0" i="0">
      <x v="335"/>
    </i>
    <i t="data" r="0" i="0">
      <x v="460"/>
    </i>
    <i t="data" r="0" i="0">
      <x v="542"/>
    </i>
    <i t="data" r="0" i="0">
      <x v="462"/>
    </i>
    <i t="data" r="0" i="0">
      <x v="547"/>
    </i>
    <i t="data" r="0" i="0">
      <x v="465"/>
    </i>
    <i t="data" r="0" i="0">
      <x v="554"/>
    </i>
    <i t="data" r="0" i="0">
      <x v="468"/>
    </i>
    <i t="data" r="0" i="0">
      <x v="560"/>
    </i>
    <i t="data" r="0" i="0">
      <x v="469"/>
    </i>
    <i t="data" r="0" i="0">
      <x v="376"/>
    </i>
    <i t="data" r="0" i="0">
      <x v="291"/>
    </i>
    <i t="data" r="0" i="0">
      <x v="444"/>
    </i>
    <i t="data" r="0" i="0">
      <x v="293"/>
    </i>
    <i t="data" r="0" i="0">
      <x v="19"/>
    </i>
    <i t="data" r="0" i="0">
      <x v="209"/>
    </i>
    <i t="data" r="0" i="0">
      <x v="188"/>
    </i>
    <i t="data" r="0" i="0">
      <x v="42"/>
    </i>
    <i t="data" r="0" i="0">
      <x v="128"/>
    </i>
    <i t="data" r="0" i="0">
      <x v="44"/>
    </i>
    <i t="data" r="0" i="0">
      <x v="163"/>
    </i>
    <i t="data" r="0" i="0">
      <x v="46"/>
    </i>
    <i t="data" r="0" i="0">
      <x v="33"/>
    </i>
    <i t="data" r="0" i="0">
      <x v="63"/>
    </i>
    <i t="data" r="0" i="0">
      <x v="124"/>
    </i>
    <i t="data" r="0" i="0">
      <x v="66"/>
    </i>
    <i t="data" r="0" i="0">
      <x v="12"/>
    </i>
    <i t="data" r="0" i="0">
      <x v="68"/>
    </i>
    <i t="data" r="0" i="0">
      <x v="26"/>
    </i>
    <i t="data" r="0" i="0">
      <x v="74"/>
    </i>
    <i t="data" r="0" i="0">
      <x v="32"/>
    </i>
    <i t="data" r="0" i="0">
      <x v="231"/>
    </i>
    <i t="data" r="0" i="0">
      <x v="189"/>
    </i>
    <i t="data" r="0" i="0">
      <x v="251"/>
    </i>
    <i t="data" r="0" i="0">
      <x v="206"/>
    </i>
    <i t="data" r="0" i="0">
      <x v="265"/>
    </i>
    <i t="data" r="0" i="0">
      <x v="38"/>
    </i>
    <i t="data" r="0" i="0">
      <x v="111"/>
    </i>
    <i t="data" r="0" i="0">
      <x v="77"/>
    </i>
    <i t="data" r="0" i="0">
      <x v="253"/>
    </i>
    <i t="data" r="0" i="0">
      <x v="105"/>
    </i>
    <i t="data" r="0" i="0">
      <x v="273"/>
    </i>
    <i t="data" r="0" i="0">
      <x v="107"/>
    </i>
    <i t="data" r="0" i="0">
      <x v="284"/>
    </i>
    <i t="data" r="0" i="0">
      <x v="2137"/>
    </i>
    <i t="data" r="0" i="0">
      <x v="2201"/>
    </i>
    <i t="data" r="0" i="0">
      <x v="2169"/>
    </i>
    <i t="data" r="0" i="0">
      <x v="2010"/>
    </i>
    <i t="data" r="0" i="0">
      <x v="2233"/>
    </i>
    <i t="data" r="0" i="0">
      <x v="1996"/>
    </i>
    <i t="data" r="0" i="0">
      <x v="2153"/>
    </i>
    <i t="data" r="0" i="0">
      <x v="2013"/>
    </i>
    <i t="data" r="0" i="0">
      <x v="2185"/>
    </i>
    <i t="data" r="0" i="0">
      <x v="2014"/>
    </i>
    <i t="data" r="0" i="0">
      <x v="2217"/>
    </i>
    <i t="data" r="0" i="0">
      <x v="2015"/>
    </i>
    <i t="data" r="0" i="0">
      <x v="2249"/>
    </i>
    <i t="data" r="0" i="0">
      <x v="2016"/>
    </i>
    <i t="data" r="0" i="0">
      <x v="2145"/>
    </i>
    <i t="data" r="0" i="0">
      <x v="2017"/>
    </i>
    <i t="data" r="0" i="0">
      <x v="2003"/>
    </i>
    <i t="data" r="0" i="0">
      <x v="2018"/>
    </i>
    <i t="data" r="0" i="0">
      <x v="2177"/>
    </i>
    <i t="data" r="0" i="0">
      <x v="2019"/>
    </i>
    <i t="data" r="0" i="0">
      <x v="2193"/>
    </i>
    <i t="data" r="0" i="0">
      <x v="2020"/>
    </i>
    <i t="data" r="0" i="0">
      <x v="2209"/>
    </i>
    <i t="data" r="0" i="0">
      <x v="2021"/>
    </i>
    <i t="data" r="0" i="0">
      <x v="2225"/>
    </i>
    <i t="data" r="0" i="0">
      <x v="2022"/>
    </i>
    <i t="data" r="0" i="0">
      <x v="2241"/>
    </i>
    <i t="data" r="0" i="0">
      <x v="2023"/>
    </i>
    <i t="data" r="0" i="0">
      <x v="2007"/>
    </i>
    <i t="data" r="0" i="0">
      <x v="2024"/>
    </i>
    <i t="data" r="0" i="0">
      <x v="2141"/>
    </i>
    <i t="data" r="0" i="0">
      <x v="2025"/>
    </i>
    <i t="data" r="0" i="0">
      <x v="2149"/>
    </i>
    <i t="data" r="0" i="0">
      <x v="1999"/>
    </i>
    <i t="data" r="0" i="0">
      <x v="2157"/>
    </i>
    <i t="data" r="0" i="0">
      <x v="2027"/>
    </i>
    <i t="data" r="0" i="0">
      <x v="2165"/>
    </i>
    <i t="data" r="0" i="0">
      <x v="1997"/>
    </i>
    <i t="data" r="0" i="0">
      <x v="2173"/>
    </i>
    <i t="data" r="0" i="0">
      <x v="2000"/>
    </i>
    <i t="data" r="0" i="0">
      <x v="2181"/>
    </i>
    <i t="data" r="0" i="0">
      <x v="2030"/>
    </i>
    <i t="data" r="0" i="0">
      <x v="2189"/>
    </i>
    <i t="data" r="0" i="0">
      <x v="2031"/>
    </i>
    <i t="data" r="0" i="0">
      <x v="2197"/>
    </i>
    <i t="data" r="0" i="0">
      <x v="2032"/>
    </i>
    <i t="data" r="0" i="0">
      <x v="2205"/>
    </i>
    <i t="data" r="0" i="0">
      <x v="2033"/>
    </i>
    <i t="data" r="0" i="0">
      <x v="2213"/>
    </i>
    <i t="data" r="0" i="0">
      <x v="2034"/>
    </i>
    <i t="data" r="0" i="0">
      <x v="2221"/>
    </i>
    <i t="data" r="0" i="0">
      <x v="2035"/>
    </i>
    <i t="data" r="0" i="0">
      <x v="2229"/>
    </i>
    <i t="data" r="0" i="0">
      <x v="2036"/>
    </i>
    <i t="data" r="0" i="0">
      <x v="2237"/>
    </i>
    <i t="data" r="0" i="0">
      <x v="2037"/>
    </i>
    <i t="data" r="0" i="0">
      <x v="2245"/>
    </i>
    <i t="data" r="0" i="0">
      <x v="2038"/>
    </i>
    <i t="data" r="0" i="0">
      <x v="2253"/>
    </i>
    <i t="data" r="0" i="0">
      <x v="2039"/>
    </i>
    <i t="data" r="0" i="0">
      <x v="2271"/>
    </i>
    <i t="data" r="0" i="0">
      <x v="2040"/>
    </i>
    <i t="data" r="0" i="0">
      <x v="2139"/>
    </i>
    <i t="data" r="0" i="0">
      <x v="2041"/>
    </i>
    <i t="data" r="0" i="0">
      <x v="2143"/>
    </i>
    <i t="data" r="0" i="0">
      <x v="2042"/>
    </i>
    <i t="data" r="0" i="0">
      <x v="2147"/>
    </i>
    <i t="data" r="0" i="0">
      <x v="2043"/>
    </i>
    <i t="data" r="0" i="0">
      <x v="2151"/>
    </i>
    <i t="data" r="0" i="0">
      <x v="2044"/>
    </i>
    <i t="data" r="0" i="0">
      <x v="2155"/>
    </i>
    <i t="data" r="0" i="0">
      <x v="2045"/>
    </i>
    <i t="data" r="0" i="0">
      <x v="2159"/>
    </i>
    <i t="data" r="0" i="0">
      <x v="2046"/>
    </i>
    <i t="data" r="0" i="0">
      <x v="2163"/>
    </i>
    <i t="data" r="0" i="0">
      <x v="2047"/>
    </i>
    <i t="data" r="0" i="0">
      <x v="2167"/>
    </i>
    <i t="data" r="0" i="0">
      <x v="2048"/>
    </i>
    <i t="data" r="0" i="0">
      <x v="2171"/>
    </i>
    <i t="data" r="0" i="0">
      <x v="2049"/>
    </i>
    <i t="data" r="0" i="0">
      <x v="2175"/>
    </i>
    <i t="data" r="0" i="0">
      <x v="2050"/>
    </i>
    <i t="data" r="0" i="0">
      <x v="2179"/>
    </i>
    <i t="data" r="0" i="0">
      <x v="2051"/>
    </i>
    <i t="data" r="0" i="0">
      <x v="2183"/>
    </i>
    <i t="data" r="0" i="0">
      <x v="2052"/>
    </i>
    <i t="data" r="0" i="0">
      <x v="2187"/>
    </i>
    <i t="data" r="0" i="0">
      <x v="2053"/>
    </i>
    <i t="data" r="0" i="0">
      <x v="2005"/>
    </i>
    <i t="data" r="0" i="0">
      <x v="2054"/>
    </i>
    <i t="data" r="0" i="0">
      <x v="2195"/>
    </i>
    <i t="data" r="0" i="0">
      <x v="2055"/>
    </i>
    <i t="data" r="0" i="0">
      <x v="2199"/>
    </i>
    <i t="data" r="0" i="0">
      <x v="2056"/>
    </i>
    <i t="data" r="0" i="0">
      <x v="2203"/>
    </i>
    <i t="data" r="0" i="0">
      <x v="2057"/>
    </i>
    <i t="data" r="0" i="0">
      <x v="2207"/>
    </i>
    <i t="data" r="0" i="0">
      <x v="2058"/>
    </i>
    <i t="data" r="0" i="0">
      <x v="2211"/>
    </i>
    <i t="data" r="0" i="0">
      <x v="2059"/>
    </i>
    <i t="data" r="0" i="0">
      <x v="2215"/>
    </i>
    <i t="data" r="0" i="0">
      <x v="2060"/>
    </i>
    <i t="data" r="0" i="0">
      <x v="2219"/>
    </i>
    <i t="data" r="0" i="0">
      <x v="2061"/>
    </i>
    <i t="data" r="0" i="0">
      <x v="2223"/>
    </i>
    <i t="data" r="0" i="0">
      <x v="2062"/>
    </i>
    <i t="data" r="0" i="0">
      <x v="2227"/>
    </i>
    <i t="data" r="0" i="0">
      <x v="2063"/>
    </i>
    <i t="data" r="0" i="0">
      <x v="2231"/>
    </i>
    <i t="data" r="0" i="0">
      <x v="2064"/>
    </i>
    <i t="data" r="0" i="0">
      <x v="2235"/>
    </i>
    <i t="data" r="0" i="0">
      <x v="2065"/>
    </i>
    <i t="data" r="0" i="0">
      <x v="2239"/>
    </i>
    <i t="data" r="0" i="0">
      <x v="2066"/>
    </i>
    <i t="data" r="0" i="0">
      <x v="2243"/>
    </i>
    <i t="data" r="0" i="0">
      <x v="2067"/>
    </i>
    <i t="data" r="0" i="0">
      <x v="2247"/>
    </i>
    <i t="data" r="0" i="0">
      <x v="2068"/>
    </i>
    <i t="data" r="0" i="0">
      <x v="2251"/>
    </i>
    <i t="data" r="0" i="0">
      <x v="2069"/>
    </i>
    <i t="data" r="0" i="0">
      <x v="2255"/>
    </i>
    <i t="data" r="0" i="0">
      <x v="2070"/>
    </i>
    <i t="data" r="0" i="0">
      <x v="1998"/>
    </i>
    <i t="data" r="0" i="0">
      <x v="2071"/>
    </i>
    <i t="data" r="0" i="0">
      <x v="2136"/>
    </i>
    <i t="data" r="0" i="0">
      <x v="2072"/>
    </i>
    <i t="data" r="0" i="0">
      <x v="2138"/>
    </i>
    <i t="data" r="0" i="0">
      <x v="2073"/>
    </i>
    <i t="data" r="0" i="0">
      <x v="2140"/>
    </i>
    <i t="data" r="0" i="0">
      <x v="2074"/>
    </i>
    <i t="data" r="0" i="0">
      <x v="2142"/>
    </i>
    <i t="data" r="0" i="0">
      <x v="2075"/>
    </i>
    <i t="data" r="0" i="0">
      <x v="2144"/>
    </i>
    <i t="data" r="0" i="0">
      <x v="2076"/>
    </i>
    <i t="data" r="0" i="0">
      <x v="2146"/>
    </i>
    <i t="data" r="0" i="0">
      <x v="2077"/>
    </i>
    <i t="data" r="0" i="0">
      <x v="2148"/>
    </i>
    <i t="data" r="0" i="0">
      <x v="2078"/>
    </i>
    <i t="data" r="0" i="0">
      <x v="2150"/>
    </i>
    <i t="data" r="0" i="0">
      <x v="2079"/>
    </i>
    <i t="data" r="0" i="0">
      <x v="2152"/>
    </i>
    <i t="data" r="0" i="0">
      <x v="2080"/>
    </i>
    <i t="data" r="0" i="0">
      <x v="2154"/>
    </i>
    <i t="data" r="0" i="0">
      <x v="2081"/>
    </i>
    <i t="data" r="0" i="0">
      <x v="2156"/>
    </i>
    <i t="data" r="0" i="0">
      <x v="2082"/>
    </i>
    <i t="data" r="0" i="0">
      <x v="2158"/>
    </i>
    <i t="data" r="0" i="0">
      <x v="2083"/>
    </i>
    <i t="data" r="0" i="0">
      <x v="2160"/>
    </i>
    <i t="data" r="0" i="0">
      <x v="2084"/>
    </i>
    <i t="data" r="0" i="0">
      <x v="2162"/>
    </i>
    <i t="data" r="0" i="0">
      <x v="2085"/>
    </i>
    <i t="data" r="0" i="0">
      <x v="2164"/>
    </i>
    <i t="data" r="0" i="0">
      <x v="2086"/>
    </i>
    <i t="data" r="0" i="0">
      <x v="2166"/>
    </i>
    <i t="data" r="0" i="0">
      <x v="2087"/>
    </i>
    <i t="data" r="0" i="0">
      <x v="2168"/>
    </i>
    <i t="data" r="0" i="0">
      <x v="2088"/>
    </i>
    <i t="data" r="0" i="0">
      <x v="2170"/>
    </i>
    <i t="data" r="0" i="0">
      <x v="2089"/>
    </i>
    <i t="data" r="0" i="0">
      <x v="2172"/>
    </i>
    <i t="data" r="0" i="0">
      <x v="2090"/>
    </i>
    <i t="data" r="0" i="0">
      <x v="2174"/>
    </i>
    <i t="data" r="0" i="0">
      <x v="2001"/>
    </i>
    <i t="data" r="0" i="0">
      <x v="2176"/>
    </i>
    <i t="data" r="0" i="0">
      <x v="2092"/>
    </i>
    <i t="data" r="0" i="0">
      <x v="2178"/>
    </i>
    <i t="data" r="0" i="0">
      <x v="2093"/>
    </i>
    <i t="data" r="0" i="0">
      <x v="2180"/>
    </i>
    <i t="data" r="0" i="0">
      <x v="2094"/>
    </i>
    <i t="data" r="0" i="0">
      <x v="2182"/>
    </i>
    <i t="data" r="0" i="0">
      <x v="2095"/>
    </i>
    <i t="data" r="0" i="0">
      <x v="2184"/>
    </i>
    <i t="data" r="0" i="0">
      <x v="2096"/>
    </i>
    <i t="data" r="0" i="0">
      <x v="2186"/>
    </i>
    <i t="data" r="0" i="0">
      <x v="2097"/>
    </i>
    <i t="data" r="0" i="0">
      <x v="2188"/>
    </i>
    <i t="data" r="0" i="0">
      <x v="2098"/>
    </i>
    <i t="data" r="0" i="0">
      <x v="2190"/>
    </i>
    <i t="data" r="0" i="0">
      <x v="2099"/>
    </i>
    <i t="data" r="0" i="0">
      <x v="2192"/>
    </i>
    <i t="data" r="0" i="0">
      <x v="2100"/>
    </i>
    <i t="data" r="0" i="0">
      <x v="2194"/>
    </i>
    <i t="data" r="0" i="0">
      <x v="2101"/>
    </i>
    <i t="data" r="0" i="0">
      <x v="2196"/>
    </i>
    <i t="data" r="0" i="0">
      <x v="2102"/>
    </i>
    <i t="data" r="0" i="0">
      <x v="2198"/>
    </i>
    <i t="data" r="0" i="0">
      <x v="2103"/>
    </i>
    <i t="data" r="0" i="0">
      <x v="2200"/>
    </i>
    <i t="data" r="0" i="0">
      <x v="2104"/>
    </i>
    <i t="data" r="0" i="0">
      <x v="2202"/>
    </i>
    <i t="data" r="0" i="0">
      <x v="2105"/>
    </i>
    <i t="data" r="0" i="0">
      <x v="2204"/>
    </i>
    <i t="data" r="0" i="0">
      <x v="2106"/>
    </i>
    <i t="data" r="0" i="0">
      <x v="2206"/>
    </i>
    <i t="data" r="0" i="0">
      <x v="2107"/>
    </i>
    <i t="data" r="0" i="0">
      <x v="2208"/>
    </i>
    <i t="data" r="0" i="0">
      <x v="2108"/>
    </i>
    <i t="data" r="0" i="0">
      <x v="2210"/>
    </i>
    <i t="data" r="0" i="0">
      <x v="2109"/>
    </i>
    <i t="data" r="0" i="0">
      <x v="2212"/>
    </i>
    <i t="data" r="0" i="0">
      <x v="2110"/>
    </i>
    <i t="data" r="0" i="0">
      <x v="2214"/>
    </i>
    <i t="data" r="0" i="0">
      <x v="2111"/>
    </i>
    <i t="data" r="0" i="0">
      <x v="2216"/>
    </i>
    <i t="data" r="0" i="0">
      <x v="2112"/>
    </i>
    <i t="data" r="0" i="0">
      <x v="2218"/>
    </i>
    <i t="data" r="0" i="0">
      <x v="2113"/>
    </i>
    <i t="data" r="0" i="0">
      <x v="2220"/>
    </i>
    <i t="data" r="0" i="0">
      <x v="2114"/>
    </i>
    <i t="data" r="0" i="0">
      <x v="2222"/>
    </i>
    <i t="data" r="0" i="0">
      <x v="2115"/>
    </i>
    <i t="data" r="0" i="0">
      <x v="2224"/>
    </i>
    <i t="data" r="0" i="0">
      <x v="2116"/>
    </i>
    <i t="data" r="0" i="0">
      <x v="2226"/>
    </i>
    <i t="data" r="0" i="0">
      <x v="2117"/>
    </i>
    <i t="data" r="0" i="0">
      <x v="2228"/>
    </i>
    <i t="data" r="0" i="0">
      <x v="2118"/>
    </i>
    <i t="data" r="0" i="0">
      <x v="2230"/>
    </i>
    <i t="data" r="0" i="0">
      <x v="2119"/>
    </i>
    <i t="data" r="0" i="0">
      <x v="2232"/>
    </i>
    <i t="data" r="0" i="0">
      <x v="2120"/>
    </i>
    <i t="data" r="0" i="0">
      <x v="2234"/>
    </i>
    <i t="data" r="0" i="0">
      <x v="2121"/>
    </i>
    <i t="data" r="0" i="0">
      <x v="2236"/>
    </i>
    <i t="data" r="0" i="0">
      <x v="2002"/>
    </i>
    <i t="data" r="0" i="0">
      <x v="2238"/>
    </i>
    <i t="data" r="0" i="0">
      <x v="2123"/>
    </i>
    <i t="data" r="0" i="0">
      <x v="2240"/>
    </i>
    <i t="data" r="0" i="0">
      <x v="2124"/>
    </i>
    <i t="data" r="0" i="0">
      <x v="2242"/>
    </i>
    <i t="data" r="0" i="0">
      <x v="2125"/>
    </i>
    <i t="data" r="0" i="0">
      <x v="2244"/>
    </i>
    <i t="data" r="0" i="0">
      <x v="2126"/>
    </i>
    <i t="data" r="0" i="0">
      <x v="2246"/>
    </i>
    <i t="data" r="0" i="0">
      <x v="2127"/>
    </i>
    <i t="data" r="0" i="0">
      <x v="2248"/>
    </i>
    <i t="data" r="0" i="0">
      <x v="2128"/>
    </i>
    <i t="data" r="0" i="0">
      <x v="2250"/>
    </i>
    <i t="data" r="0" i="0">
      <x v="2257"/>
    </i>
    <i t="data" r="0" i="0">
      <x v="2252"/>
    </i>
    <i t="data" r="0" i="0">
      <x v="2258"/>
    </i>
    <i t="data" r="0" i="0">
      <x v="2254"/>
    </i>
    <i t="data" r="0" i="0">
      <x v="2260"/>
    </i>
    <i t="data" r="0" i="0">
      <x v="2256"/>
    </i>
    <i t="data" r="0" i="0">
      <x v="2262"/>
    </i>
    <i t="data" r="0" i="0">
      <x v="2264"/>
    </i>
    <i t="data" r="0" i="0">
      <x v="2259"/>
    </i>
    <i t="data" r="0" i="0">
      <x v="2130"/>
    </i>
    <i t="data" r="0" i="0">
      <x v="2261"/>
    </i>
    <i t="data" r="0" i="0">
      <x v="2131"/>
    </i>
    <i t="data" r="0" i="0">
      <x v="2263"/>
    </i>
    <i t="data" r="0" i="0">
      <x v="2266"/>
    </i>
    <i t="data" r="0" i="0">
      <x v="2265"/>
    </i>
    <i t="data" r="0" i="0">
      <x v="2267"/>
    </i>
    <i t="data" r="0" i="0">
      <x v="2269"/>
    </i>
    <i t="data" r="0" i="0">
      <x v="2268"/>
    </i>
    <i t="data" r="0" i="0">
      <x v="2133"/>
    </i>
    <i t="data" r="0" i="0">
      <x v="2270"/>
    </i>
    <i t="data" r="0" i="0">
      <x v="2134"/>
    </i>
    <i t="data" r="0" i="0">
      <x v="1995"/>
    </i>
    <i t="data" r="0" i="0">
      <x v="2135"/>
    </i>
    <i t="data" r="0" i="0">
      <x v="1990"/>
    </i>
    <i t="data" r="0" i="0">
      <x v="1920"/>
    </i>
    <i t="data" r="0" i="0">
      <x v="1887"/>
    </i>
    <i t="data" r="0" i="0">
      <x v="1724"/>
    </i>
    <i t="data" r="0" i="0">
      <x v="1955"/>
    </i>
    <i t="data" r="0" i="0">
      <x v="1725"/>
    </i>
    <i t="data" r="0" i="0">
      <x v="1716"/>
    </i>
    <i t="data" r="0" i="0">
      <x v="1726"/>
    </i>
    <i t="data" r="0" i="0">
      <x v="1904"/>
    </i>
    <i t="data" r="0" i="0">
      <x v="1727"/>
    </i>
    <i t="data" r="0" i="0">
      <x v="1720"/>
    </i>
    <i t="data" r="0" i="0">
      <x v="1728"/>
    </i>
    <i t="data" r="0" i="0">
      <x v="1972"/>
    </i>
    <i t="data" r="0" i="0">
      <x v="1729"/>
    </i>
    <i t="data" r="0" i="0">
      <x v="1862"/>
    </i>
    <i t="data" r="0" i="0">
      <x v="1730"/>
    </i>
    <i t="data" r="0" i="0">
      <x v="1879"/>
    </i>
    <i t="data" r="0" i="0">
      <x v="1731"/>
    </i>
    <i t="data" r="0" i="0">
      <x v="1895"/>
    </i>
    <i t="data" r="0" i="0">
      <x v="1732"/>
    </i>
    <i t="data" r="0" i="0">
      <x v="1912"/>
    </i>
    <i t="data" r="0" i="0">
      <x v="1733"/>
    </i>
    <i t="data" r="0" i="0">
      <x v="1928"/>
    </i>
    <i t="data" r="0" i="0">
      <x v="1734"/>
    </i>
    <i t="data" r="0" i="0">
      <x v="1945"/>
    </i>
    <i t="data" r="0" i="0">
      <x v="1735"/>
    </i>
    <i t="data" r="0" i="0">
      <x v="1964"/>
    </i>
    <i t="data" r="0" i="0">
      <x v="1736"/>
    </i>
    <i t="data" r="0" i="0">
      <x v="1981"/>
    </i>
    <i t="data" r="0" i="0">
      <x v="1737"/>
    </i>
    <i t="data" r="0" i="0">
      <x v="1858"/>
    </i>
    <i t="data" r="0" i="0">
      <x v="1738"/>
    </i>
    <i t="data" r="0" i="0">
      <x v="1867"/>
    </i>
    <i t="data" r="0" i="0">
      <x v="1739"/>
    </i>
    <i t="data" r="0" i="0">
      <x v="1875"/>
    </i>
    <i t="data" r="0" i="0">
      <x v="1711"/>
    </i>
    <i t="data" r="0" i="0">
      <x v="1883"/>
    </i>
    <i t="data" r="0" i="0">
      <x v="1741"/>
    </i>
    <i t="data" r="0" i="0">
      <x v="1891"/>
    </i>
    <i t="data" r="0" i="0">
      <x v="1742"/>
    </i>
    <i t="data" r="0" i="0">
      <x v="1900"/>
    </i>
    <i t="data" r="0" i="0">
      <x v="1743"/>
    </i>
    <i t="data" r="0" i="0">
      <x v="1908"/>
    </i>
    <i t="data" r="0" i="0">
      <x v="1744"/>
    </i>
    <i t="data" r="0" i="0">
      <x v="1916"/>
    </i>
    <i t="data" r="0" i="0">
      <x v="1745"/>
    </i>
    <i t="data" r="0" i="0">
      <x v="1924"/>
    </i>
    <i t="data" r="0" i="0">
      <x v="1746"/>
    </i>
    <i t="data" r="0" i="0">
      <x v="1933"/>
    </i>
    <i t="data" r="0" i="0">
      <x v="1747"/>
    </i>
    <i t="data" r="0" i="0">
      <x v="1941"/>
    </i>
    <i t="data" r="0" i="0">
      <x v="1748"/>
    </i>
    <i t="data" r="0" i="0">
      <x v="1950"/>
    </i>
    <i t="data" r="0" i="0">
      <x v="1749"/>
    </i>
    <i t="data" r="0" i="0">
      <x v="1960"/>
    </i>
    <i t="data" r="0" i="0">
      <x v="1710"/>
    </i>
    <i t="data" r="0" i="0">
      <x v="1968"/>
    </i>
    <i t="data" r="0" i="0">
      <x v="1751"/>
    </i>
    <i t="data" r="0" i="0">
      <x v="1976"/>
    </i>
    <i t="data" r="0" i="0">
      <x v="1752"/>
    </i>
    <i t="data" r="0" i="0">
      <x v="1985"/>
    </i>
    <i t="data" r="0" i="0">
      <x v="1753"/>
    </i>
    <i t="data" r="0" i="0">
      <x v="1856"/>
    </i>
    <i t="data" r="0" i="0">
      <x v="1754"/>
    </i>
    <i t="data" r="0" i="0">
      <x v="1860"/>
    </i>
    <i t="data" r="0" i="0">
      <x v="1755"/>
    </i>
    <i t="data" r="0" i="0">
      <x v="1864"/>
    </i>
    <i t="data" r="0" i="0">
      <x v="1756"/>
    </i>
    <i t="data" r="0" i="0">
      <x v="1869"/>
    </i>
    <i t="data" r="0" i="0">
      <x v="1757"/>
    </i>
    <i t="data" r="0" i="0">
      <x v="1873"/>
    </i>
    <i t="data" r="0" i="0">
      <x v="1758"/>
    </i>
    <i t="data" r="0" i="0">
      <x v="1877"/>
    </i>
    <i t="data" r="0" i="0">
      <x v="1759"/>
    </i>
    <i t="data" r="0" i="0">
      <x v="1881"/>
    </i>
    <i t="data" r="0" i="0">
      <x v="1760"/>
    </i>
    <i t="data" r="0" i="0">
      <x v="1717"/>
    </i>
    <i t="data" r="0" i="0">
      <x v="1761"/>
    </i>
    <i t="data" r="0" i="0">
      <x v="1889"/>
    </i>
    <i t="data" r="0" i="0">
      <x v="1762"/>
    </i>
    <i t="data" r="0" i="0">
      <x v="1893"/>
    </i>
    <i t="data" r="0" i="0">
      <x v="1763"/>
    </i>
    <i t="data" r="0" i="0">
      <x v="1897"/>
    </i>
    <i t="data" r="0" i="0">
      <x v="1764"/>
    </i>
    <i t="data" r="0" i="0">
      <x v="1902"/>
    </i>
    <i t="data" r="0" i="0">
      <x v="1765"/>
    </i>
    <i t="data" r="0" i="0">
      <x v="1906"/>
    </i>
    <i t="data" r="0" i="0">
      <x v="1766"/>
    </i>
    <i t="data" r="0" i="0">
      <x v="1910"/>
    </i>
    <i t="data" r="0" i="0">
      <x v="1767"/>
    </i>
    <i t="data" r="0" i="0">
      <x v="1914"/>
    </i>
    <i t="data" r="0" i="0">
      <x v="1768"/>
    </i>
    <i t="data" r="0" i="0">
      <x v="1918"/>
    </i>
    <i t="data" r="0" i="0">
      <x v="1769"/>
    </i>
    <i t="data" r="0" i="0">
      <x v="1922"/>
    </i>
    <i t="data" r="0" i="0">
      <x v="1770"/>
    </i>
    <i t="data" r="0" i="0">
      <x v="1926"/>
    </i>
    <i t="data" r="0" i="0">
      <x v="1771"/>
    </i>
    <i t="data" r="0" i="0">
      <x v="1931"/>
    </i>
    <i t="data" r="0" i="0">
      <x v="1713"/>
    </i>
    <i t="data" r="0" i="0">
      <x v="1935"/>
    </i>
    <i t="data" r="0" i="0">
      <x v="1714"/>
    </i>
    <i t="data" r="0" i="0">
      <x v="1939"/>
    </i>
    <i t="data" r="0" i="0">
      <x v="1774"/>
    </i>
    <i t="data" r="0" i="0">
      <x v="1943"/>
    </i>
    <i t="data" r="0" i="0">
      <x v="1775"/>
    </i>
    <i t="data" r="0" i="0">
      <x v="1947"/>
    </i>
    <i t="data" r="0" i="0">
      <x v="1776"/>
    </i>
    <i t="data" r="0" i="0">
      <x v="1953"/>
    </i>
    <i t="data" r="0" i="0">
      <x v="1777"/>
    </i>
    <i t="data" r="0" i="0">
      <x v="1958"/>
    </i>
    <i t="data" r="0" i="0">
      <x v="1778"/>
    </i>
    <i t="data" r="0" i="0">
      <x v="1962"/>
    </i>
    <i t="data" r="0" i="0">
      <x v="1779"/>
    </i>
    <i t="data" r="0" i="0">
      <x v="1966"/>
    </i>
    <i t="data" r="0" i="0">
      <x v="1780"/>
    </i>
    <i t="data" r="0" i="0">
      <x v="1970"/>
    </i>
    <i t="data" r="0" i="0">
      <x v="1781"/>
    </i>
    <i t="data" r="0" i="0">
      <x v="1974"/>
    </i>
    <i t="data" r="0" i="0">
      <x v="1782"/>
    </i>
    <i t="data" r="0" i="0">
      <x v="1978"/>
    </i>
    <i t="data" r="0" i="0">
      <x v="1783"/>
    </i>
    <i t="data" r="0" i="0">
      <x v="1983"/>
    </i>
    <i t="data" r="0" i="0">
      <x v="1784"/>
    </i>
    <i t="data" r="0" i="0">
      <x v="1988"/>
    </i>
    <i t="data" r="0" i="0">
      <x v="1785"/>
    </i>
    <i t="data" r="0" i="0">
      <x v="1855"/>
    </i>
    <i t="data" r="0" i="0">
      <x v="1786"/>
    </i>
    <i t="data" r="0" i="0">
      <x v="1857"/>
    </i>
    <i t="data" r="0" i="0">
      <x v="1787"/>
    </i>
    <i t="data" r="0" i="0">
      <x v="1859"/>
    </i>
    <i t="data" r="0" i="0">
      <x v="1788"/>
    </i>
    <i t="data" r="0" i="0">
      <x v="1861"/>
    </i>
    <i t="data" r="0" i="0">
      <x v="1789"/>
    </i>
    <i t="data" r="0" i="0">
      <x v="1863"/>
    </i>
    <i t="data" r="0" i="0">
      <x v="1790"/>
    </i>
    <i t="data" r="0" i="0">
      <x v="1865"/>
    </i>
    <i t="data" r="0" i="0">
      <x v="1791"/>
    </i>
    <i t="data" r="0" i="0">
      <x v="1868"/>
    </i>
    <i t="data" r="0" i="0">
      <x v="1792"/>
    </i>
    <i t="data" r="0" i="0">
      <x v="1870"/>
    </i>
    <i t="data" r="0" i="0">
      <x v="1793"/>
    </i>
    <i t="data" r="0" i="0">
      <x v="1872"/>
    </i>
    <i t="data" r="0" i="0">
      <x v="1794"/>
    </i>
    <i t="data" r="0" i="0">
      <x v="1874"/>
    </i>
    <i t="data" r="0" i="0">
      <x v="1795"/>
    </i>
    <i t="data" r="0" i="0">
      <x v="1876"/>
    </i>
    <i t="data" r="0" i="0">
      <x v="1796"/>
    </i>
    <i t="data" r="0" i="0">
      <x v="1878"/>
    </i>
    <i t="data" r="0" i="0">
      <x v="1797"/>
    </i>
    <i t="data" r="0" i="0">
      <x v="1880"/>
    </i>
    <i t="data" r="0" i="0">
      <x v="1798"/>
    </i>
    <i t="data" r="0" i="0">
      <x v="1882"/>
    </i>
    <i t="data" r="0" i="0">
      <x v="1799"/>
    </i>
    <i t="data" r="0" i="0">
      <x v="1884"/>
    </i>
    <i t="data" r="0" i="0">
      <x v="1800"/>
    </i>
    <i t="data" r="0" i="0">
      <x v="1886"/>
    </i>
    <i t="data" r="0" i="0">
      <x v="1801"/>
    </i>
    <i t="data" r="0" i="0">
      <x v="1888"/>
    </i>
    <i t="data" r="0" i="0">
      <x v="1802"/>
    </i>
    <i t="data" r="0" i="0">
      <x v="1890"/>
    </i>
    <i t="data" r="0" i="0">
      <x v="1803"/>
    </i>
    <i t="data" r="0" i="0">
      <x v="1892"/>
    </i>
    <i t="data" r="0" i="0">
      <x v="1804"/>
    </i>
    <i t="data" r="0" i="0">
      <x v="1894"/>
    </i>
    <i t="data" r="0" i="0">
      <x v="1805"/>
    </i>
    <i t="data" r="0" i="0">
      <x v="1896"/>
    </i>
    <i t="data" r="0" i="0">
      <x v="1806"/>
    </i>
    <i t="data" r="0" i="0">
      <x v="1718"/>
    </i>
    <i t="data" r="0" i="0">
      <x v="1807"/>
    </i>
    <i t="data" r="0" i="0">
      <x v="1901"/>
    </i>
    <i t="data" r="0" i="0">
      <x v="1808"/>
    </i>
    <i t="data" r="0" i="0">
      <x v="1903"/>
    </i>
    <i t="data" r="0" i="0">
      <x v="1809"/>
    </i>
    <i t="data" r="0" i="0">
      <x v="1905"/>
    </i>
    <i t="data" r="0" i="0">
      <x v="1810"/>
    </i>
    <i t="data" r="0" i="0">
      <x v="1907"/>
    </i>
    <i t="data" r="0" i="0">
      <x v="1811"/>
    </i>
    <i t="data" r="0" i="0">
      <x v="1909"/>
    </i>
    <i t="data" r="0" i="0">
      <x v="1812"/>
    </i>
    <i t="data" r="0" i="0">
      <x v="1911"/>
    </i>
    <i t="data" r="0" i="0">
      <x v="1813"/>
    </i>
    <i t="data" r="0" i="0">
      <x v="1913"/>
    </i>
    <i t="data" r="0" i="0">
      <x v="1814"/>
    </i>
    <i t="data" r="0" i="0">
      <x v="1915"/>
    </i>
    <i t="data" r="0" i="0">
      <x v="1816"/>
    </i>
    <i t="data" r="0" i="0">
      <x v="1917"/>
    </i>
    <i t="data" r="0" i="0">
      <x v="1817"/>
    </i>
    <i t="data" r="0" i="0">
      <x v="1719"/>
    </i>
    <i t="data" r="0" i="0">
      <x v="1818"/>
    </i>
    <i t="data" r="0" i="0">
      <x v="1921"/>
    </i>
    <i t="data" r="0" i="0">
      <x v="1819"/>
    </i>
    <i t="data" r="0" i="0">
      <x v="1923"/>
    </i>
    <i t="data" r="0" i="0">
      <x v="1820"/>
    </i>
    <i t="data" r="0" i="0">
      <x v="1925"/>
    </i>
    <i t="data" r="0" i="0">
      <x v="1821"/>
    </i>
    <i t="data" r="0" i="0">
      <x v="1927"/>
    </i>
    <i t="data" r="0" i="0">
      <x v="1822"/>
    </i>
    <i t="data" r="0" i="0">
      <x v="1929"/>
    </i>
    <i t="data" r="0" i="0">
      <x v="1823"/>
    </i>
    <i t="data" r="0" i="0">
      <x v="1932"/>
    </i>
    <i t="data" r="0" i="0">
      <x v="1824"/>
    </i>
    <i t="data" r="0" i="0">
      <x v="1934"/>
    </i>
    <i t="data" r="0" i="0">
      <x v="1825"/>
    </i>
    <i t="data" r="0" i="0">
      <x v="1936"/>
    </i>
    <i t="data" r="0" i="0">
      <x v="1826"/>
    </i>
    <i t="data" r="0" i="0">
      <x v="1721"/>
    </i>
    <i t="data" r="0" i="0">
      <x v="1827"/>
    </i>
    <i t="data" r="0" i="0">
      <x v="1940"/>
    </i>
    <i t="data" r="0" i="0">
      <x v="1828"/>
    </i>
    <i t="data" r="0" i="0">
      <x v="1942"/>
    </i>
    <i t="data" r="0" i="0">
      <x v="1830"/>
    </i>
    <i t="data" r="0" i="0">
      <x v="1944"/>
    </i>
    <i t="data" r="0" i="0">
      <x v="1831"/>
    </i>
    <i t="data" r="0" i="0">
      <x v="1946"/>
    </i>
    <i t="data" r="0" i="0">
      <x v="1832"/>
    </i>
    <i t="data" r="0" i="0">
      <x v="1949"/>
    </i>
    <i t="data" r="0" i="0">
      <x v="1833"/>
    </i>
    <i t="data" r="0" i="0">
      <x v="1952"/>
    </i>
    <i t="data" r="0" i="0">
      <x v="1835"/>
    </i>
    <i t="data" r="0" i="0">
      <x v="1954"/>
    </i>
    <i t="data" r="0" i="0">
      <x v="1836"/>
    </i>
    <i t="data" r="0" i="0">
      <x v="1957"/>
    </i>
    <i t="data" r="0" i="0">
      <x v="1715"/>
    </i>
    <i t="data" r="0" i="0">
      <x v="1959"/>
    </i>
    <i t="data" r="0" i="0">
      <x v="1838"/>
    </i>
    <i t="data" r="0" i="0">
      <x v="1961"/>
    </i>
    <i t="data" r="0" i="0">
      <x v="1839"/>
    </i>
    <i t="data" r="0" i="0">
      <x v="1963"/>
    </i>
    <i t="data" r="0" i="0">
      <x v="1840"/>
    </i>
    <i t="data" r="0" i="0">
      <x v="1965"/>
    </i>
    <i t="data" r="0" i="0">
      <x v="1841"/>
    </i>
    <i t="data" r="0" i="0">
      <x v="1967"/>
    </i>
    <i t="data" r="0" i="0">
      <x v="1842"/>
    </i>
    <i t="data" r="0" i="0">
      <x v="1969"/>
    </i>
    <i t="data" r="0" i="0">
      <x v="1844"/>
    </i>
    <i t="data" r="0" i="0">
      <x v="1971"/>
    </i>
    <i t="data" r="0" i="0">
      <x v="1845"/>
    </i>
    <i t="data" r="0" i="0">
      <x v="1722"/>
    </i>
    <i t="data" r="0" i="0">
      <x v="1846"/>
    </i>
    <i t="data" r="0" i="0">
      <x v="1975"/>
    </i>
    <i t="data" r="0" i="0">
      <x v="1991"/>
    </i>
    <i t="data" r="0" i="0">
      <x v="1977"/>
    </i>
    <i t="data" r="0" i="0">
      <x v="1992"/>
    </i>
    <i t="data" r="0" i="0">
      <x v="1980"/>
    </i>
    <i t="data" r="0" i="0">
      <x v="1994"/>
    </i>
    <i t="data" r="0" i="0">
      <x v="1982"/>
    </i>
    <i t="data" r="0" i="0">
      <x v="1850"/>
    </i>
    <i t="data" r="0" i="0">
      <x v="1984"/>
    </i>
    <i t="data" r="0" i="0">
      <x v="1851"/>
    </i>
    <i t="data" r="0" i="0">
      <x v="1987"/>
    </i>
    <i t="data" r="0" i="0">
      <x v="1852"/>
    </i>
    <i t="data" r="0" i="0">
      <x v="1989"/>
    </i>
    <i t="data" r="0" i="0">
      <x v="1853"/>
    </i>
    <i t="data" r="0" i="0">
      <x v="1723"/>
    </i>
    <i t="data" r="0" i="0">
      <x v="1854"/>
    </i>
    <i t="data" r="0" i="0">
      <x v="1993"/>
    </i>
    <i t="data" r="0" i="0">
      <x v="1848"/>
    </i>
    <i t="data" r="0" i="0">
      <x v="1709"/>
    </i>
    <i t="data" r="0" i="0">
      <x v="1849"/>
    </i>
    <i t="data" r="0" i="0">
      <x v="1583"/>
    </i>
    <i t="data" r="0" i="0">
      <x v="1648"/>
    </i>
    <i t="data" r="0" i="0">
      <x v="1616"/>
    </i>
    <i t="data" r="0" i="0">
      <x v="1455"/>
    </i>
    <i t="data" r="0" i="0">
      <x v="1683"/>
    </i>
    <i t="data" r="0" i="0">
      <x v="1456"/>
    </i>
    <i t="data" r="0" i="0">
      <x v="1599"/>
    </i>
    <i t="data" r="0" i="0">
      <x v="1457"/>
    </i>
    <i t="data" r="0" i="0">
      <x v="1632"/>
    </i>
    <i t="data" r="0" i="0">
      <x v="1458"/>
    </i>
    <i t="data" r="0" i="0">
      <x v="1664"/>
    </i>
    <i t="data" r="0" i="0">
      <x v="1459"/>
    </i>
    <i t="data" r="0" i="0">
      <x v="1574"/>
    </i>
    <i t="data" r="0" i="0">
      <x v="1460"/>
    </i>
    <i t="data" r="0" i="0">
      <x v="1591"/>
    </i>
    <i t="data" r="0" i="0">
      <x v="1461"/>
    </i>
    <i t="data" r="0" i="0">
      <x v="1608"/>
    </i>
    <i t="data" r="0" i="0">
      <x v="1462"/>
    </i>
    <i t="data" r="0" i="0">
      <x v="1624"/>
    </i>
    <i t="data" r="0" i="0">
      <x v="1463"/>
    </i>
    <i t="data" r="0" i="0">
      <x v="1640"/>
    </i>
    <i t="data" r="0" i="0">
      <x v="1431"/>
    </i>
    <i t="data" r="0" i="0">
      <x v="1656"/>
    </i>
    <i t="data" r="0" i="0">
      <x v="1465"/>
    </i>
    <i t="data" r="0" i="0">
      <x v="1674"/>
    </i>
    <i t="data" r="0" i="0">
      <x v="1466"/>
    </i>
    <i t="data" r="0" i="0">
      <x v="1691"/>
    </i>
    <i t="data" r="0" i="0">
      <x v="1467"/>
    </i>
    <i t="data" r="0" i="0">
      <x v="1578"/>
    </i>
    <i t="data" r="0" i="0">
      <x v="1468"/>
    </i>
    <i t="data" r="0" i="0">
      <x v="1587"/>
    </i>
    <i t="data" r="0" i="0">
      <x v="1469"/>
    </i>
    <i t="data" r="0" i="0">
      <x v="1595"/>
    </i>
    <i t="data" r="0" i="0">
      <x v="1470"/>
    </i>
    <i t="data" r="0" i="0">
      <x v="1604"/>
    </i>
    <i t="data" r="0" i="0">
      <x v="1471"/>
    </i>
    <i t="data" r="0" i="0">
      <x v="1612"/>
    </i>
    <i t="data" r="0" i="0">
      <x v="1472"/>
    </i>
    <i t="data" r="0" i="0">
      <x v="1620"/>
    </i>
    <i t="data" r="0" i="0">
      <x v="1437"/>
    </i>
    <i t="data" r="0" i="0">
      <x v="1628"/>
    </i>
    <i t="data" r="0" i="0">
      <x v="1474"/>
    </i>
    <i t="data" r="0" i="0">
      <x v="1636"/>
    </i>
    <i t="data" r="0" i="0">
      <x v="1475"/>
    </i>
    <i t="data" r="0" i="0">
      <x v="1644"/>
    </i>
    <i t="data" r="0" i="0">
      <x v="1476"/>
    </i>
    <i t="data" r="0" i="0">
      <x v="1652"/>
    </i>
    <i t="data" r="0" i="0">
      <x v="1477"/>
    </i>
    <i t="data" r="0" i="0">
      <x v="1660"/>
    </i>
    <i t="data" r="0" i="0">
      <x v="1478"/>
    </i>
    <i t="data" r="0" i="0">
      <x v="1669"/>
    </i>
    <i t="data" r="0" i="0">
      <x v="1479"/>
    </i>
    <i t="data" r="0" i="0">
      <x v="1678"/>
    </i>
    <i t="data" r="0" i="0">
      <x v="1480"/>
    </i>
    <i t="data" r="0" i="0">
      <x v="1687"/>
    </i>
    <i t="data" r="0" i="0">
      <x v="1481"/>
    </i>
    <i t="data" r="0" i="0">
      <x v="1572"/>
    </i>
    <i t="data" r="0" i="0">
      <x v="1482"/>
    </i>
    <i t="data" r="0" i="0">
      <x v="1576"/>
    </i>
    <i t="data" r="0" i="0">
      <x v="1483"/>
    </i>
    <i t="data" r="0" i="0">
      <x v="1581"/>
    </i>
    <i t="data" r="0" i="0">
      <x v="1484"/>
    </i>
    <i t="data" r="0" i="0">
      <x v="1585"/>
    </i>
    <i t="data" r="0" i="0">
      <x v="1485"/>
    </i>
    <i t="data" r="0" i="0">
      <x v="1589"/>
    </i>
    <i t="data" r="0" i="0">
      <x v="1438"/>
    </i>
    <i t="data" r="0" i="0">
      <x v="1593"/>
    </i>
    <i t="data" r="0" i="0">
      <x v="1487"/>
    </i>
    <i t="data" r="0" i="0">
      <x v="1597"/>
    </i>
    <i t="data" r="0" i="0">
      <x v="1488"/>
    </i>
    <i t="data" r="0" i="0">
      <x v="1445"/>
    </i>
    <i t="data" r="0" i="0">
      <x v="1489"/>
    </i>
    <i t="data" r="0" i="0">
      <x v="1606"/>
    </i>
    <i t="data" r="0" i="0">
      <x v="1490"/>
    </i>
    <i t="data" r="0" i="0">
      <x v="1610"/>
    </i>
    <i t="data" r="0" i="0">
      <x v="1491"/>
    </i>
    <i t="data" r="0" i="0">
      <x v="1614"/>
    </i>
    <i t="data" r="0" i="0">
      <x v="1492"/>
    </i>
    <i t="data" r="0" i="0">
      <x v="1618"/>
    </i>
    <i t="data" r="0" i="0">
      <x v="1493"/>
    </i>
    <i t="data" r="0" i="0">
      <x v="1622"/>
    </i>
    <i t="data" r="0" i="0">
      <x v="1494"/>
    </i>
    <i t="data" r="0" i="0">
      <x v="1626"/>
    </i>
    <i t="data" r="0" i="0">
      <x v="1495"/>
    </i>
    <i t="data" r="0" i="0">
      <x v="1630"/>
    </i>
    <i t="data" r="0" i="0">
      <x v="1496"/>
    </i>
    <i t="data" r="0" i="0">
      <x v="1447"/>
    </i>
    <i t="data" r="0" i="0">
      <x v="1497"/>
    </i>
    <i t="data" r="0" i="0">
      <x v="1638"/>
    </i>
    <i t="data" r="0" i="0">
      <x v="1498"/>
    </i>
    <i t="data" r="0" i="0">
      <x v="1642"/>
    </i>
    <i t="data" r="0" i="0">
      <x v="1499"/>
    </i>
    <i t="data" r="0" i="0">
      <x v="1449"/>
    </i>
    <i t="data" r="0" i="0">
      <x v="1501"/>
    </i>
    <i t="data" r="0" i="0">
      <x v="1650"/>
    </i>
    <i t="data" r="0" i="0">
      <x v="1502"/>
    </i>
    <i t="data" r="0" i="0">
      <x v="1654"/>
    </i>
    <i t="data" r="0" i="0">
      <x v="1503"/>
    </i>
    <i t="data" r="0" i="0">
      <x v="1658"/>
    </i>
    <i t="data" r="0" i="0">
      <x v="1504"/>
    </i>
    <i t="data" r="0" i="0">
      <x v="1662"/>
    </i>
    <i t="data" r="0" i="0">
      <x v="1505"/>
    </i>
    <i t="data" r="0" i="0">
      <x v="1666"/>
    </i>
    <i t="data" r="0" i="0">
      <x v="1506"/>
    </i>
    <i t="data" r="0" i="0">
      <x v="1671"/>
    </i>
    <i t="data" r="0" i="0">
      <x v="1507"/>
    </i>
    <i t="data" r="0" i="0">
      <x v="1676"/>
    </i>
    <i t="data" r="0" i="0">
      <x v="1436"/>
    </i>
    <i t="data" r="0" i="0">
      <x v="1680"/>
    </i>
    <i t="data" r="0" i="0">
      <x v="1509"/>
    </i>
    <i t="data" r="0" i="0">
      <x v="1685"/>
    </i>
    <i t="data" r="0" i="0">
      <x v="1510"/>
    </i>
    <i t="data" r="0" i="0">
      <x v="1689"/>
    </i>
    <i t="data" r="0" i="0">
      <x v="1440"/>
    </i>
    <i t="data" r="0" i="0">
      <x v="1443"/>
    </i>
    <i t="data" r="0" i="0">
      <x v="1512"/>
    </i>
    <i t="data" r="0" i="0">
      <x v="1573"/>
    </i>
    <i t="data" r="0" i="0">
      <x v="1513"/>
    </i>
    <i t="data" r="0" i="0">
      <x v="1575"/>
    </i>
    <i t="data" r="0" i="0">
      <x v="1514"/>
    </i>
    <i t="data" r="0" i="0">
      <x v="1577"/>
    </i>
    <i t="data" r="0" i="0">
      <x v="1515"/>
    </i>
    <i t="data" r="0" i="0">
      <x v="1579"/>
    </i>
    <i t="data" r="0" i="0">
      <x v="1516"/>
    </i>
    <i t="data" r="0" i="0">
      <x v="1582"/>
    </i>
    <i t="data" r="0" i="0">
      <x v="1517"/>
    </i>
    <i t="data" r="0" i="0">
      <x v="1584"/>
    </i>
    <i t="data" r="0" i="0">
      <x v="1518"/>
    </i>
    <i t="data" r="0" i="0">
      <x v="1586"/>
    </i>
    <i t="data" r="0" i="0">
      <x v="1519"/>
    </i>
    <i t="data" r="0" i="0">
      <x v="1444"/>
    </i>
    <i t="data" r="0" i="0">
      <x v="1520"/>
    </i>
    <i t="data" r="0" i="0">
      <x v="1590"/>
    </i>
    <i t="data" r="0" i="0">
      <x v="1521"/>
    </i>
    <i t="data" r="0" i="0">
      <x v="1592"/>
    </i>
    <i t="data" r="0" i="0">
      <x v="1522"/>
    </i>
    <i t="data" r="0" i="0">
      <x v="1594"/>
    </i>
    <i t="data" r="0" i="0">
      <x v="1523"/>
    </i>
    <i t="data" r="0" i="0">
      <x v="1596"/>
    </i>
    <i t="data" r="0" i="0">
      <x v="1524"/>
    </i>
    <i t="data" r="0" i="0">
      <x v="1598"/>
    </i>
    <i t="data" r="0" i="0">
      <x v="1525"/>
    </i>
    <i t="data" r="0" i="0">
      <x v="1601"/>
    </i>
    <i t="data" r="0" i="0">
      <x v="1526"/>
    </i>
    <i t="data" r="0" i="0">
      <x v="1603"/>
    </i>
    <i t="data" r="0" i="0">
      <x v="1527"/>
    </i>
    <i t="data" r="0" i="0">
      <x v="1605"/>
    </i>
    <i t="data" r="0" i="0">
      <x v="1528"/>
    </i>
    <i t="data" r="0" i="0">
      <x v="1607"/>
    </i>
    <i t="data" r="0" i="0">
      <x v="1529"/>
    </i>
    <i t="data" r="0" i="0">
      <x v="1609"/>
    </i>
    <i t="data" r="0" i="0">
      <x v="1530"/>
    </i>
    <i t="data" r="0" i="0">
      <x v="1611"/>
    </i>
    <i t="data" r="0" i="0">
      <x v="1531"/>
    </i>
    <i t="data" r="0" i="0">
      <x v="1613"/>
    </i>
    <i t="data" r="0" i="0">
      <x v="1532"/>
    </i>
    <i t="data" r="0" i="0">
      <x v="1615"/>
    </i>
    <i t="data" r="0" i="0">
      <x v="1533"/>
    </i>
    <i t="data" r="0" i="0">
      <x v="1617"/>
    </i>
    <i t="data" r="0" i="0">
      <x v="1534"/>
    </i>
    <i t="data" r="0" i="0">
      <x v="1619"/>
    </i>
    <i t="data" r="0" i="0">
      <x v="1535"/>
    </i>
    <i t="data" r="0" i="0">
      <x v="1621"/>
    </i>
    <i t="data" r="0" i="0">
      <x v="1536"/>
    </i>
    <i t="data" r="0" i="0">
      <x v="1623"/>
    </i>
    <i t="data" r="0" i="0">
      <x v="1432"/>
    </i>
    <i t="data" r="0" i="0">
      <x v="1625"/>
    </i>
    <i t="data" r="0" i="0">
      <x v="1538"/>
    </i>
    <i t="data" r="0" i="0">
      <x v="1627"/>
    </i>
    <i t="data" r="0" i="0">
      <x v="1539"/>
    </i>
    <i t="data" r="0" i="0">
      <x v="1446"/>
    </i>
    <i t="data" r="0" i="0">
      <x v="1540"/>
    </i>
    <i t="data" r="0" i="0">
      <x v="1631"/>
    </i>
    <i t="data" r="0" i="0">
      <x v="1541"/>
    </i>
    <i t="data" r="0" i="0">
      <x v="1633"/>
    </i>
    <i t="data" r="0" i="0">
      <x v="1542"/>
    </i>
    <i t="data" r="0" i="0">
      <x v="1635"/>
    </i>
    <i t="data" r="0" i="0">
      <x v="1543"/>
    </i>
    <i t="data" r="0" i="0">
      <x v="1448"/>
    </i>
    <i t="data" r="0" i="0">
      <x v="1544"/>
    </i>
    <i t="data" r="0" i="0">
      <x v="1639"/>
    </i>
    <i t="data" r="0" i="0">
      <x v="1545"/>
    </i>
    <i t="data" r="0" i="0">
      <x v="1433"/>
    </i>
    <i t="data" r="0" i="0">
      <x v="1546"/>
    </i>
    <i t="data" r="0" i="0">
      <x v="1643"/>
    </i>
    <i t="data" r="0" i="0">
      <x v="1547"/>
    </i>
    <i t="data" r="0" i="0">
      <x v="1645"/>
    </i>
    <i t="data" r="0" i="0">
      <x v="1548"/>
    </i>
    <i t="data" r="0" i="0">
      <x v="1450"/>
    </i>
    <i t="data" r="0" i="0">
      <x v="1549"/>
    </i>
    <i t="data" r="0" i="0">
      <x v="1649"/>
    </i>
    <i t="data" r="0" i="0">
      <x v="1550"/>
    </i>
    <i t="data" r="0" i="0">
      <x v="1651"/>
    </i>
    <i t="data" r="0" i="0">
      <x v="1551"/>
    </i>
    <i t="data" r="0" i="0">
      <x v="1653"/>
    </i>
    <i t="data" r="0" i="0">
      <x v="1552"/>
    </i>
    <i t="data" r="0" i="0">
      <x v="1655"/>
    </i>
    <i t="data" r="0" i="0">
      <x v="1553"/>
    </i>
    <i t="data" r="0" i="0">
      <x v="1451"/>
    </i>
    <i t="data" r="0" i="0">
      <x v="1554"/>
    </i>
    <i t="data" r="0" i="0">
      <x v="1452"/>
    </i>
    <i t="data" r="0" i="0">
      <x v="1555"/>
    </i>
    <i t="data" r="0" i="0">
      <x v="1453"/>
    </i>
    <i t="data" r="0" i="0">
      <x v="1556"/>
    </i>
    <i t="data" r="0" i="0">
      <x v="1434"/>
    </i>
    <i t="data" r="0" i="0">
      <x v="1557"/>
    </i>
    <i t="data" r="0" i="0">
      <x v="1665"/>
    </i>
    <i t="data" r="0" i="0">
      <x v="1558"/>
    </i>
    <i t="data" r="0" i="0">
      <x v="1668"/>
    </i>
    <i t="data" r="0" i="0">
      <x v="1559"/>
    </i>
    <i t="data" r="0" i="0">
      <x v="1670"/>
    </i>
    <i t="data" r="0" i="0">
      <x v="1695"/>
    </i>
    <i t="data" r="0" i="0">
      <x v="1673"/>
    </i>
    <i t="data" r="0" i="0">
      <x v="1692"/>
    </i>
    <i t="data" r="0" i="0">
      <x v="1675"/>
    </i>
    <i t="data" r="0" i="0">
      <x v="1694"/>
    </i>
    <i t="data" r="0" i="0">
      <x v="1677"/>
    </i>
    <i t="data" r="0" i="0">
      <x v="1701"/>
    </i>
    <i t="data" r="0" i="0">
      <x v="1679"/>
    </i>
    <i t="data" r="0" i="0">
      <x v="1703"/>
    </i>
    <i t="data" r="0" i="0">
      <x v="1681"/>
    </i>
    <i t="data" r="0" i="0">
      <x v="1441"/>
    </i>
    <i t="data" r="0" i="0">
      <x v="1684"/>
    </i>
    <i t="data" r="0" i="0">
      <x v="1707"/>
    </i>
    <i t="data" r="0" i="0">
      <x v="1686"/>
    </i>
    <i t="data" r="0" i="0">
      <x v="1442"/>
    </i>
    <i t="data" r="0" i="0">
      <x v="1688"/>
    </i>
    <i t="data" r="0" i="0">
      <x v="1568"/>
    </i>
    <i t="data" r="0" i="0">
      <x v="1690"/>
    </i>
    <i t="data" r="0" i="0">
      <x v="1569"/>
    </i>
    <i t="data" r="0" i="0">
      <x v="1454"/>
    </i>
    <i t="data" r="0" i="0">
      <x v="1570"/>
    </i>
    <i t="data" r="0" i="0">
      <x v="1697"/>
    </i>
    <i t="data" r="0" i="0">
      <x v="1435"/>
    </i>
    <i t="data" r="0" i="0">
      <x v="1699"/>
    </i>
    <i t="data" r="0" i="0">
      <x v="1560"/>
    </i>
    <i t="data" r="0" i="0">
      <x v="1698"/>
    </i>
    <i t="data" r="0" i="0">
      <x v="1561"/>
    </i>
    <i t="data" r="0" i="0">
      <x v="1700"/>
    </i>
    <i t="data" r="0" i="0">
      <x v="1562"/>
    </i>
    <i t="data" r="0" i="0">
      <x v="1702"/>
    </i>
    <i t="data" r="0" i="0">
      <x v="1563"/>
    </i>
    <i t="data" r="0" i="0">
      <x v="1704"/>
    </i>
    <i t="data" r="0" i="0">
      <x v="1564"/>
    </i>
    <i t="data" r="0" i="0">
      <x v="1706"/>
    </i>
    <i t="data" r="0" i="0">
      <x v="1565"/>
    </i>
    <i t="data" r="0" i="0">
      <x v="1708"/>
    </i>
    <i t="data" r="0" i="0">
      <x v="1566"/>
    </i>
    <i t="data" r="0" i="0">
      <x v="1567"/>
    </i>
    <i t="data" r="0" i="0">
      <x v="1338"/>
    </i>
    <i t="data" r="0" i="0">
      <x v="1403"/>
    </i>
    <i t="data" r="0" i="0">
      <x v="1370"/>
    </i>
    <i t="data" r="0" i="0">
      <x v="1205"/>
    </i>
    <i t="data" r="0" i="0">
      <x v="1320"/>
    </i>
    <i t="data" r="0" i="0">
      <x v="1206"/>
    </i>
    <i t="data" r="0" i="0">
      <x v="1354"/>
    </i>
    <i t="data" r="0" i="0">
      <x v="1207"/>
    </i>
    <i t="data" r="0" i="0">
      <x v="1387"/>
    </i>
    <i t="data" r="0" i="0">
      <x v="1208"/>
    </i>
    <i t="data" r="0" i="0">
      <x v="1419"/>
    </i>
    <i t="data" r="0" i="0">
      <x v="1209"/>
    </i>
    <i t="data" r="0" i="0">
      <x v="1329"/>
    </i>
    <i t="data" r="0" i="0">
      <x v="1210"/>
    </i>
    <i t="data" r="0" i="0">
      <x v="1346"/>
    </i>
    <i t="data" r="0" i="0">
      <x v="1211"/>
    </i>
    <i t="data" r="0" i="0">
      <x v="1172"/>
    </i>
    <i t="data" r="0" i="0">
      <x v="1212"/>
    </i>
    <i t="data" r="0" i="0">
      <x v="1175"/>
    </i>
    <i t="data" r="0" i="0">
      <x v="1180"/>
    </i>
    <i t="data" r="0" i="0">
      <x v="1395"/>
    </i>
    <i t="data" r="0" i="0">
      <x v="1214"/>
    </i>
    <i t="data" r="0" i="0">
      <x v="1411"/>
    </i>
    <i t="data" r="0" i="0">
      <x v="1215"/>
    </i>
    <i t="data" r="0" i="0">
      <x v="1427"/>
    </i>
    <i t="data" r="0" i="0">
      <x v="1148"/>
    </i>
    <i t="data" r="0" i="0">
      <x v="1324"/>
    </i>
    <i t="data" r="0" i="0">
      <x v="1152"/>
    </i>
    <i t="data" r="0" i="0">
      <x v="1334"/>
    </i>
    <i t="data" r="0" i="0">
      <x v="1218"/>
    </i>
    <i t="data" r="0" i="0">
      <x v="1195"/>
    </i>
    <i t="data" r="0" i="0">
      <x v="1219"/>
    </i>
    <i t="data" r="0" i="0">
      <x v="1350"/>
    </i>
    <i t="data" r="0" i="0">
      <x v="1220"/>
    </i>
    <i t="data" r="0" i="0">
      <x v="1358"/>
    </i>
    <i t="data" r="0" i="0">
      <x v="1221"/>
    </i>
    <i t="data" r="0" i="0">
      <x v="1173"/>
    </i>
    <i t="data" r="0" i="0">
      <x v="1222"/>
    </i>
    <i t="data" r="0" i="0">
      <x v="1374"/>
    </i>
    <i t="data" r="0" i="0">
      <x v="1145"/>
    </i>
    <i t="data" r="0" i="0">
      <x v="1179"/>
    </i>
    <i t="data" r="0" i="0">
      <x v="1224"/>
    </i>
    <i t="data" r="0" i="0">
      <x v="1391"/>
    </i>
    <i t="data" r="0" i="0">
      <x v="1225"/>
    </i>
    <i t="data" r="0" i="0">
      <x v="1399"/>
    </i>
    <i t="data" r="0" i="0">
      <x v="1226"/>
    </i>
    <i t="data" r="0" i="0">
      <x v="1407"/>
    </i>
    <i t="data" r="0" i="0">
      <x v="1227"/>
    </i>
    <i t="data" r="0" i="0">
      <x v="1415"/>
    </i>
    <i t="data" r="0" i="0">
      <x v="1228"/>
    </i>
    <i t="data" r="0" i="0">
      <x v="1202"/>
    </i>
    <i t="data" r="0" i="0">
      <x v="1229"/>
    </i>
    <i t="data" r="0" i="0">
      <x v="1168"/>
    </i>
    <i t="data" r="0" i="0">
      <x v="1230"/>
    </i>
    <i t="data" r="0" i="0">
      <x v="1322"/>
    </i>
    <i t="data" r="0" i="0">
      <x v="1231"/>
    </i>
    <i t="data" r="0" i="0">
      <x v="1327"/>
    </i>
    <i t="data" r="0" i="0">
      <x v="1232"/>
    </i>
    <i t="data" r="0" i="0">
      <x v="1170"/>
    </i>
    <i t="data" r="0" i="0">
      <x v="1233"/>
    </i>
    <i t="data" r="0" i="0">
      <x v="1336"/>
    </i>
    <i t="data" r="0" i="0">
      <x v="1234"/>
    </i>
    <i t="data" r="0" i="0">
      <x v="1340"/>
    </i>
    <i t="data" r="0" i="0">
      <x v="1235"/>
    </i>
    <i t="data" r="0" i="0">
      <x v="1344"/>
    </i>
    <i t="data" r="0" i="0">
      <x v="1155"/>
    </i>
    <i t="data" r="0" i="0">
      <x v="1348"/>
    </i>
    <i t="data" r="0" i="0">
      <x v="1237"/>
    </i>
    <i t="data" r="0" i="0">
      <x v="1352"/>
    </i>
    <i t="data" r="0" i="0">
      <x v="1238"/>
    </i>
    <i t="data" r="0" i="0">
      <x v="1356"/>
    </i>
    <i t="data" r="0" i="0">
      <x v="1239"/>
    </i>
    <i t="data" r="0" i="0">
      <x v="1360"/>
    </i>
    <i t="data" r="0" i="0">
      <x v="1240"/>
    </i>
    <i t="data" r="0" i="0">
      <x v="1364"/>
    </i>
    <i t="data" r="0" i="0">
      <x v="1241"/>
    </i>
    <i t="data" r="0" i="0">
      <x v="1368"/>
    </i>
    <i t="data" r="0" i="0">
      <x v="1182"/>
    </i>
    <i t="data" r="0" i="0">
      <x v="1151"/>
    </i>
    <i t="data" r="0" i="0">
      <x v="1243"/>
    </i>
    <i t="data" r="0" i="0">
      <x v="1376"/>
    </i>
    <i t="data" r="0" i="0">
      <x v="1244"/>
    </i>
    <i t="data" r="0" i="0">
      <x v="1380"/>
    </i>
    <i t="data" r="0" i="0">
      <x v="1245"/>
    </i>
    <i t="data" r="0" i="0">
      <x v="1385"/>
    </i>
    <i t="data" r="0" i="0">
      <x v="1246"/>
    </i>
    <i t="data" r="0" i="0">
      <x v="1389"/>
    </i>
    <i t="data" r="0" i="0">
      <x v="1247"/>
    </i>
    <i t="data" r="0" i="0">
      <x v="1393"/>
    </i>
    <i t="data" r="0" i="0">
      <x v="1248"/>
    </i>
    <i t="data" r="0" i="0">
      <x v="1397"/>
    </i>
    <i t="data" r="0" i="0">
      <x v="1156"/>
    </i>
    <i t="data" r="0" i="0">
      <x v="1401"/>
    </i>
    <i t="data" r="0" i="0">
      <x v="1149"/>
    </i>
    <i t="data" r="0" i="0">
      <x v="1176"/>
    </i>
    <i t="data" r="0" i="0">
      <x v="1251"/>
    </i>
    <i t="data" r="0" i="0">
      <x v="1409"/>
    </i>
    <i t="data" r="0" i="0">
      <x v="1184"/>
    </i>
    <i t="data" r="0" i="0">
      <x v="1413"/>
    </i>
    <i t="data" r="0" i="0">
      <x v="1254"/>
    </i>
    <i t="data" r="0" i="0">
      <x v="1417"/>
    </i>
    <i t="data" r="0" i="0">
      <x v="1255"/>
    </i>
    <i t="data" r="0" i="0">
      <x v="1421"/>
    </i>
    <i t="data" r="0" i="0">
      <x v="1256"/>
    </i>
    <i t="data" r="0" i="0">
      <x v="1425"/>
    </i>
    <i t="data" r="0" i="0">
      <x v="1157"/>
    </i>
    <i t="data" r="0" i="0">
      <x v="1429"/>
    </i>
    <i t="data" r="0" i="0">
      <x v="1258"/>
    </i>
    <i t="data" r="0" i="0">
      <x v="1319"/>
    </i>
    <i t="data" r="0" i="0">
      <x v="1259"/>
    </i>
    <i t="data" r="0" i="0">
      <x v="1321"/>
    </i>
    <i t="data" r="0" i="0">
      <x v="1260"/>
    </i>
    <i t="data" r="0" i="0">
      <x v="1323"/>
    </i>
    <i t="data" r="0" i="0">
      <x v="1261"/>
    </i>
    <i t="data" r="0" i="0">
      <x v="1326"/>
    </i>
    <i t="data" r="0" i="0">
      <x v="1262"/>
    </i>
    <i t="data" r="0" i="0">
      <x v="1169"/>
    </i>
    <i t="data" r="0" i="0">
      <x v="1158"/>
    </i>
    <i t="data" r="0" i="0">
      <x v="1330"/>
    </i>
    <i t="data" r="0" i="0">
      <x v="1265"/>
    </i>
    <i t="data" r="0" i="0">
      <x v="1333"/>
    </i>
    <i t="data" r="0" i="0">
      <x v="1159"/>
    </i>
    <i t="data" r="0" i="0">
      <x v="1335"/>
    </i>
    <i t="data" r="0" i="0">
      <x v="1185"/>
    </i>
    <i t="data" r="0" i="0">
      <x v="1194"/>
    </i>
    <i t="data" r="0" i="0">
      <x v="1268"/>
    </i>
    <i t="data" r="0" i="0">
      <x v="1339"/>
    </i>
    <i t="data" r="0" i="0">
      <x v="1269"/>
    </i>
    <i t="data" r="0" i="0">
      <x v="1341"/>
    </i>
    <i t="data" r="0" i="0">
      <x v="1270"/>
    </i>
    <i t="data" r="0" i="0">
      <x v="1343"/>
    </i>
    <i t="data" r="0" i="0">
      <x v="1271"/>
    </i>
    <i t="data" r="0" i="0">
      <x v="1345"/>
    </i>
    <i t="data" r="0" i="0">
      <x v="1272"/>
    </i>
    <i t="data" r="0" i="0">
      <x v="1347"/>
    </i>
    <i t="data" r="0" i="0">
      <x v="1273"/>
    </i>
    <i t="data" r="0" i="0">
      <x v="1349"/>
    </i>
    <i t="data" r="0" i="0">
      <x v="1274"/>
    </i>
    <i t="data" r="0" i="0">
      <x v="1351"/>
    </i>
    <i t="data" r="0" i="0">
      <x v="1275"/>
    </i>
    <i t="data" r="0" i="0">
      <x v="1353"/>
    </i>
    <i t="data" r="0" i="0">
      <x v="1186"/>
    </i>
    <i t="data" r="0" i="0">
      <x v="1355"/>
    </i>
    <i t="data" r="0" i="0">
      <x v="1187"/>
    </i>
    <i t="data" r="0" i="0">
      <x v="1357"/>
    </i>
    <i t="data" r="0" i="0">
      <x v="1280"/>
    </i>
    <i t="data" r="0" i="0">
      <x v="1150"/>
    </i>
    <i t="data" r="0" i="0">
      <x v="1188"/>
    </i>
    <i t="data" r="0" i="0">
      <x v="1361"/>
    </i>
    <i t="data" r="0" i="0">
      <x v="1178"/>
    </i>
    <i t="data" r="0" i="0">
      <x v="1363"/>
    </i>
    <i t="data" r="0" i="0">
      <x v="1161"/>
    </i>
    <i t="data" r="0" i="0">
      <x v="1365"/>
    </i>
    <i t="data" r="0" i="0">
      <x v="1284"/>
    </i>
    <i t="data" r="0" i="0">
      <x v="1367"/>
    </i>
    <i t="data" r="0" i="0">
      <x v="1285"/>
    </i>
    <i t="data" r="0" i="0">
      <x v="1369"/>
    </i>
    <i t="data" r="0" i="0">
      <x v="1162"/>
    </i>
    <i t="data" r="0" i="0">
      <x v="1197"/>
    </i>
    <i t="data" r="0" i="0">
      <x v="1287"/>
    </i>
    <i t="data" r="0" i="0">
      <x v="1200"/>
    </i>
    <i t="data" r="0" i="0">
      <x v="1144"/>
    </i>
    <i t="data" r="0" i="0">
      <x v="1174"/>
    </i>
    <i t="data" r="0" i="0">
      <x v="1289"/>
    </i>
    <i t="data" r="0" i="0">
      <x v="1377"/>
    </i>
    <i t="data" r="0" i="0">
      <x v="1290"/>
    </i>
    <i t="data" r="0" i="0">
      <x v="1379"/>
    </i>
    <i t="data" r="0" i="0">
      <x v="1291"/>
    </i>
    <i t="data" r="0" i="0">
      <x v="1381"/>
    </i>
    <i t="data" r="0" i="0">
      <x v="1292"/>
    </i>
    <i t="data" r="0" i="0">
      <x v="1384"/>
    </i>
    <i t="data" r="0" i="0">
      <x v="1293"/>
    </i>
    <i t="data" r="0" i="0">
      <x v="1386"/>
    </i>
    <i t="data" r="0" i="0">
      <x v="1294"/>
    </i>
    <i t="data" r="0" i="0">
      <x v="1388"/>
    </i>
    <i t="data" r="0" i="0">
      <x v="1295"/>
    </i>
    <i t="data" r="0" i="0">
      <x v="1390"/>
    </i>
    <i t="data" r="0" i="0">
      <x v="1190"/>
    </i>
    <i t="data" r="0" i="0">
      <x v="1392"/>
    </i>
    <i t="data" r="0" i="0">
      <x v="1297"/>
    </i>
    <i t="data" r="0" i="0">
      <x v="1394"/>
    </i>
    <i t="data" r="0" i="0">
      <x v="1298"/>
    </i>
    <i t="data" r="0" i="0">
      <x v="1396"/>
    </i>
    <i t="data" r="0" i="0">
      <x v="1299"/>
    </i>
    <i t="data" r="0" i="0">
      <x v="1398"/>
    </i>
    <i t="data" r="0" i="0">
      <x v="1300"/>
    </i>
    <i t="data" r="0" i="0">
      <x v="1400"/>
    </i>
    <i t="data" r="0" i="0">
      <x v="1301"/>
    </i>
    <i t="data" r="0" i="0">
      <x v="1402"/>
    </i>
    <i t="data" r="0" i="0">
      <x v="1191"/>
    </i>
    <i t="data" r="0" i="0">
      <x v="1404"/>
    </i>
    <i t="data" r="0" i="0">
      <x v="1177"/>
    </i>
    <i t="data" r="0" i="0">
      <x v="1406"/>
    </i>
    <i t="data" r="0" i="0">
      <x v="1304"/>
    </i>
    <i t="data" r="0" i="0">
      <x v="1408"/>
    </i>
    <i t="data" r="0" i="0">
      <x v="1305"/>
    </i>
    <i t="data" r="0" i="0">
      <x v="1410"/>
    </i>
    <i t="data" r="0" i="0">
      <x v="1192"/>
    </i>
    <i t="data" r="0" i="0">
      <x v="1412"/>
    </i>
    <i t="data" r="0" i="0">
      <x v="1307"/>
    </i>
    <i t="data" r="0" i="0">
      <x v="1414"/>
    </i>
    <i t="data" r="0" i="0">
      <x v="1308"/>
    </i>
    <i t="data" r="0" i="0">
      <x v="1416"/>
    </i>
    <i t="data" r="0" i="0">
      <x v="1309"/>
    </i>
    <i t="data" r="0" i="0">
      <x v="1418"/>
    </i>
    <i t="data" r="0" i="0">
      <x v="1311"/>
    </i>
    <i t="data" r="0" i="0">
      <x v="1420"/>
    </i>
    <i t="data" r="0" i="0">
      <x v="1312"/>
    </i>
    <i t="data" r="0" i="0">
      <x v="1422"/>
    </i>
    <i t="data" r="0" i="0">
      <x v="1165"/>
    </i>
    <i t="data" r="0" i="0">
      <x v="1424"/>
    </i>
    <i t="data" r="0" i="0">
      <x v="1314"/>
    </i>
    <i t="data" r="0" i="0">
      <x v="1203"/>
    </i>
    <i t="data" r="0" i="0">
      <x v="1315"/>
    </i>
    <i t="data" r="0" i="0">
      <x v="1428"/>
    </i>
    <i t="data" r="0" i="0">
      <x v="1193"/>
    </i>
    <i t="data" r="0" i="0">
      <x v="1204"/>
    </i>
    <i t="data" r="0" i="0">
      <x v="1317"/>
    </i>
    <i t="data" r="0" i="0">
      <x v="1030"/>
    </i>
    <i t="data" r="0" i="0">
      <x v="1098"/>
    </i>
    <i t="data" r="0" i="0">
      <x v="1063"/>
    </i>
    <i t="data" r="0" i="0">
      <x v="901"/>
    </i>
    <i t="data" r="0" i="0">
      <x v="1132"/>
    </i>
    <i t="data" r="0" i="0">
      <x v="902"/>
    </i>
    <i t="data" r="0" i="0">
      <x v="1047"/>
    </i>
    <i t="data" r="0" i="0">
      <x v="903"/>
    </i>
    <i t="data" r="0" i="0">
      <x v="1079"/>
    </i>
    <i t="data" r="0" i="0">
      <x v="904"/>
    </i>
    <i t="data" r="0" i="0">
      <x v="897"/>
    </i>
    <i t="data" r="0" i="0">
      <x v="905"/>
    </i>
    <i t="data" r="0" i="0">
      <x v="1022"/>
    </i>
    <i t="data" r="0" i="0">
      <x v="906"/>
    </i>
    <i t="data" r="0" i="0">
      <x v="1039"/>
    </i>
    <i t="data" r="0" i="0">
      <x v="907"/>
    </i>
    <i t="data" r="0" i="0">
      <x v="1055"/>
    </i>
    <i t="data" r="0" i="0">
      <x v="908"/>
    </i>
    <i t="data" r="0" i="0">
      <x v="1071"/>
    </i>
    <i t="data" r="0" i="0">
      <x v="909"/>
    </i>
    <i t="data" r="0" i="0">
      <x v="1087"/>
    </i>
    <i t="data" r="0" i="0">
      <x v="910"/>
    </i>
    <i t="data" r="0" i="0">
      <x v="1106"/>
    </i>
    <i t="data" r="0" i="0">
      <x v="911"/>
    </i>
    <i t="data" r="0" i="0">
      <x v="1124"/>
    </i>
    <i t="data" r="0" i="0">
      <x v="912"/>
    </i>
    <i t="data" r="0" i="0">
      <x v="1140"/>
    </i>
    <i t="data" r="0" i="0">
      <x v="913"/>
    </i>
    <i t="data" r="0" i="0">
      <x v="1026"/>
    </i>
    <i t="data" r="0" i="0">
      <x v="914"/>
    </i>
    <i t="data" r="0" i="0">
      <x v="881"/>
    </i>
    <i t="data" r="0" i="0">
      <x v="915"/>
    </i>
    <i t="data" r="0" i="0">
      <x v="1043"/>
    </i>
    <i t="data" r="0" i="0">
      <x v="916"/>
    </i>
    <i t="data" r="0" i="0">
      <x v="1051"/>
    </i>
    <i t="data" r="0" i="0">
      <x v="917"/>
    </i>
    <i t="data" r="0" i="0">
      <x v="1059"/>
    </i>
    <i t="data" r="0" i="0">
      <x v="866"/>
    </i>
    <i t="data" r="0" i="0">
      <x v="1067"/>
    </i>
    <i t="data" r="0" i="0">
      <x v="867"/>
    </i>
    <i t="data" r="0" i="0">
      <x v="1075"/>
    </i>
    <i t="data" r="0" i="0">
      <x v="920"/>
    </i>
    <i t="data" r="0" i="0">
      <x v="1083"/>
    </i>
    <i t="data" r="0" i="0">
      <x v="921"/>
    </i>
    <i t="data" r="0" i="0">
      <x v="891"/>
    </i>
    <i t="data" r="0" i="0">
      <x v="922"/>
    </i>
    <i t="data" r="0" i="0">
      <x v="1102"/>
    </i>
    <i t="data" r="0" i="0">
      <x v="868"/>
    </i>
    <i t="data" r="0" i="0">
      <x v="895"/>
    </i>
    <i t="data" r="0" i="0">
      <x v="924"/>
    </i>
    <i t="data" r="0" i="0">
      <x v="1120"/>
    </i>
    <i t="data" r="0" i="0">
      <x v="925"/>
    </i>
    <i t="data" r="0" i="0">
      <x v="1128"/>
    </i>
    <i t="data" r="0" i="0">
      <x v="926"/>
    </i>
    <i t="data" r="0" i="0">
      <x v="899"/>
    </i>
    <i t="data" r="0" i="0">
      <x v="927"/>
    </i>
    <i t="data" r="0" i="0">
      <x v="1020"/>
    </i>
    <i t="data" r="0" i="0">
      <x v="928"/>
    </i>
    <i t="data" r="0" i="0">
      <x v="1024"/>
    </i>
    <i t="data" r="0" i="0">
      <x v="929"/>
    </i>
    <i t="data" r="0" i="0">
      <x v="1028"/>
    </i>
    <i t="data" r="0" i="0">
      <x v="931"/>
    </i>
    <i t="data" r="0" i="0">
      <x v="1032"/>
    </i>
    <i t="data" r="0" i="0">
      <x v="932"/>
    </i>
    <i t="data" r="0" i="0">
      <x v="1037"/>
    </i>
    <i t="data" r="0" i="0">
      <x v="933"/>
    </i>
    <i t="data" r="0" i="0">
      <x v="882"/>
    </i>
    <i t="data" r="0" i="0">
      <x v="934"/>
    </i>
    <i t="data" r="0" i="0">
      <x v="1045"/>
    </i>
    <i t="data" r="0" i="0">
      <x v="935"/>
    </i>
    <i t="data" r="0" i="0">
      <x v="1049"/>
    </i>
    <i t="data" r="0" i="0">
      <x v="936"/>
    </i>
    <i t="data" r="0" i="0">
      <x v="1053"/>
    </i>
    <i t="data" r="0" i="0">
      <x v="937"/>
    </i>
    <i t="data" r="0" i="0">
      <x v="1057"/>
    </i>
    <i t="data" r="0" i="0">
      <x v="938"/>
    </i>
    <i t="data" r="0" i="0">
      <x v="1061"/>
    </i>
    <i t="data" r="0" i="0">
      <x v="939"/>
    </i>
    <i t="data" r="0" i="0">
      <x v="1065"/>
    </i>
    <i t="data" r="0" i="0">
      <x v="940"/>
    </i>
    <i t="data" r="0" i="0">
      <x v="887"/>
    </i>
    <i t="data" r="0" i="0">
      <x v="941"/>
    </i>
    <i t="data" r="0" i="0">
      <x v="1073"/>
    </i>
    <i t="data" r="0" i="0">
      <x v="942"/>
    </i>
    <i t="data" r="0" i="0">
      <x v="1077"/>
    </i>
    <i t="data" r="0" i="0">
      <x v="943"/>
    </i>
    <i t="data" r="0" i="0">
      <x v="1081"/>
    </i>
    <i t="data" r="0" i="0">
      <x v="944"/>
    </i>
    <i t="data" r="0" i="0">
      <x v="1085"/>
    </i>
    <i t="data" r="0" i="0">
      <x v="945"/>
    </i>
    <i t="data" r="0" i="0">
      <x v="1089"/>
    </i>
    <i t="data" r="0" i="0">
      <x v="946"/>
    </i>
    <i t="data" r="0" i="0">
      <x v="1094"/>
    </i>
    <i t="data" r="0" i="0">
      <x v="947"/>
    </i>
    <i t="data" r="0" i="0">
      <x v="1100"/>
    </i>
    <i t="data" r="0" i="0">
      <x v="948"/>
    </i>
    <i t="data" r="0" i="0">
      <x v="892"/>
    </i>
    <i t="data" r="0" i="0">
      <x v="949"/>
    </i>
    <i t="data" r="0" i="0">
      <x v="1108"/>
    </i>
    <i t="data" r="0" i="0">
      <x v="950"/>
    </i>
    <i t="data" r="0" i="0">
      <x v="1114"/>
    </i>
    <i t="data" r="0" i="0">
      <x v="951"/>
    </i>
    <i t="data" r="0" i="0">
      <x v="1118"/>
    </i>
    <i t="data" r="0" i="0">
      <x v="952"/>
    </i>
    <i t="data" r="0" i="0">
      <x v="1122"/>
    </i>
    <i t="data" r="0" i="0">
      <x v="953"/>
    </i>
    <i t="data" r="0" i="0">
      <x v="1126"/>
    </i>
    <i t="data" r="0" i="0">
      <x v="954"/>
    </i>
    <i t="data" r="0" i="0">
      <x v="1130"/>
    </i>
    <i t="data" r="0" i="0">
      <x v="955"/>
    </i>
    <i t="data" r="0" i="0">
      <x v="1134"/>
    </i>
    <i t="data" r="0" i="0">
      <x v="956"/>
    </i>
    <i t="data" r="0" i="0">
      <x v="1138"/>
    </i>
    <i t="data" r="0" i="0">
      <x v="957"/>
    </i>
    <i t="data" r="0" i="0">
      <x v="1142"/>
    </i>
    <i t="data" r="0" i="0">
      <x v="958"/>
    </i>
    <i t="data" r="0" i="0">
      <x v="1021"/>
    </i>
    <i t="data" r="0" i="0">
      <x v="959"/>
    </i>
    <i t="data" r="0" i="0">
      <x v="880"/>
    </i>
    <i t="data" r="0" i="0">
      <x v="960"/>
    </i>
    <i t="data" r="0" i="0">
      <x v="1025"/>
    </i>
    <i t="data" r="0" i="0">
      <x v="961"/>
    </i>
    <i t="data" r="0" i="0">
      <x v="1027"/>
    </i>
    <i t="data" r="0" i="0">
      <x v="962"/>
    </i>
    <i t="data" r="0" i="0">
      <x v="1029"/>
    </i>
    <i t="data" r="0" i="0">
      <x v="963"/>
    </i>
    <i t="data" r="0" i="0">
      <x v="1031"/>
    </i>
    <i t="data" r="0" i="0">
      <x v="964"/>
    </i>
    <i t="data" r="0" i="0">
      <x v="1033"/>
    </i>
    <i t="data" r="0" i="0">
      <x v="965"/>
    </i>
    <i t="data" r="0" i="0">
      <x v="1035"/>
    </i>
    <i t="data" r="0" i="0">
      <x v="966"/>
    </i>
    <i t="data" r="0" i="0">
      <x v="1038"/>
    </i>
    <i t="data" r="0" i="0">
      <x v="869"/>
    </i>
    <i t="data" r="0" i="0">
      <x v="1040"/>
    </i>
    <i t="data" r="0" i="0">
      <x v="968"/>
    </i>
    <i t="data" r="0" i="0">
      <x v="1042"/>
    </i>
    <i t="data" r="0" i="0">
      <x v="969"/>
    </i>
    <i t="data" r="0" i="0">
      <x v="1044"/>
    </i>
    <i t="data" r="0" i="0">
      <x v="970"/>
    </i>
    <i t="data" r="0" i="0">
      <x v="1046"/>
    </i>
    <i t="data" r="0" i="0">
      <x v="972"/>
    </i>
    <i t="data" r="0" i="0">
      <x v="883"/>
    </i>
    <i t="data" r="0" i="0">
      <x v="973"/>
    </i>
    <i t="data" r="0" i="0">
      <x v="884"/>
    </i>
    <i t="data" r="0" i="0">
      <x v="870"/>
    </i>
    <i t="data" r="0" i="0">
      <x v="1052"/>
    </i>
    <i t="data" r="0" i="0">
      <x v="871"/>
    </i>
    <i t="data" r="0" i="0">
      <x v="885"/>
    </i>
    <i t="data" r="0" i="0">
      <x v="976"/>
    </i>
    <i t="data" r="0" i="0">
      <x v="1056"/>
    </i>
    <i t="data" r="0" i="0">
      <x v="863"/>
    </i>
    <i t="data" r="0" i="0">
      <x v="1058"/>
    </i>
    <i t="data" r="0" i="0">
      <x v="873"/>
    </i>
    <i t="data" r="0" i="0">
      <x v="1060"/>
    </i>
    <i t="data" r="0" i="0">
      <x v="979"/>
    </i>
    <i t="data" r="0" i="0">
      <x v="886"/>
    </i>
    <i t="data" r="0" i="0">
      <x v="980"/>
    </i>
    <i t="data" r="0" i="0">
      <x v="1064"/>
    </i>
    <i t="data" r="0" i="0">
      <x v="981"/>
    </i>
    <i t="data" r="0" i="0">
      <x v="1066"/>
    </i>
    <i t="data" r="0" i="0">
      <x v="982"/>
    </i>
    <i t="data" r="0" i="0">
      <x v="1068"/>
    </i>
    <i t="data" r="0" i="0">
      <x v="983"/>
    </i>
    <i t="data" r="0" i="0">
      <x v="1070"/>
    </i>
    <i t="data" r="0" i="0">
      <x v="984"/>
    </i>
    <i t="data" r="0" i="0">
      <x v="1072"/>
    </i>
    <i t="data" r="0" i="0">
      <x v="874"/>
    </i>
    <i t="data" r="0" i="0">
      <x v="864"/>
    </i>
    <i t="data" r="0" i="0">
      <x v="875"/>
    </i>
    <i t="data" r="0" i="0">
      <x v="1076"/>
    </i>
    <i t="data" r="0" i="0">
      <x v="988"/>
    </i>
    <i t="data" r="0" i="0">
      <x v="1078"/>
    </i>
    <i t="data" r="0" i="0">
      <x v="876"/>
    </i>
    <i t="data" r="0" i="0">
      <x v="1080"/>
    </i>
    <i t="data" r="0" i="0">
      <x v="877"/>
    </i>
    <i t="data" r="0" i="0">
      <x v="889"/>
    </i>
    <i t="data" r="0" i="0">
      <x v="991"/>
    </i>
    <i t="data" r="0" i="0">
      <x v="890"/>
    </i>
    <i t="data" r="0" i="0">
      <x v="992"/>
    </i>
    <i t="data" r="0" i="0">
      <x v="1086"/>
    </i>
    <i t="data" r="0" i="0">
      <x v="993"/>
    </i>
    <i t="data" r="0" i="0">
      <x v="1088"/>
    </i>
    <i t="data" r="0" i="0">
      <x v="878"/>
    </i>
    <i t="data" r="0" i="0">
      <x v="1090"/>
    </i>
    <i t="data" r="0" i="0">
      <x v="995"/>
    </i>
    <i t="data" r="0" i="0">
      <x v="1093"/>
    </i>
    <i t="data" r="0" i="0">
      <x v="996"/>
    </i>
    <i t="data" r="0" i="0">
      <x v="1095"/>
    </i>
    <i t="data" r="0" i="0">
      <x v="997"/>
    </i>
    <i t="data" r="0" i="0">
      <x v="1099"/>
    </i>
    <i t="data" r="0" i="0">
      <x v="998"/>
    </i>
    <i t="data" r="0" i="0">
      <x v="1101"/>
    </i>
    <i t="data" r="0" i="0">
      <x v="999"/>
    </i>
    <i t="data" r="0" i="0">
      <x v="1103"/>
    </i>
    <i t="data" r="0" i="0">
      <x v="1143"/>
    </i>
    <i t="data" r="0" i="0">
      <x v="893"/>
    </i>
    <i t="data" r="0" i="0">
      <x v="861"/>
    </i>
    <i t="data" r="0" i="0">
      <x v="894"/>
    </i>
    <i t="data" r="0" i="0">
      <x v="1002"/>
    </i>
    <i t="data" r="0" i="0">
      <x v="1109"/>
    </i>
    <i t="data" r="0" i="0">
      <x v="1003"/>
    </i>
    <i t="data" r="0" i="0">
      <x v="1113"/>
    </i>
    <i t="data" r="0" i="0">
      <x v="1004"/>
    </i>
    <i t="data" r="0" i="0">
      <x v="1115"/>
    </i>
    <i t="data" r="0" i="0">
      <x v="1005"/>
    </i>
    <i t="data" r="0" i="0">
      <x v="1117"/>
    </i>
    <i t="data" r="0" i="0">
      <x v="879"/>
    </i>
    <i t="data" r="0" i="0">
      <x v="1119"/>
    </i>
    <i t="data" r="0" i="0">
      <x v="1007"/>
    </i>
    <i t="data" r="0" i="0">
      <x v="1121"/>
    </i>
    <i t="data" r="0" i="0">
      <x v="1008"/>
    </i>
    <i t="data" r="0" i="0">
      <x v="1123"/>
    </i>
    <i t="data" r="0" i="0">
      <x v="1009"/>
    </i>
    <i t="data" r="0" i="0">
      <x v="865"/>
    </i>
    <i t="data" r="0" i="0">
      <x v="1010"/>
    </i>
    <i t="data" r="0" i="0">
      <x v="1127"/>
    </i>
    <i t="data" r="0" i="0">
      <x v="1011"/>
    </i>
    <i t="data" r="0" i="0">
      <x v="1129"/>
    </i>
    <i t="data" r="0" i="0">
      <x v="1012"/>
    </i>
    <i t="data" r="0" i="0">
      <x v="1131"/>
    </i>
    <i t="data" r="0" i="0">
      <x v="1013"/>
    </i>
    <i t="data" r="0" i="0">
      <x v="1133"/>
    </i>
    <i t="data" r="0" i="0">
      <x v="1014"/>
    </i>
    <i t="data" r="0" i="0">
      <x v="1135"/>
    </i>
    <i t="data" r="0" i="0">
      <x v="1015"/>
    </i>
    <i t="data" r="0" i="0">
      <x v="1137"/>
    </i>
    <i t="data" r="0" i="0">
      <x v="1016"/>
    </i>
    <i t="data" r="0" i="0">
      <x v="1139"/>
    </i>
    <i t="data" r="0" i="0">
      <x v="1017"/>
    </i>
    <i t="data" r="0" i="0">
      <x v="1141"/>
    </i>
    <i t="data" r="0" i="0">
      <x v="1018"/>
    </i>
    <i t="data" r="0" i="0">
      <x v="900"/>
    </i>
    <i t="data" r="0" i="0">
      <x v="1019"/>
    </i>
    <i t="data" r="0" i="0">
      <x v="1001"/>
    </i>
    <i t="data" r="0" i="0">
      <x v="751"/>
    </i>
    <i t="data" r="0" i="0">
      <x v="816"/>
    </i>
    <i t="data" r="0" i="0">
      <x v="783"/>
    </i>
    <i t="data" r="0" i="0">
      <x v="617"/>
    </i>
    <i t="data" r="0" i="0">
      <x v="850"/>
    </i>
    <i t="data" r="0" i="0">
      <x v="618"/>
    </i>
    <i t="data" r="0" i="0">
      <x v="767"/>
    </i>
    <i t="data" r="0" i="0">
      <x v="619"/>
    </i>
    <i t="data" r="0" i="0">
      <x v="800"/>
    </i>
    <i t="data" r="0" i="0">
      <x v="620"/>
    </i>
    <i t="data" r="0" i="0">
      <x v="613"/>
    </i>
    <i t="data" r="0" i="0">
      <x v="579"/>
    </i>
    <i t="data" r="0" i="0">
      <x v="743"/>
    </i>
    <i t="data" r="0" i="0">
      <x v="580"/>
    </i>
    <i t="data" r="0" i="0">
      <x v="759"/>
    </i>
    <i t="data" r="0" i="0">
      <x v="624"/>
    </i>
    <i t="data" r="0" i="0">
      <x v="604"/>
    </i>
    <i t="data" r="0" i="0">
      <x v="582"/>
    </i>
    <i t="data" r="0" i="0">
      <x v="792"/>
    </i>
    <i t="data" r="0" i="0">
      <x v="629"/>
    </i>
    <i t="data" r="0" i="0">
      <x v="609"/>
    </i>
    <i t="data" r="0" i="0">
      <x v="630"/>
    </i>
    <i t="data" r="0" i="0">
      <x v="825"/>
    </i>
    <i t="data" r="0" i="0">
      <x v="631"/>
    </i>
    <i t="data" r="0" i="0">
      <x v="841"/>
    </i>
    <i t="data" r="0" i="0">
      <x v="632"/>
    </i>
    <i t="data" r="0" i="0">
      <x v="858"/>
    </i>
    <i t="data" r="0" i="0">
      <x v="633"/>
    </i>
    <i t="data" r="0" i="0">
      <x v="599"/>
    </i>
    <i t="data" r="0" i="0">
      <x v="634"/>
    </i>
    <i t="data" r="0" i="0">
      <x v="755"/>
    </i>
    <i t="data" r="0" i="0">
      <x v="635"/>
    </i>
    <i t="data" r="0" i="0">
      <x v="763"/>
    </i>
    <i t="data" r="0" i="0">
      <x v="636"/>
    </i>
    <i t="data" r="0" i="0">
      <x v="771"/>
    </i>
    <i t="data" r="0" i="0">
      <x v="637"/>
    </i>
    <i t="data" r="0" i="0">
      <x v="779"/>
    </i>
    <i t="data" r="0" i="0">
      <x v="638"/>
    </i>
    <i t="data" r="0" i="0">
      <x v="787"/>
    </i>
    <i t="data" r="0" i="0">
      <x v="639"/>
    </i>
    <i t="data" r="0" i="0">
      <x v="796"/>
    </i>
    <i t="data" r="0" i="0">
      <x v="640"/>
    </i>
    <i t="data" r="0" i="0">
      <x v="804"/>
    </i>
    <i t="data" r="0" i="0">
      <x v="641"/>
    </i>
    <i t="data" r="0" i="0">
      <x v="812"/>
    </i>
    <i t="data" r="0" i="0">
      <x v="642"/>
    </i>
    <i t="data" r="0" i="0">
      <x v="820"/>
    </i>
    <i t="data" r="0" i="0">
      <x v="575"/>
    </i>
    <i t="data" r="0" i="0">
      <x v="612"/>
    </i>
    <i t="data" r="0" i="0">
      <x v="644"/>
    </i>
    <i t="data" r="0" i="0">
      <x v="837"/>
    </i>
    <i t="data" r="0" i="0">
      <x v="645"/>
    </i>
    <i t="data" r="0" i="0">
      <x v="846"/>
    </i>
    <i t="data" r="0" i="0">
      <x v="646"/>
    </i>
    <i t="data" r="0" i="0">
      <x v="615"/>
    </i>
    <i t="data" r="0" i="0">
      <x v="647"/>
    </i>
    <i t="data" r="0" i="0">
      <x v="741"/>
    </i>
    <i t="data" r="0" i="0">
      <x v="648"/>
    </i>
    <i t="data" r="0" i="0">
      <x v="745"/>
    </i>
    <i t="data" r="0" i="0">
      <x v="586"/>
    </i>
    <i t="data" r="0" i="0">
      <x v="749"/>
    </i>
    <i t="data" r="0" i="0">
      <x v="650"/>
    </i>
    <i t="data" r="0" i="0">
      <x v="753"/>
    </i>
    <i t="data" r="0" i="0">
      <x v="651"/>
    </i>
    <i t="data" r="0" i="0">
      <x v="757"/>
    </i>
    <i t="data" r="0" i="0">
      <x v="652"/>
    </i>
    <i t="data" r="0" i="0">
      <x v="761"/>
    </i>
    <i t="data" r="0" i="0">
      <x v="653"/>
    </i>
    <i t="data" r="0" i="0">
      <x v="602"/>
    </i>
    <i t="data" r="0" i="0">
      <x v="654"/>
    </i>
    <i t="data" r="0" i="0">
      <x v="769"/>
    </i>
    <i t="data" r="0" i="0">
      <x v="655"/>
    </i>
    <i t="data" r="0" i="0">
      <x v="773"/>
    </i>
    <i t="data" r="0" i="0">
      <x v="656"/>
    </i>
    <i t="data" r="0" i="0">
      <x v="777"/>
    </i>
    <i t="data" r="0" i="0">
      <x v="657"/>
    </i>
    <i t="data" r="0" i="0">
      <x v="781"/>
    </i>
    <i t="data" r="0" i="0">
      <x v="658"/>
    </i>
    <i t="data" r="0" i="0">
      <x v="785"/>
    </i>
    <i t="data" r="0" i="0">
      <x v="659"/>
    </i>
    <i t="data" r="0" i="0">
      <x v="790"/>
    </i>
    <i t="data" r="0" i="0">
      <x v="661"/>
    </i>
    <i t="data" r="0" i="0">
      <x v="606"/>
    </i>
    <i t="data" r="0" i="0">
      <x v="662"/>
    </i>
    <i t="data" r="0" i="0">
      <x v="798"/>
    </i>
    <i t="data" r="0" i="0">
      <x v="663"/>
    </i>
    <i t="data" r="0" i="0">
      <x v="802"/>
    </i>
    <i t="data" r="0" i="0">
      <x v="587"/>
    </i>
    <i t="data" r="0" i="0">
      <x v="806"/>
    </i>
    <i t="data" r="0" i="0">
      <x v="665"/>
    </i>
    <i t="data" r="0" i="0">
      <x v="810"/>
    </i>
    <i t="data" r="0" i="0">
      <x v="666"/>
    </i>
    <i t="data" r="0" i="0">
      <x v="814"/>
    </i>
    <i t="data" r="0" i="0">
      <x v="667"/>
    </i>
    <i t="data" r="0" i="0">
      <x v="611"/>
    </i>
    <i t="data" r="0" i="0">
      <x v="668"/>
    </i>
    <i t="data" r="0" i="0">
      <x v="823"/>
    </i>
    <i t="data" r="0" i="0">
      <x v="669"/>
    </i>
    <i t="data" r="0" i="0">
      <x v="827"/>
    </i>
    <i t="data" r="0" i="0">
      <x v="670"/>
    </i>
    <i t="data" r="0" i="0">
      <x v="831"/>
    </i>
    <i t="data" r="0" i="0">
      <x v="671"/>
    </i>
    <i t="data" r="0" i="0">
      <x v="835"/>
    </i>
    <i t="data" r="0" i="0">
      <x v="672"/>
    </i>
    <i t="data" r="0" i="0">
      <x v="839"/>
    </i>
    <i t="data" r="0" i="0">
      <x v="673"/>
    </i>
    <i t="data" r="0" i="0">
      <x v="843"/>
    </i>
    <i t="data" r="0" i="0">
      <x v="674"/>
    </i>
    <i t="data" r="0" i="0">
      <x v="848"/>
    </i>
    <i t="data" r="0" i="0">
      <x v="576"/>
    </i>
    <i t="data" r="0" i="0">
      <x v="852"/>
    </i>
    <i t="data" r="0" i="0">
      <x v="676"/>
    </i>
    <i t="data" r="0" i="0">
      <x v="856"/>
    </i>
    <i t="data" r="0" i="0">
      <x v="677"/>
    </i>
    <i t="data" r="0" i="0">
      <x v="616"/>
    </i>
    <i t="data" r="0" i="0">
      <x v="678"/>
    </i>
    <i t="data" r="0" i="0">
      <x v="742"/>
    </i>
    <i t="data" r="0" i="0">
      <x v="679"/>
    </i>
    <i t="data" r="0" i="0">
      <x v="744"/>
    </i>
    <i t="data" r="0" i="0">
      <x v="681"/>
    </i>
    <i t="data" r="0" i="0">
      <x v="598"/>
    </i>
    <i t="data" r="0" i="0">
      <x v="682"/>
    </i>
    <i t="data" r="0" i="0">
      <x v="748"/>
    </i>
    <i t="data" r="0" i="0">
      <x v="683"/>
    </i>
    <i t="data" r="0" i="0">
      <x v="600"/>
    </i>
    <i t="data" r="0" i="0">
      <x v="684"/>
    </i>
    <i t="data" r="0" i="0">
      <x v="752"/>
    </i>
    <i t="data" r="0" i="0">
      <x v="685"/>
    </i>
    <i t="data" r="0" i="0">
      <x v="754"/>
    </i>
    <i t="data" r="0" i="0">
      <x v="686"/>
    </i>
    <i t="data" r="0" i="0">
      <x v="601"/>
    </i>
    <i t="data" r="0" i="0">
      <x v="687"/>
    </i>
    <i t="data" r="0" i="0">
      <x v="758"/>
    </i>
    <i t="data" r="0" i="0">
      <x v="688"/>
    </i>
    <i t="data" r="0" i="0">
      <x v="760"/>
    </i>
    <i t="data" r="0" i="0">
      <x v="689"/>
    </i>
    <i t="data" r="0" i="0">
      <x v="762"/>
    </i>
    <i t="data" r="0" i="0">
      <x v="690"/>
    </i>
    <i t="data" r="0" i="0">
      <x v="764"/>
    </i>
    <i t="data" r="0" i="0">
      <x v="691"/>
    </i>
    <i t="data" r="0" i="0">
      <x v="603"/>
    </i>
    <i t="data" r="0" i="0">
      <x v="692"/>
    </i>
    <i t="data" r="0" i="0">
      <x v="768"/>
    </i>
    <i t="data" r="0" i="0">
      <x v="693"/>
    </i>
    <i t="data" r="0" i="0">
      <x v="770"/>
    </i>
    <i t="data" r="0" i="0">
      <x v="694"/>
    </i>
    <i t="data" r="0" i="0">
      <x v="772"/>
    </i>
    <i t="data" r="0" i="0">
      <x v="695"/>
    </i>
    <i t="data" r="0" i="0">
      <x v="774"/>
    </i>
    <i t="data" r="0" i="0">
      <x v="696"/>
    </i>
    <i t="data" r="0" i="0">
      <x v="776"/>
    </i>
    <i t="data" r="0" i="0">
      <x v="697"/>
    </i>
    <i t="data" r="0" i="0">
      <x v="778"/>
    </i>
    <i t="data" r="0" i="0">
      <x v="698"/>
    </i>
    <i t="data" r="0" i="0">
      <x v="780"/>
    </i>
    <i t="data" r="0" i="0">
      <x v="699"/>
    </i>
    <i t="data" r="0" i="0">
      <x v="782"/>
    </i>
    <i t="data" r="0" i="0">
      <x v="589"/>
    </i>
    <i t="data" r="0" i="0">
      <x v="784"/>
    </i>
    <i t="data" r="0" i="0">
      <x v="702"/>
    </i>
    <i t="data" r="0" i="0">
      <x v="786"/>
    </i>
    <i t="data" r="0" i="0">
      <x v="703"/>
    </i>
    <i t="data" r="0" i="0">
      <x v="605"/>
    </i>
    <i t="data" r="0" i="0">
      <x v="704"/>
    </i>
    <i t="data" r="0" i="0">
      <x v="791"/>
    </i>
    <i t="data" r="0" i="0">
      <x v="705"/>
    </i>
    <i t="data" r="0" i="0">
      <x v="793"/>
    </i>
    <i t="data" r="0" i="0">
      <x v="706"/>
    </i>
    <i t="data" r="0" i="0">
      <x v="795"/>
    </i>
    <i t="data" r="0" i="0">
      <x v="707"/>
    </i>
    <i t="data" r="0" i="0">
      <x v="797"/>
    </i>
    <i t="data" r="0" i="0">
      <x v="708"/>
    </i>
    <i t="data" r="0" i="0">
      <x v="608"/>
    </i>
    <i t="data" r="0" i="0">
      <x v="590"/>
    </i>
    <i t="data" r="0" i="0">
      <x v="801"/>
    </i>
    <i t="data" r="0" i="0">
      <x v="710"/>
    </i>
    <i t="data" r="0" i="0">
      <x v="803"/>
    </i>
    <i t="data" r="0" i="0">
      <x v="711"/>
    </i>
    <i t="data" r="0" i="0">
      <x v="805"/>
    </i>
    <i t="data" r="0" i="0">
      <x v="712"/>
    </i>
    <i t="data" r="0" i="0">
      <x v="807"/>
    </i>
    <i t="data" r="0" i="0">
      <x v="713"/>
    </i>
    <i t="data" r="0" i="0">
      <x v="809"/>
    </i>
    <i t="data" r="0" i="0">
      <x v="714"/>
    </i>
    <i t="data" r="0" i="0">
      <x v="610"/>
    </i>
    <i t="data" r="0" i="0">
      <x v="591"/>
    </i>
    <i t="data" r="0" i="0">
      <x v="813"/>
    </i>
    <i t="data" r="0" i="0">
      <x v="592"/>
    </i>
    <i t="data" r="0" i="0">
      <x v="815"/>
    </i>
    <i t="data" r="0" i="0">
      <x v="717"/>
    </i>
    <i t="data" r="0" i="0">
      <x v="817"/>
    </i>
    <i t="data" r="0" i="0">
      <x v="573"/>
    </i>
    <i t="data" r="0" i="0">
      <x v="819"/>
    </i>
    <i t="data" r="0" i="0">
      <x v="860"/>
    </i>
    <i t="data" r="0" i="0">
      <x v="822"/>
    </i>
    <i t="data" r="0" i="0">
      <x v="721"/>
    </i>
    <i t="data" r="0" i="0">
      <x v="824"/>
    </i>
    <i t="data" r="0" i="0">
      <x v="722"/>
    </i>
    <i t="data" r="0" i="0">
      <x v="826"/>
    </i>
    <i t="data" r="0" i="0">
      <x v="595"/>
    </i>
    <i t="data" r="0" i="0">
      <x v="828"/>
    </i>
    <i t="data" r="0" i="0">
      <x v="724"/>
    </i>
    <i t="data" r="0" i="0">
      <x v="830"/>
    </i>
    <i t="data" r="0" i="0">
      <x v="725"/>
    </i>
    <i t="data" r="0" i="0">
      <x v="832"/>
    </i>
    <i t="data" r="0" i="0">
      <x v="726"/>
    </i>
    <i t="data" r="0" i="0">
      <x v="834"/>
    </i>
    <i t="data" r="0" i="0">
      <x v="727"/>
    </i>
    <i t="data" r="0" i="0">
      <x v="836"/>
    </i>
    <i t="data" r="0" i="0">
      <x v="728"/>
    </i>
    <i t="data" r="0" i="0">
      <x v="838"/>
    </i>
    <i t="data" r="0" i="0">
      <x v="729"/>
    </i>
    <i t="data" r="0" i="0">
      <x v="840"/>
    </i>
    <i t="data" r="0" i="0">
      <x v="730"/>
    </i>
    <i t="data" r="0" i="0">
      <x v="842"/>
    </i>
    <i t="data" r="0" i="0">
      <x v="731"/>
    </i>
    <i t="data" r="0" i="0">
      <x v="614"/>
    </i>
    <i t="data" r="0" i="0">
      <x v="732"/>
    </i>
    <i t="data" r="0" i="0">
      <x v="847"/>
    </i>
    <i t="data" r="0" i="0">
      <x v="733"/>
    </i>
    <i t="data" r="0" i="0">
      <x v="849"/>
    </i>
    <i t="data" r="0" i="0">
      <x v="734"/>
    </i>
    <i t="data" r="0" i="0">
      <x v="851"/>
    </i>
    <i t="data" r="0" i="0">
      <x v="596"/>
    </i>
    <i t="data" r="0" i="0">
      <x v="853"/>
    </i>
    <i t="data" r="0" i="0">
      <x v="736"/>
    </i>
    <i t="data" r="0" i="0">
      <x v="855"/>
    </i>
    <i t="data" r="0" i="0">
      <x v="737"/>
    </i>
    <i t="data" r="0" i="0">
      <x v="857"/>
    </i>
    <i t="data" r="0" i="0">
      <x v="574"/>
    </i>
    <i t="data" r="0" i="0">
      <x v="859"/>
    </i>
    <i t="data" r="0" i="0">
      <x v="739"/>
    </i>
    <i t="data" r="0" i="0">
      <x v="740"/>
    </i>
    <i t="data" r="0" i="0">
      <x v="720"/>
    </i>
    <i t="data" r="0" i="0">
      <x v="486"/>
    </i>
    <i t="data" r="0" i="0">
      <x v="341"/>
    </i>
    <i t="data" r="0" i="0">
      <x v="518"/>
    </i>
    <i t="data" r="0" i="0">
      <x v="350"/>
    </i>
    <i t="data" r="0" i="0">
      <x v="325"/>
    </i>
    <i t="data" r="0" i="0">
      <x v="351"/>
    </i>
    <i t="data" r="0" i="0">
      <x v="502"/>
    </i>
    <i t="data" r="0" i="0">
      <x v="352"/>
    </i>
    <i t="data" r="0" i="0">
      <x v="535"/>
    </i>
    <i t="data" r="0" i="0">
      <x v="353"/>
    </i>
    <i t="data" r="0" i="0">
      <x v="567"/>
    </i>
    <i t="data" r="0" i="0">
      <x v="354"/>
    </i>
    <i t="data" r="0" i="0">
      <x v="473"/>
    </i>
    <i t="data" r="0" i="0">
      <x v="355"/>
    </i>
    <i t="data" r="0" i="0">
      <x v="331"/>
    </i>
    <i t="data" r="0" i="0">
      <x v="356"/>
    </i>
    <i t="data" r="0" i="0">
      <x v="510"/>
    </i>
    <i t="data" r="0" i="0">
      <x v="357"/>
    </i>
    <i t="data" r="0" i="0">
      <x v="527"/>
    </i>
    <i t="data" r="0" i="0">
      <x v="358"/>
    </i>
    <i t="data" r="0" i="0">
      <x v="298"/>
    </i>
    <i t="data" r="0" i="0">
      <x v="360"/>
    </i>
    <i t="data" r="0" i="0">
      <x v="559"/>
    </i>
    <i t="data" r="0" i="0">
      <x v="361"/>
    </i>
    <i t="data" r="0" i="0">
      <x v="461"/>
    </i>
    <i t="data" r="0" i="0">
      <x v="362"/>
    </i>
    <i t="data" r="0" i="0">
      <x v="327"/>
    </i>
    <i t="data" r="0" i="0">
      <x v="363"/>
    </i>
    <i t="data" r="0" i="0">
      <x v="481"/>
    </i>
    <i t="data" r="0" i="0">
      <x v="364"/>
    </i>
    <i t="data" r="0" i="0">
      <x v="490"/>
    </i>
    <i t="data" r="0" i="0">
      <x v="288"/>
    </i>
    <i t="data" r="0" i="0">
      <x v="333"/>
    </i>
    <i t="data" r="0" i="0">
      <x v="289"/>
    </i>
    <i t="data" r="0" i="0">
      <x v="506"/>
    </i>
    <i t="data" r="0" i="0">
      <x v="367"/>
    </i>
    <i t="data" r="0" i="0">
      <x v="514"/>
    </i>
    <i t="data" r="0" i="0">
      <x v="368"/>
    </i>
    <i t="data" r="0" i="0">
      <x v="523"/>
    </i>
    <i t="data" r="0" i="0">
      <x v="370"/>
    </i>
    <i t="data" r="0" i="0">
      <x v="531"/>
    </i>
    <i t="data" r="0" i="0">
      <x v="302"/>
    </i>
    <i t="data" r="0" i="0">
      <x v="539"/>
    </i>
    <i t="data" r="0" i="0">
      <x v="303"/>
    </i>
    <i t="data" r="0" i="0">
      <x v="340"/>
    </i>
    <i t="data" r="0" i="0">
      <x v="374"/>
    </i>
    <i t="data" r="0" i="0">
      <x v="343"/>
    </i>
    <i t="data" r="0" i="0">
      <x v="304"/>
    </i>
    <i t="data" r="0" i="0">
      <x v="563"/>
    </i>
    <i t="data" r="0" i="0">
      <x v="295"/>
    </i>
    <i t="data" r="0" i="0">
      <x v="459"/>
    </i>
    <i t="data" r="0" i="0">
      <x v="306"/>
    </i>
    <i t="data" r="0" i="0">
      <x v="463"/>
    </i>
    <i t="data" r="0" i="0">
      <x v="378"/>
    </i>
    <i t="data" r="0" i="0">
      <x v="467"/>
    </i>
    <i t="data" r="0" i="0">
      <x v="379"/>
    </i>
    <i t="data" r="0" i="0">
      <x v="471"/>
    </i>
    <i t="data" r="0" i="0">
      <x v="380"/>
    </i>
    <i t="data" r="0" i="0">
      <x v="475"/>
    </i>
    <i t="data" r="0" i="0">
      <x v="381"/>
    </i>
    <i t="data" r="0" i="0">
      <x v="483"/>
    </i>
    <i t="data" r="0" i="0">
      <x v="382"/>
    </i>
    <i t="data" r="0" i="0">
      <x v="329"/>
    </i>
    <i t="data" r="0" i="0">
      <x v="383"/>
    </i>
    <i t="data" r="0" i="0">
      <x v="330"/>
    </i>
    <i t="data" r="0" i="0">
      <x v="384"/>
    </i>
    <i t="data" r="0" i="0">
      <x v="292"/>
    </i>
    <i t="data" r="0" i="0">
      <x v="307"/>
    </i>
    <i t="data" r="0" i="0">
      <x v="500"/>
    </i>
    <i t="data" r="0" i="0">
      <x v="387"/>
    </i>
    <i t="data" r="0" i="0">
      <x v="504"/>
    </i>
    <i t="data" r="0" i="0">
      <x v="388"/>
    </i>
    <i t="data" r="0" i="0">
      <x v="508"/>
    </i>
    <i t="data" r="0" i="0">
      <x v="308"/>
    </i>
    <i t="data" r="0" i="0">
      <x v="512"/>
    </i>
    <i t="data" r="0" i="0">
      <x v="390"/>
    </i>
    <i t="data" r="0" i="0">
      <x v="516"/>
    </i>
    <i t="data" r="0" i="0">
      <x v="391"/>
    </i>
    <i t="data" r="0" i="0">
      <x v="520"/>
    </i>
    <i t="data" r="0" i="0">
      <x v="392"/>
    </i>
    <i t="data" r="0" i="0">
      <x v="525"/>
    </i>
    <i t="data" r="0" i="0">
      <x v="393"/>
    </i>
    <i t="data" r="0" i="0">
      <x v="529"/>
    </i>
    <i t="data" r="0" i="0">
      <x v="395"/>
    </i>
    <i t="data" r="0" i="0">
      <x v="294"/>
    </i>
    <i t="data" r="0" i="0">
      <x v="290"/>
    </i>
    <i t="data" r="0" i="0">
      <x v="537"/>
    </i>
    <i t="data" r="0" i="0">
      <x v="397"/>
    </i>
    <i t="data" r="0" i="0">
      <x v="541"/>
    </i>
    <i t="data" r="0" i="0">
      <x v="398"/>
    </i>
    <i t="data" r="0" i="0">
      <x v="545"/>
    </i>
    <i t="data" r="0" i="0">
      <x v="399"/>
    </i>
    <i t="data" r="0" i="0">
      <x v="549"/>
    </i>
    <i t="data" r="0" i="0">
      <x v="400"/>
    </i>
    <i t="data" r="0" i="0">
      <x v="553"/>
    </i>
    <i t="data" r="0" i="0">
      <x v="401"/>
    </i>
    <i t="data" r="0" i="0">
      <x v="557"/>
    </i>
    <i t="data" r="0" i="0">
      <x v="309"/>
    </i>
    <i t="data" r="0" i="0">
      <x v="345"/>
    </i>
    <i t="data" r="0" i="0">
      <x v="403"/>
    </i>
    <i t="data" r="0" i="0">
      <x v="565"/>
    </i>
    <i t="data" r="0" i="0">
      <x v="404"/>
    </i>
    <i t="data" r="0" i="0">
      <x v="569"/>
    </i>
    <i t="data" r="0" i="0">
      <x v="310"/>
    </i>
    <i t="data" r="0" i="0">
      <x v="323"/>
    </i>
    <i t="data" r="0" i="0">
      <x v="406"/>
    </i>
    <i t="data" r="0" i="0">
      <x v="324"/>
    </i>
    <i t="data" r="0" i="0">
      <x v="407"/>
    </i>
    <i t="data" r="0" i="0">
      <x v="464"/>
    </i>
    <i t="data" r="0" i="0">
      <x v="408"/>
    </i>
    <i t="data" r="0" i="0">
      <x v="466"/>
    </i>
    <i t="data" r="0" i="0">
      <x v="409"/>
    </i>
    <i t="data" r="0" i="0">
      <x v="326"/>
    </i>
    <i t="data" r="0" i="0">
      <x v="410"/>
    </i>
    <i t="data" r="0" i="0">
      <x v="470"/>
    </i>
    <i t="data" r="0" i="0">
      <x v="311"/>
    </i>
    <i t="data" r="0" i="0">
      <x v="472"/>
    </i>
    <i t="data" r="0" i="0">
      <x v="412"/>
    </i>
    <i t="data" r="0" i="0">
      <x v="474"/>
    </i>
    <i t="data" r="0" i="0">
      <x v="413"/>
    </i>
    <i t="data" r="0" i="0">
      <x v="328"/>
    </i>
    <i t="data" r="0" i="0">
      <x v="414"/>
    </i>
    <i t="data" r="0" i="0">
      <x v="482"/>
    </i>
    <i t="data" r="0" i="0">
      <x v="415"/>
    </i>
    <i t="data" r="0" i="0">
      <x v="485"/>
    </i>
    <i t="data" r="0" i="0">
      <x v="416"/>
    </i>
    <i t="data" r="0" i="0">
      <x v="487"/>
    </i>
    <i t="data" r="0" i="0">
      <x v="417"/>
    </i>
    <i t="data" r="0" i="0">
      <x v="489"/>
    </i>
    <i t="data" r="0" i="0">
      <x v="418"/>
    </i>
    <i t="data" r="0" i="0">
      <x v="491"/>
    </i>
    <i t="data" r="0" i="0">
      <x v="419"/>
    </i>
    <i t="data" r="0" i="0">
      <x v="493"/>
    </i>
    <i t="data" r="0" i="0">
      <x v="420"/>
    </i>
    <i t="data" r="0" i="0">
      <x v="495"/>
    </i>
    <i t="data" r="0" i="0">
      <x v="421"/>
    </i>
    <i t="data" r="0" i="0">
      <x v="332"/>
    </i>
    <i t="data" r="0" i="0">
      <x v="422"/>
    </i>
    <i t="data" r="0" i="0">
      <x v="499"/>
    </i>
    <i t="data" r="0" i="0">
      <x v="423"/>
    </i>
    <i t="data" r="0" i="0">
      <x v="501"/>
    </i>
    <i t="data" r="0" i="0">
      <x v="424"/>
    </i>
    <i t="data" r="0" i="0">
      <x v="503"/>
    </i>
    <i t="data" r="0" i="0">
      <x v="425"/>
    </i>
    <i t="data" r="0" i="0">
      <x v="505"/>
    </i>
    <i t="data" r="0" i="0">
      <x v="426"/>
    </i>
    <i t="data" r="0" i="0">
      <x v="507"/>
    </i>
    <i t="data" r="0" i="0">
      <x v="427"/>
    </i>
    <i t="data" r="0" i="0">
      <x v="509"/>
    </i>
    <i t="data" r="0" i="0">
      <x v="287"/>
    </i>
    <i t="data" r="0" i="0">
      <x v="334"/>
    </i>
    <i t="data" r="0" i="0">
      <x v="312"/>
    </i>
    <i t="data" r="0" i="0">
      <x v="513"/>
    </i>
    <i t="data" r="0" i="0">
      <x v="430"/>
    </i>
    <i t="data" r="0" i="0">
      <x v="515"/>
    </i>
    <i t="data" r="0" i="0">
      <x v="570"/>
    </i>
    <i t="data" r="0" i="0">
      <x v="517"/>
    </i>
    <i t="data" r="0" i="0">
      <x v="432"/>
    </i>
    <i t="data" r="0" i="0">
      <x v="519"/>
    </i>
    <i t="data" r="0" i="0">
      <x v="313"/>
    </i>
    <i t="data" r="0" i="0">
      <x v="521"/>
    </i>
    <i t="data" r="0" i="0">
      <x v="434"/>
    </i>
    <i t="data" r="0" i="0">
      <x v="524"/>
    </i>
    <i t="data" r="0" i="0">
      <x v="296"/>
    </i>
    <i t="data" r="0" i="0">
      <x v="526"/>
    </i>
    <i t="data" r="0" i="0">
      <x v="315"/>
    </i>
    <i t="data" r="0" i="0">
      <x v="528"/>
    </i>
    <i t="data" r="0" i="0">
      <x v="437"/>
    </i>
    <i t="data" r="0" i="0">
      <x v="530"/>
    </i>
    <i t="data" r="0" i="0">
      <x v="316"/>
    </i>
    <i t="data" r="0" i="0">
      <x v="532"/>
    </i>
    <i t="data" r="0" i="0">
      <x v="439"/>
    </i>
    <i t="data" r="0" i="0">
      <x v="534"/>
    </i>
    <i t="data" r="0" i="0">
      <x v="317"/>
    </i>
    <i t="data" r="0" i="0">
      <x v="336"/>
    </i>
    <i t="data" r="0" i="0">
      <x v="441"/>
    </i>
    <i t="data" r="0" i="0">
      <x v="337"/>
    </i>
    <i t="data" r="0" i="0">
      <x v="318"/>
    </i>
    <i t="data" r="0" i="0">
      <x v="540"/>
    </i>
    <i t="data" r="0" i="0">
      <x v="443"/>
    </i>
    <i t="data" r="0" i="0">
      <x v="338"/>
    </i>
    <i t="data" r="0" i="0">
      <x v="319"/>
    </i>
    <i t="data" r="0" i="0">
      <x v="544"/>
    </i>
    <i t="data" r="0" i="0">
      <x v="445"/>
    </i>
    <i t="data" r="0" i="0">
      <x v="546"/>
    </i>
    <i t="data" r="0" i="0">
      <x v="446"/>
    </i>
    <i t="data" r="0" i="0">
      <x v="548"/>
    </i>
    <i t="data" r="0" i="0">
      <x v="447"/>
    </i>
    <i t="data" r="0" i="0">
      <x v="550"/>
    </i>
    <i t="data" r="0" i="0">
      <x v="448"/>
    </i>
    <i t="data" r="0" i="0">
      <x v="552"/>
    </i>
    <i t="data" r="0" i="0">
      <x v="320"/>
    </i>
    <i t="data" r="0" i="0">
      <x v="342"/>
    </i>
    <i t="data" r="0" i="0">
      <x v="450"/>
    </i>
    <i t="data" r="0" i="0">
      <x v="556"/>
    </i>
    <i t="data" r="0" i="0">
      <x v="451"/>
    </i>
    <i t="data" r="0" i="0">
      <x v="558"/>
    </i>
    <i t="data" r="0" i="0">
      <x v="452"/>
    </i>
    <i t="data" r="0" i="0">
      <x v="344"/>
    </i>
    <i t="data" r="0" i="0">
      <x v="453"/>
    </i>
    <i t="data" r="0" i="0">
      <x v="562"/>
    </i>
    <i t="data" r="0" i="0">
      <x v="454"/>
    </i>
    <i t="data" r="0" i="0">
      <x v="346"/>
    </i>
    <i t="data" r="0" i="0">
      <x v="455"/>
    </i>
    <i t="data" r="0" i="0">
      <x v="347"/>
    </i>
    <i t="data" r="0" i="0">
      <x v="321"/>
    </i>
    <i t="data" r="0" i="0">
      <x v="568"/>
    </i>
    <i t="data" r="0" i="0">
      <x v="457"/>
    </i>
    <i t="data" r="0" i="0">
      <x v="299"/>
    </i>
    <i t="data" r="0" i="0">
      <x v="322"/>
    </i>
    <i t="data" r="0" i="0">
      <x v="431"/>
    </i>
    <i t="data" r="0" i="0">
      <x v="184"/>
    </i>
    <i t="data" r="0" i="0">
      <x v="6"/>
    </i>
    <i t="data" r="0" i="0">
      <x v="218"/>
    </i>
    <i t="data" r="0" i="0">
      <x v="48"/>
    </i>
    <i t="data" r="0" i="0">
      <x v="168"/>
    </i>
    <i t="data" r="0" i="0">
      <x v="49"/>
    </i>
    <i t="data" r="0" i="0">
      <x v="201"/>
    </i>
    <i t="data" r="0" i="0">
      <x v="50"/>
    </i>
    <i t="data" r="0" i="0">
      <x v="234"/>
    </i>
    <i t="data" r="0" i="0">
      <x v="52"/>
    </i>
    <i t="data" r="0" i="0">
      <x v="266"/>
    </i>
    <i t="data" r="0" i="0">
      <x v="53"/>
    </i>
    <i t="data" r="0" i="0">
      <x v="176"/>
    </i>
    <i t="data" r="0" i="0">
      <x v="54"/>
    </i>
    <i t="data" r="0" i="0">
      <x v="193"/>
    </i>
    <i t="data" r="0" i="0">
      <x v="55"/>
    </i>
    <i t="data" r="0" i="0">
      <x v="210"/>
    </i>
    <i t="data" r="0" i="0">
      <x v="56"/>
    </i>
    <i t="data" r="0" i="0">
      <x v="226"/>
    </i>
    <i t="data" r="0" i="0">
      <x v="57"/>
    </i>
    <i t="data" r="0" i="0">
      <x v="242"/>
    </i>
    <i t="data" r="0" i="0">
      <x v="58"/>
    </i>
    <i t="data" r="0" i="0">
      <x v="258"/>
    </i>
    <i t="data" r="0" i="0">
      <x v="59"/>
    </i>
    <i t="data" r="0" i="0">
      <x v="274"/>
    </i>
    <i t="data" r="0" i="0">
      <x v="60"/>
    </i>
    <i t="data" r="0" i="0">
      <x v="172"/>
    </i>
    <i t="data" r="0" i="0">
      <x v="61"/>
    </i>
    <i t="data" r="0" i="0">
      <x v="180"/>
    </i>
    <i t="data" r="0" i="0">
      <x v="62"/>
    </i>
    <i t="data" r="0" i="0">
      <x v="36"/>
    </i>
    <i t="data" r="0" i="0">
      <x v="20"/>
    </i>
    <i t="data" r="0" i="0">
      <x v="197"/>
    </i>
    <i t="data" r="0" i="0">
      <x v="64"/>
    </i>
    <i t="data" r="0" i="0">
      <x v="205"/>
    </i>
    <i t="data" r="0" i="0">
      <x v="65"/>
    </i>
    <i t="data" r="0" i="0">
      <x v="5"/>
    </i>
    <i t="data" r="0" i="0">
      <x v="21"/>
    </i>
    <i t="data" r="0" i="0">
      <x v="222"/>
    </i>
    <i t="data" r="0" i="0">
      <x v="22"/>
    </i>
    <i t="data" r="0" i="0">
      <x v="230"/>
    </i>
    <i t="data" r="0" i="0">
      <x v="3"/>
    </i>
    <i t="data" r="0" i="0">
      <x v="238"/>
    </i>
    <i t="data" r="0" i="0">
      <x v="71"/>
    </i>
    <i t="data" r="0" i="0">
      <x v="246"/>
    </i>
    <i t="data" r="0" i="0">
      <x v="72"/>
    </i>
    <i t="data" r="0" i="0">
      <x v="254"/>
    </i>
    <i t="data" r="0" i="0">
      <x v="73"/>
    </i>
    <i t="data" r="0" i="0">
      <x v="262"/>
    </i>
    <i t="data" r="0" i="0">
      <x v="23"/>
    </i>
    <i t="data" r="0" i="0">
      <x v="270"/>
    </i>
    <i t="data" r="0" i="0">
      <x v="75"/>
    </i>
    <i t="data" r="0" i="0">
      <x v="164"/>
    </i>
    <i t="data" r="0" i="0">
      <x v="76"/>
    </i>
    <i t="data" r="0" i="0">
      <x v="170"/>
    </i>
    <i t="data" r="0" i="0">
      <x v="24"/>
    </i>
    <i t="data" r="0" i="0">
      <x v="174"/>
    </i>
    <i t="data" r="0" i="0">
      <x v="78"/>
    </i>
    <i t="data" r="0" i="0">
      <x v="178"/>
    </i>
    <i t="data" r="0" i="0">
      <x v="79"/>
    </i>
    <i t="data" r="0" i="0">
      <x v="182"/>
    </i>
    <i t="data" r="0" i="0">
      <x v="80"/>
    </i>
    <i t="data" r="0" i="0">
      <x v="186"/>
    </i>
    <i t="data" r="0" i="0">
      <x v="81"/>
    </i>
    <i t="data" r="0" i="0">
      <x v="16"/>
    </i>
    <i t="data" r="0" i="0">
      <x v="82"/>
    </i>
    <i t="data" r="0" i="0">
      <x v="195"/>
    </i>
    <i t="data" r="0" i="0">
      <x v="83"/>
    </i>
    <i t="data" r="0" i="0">
      <x v="199"/>
    </i>
    <i t="data" r="0" i="0">
      <x v="84"/>
    </i>
    <i t="data" r="0" i="0">
      <x v="203"/>
    </i>
    <i t="data" r="0" i="0">
      <x v="85"/>
    </i>
    <i t="data" r="0" i="0">
      <x v="207"/>
    </i>
    <i t="data" r="0" i="0">
      <x v="86"/>
    </i>
    <i t="data" r="0" i="0">
      <x v="212"/>
    </i>
    <i t="data" r="0" i="0">
      <x v="87"/>
    </i>
    <i t="data" r="0" i="0">
      <x v="216"/>
    </i>
    <i t="data" r="0" i="0">
      <x v="88"/>
    </i>
    <i t="data" r="0" i="0">
      <x v="220"/>
    </i>
    <i t="data" r="0" i="0">
      <x v="89"/>
    </i>
    <i t="data" r="0" i="0">
      <x v="224"/>
    </i>
    <i t="data" r="0" i="0">
      <x v="90"/>
    </i>
    <i t="data" r="0" i="0">
      <x v="228"/>
    </i>
    <i t="data" r="0" i="0">
      <x v="91"/>
    </i>
    <i t="data" r="0" i="0">
      <x v="232"/>
    </i>
    <i t="data" r="0" i="0">
      <x v="92"/>
    </i>
    <i t="data" r="0" i="0">
      <x v="236"/>
    </i>
    <i t="data" r="0" i="0">
      <x v="93"/>
    </i>
    <i t="data" r="0" i="0">
      <x v="240"/>
    </i>
    <i t="data" r="0" i="0">
      <x v="94"/>
    </i>
    <i t="data" r="0" i="0">
      <x v="244"/>
    </i>
    <i t="data" r="0" i="0">
      <x v="95"/>
    </i>
    <i t="data" r="0" i="0">
      <x v="248"/>
    </i>
    <i t="data" r="0" i="0">
      <x v="96"/>
    </i>
    <i t="data" r="0" i="0">
      <x v="252"/>
    </i>
    <i t="data" r="0" i="0">
      <x v="97"/>
    </i>
    <i t="data" r="0" i="0">
      <x v="256"/>
    </i>
    <i t="data" r="0" i="0">
      <x v="98"/>
    </i>
    <i t="data" r="0" i="0">
      <x v="260"/>
    </i>
    <i t="data" r="0" i="0">
      <x v="99"/>
    </i>
    <i t="data" r="0" i="0">
      <x v="264"/>
    </i>
    <i t="data" r="0" i="0">
      <x v="100"/>
    </i>
    <i t="data" r="0" i="0">
      <x v="268"/>
    </i>
    <i t="data" r="0" i="0">
      <x v="102"/>
    </i>
    <i t="data" r="0" i="0">
      <x v="272"/>
    </i>
    <i t="data" r="0" i="0">
      <x v="103"/>
    </i>
    <i t="data" r="0" i="0">
      <x v="47"/>
    </i>
    <i t="data" r="0" i="0">
      <x v="104"/>
    </i>
    <i t="data" r="0" i="0">
      <x v="35"/>
    </i>
    <i t="data" r="0" i="0">
      <x v="25"/>
    </i>
    <i t="data" r="0" i="0">
      <x v="169"/>
    </i>
    <i t="data" r="0" i="0">
      <x v="106"/>
    </i>
    <i t="data" r="0" i="0">
      <x v="171"/>
    </i>
    <i t="data" r="0" i="0">
      <x v="13"/>
    </i>
    <i t="data" r="0" i="0">
      <x v="173"/>
    </i>
    <i t="data" r="0" i="0">
      <x v="108"/>
    </i>
    <i t="data" r="0" i="0">
      <x v="175"/>
    </i>
    <i t="data" r="0" i="0">
      <x v="4"/>
    </i>
    <i t="data" r="0" i="0">
      <x v="177"/>
    </i>
    <i t="data" r="0" i="0">
      <x v="110"/>
    </i>
    <i t="data" r="0" i="0">
      <x v="179"/>
    </i>
    <i t="data" r="0" i="0">
      <x v="27"/>
    </i>
    <i t="data" r="0" i="0">
      <x v="181"/>
    </i>
    <i t="data" r="0" i="0">
      <x v="112"/>
    </i>
    <i t="data" r="0" i="0">
      <x v="183"/>
    </i>
    <i t="data" r="0" i="0">
      <x v="113"/>
    </i>
    <i t="data" r="0" i="0">
      <x v="185"/>
    </i>
    <i t="data" r="0" i="0">
      <x v="114"/>
    </i>
    <i t="data" r="0" i="0">
      <x v="187"/>
    </i>
    <i t="data" r="0" i="0">
      <x v="115"/>
    </i>
    <i t="data" r="0" i="0">
      <x v="37"/>
    </i>
    <i t="data" r="0" i="0">
      <x v="116"/>
    </i>
    <i t="data" r="0" i="0">
      <x v="192"/>
    </i>
    <i t="data" r="0" i="0">
      <x v="118"/>
    </i>
    <i t="data" r="0" i="0">
      <x v="194"/>
    </i>
    <i t="data" r="0" i="0">
      <x v="119"/>
    </i>
    <i t="data" r="0" i="0">
      <x v="196"/>
    </i>
    <i t="data" r="0" i="0">
      <x v="120"/>
    </i>
    <i t="data" r="0" i="0">
      <x v="198"/>
    </i>
    <i t="data" r="0" i="0">
      <x v="121"/>
    </i>
    <i t="data" r="0" i="0">
      <x v="200"/>
    </i>
    <i t="data" r="0" i="0">
      <x v="122"/>
    </i>
    <i t="data" r="0" i="0">
      <x v="202"/>
    </i>
    <i t="data" r="0" i="0">
      <x v="123"/>
    </i>
    <i t="data" r="0" i="0">
      <x v="204"/>
    </i>
    <i t="data" r="0" i="0">
      <x v="28"/>
    </i>
    <i t="data" r="0" i="0">
      <x v="39"/>
    </i>
    <i t="data" r="0" i="0">
      <x v="125"/>
    </i>
    <i t="data" r="0" i="0">
      <x v="40"/>
    </i>
    <i t="data" r="0" i="0">
      <x v="127"/>
    </i>
    <i t="data" r="0" i="0">
      <x v="211"/>
    </i>
    <i t="data" r="0" i="0">
      <x v="29"/>
    </i>
    <i t="data" r="0" i="0">
      <x v="213"/>
    </i>
    <i t="data" r="0" i="0">
      <x v="129"/>
    </i>
    <i t="data" r="0" i="0">
      <x v="215"/>
    </i>
    <i t="data" r="0" i="0">
      <x v="130"/>
    </i>
    <i t="data" r="0" i="0">
      <x v="217"/>
    </i>
    <i t="data" r="0" i="0">
      <x v="30"/>
    </i>
    <i t="data" r="0" i="0">
      <x v="219"/>
    </i>
    <i t="data" r="0" i="0">
      <x v="132"/>
    </i>
    <i t="data" r="0" i="0">
      <x v="8"/>
    </i>
    <i t="data" r="0" i="0">
      <x v="133"/>
    </i>
    <i t="data" r="0" i="0">
      <x v="223"/>
    </i>
    <i t="data" r="0" i="0">
      <x v="134"/>
    </i>
    <i t="data" r="0" i="0">
      <x v="225"/>
    </i>
    <i t="data" r="0" i="0">
      <x v="135"/>
    </i>
    <i t="data" r="0" i="0">
      <x v="227"/>
    </i>
    <i t="data" r="0" i="0">
      <x v="136"/>
    </i>
    <i t="data" r="0" i="0">
      <x v="229"/>
    </i>
    <i t="data" r="0" i="0">
      <x v="137"/>
    </i>
    <i t="data" r="0" i="0">
      <x v="41"/>
    </i>
    <i t="data" r="0" i="0">
      <x v="138"/>
    </i>
    <i t="data" r="0" i="0">
      <x v="233"/>
    </i>
    <i t="data" r="0" i="0">
      <x v="139"/>
    </i>
    <i t="data" r="0" i="0">
      <x v="235"/>
    </i>
    <i t="data" r="0" i="0">
      <x v="140"/>
    </i>
    <i t="data" r="0" i="0">
      <x v="237"/>
    </i>
    <i t="data" r="0" i="0">
      <x v="31"/>
    </i>
    <i t="data" r="0" i="0">
      <x v="239"/>
    </i>
    <i t="data" r="0" i="0">
      <x v="276"/>
    </i>
    <i t="data" r="0" i="0">
      <x v="241"/>
    </i>
    <i t="data" r="0" i="0">
      <x v="277"/>
    </i>
    <i t="data" r="0" i="0">
      <x v="243"/>
    </i>
    <i t="data" r="0" i="0">
      <x v="9"/>
    </i>
    <i t="data" r="0" i="0">
      <x v="11"/>
    </i>
    <i t="data" r="0" i="0">
      <x v="283"/>
    </i>
    <i t="data" r="0" i="0">
      <x v="247"/>
    </i>
    <i t="data" r="0" i="0">
      <x v="147"/>
    </i>
    <i t="data" r="0" i="0">
      <x v="249"/>
    </i>
    <i t="data" r="0" i="0">
      <x v="148"/>
    </i>
    <i t="data" r="0" i="0">
      <x v="43"/>
    </i>
    <i t="data" r="0" i="0">
      <x v="149"/>
    </i>
    <i t="data" r="0" i="0">
      <x v="18"/>
    </i>
    <i t="data" r="0" i="0">
      <x v="150"/>
    </i>
    <i t="data" r="0" i="0">
      <x v="255"/>
    </i>
    <i t="data" r="0" i="0">
      <x v="151"/>
    </i>
    <i t="data" r="0" i="0">
      <x v="257"/>
    </i>
    <i t="data" r="0" i="0">
      <x v="152"/>
    </i>
    <i t="data" r="0" i="0">
      <x v="259"/>
    </i>
    <i t="data" r="0" i="0">
      <x v="153"/>
    </i>
    <i t="data" r="0" i="0">
      <x v="261"/>
    </i>
    <i t="data" r="0" i="0">
      <x v="154"/>
    </i>
    <i t="data" r="0" i="0">
      <x v="263"/>
    </i>
    <i t="data" r="0" i="0">
      <x v="155"/>
    </i>
    <i t="data" r="0" i="0">
      <x v="45"/>
    </i>
    <i t="data" r="0" i="0">
      <x v="156"/>
    </i>
    <i t="data" r="0" i="0">
      <x v="267"/>
    </i>
    <i t="data" r="0" i="0">
      <x v="157"/>
    </i>
    <i t="data" r="0" i="0">
      <x v="269"/>
    </i>
    <i t="data" r="0" i="0">
      <x v="14"/>
    </i>
    <i t="data" r="0" i="0">
      <x v="271"/>
    </i>
    <i t="data" r="0" i="0">
      <x v="160"/>
    </i>
    <i t="data" r="0" i="0">
      <x v="10"/>
    </i>
    <i t="data" r="0" i="0">
      <x v="161"/>
    </i>
    <i t="data" r="0" i="0">
      <x v="275"/>
    </i>
    <i t="data" r="0" i="0">
      <x v="162"/>
    </i>
    <i t="data" r="0" i="0">
      <x v="2"/>
    </i>
    <i t="data" r="0" i="0">
      <x v="278"/>
    </i>
    <i t="data" r="0" i="0">
      <x v="279"/>
    </i>
    <i t="data" r="0" i="0">
      <x v="281"/>
    </i>
    <i t="data" r="0" i="0">
      <x v="285"/>
    </i>
    <i t="data" r="0" i="0">
      <x v="282"/>
    </i>
    <i t="data" r="0" i="0">
      <x v="145"/>
    </i>
    <i t="data" r="0" i="0">
      <x v="7"/>
    </i>
    <i t="data" r="0" i="0">
      <x v="146"/>
    </i>
    <i t="data" r="0" i="0">
      <x v="286"/>
    </i>
    <i t="data" r="0" i="0">
      <x v="1"/>
    </i>
    <i t="data" r="0" i="0">
      <x v="143"/>
    </i>
    <i t="data" r="0" i="0">
      <x v="1682"/>
    </i>
    <i t="data" r="0" i="0">
      <x v="1276"/>
    </i>
    <i t="data" r="0" i="0">
      <x v="1092"/>
    </i>
    <i t="data" r="0" i="0">
      <x v="522"/>
    </i>
    <i t="data" r="0" i="0">
      <x v="385"/>
    </i>
    <i t="data" r="0" i="0">
      <x v="5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SOLD PRICE" fld="24" subtotal="sum" showDataAs="normal" baseField="29" baseItem="0" numFmtId="6"/>
    <dataField name="Count of DATE" fld="28" subtotal="count" showDataAs="normal" baseField="0" baseItem="0" numFmtId="38"/>
    <dataField name="Average of SOLD CAP" fld="26" subtotal="average" showDataAs="normal" baseField="29" baseItem="0" numFmtId="10"/>
  </dataFields>
  <formats count="10">
    <format action="formatting" dxfId="12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1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10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  <format action="formatting" dxfId="9">
      <pivotArea type="normal" dataOnly="0" labelOnly="1" outline="0" fieldPosition="0">
        <references count="1">
          <reference field="4294967294">
            <x v="1"/>
          </reference>
        </references>
      </pivotArea>
    </format>
    <format action="formatting" dxfId="8">
      <pivotArea type="normal" dataOnly="1" outline="0" collapsedLevelsAreSubtotals="1" fieldPosition="0">
        <references count="1">
          <reference field="4294967294" selected="0">
            <x v="2"/>
          </reference>
        </references>
      </pivotArea>
    </format>
    <format action="formatting" dxfId="7">
      <pivotArea type="normal" dataOnly="0" labelOnly="1" outline="0" fieldPosition="0">
        <references count="1">
          <reference field="4294967294">
            <x v="2"/>
          </reference>
        </references>
      </pivotArea>
    </format>
    <format action="formatting" dxfId="6">
      <pivotArea type="normal" dataOnly="1" outline="0" collapsedLevelsAreSubtotals="1" fieldPosition="0">
        <references count="1">
          <reference field="4294967294" selected="0">
            <x v="2"/>
          </reference>
        </references>
      </pivotArea>
    </format>
    <format action="formatting" dxfId="5">
      <pivotArea type="normal" dataOnly="0" labelOnly="1" outline="0" fieldPosition="0">
        <references count="1">
          <reference field="4294967294">
            <x v="2"/>
          </reference>
        </references>
      </pivotArea>
    </format>
    <format action="formatting" dxfId="4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  <format action="formatting" dxfId="3">
      <pivotArea type="normal" dataOnly="0" labelOnly="1" outline="0" fieldPosition="0">
        <references count="1">
          <reference field="4294967294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old" displayName="Sold" ref="B2:AT3671" headerRowCount="1" totalsRowCount="1" headerRowDxfId="465" headerRowBorderDxfId="464" tableBorderDxfId="463" headerRowCellStyle="Comma">
  <autoFilter ref="B2:AT3670">
    <filterColumn colId="1" hiddenButton="0" showButton="1">
      <filters>
        <filter val="CB/FWS/SSA/Colleage"/>
        <filter val="FSSA/PDR"/>
        <filter val="IRS/SSA"/>
        <filter val="ITC/SSA"/>
        <filter val="SSA"/>
        <filter val="SSA/County"/>
        <filter val="SSA/DWFS"/>
        <filter val="SSA/FWS/FMCSA"/>
        <filter val="SSA/HHS"/>
        <filter val="SSA/IRS"/>
        <filter val="SSA/IRS/USDA"/>
        <filter val="SSA/Multi"/>
        <filter val="SSA/ODAR"/>
        <filter val="SSA/OHO"/>
        <filter val="SSA/OHO &amp; AOC/Probation"/>
        <filter val="SSA/Others"/>
        <filter val="SSA/Recruiting"/>
        <filter val="SSA/Recruiting/County"/>
        <filter val="SSA/Rev."/>
        <filter val="SSA/State"/>
        <filter val="SSA/VA"/>
        <filter val="SSA/VA/DMV/DaVita"/>
        <filter val="SSA-ODAR"/>
        <filter val="TSA/SSA"/>
        <filter val="VA/SSA"/>
      </filters>
    </filterColumn>
    <filterColumn colId="19" hiddenButton="0" showButton="1">
      <customFilters>
        <customFilter val="1" operator="greaterThanOrEqual"/>
      </customFilters>
    </filterColumn>
    <filterColumn colId="24" hiddenButton="0" showButton="1">
      <customFilters>
        <customFilter val=" " operator="notEqual"/>
      </customFilters>
    </filterColumn>
    <filterColumn colId="26" hiddenButton="0" showButton="1">
      <customFilters>
        <customFilter val=" " operator="notEqual"/>
      </customFilters>
    </filterColumn>
    <filterColumn colId="28" hiddenButton="0" showButton="1">
      <filters>
        <dateGroupItem year="2025" dateTimeGrouping="year"/>
        <dateGroupItem year="2024" dateTimeGrouping="year"/>
        <dateGroupItem year="2023" dateTimeGrouping="year"/>
        <dateGroupItem year="2022" dateTimeGrouping="year"/>
      </filters>
    </filterColumn>
  </autoFilter>
  <sortState ref="B3:AT3670">
    <sortCondition descending="1" ref="AD2:AD3670"/>
  </sortState>
  <tableColumns count="45">
    <tableColumn id="1" name="LEASE NO." totalsRowLabel="Total" dataDxfId="462" totalsRowDxfId="461"/>
    <tableColumn id="35" name="AGENCY" dataDxfId="460" totalsRowDxfId="459" dataCellStyle="Normal 14"/>
    <tableColumn id="38" name="TYPE" dataDxfId="458" totalsRowDxfId="457"/>
    <tableColumn id="34" name="INTEREST" dataDxfId="456" totalsRowDxfId="455"/>
    <tableColumn id="2" name="ADDRESS" dataDxfId="454" totalsRowDxfId="453"/>
    <tableColumn id="3" name="CITY" dataDxfId="452" totalsRowDxfId="451"/>
    <tableColumn id="4" name="STATE" dataDxfId="450" totalsRowDxfId="449"/>
    <tableColumn id="5" name="LAND" totalsRowFunction="average" dataDxfId="448" totalsRowDxfId="447"/>
    <tableColumn id="6" name="BUILT" totalsRowFunction="average" dataDxfId="446" totalsRowDxfId="445"/>
    <tableColumn id="36" name="SF LEASED" totalsRowFunction="average" dataDxfId="444" totalsRowDxfId="443"/>
    <tableColumn id="7" name="RBA" totalsRowFunction="average" dataDxfId="442" totalsRowDxfId="441"/>
    <tableColumn id="37" name="GOV OCCP" totalsRowFunction="average" dataDxfId="440" totalsRowDxfId="439">
      <calculatedColumnFormula>IF(Sold[[#This Row],[RBA]]&gt;0,IF(Sold[[#This Row],[SF LEASED]]&gt;0,Sold[[#This Row],[SF LEASED]]/Sold[[#This Row],[RBA]]," ")," ")</calculatedColumnFormula>
    </tableColumn>
    <tableColumn id="40" name="GROSS" dataDxfId="438" totalsRowDxfId="437"/>
    <tableColumn id="41" name="GROSS/SF" totalsRowFunction="average" dataDxfId="436" totalsRowDxfId="435">
      <calculatedColumnFormula>IF(Sold[[#This Row],[GROSS]]&gt;0,IF(Sold[[#This Row],[SF LEASED]]&gt;0,Sold[[#This Row],[GROSS]]/Sold[[#This Row],[SF LEASED]]," ")," ")</calculatedColumnFormula>
    </tableColumn>
    <tableColumn id="8" name="NOI" dataDxfId="434" totalsRowDxfId="433"/>
    <tableColumn id="9" name="NET/SF" totalsRowFunction="average" dataDxfId="432" totalsRowDxfId="431" dataCellStyle="Currency">
      <calculatedColumnFormula>IF(P3&gt;0,P3/L3," ")</calculatedColumnFormula>
    </tableColumn>
    <tableColumn id="10" name="COM" dataDxfId="430" totalsRowDxfId="429" dataCellStyle="Currency"/>
    <tableColumn id="43" name="EXP" dataDxfId="428" totalsRowDxfId="427" dataCellStyle="Currency"/>
    <tableColumn id="42" name="TERMN" dataDxfId="426" totalsRowDxfId="425" dataCellStyle="Currency"/>
    <tableColumn id="11" name="TERM" totalsRowFunction="average" dataDxfId="424" totalsRowDxfId="423" dataCellStyle="Currency">
      <calculatedColumnFormula>IF(S3&gt;0,IF(Sold[[#This Row],[DATE]]&gt;0,(S3-AD3)/365," ")," ")</calculatedColumnFormula>
    </tableColumn>
    <tableColumn id="44" name="FIRM" totalsRowFunction="average" dataDxfId="422" totalsRowDxfId="421" dataCellStyle="Currency">
      <calculatedColumnFormula>IF(Sold[[#This Row],[TERMN]]&gt;0,IF(Sold[[#This Row],[DATE]]&gt;0,(Sold[[#This Row],[TERMN]]-Sold[[#This Row],[DATE]])/365," ")," ")</calculatedColumnFormula>
    </tableColumn>
    <tableColumn id="12" name="EXPENSES" dataDxfId="420" totalsRowDxfId="419"/>
    <tableColumn id="13" name="BUMPS" dataDxfId="418" totalsRowDxfId="417"/>
    <tableColumn id="14" name="RENEWAL OPTIONS" dataDxfId="416" totalsRowDxfId="415"/>
    <tableColumn id="15" name="SOLD PRICE" totalsRowFunction="average" dataDxfId="414" totalsRowDxfId="413" dataCellStyle="Comma"/>
    <tableColumn id="16" name="SOLD/SF" totalsRowFunction="average" dataDxfId="412" totalsRowDxfId="411" dataCellStyle="Currency">
      <calculatedColumnFormula>IF(Z3&gt;0,IF(L3&gt;0,Z3/L3," ")," ")</calculatedColumnFormula>
    </tableColumn>
    <tableColumn id="17" name="SOLD CAP" totalsRowFunction="average" dataDxfId="410" totalsRowDxfId="409" dataCellStyle="Percent">
      <calculatedColumnFormula>IF(Z3&gt;0,IF(P3&gt;0,P3/Z3," ")," ")</calculatedColumnFormula>
    </tableColumn>
    <tableColumn id="46" name="ZCF" dataDxfId="408" totalsRowDxfId="407" dataCellStyle="Percent"/>
    <tableColumn id="18" name="DATE" totalsRowFunction="count" dataDxfId="406" totalsRowDxfId="405" dataCellStyle="Currency"/>
    <tableColumn id="31" name="SELLER" dataDxfId="404" totalsRowDxfId="403" dataCellStyle="Currency"/>
    <tableColumn id="30" name="L. BROKER" dataDxfId="402" totalsRowDxfId="401" dataCellStyle="Currency"/>
    <tableColumn id="29" name="BUYER" dataDxfId="400" totalsRowDxfId="399" dataCellStyle="Currency"/>
    <tableColumn id="45" name="Bstate" dataDxfId="398" totalsRowDxfId="397" dataCellStyle="Currency"/>
    <tableColumn id="32" name="Type2" dataDxfId="396" totalsRowDxfId="395" dataCellStyle="Currency"/>
    <tableColumn id="28" name="P. BROKER" dataDxfId="394" totalsRowDxfId="393" dataCellStyle="Currency"/>
    <tableColumn id="27" name="DEVELOPER" dataDxfId="392" totalsRowDxfId="391" dataCellStyle="Currency"/>
    <tableColumn id="19" name="INITIAL PRICE" dataDxfId="390" totalsRowDxfId="389"/>
    <tableColumn id="20" name="INITIAL CAP" totalsRowFunction="average" dataDxfId="388" totalsRowDxfId="387" dataCellStyle="Percent">
      <calculatedColumnFormula>IF(AL3&gt;0,IF(P3&gt;0,P3/AL3," ")," ")</calculatedColumnFormula>
    </tableColumn>
    <tableColumn id="21" name="% of Int Ach" totalsRowFunction="average" dataDxfId="386" totalsRowDxfId="385" dataCellStyle="Percent">
      <calculatedColumnFormula>IF(AL3&gt;0,IF(Z3&gt;0,Z3/AL3," ")," ")</calculatedColumnFormula>
    </tableColumn>
    <tableColumn id="22" name="LAST PRICE" dataDxfId="384" totalsRowDxfId="383"/>
    <tableColumn id="23" name="LAST CAP" totalsRowFunction="average" dataDxfId="382" totalsRowDxfId="381" dataCellStyle="Percent">
      <calculatedColumnFormula>IF(AO3&gt;0,IF(P3&gt;0,P3/AO3," ")," ")</calculatedColumnFormula>
    </tableColumn>
    <tableColumn id="33" name="BID-ASK SPREAD" dataDxfId="380" totalsRowDxfId="379" dataCellStyle="Percent">
      <calculatedColumnFormula>IF(ISNUMBER(Sold[[#This Row],[SOLD CAP]]),IF(ISNUMBER(Sold[[#This Row],[LAST CAP]]),Sold[[#This Row],[SOLD CAP]]-Sold[[#This Row],[LAST CAP]]," ")," ")</calculatedColumnFormula>
    </tableColumn>
    <tableColumn id="24" name="PRICE CHG" dataDxfId="378" totalsRowDxfId="377">
      <calculatedColumnFormula>IF(AO3&gt;0,IF(AL3&gt;0,IF(AO3=AL3,"No","Yes")," ")," ")</calculatedColumnFormula>
    </tableColumn>
    <tableColumn id="25" name="ON MARKET" dataDxfId="376" totalsRowDxfId="375"/>
    <tableColumn id="26" name="DOM" totalsRowFunction="average" dataDxfId="374" totalsRowDxfId="373">
      <calculatedColumnFormula>IF(AS3&gt;0,AD3-AS3," 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Ownership" displayName="Ownership" ref="B2:AS16149" headerRowCount="1" totalsRowCount="1" headerRowDxfId="372" headerRowBorderDxfId="371" tableBorderDxfId="370" headerRowCellStyle="Comma">
  <autoFilter ref="B2:AS16148">
    <filterColumn colId="10" hiddenButton="0" showButton="1">
      <filters>
        <filter val="LAS VEGAS"/>
        <filter val="NORTH LAS VEGAS"/>
      </filters>
    </filterColumn>
  </autoFilter>
  <sortState ref="B3:AS16148">
    <sortCondition ref="AR2:AR16148"/>
  </sortState>
  <tableColumns count="44">
    <tableColumn id="1" name="LEASE NO." totalsRowLabel="Total" dataDxfId="369" totalsRowDxfId="368"/>
    <tableColumn id="13" name="NEW" dataDxfId="367" totalsRowDxfId="366"/>
    <tableColumn id="19" name="LOC. CODE" dataDxfId="365" totalsRowDxfId="364"/>
    <tableColumn id="18" name="Date" dataDxfId="363" totalsRowDxfId="362"/>
    <tableColumn id="17" name="RENEWED" dataDxfId="361" totalsRowDxfId="360"/>
    <tableColumn id="35" name="AGENCY" dataDxfId="359" totalsRowDxfId="358" dataCellStyle="Normal 14"/>
    <tableColumn id="22" name="Rep. Agency" dataDxfId="357" totalsRowDxfId="356" dataCellStyle="Normal 14">
      <calculatedColumnFormula>IFERROR(VLOOKUP(Ownership[[#This Row],[LOC. CODE]],FRPP[],2,FALSE)," ")</calculatedColumnFormula>
    </tableColumn>
    <tableColumn id="24" name="Reduce TF" dataDxfId="355" totalsRowDxfId="354" dataCellStyle="Normal 14">
      <calculatedColumnFormula>IFERROR(VLOOKUP(Ownership[[#This Row],[LOC. CODE]],FRPP[],93,FALSE)," ")</calculatedColumnFormula>
    </tableColumn>
    <tableColumn id="34" name="INTEREST" dataDxfId="353" totalsRowDxfId="352"/>
    <tableColumn id="2" name="ADDRESS" dataDxfId="351" totalsRowDxfId="350"/>
    <tableColumn id="3" name="CITY" dataDxfId="349" totalsRowDxfId="348"/>
    <tableColumn id="4" name="STATE" dataDxfId="347" totalsRowDxfId="346"/>
    <tableColumn id="5" name="LAND" totalsRowFunction="average" dataDxfId="345" totalsRowDxfId="344"/>
    <tableColumn id="6" name="BUILT" totalsRowFunction="average" dataDxfId="343" totalsRowDxfId="342"/>
    <tableColumn id="16" name="BTS" dataDxfId="341" totalsRowDxfId="340"/>
    <tableColumn id="36" name="SF LEASED" totalsRowFunction="average" dataDxfId="339" totalsRowDxfId="338"/>
    <tableColumn id="7" name="RBA" totalsRowFunction="average" dataDxfId="337" totalsRowDxfId="336"/>
    <tableColumn id="47" name="OCCP" totalsRowFunction="average" dataDxfId="335" totalsRowDxfId="334"/>
    <tableColumn id="37" name="GSA OCCP" totalsRowFunction="average" dataDxfId="333" totalsRowDxfId="332" dataCellStyle="Percent">
      <calculatedColumnFormula>IF(Ownership[[#This Row],[RBA]]&gt;0,IF(Ownership[[#This Row],[SF LEASED]]&gt;0,Ownership[[#This Row],[SF LEASED]]/Ownership[[#This Row],[RBA]]," ")," ")</calculatedColumnFormula>
    </tableColumn>
    <tableColumn id="40" name="GROSS" dataDxfId="331" totalsRowDxfId="330"/>
    <tableColumn id="41" name="GROSS/SF" totalsRowFunction="average" dataDxfId="329" totalsRowDxfId="328">
      <calculatedColumnFormula>IFERROR(IF(Ownership[[#This Row],[GROSS]]&gt;0,IF(Ownership[[#This Row],[SF LEASED]]&gt;0,Ownership[[#This Row],[GROSS]]/Ownership[[#This Row],[SF LEASED]]," ")," "),0)</calculatedColumnFormula>
    </tableColumn>
    <tableColumn id="20" name="FUTURE/SF" dataDxfId="327" totalsRowDxfId="326">
      <calculatedColumnFormula>IFERROR(SUMIFS(Ownership[GROSS/SF],Ownership[LOC. CODE],Ownership[[#This Row],[LOC. CODE]],Ownership[COM],"&gt;="&amp;Ownership[[#This Row],[EXP]])/COUNTIFS(Ownership[GROSS/SF],"&lt;&gt;"&amp;0,Ownership[LOC. CODE],Ownership[[#This Row],[LOC. CODE]],Ownership[COM],"&gt;="&amp;Ownership[[#This Row],[EXP]]),0)</calculatedColumnFormula>
    </tableColumn>
    <tableColumn id="21" name="CAGR" dataDxfId="325" totalsRowDxfId="324">
      <calculatedColumnFormula>IFERROR(IF(Ownership[[#This Row],[FUTURE/SF]]&lt;&gt;0,((Ownership[[#This Row],[FUTURE/SF]]/Ownership[[#This Row],[GROSS/SF]])^(1/((Ownership[[#This Row],[EXP]]-Ownership[[#This Row],[COM]])/365))-1),),0)</calculatedColumnFormula>
    </tableColumn>
    <tableColumn id="8" name="NOI" dataDxfId="323" totalsRowDxfId="322"/>
    <tableColumn id="9" name="NET/SF" totalsRowFunction="average" dataDxfId="321" totalsRowDxfId="320" dataCellStyle="Currency">
      <calculatedColumnFormula>IF(Y3&gt;0,Y3/R3," ")</calculatedColumnFormula>
    </tableColumn>
    <tableColumn id="25" name="Tenure at Com" dataDxfId="319" totalsRowDxfId="318" dataCellStyle="Currency">
      <calculatedColumnFormula>IFERROR((Ownership[[#This Row],[COM]]-Ownership[[#This Row],[ORG. OCC.]])/365," ")</calculatedColumnFormula>
    </tableColumn>
    <tableColumn id="26" name="#ofRenewals" dataDxfId="317" totalsRowDxfId="316" dataCellStyle="Currency">
      <calculatedColumnFormula>COUNTIFS(Ownership[COM],"&lt;"&amp;Ownership[[#This Row],[COM]],Ownership[LOC. CODE],"="&amp;Ownership[[#This Row],[LOC. CODE]],Ownership[LEASE NO.],"&lt;&gt;"&amp;Ownership[[#This Row],[LEASE NO.]],Ownership[LOC. CODE],"&lt;&gt;"&amp;"*#N/A*",Ownership[Term],"&gt;="&amp;3)+IF(Ownership[[#This Row],[ORG. OCC.]]&lt;Ownership[[#This Row],[COM]],IF(Ownership[[#This Row],[ORG. OCC.]]&lt;&gt;" ",1,0),0)</calculatedColumnFormula>
    </tableColumn>
    <tableColumn id="23" name="ORG. OCC." dataDxfId="315" totalsRowDxfId="314" dataCellStyle="Currency">
      <calculatedColumnFormula>IFERROR(VLOOKUP(Ownership[[#This Row],[LOC. CODE]],FRPP[],80,FALSE)," ")</calculatedColumnFormula>
    </tableColumn>
    <tableColumn id="10" name="COM" dataDxfId="313" totalsRowDxfId="312" dataCellStyle="Currency"/>
    <tableColumn id="43" name="EXP" dataDxfId="311" totalsRowDxfId="310" dataCellStyle="Currency"/>
    <tableColumn id="42" name="TERMN" dataDxfId="309" totalsRowDxfId="308" dataCellStyle="Currency"/>
    <tableColumn id="53" name="Last" dataDxfId="307" totalsRowDxfId="306" dataCellStyle="Currency"/>
    <tableColumn id="49" name="Term" totalsRowFunction="average" dataDxfId="305" totalsRowDxfId="304" dataCellStyle="Currency">
      <calculatedColumnFormula>IF(Ownership[[#This Row],[EXP]]&gt;0,IF(Ownership[[#This Row],[COM]]&gt;0,(Ownership[[#This Row],[EXP]]-Ownership[[#This Row],[COM]])/365," ")," ")</calculatedColumnFormula>
    </tableColumn>
    <tableColumn id="50" name="Firm" totalsRowFunction="average" dataDxfId="303" totalsRowDxfId="302" dataCellStyle="Currency">
      <calculatedColumnFormula>IF(Ownership[[#This Row],[TERMN]]&gt;0,IF(Ownership[[#This Row],[COM]]&gt;0,(Ownership[[#This Row],[TERMN]]-Ownership[[#This Row],[COM]])/365," ")," ")</calculatedColumnFormula>
    </tableColumn>
    <tableColumn id="11" name="T-Rem" totalsRowFunction="average" dataDxfId="301" totalsRowDxfId="300" dataCellStyle="Currency">
      <calculatedColumnFormula>IF(AE3&gt;0,(AE3-NOW())/365," ")</calculatedColumnFormula>
    </tableColumn>
    <tableColumn id="44" name="F-Rem" totalsRowFunction="average" dataDxfId="299" totalsRowDxfId="298" dataCellStyle="Currency">
      <calculatedColumnFormula>IF(Ownership[[#This Row],[TERMN]]&gt;0,(Ownership[[#This Row],[TERMN]]-NOW())/365," ")</calculatedColumnFormula>
    </tableColumn>
    <tableColumn id="12" name="EXPS" dataDxfId="297" totalsRowDxfId="296"/>
    <tableColumn id="14" name="OPTS" dataDxfId="295" totalsRowDxfId="294"/>
    <tableColumn id="15" name="EST SIZE" totalsRowFunction="average" dataDxfId="293" totalsRowDxfId="292" dataCellStyle="Comma">
      <calculatedColumnFormula>IF(Ownership[[#This Row],[GROSS]]&gt;0,IF(Ownership[[#This Row],[OCCP]]&gt;0,((Ownership[[#This Row],[GROSS]]*0.75)/(Ownership[[#This Row],[OCCP]]*0.01))/0.08," ")," ")</calculatedColumnFormula>
    </tableColumn>
    <tableColumn id="31" name="RECORDED" dataDxfId="291" totalsRowDxfId="290" dataCellStyle="Currency"/>
    <tableColumn id="30" name="TRUE OWNER" dataDxfId="289" totalsRowDxfId="288" dataCellStyle="Currency"/>
    <tableColumn id="51" name="LAST LL" dataDxfId="287" totalsRowDxfId="286" dataCellStyle="Currency"/>
    <tableColumn id="52" name="COMP" dataDxfId="285" totalsRowDxfId="284" dataCellStyle="Currency">
      <calculatedColumnFormula>IFERROR(IF(Ownership[[#This Row],[LAST LL]]=Ownership[[#This Row],[RECORDED]],0,"Comp"),0)</calculatedColumnFormula>
    </tableColumn>
    <tableColumn id="29" name="DEVELOPER" dataDxfId="283" totalsRowDxfId="282" dataCellStyle="Curr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Inventory" displayName="Inventory" ref="B2:AC7497" headerRowCount="1" totalsRowShown="0" headerRowDxfId="281" dataDxfId="279" headerRowBorderDxfId="280" tableBorderDxfId="278" totalsRowBorderDxfId="277" headerRowCellStyle="Normal 5">
  <autoFilter ref="B2:AC7497">
    <filterColumn colId="1" hiddenButton="0" showButton="1">
      <filters>
        <filter val="#N/A"/>
      </filters>
    </filterColumn>
  </autoFilter>
  <tableColumns count="28">
    <tableColumn id="1" name="Lease Num" dataDxfId="276" dataCellStyle="Normal 5"/>
    <tableColumn id="28" name="Old" dataDxfId="275" dataCellStyle="Normal 5"/>
    <tableColumn id="2" name="Location Code" dataDxfId="274" dataCellStyle="Normal 5"/>
    <tableColumn id="3" name="City" dataDxfId="273" dataCellStyle="Normal 5"/>
    <tableColumn id="4" name="County" dataDxfId="272" dataCellStyle="Normal 5"/>
    <tableColumn id="5" name="Address" dataDxfId="271" dataCellStyle="Normal 5"/>
    <tableColumn id="6" name="State" dataDxfId="270" dataCellStyle="Normal 5"/>
    <tableColumn id="7" name="ZipCode" dataDxfId="269" dataCellStyle="Normal 5"/>
    <tableColumn id="8" name="Latitude" dataDxfId="268" dataCellStyle="Normal 5"/>
    <tableColumn id="9" name="Longitude" dataDxfId="267" dataCellStyle="Normal 5"/>
    <tableColumn id="10" name="Field Office Name" dataDxfId="266" dataCellStyle="Normal 5"/>
    <tableColumn id="11" name="Cen Bus Unit Ind" dataDxfId="265" dataCellStyle="Normal 5"/>
    <tableColumn id="12" name="Lease Effective" dataDxfId="264" dataCellStyle="Normal 5"/>
    <tableColumn id="13" name="Lease Expiration" dataDxfId="263" dataCellStyle="Normal 5"/>
    <tableColumn id="14" name="Termination Right Date" dataDxfId="262" dataCellStyle="Normal 5"/>
    <tableColumn id="15" name="Latest Action affecting Term" dataDxfId="261" dataCellStyle="Normal 5"/>
    <tableColumn id="16" name="Fully Serviced" dataDxfId="260" dataCellStyle="Normal 5"/>
    <tableColumn id="17" name="Lease Agreement RSF" dataDxfId="259" dataCellStyle="Normal 5"/>
    <tableColumn id="18" name="Lease Structured Parking" dataDxfId="258" dataCellStyle="Normal 5"/>
    <tableColumn id="19" name="Lease Surface parking" dataDxfId="257" dataCellStyle="Normal 5"/>
    <tableColumn id="20" name="Percent Building" dataDxfId="256" dataCellStyle="Normal 5"/>
    <tableColumn id="21" name="Current Annual Rent" dataDxfId="255" dataCellStyle="Normal 5"/>
    <tableColumn id="22" name="Percent Office" dataDxfId="254" dataCellStyle="Normal 5"/>
    <tableColumn id="23" name="Percent Warehouse" dataDxfId="253" dataCellStyle="Normal 5"/>
    <tableColumn id="24" name="Percent Special" dataDxfId="252" dataCellStyle="Normal 5"/>
    <tableColumn id="25" name="Renewal Option Term left" dataDxfId="251" dataCellStyle="Normal 5"/>
    <tableColumn id="26" name="Renewal Options Left" dataDxfId="250" dataCellStyle="Normal 5"/>
    <tableColumn id="27" name="Lessor name" dataDxfId="249" dataCellStyle="Normal 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rts" displayName="Charts" ref="B2:BO369" headerRowCount="1" totalsRowCount="1">
  <autoFilter ref="B2:BO368"/>
  <tableColumns count="66">
    <tableColumn id="1" name="Quarter" totalsRowLabel="Total" totalsRowDxfId="248"/>
    <tableColumn id="2" name="Date" dataDxfId="247" totalsRowDxfId="246"/>
    <tableColumn id="3" name="Transactions (ttm)" totalsRowFunction="average" dataDxfId="245" totalsRowDxfId="244">
      <calculatedColumnFormula>COUNTIFS(Sold[DATE],"&gt;"&amp;EDATE(Charts[[#This Row],[Date]],-12),Sold[DATE],"&lt;="&amp;Charts[[#This Row],[Date]])</calculatedColumnFormula>
    </tableColumn>
    <tableColumn id="5" name="Average Deal Size (ttm)" totalsRowFunction="average" totalsRowDxfId="243">
      <calculatedColumnFormula>AVERAGEIFS(Sold[SOLD PRICE],Sold[DATE],"&gt;"&amp;EDATE(Charts[[#This Row],[Date]],-12),Sold[DATE],"&lt;="&amp;Charts[[#This Row],[Date]])</calculatedColumnFormula>
    </tableColumn>
    <tableColumn id="7" name="Monthly Volume" totalsRowFunction="average" totalsRowDxfId="242">
      <calculatedColumnFormula>SUMIFS(Sold[SOLD PRICE],Sold[DATE],"&gt;"&amp;EDATE(Charts[[#This Row],[Date]],-1),Sold[DATE],"&lt;="&amp;Charts[[#This Row],[Date]])</calculatedColumnFormula>
    </tableColumn>
    <tableColumn id="12" name="Transaction Volume (ttm)" totalsRowFunction="custom" dataDxfId="241" totalsRowDxfId="240">
      <calculatedColumnFormula>SUMIFS(Sold[SOLD PRICE],Sold[DATE],"&gt;"&amp;EDATE(Charts[[#This Row],[Date]],-12),Sold[DATE],"&lt;="&amp;Charts[[#This Row],[Date]])</calculatedColumnFormula>
      <totalsRowFormula>SUBTOTAL(101,#REF!)</totalsRowFormula>
    </tableColumn>
    <tableColumn id="32" name="Trans. Vol. (ttm)" dataDxfId="239" totalsRowDxfId="238">
      <calculatedColumnFormula>Charts[[#This Row],[Average Deal Size (ttm)]]*Charts[[#This Row],[Transactions (ttm)]]</calculatedColumnFormula>
    </tableColumn>
    <tableColumn id="6" name="yoy Change (%)" dataDxfId="237" totalsRowDxfId="236">
      <calculatedColumnFormula>(Charts[[#This Row],[Trans. Vol. (ttm)]]-H15)/H15</calculatedColumnFormula>
    </tableColumn>
    <tableColumn id="11" name="Upper Quartile Cap Rate (ttm)" totalsRowFunction="average" dataDxfId="235" totalsRowDxfId="234" dataCellStyle="Percent">
      <calculatedColumnFormula array="1">PERCENTILE(IF(Sold[DATE]&gt;EDATE(Charts[[#This Row],[Date]],-12),IF(Sold[DATE]&lt;=Charts[[#This Row],[Date]],IF(Sold[SOLD CAP]&lt;&gt;"",Sold[SOLD CAP]))),0.75)</calculatedColumnFormula>
    </tableColumn>
    <tableColumn id="8" name="Lower Quartile Cap Rate (ttm)" totalsRowFunction="average" totalsRowDxfId="233">
      <calculatedColumnFormula array="1">PERCENTILE(IF(Sold[DATE]&gt;EDATE(Charts[[#This Row],[Date]],-12),IF(Sold[DATE]&lt;=Charts[[#This Row],[Date]],IF(Sold[SOLD CAP]&lt;&gt;"",Sold[SOLD CAP]))),0.25)</calculatedColumnFormula>
    </tableColumn>
    <tableColumn id="9" name="Average Cap Rate (ttm)" totalsRowFunction="average" totalsRowDxfId="232">
      <calculatedColumnFormula>AVERAGEIFS(Sold[SOLD CAP],Sold[DATE],"&gt;"&amp;EDATE(Charts[[#This Row],[Date]],-12),Sold[DATE],"&lt;="&amp;Charts[[#This Row],[Date]])</calculatedColumnFormula>
    </tableColumn>
    <tableColumn id="34" name="NM Average Cap (ttm)" dataDxfId="231" totalsRowDxfId="230" dataCellStyle="Percent">
      <calculatedColumnFormula>IFERROR(AVERAGEIFS(Sold[SOLD CAP],Sold[DATE],"&gt;"&amp;EDATE(Charts[[#This Row],[Date]],-12),Sold[DATE],"&lt;="&amp;Charts[[#This Row],[Date]],Sold[L. BROKER],"*sjc*",Sold[SOLD CAP],"&lt;=.09"),M10)</calculatedColumnFormula>
    </tableColumn>
    <tableColumn id="33" name="Non-NM Average Cap (ttm)" dataDxfId="229" totalsRowDxfId="228" dataCellStyle="Percent">
      <calculatedColumnFormula>IF(Charts[[#This Row],[Average Cap Rate (ttm)]]&gt;(AVERAGEIFS(Sold[SOLD CAP],Sold[L. BROKER],"&lt;&gt;*",Sold[L. BROKER],"&lt;&gt;*sjc*",Sold[DATE],"&gt;"&amp;EDATE(Charts[[#This Row],[Date]],-12),Sold[DATE],"&lt;="&amp;Charts[[#This Row],[Date]])),Charts[[#This Row],[Average Cap Rate (ttm)]],AVERAGEIFS(Sold[SOLD CAP],Sold[L. BROKER],"&lt;&gt;*",Sold[L. BROKER],"&lt;&gt;*sjc*",Sold[DATE],"&gt;"&amp;EDATE(Charts[[#This Row],[Date]],-12),Sold[DATE],"&lt;="&amp;Charts[[#This Row],[Date]]))</calculatedColumnFormula>
    </tableColumn>
    <tableColumn id="27" name="10+ Year Cap (ttm)" dataDxfId="227" totalsRowDxfId="226" dataCellStyle="Percent">
      <calculatedColumnFormula>IFERROR(AVERAGEIFS(Sold[SOLD CAP],Sold[FIRM],"&gt;="&amp;10,Sold[DATE],"&gt;"&amp;EDATE(Charts[[#This Row],[Date]],-12),Sold[DATE],"&lt;="&amp;Charts[[#This Row],[Date]]),O2)</calculatedColumnFormula>
    </tableColumn>
    <tableColumn id="26" name="6 to 10 Year Cap (ttm)" dataDxfId="225" totalsRowDxfId="224" dataCellStyle="Percent">
      <calculatedColumnFormula>IFERROR(AVERAGEIFS(Sold[SOLD CAP],Sold[FIRM],"&gt;="&amp;6,Sold[FIRM],"&lt;"&amp;10,Sold[DATE],"&gt;"&amp;EDATE(Charts[[#This Row],[Date]],-12),Sold[DATE],"&lt;="&amp;Charts[[#This Row],[Date]]),P2)</calculatedColumnFormula>
    </tableColumn>
    <tableColumn id="10" name="Less than 5 Year Cap (ttm)" dataDxfId="223" totalsRowDxfId="222" dataCellStyle="Percent">
      <calculatedColumnFormula>IFERROR(AVERAGEIFS(Sold[SOLD CAP],Sold[FIRM],"&lt;"&amp;6,Sold[DATE],"&gt;"&amp;EDATE(Charts[[#This Row],[Date]],-12),Sold[DATE],"&lt;="&amp;Charts[[#This Row],[Date]]),Q2)</calculatedColumnFormula>
    </tableColumn>
    <tableColumn id="28" name="Outside Firm Term (ttm)" dataDxfId="221" totalsRowDxfId="220" dataCellStyle="Percent">
      <calculatedColumnFormula>IFERROR(AVERAGEIFS(Sold[SOLD CAP],Sold[FIRM],"&lt;"&amp;0.5,Sold[DATE],"&gt;"&amp;EDATE(Charts[[#This Row],[Date]],-12),Sold[DATE],"&lt;="&amp;Charts[[#This Row],[Date]],Sold[FIRM],"&lt;&gt;"&amp;" "),R2)</calculatedColumnFormula>
    </tableColumn>
    <tableColumn id="15" name="Private Volume (ttm)" dataDxfId="219" totalsRowDxfId="218" dataCellStyle="Percent">
      <calculatedColumnFormula>SUMIFS(Sold[SOLD PRICE],Sold[Type2],"*Private*",Sold[DATE],"&gt;"&amp;EDATE(Charts[[#This Row],[Date]],-12),Sold[DATE],"&lt;="&amp;Charts[[#This Row],[Date]])</calculatedColumnFormula>
    </tableColumn>
    <tableColumn id="14" name="Public Listed/REIT Volume (ttm)" dataDxfId="217" totalsRowDxfId="216" dataCellStyle="Percent">
      <calculatedColumnFormula>SUMIFS(Sold[SOLD PRICE],Sold[Type2],"*REIT*",Sold[DATE],"&gt;"&amp;EDATE(Charts[[#This Row],[Date]],-12),Sold[DATE],"&lt;="&amp;Charts[[#This Row],[Date]])</calculatedColumnFormula>
    </tableColumn>
    <tableColumn id="13" name="Cross-Border Volume (ttm)" dataDxfId="215" totalsRowDxfId="214" dataCellStyle="Percent">
      <calculatedColumnFormula>SUMIFS(Sold[SOLD PRICE],Sold[Type2],"*Cross*",Sold[DATE],"&gt;"&amp;EDATE(Charts[[#This Row],[Date]],-12),Sold[DATE],"&lt;="&amp;Charts[[#This Row],[Date]])</calculatedColumnFormula>
    </tableColumn>
    <tableColumn id="18" name="Institutional Volume (ttm)" dataDxfId="213" totalsRowDxfId="212" dataCellStyle="Percent">
      <calculatedColumnFormula>SUMIFS(Sold[SOLD PRICE],Sold[Type2],"*Institutional*",Sold[DATE],"&gt;"&amp;EDATE(Charts[[#This Row],[Date]],-12),Sold[DATE],"&lt;="&amp;Charts[[#This Row],[Date]])</calculatedColumnFormula>
    </tableColumn>
    <tableColumn id="31" name="Federal Cap" dataDxfId="211" totalsRowDxfId="210" dataCellStyle="Percent">
      <calculatedColumnFormula>AVERAGEIFS(Sold[SOLD CAP],Sold[DATE],"&gt;"&amp;EDATE(Charts[[#This Row],[Date]],-12),Sold[DATE],"&lt;="&amp;Charts[[#This Row],[Date]],Sold[TYPE],"*Federal*")</calculatedColumnFormula>
    </tableColumn>
    <tableColumn id="30" name="State Cap" dataDxfId="209" totalsRowDxfId="208" dataCellStyle="Percent">
      <calculatedColumnFormula>AVERAGEIFS(Sold[SOLD CAP],Sold[DATE],"&gt;"&amp;EDATE(Charts[[#This Row],[Date]],-12),Sold[DATE],"&lt;="&amp;Charts[[#This Row],[Date]],Sold[TYPE],"*State*")</calculatedColumnFormula>
    </tableColumn>
    <tableColumn id="29" name="Municipal Cap" dataDxfId="207" totalsRowDxfId="206" dataCellStyle="Percent">
      <calculatedColumnFormula>IFERROR(AVERAGEIFS(Sold[SOLD CAP],Sold[DATE],"&gt;"&amp;EDATE(Charts[[#This Row],[Date]],-12),Sold[DATE],"&lt;="&amp;Charts[[#This Row],[Date]],Sold[TYPE],"*Municipal*"),Y10)</calculatedColumnFormula>
    </tableColumn>
    <tableColumn id="19" name="Private Count (ttm)" dataDxfId="205" totalsRowDxfId="204" dataCellStyle="Percent">
      <calculatedColumnFormula>COUNTIFS(Sold[Type2],"*Private*",Sold[DATE],"&gt;"&amp;EDATE(Charts[[#This Row],[Date]],-12),Sold[DATE],"&lt;="&amp;Charts[[#This Row],[Date]])</calculatedColumnFormula>
    </tableColumn>
    <tableColumn id="17" name="Public Listed/REIT Count (ttm)" dataDxfId="203" totalsRowDxfId="202" dataCellStyle="Percent">
      <calculatedColumnFormula>COUNTIFS(Sold[Type2],"*REIT*",Sold[DATE],"&gt;"&amp;EDATE(Charts[[#This Row],[Date]],-12),Sold[DATE],"&lt;="&amp;Charts[[#This Row],[Date]])</calculatedColumnFormula>
    </tableColumn>
    <tableColumn id="16" name="Cross-Border Count (ttm)" dataDxfId="201" totalsRowDxfId="200" dataCellStyle="Percent">
      <calculatedColumnFormula>COUNTIFS(Sold[Type2],"*Cross*",Sold[DATE],"&gt;"&amp;EDATE(Charts[[#This Row],[Date]],-12),Sold[DATE],"&lt;="&amp;Charts[[#This Row],[Date]])</calculatedColumnFormula>
    </tableColumn>
    <tableColumn id="20" name="Institutional Count (ttm)" dataDxfId="199" totalsRowDxfId="198" dataCellStyle="Percent">
      <calculatedColumnFormula>COUNTIFS(Sold[Type2],"*Institutional*",Sold[DATE],"&gt;"&amp;EDATE(Charts[[#This Row],[Date]],-12),Sold[DATE],"&lt;="&amp;Charts[[#This Row],[Date]])</calculatedColumnFormula>
    </tableColumn>
    <tableColumn id="40" name="DOM" dataDxfId="197" totalsRowDxfId="196" dataCellStyle="Percent">
      <calculatedColumnFormula>AVERAGEIFS(Sold[DOM],Sold[DATE],"&gt;"&amp;EDATE(Charts[[#This Row],[Date]],-12),Sold[DATE],"&lt;="&amp;Charts[[#This Row],[Date]])</calculatedColumnFormula>
    </tableColumn>
    <tableColumn id="41" name="% of Ask" dataDxfId="195" totalsRowDxfId="194" dataCellStyle="Percent">
      <calculatedColumnFormula>AVERAGEIFS(Sold[% of Int Ach],Sold[DATE],"&lt;="&amp;C3,Sold[DATE],"&gt;"&amp;EDATE(Charts[[#This Row],[Date]],-12))</calculatedColumnFormula>
    </tableColumn>
    <tableColumn id="43" name="Last Ask" dataDxfId="193" totalsRowDxfId="192" dataCellStyle="Percent">
      <calculatedColumnFormula>AVERAGEIFS(Sold[LAST CAP],Sold[DATE],"&lt;="&amp;Charts[[#This Row],[Date]],Sold[DATE],"&gt;"&amp;EDATE(Charts[[#This Row],[Date]],-12))</calculatedColumnFormula>
    </tableColumn>
    <tableColumn id="42" name="Bid-Ask Spread" dataDxfId="191" totalsRowDxfId="190" dataCellStyle="Percent">
      <calculatedColumnFormula>AVERAGEIFS(Sold[BID-ASK SPREAD],Sold[DATE],"&lt;="&amp;Charts[[#This Row],[Date]],Sold[DATE],"&gt;"&amp;EDATE(Charts[[#This Row],[Date]],-12))</calculatedColumnFormula>
    </tableColumn>
    <tableColumn id="47" name="10-Year Treasury Yield" dataDxfId="189" totalsRowDxfId="188" dataCellStyle="Percent"/>
    <tableColumn id="46" name="Low Assumed Loan Constant" dataDxfId="187" totalsRowDxfId="186" dataCellStyle="Percent"/>
    <tableColumn id="45" name="High Assumed Loan Constant" dataDxfId="185" totalsRowDxfId="184" dataCellStyle="Percent"/>
    <tableColumn id="52" name="Price Change (ttm)" dataDxfId="183" totalsRowDxfId="182" dataCellStyle="Percent">
      <calculatedColumnFormula>COUNTIFS(Sold[PRICE CHG],"*Yes*",Sold[DATE],"&gt;"&amp;EDATE(Charts[[#This Row],[Date]],-12),Sold[DATE],"&lt;="&amp;Charts[[#This Row],[Date]])/COUNTIFS(Sold[DOM],"&lt;&gt;",Sold[DATE],"&gt;"&amp;EDATE(Charts[[#This Row],[Date]],-12),Sold[DATE],"&lt;="&amp;Charts[[#This Row],[Date]])</calculatedColumnFormula>
    </tableColumn>
    <tableColumn id="51" name="8+ Year Firm Ask (ttm)" dataDxfId="181" totalsRowDxfId="180" dataCellStyle="Percent">
      <calculatedColumnFormula>AVERAGEIFS(Sold[LAST CAP],Sold[DATE],"&gt;"&amp;EDATE(Charts[[#This Row],[Date]],-12),Sold[DATE],"&lt;="&amp;Charts[[#This Row],[Date]],Sold[FIRM],"&gt;="&amp;7.5)</calculatedColumnFormula>
    </tableColumn>
    <tableColumn id="50" name="8+ Year Firm Price Change (ttm)" dataDxfId="179" totalsRowDxfId="178" dataCellStyle="Percent">
      <calculatedColumnFormula>COUNTIFS(Sold[PRICE CHG],"*Yes*",Sold[DATE],"&gt;"&amp;EDATE(Charts[[#This Row],[Date]],-12),Sold[DATE],"&lt;="&amp;Charts[[#This Row],[Date]],Sold[FIRM],"&gt;="&amp;7.5)/COUNTIFS(Sold[DOM],"&lt;&gt;",Sold[DATE],"&gt;"&amp;EDATE(Charts[[#This Row],[Date]],-12),Sold[DATE],"&lt;="&amp;Charts[[#This Row],[Date]],Sold[FIRM],"&gt;="&amp;7.5)</calculatedColumnFormula>
    </tableColumn>
    <tableColumn id="35" name="First Generation Lease Commencements (ttm)" dataDxfId="177" totalsRowDxfId="176" dataCellStyle="Percent">
      <calculatedColumnFormula>COUNTIFS(Ownership[COM],"&gt;"&amp;EDATE(Charts[[#This Row],[Date]],-12),Ownership[COM],"&lt;="&amp;Charts[[#This Row],[Date]],Ownership[Last],"New")</calculatedColumnFormula>
    </tableColumn>
    <tableColumn id="36" name="Renewed Leases (ttm)" dataDxfId="175" totalsRowDxfId="174" dataCellStyle="Percent">
      <calculatedColumnFormula>(COUNTIFS(Ownership[COM],"&gt;"&amp;EDATE(Charts[[#This Row],[Date]],-12),Ownership[COM],"&lt;="&amp;Charts[[#This Row],[Date]],Ownership[Last],"*replacing*"))+(COUNTIFS(Ownership[COM],"&gt;"&amp;EDATE(Charts[[#This Row],[Date]],-12),Ownership[COM],"&lt;="&amp;Charts[[#This Row],[Date]],Ownership[Last],"*renew*"))+(COUNTIFS(Ownership[COM],"&gt;"&amp;EDATE(Charts[[#This Row],[Date]],-12),Ownership[COM],"&lt;="&amp;Charts[[#This Row],[Date]],Ownership[Last],"*exten*"))</calculatedColumnFormula>
    </tableColumn>
    <tableColumn id="37" name="Succeeding/Superseding Leases (ttm)" dataDxfId="173" totalsRowDxfId="172" dataCellStyle="Percent">
      <calculatedColumnFormula>(COUNTIFS(Ownership[COM],"&gt;"&amp;EDATE(Charts[[#This Row],[Date]],-12),Ownership[COM],"&lt;="&amp;Charts[[#This Row],[Date]],Ownership[Last],"*succeed*"))+(COUNTIFS(Ownership[COM],"&gt;"&amp;EDATE(Charts[[#This Row],[Date]],-12),Ownership[COM],"&lt;="&amp;Charts[[#This Row],[Date]],Ownership[Last],"*superse*"))</calculatedColumnFormula>
    </tableColumn>
    <tableColumn id="38" name="Expired Leases (ttm)" dataDxfId="171" totalsRowDxfId="170" dataCellStyle="Percent">
      <calculatedColumnFormula>-COUNTIFS(Ownership[EXP],"&lt;="&amp;Charts[[#This Row],[Date]],Ownership[EXP],"&gt;"&amp;EDATE(Charts[[#This Row],[Date]],-12),Ownership[NEW],"#N/A")</calculatedColumnFormula>
    </tableColumn>
    <tableColumn id="39" name="Terminated Leases (ttm)" dataDxfId="169" totalsRowDxfId="168" dataCellStyle="Percent">
      <calculatedColumnFormula>Charts[[#This Row],[Expired Leases (ttm)]]+COUNTIFS(Ownership[EXP],"&lt;="&amp;Charts[[#This Row],[Date]],Ownership[EXP],"&gt;"&amp;EDATE(Charts[[#This Row],[Date]],-12),Ownership[NEW],"#N/A",Ownership[TERMN],"&lt;="&amp;EDATE(Charts[[#This Row],[Date]],-12))</calculatedColumnFormula>
    </tableColumn>
    <tableColumn id="48" name="Net Change (ttm)" dataDxfId="167" totalsRowDxfId="166" dataCellStyle="Percent">
      <calculatedColumnFormula>Charts[[#This Row],[First Generation Lease Commencements (ttm)]]+Charts[[#This Row],[Renewed Leases (ttm)]]+Charts[[#This Row],[Succeeding/Superseding Leases (ttm)]]+Charts[[#This Row],[Expired Leases (ttm)]]+Charts[[#This Row],[Terminated Leases (ttm)]]</calculatedColumnFormula>
    </tableColumn>
    <tableColumn id="44" name="Total Current Leases (ttm)" dataDxfId="165" totalsRowDxfId="164" dataCellStyle="Percent">
      <calculatedColumnFormula>(COUNTIFS(Ownership[EXP],"&gt;="&amp;Charts[[#This Row],[Date]],Ownership[COM],"&lt;="&amp;Charts[[#This Row],[Date]],Ownership[NEW],"&lt;&gt;*#N/A*"))</calculatedColumnFormula>
    </tableColumn>
    <tableColumn id="4" name="Leases Extended (ttm)" dataDxfId="163" totalsRowDxfId="162" dataCellStyle="Percent">
      <calculatedColumnFormula>COUNTIFS(Ownership[RENEWED],"*Yes*",Ownership[Date],"&gt;"&amp;EDATE(Charts[[#This Row],[Date]],-12),Ownership[Date],"&lt;="&amp;Charts[[#This Row],[Date]])</calculatedColumnFormula>
    </tableColumn>
    <tableColumn id="22" name="Footprint Reduced (ttm)" dataDxfId="161" totalsRowDxfId="160" dataCellStyle="Percent">
      <calculatedColumnFormula>COUNTIFS(Ownership[RENEWED],"*Reduced*",Ownership[Date],"&gt;"&amp;EDATE(Charts[[#This Row],[Date]],-12),Ownership[Date],"&lt;="&amp;Charts[[#This Row],[Date]])</calculatedColumnFormula>
    </tableColumn>
    <tableColumn id="21" name="Leases Expired (ttm)" dataDxfId="159" totalsRowDxfId="158" dataCellStyle="Percent">
      <calculatedColumnFormula>COUNTIFS(Ownership[RENEWED],"*No*",Ownership[Date],"&gt;"&amp;EDATE(Charts[[#This Row],[Date]],-12),Ownership[Date],"&lt;="&amp;Charts[[#This Row],[Date]])</calculatedColumnFormula>
    </tableColumn>
    <tableColumn id="25" name="Leases Up for Renewal (ttm)" dataDxfId="157" totalsRowDxfId="156" dataCellStyle="Percent">
      <calculatedColumnFormula>SUM(Charts[[#This Row],[Leases Extended (ttm)]:[Leases Expired (ttm)]])</calculatedColumnFormula>
    </tableColumn>
    <tableColumn id="49" name="Leases In Firm Term (ttm)" dataDxfId="155" totalsRowDxfId="154">
      <calculatedColumnFormula>Charts[[#This Row],[Total Current Leases (ttm)]]-Charts[[#This Row],[Leases Outside Firm (ttm)]]</calculatedColumnFormula>
    </tableColumn>
    <tableColumn id="23" name="Leases Outside Firm (ttm)" dataDxfId="153" totalsRowDxfId="152" dataCellStyle="Percent">
      <calculatedColumnFormula>COUNTIFS(Ownership[TERMN],"&lt;"&amp;C3,Ownership[EXP],"&gt;"&amp;C3)</calculatedColumnFormula>
    </tableColumn>
    <tableColumn id="24" name="Leases Terminated (ttm)" dataDxfId="151" totalsRowDxfId="150" dataCellStyle="Percent">
      <calculatedColumnFormula>-Charts[[#This Row],[Terminated Leases (ttm)]]/Charts[[#This Row],[Leases Outside Firm (ttm)]]</calculatedColumnFormula>
    </tableColumn>
    <tableColumn id="53" name="Renewal Rent/SF" dataDxfId="149" totalsRowDxfId="148" dataCellStyle="Percent">
      <calculatedColumnFormula>AVERAGEIFS(Ownership[FUTURE/SF],Ownership[FUTURE/SF],"&lt;&gt;"&amp;0,Ownership[EXP],"&gt;="&amp;EDATE(Charts[[#This Row],[Date]],-12),Ownership[EXP],"&lt;="&amp;Charts[[#This Row],[Date]])</calculatedColumnFormula>
    </tableColumn>
    <tableColumn id="56" name="Upper Quartile" dataDxfId="147" totalsRowDxfId="146" dataCellStyle="Percent">
      <calculatedColumnFormula array="1">PERCENTILE(IF(Ownership[EXP]&gt;EDATE(Charts[[#This Row],[Date]],-12),IF(Ownership[EXP]&lt;=Charts[[#This Row],[Date]],IF(Ownership[CAGR]&lt;&gt;0,Ownership[CAGR]))),0.75)</calculatedColumnFormula>
    </tableColumn>
    <tableColumn id="55" name="Lower Quartile" dataDxfId="145" totalsRowDxfId="144" dataCellStyle="Percent">
      <calculatedColumnFormula array="1">PERCENTILE(IF(Ownership[EXP]&gt;EDATE(Charts[[#This Row],[Date]],-12),IF(Ownership[EXP]&lt;=Charts[[#This Row],[Date]],IF(Ownership[CAGR]&lt;&gt;0,Ownership[CAGR]))),0.25)</calculatedColumnFormula>
    </tableColumn>
    <tableColumn id="54" name="Average Renewal Rent CAGR" dataDxfId="143" totalsRowDxfId="142" dataCellStyle="Percent">
      <calculatedColumnFormula>AVERAGEIFS(Ownership[CAGR],Ownership[CAGR],"&lt;&gt;"&amp;0,Ownership[EXP],"&gt;="&amp;EDATE(Charts[[#This Row],[Date]],-12),Ownership[EXP],"&lt;="&amp;Charts[[#This Row],[Date]],Ownership[Term],"&gt;="&amp;3)</calculatedColumnFormula>
    </tableColumn>
    <tableColumn id="59" name="Tenure at Renewal" dataDxfId="141" totalsRowDxfId="140" dataCellStyle="Percent">
      <calculatedColumnFormula>AVERAGEIFS(Ownership[Tenure at Com],Ownership[COM],"&gt;"&amp;EDATE(Charts[[#This Row],[Date]],-12),Ownership[COM],"&lt;="&amp;Charts[[#This Row],[Date]])</calculatedColumnFormula>
    </tableColumn>
    <tableColumn id="60" name="Average Lease Term" dataDxfId="139" totalsRowDxfId="138" dataCellStyle="Percent">
      <calculatedColumnFormula>AVERAGEIFS(Ownership[Term],Ownership[COM],"&gt;"&amp;EDATE(Charts[[#This Row],[Date]],-12),Ownership[COM],"&lt;="&amp;Charts[[#This Row],[Date]])</calculatedColumnFormula>
    </tableColumn>
    <tableColumn id="61" name="Renewal Count" dataDxfId="137" totalsRowDxfId="136" dataCellStyle="Percent">
      <calculatedColumnFormula>AVERAGEIFS(Ownership['#ofRenewals],Ownership[COM],"&lt;="&amp;Charts[[#This Row],[Date]],Ownership[COM],"&gt;"&amp;EDATE(Charts[[#This Row],[Date]],-12))</calculatedColumnFormula>
    </tableColumn>
    <tableColumn id="65" name="Avg. Rent" dataDxfId="135" totalsRowDxfId="134" dataCellStyle="Percent">
      <calculatedColumnFormula>AVERAGE(AVERAGEIFS(Ownership[GROSS/SF],Ownership[EXP],"&lt;="&amp;Charts[[#This Row],[Date]],Ownership[Term],"&gt;="&amp;0),AVERAGEIFS(Sold[GROSS/SF],Sold[EXP],"&lt;="&amp;Charts[[#This Row],[Date]],Sold[TERM],"&gt;="&amp;0))</calculatedColumnFormula>
    </tableColumn>
    <tableColumn id="63" name="Valuation Index" dataDxfId="133" totalsRowDxfId="132" dataCellStyle="Percent">
      <calculatedColumnFormula>(Charts[[#This Row],[Avg. Rent]]-Charts[[#This Row],[Expenses PSF (ttm)]])/Charts[[#This Row],[Average Cap Rate (ttm)]]</calculatedColumnFormula>
    </tableColumn>
    <tableColumn id="62" name="YOY Change (%)2" dataDxfId="131" totalsRowDxfId="130" dataCellStyle="Percent">
      <calculatedColumnFormula>(Charts[[#This Row],[Valuation Index]]-$BJ$326)/$BJ$326</calculatedColumnFormula>
    </tableColumn>
    <tableColumn id="58" name="Expenses PSF (ttm)" dataDxfId="129" totalsRowDxfId="128" dataCellStyle="Percent">
      <calculatedColumnFormula>AVERAGEIFS(Sold[GROSS/SF],Sold[DATE],"&lt;="&amp;Charts[[#This Row],[Date]],Sold[DATE],"&gt;"&amp;EDATE(Charts[[#This Row],[Date]],-12),Sold[GROSS/SF],"&lt;&gt;"&amp;0,Sold[NET/SF],"&lt;&gt;"&amp;0)-AVERAGEIFS(Sold[NET/SF],Sold[DATE],"&lt;="&amp;Charts[[#This Row],[Date]],Sold[DATE],"&gt;"&amp;EDATE(Charts[[#This Row],[Date]],-12),Sold[GROSS/SF],"&lt;&gt;"&amp;0,Sold[NET/SF],"&lt;&gt;"&amp;0)</calculatedColumnFormula>
    </tableColumn>
    <tableColumn id="66" name="Cash Return Index" dataDxfId="127" totalsRowDxfId="126" dataCellStyle="Percent">
      <calculatedColumnFormula>(Charts[[#This Row],[Lower Quartile Cap Rate (ttm)]]*0.25)+(Charts[[#This Row],[Average Cap Rate (ttm)]]*0.5)+(Charts[[#This Row],[Upper Quartile Cap Rate (ttm)]]*0.25)</calculatedColumnFormula>
    </tableColumn>
    <tableColumn id="64" name="Leveraged Return Index" dataDxfId="125" totalsRowDxfId="124" dataCellStyle="Percent">
      <calculatedColumnFormula>(1-((1/Charts[[#This Row],[Cash Return Index]])*0.5)*AVERAGE(Charts[[#This Row],[Low Assumed Loan Constant]:[High Assumed Loan Constant]]))/((1/Charts[[#This Row],[Cash Return Index]])*0.5)</calculatedColumnFormula>
    </tableColumn>
    <tableColumn id="57" name="CPI" dataDxfId="123" totalsRowDxfId="122" dataCellStyle="Percen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SSACharts" displayName="SSACharts" ref="B2:AY339" headerRowCount="1" totalsRowCount="1" headerRowDxfId="121" dataDxfId="119" totalsRowDxfId="117" headerRowBorderDxfId="120" tableBorderDxfId="118">
  <autoFilter ref="B2:AY338"/>
  <tableColumns count="50">
    <tableColumn id="1" name="Quarter" totalsRowLabel="Total" dataDxfId="116" totalsRowDxfId="115"/>
    <tableColumn id="2" name="Date" dataDxfId="114" totalsRowDxfId="113"/>
    <tableColumn id="3" name="Transactions (ttm)" totalsRowFunction="average" dataDxfId="112" totalsRowDxfId="111">
      <calculatedColumnFormula>COUNTIFS(Sold[DATE],"&gt;"&amp;EDATE(SSACharts[[#This Row],[Date]],-12),Sold[DATE],"&lt;="&amp;SSACharts[[#This Row],[Date]],Sold[AGENCY],"*SSA*")</calculatedColumnFormula>
    </tableColumn>
    <tableColumn id="4" name="Average Deal Size (ttm)" dataDxfId="110" totalsRowDxfId="109">
      <calculatedColumnFormula>AVERAGEIFS(Sold[SOLD PRICE],Sold[DATE],"&gt;"&amp;EDATE(SSACharts[[#This Row],[Date]],-12),Sold[DATE],"&lt;="&amp;SSACharts[[#This Row],[Date]],Sold[AGENCY],"*ssa*",Sold[SOLD PRICE],"&lt;"&amp;25000000)</calculatedColumnFormula>
    </tableColumn>
    <tableColumn id="5" name="Monthly Volume" dataDxfId="108" totalsRowDxfId="107">
      <calculatedColumnFormula>SUMIFS(Sold[SOLD PRICE],Sold[DATE],"&gt;"&amp;EDATE(SSACharts[[#This Row],[Date]],-1),Sold[DATE],"&lt;="&amp;SSACharts[[#This Row],[Date]],Sold[AGENCY],"*ssa*")</calculatedColumnFormula>
    </tableColumn>
    <tableColumn id="6" name="Transaction Volume (ttm)" dataDxfId="106" totalsRowDxfId="105">
      <calculatedColumnFormula>SUMIFS(Sold[SOLD PRICE],Sold[DATE],"&gt;"&amp;EDATE(SSACharts[[#This Row],[Date]],-12),Sold[DATE],"&lt;="&amp;SSACharts[[#This Row],[Date]],Sold[AGENCY],"*ssa*")</calculatedColumnFormula>
    </tableColumn>
    <tableColumn id="7" name="Trans. Vol. (ttm)" dataDxfId="104" totalsRowDxfId="103">
      <calculatedColumnFormula>SSACharts[[#This Row],[Transactions (ttm)]]*SSACharts[[#This Row],[Average Deal Size (ttm)]]</calculatedColumnFormula>
    </tableColumn>
    <tableColumn id="50" name="y-o-y Change (%)" dataDxfId="102" totalsRowDxfId="101">
      <calculatedColumnFormula>(SSACharts[[#This Row],[Trans. Vol. (ttm)]]-H14)/H14</calculatedColumnFormula>
    </tableColumn>
    <tableColumn id="8" name="Upper Quartile Cap Rate (ttm)" dataDxfId="100" totalsRowDxfId="99" dataCellStyle="Percent">
      <calculatedColumnFormula array="1">PERCENTILE(IF(Sold[DATE]&gt;EDATE(SSACharts[[#This Row],[Date]],-12),IF(Sold[DATE]&lt;=SSACharts[[#This Row],[Date]],IF(Sold[SOLD CAP]&lt;&gt;"",IF(Sold[AGENCY]="ssa",Sold[SOLD CAP])))),0.75)</calculatedColumnFormula>
    </tableColumn>
    <tableColumn id="9" name="Lower Quartile Cap Rate (ttm)" dataDxfId="98" totalsRowDxfId="97" dataCellStyle="Percent">
      <calculatedColumnFormula array="1">PERCENTILE(IF(Sold[DATE]&gt;EDATE(SSACharts[[#This Row],[Date]],-12),IF(Sold[DATE]&lt;=SSACharts[[#This Row],[Date]],IF(Sold[SOLD CAP]&lt;&gt;"",IF(Sold[AGENCY]="ssa",Sold[SOLD CAP])))),0.25)</calculatedColumnFormula>
    </tableColumn>
    <tableColumn id="10" name="Average Cap Rate (ttm)" dataDxfId="96" totalsRowDxfId="95" dataCellStyle="Percent">
      <calculatedColumnFormula>AVERAGEIFS(Sold[SOLD CAP],Sold[DATE],"&gt;"&amp;EDATE(SSACharts[[#This Row],[Date]],-12),Sold[DATE],"&lt;="&amp;SSACharts[[#This Row],[Date]],Sold[AGENCY],"*ssa*")</calculatedColumnFormula>
    </tableColumn>
    <tableColumn id="11" name="SJC Average Cap (ttm)" dataDxfId="94" totalsRowDxfId="93">
      <calculatedColumnFormula>IFERROR(AVERAGE(AVERAGEIFS(Sold[SOLD CAP],Sold[DATE],"&gt;"&amp;EDATE(SSACharts[[#This Row],[Date]],-12),Sold[DATE],"&lt;="&amp;SSACharts[[#This Row],[Date]],Sold[L. BROKER],"*sjc*",Sold[AGENCY],"*ssa*"),IFERROR(AVERAGEIFS(Sold[SOLD CAP],Sold[DATE],"&gt;"&amp;EDATE(SSACharts[[#This Row],[Date]],-12),Sold[DATE],"&lt;="&amp;SSACharts[[#This Row],[Date]],Sold[P. BROKER],"*sjc*",Sold[AGENCY],"*ssa*"),M2)),M2)</calculatedColumnFormula>
    </tableColumn>
    <tableColumn id="12" name="Non-SJC Average Cap (ttm)" dataDxfId="92" totalsRowDxfId="91" dataCellStyle="Percent">
      <calculatedColumnFormula>IFERROR(AVERAGEIFS(Sold[SOLD CAP],Sold[L. BROKER],"&lt;&gt;*sjc*",Sold[L. BROKER],"&lt;&gt;0",Sold[P. BROKER],"&lt;&gt;*sjc*",Sold[DATE],"&gt;"&amp;EDATE(SSACharts[[#This Row],[Date]],-12),Sold[DATE],"&lt;="&amp;SSACharts[[#This Row],[Date]],Sold[AGENCY],"*ssa*",Sold[SOLD PRICE],"&lt;="&amp;10000000),N2)</calculatedColumnFormula>
    </tableColumn>
    <tableColumn id="13" name="3+ Year Cap (ttm)" dataDxfId="90" totalsRowDxfId="89">
      <calculatedColumnFormula>IFERROR(AVERAGEIFS(Sold[SOLD CAP],Sold[FIRM],"&gt;="&amp;3,Sold[DATE],"&gt;"&amp;EDATE(SSACharts[[#This Row],[Date]],-12),Sold[DATE],"&lt;="&amp;SSACharts[[#This Row],[Date]],Sold[AGENCY],"*ssa*"),O2)</calculatedColumnFormula>
    </tableColumn>
    <tableColumn id="49" name="0 to 3 Year Cap (ttm)" dataDxfId="88" totalsRowDxfId="87">
      <calculatedColumnFormula>IFERROR(AVERAGEIFS(Sold[SOLD CAP],Sold[FIRM],"&gt;="&amp;0,Sold[FIRM],"&lt;"&amp;3,Sold[DATE],"&gt;"&amp;EDATE(SSACharts[[#This Row],[Date]],-12),Sold[DATE],"&lt;="&amp;SSACharts[[#This Row],[Date]],Sold[AGENCY],"*ssa*"),P2)</calculatedColumnFormula>
    </tableColumn>
    <tableColumn id="14" name="2.5 to 5 Year Cap (ttm)" dataDxfId="86" totalsRowDxfId="85" dataCellStyle="Percent">
      <calculatedColumnFormula>IFERROR(AVERAGEIFS(Sold[SOLD CAP],Sold[FIRM],"&gt;="&amp;2.5,Sold[FIRM],"&lt;"&amp;5,Sold[DATE],"&gt;"&amp;EDATE(SSACharts[[#This Row],[Date]],-12),Sold[DATE],"&lt;="&amp;SSACharts[[#This Row],[Date]],Sold[AGENCY],"*ssa*"),Q2)</calculatedColumnFormula>
    </tableColumn>
    <tableColumn id="15" name="Less than 2.5 Year Cap (ttm)" dataDxfId="84" totalsRowDxfId="83" dataCellStyle="Percent">
      <calculatedColumnFormula>IFERROR(AVERAGEIFS(Sold[SOLD CAP],Sold[FIRM],"&lt;"&amp;2.5,Sold[FIRM],"&gt;="&amp;0,Sold[DATE],"&gt;"&amp;EDATE(SSACharts[[#This Row],[Date]],-12),Sold[DATE],"&lt;="&amp;SSACharts[[#This Row],[Date]],Sold[AGENCY],"*ssa*"),R2)</calculatedColumnFormula>
    </tableColumn>
    <tableColumn id="16" name="Outside Firm Term (ttm)" dataDxfId="82" totalsRowDxfId="81" dataCellStyle="Percent">
      <calculatedColumnFormula>IFERROR(AVERAGEIFS(Sold[SOLD CAP],Sold[FIRM],"&lt;"&amp;0,Sold[FIRM],"&lt;&gt;"&amp;" ",Sold[DATE],"&gt;"&amp;EDATE(SSACharts[[#This Row],[Date]],-12),Sold[DATE],"&lt;="&amp;SSACharts[[#This Row],[Date]],Sold[AGENCY],"*ssa*"),R2)</calculatedColumnFormula>
    </tableColumn>
    <tableColumn id="17" name="Private Volume (ttm)" dataDxfId="80" totalsRowDxfId="79"/>
    <tableColumn id="18" name="Public Listed/REIT Volume (ttm)" dataDxfId="78" totalsRowDxfId="77"/>
    <tableColumn id="19" name="Cross-Border Volume (ttm)" dataDxfId="76" totalsRowDxfId="75"/>
    <tableColumn id="20" name="Institutional Volume (ttm)" dataDxfId="74" totalsRowDxfId="73"/>
    <tableColumn id="21" name="Private Count (ttm)" dataDxfId="72" totalsRowDxfId="71"/>
    <tableColumn id="22" name="Public Listed/REIT Count (ttm)" dataDxfId="70" totalsRowDxfId="69"/>
    <tableColumn id="23" name="Cross-Border Count (ttm)" dataDxfId="68" totalsRowDxfId="67"/>
    <tableColumn id="24" name="Institutional Count (ttm)" dataDxfId="66" totalsRowDxfId="65"/>
    <tableColumn id="25" name="DOM" dataDxfId="64" totalsRowDxfId="63">
      <calculatedColumnFormula>IFERROR(AVERAGEIFS(Sold[DOM],Sold[DATE],"&gt;"&amp;EDATE(SSACharts[[#This Row],[Date]],-12),Sold[DATE],"&lt;="&amp;SSACharts[[#This Row],[Date]],Sold[AGENCY],"*ssa*"),AB2)</calculatedColumnFormula>
    </tableColumn>
    <tableColumn id="26" name="% of Ask" dataDxfId="62" totalsRowDxfId="61">
      <calculatedColumnFormula>IFERROR(AVERAGEIFS(Sold[% of Int Ach],Sold[DATE],"&lt;="&amp;C3,Sold[DATE],"&gt;"&amp;EDATE(SSACharts[[#This Row],[Date]],-12),Sold[AGENCY],"*ssa*"),AC2)</calculatedColumnFormula>
    </tableColumn>
    <tableColumn id="27" name="Last Ask" dataDxfId="60" totalsRowDxfId="59">
      <calculatedColumnFormula>IFERROR(AVERAGEIFS(Sold[LAST CAP],Sold[DATE],"&lt;="&amp;SSACharts[[#This Row],[Date]],Sold[DATE],"&gt;"&amp;EDATE(SSACharts[[#This Row],[Date]],-12),Sold[AGENCY],"*ssa*"),AD2)</calculatedColumnFormula>
    </tableColumn>
    <tableColumn id="28" name="Bid-Ask Spread" dataDxfId="58" totalsRowDxfId="57">
      <calculatedColumnFormula>IFERROR(AVERAGEIFS(Sold[BID-ASK SPREAD],Sold[DATE],"&lt;="&amp;SSACharts[[#This Row],[Date]],Sold[DATE],"&gt;"&amp;EDATE(SSACharts[[#This Row],[Date]],-12),Sold[AGENCY],"*ssa*"),AE2)</calculatedColumnFormula>
    </tableColumn>
    <tableColumn id="29" name="10-Year Treasury Yield" dataDxfId="56" totalsRowDxfId="55"/>
    <tableColumn id="30" name="Low Assumed Loan Constant" dataDxfId="54" totalsRowDxfId="53">
      <calculatedColumnFormula>PMT((SSACharts[[#This Row],[10-Year Treasury Yield]]+0.018)/12,360,-1,0)*12</calculatedColumnFormula>
    </tableColumn>
    <tableColumn id="31" name="High Assumed Loan Constant" dataDxfId="52" totalsRowDxfId="51">
      <calculatedColumnFormula>PMT((SSACharts[[#This Row],[10-Year Treasury Yield]]+0.022)/12,360,-1,0)*12</calculatedColumnFormula>
    </tableColumn>
    <tableColumn id="32" name="Price Change (ttm)" dataDxfId="50" totalsRowDxfId="49">
      <calculatedColumnFormula>IFERROR(COUNTIFS(Sold[PRICE CHG],"*Yes*",Sold[DATE],"&gt;"&amp;EDATE(SSACharts[[#This Row],[Date]],-12),Sold[DATE],"&lt;="&amp;SSACharts[[#This Row],[Date]],Sold[AGENCY],"*ssa*")/COUNTIFS(Sold[DOM],"&lt;&gt;",Sold[DATE],"&gt;"&amp;EDATE(SSACharts[[#This Row],[Date]],-12),Sold[DATE],"&lt;="&amp;SSACharts[[#This Row],[Date]],Sold[AGENCY],"*ssa*"),AI2)</calculatedColumnFormula>
    </tableColumn>
    <tableColumn id="33" name="3+ Year Firm Ask (ttm)" dataDxfId="48" totalsRowDxfId="47">
      <calculatedColumnFormula>IFERROR(AVERAGEIFS(Sold[LAST CAP],Sold[DATE],"&gt;"&amp;EDATE(SSACharts[[#This Row],[Date]],-12),Sold[DATE],"&lt;="&amp;SSACharts[[#This Row],[Date]],Sold[FIRM],"&gt;="&amp;3,Sold[AGENCY],"*ssa*"),AJ2)</calculatedColumnFormula>
    </tableColumn>
    <tableColumn id="34" name="3+ Year Firm Price Change (ttm)" dataDxfId="46" totalsRowDxfId="45">
      <calculatedColumnFormula>IFERROR(COUNTIFS(Sold[PRICE CHG],"*Yes*",Sold[DATE],"&gt;"&amp;EDATE(SSACharts[[#This Row],[Date]],-12),Sold[DATE],"&lt;="&amp;SSACharts[[#This Row],[Date]],Sold[FIRM],"&gt;="&amp;3,Sold[AGENCY],"*ssa*")/COUNTIFS(Sold[DOM],"&lt;&gt;",Sold[DATE],"&gt;"&amp;EDATE(SSACharts[[#This Row],[Date]],-12),Sold[DATE],"&lt;="&amp;SSACharts[[#This Row],[Date]],Sold[FIRM],"&gt;="&amp;3,Sold[AGENCY],"*ssa*"),AK2)</calculatedColumnFormula>
    </tableColumn>
    <tableColumn id="35" name="First Generation Lease Commencements (ttm)" dataDxfId="44" totalsRowDxfId="43"/>
    <tableColumn id="36" name="Renewed Leases (ttm)" dataDxfId="42" totalsRowDxfId="41"/>
    <tableColumn id="37" name="Succeeding/Superseding Leases (ttm)" dataDxfId="40" totalsRowDxfId="39"/>
    <tableColumn id="38" name="Expired Leases (ttm)" dataDxfId="38" totalsRowDxfId="37"/>
    <tableColumn id="39" name="Terminated Leases (ttm)" dataDxfId="36" totalsRowDxfId="35"/>
    <tableColumn id="40" name="Net Change (ttm)" dataDxfId="34" totalsRowDxfId="33"/>
    <tableColumn id="41" name="Total Current Leases (ttm)" dataDxfId="32" totalsRowDxfId="31"/>
    <tableColumn id="42" name="Leases Extended (ttm)" dataDxfId="30" totalsRowDxfId="29"/>
    <tableColumn id="43" name="Footprint Reduced (ttm)" dataDxfId="28" totalsRowDxfId="27"/>
    <tableColumn id="44" name="Leases Expired (ttm)" dataDxfId="26" totalsRowDxfId="25"/>
    <tableColumn id="45" name="Leases Up for Renewal (ttm)" dataDxfId="24" totalsRowDxfId="23"/>
    <tableColumn id="46" name="Leases In Firm Term (ttm)" dataDxfId="22" totalsRowDxfId="21"/>
    <tableColumn id="47" name="Leases Outside Firm (ttm)" dataDxfId="20" totalsRowDxfId="19"/>
    <tableColumn id="48" name="Leases Terminated (ttm)" totalsRowFunction="count" dataDxfId="18" totalsRowDxfId="17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FRPP" displayName="FRPP" ref="B2:DJ20414" headerRowCount="1" totalsRowShown="0">
  <autoFilter ref="B2:DJ20414">
    <filterColumn colId="7" hiddenButton="0" showButton="1">
      <filters>
        <filter val="BUREAU OF LAND MANAGEMENT"/>
      </filters>
    </filterColumn>
  </autoFilter>
  <sortState ref="B1104:DJ19243">
    <sortCondition descending="1" ref="CA2:CA20414"/>
  </sortState>
  <tableColumns count="113">
    <tableColumn id="1" name="Real Property Unique Identifier"/>
    <tableColumn id="2" name="Reporting Agency"/>
    <tableColumn id="3" name="Reporting Agency Code"/>
    <tableColumn id="4" name="Reporting Bureau"/>
    <tableColumn id="5" name="Reporting Bureau Code"/>
    <tableColumn id="6" name="Using Agency"/>
    <tableColumn id="7" name="Using Agency Code"/>
    <tableColumn id="8" name="Using Bureau"/>
    <tableColumn id="9" name="Using Bureau Code"/>
    <tableColumn id="10" name="US/Foreign"/>
    <tableColumn id="11" name="Country Code"/>
    <tableColumn id="12" name="Country Name"/>
    <tableColumn id="13" name="State Code"/>
    <tableColumn id="14" name="State Name"/>
    <tableColumn id="15" name="County Code"/>
    <tableColumn id="16" name="County Name"/>
    <tableColumn id="17" name="City Code"/>
    <tableColumn id="18" name="City Name"/>
    <tableColumn id="19" name="Zip Code"/>
    <tableColumn id="20" name="Core-based Statistical Area"/>
    <tableColumn id="21" name="Core-based Statistical Area Code"/>
    <tableColumn id="22" name="Street Address"/>
    <tableColumn id="23" name="Installation Id"/>
    <tableColumn id="24" name="Installation Name"/>
    <tableColumn id="25" name="Sub Installation Id"/>
    <tableColumn id="26" name="Latitude"/>
    <tableColumn id="27" name="Longitude"/>
    <tableColumn id="28" name="Legal Interest Indicator"/>
    <tableColumn id="29" name="Legal Interest Code"/>
    <tableColumn id="30" name="Real Property Type"/>
    <tableColumn id="31" name="Real Property Type Code"/>
    <tableColumn id="32" name="Real Property Use"/>
    <tableColumn id="33" name="Real Property Use Code"/>
    <tableColumn id="34" name="Utilization"/>
    <tableColumn id="35" name="Utilization Code"/>
    <tableColumn id="36" name="Asset Status"/>
    <tableColumn id="37" name="Asset Status Code"/>
    <tableColumn id="38" name="Historical Status"/>
    <tableColumn id="39" name="Historical Status Code"/>
    <tableColumn id="40" name="Field Office"/>
    <tableColumn id="41" name="Field Office Code"/>
    <tableColumn id="42" name="Field Office Collocation"/>
    <tableColumn id="43" name="Field Office Collocation Code"/>
    <tableColumn id="44" name="Acres"/>
    <tableColumn id="45" name="Actual Sales Price"/>
    <tableColumn id="46" name="Building Age"/>
    <tableColumn id="47" name="Reason Cannot Currently Be Disposed"/>
    <tableColumn id="48" name="Reason Cannot Currently Be Disposed Code"/>
    <tableColumn id="49" name="Cannot Currently Be Disposed of Date"/>
    <tableColumn id="50" name="CFO Agency"/>
    <tableColumn id="51" name="Congressional District"/>
    <tableColumn id="52" name="Consecutive Years Underutilized"/>
    <tableColumn id="53" name="Date Start of Underutilized"/>
    <tableColumn id="54" name="Determination to Dispose Date"/>
    <tableColumn id="55" name="Determine # of Contractors"/>
    <tableColumn id="56" name="Determine Number of Fed Contractors Code"/>
    <tableColumn id="57" name="Number of Federal Contractors"/>
    <tableColumn id="58" name="Determine # of Employees"/>
    <tableColumn id="59" name="Determine Number of Fed Employees Code"/>
    <tableColumn id="60" name="Number of Federal Employees"/>
    <tableColumn id="61" name="Disposition Date"/>
    <tableColumn id="62" name="Disposition Method"/>
    <tableColumn id="63" name="Disposition Method Code"/>
    <tableColumn id="64" name="Estimated Future Capital Expenditures"/>
    <tableColumn id="65" name="Estimated Net Present Value"/>
    <tableColumn id="66" name="Excess Date"/>
    <tableColumn id="67" name="FASTA Disposal Exclusion"/>
    <tableColumn id="68" name="FASTA Disposal Exclusion Code"/>
    <tableColumn id="69" name="FASTA Disposal Exclusion Reason"/>
    <tableColumn id="70" name="FASTA Disposal Exclusion Reason Code"/>
    <tableColumn id="71" name="FiscalYear"/>
    <tableColumn id="72" name="Historical Capital Expenditures"/>
    <tableColumn id="73" name="Lease Annual Rent to Lessor"/>
    <tableColumn id="74" name="Leased Annual Maintenance Costs"/>
    <tableColumn id="75" name="Leased Annual Operations Costs"/>
    <tableColumn id="76" name="Lease Authority"/>
    <tableColumn id="77" name="Lease Authority Code"/>
    <tableColumn id="78" name="Lease Expiration Date" dataDxfId="2"/>
    <tableColumn id="79" name="Lease Occupancy Date"/>
    <tableColumn id="80" name="Lease Start Date" dataDxfId="1"/>
    <tableColumn id="81" name="Net Proceeds"/>
    <tableColumn id="82" name="Number of Days Excess"/>
    <tableColumn id="83" name="Number of Days Surplus"/>
    <tableColumn id="84" name="Number of Days Underutilized"/>
    <tableColumn id="85" name="Outgrant Indicator"/>
    <tableColumn id="86" name="Owned and Otherwise Managed Annual Operations Cost"/>
    <tableColumn id="87" name="Owned and Otherwise Managed Annual Maintenance Cost"/>
    <tableColumn id="88" name="Repair Needs"/>
    <tableColumn id="89" name="Replacement Value"/>
    <tableColumn id="90" name="Condition Index"/>
    <tableColumn id="91" name="Report of Excess Accepted Date"/>
    <tableColumn id="92" name="Report of Excess Submitted Date"/>
    <tableColumn id="93" name="Reduce the Footprint"/>
    <tableColumn id="94" name="Square Feet (Buildings)"/>
    <tableColumn id="95" name="Square Feet Unit of Measure"/>
    <tableColumn id="96" name="SquareFeet UnitOfMeasure Code"/>
    <tableColumn id="97" name="Structural Units"/>
    <tableColumn id="98" name="Surplus Declaration Date"/>
    <tableColumn id="99" name="Sustainability"/>
    <tableColumn id="100" name="Sustainability Code"/>
    <tableColumn id="101" name="Unit Of Measure"/>
    <tableColumn id="102" name="Unit Of Measure Code"/>
    <tableColumn id="103" name="Year Asset Reported Underutilized"/>
    <tableColumn id="104" name="Year of Construction" dataDxfId="0"/>
    <tableColumn id="105" name="Outgrant Indicator Value"/>
    <tableColumn id="106" name="Asset Height Range"/>
    <tableColumn id="107" name="Asset Height"/>
    <tableColumn id="108" name="Asset Height Range Above Mean Sea Level"/>
    <tableColumn id="109" name="Asset Height Above Mean Sea Level"/>
    <tableColumn id="110" name="Elevation Above Mean Sea Level"/>
    <tableColumn id="111" name="FOIA Exemption"/>
    <tableColumn id="112" name="FOIA Exemption Code"/>
    <tableColumn id="113" name="Statutory Ci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orthmarq">
      <a:dk1>
        <a:srgbClr val="191919"/>
      </a:dk1>
      <a:lt1>
        <a:srgbClr val="FFFFFF"/>
      </a:lt1>
      <a:dk2>
        <a:srgbClr val="003DA5"/>
      </a:dk2>
      <a:lt2>
        <a:srgbClr val="E7E6E6"/>
      </a:lt2>
      <a:accent1>
        <a:srgbClr val="003DA5"/>
      </a:accent1>
      <a:accent2>
        <a:srgbClr val="666666"/>
      </a:accent2>
      <a:accent3>
        <a:srgbClr val="265AB2"/>
      </a:accent3>
      <a:accent4>
        <a:srgbClr val="E0E8F4"/>
      </a:accent4>
      <a:accent5>
        <a:srgbClr val="62B5E5"/>
      </a:accent5>
      <a:accent6>
        <a:srgbClr val="E2E2E2"/>
      </a:accent6>
      <a:hlink>
        <a:srgbClr val="62B5E5"/>
      </a:hlink>
      <a:folHlink>
        <a:srgbClr val="62B5E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AT2"/>
  <sheetViews>
    <sheetView topLeftCell="W170" zoomScale="80" zoomScaleNormal="80" workbookViewId="0">
      <selection activeCell="AS4" sqref="AS4:AS485"/>
    </sheetView>
  </sheetViews>
  <sheetFormatPr baseColWidth="8" defaultColWidth="9.140625" defaultRowHeight="15"/>
  <cols>
    <col width="6.7109375" bestFit="1" customWidth="1" style="1" min="1" max="1"/>
    <col width="15" customWidth="1" style="291" min="2" max="2"/>
    <col width="11.42578125" customWidth="1" style="291" min="3" max="3"/>
    <col width="10.140625" customWidth="1" style="291" min="4" max="4"/>
    <col width="15" customWidth="1" style="291" min="5" max="5"/>
    <col width="32.140625" customWidth="1" style="291" min="6" max="6"/>
    <col width="20" bestFit="1" customWidth="1" style="291" min="7" max="7"/>
    <col width="8.7109375" customWidth="1" style="292" min="8" max="8"/>
    <col width="8.28515625" customWidth="1" style="293" min="9" max="9"/>
    <col width="8.42578125" customWidth="1" style="62" min="10" max="10"/>
    <col width="12.28515625" customWidth="1" style="5" min="11" max="11"/>
    <col width="11.5703125" customWidth="1" style="5" min="12" max="12"/>
    <col width="12.140625" customWidth="1" style="28" min="13" max="13"/>
    <col width="15.7109375" customWidth="1" style="294" min="14" max="14"/>
    <col width="15.7109375" customWidth="1" style="295" min="15" max="15"/>
    <col width="15.7109375" customWidth="1" style="294" min="16" max="16"/>
    <col width="11.140625" customWidth="1" style="295" min="17" max="17"/>
    <col width="7.85546875" customWidth="1" style="296" min="18" max="18"/>
    <col width="10.28515625" bestFit="1" customWidth="1" style="296" min="19" max="19"/>
    <col width="7.85546875" customWidth="1" style="296" min="20" max="20"/>
    <col width="13" customWidth="1" style="297" min="21" max="22"/>
    <col width="16.42578125" bestFit="1" customWidth="1" style="292" min="23" max="23"/>
    <col width="27.28515625" bestFit="1" customWidth="1" style="292" min="24" max="24"/>
    <col width="40" bestFit="1" customWidth="1" style="292" min="25" max="25"/>
    <col width="13.5703125" customWidth="1" style="298" min="26" max="26"/>
    <col width="11.140625" customWidth="1" style="299" min="27" max="27"/>
    <col width="12" customWidth="1" style="291" min="28" max="29"/>
    <col width="13.5703125" customWidth="1" style="300" min="30" max="30"/>
    <col width="19.140625" customWidth="1" style="300" min="31" max="31"/>
    <col width="13.5703125" customWidth="1" style="300" min="32" max="32"/>
    <col width="20.85546875" customWidth="1" style="300" min="33" max="33"/>
    <col width="6.7109375" customWidth="1" style="300" min="34" max="34"/>
    <col width="13.5703125" customWidth="1" style="300" min="35" max="36"/>
    <col width="13.7109375" customWidth="1" style="300" min="37" max="37"/>
    <col width="15" customWidth="1" style="301" min="38" max="38"/>
    <col width="13.42578125" customWidth="1" style="302" min="39" max="39"/>
    <col width="13.7109375" customWidth="1" style="302" min="40" max="40"/>
    <col width="13" bestFit="1" customWidth="1" style="301" min="41" max="41"/>
    <col width="11.42578125" customWidth="1" style="302" min="42" max="44"/>
    <col width="12.7109375" customWidth="1" style="302" min="45" max="45"/>
    <col width="14.28515625" customWidth="1" style="302" min="46" max="46"/>
    <col width="9.140625" customWidth="1" style="302" min="47" max="16384"/>
  </cols>
  <sheetData>
    <row r="1" ht="15.75" customHeight="1" s="59" thickBot="1">
      <c r="R1" s="296" t="n"/>
      <c r="S1" s="296" t="n"/>
      <c r="T1" s="296" t="n"/>
      <c r="U1" s="297" t="n"/>
      <c r="V1" s="297" t="n"/>
      <c r="AD1" s="209">
        <f>COUNT(Sold[DATE])</f>
        <v/>
      </c>
      <c r="AE1" s="300" t="n"/>
      <c r="AF1" s="300" t="n"/>
      <c r="AG1" s="300" t="n"/>
      <c r="AH1" s="300" t="n"/>
      <c r="AI1" s="300" t="n"/>
      <c r="AJ1" s="300" t="n"/>
      <c r="AK1" s="300" t="n"/>
    </row>
    <row r="2" ht="22.5" customHeight="1" s="59" thickBot="1">
      <c r="A2" s="12" t="n"/>
      <c r="B2" s="303" t="inlineStr">
        <is>
          <t>LEASE NO.</t>
        </is>
      </c>
      <c r="C2" s="303" t="inlineStr">
        <is>
          <t>AGENCY</t>
        </is>
      </c>
      <c r="D2" s="303" t="inlineStr">
        <is>
          <t>TYPE</t>
        </is>
      </c>
      <c r="E2" s="303" t="inlineStr">
        <is>
          <t>INTEREST</t>
        </is>
      </c>
      <c r="F2" s="303" t="inlineStr">
        <is>
          <t>ADDRESS</t>
        </is>
      </c>
      <c r="G2" s="303" t="inlineStr">
        <is>
          <t>CITY</t>
        </is>
      </c>
      <c r="H2" s="303" t="inlineStr">
        <is>
          <t>STATE</t>
        </is>
      </c>
      <c r="I2" s="304" t="inlineStr">
        <is>
          <t>LAND</t>
        </is>
      </c>
      <c r="J2" s="303" t="inlineStr">
        <is>
          <t>BUILT</t>
        </is>
      </c>
      <c r="K2" s="132" t="inlineStr">
        <is>
          <t>SF LEASED</t>
        </is>
      </c>
      <c r="L2" s="132" t="inlineStr">
        <is>
          <t>RBA</t>
        </is>
      </c>
      <c r="M2" s="133" t="inlineStr">
        <is>
          <t>GOV OCCP</t>
        </is>
      </c>
      <c r="N2" s="305" t="inlineStr">
        <is>
          <t>GROSS</t>
        </is>
      </c>
      <c r="O2" s="306" t="inlineStr">
        <is>
          <t>GROSS/SF</t>
        </is>
      </c>
      <c r="P2" s="305" t="inlineStr">
        <is>
          <t>NOI</t>
        </is>
      </c>
      <c r="Q2" s="306" t="inlineStr">
        <is>
          <t>NET/SF</t>
        </is>
      </c>
      <c r="R2" s="307" t="inlineStr">
        <is>
          <t>COM</t>
        </is>
      </c>
      <c r="S2" s="307" t="inlineStr">
        <is>
          <t>EXP</t>
        </is>
      </c>
      <c r="T2" s="307" t="inlineStr">
        <is>
          <t>TERMN</t>
        </is>
      </c>
      <c r="U2" s="304" t="inlineStr">
        <is>
          <t>TERM</t>
        </is>
      </c>
      <c r="V2" s="304" t="inlineStr">
        <is>
          <t>FIRM</t>
        </is>
      </c>
      <c r="W2" s="303" t="inlineStr">
        <is>
          <t>EXPENSES</t>
        </is>
      </c>
      <c r="X2" s="308" t="inlineStr">
        <is>
          <t>BUMPS</t>
        </is>
      </c>
      <c r="Y2" s="308" t="inlineStr">
        <is>
          <t>RENEWAL OPTIONS</t>
        </is>
      </c>
      <c r="Z2" s="309" t="inlineStr">
        <is>
          <t>SOLD PRICE</t>
        </is>
      </c>
      <c r="AA2" s="310" t="inlineStr">
        <is>
          <t>SOLD/SF</t>
        </is>
      </c>
      <c r="AB2" s="310" t="inlineStr">
        <is>
          <t>SOLD CAP</t>
        </is>
      </c>
      <c r="AC2" s="310" t="inlineStr">
        <is>
          <t>ZCF</t>
        </is>
      </c>
      <c r="AD2" s="310" t="inlineStr">
        <is>
          <t>DATE</t>
        </is>
      </c>
      <c r="AE2" s="310" t="inlineStr">
        <is>
          <t>SELLER</t>
        </is>
      </c>
      <c r="AF2" s="310" t="inlineStr">
        <is>
          <t>L. BROKER</t>
        </is>
      </c>
      <c r="AG2" s="310" t="inlineStr">
        <is>
          <t>BUYER</t>
        </is>
      </c>
      <c r="AH2" s="310" t="inlineStr">
        <is>
          <t>Bstate</t>
        </is>
      </c>
      <c r="AI2" s="310" t="inlineStr">
        <is>
          <t>Type2</t>
        </is>
      </c>
      <c r="AJ2" s="310" t="inlineStr">
        <is>
          <t>P. BROKER</t>
        </is>
      </c>
      <c r="AK2" s="310" t="inlineStr">
        <is>
          <t>DEVELOPER</t>
        </is>
      </c>
      <c r="AL2" s="309" t="inlineStr">
        <is>
          <t>INITIAL PRICE</t>
        </is>
      </c>
      <c r="AM2" s="310" t="inlineStr">
        <is>
          <t>INITIAL CAP</t>
        </is>
      </c>
      <c r="AN2" s="310" t="inlineStr">
        <is>
          <t>% of Int Ach</t>
        </is>
      </c>
      <c r="AO2" s="309" t="inlineStr">
        <is>
          <t>LAST PRICE</t>
        </is>
      </c>
      <c r="AP2" s="310" t="inlineStr">
        <is>
          <t>LAST CAP</t>
        </is>
      </c>
      <c r="AQ2" s="310" t="inlineStr">
        <is>
          <t>BID-ASK SPREAD</t>
        </is>
      </c>
      <c r="AR2" s="310" t="inlineStr">
        <is>
          <t>PRICE CHG</t>
        </is>
      </c>
      <c r="AS2" s="310" t="inlineStr">
        <is>
          <t>ON MARKET</t>
        </is>
      </c>
      <c r="AT2" s="310" t="inlineStr">
        <is>
          <t>DOM</t>
        </is>
      </c>
    </row>
    <row r="3" hidden="1" ht="18.75" customFormat="1" customHeight="1" s="311"/>
    <row r="4" ht="18.75" customFormat="1" customHeight="1" s="311"/>
    <row r="5" hidden="1" ht="18.75" customFormat="1" customHeight="1" s="311"/>
    <row r="6" hidden="1" ht="18.75" customFormat="1" customHeight="1" s="311"/>
    <row r="7" hidden="1" ht="18.75" customFormat="1" customHeight="1" s="311"/>
    <row r="8" hidden="1" ht="18.75" customFormat="1" customHeight="1" s="311"/>
    <row r="9" hidden="1" ht="18.75" customFormat="1" customHeight="1" s="311"/>
    <row r="10" ht="18.75" customFormat="1" customHeight="1" s="311"/>
    <row r="11" hidden="1" ht="18.75" customFormat="1" customHeight="1" s="311"/>
    <row r="12" hidden="1" ht="18.75" customFormat="1" customHeight="1" s="311"/>
    <row r="13" hidden="1" ht="18.75" customFormat="1" customHeight="1" s="311"/>
    <row r="14" ht="18.75" customFormat="1" customHeight="1" s="311"/>
    <row r="15" hidden="1" ht="18.75" customFormat="1" customHeight="1" s="311"/>
    <row r="16" ht="18.75" customFormat="1" customHeight="1" s="311"/>
    <row r="17" ht="18.75" customFormat="1" customHeight="1" s="311"/>
    <row r="18" hidden="1" ht="18.75" customFormat="1" customHeight="1" s="311"/>
    <row r="19" hidden="1" ht="18.75" customFormat="1" customHeight="1" s="311"/>
    <row r="20" ht="18.75" customFormat="1" customHeight="1" s="311"/>
    <row r="21" hidden="1" ht="18.75" customFormat="1" customHeight="1" s="311"/>
    <row r="22" hidden="1" ht="18.75" customFormat="1" customHeight="1" s="311"/>
    <row r="23" hidden="1" ht="18.75" customFormat="1" customHeight="1" s="311"/>
    <row r="24" hidden="1" ht="18.75" customFormat="1" customHeight="1" s="311"/>
    <row r="25" hidden="1" ht="18.75" customFormat="1" customHeight="1" s="311"/>
    <row r="26" hidden="1" ht="18.75" customFormat="1" customHeight="1" s="311"/>
    <row r="27" hidden="1" ht="18.75" customFormat="1" customHeight="1" s="311"/>
    <row r="28" hidden="1" ht="18.75" customFormat="1" customHeight="1" s="311"/>
    <row r="29" hidden="1" ht="18.75" customFormat="1" customHeight="1" s="311"/>
    <row r="30" hidden="1" ht="18.75" customFormat="1" customHeight="1" s="311"/>
    <row r="31" hidden="1" ht="18.75" customFormat="1" customHeight="1" s="311"/>
    <row r="32" hidden="1" ht="18.75" customFormat="1" customHeight="1" s="311"/>
    <row r="33" hidden="1" ht="18.75" customFormat="1" customHeight="1" s="311"/>
    <row r="34" hidden="1" ht="18.75" customFormat="1" customHeight="1" s="311"/>
    <row r="35" hidden="1" ht="18.75" customFormat="1" customHeight="1" s="311"/>
    <row r="36" hidden="1" ht="18.75" customFormat="1" customHeight="1" s="311"/>
    <row r="37" hidden="1" ht="18.75" customFormat="1" customHeight="1" s="311"/>
    <row r="38" hidden="1" ht="18.75" customFormat="1" customHeight="1" s="311"/>
    <row r="39" hidden="1" ht="18.75" customFormat="1" customHeight="1" s="311"/>
    <row r="40" hidden="1" ht="18.75" customFormat="1" customHeight="1" s="311"/>
    <row r="41" ht="18.75" customFormat="1" customHeight="1" s="311"/>
    <row r="42" hidden="1" ht="18.75" customFormat="1" customHeight="1" s="311"/>
    <row r="43" hidden="1" ht="18.75" customFormat="1" customHeight="1" s="311"/>
    <row r="44" hidden="1" ht="18.75" customFormat="1" customHeight="1" s="311"/>
    <row r="45" hidden="1" ht="18.75" customFormat="1" customHeight="1" s="311"/>
    <row r="46" hidden="1" ht="18.75" customFormat="1" customHeight="1" s="311"/>
    <row r="47" hidden="1" ht="18.75" customFormat="1" customHeight="1" s="311"/>
    <row r="48" hidden="1" ht="18.75" customFormat="1" customHeight="1" s="311"/>
    <row r="49" hidden="1" ht="18.75" customFormat="1" customHeight="1" s="311"/>
    <row r="50" hidden="1" ht="18.75" customFormat="1" customHeight="1" s="311"/>
    <row r="51" ht="18.75" customFormat="1" customHeight="1" s="311"/>
    <row r="52" hidden="1" ht="18.75" customFormat="1" customHeight="1" s="311"/>
    <row r="53" hidden="1" ht="18.75" customFormat="1" customHeight="1" s="311"/>
    <row r="54" hidden="1" ht="18.75" customFormat="1" customHeight="1" s="311"/>
    <row r="55" hidden="1" ht="18.75" customFormat="1" customHeight="1" s="311"/>
    <row r="56" hidden="1" ht="18.75" customFormat="1" customHeight="1" s="311"/>
    <row r="57" hidden="1" ht="18.75" customFormat="1" customHeight="1" s="311"/>
    <row r="58" hidden="1" ht="18.75" customFormat="1" customHeight="1" s="311"/>
    <row r="59" hidden="1" ht="18.75" customFormat="1" customHeight="1" s="311"/>
    <row r="60" hidden="1" ht="18.75" customFormat="1" customHeight="1" s="311"/>
    <row r="61" hidden="1" ht="18.75" customFormat="1" customHeight="1" s="311"/>
    <row r="62" hidden="1" ht="18.75" customFormat="1" customHeight="1" s="311"/>
    <row r="63" ht="18.75" customFormat="1" customHeight="1" s="311"/>
    <row r="64" hidden="1" ht="18.75" customFormat="1" customHeight="1" s="311"/>
    <row r="65" hidden="1" ht="18.75" customFormat="1" customHeight="1" s="311"/>
    <row r="66" hidden="1" ht="18.75" customFormat="1" customHeight="1" s="311"/>
    <row r="67" hidden="1" ht="18.75" customFormat="1" customHeight="1" s="311"/>
    <row r="68" hidden="1" ht="18.75" customFormat="1" customHeight="1" s="311"/>
    <row r="69" hidden="1" ht="18.75" customFormat="1" customHeight="1" s="311"/>
    <row r="70" hidden="1" ht="18.75" customFormat="1" customHeight="1" s="311"/>
    <row r="71" hidden="1" ht="18.75" customFormat="1" customHeight="1" s="311"/>
    <row r="72" ht="18.75" customFormat="1" customHeight="1" s="311"/>
    <row r="73" ht="18.75" customFormat="1" customHeight="1" s="311"/>
    <row r="74" hidden="1" ht="18.75" customFormat="1" customHeight="1" s="311"/>
    <row r="75" hidden="1" ht="18.75" customFormat="1" customHeight="1" s="311"/>
    <row r="76" hidden="1" ht="18.75" customFormat="1" customHeight="1" s="311"/>
    <row r="77" hidden="1" ht="18.75" customFormat="1" customHeight="1" s="311"/>
    <row r="78" hidden="1" ht="18.75" customFormat="1" customHeight="1" s="311"/>
    <row r="79" hidden="1" ht="18.75" customFormat="1" customHeight="1" s="311"/>
    <row r="80" hidden="1" ht="18.75" customFormat="1" customHeight="1" s="311"/>
    <row r="81" hidden="1" ht="18.75" customFormat="1" customHeight="1" s="311"/>
    <row r="82" hidden="1" ht="18.75" customFormat="1" customHeight="1" s="311"/>
    <row r="83" hidden="1" ht="18.75" customFormat="1" customHeight="1" s="311"/>
    <row r="84" hidden="1" ht="18.75" customFormat="1" customHeight="1" s="311"/>
    <row r="85" hidden="1" ht="18.75" customFormat="1" customHeight="1" s="311"/>
    <row r="86" hidden="1" ht="18.75" customFormat="1" customHeight="1" s="311"/>
    <row r="87" hidden="1" ht="18.75" customFormat="1" customHeight="1" s="311"/>
    <row r="88" hidden="1" ht="18.75" customFormat="1" customHeight="1" s="311"/>
    <row r="89" hidden="1" ht="18.75" customFormat="1" customHeight="1" s="311"/>
    <row r="90" hidden="1" ht="18.75" customFormat="1" customHeight="1" s="311"/>
    <row r="91" hidden="1" ht="18.75" customFormat="1" customHeight="1" s="311"/>
    <row r="92" hidden="1" ht="18.75" customFormat="1" customHeight="1" s="311"/>
    <row r="93" hidden="1" ht="18.75" customFormat="1" customHeight="1" s="311"/>
    <row r="94" hidden="1" ht="18.75" customFormat="1" customHeight="1" s="311"/>
    <row r="95" hidden="1" ht="18.75" customFormat="1" customHeight="1" s="311"/>
    <row r="96" hidden="1" ht="18.75" customFormat="1" customHeight="1" s="311"/>
    <row r="97" hidden="1" ht="18.75" customFormat="1" customHeight="1" s="311"/>
    <row r="98" hidden="1" ht="18.75" customFormat="1" customHeight="1" s="311"/>
    <row r="99" hidden="1" ht="18.75" customFormat="1" customHeight="1" s="311"/>
    <row r="100" hidden="1" ht="18.75" customFormat="1" customHeight="1" s="311"/>
    <row r="101" hidden="1" ht="18.75" customFormat="1" customHeight="1" s="311"/>
    <row r="102" ht="18.75" customFormat="1" customHeight="1" s="311"/>
    <row r="103" hidden="1" ht="18.75" customFormat="1" customHeight="1" s="311"/>
    <row r="104" hidden="1" ht="18.75" customFormat="1" customHeight="1" s="311"/>
    <row r="105" hidden="1" ht="18.75" customFormat="1" customHeight="1" s="311"/>
    <row r="106" hidden="1" ht="18.75" customFormat="1" customHeight="1" s="311"/>
    <row r="107" hidden="1" ht="18.75" customFormat="1" customHeight="1" s="311"/>
    <row r="108" ht="18.75" customFormat="1" customHeight="1" s="311"/>
    <row r="109" hidden="1" ht="18.75" customFormat="1" customHeight="1" s="311"/>
    <row r="110" hidden="1" ht="18.75" customFormat="1" customHeight="1" s="311"/>
    <row r="111" ht="18.75" customFormat="1" customHeight="1" s="311"/>
    <row r="112" hidden="1" ht="18.75" customFormat="1" customHeight="1" s="311"/>
    <row r="113" hidden="1" ht="18.75" customFormat="1" customHeight="1" s="311"/>
    <row r="114" ht="18.75" customFormat="1" customHeight="1" s="312"/>
    <row r="115" hidden="1" ht="18.75" customFormat="1" customHeight="1" s="312"/>
    <row r="116" hidden="1" ht="18.75" customFormat="1" customHeight="1" s="311"/>
    <row r="117" hidden="1" ht="18.75" customFormat="1" customHeight="1" s="311"/>
    <row r="118" ht="18.75" customFormat="1" customHeight="1" s="311"/>
    <row r="119" hidden="1" ht="18.75" customFormat="1" customHeight="1" s="311"/>
    <row r="120" ht="18.75" customFormat="1" customHeight="1" s="311"/>
    <row r="121" hidden="1" ht="18.75" customFormat="1" customHeight="1" s="311"/>
    <row r="122" hidden="1" ht="18.75" customFormat="1" customHeight="1" s="311"/>
    <row r="123" ht="18.75" customFormat="1" customHeight="1" s="311"/>
    <row r="124" hidden="1" ht="18.75" customFormat="1" customHeight="1" s="311"/>
    <row r="125" hidden="1" ht="18.75" customFormat="1" customHeight="1" s="311"/>
    <row r="126" hidden="1" ht="18.75" customFormat="1" customHeight="1" s="311"/>
    <row r="127" hidden="1" ht="18.75" customFormat="1" customHeight="1" s="311"/>
    <row r="128" hidden="1" ht="18.75" customFormat="1" customHeight="1" s="311"/>
    <row r="129" ht="18.75" customFormat="1" customHeight="1" s="311"/>
    <row r="130" ht="18.75" customFormat="1" customHeight="1" s="311"/>
    <row r="131" ht="18.75" customFormat="1" customHeight="1" s="311"/>
    <row r="132" hidden="1" ht="18.75" customFormat="1" customHeight="1" s="311"/>
    <row r="133" hidden="1" ht="18.75" customFormat="1" customHeight="1" s="311"/>
    <row r="134" hidden="1" ht="18.75" customFormat="1" customHeight="1" s="311"/>
    <row r="135" hidden="1" ht="18.75" customFormat="1" customHeight="1" s="311"/>
    <row r="136" hidden="1" ht="18.75" customFormat="1" customHeight="1" s="311"/>
    <row r="137" hidden="1" ht="18.75" customFormat="1" customHeight="1" s="311"/>
    <row r="138" hidden="1" ht="18.75" customFormat="1" customHeight="1" s="311"/>
    <row r="139" hidden="1" ht="18.75" customFormat="1" customHeight="1" s="311"/>
    <row r="140" hidden="1" ht="18.75" customFormat="1" customHeight="1" s="311"/>
    <row r="141" hidden="1" ht="18.75" customFormat="1" customHeight="1" s="311"/>
    <row r="142" hidden="1" ht="18.75" customFormat="1" customHeight="1" s="311"/>
    <row r="143" ht="18.75" customFormat="1" customHeight="1" s="311"/>
    <row r="144" hidden="1" ht="18.75" customFormat="1" customHeight="1" s="311"/>
    <row r="145" ht="18.75" customFormat="1" customHeight="1" s="311"/>
    <row r="146" ht="18.75" customFormat="1" customHeight="1" s="311"/>
    <row r="147" hidden="1" ht="18.75" customFormat="1" customHeight="1" s="311"/>
    <row r="148" hidden="1" ht="18.75" customFormat="1" customHeight="1" s="311"/>
    <row r="149" hidden="1" ht="18.75" customFormat="1" customHeight="1" s="311"/>
    <row r="150" hidden="1" ht="18.75" customFormat="1" customHeight="1" s="311"/>
    <row r="151" hidden="1" ht="18.75" customFormat="1" customHeight="1" s="311"/>
    <row r="152" ht="18.75" customFormat="1" customHeight="1" s="311"/>
    <row r="153" hidden="1" ht="18.75" customFormat="1" customHeight="1" s="311"/>
    <row r="154" hidden="1" ht="18.75" customFormat="1" customHeight="1" s="311"/>
    <row r="155" hidden="1" ht="18.75" customFormat="1" customHeight="1" s="311"/>
    <row r="156" hidden="1" ht="18.75" customFormat="1" customHeight="1" s="311"/>
    <row r="157" hidden="1" ht="18.75" customFormat="1" customHeight="1" s="311"/>
    <row r="158" ht="18.75" customFormat="1" customHeight="1" s="311"/>
    <row r="159" hidden="1" ht="18.75" customFormat="1" customHeight="1" s="311"/>
    <row r="160" hidden="1" ht="18.75" customFormat="1" customHeight="1" s="311"/>
    <row r="161" hidden="1" ht="18.75" customFormat="1" customHeight="1" s="311"/>
    <row r="162" ht="18.75" customFormat="1" customHeight="1" s="311"/>
    <row r="163" hidden="1" ht="18.75" customFormat="1" customHeight="1" s="311"/>
    <row r="164" hidden="1" ht="18.75" customFormat="1" customHeight="1" s="311"/>
    <row r="165" hidden="1" ht="18.75" customFormat="1" customHeight="1" s="311"/>
    <row r="166" hidden="1" ht="18.75" customFormat="1" customHeight="1" s="311"/>
    <row r="167" hidden="1" ht="18.75" customFormat="1" customHeight="1" s="311"/>
    <row r="168" hidden="1" ht="18.75" customFormat="1" customHeight="1" s="311"/>
    <row r="169" hidden="1" ht="18.75" customFormat="1" customHeight="1" s="311"/>
    <row r="170" ht="18.75" customFormat="1" customHeight="1" s="311"/>
    <row r="171" hidden="1" ht="18.75" customFormat="1" customHeight="1" s="311"/>
    <row r="172" ht="18.75" customFormat="1" customHeight="1" s="311"/>
    <row r="173" hidden="1" ht="18.75" customFormat="1" customHeight="1" s="311"/>
    <row r="174" hidden="1" ht="18.75" customFormat="1" customHeight="1" s="311"/>
    <row r="175" hidden="1" ht="18.75" customFormat="1" customHeight="1" s="311"/>
    <row r="176" ht="18.75" customFormat="1" customHeight="1" s="311"/>
    <row r="177" hidden="1" ht="18.75" customFormat="1" customHeight="1" s="311"/>
    <row r="178" hidden="1" ht="18.75" customFormat="1" customHeight="1" s="311"/>
    <row r="179" hidden="1" ht="18.75" customFormat="1" customHeight="1" s="311"/>
    <row r="180" hidden="1" ht="18.75" customFormat="1" customHeight="1" s="311"/>
    <row r="181" hidden="1" ht="18.75" customFormat="1" customHeight="1" s="311"/>
    <row r="182" hidden="1" ht="18.75" customFormat="1" customHeight="1" s="311"/>
    <row r="183" ht="18.75" customFormat="1" customHeight="1" s="311"/>
    <row r="184" ht="18.75" customFormat="1" customHeight="1" s="311"/>
    <row r="185" hidden="1" ht="18.75" customFormat="1" customHeight="1" s="311"/>
    <row r="186" hidden="1" ht="18.75" customFormat="1" customHeight="1" s="311"/>
    <row r="187" hidden="1" ht="18.75" customFormat="1" customHeight="1" s="311"/>
    <row r="188" hidden="1" ht="18.75" customFormat="1" customHeight="1" s="311"/>
    <row r="189" ht="18.75" customFormat="1" customHeight="1" s="311"/>
    <row r="190" hidden="1" ht="18.75" customFormat="1" customHeight="1" s="311"/>
    <row r="191" hidden="1" ht="18.75" customFormat="1" customHeight="1" s="311"/>
    <row r="192" hidden="1" ht="18.75" customFormat="1" customHeight="1" s="311"/>
    <row r="193" hidden="1" ht="18.75" customFormat="1" customHeight="1" s="311"/>
    <row r="194" hidden="1" ht="18.75" customFormat="1" customHeight="1" s="311"/>
    <row r="195" ht="18.75" customFormat="1" customHeight="1" s="311"/>
    <row r="196" hidden="1" ht="18.75" customFormat="1" customHeight="1" s="311"/>
    <row r="197" hidden="1" ht="18.75" customFormat="1" customHeight="1" s="311"/>
    <row r="198" hidden="1" ht="18.75" customFormat="1" customHeight="1" s="311"/>
    <row r="199" hidden="1" ht="18.75" customFormat="1" customHeight="1" s="311"/>
    <row r="200" hidden="1" ht="18.75" customFormat="1" customHeight="1" s="311"/>
    <row r="201" hidden="1" ht="18.75" customFormat="1" customHeight="1" s="311"/>
    <row r="202" hidden="1" ht="18.75" customFormat="1" customHeight="1" s="311"/>
    <row r="203" hidden="1" ht="18.75" customFormat="1" customHeight="1" s="311"/>
    <row r="204" hidden="1" ht="18.75" customFormat="1" customHeight="1" s="311"/>
    <row r="205" hidden="1" ht="18.75" customFormat="1" customHeight="1" s="311"/>
    <row r="206" hidden="1" ht="18.75" customFormat="1" customHeight="1" s="311"/>
    <row r="207" hidden="1" ht="18.75" customFormat="1" customHeight="1" s="311"/>
    <row r="208" hidden="1" ht="18.75" customFormat="1" customHeight="1" s="311"/>
    <row r="209" hidden="1" ht="18.75" customFormat="1" customHeight="1" s="311"/>
    <row r="210" hidden="1" ht="18.75" customFormat="1" customHeight="1" s="311"/>
    <row r="211" ht="18.75" customFormat="1" customHeight="1" s="311"/>
    <row r="212" hidden="1" ht="18.75" customFormat="1" customHeight="1" s="311"/>
    <row r="213" hidden="1" ht="18.75" customFormat="1" customHeight="1" s="311"/>
    <row r="214" hidden="1" ht="18.75" customFormat="1" customHeight="1" s="311"/>
    <row r="215" hidden="1" ht="18.75" customFormat="1" customHeight="1" s="311"/>
    <row r="216" hidden="1" ht="18.75" customFormat="1" customHeight="1" s="311"/>
    <row r="217" hidden="1" ht="18.75" customFormat="1" customHeight="1" s="311"/>
    <row r="218" hidden="1" ht="18.75" customFormat="1" customHeight="1" s="311"/>
    <row r="219" hidden="1" ht="18.75" customFormat="1" customHeight="1" s="311"/>
    <row r="220" ht="18.75" customFormat="1" customHeight="1" s="311"/>
    <row r="221" hidden="1" ht="18.75" customFormat="1" customHeight="1" s="311"/>
    <row r="222" hidden="1" ht="18.75" customFormat="1" customHeight="1" s="311"/>
    <row r="223" hidden="1" ht="18.75" customFormat="1" customHeight="1" s="311"/>
    <row r="224" hidden="1" ht="18.75" customFormat="1" customHeight="1" s="311"/>
    <row r="225" hidden="1" ht="18.75" customFormat="1" customHeight="1" s="311"/>
    <row r="226" hidden="1" ht="18.75" customFormat="1" customHeight="1" s="311"/>
    <row r="227" hidden="1" ht="18.75" customFormat="1" customHeight="1" s="311"/>
    <row r="228" hidden="1" ht="18.75" customFormat="1" customHeight="1" s="311"/>
    <row r="229" hidden="1" ht="18.75" customFormat="1" customHeight="1" s="311"/>
    <row r="230" hidden="1" ht="18.75" customFormat="1" customHeight="1" s="311"/>
    <row r="231" hidden="1" ht="18.75" customFormat="1" customHeight="1" s="311"/>
    <row r="232" hidden="1" ht="18.75" customFormat="1" customHeight="1" s="311"/>
    <row r="233" hidden="1" ht="18.75" customFormat="1" customHeight="1" s="311"/>
    <row r="234" hidden="1" ht="18.75" customFormat="1" customHeight="1" s="311"/>
    <row r="235" hidden="1" ht="18.75" customFormat="1" customHeight="1" s="311"/>
    <row r="236" hidden="1" ht="18.75" customFormat="1" customHeight="1" s="311"/>
    <row r="237" hidden="1" ht="18.75" customFormat="1" customHeight="1" s="311"/>
    <row r="238" hidden="1" ht="18.75" customFormat="1" customHeight="1" s="311"/>
    <row r="239" hidden="1" ht="18.75" customFormat="1" customHeight="1" s="311"/>
    <row r="240" hidden="1" ht="18.75" customFormat="1" customHeight="1" s="311"/>
    <row r="241" hidden="1" ht="18.75" customFormat="1" customHeight="1" s="311"/>
    <row r="242" hidden="1" ht="18.75" customFormat="1" customHeight="1" s="311"/>
    <row r="243" hidden="1" ht="18.75" customFormat="1" customHeight="1" s="311"/>
    <row r="244" hidden="1" ht="18.75" customFormat="1" customHeight="1" s="311"/>
    <row r="245" hidden="1" ht="18.75" customFormat="1" customHeight="1" s="311"/>
    <row r="246" hidden="1" ht="18.75" customFormat="1" customHeight="1" s="311"/>
    <row r="247" ht="18.75" customFormat="1" customHeight="1" s="311"/>
    <row r="248" hidden="1" ht="18.75" customFormat="1" customHeight="1" s="311"/>
    <row r="249" hidden="1" ht="18.75" customFormat="1" customHeight="1" s="311"/>
    <row r="250" ht="18.75" customFormat="1" customHeight="1" s="311"/>
    <row r="251" hidden="1" ht="18.75" customFormat="1" customHeight="1" s="311"/>
    <row r="252" hidden="1" ht="18.75" customFormat="1" customHeight="1" s="311"/>
    <row r="253" hidden="1" ht="18.75" customFormat="1" customHeight="1" s="311"/>
    <row r="254" hidden="1" ht="18.75" customFormat="1" customHeight="1" s="311"/>
    <row r="255" hidden="1" ht="18.75" customFormat="1" customHeight="1" s="311"/>
    <row r="256" hidden="1" ht="18.75" customFormat="1" customHeight="1" s="311"/>
    <row r="257" hidden="1" ht="18.75" customFormat="1" customHeight="1" s="311"/>
    <row r="258" hidden="1" ht="18.75" customFormat="1" customHeight="1" s="311"/>
    <row r="259" hidden="1" ht="18.75" customFormat="1" customHeight="1" s="311"/>
    <row r="260" hidden="1" ht="18.75" customFormat="1" customHeight="1" s="311"/>
    <row r="261" hidden="1" ht="18.75" customFormat="1" customHeight="1" s="311"/>
    <row r="262" hidden="1" ht="18.75" customFormat="1" customHeight="1" s="311"/>
    <row r="263" ht="18.75" customFormat="1" customHeight="1" s="311"/>
    <row r="264" ht="18.75" customFormat="1" customHeight="1" s="311"/>
    <row r="265" ht="18.75" customFormat="1" customHeight="1" s="311"/>
    <row r="266" hidden="1" ht="18.75" customFormat="1" customHeight="1" s="311"/>
    <row r="267" hidden="1" ht="18.75" customFormat="1" customHeight="1" s="311"/>
    <row r="268" hidden="1" ht="18.75" customFormat="1" customHeight="1" s="311"/>
    <row r="269" hidden="1" ht="18.75" customFormat="1" customHeight="1" s="311"/>
    <row r="270" hidden="1" ht="18.75" customFormat="1" customHeight="1" s="311"/>
    <row r="271" hidden="1" ht="18.75" customFormat="1" customHeight="1" s="311"/>
    <row r="272" hidden="1" ht="18.75" customFormat="1" customHeight="1" s="311"/>
    <row r="273" hidden="1" ht="18.75" customFormat="1" customHeight="1" s="311"/>
    <row r="274" hidden="1" ht="18.75" customFormat="1" customHeight="1" s="311"/>
    <row r="275" hidden="1" ht="18.75" customFormat="1" customHeight="1" s="311"/>
    <row r="276" hidden="1" ht="18.75" customFormat="1" customHeight="1" s="311"/>
    <row r="277" hidden="1" ht="18.75" customFormat="1" customHeight="1" s="311"/>
    <row r="278" hidden="1" ht="18.75" customFormat="1" customHeight="1" s="311"/>
    <row r="279" hidden="1" ht="18.75" customFormat="1" customHeight="1" s="311"/>
    <row r="280" hidden="1" ht="18.75" customFormat="1" customHeight="1" s="311"/>
    <row r="281" ht="18.75" customFormat="1" customHeight="1" s="311"/>
    <row r="282" ht="18.75" customFormat="1" customHeight="1" s="311"/>
    <row r="283" hidden="1" ht="18.75" customFormat="1" customHeight="1" s="311"/>
    <row r="284" hidden="1" ht="18.75" customFormat="1" customHeight="1" s="311"/>
    <row r="285" hidden="1" ht="18.75" customFormat="1" customHeight="1" s="311"/>
    <row r="286" hidden="1" ht="18.75" customFormat="1" customHeight="1" s="311"/>
    <row r="287" hidden="1" ht="18.75" customFormat="1" customHeight="1" s="311"/>
    <row r="288" hidden="1" ht="18.75" customFormat="1" customHeight="1" s="311"/>
    <row r="289" hidden="1" ht="18.75" customFormat="1" customHeight="1" s="311"/>
    <row r="290" hidden="1" ht="18.75" customFormat="1" customHeight="1" s="311"/>
    <row r="291" ht="18.75" customFormat="1" customHeight="1" s="311"/>
    <row r="292" hidden="1" ht="18.75" customFormat="1" customHeight="1" s="311"/>
    <row r="293" hidden="1" ht="18.75" customFormat="1" customHeight="1" s="311"/>
    <row r="294" hidden="1" ht="18.75" customFormat="1" customHeight="1" s="311"/>
    <row r="295" hidden="1" ht="18.75" customFormat="1" customHeight="1" s="311"/>
    <row r="296" ht="18.75" customFormat="1" customHeight="1" s="311"/>
    <row r="297" hidden="1" ht="18.75" customFormat="1" customHeight="1" s="311"/>
    <row r="298" hidden="1" ht="18.75" customFormat="1" customHeight="1" s="311"/>
    <row r="299" hidden="1" ht="18.75" customFormat="1" customHeight="1" s="311"/>
    <row r="300" ht="18.75" customFormat="1" customHeight="1" s="311"/>
    <row r="301" hidden="1" ht="18.75" customFormat="1" customHeight="1" s="311"/>
    <row r="302" hidden="1" ht="18.75" customFormat="1" customHeight="1" s="311"/>
    <row r="303" hidden="1" ht="18.75" customFormat="1" customHeight="1" s="311"/>
    <row r="304" ht="18.75" customFormat="1" customHeight="1" s="311"/>
    <row r="305" hidden="1" ht="18.75" customFormat="1" customHeight="1" s="311"/>
    <row r="306" hidden="1" ht="18.75" customFormat="1" customHeight="1" s="311"/>
    <row r="307" hidden="1" ht="18.75" customFormat="1" customHeight="1" s="311"/>
    <row r="308" hidden="1" ht="18.75" customFormat="1" customHeight="1" s="311"/>
    <row r="309" hidden="1" ht="18.75" customFormat="1" customHeight="1" s="311"/>
    <row r="310" hidden="1" ht="18.75" customFormat="1" customHeight="1" s="311"/>
    <row r="311" ht="18.75" customFormat="1" customHeight="1" s="311"/>
    <row r="312" hidden="1" ht="18.75" customFormat="1" customHeight="1" s="311"/>
    <row r="313" hidden="1" ht="18.75" customFormat="1" customHeight="1" s="311"/>
    <row r="314" hidden="1" ht="18.75" customFormat="1" customHeight="1" s="311"/>
    <row r="315" hidden="1" ht="18.75" customFormat="1" customHeight="1" s="311"/>
    <row r="316" hidden="1" ht="18.75" customFormat="1" customHeight="1" s="311"/>
    <row r="317" hidden="1" ht="18.75" customFormat="1" customHeight="1" s="311"/>
    <row r="318" hidden="1" ht="18.75" customFormat="1" customHeight="1" s="311"/>
    <row r="319" hidden="1" ht="18.75" customFormat="1" customHeight="1" s="311"/>
    <row r="320" hidden="1" ht="18.75" customFormat="1" customHeight="1" s="311"/>
    <row r="321" hidden="1" ht="18.75" customFormat="1" customHeight="1" s="311"/>
    <row r="322" hidden="1" ht="18.75" customFormat="1" customHeight="1" s="311"/>
    <row r="323" hidden="1" ht="18.75" customFormat="1" customHeight="1" s="311"/>
    <row r="324" ht="18.75" customFormat="1" customHeight="1" s="311"/>
    <row r="325" hidden="1" ht="18.75" customFormat="1" customHeight="1" s="311"/>
    <row r="326" hidden="1" ht="18.75" customFormat="1" customHeight="1" s="311"/>
    <row r="327" hidden="1" ht="18.75" customFormat="1" customHeight="1" s="311"/>
    <row r="328" hidden="1" ht="18.75" customFormat="1" customHeight="1" s="311"/>
    <row r="329" hidden="1" ht="18.75" customFormat="1" customHeight="1" s="311"/>
    <row r="330" hidden="1" ht="18.75" customFormat="1" customHeight="1" s="311"/>
    <row r="331" hidden="1" ht="18.75" customFormat="1" customHeight="1" s="311"/>
    <row r="332" ht="18.75" customFormat="1" customHeight="1" s="311"/>
    <row r="333" hidden="1" ht="18.75" customFormat="1" customHeight="1" s="311"/>
    <row r="334" hidden="1" ht="18.75" customFormat="1" customHeight="1" s="311"/>
    <row r="335" hidden="1" ht="18.75" customFormat="1" customHeight="1" s="311"/>
    <row r="336" hidden="1" ht="18.75" customFormat="1" customHeight="1" s="311"/>
    <row r="337" hidden="1" ht="18.75" customFormat="1" customHeight="1" s="311"/>
    <row r="338" hidden="1" ht="18.75" customFormat="1" customHeight="1" s="311"/>
    <row r="339" hidden="1" ht="18.75" customFormat="1" customHeight="1" s="311"/>
    <row r="340" hidden="1" ht="18.75" customFormat="1" customHeight="1" s="311"/>
    <row r="341" hidden="1" ht="18.75" customFormat="1" customHeight="1" s="311"/>
    <row r="342" hidden="1" ht="18.75" customFormat="1" customHeight="1" s="311"/>
    <row r="343" ht="18.75" customFormat="1" customHeight="1" s="311"/>
    <row r="344" hidden="1" ht="18.75" customFormat="1" customHeight="1" s="311"/>
    <row r="345" hidden="1" ht="18.75" customFormat="1" customHeight="1" s="311"/>
    <row r="346" hidden="1" ht="18.75" customFormat="1" customHeight="1" s="311"/>
    <row r="347" hidden="1" ht="18.75" customFormat="1" customHeight="1" s="311"/>
    <row r="348" hidden="1" ht="18.75" customFormat="1" customHeight="1" s="311"/>
    <row r="349" hidden="1" ht="18.75" customFormat="1" customHeight="1" s="311"/>
    <row r="350" hidden="1" ht="18.75" customFormat="1" customHeight="1" s="311"/>
    <row r="351" hidden="1" ht="18.75" customFormat="1" customHeight="1" s="311"/>
    <row r="352" hidden="1" ht="18.75" customFormat="1" customHeight="1" s="311"/>
    <row r="353" ht="18.75" customFormat="1" customHeight="1" s="311"/>
    <row r="354" hidden="1" ht="18.75" customFormat="1" customHeight="1" s="311"/>
    <row r="355" hidden="1" ht="18.75" customFormat="1" customHeight="1" s="311"/>
    <row r="356" hidden="1" ht="18.75" customFormat="1" customHeight="1" s="311"/>
    <row r="357" hidden="1" ht="18.75" customFormat="1" customHeight="1" s="311"/>
    <row r="358" hidden="1" ht="18.75" customFormat="1" customHeight="1" s="311"/>
    <row r="359" hidden="1" ht="18.75" customFormat="1" customHeight="1" s="311"/>
    <row r="360" hidden="1" ht="18.75" customFormat="1" customHeight="1" s="311"/>
    <row r="361" hidden="1" ht="18.75" customFormat="1" customHeight="1" s="311"/>
    <row r="362" hidden="1" ht="18.75" customFormat="1" customHeight="1" s="311"/>
    <row r="363" hidden="1" ht="18.75" customFormat="1" customHeight="1" s="311"/>
    <row r="364" hidden="1" ht="18.75" customFormat="1" customHeight="1" s="311"/>
    <row r="365" hidden="1" ht="18.75" customFormat="1" customHeight="1" s="311"/>
    <row r="366" hidden="1" ht="18.75" customFormat="1" customHeight="1" s="311"/>
    <row r="367" hidden="1" ht="18.75" customFormat="1" customHeight="1" s="311"/>
    <row r="368" hidden="1" ht="18.75" customFormat="1" customHeight="1" s="311"/>
    <row r="369" hidden="1" ht="18.75" customFormat="1" customHeight="1" s="311"/>
    <row r="370" ht="18.75" customFormat="1" customHeight="1" s="311"/>
    <row r="371" hidden="1" ht="18.75" customFormat="1" customHeight="1" s="311"/>
    <row r="372" ht="18.75" customFormat="1" customHeight="1" s="311"/>
    <row r="373" hidden="1" ht="18.75" customFormat="1" customHeight="1" s="311"/>
    <row r="374" hidden="1" ht="18.75" customFormat="1" customHeight="1" s="311"/>
    <row r="375" ht="18.75" customFormat="1" customHeight="1" s="311"/>
    <row r="376" hidden="1" ht="18.75" customFormat="1" customHeight="1" s="311"/>
    <row r="377" hidden="1" ht="18.75" customFormat="1" customHeight="1" s="311"/>
    <row r="378" hidden="1" ht="18.75" customFormat="1" customHeight="1" s="311"/>
    <row r="379" hidden="1" ht="18.75" customFormat="1" customHeight="1" s="311"/>
    <row r="380" hidden="1" ht="18.75" customFormat="1" customHeight="1" s="311"/>
    <row r="381" hidden="1" ht="18.75" customFormat="1" customHeight="1" s="311"/>
    <row r="382" hidden="1" ht="18.75" customFormat="1" customHeight="1" s="311"/>
    <row r="383" hidden="1" ht="18.75" customFormat="1" customHeight="1" s="311"/>
    <row r="384" hidden="1" ht="18.75" customFormat="1" customHeight="1" s="311"/>
    <row r="385" hidden="1" ht="18.75" customFormat="1" customHeight="1" s="311"/>
    <row r="386" hidden="1" ht="18.75" customFormat="1" customHeight="1" s="311"/>
    <row r="387" hidden="1" ht="18.75" customFormat="1" customHeight="1" s="311"/>
    <row r="388" hidden="1" ht="18.75" customFormat="1" customHeight="1" s="311"/>
    <row r="389" hidden="1" ht="18.75" customFormat="1" customHeight="1" s="311"/>
    <row r="390" hidden="1" ht="18.75" customFormat="1" customHeight="1" s="311"/>
    <row r="391" hidden="1" ht="18.75" customFormat="1" customHeight="1" s="311"/>
    <row r="392" hidden="1" ht="18.75" customFormat="1" customHeight="1" s="311"/>
    <row r="393" hidden="1" ht="18.75" customFormat="1" customHeight="1" s="311"/>
    <row r="394" hidden="1" ht="18.75" customFormat="1" customHeight="1" s="311"/>
    <row r="395" hidden="1" ht="18.75" customFormat="1" customHeight="1" s="311"/>
    <row r="396" hidden="1" ht="18.75" customFormat="1" customHeight="1" s="311"/>
    <row r="397" hidden="1" ht="18.75" customFormat="1" customHeight="1" s="311"/>
    <row r="398" hidden="1" ht="18.75" customFormat="1" customHeight="1" s="311"/>
    <row r="399" hidden="1" ht="18.75" customFormat="1" customHeight="1" s="311"/>
    <row r="400" hidden="1" ht="18.75" customFormat="1" customHeight="1" s="311"/>
    <row r="401" hidden="1" ht="18.75" customFormat="1" customHeight="1" s="311"/>
    <row r="402" hidden="1" ht="18.75" customFormat="1" customHeight="1" s="311"/>
    <row r="403" hidden="1" ht="18.75" customFormat="1" customHeight="1" s="311"/>
    <row r="404" hidden="1" ht="18.75" customFormat="1" customHeight="1" s="311"/>
    <row r="405" hidden="1" ht="18.75" customFormat="1" customHeight="1" s="311"/>
    <row r="406" hidden="1" ht="18.75" customFormat="1" customHeight="1" s="311"/>
    <row r="407" hidden="1" ht="18.75" customFormat="1" customHeight="1" s="311"/>
    <row r="408" hidden="1" ht="18.75" customFormat="1" customHeight="1" s="311"/>
    <row r="409" hidden="1" ht="18.75" customFormat="1" customHeight="1" s="311"/>
    <row r="410" hidden="1" ht="18.75" customFormat="1" customHeight="1" s="311"/>
    <row r="411" hidden="1" ht="18.75" customFormat="1" customHeight="1" s="311"/>
    <row r="412" hidden="1" ht="18.75" customFormat="1" customHeight="1" s="311"/>
    <row r="413" ht="18.75" customFormat="1" customHeight="1" s="311"/>
    <row r="414" hidden="1" ht="18.75" customFormat="1" customHeight="1" s="311"/>
    <row r="415" hidden="1" ht="18.75" customFormat="1" customHeight="1" s="311"/>
    <row r="416" hidden="1" ht="18.75" customFormat="1" customHeight="1" s="311"/>
    <row r="417" hidden="1" ht="18.75" customFormat="1" customHeight="1" s="311"/>
    <row r="418" hidden="1" ht="18.75" customFormat="1" customHeight="1" s="311"/>
    <row r="419" hidden="1" ht="18.75" customFormat="1" customHeight="1" s="311"/>
    <row r="420" hidden="1" ht="18.75" customFormat="1" customHeight="1" s="311"/>
    <row r="421" hidden="1" ht="18.75" customFormat="1" customHeight="1" s="311"/>
    <row r="422" hidden="1" ht="18.75" customFormat="1" customHeight="1" s="311"/>
    <row r="423" hidden="1" ht="18.75" customFormat="1" customHeight="1" s="311"/>
    <row r="424" hidden="1" ht="18.75" customFormat="1" customHeight="1" s="311"/>
    <row r="425" hidden="1" ht="18.75" customFormat="1" customHeight="1" s="311"/>
    <row r="426" hidden="1" ht="18.75" customFormat="1" customHeight="1" s="311"/>
    <row r="427" hidden="1" ht="18.75" customFormat="1" customHeight="1" s="311"/>
    <row r="428" hidden="1" ht="18.75" customFormat="1" customHeight="1" s="311"/>
    <row r="429" hidden="1" ht="18.75" customFormat="1" customHeight="1" s="311"/>
    <row r="430" hidden="1" ht="18.75" customFormat="1" customHeight="1" s="311"/>
    <row r="431" hidden="1" ht="18.75" customFormat="1" customHeight="1" s="311"/>
    <row r="432" ht="18.75" customFormat="1" customHeight="1" s="311"/>
    <row r="433" hidden="1" ht="18.75" customFormat="1" customHeight="1" s="311"/>
    <row r="434" hidden="1" ht="18.75" customFormat="1" customHeight="1" s="311"/>
    <row r="435" hidden="1" ht="18.75" customFormat="1" customHeight="1" s="311"/>
    <row r="436" hidden="1" ht="18.75" customFormat="1" customHeight="1" s="311"/>
    <row r="437" hidden="1" ht="18.75" customFormat="1" customHeight="1" s="311"/>
    <row r="438" hidden="1" ht="18.75" customFormat="1" customHeight="1" s="311"/>
    <row r="439" hidden="1" ht="18.75" customFormat="1" customHeight="1" s="311"/>
    <row r="440" hidden="1" ht="18.75" customFormat="1" customHeight="1" s="311"/>
    <row r="441" hidden="1" ht="18.75" customFormat="1" customHeight="1" s="311"/>
    <row r="442" hidden="1" ht="18.75" customFormat="1" customHeight="1" s="311"/>
    <row r="443" hidden="1" ht="18.75" customFormat="1" customHeight="1" s="311"/>
    <row r="444" hidden="1" ht="18.75" customFormat="1" customHeight="1" s="311"/>
    <row r="445" hidden="1" ht="18.75" customFormat="1" customHeight="1" s="311"/>
    <row r="446" hidden="1" ht="18.75" customFormat="1" customHeight="1" s="311"/>
    <row r="447" hidden="1" ht="18.75" customFormat="1" customHeight="1" s="311"/>
    <row r="448" hidden="1" ht="18.75" customFormat="1" customHeight="1" s="311"/>
    <row r="449" hidden="1" ht="18.75" customFormat="1" customHeight="1" s="311"/>
    <row r="450" hidden="1" ht="18.75" customFormat="1" customHeight="1" s="311"/>
    <row r="451" hidden="1" ht="18.75" customFormat="1" customHeight="1" s="311"/>
    <row r="452" hidden="1" ht="18.75" customFormat="1" customHeight="1" s="311"/>
    <row r="453" hidden="1" ht="18.75" customFormat="1" customHeight="1" s="311"/>
    <row r="454" hidden="1" ht="18.75" customFormat="1" customHeight="1" s="311"/>
    <row r="455" hidden="1" ht="18.75" customFormat="1" customHeight="1" s="311"/>
    <row r="456" hidden="1" ht="18.75" customFormat="1" customHeight="1" s="311"/>
    <row r="457" hidden="1" ht="18.75" customFormat="1" customHeight="1" s="311"/>
    <row r="458" hidden="1" ht="18.75" customFormat="1" customHeight="1" s="311"/>
    <row r="459" ht="18.75" customFormat="1" customHeight="1" s="311"/>
    <row r="460" hidden="1" ht="18.75" customFormat="1" customHeight="1" s="311"/>
    <row r="461" hidden="1" ht="18.75" customFormat="1" customHeight="1" s="311"/>
    <row r="462" hidden="1" ht="18.75" customFormat="1" customHeight="1" s="311"/>
    <row r="463" ht="18.75" customFormat="1" customHeight="1" s="311"/>
    <row r="464" hidden="1" ht="18.75" customFormat="1" customHeight="1" s="311"/>
    <row r="465" hidden="1" ht="18.75" customFormat="1" customHeight="1" s="311"/>
    <row r="466" hidden="1" ht="18.75" customFormat="1" customHeight="1" s="311"/>
    <row r="467" hidden="1" ht="18.75" customFormat="1" customHeight="1" s="311"/>
    <row r="468" hidden="1" ht="18.75" customFormat="1" customHeight="1" s="311"/>
    <row r="469" hidden="1" ht="18.75" customFormat="1" customHeight="1" s="311"/>
    <row r="470" hidden="1" ht="18.75" customFormat="1" customHeight="1" s="311"/>
    <row r="471" hidden="1" ht="18.75" customFormat="1" customHeight="1" s="311"/>
    <row r="472" hidden="1" ht="18.75" customFormat="1" customHeight="1" s="311"/>
    <row r="473" hidden="1" ht="18.75" customFormat="1" customHeight="1" s="311"/>
    <row r="474" hidden="1" ht="18.75" customFormat="1" customHeight="1" s="311"/>
    <row r="475" ht="18.75" customFormat="1" customHeight="1" s="311"/>
    <row r="476" hidden="1" ht="18.75" customFormat="1" customHeight="1" s="311"/>
    <row r="477" hidden="1" ht="18.75" customFormat="1" customHeight="1" s="311"/>
    <row r="478" hidden="1" ht="18.75" customFormat="1" customHeight="1" s="311"/>
    <row r="479" hidden="1" ht="18.75" customFormat="1" customHeight="1" s="311"/>
    <row r="480" hidden="1" ht="18.75" customFormat="1" customHeight="1" s="311"/>
    <row r="481" hidden="1" ht="18.75" customFormat="1" customHeight="1" s="311"/>
    <row r="482" hidden="1" ht="18.75" customFormat="1" customHeight="1" s="311"/>
    <row r="483" hidden="1" ht="18.75" customFormat="1" customHeight="1" s="311"/>
    <row r="484" hidden="1" ht="18.75" customFormat="1" customHeight="1" s="311"/>
    <row r="485" ht="18.75" customFormat="1" customHeight="1" s="311"/>
    <row r="486" hidden="1" ht="18.75" customFormat="1" customHeight="1" s="311"/>
    <row r="487" hidden="1" ht="18.75" customFormat="1" customHeight="1" s="311"/>
    <row r="488" hidden="1" ht="18.75" customFormat="1" customHeight="1" s="311"/>
    <row r="489" hidden="1" ht="18.75" customFormat="1" customHeight="1" s="311"/>
    <row r="490" hidden="1" ht="18.75" customFormat="1" customHeight="1" s="311"/>
    <row r="491" hidden="1" ht="18.75" customFormat="1" customHeight="1" s="311"/>
    <row r="492" hidden="1" ht="18.75" customFormat="1" customHeight="1" s="311"/>
    <row r="493" hidden="1" ht="18.75" customFormat="1" customHeight="1" s="311"/>
    <row r="494" hidden="1" ht="18.75" customFormat="1" customHeight="1" s="311"/>
    <row r="495" hidden="1" ht="18.75" customFormat="1" customHeight="1" s="311"/>
    <row r="496" hidden="1" ht="18.75" customFormat="1" customHeight="1" s="311"/>
    <row r="497" hidden="1" ht="18.75" customFormat="1" customHeight="1" s="311"/>
    <row r="498" hidden="1" ht="18.75" customFormat="1" customHeight="1" s="311"/>
    <row r="499" hidden="1" ht="18.75" customFormat="1" customHeight="1" s="311"/>
    <row r="500" hidden="1" ht="18.75" customFormat="1" customHeight="1" s="311"/>
    <row r="501" hidden="1" ht="18.75" customFormat="1" customHeight="1" s="311"/>
    <row r="502" hidden="1" ht="18.75" customFormat="1" customHeight="1" s="311"/>
    <row r="503" hidden="1" ht="18.75" customFormat="1" customHeight="1" s="311"/>
    <row r="504" hidden="1" ht="18.75" customFormat="1" customHeight="1" s="311"/>
    <row r="505" hidden="1" ht="18.75" customFormat="1" customHeight="1" s="311"/>
    <row r="506" hidden="1" ht="18.75" customFormat="1" customHeight="1" s="311"/>
    <row r="507" hidden="1" ht="18.75" customFormat="1" customHeight="1" s="311"/>
    <row r="508" hidden="1" ht="18.75" customFormat="1" customHeight="1" s="311"/>
    <row r="509" hidden="1" ht="18.75" customFormat="1" customHeight="1" s="311"/>
    <row r="510" hidden="1" ht="18.75" customFormat="1" customHeight="1" s="311"/>
    <row r="511" hidden="1" ht="18.75" customFormat="1" customHeight="1" s="311"/>
    <row r="512" hidden="1" ht="18.75" customFormat="1" customHeight="1" s="311"/>
    <row r="513" hidden="1" ht="18.75" customFormat="1" customHeight="1" s="311"/>
    <row r="514" hidden="1" ht="18.75" customFormat="1" customHeight="1" s="311"/>
    <row r="515" hidden="1" ht="18.75" customFormat="1" customHeight="1" s="311"/>
    <row r="516" hidden="1" ht="18.75" customFormat="1" customHeight="1" s="311"/>
    <row r="517" hidden="1" ht="18.75" customFormat="1" customHeight="1" s="311"/>
    <row r="518" hidden="1" ht="18.75" customFormat="1" customHeight="1" s="311"/>
    <row r="519" hidden="1" ht="18.75" customFormat="1" customHeight="1" s="311"/>
    <row r="520" hidden="1" ht="18.75" customFormat="1" customHeight="1" s="311"/>
    <row r="521" hidden="1" ht="18.75" customFormat="1" customHeight="1" s="311"/>
    <row r="522" hidden="1" ht="18.75" customFormat="1" customHeight="1" s="311"/>
    <row r="523" hidden="1" ht="18.75" customFormat="1" customHeight="1" s="311"/>
    <row r="524" hidden="1" ht="18.75" customFormat="1" customHeight="1" s="311"/>
    <row r="525" hidden="1" ht="18.75" customFormat="1" customHeight="1" s="311"/>
    <row r="526" hidden="1" ht="18.75" customFormat="1" customHeight="1" s="311"/>
    <row r="527" hidden="1" ht="18.75" customFormat="1" customHeight="1" s="311"/>
    <row r="528" hidden="1" ht="18.75" customFormat="1" customHeight="1" s="311"/>
    <row r="529" hidden="1" ht="18.75" customFormat="1" customHeight="1" s="311"/>
    <row r="530" hidden="1" ht="18.75" customFormat="1" customHeight="1" s="311"/>
    <row r="531" hidden="1" ht="18.75" customFormat="1" customHeight="1" s="311"/>
    <row r="532" hidden="1" ht="18.75" customFormat="1" customHeight="1" s="311"/>
    <row r="533" hidden="1" ht="18.75" customFormat="1" customHeight="1" s="311"/>
    <row r="534" hidden="1" ht="18.75" customFormat="1" customHeight="1" s="311"/>
    <row r="535" hidden="1" ht="18.75" customFormat="1" customHeight="1" s="311"/>
    <row r="536" hidden="1" ht="18.75" customFormat="1" customHeight="1" s="311"/>
    <row r="537" hidden="1" ht="18.75" customFormat="1" customHeight="1" s="311"/>
    <row r="538" hidden="1" ht="18.75" customFormat="1" customHeight="1" s="311"/>
    <row r="539" hidden="1" ht="18.75" customFormat="1" customHeight="1" s="311"/>
    <row r="540" hidden="1" ht="18.75" customFormat="1" customHeight="1" s="311"/>
    <row r="541" hidden="1" ht="18.75" customFormat="1" customHeight="1" s="311"/>
    <row r="542" hidden="1" ht="18.75" customFormat="1" customHeight="1" s="311"/>
    <row r="543" hidden="1" ht="18.75" customFormat="1" customHeight="1" s="311"/>
    <row r="544" hidden="1" ht="18.75" customFormat="1" customHeight="1" s="311"/>
    <row r="545" hidden="1" ht="18.75" customFormat="1" customHeight="1" s="311"/>
    <row r="546" hidden="1" ht="18.75" customFormat="1" customHeight="1" s="311"/>
    <row r="547" hidden="1" ht="18.75" customFormat="1" customHeight="1" s="311"/>
    <row r="548" hidden="1" ht="18.75" customFormat="1" customHeight="1" s="311"/>
    <row r="549" hidden="1" ht="18.75" customFormat="1" customHeight="1" s="311"/>
    <row r="550" hidden="1" ht="18.75" customFormat="1" customHeight="1" s="311"/>
    <row r="551" hidden="1" ht="18.75" customFormat="1" customHeight="1" s="311"/>
    <row r="552" hidden="1" ht="18.75" customFormat="1" customHeight="1" s="311"/>
    <row r="553" hidden="1" ht="18.75" customFormat="1" customHeight="1" s="311"/>
    <row r="554" hidden="1" ht="18.75" customFormat="1" customHeight="1" s="311"/>
    <row r="555" hidden="1" ht="18.75" customFormat="1" customHeight="1" s="311"/>
    <row r="556" hidden="1" ht="18.75" customFormat="1" customHeight="1" s="311"/>
    <row r="557" hidden="1" ht="18.75" customFormat="1" customHeight="1" s="311"/>
    <row r="558" hidden="1" ht="18.75" customFormat="1" customHeight="1" s="311"/>
    <row r="559" hidden="1" ht="18.75" customFormat="1" customHeight="1" s="311"/>
    <row r="560" hidden="1" ht="18.75" customFormat="1" customHeight="1" s="311"/>
    <row r="561" hidden="1" ht="18.75" customFormat="1" customHeight="1" s="311"/>
    <row r="562" hidden="1" ht="18.75" customFormat="1" customHeight="1" s="311"/>
    <row r="563" hidden="1" ht="18.75" customFormat="1" customHeight="1" s="311"/>
    <row r="564" hidden="1" ht="18.75" customFormat="1" customHeight="1" s="311"/>
    <row r="565" hidden="1" ht="18.75" customFormat="1" customHeight="1" s="311"/>
    <row r="566" hidden="1" ht="18.75" customFormat="1" customHeight="1" s="311"/>
    <row r="567" hidden="1" ht="18.75" customFormat="1" customHeight="1" s="311"/>
    <row r="568" hidden="1" ht="18.75" customFormat="1" customHeight="1" s="311"/>
    <row r="569" hidden="1" ht="18.75" customFormat="1" customHeight="1" s="311"/>
    <row r="570" hidden="1" ht="18.75" customFormat="1" customHeight="1" s="311"/>
    <row r="571" hidden="1" ht="18.75" customFormat="1" customHeight="1" s="311"/>
    <row r="572" hidden="1" ht="18.75" customFormat="1" customHeight="1" s="311"/>
    <row r="573" hidden="1" ht="18.75" customFormat="1" customHeight="1" s="311"/>
    <row r="574" hidden="1" ht="18.75" customFormat="1" customHeight="1" s="311"/>
    <row r="575" hidden="1" ht="18.75" customFormat="1" customHeight="1" s="311"/>
    <row r="576" hidden="1" ht="18.75" customFormat="1" customHeight="1" s="311"/>
    <row r="577" hidden="1" ht="18.75" customFormat="1" customHeight="1" s="311"/>
    <row r="578" hidden="1" ht="18.75" customFormat="1" customHeight="1" s="311"/>
    <row r="579" hidden="1" ht="18.75" customFormat="1" customHeight="1" s="311"/>
    <row r="580" hidden="1" ht="18.75" customFormat="1" customHeight="1" s="311"/>
    <row r="581" hidden="1" ht="18.75" customFormat="1" customHeight="1" s="311"/>
    <row r="582" hidden="1" ht="18.75" customFormat="1" customHeight="1" s="311"/>
    <row r="583" hidden="1" ht="18.75" customFormat="1" customHeight="1" s="311"/>
    <row r="584" hidden="1" ht="18.75" customFormat="1" customHeight="1" s="311"/>
    <row r="585" hidden="1" ht="18.75" customFormat="1" customHeight="1" s="311"/>
    <row r="586" hidden="1" ht="18.75" customFormat="1" customHeight="1" s="311"/>
    <row r="587" hidden="1" ht="18.75" customFormat="1" customHeight="1" s="311"/>
    <row r="588" hidden="1" ht="18.75" customFormat="1" customHeight="1" s="311"/>
    <row r="589" hidden="1" ht="18.75" customFormat="1" customHeight="1" s="311"/>
    <row r="590" hidden="1" ht="18.75" customFormat="1" customHeight="1" s="311"/>
    <row r="591" hidden="1" ht="18.75" customFormat="1" customHeight="1" s="311"/>
    <row r="592" hidden="1" ht="18.75" customFormat="1" customHeight="1" s="311"/>
    <row r="593" hidden="1" ht="18.75" customFormat="1" customHeight="1" s="311"/>
    <row r="594" hidden="1" ht="18.75" customFormat="1" customHeight="1" s="311"/>
    <row r="595" hidden="1" ht="18.75" customFormat="1" customHeight="1" s="311"/>
    <row r="596" hidden="1" ht="18.75" customFormat="1" customHeight="1" s="311"/>
    <row r="597" hidden="1" ht="18.75" customFormat="1" customHeight="1" s="311"/>
    <row r="598" hidden="1" ht="18.75" customFormat="1" customHeight="1" s="311"/>
    <row r="599" hidden="1" ht="18.75" customFormat="1" customHeight="1" s="311"/>
    <row r="600" hidden="1" ht="18.75" customFormat="1" customHeight="1" s="311"/>
    <row r="601" hidden="1" ht="18.75" customFormat="1" customHeight="1" s="311"/>
    <row r="602" hidden="1" ht="18.75" customFormat="1" customHeight="1" s="311"/>
    <row r="603" hidden="1" ht="18.75" customFormat="1" customHeight="1" s="311"/>
    <row r="604" hidden="1" ht="18.75" customFormat="1" customHeight="1" s="311"/>
    <row r="605" hidden="1" ht="18.75" customFormat="1" customHeight="1" s="311"/>
    <row r="606" hidden="1" ht="18.75" customFormat="1" customHeight="1" s="311"/>
    <row r="607" hidden="1" ht="18.75" customFormat="1" customHeight="1" s="311"/>
    <row r="608" hidden="1" ht="18.75" customFormat="1" customHeight="1" s="311"/>
    <row r="609" hidden="1" ht="18.75" customFormat="1" customHeight="1" s="311"/>
    <row r="610" hidden="1" ht="18.75" customFormat="1" customHeight="1" s="311"/>
    <row r="611" hidden="1" ht="18.75" customFormat="1" customHeight="1" s="311"/>
    <row r="612" hidden="1" ht="18.75" customFormat="1" customHeight="1" s="311"/>
    <row r="613" hidden="1" ht="18.75" customFormat="1" customHeight="1" s="311"/>
    <row r="614" hidden="1" ht="18.75" customFormat="1" customHeight="1" s="311"/>
    <row r="615" hidden="1" ht="18.75" customFormat="1" customHeight="1" s="311"/>
    <row r="616" hidden="1" ht="18.75" customFormat="1" customHeight="1" s="311"/>
    <row r="617" hidden="1" ht="18.75" customFormat="1" customHeight="1" s="311"/>
    <row r="618" hidden="1" ht="18.75" customFormat="1" customHeight="1" s="311"/>
    <row r="619" hidden="1" ht="18.75" customFormat="1" customHeight="1" s="311"/>
    <row r="620" hidden="1" ht="18.75" customFormat="1" customHeight="1" s="311"/>
    <row r="621" hidden="1" ht="18.75" customFormat="1" customHeight="1" s="311"/>
    <row r="622" hidden="1" ht="18.75" customFormat="1" customHeight="1" s="311"/>
    <row r="623" hidden="1" ht="18.75" customFormat="1" customHeight="1" s="311"/>
    <row r="624" hidden="1" ht="18.75" customFormat="1" customHeight="1" s="311"/>
    <row r="625" hidden="1" ht="18.75" customFormat="1" customHeight="1" s="311"/>
    <row r="626" hidden="1" ht="18.75" customFormat="1" customHeight="1" s="311"/>
    <row r="627" hidden="1" ht="18.75" customFormat="1" customHeight="1" s="311"/>
    <row r="628" hidden="1" ht="18.75" customFormat="1" customHeight="1" s="311"/>
    <row r="629" hidden="1" ht="18.75" customFormat="1" customHeight="1" s="311"/>
    <row r="630" hidden="1" ht="18.75" customFormat="1" customHeight="1" s="311"/>
    <row r="631" hidden="1" ht="18.75" customFormat="1" customHeight="1" s="311"/>
    <row r="632" hidden="1" ht="18.75" customFormat="1" customHeight="1" s="311"/>
    <row r="633" hidden="1" ht="18.75" customFormat="1" customHeight="1" s="311"/>
    <row r="634" hidden="1" ht="18.75" customFormat="1" customHeight="1" s="311"/>
    <row r="635" hidden="1" ht="18.75" customFormat="1" customHeight="1" s="311"/>
    <row r="636" hidden="1" ht="18.75" customFormat="1" customHeight="1" s="311"/>
    <row r="637" hidden="1" ht="18.75" customFormat="1" customHeight="1" s="311"/>
    <row r="638" hidden="1" ht="18.75" customFormat="1" customHeight="1" s="311"/>
    <row r="639" hidden="1" ht="18.75" customFormat="1" customHeight="1" s="311"/>
    <row r="640" hidden="1" ht="18.75" customFormat="1" customHeight="1" s="311"/>
    <row r="641" hidden="1" ht="18.75" customFormat="1" customHeight="1" s="311"/>
    <row r="642" hidden="1" ht="18.75" customFormat="1" customHeight="1" s="311"/>
    <row r="643" hidden="1" ht="18.75" customFormat="1" customHeight="1" s="311"/>
    <row r="644" hidden="1" ht="18.75" customFormat="1" customHeight="1" s="311"/>
    <row r="645" hidden="1" ht="18.75" customFormat="1" customHeight="1" s="311"/>
    <row r="646" hidden="1" ht="18.75" customFormat="1" customHeight="1" s="311"/>
    <row r="647" hidden="1" ht="18.75" customFormat="1" customHeight="1" s="311"/>
    <row r="648" hidden="1" ht="18.75" customFormat="1" customHeight="1" s="311"/>
    <row r="649" hidden="1" ht="18.75" customFormat="1" customHeight="1" s="311"/>
    <row r="650" hidden="1" ht="18.75" customFormat="1" customHeight="1" s="311"/>
    <row r="651" hidden="1" ht="18.75" customFormat="1" customHeight="1" s="311"/>
    <row r="652" hidden="1" ht="18.75" customFormat="1" customHeight="1" s="311"/>
    <row r="653" hidden="1" ht="18.75" customFormat="1" customHeight="1" s="311"/>
    <row r="654" hidden="1" ht="18.75" customFormat="1" customHeight="1" s="311"/>
    <row r="655" hidden="1" ht="18.75" customFormat="1" customHeight="1" s="311"/>
    <row r="656" hidden="1" ht="18.75" customFormat="1" customHeight="1" s="311"/>
    <row r="657" hidden="1" ht="18.75" customFormat="1" customHeight="1" s="311"/>
    <row r="658" hidden="1" ht="18.75" customFormat="1" customHeight="1" s="311"/>
    <row r="659" hidden="1" ht="18.75" customFormat="1" customHeight="1" s="311"/>
    <row r="660" hidden="1" ht="18.75" customFormat="1" customHeight="1" s="311"/>
    <row r="661" hidden="1" ht="18.75" customFormat="1" customHeight="1" s="311"/>
    <row r="662" hidden="1" ht="18.75" customFormat="1" customHeight="1" s="311"/>
    <row r="663" hidden="1" ht="18.75" customFormat="1" customHeight="1" s="311"/>
    <row r="664" hidden="1" ht="18.75" customFormat="1" customHeight="1" s="311"/>
    <row r="665" hidden="1" ht="18.75" customFormat="1" customHeight="1" s="311"/>
    <row r="666" hidden="1" ht="18.75" customFormat="1" customHeight="1" s="311"/>
    <row r="667" hidden="1" ht="18.75" customFormat="1" customHeight="1" s="311"/>
    <row r="668" hidden="1" ht="18.75" customFormat="1" customHeight="1" s="311"/>
    <row r="669" hidden="1" ht="18.75" customFormat="1" customHeight="1" s="311"/>
    <row r="670" hidden="1" ht="18.75" customFormat="1" customHeight="1" s="311"/>
    <row r="671" hidden="1" ht="18.75" customFormat="1" customHeight="1" s="311"/>
    <row r="672" hidden="1" ht="18.75" customFormat="1" customHeight="1" s="311"/>
    <row r="673" hidden="1" ht="18.75" customFormat="1" customHeight="1" s="311"/>
    <row r="674" hidden="1" ht="18.75" customFormat="1" customHeight="1" s="311"/>
    <row r="675" hidden="1" ht="18.75" customFormat="1" customHeight="1" s="311"/>
    <row r="676" hidden="1" ht="18.75" customFormat="1" customHeight="1" s="311"/>
    <row r="677" hidden="1" ht="18.75" customFormat="1" customHeight="1" s="311"/>
    <row r="678" hidden="1" ht="18.75" customFormat="1" customHeight="1" s="311"/>
    <row r="679" hidden="1" ht="18.75" customFormat="1" customHeight="1" s="311"/>
    <row r="680" hidden="1" ht="18.75" customFormat="1" customHeight="1" s="311"/>
    <row r="681" hidden="1" ht="18.75" customFormat="1" customHeight="1" s="311"/>
    <row r="682" hidden="1" ht="18.75" customFormat="1" customHeight="1" s="311"/>
    <row r="683" hidden="1" ht="18.75" customFormat="1" customHeight="1" s="311"/>
    <row r="684" hidden="1" ht="18.75" customFormat="1" customHeight="1" s="311"/>
    <row r="685" hidden="1" ht="18.75" customFormat="1" customHeight="1" s="311"/>
    <row r="686" hidden="1" ht="18.75" customFormat="1" customHeight="1" s="311"/>
    <row r="687" hidden="1" ht="18.75" customFormat="1" customHeight="1" s="311"/>
    <row r="688" hidden="1" ht="18.75" customFormat="1" customHeight="1" s="311"/>
    <row r="689" hidden="1" ht="18.75" customFormat="1" customHeight="1" s="311"/>
    <row r="690" hidden="1" ht="18.75" customFormat="1" customHeight="1" s="311"/>
    <row r="691" hidden="1" ht="18.75" customFormat="1" customHeight="1" s="311"/>
    <row r="692" hidden="1" ht="18.75" customFormat="1" customHeight="1" s="311"/>
    <row r="693" hidden="1" ht="18.75" customFormat="1" customHeight="1" s="311"/>
    <row r="694" hidden="1" ht="18.75" customFormat="1" customHeight="1" s="311"/>
    <row r="695" hidden="1" ht="18.75" customFormat="1" customHeight="1" s="311"/>
    <row r="696" hidden="1" ht="18.75" customFormat="1" customHeight="1" s="311"/>
    <row r="697" hidden="1" ht="18.75" customFormat="1" customHeight="1" s="311"/>
    <row r="698" hidden="1" ht="18.75" customFormat="1" customHeight="1" s="311"/>
    <row r="699" hidden="1" ht="18.75" customFormat="1" customHeight="1" s="311"/>
    <row r="700" hidden="1" ht="18.75" customFormat="1" customHeight="1" s="311"/>
    <row r="701" hidden="1" ht="18.75" customFormat="1" customHeight="1" s="311"/>
    <row r="702" hidden="1" ht="18.75" customFormat="1" customHeight="1" s="311"/>
    <row r="703" hidden="1" ht="18.75" customFormat="1" customHeight="1" s="311"/>
    <row r="704" hidden="1" ht="18.75" customFormat="1" customHeight="1" s="311"/>
    <row r="705" hidden="1" ht="18.75" customFormat="1" customHeight="1" s="311"/>
    <row r="706" hidden="1" ht="18.75" customFormat="1" customHeight="1" s="311"/>
    <row r="707" hidden="1" ht="18.75" customFormat="1" customHeight="1" s="311"/>
    <row r="708" hidden="1" ht="18.75" customFormat="1" customHeight="1" s="311"/>
    <row r="709" hidden="1" ht="18.75" customFormat="1" customHeight="1" s="311"/>
    <row r="710" hidden="1" ht="18.75" customFormat="1" customHeight="1" s="311"/>
    <row r="711" hidden="1" ht="18.75" customFormat="1" customHeight="1" s="311"/>
    <row r="712" hidden="1" ht="18.75" customFormat="1" customHeight="1" s="311"/>
    <row r="713" hidden="1" ht="18.75" customFormat="1" customHeight="1" s="311"/>
    <row r="714" hidden="1" ht="18.75" customFormat="1" customHeight="1" s="311"/>
    <row r="715" hidden="1" ht="18.75" customFormat="1" customHeight="1" s="311"/>
    <row r="716" hidden="1" ht="18.75" customFormat="1" customHeight="1" s="311"/>
    <row r="717" hidden="1" ht="18.75" customFormat="1" customHeight="1" s="311"/>
    <row r="718" hidden="1" ht="18.75" customFormat="1" customHeight="1" s="311"/>
    <row r="719" hidden="1" ht="18.75" customFormat="1" customHeight="1" s="311"/>
    <row r="720" hidden="1" ht="18.75" customFormat="1" customHeight="1" s="311"/>
    <row r="721" hidden="1" ht="18.75" customFormat="1" customHeight="1" s="311"/>
    <row r="722" hidden="1" ht="18.75" customFormat="1" customHeight="1" s="311"/>
    <row r="723" hidden="1" ht="18.75" customFormat="1" customHeight="1" s="311"/>
    <row r="724" hidden="1" ht="18.75" customFormat="1" customHeight="1" s="311"/>
    <row r="725" hidden="1" ht="18.75" customFormat="1" customHeight="1" s="311"/>
    <row r="726" hidden="1" ht="18.75" customFormat="1" customHeight="1" s="311"/>
    <row r="727" hidden="1" ht="18.75" customFormat="1" customHeight="1" s="311"/>
    <row r="728" hidden="1" ht="18.75" customFormat="1" customHeight="1" s="311"/>
    <row r="729" hidden="1" ht="18.75" customFormat="1" customHeight="1" s="311"/>
    <row r="730" hidden="1" ht="18.75" customFormat="1" customHeight="1" s="311"/>
    <row r="731" hidden="1" ht="18.75" customFormat="1" customHeight="1" s="311"/>
    <row r="732" hidden="1" ht="18.75" customFormat="1" customHeight="1" s="311"/>
    <row r="733" hidden="1" ht="18.75" customFormat="1" customHeight="1" s="311"/>
    <row r="734" hidden="1" ht="18.75" customFormat="1" customHeight="1" s="311"/>
    <row r="735" hidden="1" ht="18.75" customFormat="1" customHeight="1" s="311"/>
    <row r="736" hidden="1" ht="18.75" customFormat="1" customHeight="1" s="311"/>
    <row r="737" hidden="1" ht="18.75" customFormat="1" customHeight="1" s="311"/>
    <row r="738" hidden="1" ht="18.75" customFormat="1" customHeight="1" s="311"/>
    <row r="739" hidden="1" ht="18.75" customFormat="1" customHeight="1" s="311"/>
    <row r="740" hidden="1" ht="18.75" customFormat="1" customHeight="1" s="311"/>
    <row r="741" hidden="1" ht="18.75" customFormat="1" customHeight="1" s="311"/>
    <row r="742" hidden="1" ht="18.75" customFormat="1" customHeight="1" s="311"/>
    <row r="743" hidden="1" ht="18.75" customFormat="1" customHeight="1" s="311"/>
    <row r="744" hidden="1" ht="18.75" customFormat="1" customHeight="1" s="311"/>
    <row r="745" hidden="1" ht="18.75" customFormat="1" customHeight="1" s="311"/>
    <row r="746" hidden="1" ht="18.75" customFormat="1" customHeight="1" s="311"/>
    <row r="747" hidden="1" ht="18.75" customFormat="1" customHeight="1" s="311"/>
    <row r="748" hidden="1" ht="18.75" customFormat="1" customHeight="1" s="311"/>
    <row r="749" hidden="1" ht="18.75" customFormat="1" customHeight="1" s="311"/>
    <row r="750" hidden="1" ht="18.75" customFormat="1" customHeight="1" s="311"/>
    <row r="751" hidden="1" ht="18.75" customFormat="1" customHeight="1" s="311"/>
    <row r="752" hidden="1" ht="18.75" customFormat="1" customHeight="1" s="311"/>
    <row r="753" hidden="1" ht="18.75" customFormat="1" customHeight="1" s="311"/>
    <row r="754" hidden="1" ht="18.75" customFormat="1" customHeight="1" s="311"/>
    <row r="755" hidden="1" ht="18.75" customFormat="1" customHeight="1" s="311"/>
    <row r="756" hidden="1" ht="18.75" customFormat="1" customHeight="1" s="311"/>
    <row r="757" hidden="1" ht="18.75" customFormat="1" customHeight="1" s="311"/>
    <row r="758" hidden="1" ht="18.75" customFormat="1" customHeight="1" s="311"/>
    <row r="759" hidden="1" ht="18.75" customFormat="1" customHeight="1" s="311"/>
    <row r="760" hidden="1" ht="18.75" customFormat="1" customHeight="1" s="311"/>
    <row r="761" hidden="1" ht="18.75" customFormat="1" customHeight="1" s="311"/>
    <row r="762" hidden="1" ht="18.75" customFormat="1" customHeight="1" s="311"/>
    <row r="763" hidden="1" ht="18.75" customFormat="1" customHeight="1" s="311"/>
    <row r="764" hidden="1" ht="18.75" customFormat="1" customHeight="1" s="311"/>
    <row r="765" hidden="1" ht="18.75" customFormat="1" customHeight="1" s="311"/>
    <row r="766" hidden="1" ht="18.75" customFormat="1" customHeight="1" s="311"/>
    <row r="767" hidden="1" ht="18.75" customFormat="1" customHeight="1" s="311"/>
    <row r="768" hidden="1" ht="18.75" customFormat="1" customHeight="1" s="311"/>
    <row r="769" hidden="1" ht="18.75" customFormat="1" customHeight="1" s="311"/>
    <row r="770" hidden="1" ht="18.75" customFormat="1" customHeight="1" s="311"/>
    <row r="771" hidden="1" ht="18.75" customFormat="1" customHeight="1" s="311"/>
    <row r="772" hidden="1" ht="18.75" customFormat="1" customHeight="1" s="311"/>
    <row r="773" hidden="1" ht="18.75" customFormat="1" customHeight="1" s="311"/>
    <row r="774" hidden="1" ht="18.75" customFormat="1" customHeight="1" s="311"/>
    <row r="775" hidden="1" ht="18.75" customFormat="1" customHeight="1" s="311"/>
    <row r="776" hidden="1" ht="18.75" customFormat="1" customHeight="1" s="311"/>
    <row r="777" hidden="1" ht="18.75" customFormat="1" customHeight="1" s="311"/>
    <row r="778" hidden="1" ht="18.75" customFormat="1" customHeight="1" s="311"/>
    <row r="779" hidden="1" ht="18.75" customFormat="1" customHeight="1" s="311"/>
    <row r="780" hidden="1" ht="18.75" customFormat="1" customHeight="1" s="311"/>
    <row r="781" hidden="1" ht="18.75" customFormat="1" customHeight="1" s="311"/>
    <row r="782" hidden="1" ht="18.75" customFormat="1" customHeight="1" s="311"/>
    <row r="783" hidden="1" ht="18.75" customFormat="1" customHeight="1" s="311"/>
    <row r="784" hidden="1" ht="18.75" customFormat="1" customHeight="1" s="311"/>
    <row r="785" hidden="1" ht="18.75" customFormat="1" customHeight="1" s="311"/>
    <row r="786" hidden="1" ht="18.75" customFormat="1" customHeight="1" s="311"/>
    <row r="787" hidden="1" ht="18.75" customFormat="1" customHeight="1" s="311"/>
    <row r="788" hidden="1" ht="18.75" customFormat="1" customHeight="1" s="311"/>
    <row r="789" hidden="1" ht="18.75" customFormat="1" customHeight="1" s="311"/>
    <row r="790" hidden="1" ht="18.75" customFormat="1" customHeight="1" s="311"/>
    <row r="791" hidden="1" ht="18.75" customFormat="1" customHeight="1" s="311"/>
    <row r="792" hidden="1" ht="18.75" customFormat="1" customHeight="1" s="311"/>
    <row r="793" hidden="1" ht="18.75" customFormat="1" customHeight="1" s="311"/>
    <row r="794" hidden="1" ht="18.75" customFormat="1" customHeight="1" s="311"/>
    <row r="795" hidden="1" ht="18.75" customFormat="1" customHeight="1" s="311"/>
    <row r="796" hidden="1" ht="18.75" customFormat="1" customHeight="1" s="311"/>
    <row r="797" hidden="1" ht="18.75" customFormat="1" customHeight="1" s="311"/>
    <row r="798" hidden="1" ht="18.75" customFormat="1" customHeight="1" s="311"/>
    <row r="799" hidden="1" ht="18.75" customFormat="1" customHeight="1" s="311"/>
    <row r="800" hidden="1" ht="18.75" customFormat="1" customHeight="1" s="311"/>
    <row r="801" hidden="1" ht="18.75" customFormat="1" customHeight="1" s="311"/>
    <row r="802" hidden="1" ht="18.75" customFormat="1" customHeight="1" s="311"/>
    <row r="803" hidden="1" ht="18.75" customFormat="1" customHeight="1" s="311"/>
    <row r="804" hidden="1" ht="18.75" customFormat="1" customHeight="1" s="311"/>
    <row r="805" hidden="1" ht="18.75" customFormat="1" customHeight="1" s="311"/>
    <row r="806" hidden="1" ht="18.75" customFormat="1" customHeight="1" s="311"/>
    <row r="807" hidden="1" ht="18.75" customFormat="1" customHeight="1" s="311"/>
    <row r="808" hidden="1" ht="18.75" customFormat="1" customHeight="1" s="311"/>
    <row r="809" hidden="1" ht="18.75" customFormat="1" customHeight="1" s="311"/>
    <row r="810" hidden="1" ht="18.75" customFormat="1" customHeight="1" s="311"/>
    <row r="811" hidden="1" ht="18.75" customFormat="1" customHeight="1" s="311"/>
    <row r="812" hidden="1" ht="18.75" customFormat="1" customHeight="1" s="311"/>
    <row r="813" hidden="1" ht="18.75" customFormat="1" customHeight="1" s="311"/>
    <row r="814" hidden="1" ht="18.75" customFormat="1" customHeight="1" s="311"/>
    <row r="815" hidden="1" ht="18.75" customFormat="1" customHeight="1" s="311"/>
    <row r="816" hidden="1" ht="18.75" customFormat="1" customHeight="1" s="311"/>
    <row r="817" hidden="1" ht="18.75" customFormat="1" customHeight="1" s="311"/>
    <row r="818" hidden="1" ht="18.75" customFormat="1" customHeight="1" s="311"/>
    <row r="819" hidden="1" ht="18.75" customFormat="1" customHeight="1" s="311"/>
    <row r="820" hidden="1" ht="18.75" customFormat="1" customHeight="1" s="311"/>
    <row r="821" hidden="1" ht="18.75" customFormat="1" customHeight="1" s="311"/>
    <row r="822" hidden="1" ht="18.75" customFormat="1" customHeight="1" s="311"/>
    <row r="823" hidden="1" ht="18.75" customFormat="1" customHeight="1" s="311"/>
    <row r="824" hidden="1" ht="18.75" customFormat="1" customHeight="1" s="311"/>
    <row r="825" hidden="1" ht="18.75" customFormat="1" customHeight="1" s="311"/>
    <row r="826" hidden="1" ht="18.75" customFormat="1" customHeight="1" s="311"/>
    <row r="827" hidden="1" ht="18.75" customFormat="1" customHeight="1" s="311"/>
    <row r="828" hidden="1" ht="18.75" customFormat="1" customHeight="1" s="311"/>
    <row r="829" hidden="1" ht="18.75" customFormat="1" customHeight="1" s="311"/>
    <row r="830" hidden="1" ht="18.75" customFormat="1" customHeight="1" s="311"/>
    <row r="831" hidden="1" ht="18.75" customFormat="1" customHeight="1" s="311"/>
    <row r="832" hidden="1" ht="18.75" customFormat="1" customHeight="1" s="311"/>
    <row r="833" hidden="1" ht="18.75" customFormat="1" customHeight="1" s="311"/>
    <row r="834" hidden="1" ht="18.75" customFormat="1" customHeight="1" s="311"/>
    <row r="835" hidden="1" ht="18.75" customFormat="1" customHeight="1" s="311"/>
    <row r="836" hidden="1" ht="18.75" customFormat="1" customHeight="1" s="311"/>
    <row r="837" hidden="1" ht="18.75" customFormat="1" customHeight="1" s="311"/>
    <row r="838" hidden="1" ht="18.75" customFormat="1" customHeight="1" s="311"/>
    <row r="839" hidden="1" ht="18.75" customFormat="1" customHeight="1" s="311"/>
    <row r="840" hidden="1" ht="18.75" customFormat="1" customHeight="1" s="311"/>
    <row r="841" hidden="1" ht="18.75" customFormat="1" customHeight="1" s="311"/>
    <row r="842" hidden="1" ht="18.75" customFormat="1" customHeight="1" s="311"/>
    <row r="843" hidden="1" ht="18.75" customFormat="1" customHeight="1" s="311"/>
    <row r="844" hidden="1" ht="18.75" customFormat="1" customHeight="1" s="311"/>
    <row r="845" hidden="1" ht="18.75" customFormat="1" customHeight="1" s="311"/>
    <row r="846" hidden="1" ht="18.75" customFormat="1" customHeight="1" s="311"/>
    <row r="847" hidden="1" ht="18.75" customFormat="1" customHeight="1" s="311"/>
    <row r="848" hidden="1" ht="18.75" customFormat="1" customHeight="1" s="311"/>
    <row r="849" hidden="1" ht="18.75" customFormat="1" customHeight="1" s="311"/>
    <row r="850" hidden="1" ht="18.75" customFormat="1" customHeight="1" s="311"/>
    <row r="851" hidden="1" ht="18.75" customFormat="1" customHeight="1" s="311"/>
    <row r="852" hidden="1" ht="18.75" customFormat="1" customHeight="1" s="311"/>
    <row r="853" hidden="1" ht="18.75" customFormat="1" customHeight="1" s="311"/>
    <row r="854" hidden="1" ht="18.75" customFormat="1" customHeight="1" s="311"/>
    <row r="855" hidden="1" ht="18.75" customFormat="1" customHeight="1" s="311"/>
    <row r="856" hidden="1" ht="18.75" customFormat="1" customHeight="1" s="311"/>
    <row r="857" hidden="1" ht="18.75" customFormat="1" customHeight="1" s="311"/>
    <row r="858" hidden="1" ht="18.75" customFormat="1" customHeight="1" s="311"/>
    <row r="859" hidden="1" ht="18.75" customFormat="1" customHeight="1" s="311"/>
    <row r="860" hidden="1" ht="18.75" customFormat="1" customHeight="1" s="311"/>
    <row r="861" hidden="1" ht="18.75" customFormat="1" customHeight="1" s="311"/>
    <row r="862" hidden="1" ht="18.75" customFormat="1" customHeight="1" s="311"/>
    <row r="863" hidden="1" ht="18.75" customFormat="1" customHeight="1" s="311"/>
    <row r="864" hidden="1" ht="18.75" customFormat="1" customHeight="1" s="311"/>
    <row r="865" hidden="1" ht="18.75" customFormat="1" customHeight="1" s="311"/>
    <row r="866" hidden="1" ht="18.75" customFormat="1" customHeight="1" s="311"/>
    <row r="867" hidden="1" ht="18.75" customFormat="1" customHeight="1" s="311"/>
    <row r="868" hidden="1" ht="18.75" customFormat="1" customHeight="1" s="311"/>
    <row r="869" hidden="1" ht="18.75" customFormat="1" customHeight="1" s="311"/>
    <row r="870" hidden="1" ht="18.75" customFormat="1" customHeight="1" s="311"/>
    <row r="871" hidden="1" ht="18.75" customFormat="1" customHeight="1" s="311"/>
    <row r="872" hidden="1" ht="18.75" customFormat="1" customHeight="1" s="311"/>
    <row r="873" hidden="1" ht="18.75" customFormat="1" customHeight="1" s="311"/>
    <row r="874" hidden="1" ht="18.75" customFormat="1" customHeight="1" s="311"/>
    <row r="875" hidden="1" ht="18.75" customFormat="1" customHeight="1" s="311"/>
    <row r="876" hidden="1" ht="18.75" customFormat="1" customHeight="1" s="311"/>
    <row r="877" hidden="1" ht="18.75" customFormat="1" customHeight="1" s="311"/>
    <row r="878" hidden="1" ht="18.75" customFormat="1" customHeight="1" s="311"/>
    <row r="879" hidden="1" ht="18.75" customFormat="1" customHeight="1" s="311"/>
    <row r="880" hidden="1" ht="18.75" customFormat="1" customHeight="1" s="311"/>
    <row r="881" hidden="1" ht="18.75" customFormat="1" customHeight="1" s="311"/>
    <row r="882" hidden="1" ht="18.75" customFormat="1" customHeight="1" s="311"/>
    <row r="883" hidden="1" ht="18.75" customFormat="1" customHeight="1" s="311"/>
    <row r="884" hidden="1" ht="18.75" customFormat="1" customHeight="1" s="311"/>
    <row r="885" hidden="1" ht="18.75" customFormat="1" customHeight="1" s="311"/>
    <row r="886" hidden="1" ht="18.75" customFormat="1" customHeight="1" s="311"/>
    <row r="887" hidden="1" ht="18.75" customFormat="1" customHeight="1" s="311"/>
    <row r="888" hidden="1" ht="18.75" customFormat="1" customHeight="1" s="311"/>
    <row r="889" hidden="1" ht="18.75" customFormat="1" customHeight="1" s="311"/>
    <row r="890" hidden="1" ht="18.75" customFormat="1" customHeight="1" s="311"/>
    <row r="891" hidden="1" ht="18.75" customFormat="1" customHeight="1" s="311"/>
    <row r="892" hidden="1" ht="18.75" customFormat="1" customHeight="1" s="311"/>
    <row r="893" hidden="1" ht="18.75" customFormat="1" customHeight="1" s="311"/>
    <row r="894" hidden="1" ht="18.75" customFormat="1" customHeight="1" s="311"/>
    <row r="895" hidden="1" ht="18.75" customFormat="1" customHeight="1" s="311"/>
    <row r="896" hidden="1" ht="18.75" customFormat="1" customHeight="1" s="311"/>
    <row r="897" hidden="1" ht="18.75" customFormat="1" customHeight="1" s="311"/>
    <row r="898" hidden="1" ht="18.75" customFormat="1" customHeight="1" s="311"/>
    <row r="899" hidden="1" ht="18.75" customFormat="1" customHeight="1" s="311"/>
    <row r="900" hidden="1" ht="18.75" customFormat="1" customHeight="1" s="311"/>
    <row r="901" hidden="1" ht="18.75" customFormat="1" customHeight="1" s="311"/>
    <row r="902" hidden="1" ht="18.75" customFormat="1" customHeight="1" s="311"/>
    <row r="903" hidden="1" ht="18.75" customFormat="1" customHeight="1" s="311"/>
    <row r="904" hidden="1" ht="18.75" customFormat="1" customHeight="1" s="311"/>
    <row r="905" hidden="1" ht="18.75" customFormat="1" customHeight="1" s="311"/>
    <row r="906" hidden="1" ht="18.75" customFormat="1" customHeight="1" s="311"/>
    <row r="907" hidden="1" ht="18.75" customFormat="1" customHeight="1" s="311"/>
    <row r="908" hidden="1" ht="18.75" customFormat="1" customHeight="1" s="311"/>
    <row r="909" hidden="1" ht="18.75" customFormat="1" customHeight="1" s="311"/>
    <row r="910" hidden="1" ht="18.75" customFormat="1" customHeight="1" s="311"/>
    <row r="911" hidden="1" ht="18.75" customFormat="1" customHeight="1" s="311"/>
    <row r="912" hidden="1" ht="18.75" customFormat="1" customHeight="1" s="311"/>
    <row r="913" hidden="1" ht="18.75" customFormat="1" customHeight="1" s="311"/>
    <row r="914" hidden="1" ht="18.75" customFormat="1" customHeight="1" s="311"/>
    <row r="915" hidden="1" ht="18.75" customFormat="1" customHeight="1" s="311"/>
    <row r="916" hidden="1" ht="18.75" customFormat="1" customHeight="1" s="311"/>
    <row r="917" hidden="1" ht="18.75" customFormat="1" customHeight="1" s="311"/>
    <row r="918" hidden="1" ht="18.75" customFormat="1" customHeight="1" s="311"/>
    <row r="919" hidden="1" ht="18.75" customFormat="1" customHeight="1" s="311"/>
    <row r="920" hidden="1" ht="18.75" customFormat="1" customHeight="1" s="311"/>
    <row r="921" hidden="1" ht="18.75" customFormat="1" customHeight="1" s="311"/>
    <row r="922" hidden="1" ht="18.75" customFormat="1" customHeight="1" s="311"/>
    <row r="923" hidden="1" ht="18.75" customFormat="1" customHeight="1" s="311"/>
    <row r="924" hidden="1" ht="18.75" customFormat="1" customHeight="1" s="311"/>
    <row r="925" hidden="1" ht="18.75" customFormat="1" customHeight="1" s="311"/>
    <row r="926" hidden="1" ht="18.75" customFormat="1" customHeight="1" s="311"/>
    <row r="927" hidden="1" ht="18.75" customFormat="1" customHeight="1" s="311"/>
    <row r="928" hidden="1" ht="18.75" customFormat="1" customHeight="1" s="311"/>
    <row r="929" hidden="1" ht="18.75" customFormat="1" customHeight="1" s="311"/>
    <row r="930" hidden="1" ht="18.75" customFormat="1" customHeight="1" s="311"/>
    <row r="931" hidden="1" ht="18.75" customFormat="1" customHeight="1" s="311"/>
    <row r="932" hidden="1" ht="18.75" customFormat="1" customHeight="1" s="311"/>
    <row r="933" hidden="1" ht="18.75" customFormat="1" customHeight="1" s="311"/>
    <row r="934" hidden="1" ht="18.75" customFormat="1" customHeight="1" s="311"/>
    <row r="935" hidden="1" ht="18.75" customFormat="1" customHeight="1" s="311"/>
    <row r="936" hidden="1" ht="18.75" customFormat="1" customHeight="1" s="311"/>
    <row r="937" hidden="1" ht="18.75" customFormat="1" customHeight="1" s="311"/>
    <row r="938" hidden="1" ht="18.75" customFormat="1" customHeight="1" s="311"/>
    <row r="939" hidden="1" ht="18.75" customFormat="1" customHeight="1" s="311"/>
    <row r="940" hidden="1" ht="18.75" customFormat="1" customHeight="1" s="311"/>
    <row r="941" hidden="1" ht="18.75" customFormat="1" customHeight="1" s="311"/>
    <row r="942" hidden="1" ht="18.75" customFormat="1" customHeight="1" s="311"/>
    <row r="943" hidden="1" ht="18.75" customFormat="1" customHeight="1" s="311"/>
    <row r="944" hidden="1" ht="18.75" customFormat="1" customHeight="1" s="311"/>
    <row r="945" hidden="1" ht="18.75" customFormat="1" customHeight="1" s="311"/>
    <row r="946" hidden="1" ht="18.75" customFormat="1" customHeight="1" s="311"/>
    <row r="947" hidden="1" ht="18.75" customFormat="1" customHeight="1" s="311"/>
    <row r="948" hidden="1" ht="18.75" customFormat="1" customHeight="1" s="311"/>
    <row r="949" hidden="1" ht="18.75" customFormat="1" customHeight="1" s="311"/>
    <row r="950" hidden="1" ht="18.75" customFormat="1" customHeight="1" s="311"/>
    <row r="951" hidden="1" ht="18.75" customFormat="1" customHeight="1" s="311"/>
    <row r="952" hidden="1" ht="18.75" customFormat="1" customHeight="1" s="311"/>
    <row r="953" hidden="1" ht="18.75" customFormat="1" customHeight="1" s="311"/>
    <row r="954" hidden="1" ht="18.75" customFormat="1" customHeight="1" s="311"/>
    <row r="955" hidden="1" ht="18.75" customFormat="1" customHeight="1" s="311"/>
    <row r="956" hidden="1" ht="18.75" customFormat="1" customHeight="1" s="311"/>
    <row r="957" hidden="1" ht="18.75" customFormat="1" customHeight="1" s="311"/>
    <row r="958" hidden="1" ht="18.75" customFormat="1" customHeight="1" s="311"/>
    <row r="959" hidden="1" ht="18.75" customFormat="1" customHeight="1" s="311"/>
    <row r="960" hidden="1" ht="18.75" customFormat="1" customHeight="1" s="311"/>
    <row r="961" hidden="1" ht="18.75" customFormat="1" customHeight="1" s="311"/>
    <row r="962" hidden="1" ht="18.75" customFormat="1" customHeight="1" s="311"/>
    <row r="963" hidden="1" ht="18.75" customFormat="1" customHeight="1" s="311"/>
    <row r="964" hidden="1" ht="18.75" customFormat="1" customHeight="1" s="311"/>
    <row r="965" hidden="1" ht="18.75" customFormat="1" customHeight="1" s="311"/>
    <row r="966" hidden="1" ht="18.75" customFormat="1" customHeight="1" s="311"/>
    <row r="967" hidden="1" ht="18.75" customFormat="1" customHeight="1" s="311"/>
    <row r="968" hidden="1" ht="18.75" customFormat="1" customHeight="1" s="311"/>
    <row r="969" hidden="1" ht="18.75" customFormat="1" customHeight="1" s="311"/>
    <row r="970" hidden="1" ht="18.75" customFormat="1" customHeight="1" s="311"/>
    <row r="971" hidden="1" ht="18.75" customFormat="1" customHeight="1" s="311"/>
    <row r="972" hidden="1" ht="18.75" customFormat="1" customHeight="1" s="311"/>
    <row r="973" hidden="1" ht="18.75" customFormat="1" customHeight="1" s="311"/>
    <row r="974" hidden="1" ht="18.75" customFormat="1" customHeight="1" s="311"/>
    <row r="975" hidden="1" ht="18.75" customFormat="1" customHeight="1" s="311"/>
    <row r="976" hidden="1" ht="18.75" customFormat="1" customHeight="1" s="311"/>
    <row r="977" hidden="1" ht="18.75" customFormat="1" customHeight="1" s="311"/>
    <row r="978" hidden="1" ht="18.75" customFormat="1" customHeight="1" s="311"/>
    <row r="979" hidden="1" ht="18.75" customFormat="1" customHeight="1" s="311"/>
    <row r="980" hidden="1" ht="18.75" customFormat="1" customHeight="1" s="311"/>
    <row r="981" hidden="1" ht="18.75" customFormat="1" customHeight="1" s="311"/>
    <row r="982" hidden="1" ht="18.75" customFormat="1" customHeight="1" s="311"/>
    <row r="983" hidden="1" ht="18.75" customFormat="1" customHeight="1" s="311"/>
    <row r="984" hidden="1" ht="18.75" customFormat="1" customHeight="1" s="311"/>
    <row r="985" hidden="1" ht="18.75" customFormat="1" customHeight="1" s="311"/>
    <row r="986" hidden="1" ht="18.75" customFormat="1" customHeight="1" s="311"/>
    <row r="987" hidden="1" ht="18.75" customFormat="1" customHeight="1" s="311"/>
    <row r="988" hidden="1" ht="18.75" customFormat="1" customHeight="1" s="311"/>
    <row r="989" hidden="1" ht="18.75" customFormat="1" customHeight="1" s="311"/>
    <row r="990" hidden="1" ht="18.75" customFormat="1" customHeight="1" s="311"/>
    <row r="991" hidden="1" ht="18.75" customFormat="1" customHeight="1" s="311"/>
    <row r="992" hidden="1" ht="18.75" customFormat="1" customHeight="1" s="311"/>
    <row r="993" hidden="1" ht="18.75" customFormat="1" customHeight="1" s="311"/>
    <row r="994" hidden="1" ht="18.75" customFormat="1" customHeight="1" s="311"/>
    <row r="995" hidden="1" ht="18.75" customFormat="1" customHeight="1" s="311"/>
    <row r="996" hidden="1" ht="18.75" customFormat="1" customHeight="1" s="311"/>
    <row r="997" hidden="1" ht="18.75" customFormat="1" customHeight="1" s="311"/>
    <row r="998" hidden="1" ht="18.75" customFormat="1" customHeight="1" s="311"/>
    <row r="999" hidden="1" ht="18.75" customFormat="1" customHeight="1" s="311"/>
    <row r="1000" hidden="1" ht="18.75" customFormat="1" customHeight="1" s="311"/>
    <row r="1001" hidden="1" ht="18.75" customFormat="1" customHeight="1" s="311"/>
    <row r="1002" hidden="1" ht="18.75" customFormat="1" customHeight="1" s="311"/>
    <row r="1003" hidden="1" ht="18.75" customFormat="1" customHeight="1" s="311"/>
    <row r="1004" hidden="1" ht="18.75" customFormat="1" customHeight="1" s="311"/>
    <row r="1005" hidden="1" ht="18.75" customFormat="1" customHeight="1" s="311"/>
    <row r="1006" hidden="1" ht="18.75" customFormat="1" customHeight="1" s="311"/>
    <row r="1007" hidden="1" ht="18.75" customFormat="1" customHeight="1" s="311"/>
    <row r="1008" hidden="1" ht="18.75" customFormat="1" customHeight="1" s="311"/>
    <row r="1009" hidden="1" ht="18.75" customFormat="1" customHeight="1" s="311"/>
    <row r="1010" hidden="1" ht="18.75" customFormat="1" customHeight="1" s="311"/>
    <row r="1011" hidden="1" ht="18.75" customFormat="1" customHeight="1" s="311"/>
    <row r="1012" hidden="1" ht="18.75" customFormat="1" customHeight="1" s="311"/>
    <row r="1013" hidden="1" ht="18.75" customFormat="1" customHeight="1" s="311"/>
    <row r="1014" hidden="1" ht="18.75" customFormat="1" customHeight="1" s="311"/>
    <row r="1015" hidden="1" ht="18.75" customFormat="1" customHeight="1" s="311"/>
    <row r="1016" hidden="1" ht="18.75" customFormat="1" customHeight="1" s="311"/>
    <row r="1017" hidden="1" ht="18.75" customFormat="1" customHeight="1" s="311"/>
    <row r="1018" hidden="1" ht="18.75" customFormat="1" customHeight="1" s="311"/>
    <row r="1019" hidden="1" ht="18.75" customFormat="1" customHeight="1" s="311"/>
    <row r="1020" hidden="1" ht="18.75" customFormat="1" customHeight="1" s="311"/>
    <row r="1021" hidden="1" ht="18.75" customFormat="1" customHeight="1" s="311"/>
    <row r="1022" hidden="1" ht="18.75" customFormat="1" customHeight="1" s="311"/>
    <row r="1023" hidden="1" ht="18.75" customFormat="1" customHeight="1" s="311"/>
    <row r="1024" hidden="1" ht="18.75" customFormat="1" customHeight="1" s="311"/>
    <row r="1025" hidden="1" ht="18.75" customFormat="1" customHeight="1" s="311"/>
    <row r="1026" hidden="1" ht="18.75" customFormat="1" customHeight="1" s="311"/>
    <row r="1027" hidden="1" ht="18.75" customFormat="1" customHeight="1" s="311"/>
    <row r="1028" hidden="1" ht="18.75" customFormat="1" customHeight="1" s="311"/>
    <row r="1029" hidden="1" ht="18.75" customFormat="1" customHeight="1" s="311"/>
    <row r="1030" hidden="1" ht="18.75" customFormat="1" customHeight="1" s="311"/>
    <row r="1031" hidden="1" ht="18.75" customFormat="1" customHeight="1" s="311"/>
    <row r="1032" hidden="1" ht="18.75" customFormat="1" customHeight="1" s="311"/>
    <row r="1033" hidden="1" ht="18.75" customFormat="1" customHeight="1" s="311"/>
    <row r="1034" hidden="1" ht="18.75" customFormat="1" customHeight="1" s="311"/>
    <row r="1035" hidden="1" ht="18.75" customFormat="1" customHeight="1" s="311"/>
    <row r="1036" hidden="1" ht="18.75" customFormat="1" customHeight="1" s="311"/>
    <row r="1037" hidden="1" ht="18.75" customFormat="1" customHeight="1" s="311"/>
    <row r="1038" hidden="1" ht="18.75" customFormat="1" customHeight="1" s="311"/>
    <row r="1039" hidden="1" ht="18.75" customFormat="1" customHeight="1" s="311"/>
    <row r="1040" hidden="1" ht="18.75" customFormat="1" customHeight="1" s="311"/>
    <row r="1041" hidden="1" ht="18.75" customFormat="1" customHeight="1" s="311"/>
    <row r="1042" hidden="1" ht="18.75" customFormat="1" customHeight="1" s="311"/>
    <row r="1043" hidden="1" ht="18.75" customFormat="1" customHeight="1" s="311"/>
    <row r="1044" hidden="1" ht="18.75" customFormat="1" customHeight="1" s="311"/>
    <row r="1045" hidden="1" ht="18.75" customFormat="1" customHeight="1" s="311"/>
    <row r="1046" hidden="1" ht="18.75" customFormat="1" customHeight="1" s="311"/>
    <row r="1047" hidden="1" ht="18.75" customFormat="1" customHeight="1" s="311"/>
    <row r="1048" hidden="1" ht="18.75" customFormat="1" customHeight="1" s="311"/>
    <row r="1049" hidden="1" ht="18.75" customFormat="1" customHeight="1" s="311"/>
    <row r="1050" hidden="1" ht="18.75" customFormat="1" customHeight="1" s="311"/>
    <row r="1051" hidden="1" ht="18.75" customFormat="1" customHeight="1" s="311"/>
    <row r="1052" hidden="1" ht="18.75" customFormat="1" customHeight="1" s="311"/>
    <row r="1053" hidden="1" ht="18.75" customFormat="1" customHeight="1" s="311"/>
    <row r="1054" hidden="1" ht="18.75" customFormat="1" customHeight="1" s="311"/>
    <row r="1055" hidden="1" ht="18.75" customFormat="1" customHeight="1" s="311"/>
    <row r="1056" hidden="1" ht="18.75" customFormat="1" customHeight="1" s="311"/>
    <row r="1057" hidden="1" ht="18.75" customFormat="1" customHeight="1" s="311"/>
    <row r="1058" hidden="1" ht="18.75" customFormat="1" customHeight="1" s="311"/>
    <row r="1059" hidden="1" ht="18.75" customFormat="1" customHeight="1" s="311"/>
    <row r="1060" hidden="1" ht="18.75" customFormat="1" customHeight="1" s="311"/>
    <row r="1061" hidden="1" ht="18.75" customFormat="1" customHeight="1" s="311"/>
    <row r="1062" hidden="1" ht="18.75" customFormat="1" customHeight="1" s="311"/>
    <row r="1063" hidden="1" ht="18.75" customFormat="1" customHeight="1" s="311"/>
    <row r="1064" hidden="1" ht="18.75" customFormat="1" customHeight="1" s="311"/>
    <row r="1065" hidden="1" ht="18.75" customFormat="1" customHeight="1" s="311"/>
    <row r="1066" hidden="1" ht="18.75" customFormat="1" customHeight="1" s="311"/>
    <row r="1067" hidden="1" ht="18.75" customFormat="1" customHeight="1" s="311"/>
    <row r="1068" hidden="1" ht="18.75" customFormat="1" customHeight="1" s="311"/>
    <row r="1069" hidden="1" ht="18.75" customFormat="1" customHeight="1" s="311"/>
    <row r="1070" hidden="1" ht="18.75" customFormat="1" customHeight="1" s="311"/>
    <row r="1071" hidden="1" ht="18.75" customFormat="1" customHeight="1" s="311"/>
    <row r="1072" hidden="1" ht="18.75" customFormat="1" customHeight="1" s="311"/>
    <row r="1073" hidden="1" ht="18.75" customFormat="1" customHeight="1" s="311"/>
    <row r="1074" hidden="1" ht="18.75" customFormat="1" customHeight="1" s="311"/>
    <row r="1075" hidden="1" ht="18.75" customFormat="1" customHeight="1" s="311"/>
    <row r="1076" hidden="1" ht="18.75" customFormat="1" customHeight="1" s="311"/>
    <row r="1077" hidden="1" ht="18.75" customFormat="1" customHeight="1" s="311"/>
    <row r="1078" hidden="1" ht="18.75" customFormat="1" customHeight="1" s="311"/>
    <row r="1079" hidden="1" ht="18.75" customFormat="1" customHeight="1" s="311"/>
    <row r="1080" hidden="1" ht="18.75" customFormat="1" customHeight="1" s="311"/>
    <row r="1081" hidden="1" ht="18.75" customFormat="1" customHeight="1" s="311"/>
    <row r="1082" hidden="1" ht="18.75" customFormat="1" customHeight="1" s="311"/>
    <row r="1083" hidden="1" ht="18.75" customFormat="1" customHeight="1" s="311"/>
    <row r="1084" hidden="1" ht="18.75" customFormat="1" customHeight="1" s="311"/>
    <row r="1085" hidden="1" ht="18.75" customFormat="1" customHeight="1" s="311"/>
    <row r="1086" hidden="1" ht="18.75" customFormat="1" customHeight="1" s="311"/>
    <row r="1087" hidden="1" ht="18.75" customFormat="1" customHeight="1" s="311"/>
    <row r="1088" hidden="1" ht="18.75" customFormat="1" customHeight="1" s="311"/>
    <row r="1089" hidden="1" ht="18.75" customFormat="1" customHeight="1" s="311"/>
    <row r="1090" hidden="1" ht="18.75" customFormat="1" customHeight="1" s="311"/>
    <row r="1091" hidden="1" ht="18.75" customFormat="1" customHeight="1" s="311"/>
    <row r="1092" hidden="1" ht="18.75" customFormat="1" customHeight="1" s="311"/>
    <row r="1093" hidden="1" ht="18.75" customFormat="1" customHeight="1" s="311"/>
    <row r="1094" hidden="1" ht="18.75" customFormat="1" customHeight="1" s="311"/>
    <row r="1095" hidden="1" ht="18.75" customFormat="1" customHeight="1" s="311"/>
    <row r="1096" hidden="1" ht="18.75" customFormat="1" customHeight="1" s="311"/>
    <row r="1097" hidden="1" ht="18.75" customFormat="1" customHeight="1" s="311"/>
    <row r="1098" hidden="1" ht="18.75" customFormat="1" customHeight="1" s="311"/>
    <row r="1099" hidden="1" ht="18.75" customFormat="1" customHeight="1" s="311"/>
    <row r="1100" hidden="1" ht="18.75" customFormat="1" customHeight="1" s="311"/>
    <row r="1101" hidden="1" ht="18.75" customFormat="1" customHeight="1" s="311"/>
    <row r="1102" hidden="1" ht="18.75" customFormat="1" customHeight="1" s="311"/>
    <row r="1103" hidden="1" ht="18.75" customFormat="1" customHeight="1" s="311"/>
    <row r="1104" hidden="1" ht="18.75" customFormat="1" customHeight="1" s="311"/>
    <row r="1105" hidden="1" ht="18.75" customFormat="1" customHeight="1" s="311"/>
    <row r="1106" hidden="1" ht="18.75" customFormat="1" customHeight="1" s="311"/>
    <row r="1107" hidden="1" ht="18.75" customFormat="1" customHeight="1" s="311"/>
    <row r="1108" hidden="1" ht="18.75" customFormat="1" customHeight="1" s="311"/>
    <row r="1109" hidden="1" ht="18.75" customFormat="1" customHeight="1" s="311"/>
    <row r="1110" hidden="1" ht="18.75" customFormat="1" customHeight="1" s="311"/>
    <row r="1111" hidden="1" ht="18.75" customFormat="1" customHeight="1" s="311"/>
    <row r="1112" hidden="1" ht="18.75" customFormat="1" customHeight="1" s="311"/>
    <row r="1113" hidden="1" ht="18.75" customFormat="1" customHeight="1" s="311"/>
    <row r="1114" hidden="1" ht="18.75" customFormat="1" customHeight="1" s="311"/>
    <row r="1115" hidden="1" ht="18.75" customFormat="1" customHeight="1" s="311"/>
    <row r="1116" hidden="1" ht="18.75" customFormat="1" customHeight="1" s="311"/>
    <row r="1117" hidden="1" ht="18.75" customFormat="1" customHeight="1" s="311"/>
    <row r="1118" hidden="1" ht="18.75" customFormat="1" customHeight="1" s="311"/>
    <row r="1119" hidden="1" ht="18.75" customFormat="1" customHeight="1" s="311"/>
    <row r="1120" hidden="1" ht="18.75" customFormat="1" customHeight="1" s="311"/>
    <row r="1121" hidden="1" ht="18.75" customFormat="1" customHeight="1" s="311"/>
    <row r="1122" hidden="1" ht="18.75" customFormat="1" customHeight="1" s="311"/>
    <row r="1123" hidden="1" ht="18.75" customFormat="1" customHeight="1" s="311"/>
    <row r="1124" hidden="1" ht="18.75" customFormat="1" customHeight="1" s="311"/>
    <row r="1125" hidden="1" ht="18.75" customFormat="1" customHeight="1" s="311"/>
    <row r="1126" hidden="1" ht="18.75" customFormat="1" customHeight="1" s="311"/>
    <row r="1127" hidden="1" ht="18.75" customFormat="1" customHeight="1" s="311"/>
    <row r="1128" hidden="1" ht="18.75" customFormat="1" customHeight="1" s="311"/>
    <row r="1129" hidden="1" ht="18.75" customFormat="1" customHeight="1" s="311"/>
    <row r="1130" hidden="1" ht="18.75" customFormat="1" customHeight="1" s="311"/>
    <row r="1131" hidden="1" ht="18.75" customFormat="1" customHeight="1" s="311"/>
    <row r="1132" hidden="1" ht="18.75" customFormat="1" customHeight="1" s="311"/>
    <row r="1133" hidden="1" ht="18.75" customFormat="1" customHeight="1" s="311"/>
    <row r="1134" hidden="1" ht="18.75" customFormat="1" customHeight="1" s="311"/>
    <row r="1135" hidden="1" ht="18.75" customFormat="1" customHeight="1" s="311"/>
    <row r="1136" hidden="1" ht="18.75" customFormat="1" customHeight="1" s="311"/>
    <row r="1137" hidden="1" ht="18.75" customFormat="1" customHeight="1" s="311"/>
    <row r="1138" hidden="1" ht="18.75" customFormat="1" customHeight="1" s="311"/>
    <row r="1139" hidden="1" ht="18.75" customFormat="1" customHeight="1" s="311"/>
    <row r="1140" hidden="1" ht="18.75" customFormat="1" customHeight="1" s="311"/>
    <row r="1141" hidden="1" ht="18.75" customFormat="1" customHeight="1" s="311"/>
    <row r="1142" hidden="1" ht="18.75" customFormat="1" customHeight="1" s="311"/>
    <row r="1143" hidden="1" ht="18.75" customFormat="1" customHeight="1" s="311"/>
    <row r="1144" hidden="1" ht="18.75" customFormat="1" customHeight="1" s="311"/>
    <row r="1145" hidden="1" ht="18.75" customFormat="1" customHeight="1" s="311"/>
    <row r="1146" hidden="1" ht="18.75" customFormat="1" customHeight="1" s="311"/>
    <row r="1147" hidden="1" ht="18.75" customFormat="1" customHeight="1" s="311"/>
    <row r="1148" hidden="1" ht="18.75" customFormat="1" customHeight="1" s="311"/>
    <row r="1149" hidden="1" ht="18.75" customFormat="1" customHeight="1" s="311"/>
    <row r="1150" hidden="1" ht="18.75" customFormat="1" customHeight="1" s="311"/>
    <row r="1151" hidden="1" ht="18.75" customFormat="1" customHeight="1" s="311"/>
    <row r="1152" hidden="1" ht="18.75" customFormat="1" customHeight="1" s="311"/>
    <row r="1153" hidden="1" ht="18.75" customFormat="1" customHeight="1" s="311"/>
    <row r="1154" hidden="1" ht="18.75" customFormat="1" customHeight="1" s="311"/>
    <row r="1155" hidden="1" ht="18.75" customFormat="1" customHeight="1" s="311"/>
    <row r="1156" hidden="1" ht="18.75" customFormat="1" customHeight="1" s="311"/>
    <row r="1157" hidden="1" ht="18.75" customFormat="1" customHeight="1" s="311"/>
    <row r="1158" hidden="1" ht="18.75" customFormat="1" customHeight="1" s="311"/>
    <row r="1159" hidden="1" ht="18.75" customFormat="1" customHeight="1" s="311"/>
    <row r="1160" hidden="1" ht="18.75" customFormat="1" customHeight="1" s="311"/>
    <row r="1161" hidden="1" ht="18.75" customFormat="1" customHeight="1" s="311"/>
    <row r="1162" hidden="1" ht="18.75" customFormat="1" customHeight="1" s="311"/>
    <row r="1163" hidden="1" ht="18.75" customFormat="1" customHeight="1" s="311"/>
    <row r="1164" hidden="1" ht="18.75" customFormat="1" customHeight="1" s="311"/>
    <row r="1165" hidden="1" ht="18.75" customFormat="1" customHeight="1" s="311"/>
    <row r="1166" hidden="1" ht="18.75" customFormat="1" customHeight="1" s="311"/>
    <row r="1167" hidden="1" ht="18.75" customFormat="1" customHeight="1" s="311"/>
    <row r="1168" hidden="1" ht="18.75" customFormat="1" customHeight="1" s="311"/>
    <row r="1169" hidden="1" ht="18.75" customFormat="1" customHeight="1" s="311"/>
    <row r="1170" hidden="1" ht="18.75" customFormat="1" customHeight="1" s="311"/>
    <row r="1171" hidden="1" ht="18.75" customFormat="1" customHeight="1" s="311"/>
    <row r="1172" hidden="1" ht="18.75" customFormat="1" customHeight="1" s="311"/>
    <row r="1173" hidden="1" ht="18.75" customFormat="1" customHeight="1" s="311"/>
    <row r="1174" hidden="1" ht="18.75" customFormat="1" customHeight="1" s="311"/>
    <row r="1175" hidden="1" ht="18.75" customFormat="1" customHeight="1" s="311"/>
    <row r="1176" hidden="1" ht="18.75" customFormat="1" customHeight="1" s="311"/>
    <row r="1177" hidden="1" ht="18.75" customFormat="1" customHeight="1" s="311"/>
    <row r="1178" hidden="1" ht="18.75" customFormat="1" customHeight="1" s="311"/>
    <row r="1179" hidden="1" ht="18.75" customFormat="1" customHeight="1" s="311"/>
    <row r="1180" hidden="1" ht="18.75" customFormat="1" customHeight="1" s="311"/>
    <row r="1181" hidden="1" ht="18.75" customFormat="1" customHeight="1" s="311"/>
    <row r="1182" hidden="1" ht="18.75" customFormat="1" customHeight="1" s="311"/>
    <row r="1183" hidden="1" ht="18.75" customFormat="1" customHeight="1" s="311"/>
    <row r="1184" hidden="1" ht="18.75" customFormat="1" customHeight="1" s="311"/>
    <row r="1185" hidden="1" ht="18.75" customFormat="1" customHeight="1" s="311"/>
    <row r="1186" hidden="1" ht="18.75" customFormat="1" customHeight="1" s="311"/>
    <row r="1187" hidden="1" ht="18.75" customFormat="1" customHeight="1" s="311"/>
    <row r="1188" hidden="1" ht="18.75" customFormat="1" customHeight="1" s="311"/>
    <row r="1189" hidden="1" ht="18.75" customFormat="1" customHeight="1" s="311"/>
    <row r="1190" hidden="1" ht="18.75" customFormat="1" customHeight="1" s="311"/>
    <row r="1191" hidden="1" ht="18.75" customFormat="1" customHeight="1" s="311"/>
    <row r="1192" hidden="1" ht="18.75" customFormat="1" customHeight="1" s="311"/>
    <row r="1193" hidden="1" ht="18.75" customFormat="1" customHeight="1" s="311"/>
    <row r="1194" hidden="1" ht="18.75" customFormat="1" customHeight="1" s="311"/>
    <row r="1195" hidden="1" ht="18.75" customFormat="1" customHeight="1" s="311"/>
    <row r="1196" hidden="1" ht="18.75" customFormat="1" customHeight="1" s="311"/>
    <row r="1197" hidden="1" ht="18.75" customFormat="1" customHeight="1" s="311"/>
    <row r="1198" hidden="1" ht="18.75" customFormat="1" customHeight="1" s="311"/>
    <row r="1199" hidden="1" ht="18.75" customFormat="1" customHeight="1" s="311"/>
    <row r="1200" hidden="1" ht="18.75" customFormat="1" customHeight="1" s="311"/>
    <row r="1201" hidden="1" ht="18.75" customFormat="1" customHeight="1" s="311"/>
    <row r="1202" hidden="1" ht="18.75" customFormat="1" customHeight="1" s="311"/>
    <row r="1203" hidden="1" ht="18.75" customFormat="1" customHeight="1" s="311"/>
    <row r="1204" hidden="1" ht="18.75" customFormat="1" customHeight="1" s="311"/>
    <row r="1205" hidden="1" ht="18.75" customFormat="1" customHeight="1" s="311"/>
    <row r="1206" hidden="1" ht="18.75" customFormat="1" customHeight="1" s="311"/>
    <row r="1207" hidden="1" ht="18.75" customFormat="1" customHeight="1" s="311"/>
    <row r="1208" hidden="1" ht="18.75" customFormat="1" customHeight="1" s="311"/>
    <row r="1209" hidden="1" ht="18.75" customFormat="1" customHeight="1" s="311"/>
    <row r="1210" hidden="1" ht="18.75" customFormat="1" customHeight="1" s="311"/>
    <row r="1211" hidden="1" ht="18.75" customFormat="1" customHeight="1" s="311"/>
    <row r="1212" hidden="1" ht="18.75" customFormat="1" customHeight="1" s="311"/>
    <row r="1213" hidden="1" ht="18.75" customFormat="1" customHeight="1" s="311"/>
    <row r="1214" hidden="1" ht="18.75" customFormat="1" customHeight="1" s="311"/>
    <row r="1215" hidden="1" ht="18.75" customFormat="1" customHeight="1" s="311"/>
    <row r="1216" hidden="1" ht="18.75" customFormat="1" customHeight="1" s="311"/>
    <row r="1217" hidden="1" ht="18.75" customFormat="1" customHeight="1" s="311"/>
    <row r="1218" hidden="1" ht="18.75" customFormat="1" customHeight="1" s="311"/>
    <row r="1219" hidden="1" ht="18.75" customFormat="1" customHeight="1" s="311"/>
    <row r="1220" hidden="1" ht="18.75" customFormat="1" customHeight="1" s="311"/>
    <row r="1221" hidden="1" ht="18.75" customFormat="1" customHeight="1" s="311"/>
    <row r="1222" hidden="1" ht="18.75" customFormat="1" customHeight="1" s="311"/>
    <row r="1223" hidden="1" ht="18.75" customFormat="1" customHeight="1" s="311"/>
    <row r="1224" hidden="1" ht="18.75" customFormat="1" customHeight="1" s="311"/>
    <row r="1225" hidden="1" ht="18.75" customFormat="1" customHeight="1" s="311"/>
    <row r="1226" hidden="1" ht="18.75" customFormat="1" customHeight="1" s="311"/>
    <row r="1227" hidden="1" ht="18.75" customFormat="1" customHeight="1" s="311"/>
    <row r="1228" hidden="1" ht="18.75" customFormat="1" customHeight="1" s="311"/>
    <row r="1229" hidden="1" ht="18.75" customFormat="1" customHeight="1" s="311"/>
    <row r="1230" hidden="1" ht="18.75" customFormat="1" customHeight="1" s="311"/>
    <row r="1231" hidden="1" ht="18.75" customFormat="1" customHeight="1" s="311"/>
    <row r="1232" hidden="1" ht="18.75" customFormat="1" customHeight="1" s="311"/>
    <row r="1233" hidden="1" ht="18.75" customFormat="1" customHeight="1" s="311"/>
    <row r="1234" hidden="1" ht="18.75" customFormat="1" customHeight="1" s="311"/>
    <row r="1235" hidden="1" ht="18.75" customFormat="1" customHeight="1" s="311"/>
    <row r="1236" hidden="1" ht="18.75" customFormat="1" customHeight="1" s="311"/>
    <row r="1237" hidden="1" ht="18.75" customFormat="1" customHeight="1" s="311"/>
    <row r="1238" hidden="1" ht="18.75" customFormat="1" customHeight="1" s="311"/>
    <row r="1239" hidden="1" ht="18.75" customFormat="1" customHeight="1" s="311"/>
    <row r="1240" hidden="1" ht="18.75" customFormat="1" customHeight="1" s="311"/>
    <row r="1241" hidden="1" ht="18.75" customFormat="1" customHeight="1" s="311"/>
    <row r="1242" hidden="1" ht="18.75" customFormat="1" customHeight="1" s="311"/>
    <row r="1243" hidden="1" ht="18.75" customFormat="1" customHeight="1" s="311"/>
    <row r="1244" hidden="1" ht="18.75" customFormat="1" customHeight="1" s="311"/>
    <row r="1245" hidden="1" ht="18.75" customFormat="1" customHeight="1" s="311"/>
    <row r="1246" hidden="1" ht="18.75" customFormat="1" customHeight="1" s="311"/>
    <row r="1247" hidden="1" ht="18.75" customFormat="1" customHeight="1" s="311"/>
    <row r="1248" hidden="1" ht="18.75" customFormat="1" customHeight="1" s="311"/>
    <row r="1249" hidden="1" ht="18.75" customFormat="1" customHeight="1" s="311"/>
    <row r="1250" hidden="1" ht="18.75" customFormat="1" customHeight="1" s="311"/>
    <row r="1251" hidden="1" ht="18.75" customFormat="1" customHeight="1" s="311"/>
    <row r="1252" hidden="1" ht="18.75" customFormat="1" customHeight="1" s="311"/>
    <row r="1253" hidden="1" ht="18.75" customFormat="1" customHeight="1" s="311"/>
    <row r="1254" hidden="1" ht="18.75" customFormat="1" customHeight="1" s="311"/>
    <row r="1255" hidden="1" ht="18.75" customFormat="1" customHeight="1" s="311"/>
    <row r="1256" hidden="1" ht="18.75" customFormat="1" customHeight="1" s="311"/>
    <row r="1257" hidden="1" ht="18.75" customFormat="1" customHeight="1" s="311"/>
    <row r="1258" hidden="1" ht="18.75" customFormat="1" customHeight="1" s="311"/>
    <row r="1259" hidden="1" ht="18.75" customFormat="1" customHeight="1" s="311"/>
    <row r="1260" hidden="1" ht="18.75" customFormat="1" customHeight="1" s="311"/>
    <row r="1261" hidden="1" ht="18.75" customFormat="1" customHeight="1" s="311"/>
    <row r="1262" hidden="1" ht="18.75" customFormat="1" customHeight="1" s="311"/>
    <row r="1263" hidden="1" ht="18.75" customFormat="1" customHeight="1" s="311"/>
    <row r="1264" hidden="1" ht="18.75" customFormat="1" customHeight="1" s="311"/>
    <row r="1265" hidden="1" ht="18.75" customFormat="1" customHeight="1" s="311"/>
    <row r="1266" hidden="1" ht="18.75" customFormat="1" customHeight="1" s="311"/>
    <row r="1267" hidden="1" ht="18.75" customFormat="1" customHeight="1" s="311"/>
    <row r="1268" hidden="1" ht="18.75" customFormat="1" customHeight="1" s="311"/>
    <row r="1269" hidden="1" ht="18.75" customFormat="1" customHeight="1" s="311"/>
    <row r="1270" hidden="1" ht="18.75" customFormat="1" customHeight="1" s="311"/>
    <row r="1271" hidden="1" ht="18.75" customFormat="1" customHeight="1" s="311"/>
    <row r="1272" hidden="1" ht="18.75" customFormat="1" customHeight="1" s="311"/>
    <row r="1273" hidden="1" ht="18.75" customFormat="1" customHeight="1" s="311"/>
    <row r="1274" hidden="1" ht="18.75" customFormat="1" customHeight="1" s="311"/>
    <row r="1275" hidden="1" ht="18.75" customFormat="1" customHeight="1" s="311"/>
    <row r="1276" hidden="1" ht="18.75" customFormat="1" customHeight="1" s="311"/>
    <row r="1277" hidden="1" ht="18.75" customFormat="1" customHeight="1" s="311"/>
    <row r="1278" hidden="1" ht="18.75" customFormat="1" customHeight="1" s="311"/>
    <row r="1279" hidden="1" ht="18.75" customFormat="1" customHeight="1" s="311"/>
    <row r="1280" hidden="1" ht="18.75" customFormat="1" customHeight="1" s="311"/>
    <row r="1281" hidden="1" ht="18.75" customFormat="1" customHeight="1" s="311"/>
    <row r="1282" hidden="1" ht="18.75" customFormat="1" customHeight="1" s="311"/>
    <row r="1283" hidden="1" ht="18.75" customFormat="1" customHeight="1" s="311"/>
    <row r="1284" hidden="1" ht="18.75" customFormat="1" customHeight="1" s="311"/>
    <row r="1285" hidden="1" ht="18.75" customFormat="1" customHeight="1" s="311"/>
    <row r="1286" hidden="1" ht="18.75" customFormat="1" customHeight="1" s="311"/>
    <row r="1287" hidden="1" ht="18.75" customFormat="1" customHeight="1" s="311"/>
    <row r="1288" hidden="1" ht="18.75" customFormat="1" customHeight="1" s="311"/>
    <row r="1289" hidden="1" ht="18.75" customFormat="1" customHeight="1" s="311"/>
    <row r="1290" hidden="1" ht="18.75" customFormat="1" customHeight="1" s="311"/>
    <row r="1291" hidden="1" ht="18.75" customFormat="1" customHeight="1" s="311"/>
    <row r="1292" hidden="1" ht="18.75" customFormat="1" customHeight="1" s="311"/>
    <row r="1293" hidden="1" ht="18.75" customFormat="1" customHeight="1" s="311"/>
    <row r="1294" hidden="1" ht="18.75" customFormat="1" customHeight="1" s="311"/>
    <row r="1295" hidden="1" ht="18.75" customFormat="1" customHeight="1" s="311"/>
    <row r="1296" hidden="1" ht="18.75" customFormat="1" customHeight="1" s="311"/>
    <row r="1297" hidden="1" ht="18.75" customFormat="1" customHeight="1" s="311"/>
    <row r="1298" hidden="1" ht="18.75" customFormat="1" customHeight="1" s="311"/>
    <row r="1299" hidden="1" ht="18.75" customFormat="1" customHeight="1" s="311"/>
    <row r="1300" hidden="1" ht="18.75" customFormat="1" customHeight="1" s="311"/>
    <row r="1301" hidden="1" ht="18.75" customFormat="1" customHeight="1" s="311"/>
    <row r="1302" hidden="1" ht="18.75" customFormat="1" customHeight="1" s="311"/>
    <row r="1303" hidden="1" ht="18.75" customFormat="1" customHeight="1" s="311"/>
    <row r="1304" hidden="1" ht="18.75" customFormat="1" customHeight="1" s="311"/>
    <row r="1305" hidden="1" ht="18.75" customFormat="1" customHeight="1" s="311"/>
    <row r="1306" hidden="1" ht="18.75" customFormat="1" customHeight="1" s="311"/>
    <row r="1307" hidden="1" ht="18.75" customFormat="1" customHeight="1" s="311"/>
    <row r="1308" hidden="1" ht="18.75" customFormat="1" customHeight="1" s="311"/>
    <row r="1309" hidden="1" ht="18.75" customFormat="1" customHeight="1" s="311"/>
    <row r="1310" hidden="1" ht="18.75" customFormat="1" customHeight="1" s="311"/>
    <row r="1311" hidden="1" ht="18.75" customFormat="1" customHeight="1" s="311"/>
    <row r="1312" hidden="1" ht="18.75" customFormat="1" customHeight="1" s="311"/>
    <row r="1313" hidden="1" ht="18.75" customFormat="1" customHeight="1" s="311"/>
    <row r="1314" hidden="1" ht="18.75" customFormat="1" customHeight="1" s="311"/>
    <row r="1315" hidden="1" ht="18.75" customFormat="1" customHeight="1" s="311"/>
    <row r="1316" hidden="1" ht="18.75" customFormat="1" customHeight="1" s="311"/>
    <row r="1317" hidden="1" ht="18.75" customFormat="1" customHeight="1" s="311"/>
    <row r="1318" hidden="1" ht="18.75" customFormat="1" customHeight="1" s="311"/>
    <row r="1319" hidden="1" ht="18.75" customFormat="1" customHeight="1" s="311"/>
    <row r="1320" hidden="1" ht="18.75" customFormat="1" customHeight="1" s="311"/>
    <row r="1321" hidden="1" ht="18.75" customFormat="1" customHeight="1" s="311"/>
    <row r="1322" hidden="1" ht="18.75" customFormat="1" customHeight="1" s="311"/>
    <row r="1323" hidden="1" ht="18.75" customFormat="1" customHeight="1" s="311"/>
    <row r="1324" hidden="1" ht="18.75" customFormat="1" customHeight="1" s="311"/>
    <row r="1325" hidden="1" ht="18.75" customFormat="1" customHeight="1" s="311"/>
    <row r="1326" hidden="1" ht="18.75" customFormat="1" customHeight="1" s="311"/>
    <row r="1327" hidden="1" ht="18.75" customFormat="1" customHeight="1" s="311"/>
    <row r="1328" hidden="1" ht="18.75" customFormat="1" customHeight="1" s="311"/>
    <row r="1329" hidden="1" ht="18.75" customFormat="1" customHeight="1" s="311"/>
    <row r="1330" hidden="1" ht="18.75" customFormat="1" customHeight="1" s="311"/>
    <row r="1331" hidden="1" ht="18.75" customFormat="1" customHeight="1" s="311"/>
    <row r="1332" hidden="1" ht="18.75" customFormat="1" customHeight="1" s="311"/>
    <row r="1333" hidden="1" ht="18.75" customFormat="1" customHeight="1" s="311"/>
    <row r="1334" hidden="1" ht="18.75" customFormat="1" customHeight="1" s="311"/>
    <row r="1335" hidden="1" ht="18.75" customFormat="1" customHeight="1" s="311"/>
    <row r="1336" hidden="1" ht="18.75" customFormat="1" customHeight="1" s="311"/>
    <row r="1337" hidden="1" ht="18.75" customFormat="1" customHeight="1" s="311"/>
    <row r="1338" hidden="1" ht="18.75" customFormat="1" customHeight="1" s="311"/>
    <row r="1339" hidden="1" ht="18.75" customFormat="1" customHeight="1" s="311"/>
    <row r="1340" hidden="1" ht="18.75" customFormat="1" customHeight="1" s="311"/>
    <row r="1341" hidden="1" ht="18.75" customFormat="1" customHeight="1" s="311"/>
    <row r="1342" hidden="1" ht="18.75" customFormat="1" customHeight="1" s="311"/>
    <row r="1343" hidden="1" ht="18.75" customFormat="1" customHeight="1" s="311"/>
    <row r="1344" hidden="1" ht="18.75" customFormat="1" customHeight="1" s="311"/>
    <row r="1345" hidden="1" ht="18.75" customFormat="1" customHeight="1" s="311"/>
    <row r="1346" hidden="1" ht="18.75" customFormat="1" customHeight="1" s="311"/>
    <row r="1347" hidden="1" ht="18.75" customFormat="1" customHeight="1" s="311"/>
    <row r="1348" hidden="1" ht="18.75" customFormat="1" customHeight="1" s="311"/>
    <row r="1349" hidden="1" ht="18.75" customFormat="1" customHeight="1" s="311"/>
    <row r="1350" hidden="1" ht="18.75" customFormat="1" customHeight="1" s="311"/>
    <row r="1351" hidden="1" ht="18.75" customFormat="1" customHeight="1" s="311"/>
    <row r="1352" hidden="1" ht="18.75" customFormat="1" customHeight="1" s="311"/>
    <row r="1353" hidden="1" ht="18.75" customFormat="1" customHeight="1" s="311"/>
    <row r="1354" hidden="1" ht="18.75" customFormat="1" customHeight="1" s="311"/>
    <row r="1355" hidden="1" ht="18.75" customFormat="1" customHeight="1" s="311"/>
    <row r="1356" hidden="1" ht="18.75" customFormat="1" customHeight="1" s="311"/>
    <row r="1357" hidden="1" ht="18.75" customFormat="1" customHeight="1" s="311"/>
    <row r="1358" hidden="1" ht="18.75" customFormat="1" customHeight="1" s="311"/>
    <row r="1359" hidden="1" ht="18.75" customFormat="1" customHeight="1" s="311"/>
    <row r="1360" hidden="1" ht="18.75" customFormat="1" customHeight="1" s="311"/>
    <row r="1361" hidden="1" ht="18.75" customFormat="1" customHeight="1" s="311"/>
    <row r="1362" hidden="1" ht="18.75" customFormat="1" customHeight="1" s="311"/>
    <row r="1363" hidden="1" ht="18.75" customFormat="1" customHeight="1" s="311"/>
    <row r="1364" hidden="1" ht="18.75" customFormat="1" customHeight="1" s="311"/>
    <row r="1365" hidden="1" ht="18.75" customFormat="1" customHeight="1" s="311"/>
    <row r="1366" hidden="1" ht="18.75" customFormat="1" customHeight="1" s="311"/>
    <row r="1367" hidden="1" ht="18.75" customFormat="1" customHeight="1" s="311"/>
    <row r="1368" hidden="1" ht="18.75" customFormat="1" customHeight="1" s="311"/>
    <row r="1369" hidden="1" ht="18.75" customFormat="1" customHeight="1" s="311"/>
    <row r="1370" hidden="1" ht="18.75" customFormat="1" customHeight="1" s="311"/>
    <row r="1371" hidden="1" ht="18.75" customFormat="1" customHeight="1" s="311"/>
    <row r="1372" hidden="1" ht="18.75" customFormat="1" customHeight="1" s="311"/>
    <row r="1373" hidden="1" ht="18.75" customFormat="1" customHeight="1" s="311"/>
    <row r="1374" hidden="1" ht="18.75" customFormat="1" customHeight="1" s="311"/>
    <row r="1375" hidden="1" ht="18.75" customFormat="1" customHeight="1" s="311"/>
    <row r="1376" hidden="1" ht="18.75" customFormat="1" customHeight="1" s="311"/>
    <row r="1377" hidden="1" ht="18.75" customFormat="1" customHeight="1" s="311"/>
    <row r="1378" hidden="1" ht="18.75" customFormat="1" customHeight="1" s="311"/>
    <row r="1379" hidden="1" ht="18.75" customFormat="1" customHeight="1" s="311"/>
    <row r="1380" hidden="1" ht="18.75" customFormat="1" customHeight="1" s="311"/>
    <row r="1381" hidden="1" ht="18.75" customFormat="1" customHeight="1" s="311"/>
    <row r="1382" hidden="1" ht="18.75" customFormat="1" customHeight="1" s="311"/>
    <row r="1383" hidden="1" ht="18.75" customFormat="1" customHeight="1" s="311"/>
    <row r="1384" hidden="1" ht="18.75" customFormat="1" customHeight="1" s="311"/>
    <row r="1385" hidden="1" ht="18.75" customFormat="1" customHeight="1" s="311"/>
    <row r="1386" hidden="1" ht="18.75" customFormat="1" customHeight="1" s="311"/>
    <row r="1387" hidden="1" ht="18.75" customFormat="1" customHeight="1" s="311"/>
    <row r="1388" hidden="1" ht="18.75" customFormat="1" customHeight="1" s="311"/>
    <row r="1389" hidden="1" ht="18.75" customFormat="1" customHeight="1" s="311"/>
    <row r="1390" hidden="1" ht="18.75" customFormat="1" customHeight="1" s="311"/>
    <row r="1391" hidden="1" ht="18.75" customFormat="1" customHeight="1" s="311"/>
    <row r="1392" hidden="1" ht="18.75" customFormat="1" customHeight="1" s="311"/>
    <row r="1393" hidden="1" ht="18.75" customFormat="1" customHeight="1" s="311"/>
    <row r="1394" hidden="1" ht="18.75" customFormat="1" customHeight="1" s="311"/>
    <row r="1395" hidden="1" ht="18.75" customFormat="1" customHeight="1" s="311"/>
    <row r="1396" hidden="1" ht="18.75" customFormat="1" customHeight="1" s="311"/>
    <row r="1397" hidden="1" ht="18.75" customFormat="1" customHeight="1" s="311"/>
    <row r="1398" hidden="1" ht="18.75" customFormat="1" customHeight="1" s="311"/>
    <row r="1399" hidden="1" ht="18.75" customFormat="1" customHeight="1" s="311"/>
    <row r="1400" hidden="1" ht="18.75" customFormat="1" customHeight="1" s="311"/>
    <row r="1401" hidden="1" ht="18.75" customFormat="1" customHeight="1" s="311"/>
    <row r="1402" hidden="1" ht="18.75" customFormat="1" customHeight="1" s="311"/>
    <row r="1403" hidden="1" ht="18.75" customFormat="1" customHeight="1" s="311"/>
    <row r="1404" hidden="1" ht="18.75" customFormat="1" customHeight="1" s="311"/>
    <row r="1405" hidden="1" ht="18.75" customFormat="1" customHeight="1" s="311"/>
    <row r="1406" hidden="1" ht="18.75" customFormat="1" customHeight="1" s="311"/>
    <row r="1407" hidden="1" ht="18.75" customFormat="1" customHeight="1" s="311"/>
    <row r="1408" hidden="1" ht="18.75" customFormat="1" customHeight="1" s="311"/>
    <row r="1409" hidden="1" ht="18.75" customFormat="1" customHeight="1" s="311"/>
    <row r="1410" hidden="1" ht="18.75" customFormat="1" customHeight="1" s="311"/>
    <row r="1411" hidden="1" ht="18.75" customFormat="1" customHeight="1" s="311"/>
    <row r="1412" hidden="1" ht="18.75" customFormat="1" customHeight="1" s="311"/>
    <row r="1413" hidden="1" ht="18.75" customFormat="1" customHeight="1" s="311"/>
    <row r="1414" hidden="1" ht="18.75" customFormat="1" customHeight="1" s="311"/>
    <row r="1415" hidden="1" ht="18.75" customFormat="1" customHeight="1" s="311"/>
    <row r="1416" hidden="1" ht="18.75" customFormat="1" customHeight="1" s="311"/>
    <row r="1417" hidden="1" ht="18.75" customFormat="1" customHeight="1" s="311"/>
    <row r="1418" hidden="1" ht="18.75" customFormat="1" customHeight="1" s="311"/>
    <row r="1419" hidden="1" ht="18.75" customFormat="1" customHeight="1" s="311"/>
    <row r="1420" hidden="1" ht="18.75" customFormat="1" customHeight="1" s="311"/>
    <row r="1421" hidden="1" ht="18.75" customFormat="1" customHeight="1" s="311"/>
    <row r="1422" hidden="1" ht="18.75" customFormat="1" customHeight="1" s="311"/>
    <row r="1423" hidden="1" ht="18.75" customFormat="1" customHeight="1" s="311"/>
    <row r="1424" hidden="1" ht="18.75" customFormat="1" customHeight="1" s="311"/>
    <row r="1425" hidden="1" ht="18.75" customFormat="1" customHeight="1" s="311"/>
    <row r="1426" hidden="1" ht="18.75" customFormat="1" customHeight="1" s="311"/>
    <row r="1427" hidden="1" ht="18.75" customFormat="1" customHeight="1" s="311"/>
    <row r="1428" hidden="1" ht="18.75" customFormat="1" customHeight="1" s="311"/>
    <row r="1429" hidden="1" ht="18.75" customFormat="1" customHeight="1" s="311"/>
    <row r="1430" hidden="1" ht="18.75" customFormat="1" customHeight="1" s="311"/>
    <row r="1431" hidden="1" ht="18.75" customFormat="1" customHeight="1" s="311"/>
    <row r="1432" hidden="1" ht="18.75" customFormat="1" customHeight="1" s="311"/>
    <row r="1433" hidden="1" ht="18.75" customFormat="1" customHeight="1" s="311"/>
    <row r="1434" hidden="1" ht="18.75" customFormat="1" customHeight="1" s="311"/>
    <row r="1435" hidden="1" ht="18.75" customFormat="1" customHeight="1" s="311"/>
    <row r="1436" hidden="1" ht="18.75" customFormat="1" customHeight="1" s="311"/>
    <row r="1437" hidden="1" ht="18.75" customFormat="1" customHeight="1" s="311"/>
    <row r="1438" hidden="1" ht="18.75" customFormat="1" customHeight="1" s="311"/>
    <row r="1439" hidden="1" ht="18.75" customFormat="1" customHeight="1" s="311"/>
    <row r="1440" hidden="1" ht="18.75" customFormat="1" customHeight="1" s="311"/>
    <row r="1441" hidden="1" ht="18.75" customFormat="1" customHeight="1" s="311"/>
    <row r="1442" hidden="1" ht="18.75" customFormat="1" customHeight="1" s="311"/>
    <row r="1443" hidden="1" ht="18.75" customFormat="1" customHeight="1" s="311"/>
    <row r="1444" hidden="1" ht="18.75" customFormat="1" customHeight="1" s="311"/>
    <row r="1445" hidden="1" ht="18.75" customFormat="1" customHeight="1" s="311"/>
    <row r="1446" hidden="1" ht="18.75" customFormat="1" customHeight="1" s="311"/>
    <row r="1447" hidden="1" ht="18.75" customFormat="1" customHeight="1" s="311"/>
    <row r="1448" hidden="1" ht="18.75" customFormat="1" customHeight="1" s="311"/>
    <row r="1449" hidden="1" ht="18.75" customFormat="1" customHeight="1" s="311"/>
    <row r="1450" hidden="1" ht="18.75" customFormat="1" customHeight="1" s="311"/>
    <row r="1451" hidden="1" ht="18.75" customFormat="1" customHeight="1" s="311"/>
    <row r="1452" hidden="1" ht="18.75" customFormat="1" customHeight="1" s="311"/>
    <row r="1453" hidden="1" ht="18.75" customFormat="1" customHeight="1" s="311"/>
    <row r="1454" hidden="1" ht="18.75" customFormat="1" customHeight="1" s="311"/>
    <row r="1455" hidden="1" ht="18.75" customFormat="1" customHeight="1" s="311"/>
    <row r="1456" hidden="1" ht="18.75" customFormat="1" customHeight="1" s="311"/>
    <row r="1457" hidden="1" ht="18.75" customFormat="1" customHeight="1" s="311"/>
    <row r="1458" hidden="1" ht="18.75" customFormat="1" customHeight="1" s="311"/>
    <row r="1459" hidden="1" ht="18.75" customFormat="1" customHeight="1" s="311"/>
    <row r="1460" hidden="1" ht="18.75" customFormat="1" customHeight="1" s="311"/>
    <row r="1461" hidden="1" ht="18.75" customFormat="1" customHeight="1" s="311"/>
    <row r="1462" hidden="1" ht="18.75" customFormat="1" customHeight="1" s="311"/>
    <row r="1463" hidden="1" ht="18.75" customFormat="1" customHeight="1" s="311"/>
    <row r="1464" hidden="1" ht="18.75" customFormat="1" customHeight="1" s="311"/>
    <row r="1465" hidden="1" ht="18.75" customFormat="1" customHeight="1" s="311"/>
    <row r="1466" hidden="1" ht="18.75" customFormat="1" customHeight="1" s="311"/>
    <row r="1467" hidden="1" ht="18.75" customFormat="1" customHeight="1" s="311"/>
    <row r="1468" hidden="1" ht="18.75" customFormat="1" customHeight="1" s="311"/>
    <row r="1469" hidden="1" ht="18.75" customFormat="1" customHeight="1" s="311"/>
    <row r="1470" hidden="1" ht="18.75" customFormat="1" customHeight="1" s="311"/>
    <row r="1471" hidden="1" ht="18.75" customFormat="1" customHeight="1" s="311"/>
    <row r="1472" hidden="1" ht="18.75" customFormat="1" customHeight="1" s="311"/>
    <row r="1473" hidden="1" ht="18.75" customFormat="1" customHeight="1" s="311"/>
    <row r="1474" hidden="1" ht="18.75" customFormat="1" customHeight="1" s="311"/>
    <row r="1475" hidden="1" ht="18.75" customFormat="1" customHeight="1" s="311"/>
    <row r="1476" hidden="1" ht="18.75" customFormat="1" customHeight="1" s="311"/>
    <row r="1477" hidden="1" ht="18.75" customFormat="1" customHeight="1" s="311"/>
    <row r="1478" hidden="1" ht="18.75" customFormat="1" customHeight="1" s="311"/>
    <row r="1479" hidden="1" ht="18.75" customFormat="1" customHeight="1" s="311"/>
    <row r="1480" hidden="1" ht="18.75" customFormat="1" customHeight="1" s="311"/>
    <row r="1481" hidden="1" ht="18.75" customFormat="1" customHeight="1" s="311"/>
    <row r="1482" hidden="1" ht="18.75" customFormat="1" customHeight="1" s="311"/>
    <row r="1483" hidden="1" ht="18.75" customFormat="1" customHeight="1" s="311"/>
    <row r="1484" hidden="1" ht="18.75" customFormat="1" customHeight="1" s="311"/>
    <row r="1485" hidden="1" ht="18.75" customFormat="1" customHeight="1" s="311"/>
    <row r="1486" hidden="1" ht="18.75" customFormat="1" customHeight="1" s="311"/>
    <row r="1487" hidden="1" ht="18.75" customFormat="1" customHeight="1" s="311"/>
    <row r="1488" hidden="1" ht="18.75" customFormat="1" customHeight="1" s="311"/>
    <row r="1489" hidden="1" ht="18.75" customFormat="1" customHeight="1" s="311"/>
    <row r="1490" hidden="1" ht="18.75" customFormat="1" customHeight="1" s="311"/>
    <row r="1491" hidden="1" ht="18.75" customFormat="1" customHeight="1" s="311"/>
    <row r="1492" hidden="1" ht="18.75" customFormat="1" customHeight="1" s="311"/>
    <row r="1493" hidden="1" ht="18.75" customFormat="1" customHeight="1" s="311"/>
    <row r="1494" hidden="1" ht="18.75" customFormat="1" customHeight="1" s="311"/>
    <row r="1495" hidden="1" ht="18.75" customFormat="1" customHeight="1" s="311"/>
    <row r="1496" hidden="1" ht="18.75" customFormat="1" customHeight="1" s="311"/>
    <row r="1497" hidden="1" ht="18.75" customFormat="1" customHeight="1" s="311"/>
    <row r="1498" hidden="1" ht="18.75" customFormat="1" customHeight="1" s="311"/>
    <row r="1499" hidden="1" ht="18.75" customFormat="1" customHeight="1" s="311"/>
    <row r="1500" hidden="1" ht="18.75" customFormat="1" customHeight="1" s="311"/>
    <row r="1501" hidden="1" ht="18.75" customFormat="1" customHeight="1" s="311"/>
    <row r="1502" hidden="1" ht="18.75" customFormat="1" customHeight="1" s="311"/>
    <row r="1503" hidden="1" ht="18.75" customFormat="1" customHeight="1" s="311"/>
    <row r="1504" hidden="1" ht="18.75" customFormat="1" customHeight="1" s="311"/>
    <row r="1505" hidden="1" ht="18.75" customFormat="1" customHeight="1" s="311"/>
    <row r="1506" hidden="1" ht="18.75" customFormat="1" customHeight="1" s="311"/>
    <row r="1507" hidden="1" ht="18.75" customFormat="1" customHeight="1" s="311"/>
    <row r="1508" hidden="1" ht="18.75" customFormat="1" customHeight="1" s="311"/>
    <row r="1509" hidden="1" ht="18.75" customFormat="1" customHeight="1" s="311"/>
    <row r="1510" hidden="1" ht="18.75" customFormat="1" customHeight="1" s="311"/>
    <row r="1511" hidden="1" ht="18.75" customFormat="1" customHeight="1" s="311"/>
    <row r="1512" hidden="1" ht="18.75" customFormat="1" customHeight="1" s="311"/>
    <row r="1513" hidden="1" ht="18.75" customFormat="1" customHeight="1" s="311"/>
    <row r="1514" hidden="1" ht="18.75" customFormat="1" customHeight="1" s="311"/>
    <row r="1515" hidden="1" ht="18.75" customFormat="1" customHeight="1" s="311"/>
    <row r="1516" hidden="1" ht="18.75" customFormat="1" customHeight="1" s="311"/>
    <row r="1517" hidden="1" ht="18.75" customFormat="1" customHeight="1" s="311"/>
    <row r="1518" hidden="1" ht="18.75" customFormat="1" customHeight="1" s="311"/>
    <row r="1519" hidden="1" ht="18.75" customFormat="1" customHeight="1" s="311"/>
    <row r="1520" hidden="1" ht="18.75" customFormat="1" customHeight="1" s="311"/>
    <row r="1521" hidden="1" ht="18.75" customFormat="1" customHeight="1" s="311"/>
    <row r="1522" hidden="1" ht="18.75" customFormat="1" customHeight="1" s="311"/>
    <row r="1523" hidden="1" ht="18.75" customFormat="1" customHeight="1" s="311"/>
    <row r="1524" hidden="1" ht="18.75" customFormat="1" customHeight="1" s="311"/>
    <row r="1525" hidden="1" ht="18.75" customFormat="1" customHeight="1" s="311"/>
    <row r="1526" hidden="1" ht="18.75" customFormat="1" customHeight="1" s="311"/>
    <row r="1527" hidden="1" ht="18.75" customFormat="1" customHeight="1" s="311"/>
    <row r="1528" hidden="1" ht="18.75" customFormat="1" customHeight="1" s="311"/>
    <row r="1529" hidden="1" ht="18.75" customFormat="1" customHeight="1" s="311"/>
    <row r="1530" hidden="1" ht="18.75" customFormat="1" customHeight="1" s="311"/>
    <row r="1531" hidden="1" ht="18.75" customFormat="1" customHeight="1" s="311"/>
    <row r="1532" hidden="1" ht="18.75" customFormat="1" customHeight="1" s="311"/>
    <row r="1533" hidden="1" ht="18.75" customFormat="1" customHeight="1" s="311"/>
    <row r="1534" hidden="1" ht="18.75" customFormat="1" customHeight="1" s="311"/>
    <row r="1535" hidden="1" ht="18.75" customFormat="1" customHeight="1" s="311"/>
    <row r="1536" hidden="1" ht="18.75" customFormat="1" customHeight="1" s="311"/>
    <row r="1537" hidden="1" ht="18.75" customFormat="1" customHeight="1" s="311"/>
    <row r="1538" hidden="1" ht="18.75" customFormat="1" customHeight="1" s="311"/>
    <row r="1539" hidden="1" ht="18.75" customFormat="1" customHeight="1" s="311"/>
    <row r="1540" hidden="1" ht="18.75" customFormat="1" customHeight="1" s="311"/>
    <row r="1541" hidden="1" ht="18.75" customFormat="1" customHeight="1" s="311"/>
    <row r="1542" hidden="1" ht="18.75" customFormat="1" customHeight="1" s="311"/>
    <row r="1543" hidden="1" ht="18.75" customFormat="1" customHeight="1" s="311"/>
    <row r="1544" hidden="1" ht="18.75" customFormat="1" customHeight="1" s="311"/>
    <row r="1545" hidden="1" ht="18.75" customFormat="1" customHeight="1" s="311"/>
    <row r="1546" hidden="1" ht="18.75" customFormat="1" customHeight="1" s="311"/>
    <row r="1547" hidden="1" ht="18.75" customFormat="1" customHeight="1" s="311"/>
    <row r="1548" hidden="1" ht="18.75" customFormat="1" customHeight="1" s="311"/>
    <row r="1549" hidden="1" ht="18.75" customFormat="1" customHeight="1" s="311"/>
    <row r="1550" hidden="1" ht="18.75" customFormat="1" customHeight="1" s="311"/>
    <row r="1551" hidden="1" ht="18.75" customFormat="1" customHeight="1" s="311"/>
    <row r="1552" hidden="1" ht="18.75" customFormat="1" customHeight="1" s="311"/>
    <row r="1553" hidden="1" ht="18.75" customFormat="1" customHeight="1" s="311"/>
    <row r="1554" hidden="1" ht="18.75" customFormat="1" customHeight="1" s="311"/>
    <row r="1555" hidden="1" ht="18.75" customFormat="1" customHeight="1" s="311"/>
    <row r="1556" hidden="1" ht="18.75" customFormat="1" customHeight="1" s="311"/>
    <row r="1557" hidden="1" ht="18.75" customFormat="1" customHeight="1" s="311"/>
    <row r="1558" hidden="1" ht="18.75" customFormat="1" customHeight="1" s="311"/>
    <row r="1559" hidden="1" ht="18.75" customFormat="1" customHeight="1" s="311"/>
    <row r="1560" hidden="1" ht="18.75" customFormat="1" customHeight="1" s="311"/>
    <row r="1561" hidden="1" ht="18.75" customFormat="1" customHeight="1" s="311"/>
    <row r="1562" hidden="1" ht="18.75" customFormat="1" customHeight="1" s="311"/>
    <row r="1563" hidden="1" ht="18.75" customFormat="1" customHeight="1" s="311"/>
    <row r="1564" hidden="1" ht="18.75" customFormat="1" customHeight="1" s="311"/>
    <row r="1565" hidden="1" ht="18.75" customFormat="1" customHeight="1" s="311"/>
    <row r="1566" hidden="1" ht="18.75" customFormat="1" customHeight="1" s="311"/>
    <row r="1567" hidden="1" ht="18.75" customFormat="1" customHeight="1" s="311"/>
    <row r="1568" hidden="1" ht="18.75" customFormat="1" customHeight="1" s="311"/>
    <row r="1569" hidden="1" ht="18.75" customFormat="1" customHeight="1" s="311"/>
    <row r="1570" hidden="1" ht="18.75" customFormat="1" customHeight="1" s="311"/>
    <row r="1571" hidden="1" ht="18.75" customFormat="1" customHeight="1" s="311"/>
    <row r="1572" hidden="1" ht="18.75" customFormat="1" customHeight="1" s="311"/>
    <row r="1573" hidden="1" ht="18.75" customFormat="1" customHeight="1" s="311"/>
    <row r="1574" hidden="1" ht="18.75" customFormat="1" customHeight="1" s="311"/>
    <row r="1575" hidden="1" ht="18.75" customFormat="1" customHeight="1" s="311"/>
    <row r="1576" hidden="1" ht="18.75" customFormat="1" customHeight="1" s="311"/>
    <row r="1577" hidden="1" ht="18.75" customFormat="1" customHeight="1" s="311"/>
    <row r="1578" hidden="1" ht="18.75" customFormat="1" customHeight="1" s="311"/>
    <row r="1579" hidden="1" ht="18.75" customFormat="1" customHeight="1" s="311"/>
    <row r="1580" hidden="1" ht="18.75" customFormat="1" customHeight="1" s="311"/>
    <row r="1581" hidden="1" ht="18.75" customFormat="1" customHeight="1" s="311"/>
    <row r="1582" hidden="1" ht="18.75" customFormat="1" customHeight="1" s="311"/>
    <row r="1583" hidden="1" ht="18.75" customFormat="1" customHeight="1" s="311"/>
    <row r="1584" hidden="1" ht="18.75" customFormat="1" customHeight="1" s="311"/>
    <row r="1585" hidden="1" ht="18.75" customFormat="1" customHeight="1" s="311"/>
    <row r="1586" hidden="1" ht="18.75" customFormat="1" customHeight="1" s="311"/>
    <row r="1587" hidden="1" ht="18.75" customFormat="1" customHeight="1" s="311"/>
    <row r="1588" hidden="1" ht="18.75" customFormat="1" customHeight="1" s="311"/>
    <row r="1589" hidden="1" ht="18.75" customFormat="1" customHeight="1" s="311"/>
    <row r="1590" hidden="1" ht="18.75" customFormat="1" customHeight="1" s="311"/>
    <row r="1591" hidden="1" ht="18.75" customFormat="1" customHeight="1" s="311"/>
    <row r="1592" hidden="1" ht="18.75" customFormat="1" customHeight="1" s="311"/>
    <row r="1593" hidden="1" ht="18.75" customFormat="1" customHeight="1" s="311"/>
    <row r="1594" hidden="1" ht="18.75" customFormat="1" customHeight="1" s="311"/>
    <row r="1595" hidden="1" ht="18.75" customFormat="1" customHeight="1" s="311"/>
    <row r="1596" hidden="1" ht="18.75" customFormat="1" customHeight="1" s="311"/>
    <row r="1597" hidden="1" ht="18.75" customFormat="1" customHeight="1" s="311"/>
    <row r="1598" hidden="1" ht="18.75" customFormat="1" customHeight="1" s="311"/>
    <row r="1599" hidden="1" ht="18.75" customFormat="1" customHeight="1" s="311"/>
    <row r="1600" hidden="1" ht="18.75" customFormat="1" customHeight="1" s="311"/>
    <row r="1601" hidden="1" ht="18.75" customFormat="1" customHeight="1" s="311"/>
    <row r="1602" hidden="1" ht="18.75" customFormat="1" customHeight="1" s="311"/>
    <row r="1603" hidden="1" ht="18.75" customFormat="1" customHeight="1" s="311"/>
    <row r="1604" hidden="1" ht="18.75" customFormat="1" customHeight="1" s="311"/>
    <row r="1605" hidden="1" ht="18.75" customFormat="1" customHeight="1" s="311"/>
    <row r="1606" hidden="1" ht="18.75" customFormat="1" customHeight="1" s="311"/>
    <row r="1607" hidden="1" ht="18.75" customFormat="1" customHeight="1" s="311"/>
    <row r="1608" hidden="1" ht="18.75" customFormat="1" customHeight="1" s="311"/>
    <row r="1609" hidden="1" ht="18.75" customFormat="1" customHeight="1" s="311"/>
    <row r="1610" hidden="1" ht="18.75" customFormat="1" customHeight="1" s="311"/>
    <row r="1611" hidden="1" ht="18.75" customFormat="1" customHeight="1" s="311"/>
    <row r="1612" hidden="1" ht="18.75" customFormat="1" customHeight="1" s="311"/>
    <row r="1613" hidden="1" ht="18.75" customFormat="1" customHeight="1" s="311"/>
    <row r="1614" hidden="1" ht="18.75" customFormat="1" customHeight="1" s="311"/>
    <row r="1615" hidden="1" ht="18.75" customFormat="1" customHeight="1" s="311"/>
    <row r="1616" hidden="1" ht="18.75" customFormat="1" customHeight="1" s="311"/>
    <row r="1617" hidden="1" ht="18.75" customFormat="1" customHeight="1" s="311"/>
    <row r="1618" hidden="1" ht="18.75" customFormat="1" customHeight="1" s="311"/>
    <row r="1619" hidden="1" ht="18.75" customFormat="1" customHeight="1" s="311"/>
    <row r="1620" hidden="1" ht="18.75" customFormat="1" customHeight="1" s="311"/>
    <row r="1621" hidden="1" ht="18.75" customFormat="1" customHeight="1" s="311"/>
    <row r="1622" hidden="1" ht="18.75" customFormat="1" customHeight="1" s="311"/>
    <row r="1623" hidden="1" ht="18.75" customFormat="1" customHeight="1" s="311"/>
    <row r="1624" hidden="1" ht="18.75" customFormat="1" customHeight="1" s="311"/>
    <row r="1625" hidden="1" ht="18.75" customFormat="1" customHeight="1" s="311"/>
    <row r="1626" hidden="1" ht="18.75" customFormat="1" customHeight="1" s="311"/>
    <row r="1627" hidden="1" ht="18.75" customFormat="1" customHeight="1" s="311"/>
    <row r="1628" hidden="1" ht="18.75" customFormat="1" customHeight="1" s="311"/>
    <row r="1629" hidden="1" ht="18.75" customFormat="1" customHeight="1" s="311"/>
    <row r="1630" hidden="1" ht="18.75" customFormat="1" customHeight="1" s="311"/>
    <row r="1631" hidden="1" ht="18.75" customFormat="1" customHeight="1" s="311"/>
    <row r="1632" hidden="1" ht="18.75" customFormat="1" customHeight="1" s="311"/>
    <row r="1633" hidden="1" ht="18.75" customFormat="1" customHeight="1" s="311"/>
    <row r="1634" hidden="1" ht="18.75" customFormat="1" customHeight="1" s="311"/>
    <row r="1635" hidden="1" ht="18.75" customFormat="1" customHeight="1" s="311"/>
    <row r="1636" hidden="1" ht="18.75" customFormat="1" customHeight="1" s="311"/>
    <row r="1637" hidden="1" ht="18.75" customFormat="1" customHeight="1" s="311"/>
    <row r="1638" hidden="1" ht="18.75" customFormat="1" customHeight="1" s="311"/>
    <row r="1639" hidden="1" ht="18.75" customFormat="1" customHeight="1" s="311"/>
    <row r="1640" hidden="1" ht="18.75" customFormat="1" customHeight="1" s="311"/>
    <row r="1641" hidden="1" ht="18.75" customFormat="1" customHeight="1" s="311"/>
    <row r="1642" hidden="1" ht="18.75" customFormat="1" customHeight="1" s="311"/>
    <row r="1643" hidden="1" ht="18.75" customFormat="1" customHeight="1" s="311"/>
    <row r="1644" hidden="1" ht="18.75" customFormat="1" customHeight="1" s="311"/>
    <row r="1645" hidden="1" ht="18.75" customFormat="1" customHeight="1" s="311"/>
    <row r="1646" hidden="1" ht="18.75" customFormat="1" customHeight="1" s="311"/>
    <row r="1647" hidden="1" ht="18.75" customFormat="1" customHeight="1" s="311"/>
    <row r="1648" hidden="1" ht="18.75" customFormat="1" customHeight="1" s="311"/>
    <row r="1649" hidden="1" ht="18.75" customFormat="1" customHeight="1" s="311"/>
    <row r="1650" hidden="1" ht="18.75" customFormat="1" customHeight="1" s="311"/>
    <row r="1651" hidden="1" ht="18.75" customFormat="1" customHeight="1" s="311"/>
    <row r="1652" hidden="1" ht="18.75" customFormat="1" customHeight="1" s="311"/>
    <row r="1653" hidden="1" ht="18.75" customFormat="1" customHeight="1" s="311"/>
    <row r="1654" hidden="1" ht="18.75" customFormat="1" customHeight="1" s="311"/>
    <row r="1655" hidden="1" ht="18.75" customFormat="1" customHeight="1" s="311"/>
    <row r="1656" hidden="1" ht="18.75" customFormat="1" customHeight="1" s="311"/>
    <row r="1657" hidden="1" ht="18.75" customFormat="1" customHeight="1" s="311"/>
    <row r="1658" hidden="1" ht="18.75" customFormat="1" customHeight="1" s="311"/>
    <row r="1659" hidden="1" ht="18.75" customFormat="1" customHeight="1" s="311"/>
    <row r="1660" hidden="1" ht="18.75" customFormat="1" customHeight="1" s="311"/>
    <row r="1661" hidden="1" ht="18.75" customFormat="1" customHeight="1" s="311"/>
    <row r="1662" hidden="1" ht="18.75" customFormat="1" customHeight="1" s="311"/>
    <row r="1663" hidden="1" ht="18.75" customFormat="1" customHeight="1" s="311"/>
    <row r="1664" hidden="1" ht="18.75" customFormat="1" customHeight="1" s="311"/>
    <row r="1665" hidden="1" ht="18.75" customFormat="1" customHeight="1" s="311"/>
    <row r="1666" hidden="1" ht="18.75" customFormat="1" customHeight="1" s="311"/>
    <row r="1667" hidden="1" ht="18.75" customFormat="1" customHeight="1" s="311"/>
    <row r="1668" hidden="1" ht="18.75" customFormat="1" customHeight="1" s="311"/>
    <row r="1669" hidden="1" ht="18.75" customFormat="1" customHeight="1" s="311"/>
    <row r="1670" hidden="1" ht="18.75" customFormat="1" customHeight="1" s="311"/>
    <row r="1671" hidden="1" ht="18.75" customFormat="1" customHeight="1" s="311"/>
    <row r="1672" hidden="1" ht="18.75" customFormat="1" customHeight="1" s="311"/>
    <row r="1673" hidden="1" ht="18.75" customFormat="1" customHeight="1" s="311"/>
    <row r="1674" hidden="1" ht="18.75" customFormat="1" customHeight="1" s="311"/>
    <row r="1675" hidden="1" ht="18.75" customFormat="1" customHeight="1" s="311"/>
    <row r="1676" hidden="1" ht="18.75" customFormat="1" customHeight="1" s="311"/>
    <row r="1677" hidden="1" ht="18.75" customFormat="1" customHeight="1" s="311"/>
    <row r="1678" hidden="1" ht="18.75" customFormat="1" customHeight="1" s="311"/>
    <row r="1679" hidden="1" ht="18.75" customFormat="1" customHeight="1" s="311"/>
    <row r="1680" hidden="1" ht="18.75" customFormat="1" customHeight="1" s="311"/>
    <row r="1681" hidden="1" ht="18.75" customFormat="1" customHeight="1" s="311"/>
    <row r="1682" hidden="1" ht="18.75" customFormat="1" customHeight="1" s="311"/>
    <row r="1683" hidden="1" ht="18.75" customFormat="1" customHeight="1" s="311"/>
    <row r="1684" hidden="1" ht="18.75" customFormat="1" customHeight="1" s="311"/>
    <row r="1685" hidden="1" ht="18.75" customFormat="1" customHeight="1" s="311"/>
    <row r="1686" hidden="1" ht="18.75" customFormat="1" customHeight="1" s="311"/>
    <row r="1687" hidden="1" ht="18.75" customFormat="1" customHeight="1" s="311"/>
    <row r="1688" hidden="1" ht="18.75" customFormat="1" customHeight="1" s="311"/>
    <row r="1689" hidden="1" ht="18.75" customFormat="1" customHeight="1" s="311"/>
    <row r="1690" hidden="1" ht="18.75" customFormat="1" customHeight="1" s="311"/>
    <row r="1691" hidden="1" ht="18.75" customFormat="1" customHeight="1" s="311"/>
    <row r="1692" hidden="1" ht="18.75" customFormat="1" customHeight="1" s="311"/>
    <row r="1693" hidden="1" ht="18.75" customFormat="1" customHeight="1" s="311"/>
    <row r="1694" hidden="1" ht="18.75" customFormat="1" customHeight="1" s="311"/>
    <row r="1695" hidden="1" ht="18.75" customFormat="1" customHeight="1" s="311"/>
    <row r="1696" hidden="1" ht="18.75" customFormat="1" customHeight="1" s="311"/>
    <row r="1697" hidden="1" ht="18.75" customFormat="1" customHeight="1" s="311"/>
    <row r="1698" hidden="1" ht="18.75" customFormat="1" customHeight="1" s="311"/>
    <row r="1699" hidden="1" ht="18.75" customFormat="1" customHeight="1" s="311"/>
    <row r="1700" hidden="1" ht="18.75" customFormat="1" customHeight="1" s="311"/>
    <row r="1701" hidden="1" ht="18.75" customFormat="1" customHeight="1" s="311"/>
    <row r="1702" hidden="1" ht="18.75" customFormat="1" customHeight="1" s="311"/>
    <row r="1703" hidden="1" ht="18.75" customFormat="1" customHeight="1" s="311"/>
    <row r="1704" hidden="1" ht="18.75" customFormat="1" customHeight="1" s="311"/>
    <row r="1705" hidden="1" ht="18.75" customFormat="1" customHeight="1" s="311"/>
    <row r="1706" hidden="1" ht="18.75" customFormat="1" customHeight="1" s="311"/>
    <row r="1707" hidden="1" ht="18.75" customFormat="1" customHeight="1" s="311"/>
    <row r="1708" hidden="1" ht="18.75" customFormat="1" customHeight="1" s="311"/>
    <row r="1709" hidden="1" ht="18.75" customFormat="1" customHeight="1" s="311"/>
    <row r="1710" hidden="1" ht="18.75" customFormat="1" customHeight="1" s="311"/>
    <row r="1711" hidden="1" ht="18.75" customFormat="1" customHeight="1" s="311"/>
    <row r="1712" hidden="1" ht="18.75" customFormat="1" customHeight="1" s="311"/>
    <row r="1713" hidden="1" ht="18.75" customFormat="1" customHeight="1" s="311"/>
    <row r="1714" hidden="1" ht="18.75" customFormat="1" customHeight="1" s="311"/>
    <row r="1715" hidden="1" ht="18.75" customFormat="1" customHeight="1" s="311"/>
    <row r="1716" hidden="1" ht="18.75" customFormat="1" customHeight="1" s="311"/>
    <row r="1717" hidden="1" ht="18.75" customFormat="1" customHeight="1" s="311"/>
    <row r="1718" hidden="1" ht="18.75" customFormat="1" customHeight="1" s="311"/>
    <row r="1719" hidden="1" ht="18.75" customFormat="1" customHeight="1" s="311"/>
    <row r="1720" hidden="1" ht="18.75" customFormat="1" customHeight="1" s="311"/>
    <row r="1721" hidden="1" ht="18.75" customFormat="1" customHeight="1" s="311"/>
    <row r="1722" hidden="1" ht="18.75" customFormat="1" customHeight="1" s="311"/>
    <row r="1723" hidden="1" ht="18.75" customFormat="1" customHeight="1" s="311"/>
    <row r="1724" hidden="1" ht="18.75" customFormat="1" customHeight="1" s="311"/>
    <row r="1725" hidden="1" ht="18.75" customFormat="1" customHeight="1" s="311"/>
    <row r="1726" hidden="1" ht="18.75" customFormat="1" customHeight="1" s="311"/>
    <row r="1727" hidden="1" ht="18.75" customFormat="1" customHeight="1" s="311"/>
    <row r="1728" hidden="1" ht="18.75" customFormat="1" customHeight="1" s="311"/>
    <row r="1729" hidden="1" ht="18.75" customFormat="1" customHeight="1" s="311"/>
    <row r="1730" hidden="1" ht="18.75" customFormat="1" customHeight="1" s="311"/>
    <row r="1731" hidden="1" ht="18.75" customFormat="1" customHeight="1" s="311"/>
    <row r="1732" hidden="1" ht="18.75" customFormat="1" customHeight="1" s="311"/>
    <row r="1733" hidden="1" ht="18.75" customFormat="1" customHeight="1" s="311"/>
    <row r="1734" hidden="1" ht="18.75" customFormat="1" customHeight="1" s="311"/>
    <row r="1735" hidden="1" ht="18.75" customFormat="1" customHeight="1" s="311"/>
    <row r="1736" hidden="1" ht="18.75" customFormat="1" customHeight="1" s="311"/>
    <row r="1737" hidden="1" ht="18.75" customFormat="1" customHeight="1" s="311"/>
    <row r="1738" hidden="1" ht="18.75" customFormat="1" customHeight="1" s="311"/>
    <row r="1739" hidden="1" ht="18.75" customFormat="1" customHeight="1" s="311"/>
    <row r="1740" hidden="1" ht="18.75" customFormat="1" customHeight="1" s="311"/>
    <row r="1741" hidden="1" ht="18.75" customFormat="1" customHeight="1" s="311"/>
    <row r="1742" hidden="1" ht="18.75" customFormat="1" customHeight="1" s="311"/>
    <row r="1743" hidden="1" ht="18.75" customFormat="1" customHeight="1" s="311"/>
    <row r="1744" hidden="1" ht="18.75" customFormat="1" customHeight="1" s="311"/>
    <row r="1745" hidden="1" ht="18.75" customFormat="1" customHeight="1" s="311"/>
    <row r="1746" hidden="1" ht="18.75" customFormat="1" customHeight="1" s="311"/>
    <row r="1747" hidden="1" ht="18.75" customFormat="1" customHeight="1" s="311"/>
    <row r="1748" hidden="1" ht="18.75" customFormat="1" customHeight="1" s="311"/>
    <row r="1749" hidden="1" ht="18.75" customFormat="1" customHeight="1" s="311"/>
    <row r="1750" hidden="1" ht="18.75" customFormat="1" customHeight="1" s="311"/>
    <row r="1751" hidden="1" ht="18.75" customFormat="1" customHeight="1" s="311"/>
    <row r="1752" hidden="1" ht="18.75" customFormat="1" customHeight="1" s="311"/>
    <row r="1753" hidden="1" ht="18.75" customFormat="1" customHeight="1" s="311"/>
    <row r="1754" hidden="1" ht="18.75" customFormat="1" customHeight="1" s="311"/>
    <row r="1755" hidden="1" ht="18.75" customFormat="1" customHeight="1" s="311"/>
    <row r="1756" hidden="1" ht="18.75" customFormat="1" customHeight="1" s="311"/>
    <row r="1757" hidden="1" ht="18.75" customFormat="1" customHeight="1" s="311"/>
    <row r="1758" hidden="1" ht="18.75" customFormat="1" customHeight="1" s="311"/>
    <row r="1759" hidden="1" ht="18.75" customFormat="1" customHeight="1" s="311"/>
    <row r="1760" hidden="1" ht="18.75" customFormat="1" customHeight="1" s="311"/>
    <row r="1761" hidden="1" ht="18.75" customFormat="1" customHeight="1" s="311"/>
    <row r="1762" hidden="1" ht="18.75" customFormat="1" customHeight="1" s="311"/>
    <row r="1763" hidden="1" ht="18.75" customFormat="1" customHeight="1" s="311"/>
    <row r="1764" hidden="1" ht="18.75" customFormat="1" customHeight="1" s="311"/>
    <row r="1765" hidden="1" ht="18.75" customFormat="1" customHeight="1" s="311"/>
    <row r="1766" hidden="1" ht="18.75" customFormat="1" customHeight="1" s="311"/>
    <row r="1767" hidden="1" ht="18.75" customFormat="1" customHeight="1" s="311"/>
    <row r="1768" hidden="1" ht="18.75" customFormat="1" customHeight="1" s="311"/>
    <row r="1769" hidden="1" ht="18.75" customFormat="1" customHeight="1" s="311"/>
    <row r="1770" hidden="1" ht="18.75" customFormat="1" customHeight="1" s="311"/>
    <row r="1771" hidden="1" ht="18.75" customFormat="1" customHeight="1" s="311"/>
    <row r="1772" hidden="1" ht="18.75" customFormat="1" customHeight="1" s="311"/>
    <row r="1773" hidden="1" ht="18.75" customFormat="1" customHeight="1" s="311"/>
    <row r="1774" hidden="1" ht="18.75" customFormat="1" customHeight="1" s="311"/>
    <row r="1775" hidden="1" ht="18.75" customFormat="1" customHeight="1" s="311"/>
    <row r="1776" hidden="1" ht="18.75" customFormat="1" customHeight="1" s="311"/>
    <row r="1777" hidden="1" ht="18.75" customFormat="1" customHeight="1" s="311"/>
    <row r="1778" hidden="1" ht="18.75" customFormat="1" customHeight="1" s="311"/>
    <row r="1779" hidden="1" ht="18.75" customFormat="1" customHeight="1" s="311"/>
    <row r="1780" hidden="1" ht="18.75" customFormat="1" customHeight="1" s="311"/>
    <row r="1781" hidden="1" ht="18.75" customFormat="1" customHeight="1" s="311"/>
    <row r="1782" hidden="1" ht="18.75" customFormat="1" customHeight="1" s="311"/>
    <row r="1783" hidden="1" ht="18.75" customFormat="1" customHeight="1" s="311"/>
    <row r="1784" hidden="1" ht="18.75" customFormat="1" customHeight="1" s="311"/>
    <row r="1785" hidden="1" ht="18.75" customFormat="1" customHeight="1" s="311"/>
    <row r="1786" hidden="1" ht="18.75" customFormat="1" customHeight="1" s="311"/>
    <row r="1787" hidden="1" ht="18.75" customFormat="1" customHeight="1" s="311"/>
    <row r="1788" hidden="1" ht="18.75" customFormat="1" customHeight="1" s="311"/>
    <row r="1789" hidden="1" ht="18.75" customFormat="1" customHeight="1" s="311"/>
    <row r="1790" hidden="1" ht="18.75" customFormat="1" customHeight="1" s="311"/>
    <row r="1791" hidden="1" ht="18.75" customFormat="1" customHeight="1" s="311"/>
    <row r="1792" hidden="1" ht="18.75" customFormat="1" customHeight="1" s="311"/>
    <row r="1793" hidden="1" ht="18.75" customFormat="1" customHeight="1" s="311"/>
    <row r="1794" hidden="1" ht="18.75" customFormat="1" customHeight="1" s="311"/>
    <row r="1795" hidden="1" ht="18.75" customFormat="1" customHeight="1" s="311"/>
    <row r="1796" hidden="1" ht="18.75" customFormat="1" customHeight="1" s="311"/>
    <row r="1797" hidden="1" ht="18.75" customFormat="1" customHeight="1" s="311"/>
    <row r="1798" hidden="1" ht="18.75" customFormat="1" customHeight="1" s="311"/>
    <row r="1799" hidden="1" ht="18.75" customFormat="1" customHeight="1" s="311"/>
    <row r="1800" hidden="1" ht="18.75" customFormat="1" customHeight="1" s="311"/>
    <row r="1801" hidden="1" ht="18.75" customFormat="1" customHeight="1" s="311"/>
    <row r="1802" hidden="1" ht="18.75" customFormat="1" customHeight="1" s="311"/>
    <row r="1803" hidden="1" ht="18.75" customFormat="1" customHeight="1" s="311"/>
    <row r="1804" hidden="1" ht="18.75" customFormat="1" customHeight="1" s="311"/>
    <row r="1805" hidden="1" ht="18.75" customFormat="1" customHeight="1" s="311"/>
    <row r="1806" hidden="1" ht="18.75" customFormat="1" customHeight="1" s="311"/>
    <row r="1807" hidden="1" ht="18.75" customFormat="1" customHeight="1" s="311"/>
    <row r="1808" hidden="1" ht="18.75" customFormat="1" customHeight="1" s="311"/>
    <row r="1809" hidden="1" ht="18.75" customFormat="1" customHeight="1" s="311"/>
    <row r="1810" hidden="1" ht="18.75" customFormat="1" customHeight="1" s="311"/>
    <row r="1811" hidden="1" ht="18.75" customFormat="1" customHeight="1" s="311"/>
    <row r="1812" hidden="1" ht="18.75" customFormat="1" customHeight="1" s="311"/>
    <row r="1813" hidden="1" ht="18.75" customFormat="1" customHeight="1" s="311"/>
    <row r="1814" hidden="1" ht="18.75" customFormat="1" customHeight="1" s="311"/>
    <row r="1815" hidden="1" ht="18.75" customFormat="1" customHeight="1" s="311"/>
    <row r="1816" hidden="1" ht="18.75" customFormat="1" customHeight="1" s="311"/>
    <row r="1817" hidden="1" ht="18.75" customFormat="1" customHeight="1" s="311"/>
    <row r="1818" hidden="1" ht="18.75" customFormat="1" customHeight="1" s="311"/>
    <row r="1819" hidden="1" ht="18.75" customFormat="1" customHeight="1" s="311"/>
    <row r="1820" hidden="1" ht="18.75" customFormat="1" customHeight="1" s="311"/>
    <row r="1821" hidden="1" ht="18.75" customFormat="1" customHeight="1" s="311"/>
    <row r="1822" hidden="1" ht="18.75" customFormat="1" customHeight="1" s="311"/>
    <row r="1823" hidden="1" ht="18.75" customFormat="1" customHeight="1" s="311"/>
    <row r="1824" hidden="1" ht="18.75" customFormat="1" customHeight="1" s="311"/>
    <row r="1825" hidden="1" ht="18.75" customFormat="1" customHeight="1" s="311"/>
    <row r="1826" hidden="1" ht="18.75" customFormat="1" customHeight="1" s="311"/>
    <row r="1827" hidden="1" ht="18.75" customFormat="1" customHeight="1" s="311"/>
    <row r="1828" hidden="1" ht="18.75" customFormat="1" customHeight="1" s="311"/>
    <row r="1829" hidden="1" ht="18.75" customFormat="1" customHeight="1" s="311"/>
    <row r="1830" hidden="1" ht="18.75" customFormat="1" customHeight="1" s="311"/>
    <row r="1831" hidden="1" ht="18.75" customFormat="1" customHeight="1" s="311"/>
    <row r="1832" hidden="1" ht="18.75" customFormat="1" customHeight="1" s="311"/>
    <row r="1833" hidden="1" ht="18.75" customFormat="1" customHeight="1" s="311"/>
    <row r="1834" hidden="1" ht="18.75" customFormat="1" customHeight="1" s="311"/>
    <row r="1835" hidden="1" ht="18.75" customFormat="1" customHeight="1" s="311"/>
    <row r="1836" hidden="1" ht="18.75" customFormat="1" customHeight="1" s="311"/>
    <row r="1837" hidden="1" ht="18.75" customFormat="1" customHeight="1" s="311"/>
    <row r="1838" hidden="1" ht="18.75" customFormat="1" customHeight="1" s="311"/>
    <row r="1839" hidden="1" ht="18.75" customFormat="1" customHeight="1" s="311"/>
    <row r="1840" hidden="1" ht="18.75" customFormat="1" customHeight="1" s="311"/>
    <row r="1841" hidden="1" ht="18.75" customFormat="1" customHeight="1" s="311"/>
    <row r="1842" hidden="1" ht="18.75" customFormat="1" customHeight="1" s="311"/>
    <row r="1843" hidden="1" ht="18.75" customFormat="1" customHeight="1" s="311"/>
    <row r="1844" hidden="1" ht="18.75" customFormat="1" customHeight="1" s="311"/>
    <row r="1845" hidden="1" ht="18.75" customFormat="1" customHeight="1" s="311"/>
    <row r="1846" hidden="1" ht="18.75" customFormat="1" customHeight="1" s="311"/>
    <row r="1847" hidden="1" ht="18.75" customFormat="1" customHeight="1" s="311"/>
    <row r="1848" hidden="1" ht="18.75" customFormat="1" customHeight="1" s="311"/>
    <row r="1849" hidden="1" ht="18.75" customFormat="1" customHeight="1" s="311"/>
    <row r="1850" hidden="1" ht="18.75" customFormat="1" customHeight="1" s="311"/>
    <row r="1851" hidden="1" ht="18.75" customFormat="1" customHeight="1" s="311"/>
    <row r="1852" hidden="1" ht="18.75" customFormat="1" customHeight="1" s="311"/>
    <row r="1853" hidden="1" ht="18.75" customFormat="1" customHeight="1" s="311"/>
    <row r="1854" hidden="1" ht="18.75" customFormat="1" customHeight="1" s="311"/>
    <row r="1855" hidden="1" ht="18.75" customFormat="1" customHeight="1" s="311"/>
    <row r="1856" hidden="1" ht="18.75" customFormat="1" customHeight="1" s="311"/>
    <row r="1857" hidden="1" ht="18.75" customFormat="1" customHeight="1" s="311"/>
    <row r="1858" hidden="1" ht="18.75" customFormat="1" customHeight="1" s="311"/>
    <row r="1859" hidden="1" ht="18.75" customFormat="1" customHeight="1" s="311"/>
    <row r="1860" hidden="1" ht="18.75" customFormat="1" customHeight="1" s="311"/>
    <row r="1861" hidden="1" ht="18.75" customFormat="1" customHeight="1" s="311"/>
    <row r="1862" hidden="1" ht="18.75" customFormat="1" customHeight="1" s="311"/>
    <row r="1863" hidden="1" ht="18.75" customFormat="1" customHeight="1" s="311"/>
    <row r="1864" hidden="1" ht="18.75" customFormat="1" customHeight="1" s="311"/>
    <row r="1865" hidden="1" ht="18.75" customFormat="1" customHeight="1" s="311"/>
    <row r="1866" hidden="1" ht="18.75" customFormat="1" customHeight="1" s="311"/>
    <row r="1867" hidden="1" ht="18.75" customFormat="1" customHeight="1" s="311"/>
    <row r="1868" hidden="1" ht="18.75" customFormat="1" customHeight="1" s="311"/>
    <row r="1869" hidden="1" ht="18.75" customFormat="1" customHeight="1" s="311"/>
    <row r="1870" hidden="1" ht="18.75" customFormat="1" customHeight="1" s="311"/>
    <row r="1871" hidden="1" ht="18.75" customFormat="1" customHeight="1" s="311"/>
    <row r="1872" hidden="1" ht="18.75" customFormat="1" customHeight="1" s="311"/>
    <row r="1873" hidden="1" ht="18.75" customFormat="1" customHeight="1" s="311"/>
    <row r="1874" hidden="1" ht="18.75" customFormat="1" customHeight="1" s="311"/>
    <row r="1875" hidden="1" ht="18.75" customFormat="1" customHeight="1" s="311"/>
    <row r="1876" hidden="1" ht="18.75" customFormat="1" customHeight="1" s="311"/>
    <row r="1877" hidden="1" ht="18.75" customFormat="1" customHeight="1" s="311"/>
    <row r="1878" hidden="1" ht="18.75" customFormat="1" customHeight="1" s="311"/>
    <row r="1879" hidden="1" ht="18.75" customFormat="1" customHeight="1" s="311"/>
    <row r="1880" hidden="1" ht="18.75" customFormat="1" customHeight="1" s="311"/>
    <row r="1881" hidden="1" ht="18.75" customFormat="1" customHeight="1" s="311"/>
    <row r="1882" hidden="1" ht="18.75" customFormat="1" customHeight="1" s="311"/>
    <row r="1883" hidden="1" ht="18.75" customFormat="1" customHeight="1" s="311"/>
    <row r="1884" hidden="1" ht="18.75" customFormat="1" customHeight="1" s="311"/>
    <row r="1885" hidden="1" ht="18.75" customFormat="1" customHeight="1" s="311"/>
    <row r="1886" hidden="1" ht="18.75" customFormat="1" customHeight="1" s="311"/>
    <row r="1887" hidden="1" ht="18.75" customFormat="1" customHeight="1" s="311"/>
    <row r="1888" hidden="1" ht="18.75" customFormat="1" customHeight="1" s="311"/>
    <row r="1889" hidden="1" ht="18.75" customFormat="1" customHeight="1" s="311"/>
    <row r="1890" hidden="1" ht="18.75" customFormat="1" customHeight="1" s="311"/>
    <row r="1891" hidden="1" ht="18.75" customFormat="1" customHeight="1" s="311"/>
    <row r="1892" hidden="1" ht="18.75" customFormat="1" customHeight="1" s="311"/>
    <row r="1893" hidden="1" ht="18.75" customFormat="1" customHeight="1" s="311"/>
    <row r="1894" hidden="1" ht="18.75" customFormat="1" customHeight="1" s="311"/>
    <row r="1895" hidden="1" ht="18.75" customFormat="1" customHeight="1" s="311"/>
    <row r="1896" hidden="1" ht="18.75" customFormat="1" customHeight="1" s="311"/>
    <row r="1897" hidden="1" ht="18.75" customFormat="1" customHeight="1" s="311"/>
    <row r="1898" hidden="1" ht="18.75" customFormat="1" customHeight="1" s="311"/>
    <row r="1899" hidden="1" ht="18.75" customFormat="1" customHeight="1" s="311"/>
    <row r="1900" hidden="1" ht="18.75" customFormat="1" customHeight="1" s="311"/>
    <row r="1901" hidden="1" ht="18.75" customFormat="1" customHeight="1" s="311"/>
    <row r="1902" hidden="1" ht="18.75" customFormat="1" customHeight="1" s="311"/>
    <row r="1903" hidden="1" ht="18.75" customFormat="1" customHeight="1" s="311"/>
    <row r="1904" hidden="1" ht="18.75" customFormat="1" customHeight="1" s="311"/>
    <row r="1905" hidden="1" ht="18.75" customFormat="1" customHeight="1" s="311"/>
    <row r="1906" hidden="1" ht="18.75" customFormat="1" customHeight="1" s="311"/>
    <row r="1907" hidden="1" ht="18.75" customFormat="1" customHeight="1" s="311"/>
    <row r="1908" hidden="1" ht="18.75" customFormat="1" customHeight="1" s="311"/>
    <row r="1909" hidden="1" ht="18.75" customFormat="1" customHeight="1" s="311"/>
    <row r="1910" hidden="1" ht="18.75" customFormat="1" customHeight="1" s="311"/>
    <row r="1911" hidden="1" ht="18.75" customFormat="1" customHeight="1" s="311"/>
    <row r="1912" hidden="1" ht="18.75" customFormat="1" customHeight="1" s="311"/>
    <row r="1913" hidden="1" ht="18.75" customFormat="1" customHeight="1" s="311"/>
    <row r="1914" hidden="1" ht="18.75" customFormat="1" customHeight="1" s="311"/>
    <row r="1915" hidden="1" ht="18.75" customFormat="1" customHeight="1" s="311"/>
    <row r="1916" hidden="1" ht="18.75" customFormat="1" customHeight="1" s="311"/>
    <row r="1917" hidden="1" ht="18.75" customFormat="1" customHeight="1" s="311"/>
    <row r="1918" hidden="1" ht="18.75" customFormat="1" customHeight="1" s="311"/>
    <row r="1919" hidden="1" ht="18.75" customFormat="1" customHeight="1" s="311"/>
    <row r="1920" hidden="1" ht="18.75" customFormat="1" customHeight="1" s="311"/>
    <row r="1921" hidden="1" ht="18.75" customFormat="1" customHeight="1" s="311"/>
    <row r="1922" hidden="1" ht="18.75" customFormat="1" customHeight="1" s="311"/>
    <row r="1923" hidden="1" ht="18.75" customFormat="1" customHeight="1" s="311"/>
    <row r="1924" hidden="1" ht="18.75" customFormat="1" customHeight="1" s="311"/>
    <row r="1925" hidden="1" ht="18.75" customFormat="1" customHeight="1" s="311"/>
    <row r="1926" hidden="1" ht="18.75" customFormat="1" customHeight="1" s="311"/>
    <row r="1927" hidden="1" ht="18.75" customFormat="1" customHeight="1" s="311"/>
    <row r="1928" hidden="1" ht="18.75" customFormat="1" customHeight="1" s="311"/>
    <row r="1929" hidden="1" ht="18.75" customFormat="1" customHeight="1" s="311"/>
    <row r="1930" hidden="1" ht="18.75" customFormat="1" customHeight="1" s="311"/>
    <row r="1931" hidden="1" ht="18.75" customFormat="1" customHeight="1" s="311"/>
    <row r="1932" hidden="1" ht="18.75" customFormat="1" customHeight="1" s="311"/>
    <row r="1933" hidden="1" ht="18.75" customFormat="1" customHeight="1" s="311"/>
    <row r="1934" hidden="1" ht="18.75" customFormat="1" customHeight="1" s="311"/>
    <row r="1935" hidden="1" ht="18.75" customFormat="1" customHeight="1" s="311"/>
    <row r="1936" hidden="1" ht="18.75" customFormat="1" customHeight="1" s="311"/>
    <row r="1937" hidden="1" ht="18.75" customFormat="1" customHeight="1" s="311"/>
    <row r="1938" hidden="1" ht="18.75" customFormat="1" customHeight="1" s="311"/>
    <row r="1939" hidden="1" ht="18.75" customFormat="1" customHeight="1" s="311"/>
    <row r="1940" hidden="1" ht="18.75" customFormat="1" customHeight="1" s="311"/>
    <row r="1941" hidden="1" ht="18.75" customFormat="1" customHeight="1" s="311"/>
    <row r="1942" hidden="1" ht="18.75" customFormat="1" customHeight="1" s="311"/>
    <row r="1943" hidden="1" ht="18.75" customFormat="1" customHeight="1" s="311"/>
    <row r="1944" hidden="1" ht="18.75" customFormat="1" customHeight="1" s="311"/>
    <row r="1945" hidden="1" ht="18.75" customFormat="1" customHeight="1" s="311"/>
    <row r="1946" hidden="1" ht="18.75" customFormat="1" customHeight="1" s="311"/>
    <row r="1947" hidden="1" ht="18.75" customFormat="1" customHeight="1" s="311"/>
    <row r="1948" hidden="1" ht="18.75" customFormat="1" customHeight="1" s="311"/>
    <row r="1949" hidden="1" ht="18.75" customFormat="1" customHeight="1" s="311"/>
    <row r="1950" hidden="1" ht="18.75" customFormat="1" customHeight="1" s="311"/>
    <row r="1951" hidden="1" ht="18.75" customFormat="1" customHeight="1" s="311"/>
    <row r="1952" hidden="1" ht="18.75" customFormat="1" customHeight="1" s="311"/>
    <row r="1953" hidden="1" ht="18.75" customFormat="1" customHeight="1" s="311"/>
    <row r="1954" hidden="1" ht="18.75" customFormat="1" customHeight="1" s="311"/>
    <row r="1955" hidden="1" ht="18.75" customFormat="1" customHeight="1" s="311"/>
    <row r="1956" hidden="1" ht="18.75" customFormat="1" customHeight="1" s="311"/>
    <row r="1957" hidden="1" ht="18.75" customFormat="1" customHeight="1" s="311"/>
    <row r="1958" hidden="1" ht="18.75" customFormat="1" customHeight="1" s="311"/>
    <row r="1959" hidden="1" ht="18.75" customFormat="1" customHeight="1" s="311"/>
    <row r="1960" hidden="1" ht="18.75" customFormat="1" customHeight="1" s="311"/>
    <row r="1961" hidden="1" ht="18.75" customFormat="1" customHeight="1" s="311"/>
    <row r="1962" hidden="1" ht="18.75" customFormat="1" customHeight="1" s="311"/>
    <row r="1963" hidden="1" ht="18.75" customFormat="1" customHeight="1" s="311"/>
    <row r="1964" hidden="1" ht="18.75" customFormat="1" customHeight="1" s="311"/>
    <row r="1965" hidden="1" ht="18.75" customFormat="1" customHeight="1" s="311"/>
    <row r="1966" hidden="1" ht="18.75" customFormat="1" customHeight="1" s="311"/>
    <row r="1967" hidden="1" ht="18.75" customFormat="1" customHeight="1" s="311"/>
    <row r="1968" hidden="1" ht="18.75" customFormat="1" customHeight="1" s="311"/>
    <row r="1969" hidden="1" ht="18.75" customFormat="1" customHeight="1" s="311"/>
    <row r="1970" hidden="1" ht="18.75" customFormat="1" customHeight="1" s="311"/>
    <row r="1971" hidden="1" ht="18.75" customFormat="1" customHeight="1" s="311"/>
    <row r="1972" hidden="1" ht="18.75" customFormat="1" customHeight="1" s="311"/>
    <row r="1973" hidden="1" ht="18.75" customFormat="1" customHeight="1" s="311"/>
    <row r="1974" hidden="1" ht="18.75" customFormat="1" customHeight="1" s="311"/>
    <row r="1975" hidden="1" ht="18.75" customFormat="1" customHeight="1" s="311"/>
    <row r="1976" hidden="1" ht="18.75" customFormat="1" customHeight="1" s="311"/>
    <row r="1977" hidden="1" ht="18.75" customFormat="1" customHeight="1" s="311"/>
    <row r="1978" hidden="1" ht="18.75" customFormat="1" customHeight="1" s="311"/>
    <row r="1979" hidden="1" ht="18.75" customFormat="1" customHeight="1" s="311"/>
    <row r="1980" hidden="1" ht="18.75" customFormat="1" customHeight="1" s="311"/>
    <row r="1981" hidden="1" ht="18.75" customFormat="1" customHeight="1" s="311"/>
    <row r="1982" hidden="1" ht="18.75" customFormat="1" customHeight="1" s="311"/>
    <row r="1983" hidden="1" ht="18.75" customFormat="1" customHeight="1" s="311"/>
    <row r="1984" hidden="1" ht="18.75" customFormat="1" customHeight="1" s="311"/>
    <row r="1985" hidden="1" ht="18.75" customFormat="1" customHeight="1" s="311"/>
    <row r="1986" hidden="1" ht="18.75" customFormat="1" customHeight="1" s="311"/>
    <row r="1987" hidden="1" ht="18.75" customFormat="1" customHeight="1" s="311"/>
    <row r="1988" hidden="1" ht="18.75" customFormat="1" customHeight="1" s="311"/>
    <row r="1989" hidden="1" ht="18.75" customFormat="1" customHeight="1" s="311"/>
    <row r="1990" hidden="1" ht="18.75" customFormat="1" customHeight="1" s="311"/>
    <row r="1991" hidden="1" ht="18.75" customFormat="1" customHeight="1" s="311"/>
    <row r="1992" hidden="1" ht="18.75" customFormat="1" customHeight="1" s="311"/>
    <row r="1993" hidden="1" ht="18.75" customFormat="1" customHeight="1" s="311"/>
    <row r="1994" hidden="1" ht="18.75" customFormat="1" customHeight="1" s="311"/>
    <row r="1995" hidden="1" ht="18.75" customFormat="1" customHeight="1" s="311"/>
    <row r="1996" hidden="1" ht="18.75" customFormat="1" customHeight="1" s="311"/>
    <row r="1997" hidden="1" ht="18.75" customFormat="1" customHeight="1" s="311"/>
    <row r="1998" hidden="1" ht="18.75" customFormat="1" customHeight="1" s="311"/>
    <row r="1999" hidden="1" ht="18.75" customFormat="1" customHeight="1" s="311"/>
    <row r="2000" hidden="1" ht="18.75" customFormat="1" customHeight="1" s="311"/>
    <row r="2001" hidden="1" ht="18.75" customFormat="1" customHeight="1" s="311"/>
    <row r="2002" hidden="1" ht="18.75" customFormat="1" customHeight="1" s="311"/>
    <row r="2003" hidden="1" ht="18.75" customFormat="1" customHeight="1" s="311"/>
    <row r="2004" hidden="1" ht="18.75" customFormat="1" customHeight="1" s="311"/>
    <row r="2005" hidden="1" ht="18.75" customFormat="1" customHeight="1" s="311"/>
    <row r="2006" hidden="1" ht="18.75" customFormat="1" customHeight="1" s="311"/>
    <row r="2007" hidden="1" ht="18.75" customFormat="1" customHeight="1" s="311"/>
    <row r="2008" hidden="1" ht="18.75" customFormat="1" customHeight="1" s="311"/>
    <row r="2009" hidden="1" ht="18.75" customFormat="1" customHeight="1" s="311"/>
    <row r="2010" hidden="1" ht="18.75" customFormat="1" customHeight="1" s="311"/>
    <row r="2011" hidden="1" ht="18.75" customFormat="1" customHeight="1" s="311"/>
    <row r="2012" hidden="1" ht="18.75" customFormat="1" customHeight="1" s="311"/>
    <row r="2013" hidden="1" ht="18.75" customFormat="1" customHeight="1" s="311"/>
    <row r="2014" hidden="1" ht="18.75" customFormat="1" customHeight="1" s="311"/>
    <row r="2015" hidden="1" ht="18.75" customFormat="1" customHeight="1" s="311"/>
    <row r="2016" hidden="1" ht="18.75" customFormat="1" customHeight="1" s="311"/>
    <row r="2017" hidden="1" ht="18.75" customFormat="1" customHeight="1" s="311"/>
    <row r="2018" hidden="1" ht="18.75" customFormat="1" customHeight="1" s="311"/>
    <row r="2019" hidden="1" ht="18.75" customFormat="1" customHeight="1" s="311"/>
    <row r="2020" hidden="1" ht="18.75" customFormat="1" customHeight="1" s="311"/>
    <row r="2021" hidden="1" ht="18.75" customFormat="1" customHeight="1" s="311"/>
    <row r="2022" hidden="1" ht="18.75" customFormat="1" customHeight="1" s="311"/>
    <row r="2023" hidden="1" ht="18.75" customFormat="1" customHeight="1" s="311"/>
    <row r="2024" hidden="1" ht="18.75" customFormat="1" customHeight="1" s="311"/>
    <row r="2025" hidden="1" ht="18.75" customFormat="1" customHeight="1" s="311"/>
    <row r="2026" hidden="1" ht="18.75" customFormat="1" customHeight="1" s="311"/>
    <row r="2027" hidden="1" ht="18.75" customFormat="1" customHeight="1" s="311"/>
    <row r="2028" hidden="1" ht="18.75" customFormat="1" customHeight="1" s="311"/>
    <row r="2029" hidden="1" ht="18.75" customFormat="1" customHeight="1" s="311"/>
    <row r="2030" hidden="1" ht="18.75" customFormat="1" customHeight="1" s="311"/>
    <row r="2031" hidden="1" ht="18.75" customFormat="1" customHeight="1" s="311"/>
    <row r="2032" hidden="1" ht="18.75" customFormat="1" customHeight="1" s="311"/>
    <row r="2033" hidden="1" ht="18.75" customFormat="1" customHeight="1" s="311"/>
    <row r="2034" hidden="1" ht="18.75" customFormat="1" customHeight="1" s="311"/>
    <row r="2035" hidden="1" ht="18.75" customFormat="1" customHeight="1" s="311"/>
    <row r="2036" hidden="1" ht="18.75" customFormat="1" customHeight="1" s="311"/>
    <row r="2037" hidden="1" ht="18.75" customFormat="1" customHeight="1" s="311"/>
    <row r="2038" hidden="1" ht="18.75" customFormat="1" customHeight="1" s="311"/>
    <row r="2039" hidden="1" ht="18.75" customFormat="1" customHeight="1" s="311"/>
    <row r="2040" hidden="1" ht="18.75" customFormat="1" customHeight="1" s="311"/>
    <row r="2041" hidden="1" ht="18.75" customFormat="1" customHeight="1" s="311"/>
    <row r="2042" hidden="1" ht="18.75" customFormat="1" customHeight="1" s="311"/>
    <row r="2043" hidden="1" ht="18.75" customFormat="1" customHeight="1" s="311"/>
    <row r="2044" hidden="1" ht="18.75" customFormat="1" customHeight="1" s="311"/>
    <row r="2045" hidden="1" ht="18.75" customFormat="1" customHeight="1" s="311"/>
    <row r="2046" hidden="1" ht="18.75" customFormat="1" customHeight="1" s="311"/>
    <row r="2047" hidden="1" ht="18.75" customFormat="1" customHeight="1" s="311"/>
    <row r="2048" hidden="1" ht="18.75" customFormat="1" customHeight="1" s="311"/>
    <row r="2049" hidden="1" ht="18.75" customFormat="1" customHeight="1" s="311"/>
    <row r="2050" hidden="1" ht="18.75" customFormat="1" customHeight="1" s="311"/>
    <row r="2051" hidden="1" ht="18.75" customFormat="1" customHeight="1" s="311"/>
    <row r="2052" hidden="1" ht="18.75" customFormat="1" customHeight="1" s="311"/>
    <row r="2053" hidden="1" ht="18.75" customFormat="1" customHeight="1" s="311"/>
    <row r="2054" hidden="1" ht="18.75" customFormat="1" customHeight="1" s="311"/>
    <row r="2055" hidden="1" ht="18.75" customFormat="1" customHeight="1" s="311"/>
    <row r="2056" hidden="1" ht="18.75" customFormat="1" customHeight="1" s="311"/>
    <row r="2057" hidden="1" ht="18.75" customFormat="1" customHeight="1" s="311"/>
    <row r="2058" hidden="1" ht="18.75" customFormat="1" customHeight="1" s="311"/>
    <row r="2059" hidden="1" ht="18.75" customFormat="1" customHeight="1" s="311"/>
    <row r="2060" hidden="1" ht="18.75" customFormat="1" customHeight="1" s="311"/>
    <row r="2061" hidden="1" ht="18.75" customFormat="1" customHeight="1" s="311"/>
    <row r="2062" hidden="1" ht="18.75" customFormat="1" customHeight="1" s="311"/>
    <row r="2063" hidden="1" ht="18.75" customFormat="1" customHeight="1" s="311"/>
    <row r="2064" hidden="1" ht="18.75" customFormat="1" customHeight="1" s="311"/>
    <row r="2065" hidden="1" ht="18.75" customFormat="1" customHeight="1" s="311"/>
    <row r="2066" hidden="1" ht="18.75" customFormat="1" customHeight="1" s="311"/>
    <row r="2067" hidden="1" ht="18.75" customFormat="1" customHeight="1" s="311"/>
    <row r="2068" hidden="1" ht="18.75" customFormat="1" customHeight="1" s="311"/>
    <row r="2069" hidden="1" ht="18.75" customFormat="1" customHeight="1" s="311"/>
    <row r="2070" hidden="1" ht="18.75" customFormat="1" customHeight="1" s="311"/>
    <row r="2071" hidden="1" ht="18.75" customFormat="1" customHeight="1" s="311"/>
    <row r="2072" hidden="1" ht="18.75" customFormat="1" customHeight="1" s="311"/>
    <row r="2073" hidden="1" ht="18.75" customFormat="1" customHeight="1" s="311"/>
    <row r="2074" hidden="1" ht="18.75" customFormat="1" customHeight="1" s="311"/>
    <row r="2075" hidden="1" ht="18.75" customFormat="1" customHeight="1" s="311"/>
    <row r="2076" hidden="1" ht="18.75" customFormat="1" customHeight="1" s="311"/>
    <row r="2077" hidden="1" ht="18.75" customFormat="1" customHeight="1" s="311"/>
    <row r="2078" hidden="1" ht="18.75" customFormat="1" customHeight="1" s="311"/>
    <row r="2079" hidden="1" ht="18.75" customFormat="1" customHeight="1" s="311"/>
    <row r="2080" hidden="1" ht="18.75" customFormat="1" customHeight="1" s="311"/>
    <row r="2081" hidden="1" ht="18.75" customFormat="1" customHeight="1" s="311"/>
    <row r="2082" hidden="1" ht="18.75" customFormat="1" customHeight="1" s="311"/>
    <row r="2083" hidden="1" ht="18.75" customFormat="1" customHeight="1" s="311"/>
    <row r="2084" hidden="1" ht="18.75" customFormat="1" customHeight="1" s="311"/>
    <row r="2085" hidden="1" ht="18.75" customFormat="1" customHeight="1" s="311"/>
    <row r="2086" hidden="1" ht="18.75" customFormat="1" customHeight="1" s="311"/>
    <row r="2087" hidden="1" ht="18.75" customFormat="1" customHeight="1" s="311"/>
    <row r="2088" hidden="1" ht="18.75" customFormat="1" customHeight="1" s="311"/>
    <row r="2089" hidden="1" ht="18.75" customFormat="1" customHeight="1" s="311"/>
    <row r="2090" hidden="1" ht="18.75" customFormat="1" customHeight="1" s="311"/>
    <row r="2091" hidden="1" ht="18.75" customFormat="1" customHeight="1" s="311"/>
    <row r="2092" hidden="1" ht="18.75" customFormat="1" customHeight="1" s="311"/>
    <row r="2093" hidden="1" ht="18.75" customFormat="1" customHeight="1" s="311"/>
    <row r="2094" hidden="1" ht="18.75" customFormat="1" customHeight="1" s="311"/>
    <row r="2095" hidden="1" ht="18.75" customFormat="1" customHeight="1" s="311"/>
    <row r="2096" hidden="1" ht="18.75" customFormat="1" customHeight="1" s="311"/>
    <row r="2097" hidden="1" ht="18.75" customFormat="1" customHeight="1" s="311"/>
    <row r="2098" hidden="1" ht="18.75" customFormat="1" customHeight="1" s="311"/>
    <row r="2099" hidden="1" ht="18.75" customFormat="1" customHeight="1" s="311"/>
    <row r="2100" hidden="1" ht="18.75" customFormat="1" customHeight="1" s="311"/>
    <row r="2101" hidden="1" ht="18.75" customFormat="1" customHeight="1" s="311"/>
    <row r="2102" hidden="1" ht="18.75" customFormat="1" customHeight="1" s="311"/>
    <row r="2103" hidden="1" ht="18.75" customFormat="1" customHeight="1" s="311"/>
    <row r="2104" hidden="1" ht="18.75" customFormat="1" customHeight="1" s="311"/>
    <row r="2105" hidden="1" ht="18.75" customFormat="1" customHeight="1" s="311"/>
    <row r="2106" hidden="1" ht="18.75" customFormat="1" customHeight="1" s="311"/>
    <row r="2107" hidden="1" ht="18.75" customFormat="1" customHeight="1" s="311"/>
    <row r="2108" hidden="1" ht="18.75" customFormat="1" customHeight="1" s="311"/>
    <row r="2109" hidden="1" ht="18.75" customFormat="1" customHeight="1" s="311"/>
    <row r="2110" hidden="1" ht="18.75" customFormat="1" customHeight="1" s="311"/>
    <row r="2111" hidden="1" ht="18.75" customFormat="1" customHeight="1" s="311"/>
    <row r="2112" hidden="1" ht="18.75" customFormat="1" customHeight="1" s="311"/>
    <row r="2113" hidden="1" ht="18.75" customFormat="1" customHeight="1" s="311"/>
    <row r="2114" hidden="1" ht="18.75" customFormat="1" customHeight="1" s="311"/>
    <row r="2115" hidden="1" ht="18.75" customFormat="1" customHeight="1" s="311"/>
    <row r="2116" hidden="1" ht="18.75" customFormat="1" customHeight="1" s="311"/>
    <row r="2117" hidden="1" ht="18.75" customFormat="1" customHeight="1" s="311"/>
    <row r="2118" hidden="1" ht="18.75" customFormat="1" customHeight="1" s="311"/>
    <row r="2119" hidden="1" ht="18.75" customFormat="1" customHeight="1" s="311"/>
    <row r="2120" hidden="1" ht="18.75" customFormat="1" customHeight="1" s="311"/>
    <row r="2121" hidden="1" ht="18.75" customFormat="1" customHeight="1" s="311"/>
    <row r="2122" hidden="1" ht="18.75" customFormat="1" customHeight="1" s="311"/>
    <row r="2123" hidden="1" ht="18.75" customFormat="1" customHeight="1" s="311"/>
    <row r="2124" hidden="1" ht="18.75" customFormat="1" customHeight="1" s="311"/>
    <row r="2125" hidden="1" ht="18.75" customFormat="1" customHeight="1" s="311"/>
    <row r="2126" hidden="1" ht="18.75" customFormat="1" customHeight="1" s="311"/>
    <row r="2127" hidden="1" ht="18.75" customFormat="1" customHeight="1" s="311"/>
    <row r="2128" hidden="1" ht="18.75" customFormat="1" customHeight="1" s="311"/>
    <row r="2129" hidden="1" ht="18.75" customFormat="1" customHeight="1" s="311"/>
    <row r="2130" hidden="1" ht="18.75" customFormat="1" customHeight="1" s="311"/>
    <row r="2131" hidden="1" ht="18.75" customFormat="1" customHeight="1" s="311"/>
    <row r="2132" hidden="1" ht="18.75" customFormat="1" customHeight="1" s="311"/>
    <row r="2133" hidden="1" ht="18.75" customFormat="1" customHeight="1" s="311"/>
    <row r="2134" hidden="1" ht="18.75" customFormat="1" customHeight="1" s="311"/>
    <row r="2135" hidden="1" ht="18.75" customFormat="1" customHeight="1" s="311"/>
    <row r="2136" hidden="1" ht="18.75" customFormat="1" customHeight="1" s="311"/>
    <row r="2137" hidden="1" ht="18.75" customFormat="1" customHeight="1" s="311"/>
    <row r="2138" hidden="1" ht="18.75" customFormat="1" customHeight="1" s="311"/>
    <row r="2139" hidden="1" ht="18.75" customFormat="1" customHeight="1" s="311"/>
    <row r="2140" hidden="1" ht="18.75" customFormat="1" customHeight="1" s="311"/>
    <row r="2141" hidden="1" ht="18.75" customFormat="1" customHeight="1" s="311"/>
    <row r="2142" hidden="1" ht="18.75" customFormat="1" customHeight="1" s="311"/>
    <row r="2143" hidden="1" ht="18.75" customFormat="1" customHeight="1" s="311"/>
    <row r="2144" hidden="1" ht="18.75" customFormat="1" customHeight="1" s="311"/>
    <row r="2145" hidden="1" ht="18.75" customFormat="1" customHeight="1" s="311"/>
    <row r="2146" hidden="1" ht="18.75" customFormat="1" customHeight="1" s="311"/>
    <row r="2147" hidden="1" ht="18.75" customFormat="1" customHeight="1" s="311"/>
    <row r="2148" hidden="1" ht="18.75" customFormat="1" customHeight="1" s="311"/>
    <row r="2149" hidden="1" ht="18.75" customFormat="1" customHeight="1" s="311"/>
    <row r="2150" hidden="1" ht="18.75" customFormat="1" customHeight="1" s="311"/>
    <row r="2151" hidden="1" ht="18.75" customFormat="1" customHeight="1" s="311"/>
    <row r="2152" hidden="1" ht="18.75" customFormat="1" customHeight="1" s="311"/>
    <row r="2153" hidden="1" ht="18.75" customFormat="1" customHeight="1" s="311"/>
    <row r="2154" hidden="1" ht="18.75" customFormat="1" customHeight="1" s="311"/>
    <row r="2155" hidden="1" ht="18.75" customFormat="1" customHeight="1" s="311"/>
    <row r="2156" hidden="1" ht="18.75" customFormat="1" customHeight="1" s="311"/>
    <row r="2157" hidden="1" ht="18.75" customFormat="1" customHeight="1" s="311"/>
    <row r="2158" hidden="1" ht="18.75" customFormat="1" customHeight="1" s="311"/>
    <row r="2159" hidden="1" ht="18.75" customFormat="1" customHeight="1" s="311"/>
    <row r="2160" hidden="1" ht="18.75" customFormat="1" customHeight="1" s="311"/>
    <row r="2161" hidden="1" ht="18.75" customFormat="1" customHeight="1" s="311"/>
    <row r="2162" hidden="1" ht="18.75" customFormat="1" customHeight="1" s="311"/>
    <row r="2163" hidden="1" ht="18.75" customFormat="1" customHeight="1" s="311"/>
    <row r="2164" hidden="1" ht="18.75" customFormat="1" customHeight="1" s="311"/>
    <row r="2165" hidden="1" ht="18.75" customFormat="1" customHeight="1" s="311"/>
    <row r="2166" hidden="1" ht="18.75" customFormat="1" customHeight="1" s="311"/>
    <row r="2167" hidden="1" ht="18.75" customFormat="1" customHeight="1" s="311"/>
    <row r="2168" hidden="1" ht="18.75" customFormat="1" customHeight="1" s="311"/>
    <row r="2169" hidden="1" ht="18.75" customFormat="1" customHeight="1" s="311"/>
    <row r="2170" hidden="1" ht="18.75" customFormat="1" customHeight="1" s="311"/>
    <row r="2171" hidden="1" ht="18.75" customFormat="1" customHeight="1" s="311"/>
    <row r="2172" hidden="1" ht="18.75" customFormat="1" customHeight="1" s="311"/>
    <row r="2173" hidden="1" ht="18.75" customFormat="1" customHeight="1" s="311"/>
    <row r="2174" hidden="1" ht="18.75" customFormat="1" customHeight="1" s="311"/>
    <row r="2175" hidden="1" ht="18.75" customFormat="1" customHeight="1" s="311"/>
    <row r="2176" hidden="1" ht="18.75" customFormat="1" customHeight="1" s="311"/>
    <row r="2177" hidden="1" ht="18.75" customFormat="1" customHeight="1" s="311"/>
    <row r="2178" hidden="1" ht="18.75" customFormat="1" customHeight="1" s="311"/>
    <row r="2179" hidden="1" ht="18.75" customFormat="1" customHeight="1" s="311"/>
    <row r="2180" hidden="1" ht="18.75" customFormat="1" customHeight="1" s="311"/>
    <row r="2181" hidden="1" ht="18.75" customFormat="1" customHeight="1" s="311"/>
    <row r="2182" hidden="1" ht="18.75" customFormat="1" customHeight="1" s="311"/>
    <row r="2183" hidden="1" ht="18.75" customFormat="1" customHeight="1" s="311"/>
    <row r="2184" hidden="1" ht="18.75" customFormat="1" customHeight="1" s="311"/>
    <row r="2185" hidden="1" ht="18.75" customFormat="1" customHeight="1" s="311"/>
    <row r="2186" hidden="1" ht="18.75" customFormat="1" customHeight="1" s="311"/>
    <row r="2187" hidden="1" ht="18.75" customFormat="1" customHeight="1" s="311"/>
    <row r="2188" hidden="1" ht="18.75" customFormat="1" customHeight="1" s="311"/>
    <row r="2189" hidden="1" ht="18.75" customFormat="1" customHeight="1" s="311"/>
    <row r="2190" hidden="1" ht="18.75" customFormat="1" customHeight="1" s="311"/>
    <row r="2191" hidden="1" ht="18.75" customFormat="1" customHeight="1" s="311"/>
    <row r="2192" hidden="1" ht="18.75" customFormat="1" customHeight="1" s="311"/>
    <row r="2193" hidden="1" ht="18.75" customFormat="1" customHeight="1" s="311"/>
    <row r="2194" hidden="1" ht="18.75" customFormat="1" customHeight="1" s="311"/>
    <row r="2195" hidden="1" ht="18.75" customFormat="1" customHeight="1" s="311"/>
    <row r="2196" hidden="1" ht="18.75" customFormat="1" customHeight="1" s="311"/>
    <row r="2197" hidden="1" ht="18.75" customFormat="1" customHeight="1" s="311"/>
    <row r="2198" hidden="1" ht="18.75" customFormat="1" customHeight="1" s="311"/>
    <row r="2199" hidden="1" ht="18.75" customFormat="1" customHeight="1" s="311"/>
    <row r="2200" hidden="1" ht="18.75" customFormat="1" customHeight="1" s="311"/>
    <row r="2201" hidden="1" ht="18.75" customFormat="1" customHeight="1" s="311"/>
    <row r="2202" hidden="1" ht="18.75" customFormat="1" customHeight="1" s="311"/>
    <row r="2203" hidden="1" ht="18.75" customFormat="1" customHeight="1" s="311"/>
    <row r="2204" hidden="1" ht="18.75" customFormat="1" customHeight="1" s="311"/>
    <row r="2205" hidden="1" ht="18.75" customFormat="1" customHeight="1" s="311"/>
    <row r="2206" hidden="1" ht="18.75" customFormat="1" customHeight="1" s="311"/>
    <row r="2207" hidden="1" ht="18.75" customFormat="1" customHeight="1" s="311"/>
    <row r="2208" hidden="1" ht="18.75" customFormat="1" customHeight="1" s="311"/>
    <row r="2209" hidden="1" ht="18.75" customFormat="1" customHeight="1" s="311"/>
    <row r="2210" hidden="1" ht="18.75" customFormat="1" customHeight="1" s="311"/>
    <row r="2211" hidden="1" ht="18.75" customFormat="1" customHeight="1" s="311"/>
    <row r="2212" hidden="1" ht="18.75" customFormat="1" customHeight="1" s="311"/>
    <row r="2213" hidden="1" ht="18.75" customFormat="1" customHeight="1" s="311"/>
    <row r="2214" hidden="1" ht="18.75" customFormat="1" customHeight="1" s="311"/>
    <row r="2215" hidden="1" ht="18.75" customFormat="1" customHeight="1" s="311"/>
    <row r="2216" hidden="1" ht="18.75" customFormat="1" customHeight="1" s="311"/>
    <row r="2217" hidden="1" ht="18.75" customFormat="1" customHeight="1" s="311"/>
    <row r="2218" hidden="1" ht="18.75" customFormat="1" customHeight="1" s="311"/>
    <row r="2219" hidden="1" ht="18.75" customFormat="1" customHeight="1" s="311"/>
    <row r="2220" hidden="1" ht="18.75" customFormat="1" customHeight="1" s="311"/>
    <row r="2221" hidden="1" ht="18.75" customFormat="1" customHeight="1" s="311"/>
    <row r="2222" hidden="1" ht="18.75" customFormat="1" customHeight="1" s="311"/>
    <row r="2223" hidden="1" ht="18.75" customFormat="1" customHeight="1" s="311"/>
    <row r="2224" hidden="1" ht="18.75" customFormat="1" customHeight="1" s="311"/>
    <row r="2225" hidden="1" ht="18.75" customFormat="1" customHeight="1" s="311"/>
    <row r="2226" hidden="1" ht="18.75" customFormat="1" customHeight="1" s="311"/>
    <row r="2227" hidden="1" ht="18.75" customFormat="1" customHeight="1" s="311"/>
    <row r="2228" hidden="1" ht="18.75" customFormat="1" customHeight="1" s="311"/>
    <row r="2229" hidden="1" ht="18.75" customFormat="1" customHeight="1" s="311"/>
    <row r="2230" hidden="1" ht="18.75" customFormat="1" customHeight="1" s="311"/>
    <row r="2231" hidden="1" ht="18.75" customFormat="1" customHeight="1" s="311"/>
    <row r="2232" hidden="1" ht="18.75" customFormat="1" customHeight="1" s="311"/>
    <row r="2233" hidden="1" ht="18.75" customFormat="1" customHeight="1" s="311"/>
    <row r="2234" hidden="1" ht="18.75" customFormat="1" customHeight="1" s="311"/>
    <row r="2235" hidden="1" ht="18.75" customFormat="1" customHeight="1" s="311"/>
    <row r="2236" hidden="1" ht="18.75" customFormat="1" customHeight="1" s="311"/>
    <row r="2237" hidden="1" ht="18.75" customFormat="1" customHeight="1" s="311"/>
    <row r="2238" hidden="1" ht="18.75" customFormat="1" customHeight="1" s="311"/>
    <row r="2239" hidden="1" ht="18.75" customFormat="1" customHeight="1" s="311"/>
    <row r="2240" hidden="1" ht="18.75" customFormat="1" customHeight="1" s="311"/>
    <row r="2241" hidden="1" ht="18.75" customFormat="1" customHeight="1" s="311"/>
    <row r="2242" hidden="1" ht="18.75" customFormat="1" customHeight="1" s="311"/>
    <row r="2243" hidden="1" ht="18.75" customFormat="1" customHeight="1" s="311"/>
    <row r="2244" hidden="1" ht="18.75" customFormat="1" customHeight="1" s="311"/>
    <row r="2245" hidden="1" ht="18.75" customFormat="1" customHeight="1" s="311"/>
    <row r="2246" hidden="1" ht="18.75" customFormat="1" customHeight="1" s="311"/>
    <row r="2247" hidden="1" ht="18.75" customFormat="1" customHeight="1" s="311"/>
    <row r="2248" hidden="1" ht="18.75" customFormat="1" customHeight="1" s="311"/>
    <row r="2249" hidden="1" ht="18.75" customFormat="1" customHeight="1" s="311"/>
    <row r="2250" hidden="1" ht="18.75" customFormat="1" customHeight="1" s="311"/>
    <row r="2251" hidden="1" ht="18.75" customFormat="1" customHeight="1" s="311"/>
    <row r="2252" hidden="1" ht="18.75" customFormat="1" customHeight="1" s="311"/>
    <row r="2253" hidden="1" ht="18.75" customFormat="1" customHeight="1" s="311"/>
    <row r="2254" hidden="1" ht="18.75" customFormat="1" customHeight="1" s="311"/>
    <row r="2255" hidden="1" ht="18.75" customFormat="1" customHeight="1" s="311"/>
    <row r="2256" hidden="1" ht="18.75" customFormat="1" customHeight="1" s="311"/>
    <row r="2257" hidden="1" ht="18.75" customFormat="1" customHeight="1" s="311"/>
    <row r="2258" hidden="1" ht="18.75" customFormat="1" customHeight="1" s="311"/>
    <row r="2259" hidden="1" ht="18.75" customFormat="1" customHeight="1" s="311"/>
    <row r="2260" hidden="1" ht="18.75" customFormat="1" customHeight="1" s="311"/>
    <row r="2261" hidden="1" ht="18.75" customFormat="1" customHeight="1" s="311"/>
    <row r="2262" hidden="1" ht="18.75" customFormat="1" customHeight="1" s="311"/>
    <row r="2263" hidden="1" ht="18.75" customFormat="1" customHeight="1" s="311"/>
    <row r="2264" hidden="1" ht="18.75" customFormat="1" customHeight="1" s="311"/>
    <row r="2265" hidden="1" ht="18.75" customFormat="1" customHeight="1" s="311"/>
    <row r="2266" hidden="1" ht="18.75" customFormat="1" customHeight="1" s="311"/>
    <row r="2267" hidden="1" ht="18.75" customFormat="1" customHeight="1" s="311"/>
    <row r="2268" hidden="1" ht="18.75" customFormat="1" customHeight="1" s="311"/>
    <row r="2269" hidden="1" ht="18.75" customFormat="1" customHeight="1" s="311"/>
    <row r="2270" hidden="1" ht="18.75" customFormat="1" customHeight="1" s="311"/>
    <row r="2271" hidden="1" ht="18.75" customFormat="1" customHeight="1" s="311"/>
    <row r="2272" hidden="1" ht="18.75" customFormat="1" customHeight="1" s="311"/>
    <row r="2273" hidden="1" ht="18.75" customFormat="1" customHeight="1" s="311"/>
    <row r="2274" hidden="1" ht="18.75" customFormat="1" customHeight="1" s="311"/>
    <row r="2275" hidden="1" ht="18.75" customFormat="1" customHeight="1" s="311"/>
    <row r="2276" hidden="1" ht="18.75" customFormat="1" customHeight="1" s="311"/>
    <row r="2277" hidden="1" ht="18.75" customFormat="1" customHeight="1" s="311"/>
    <row r="2278" hidden="1" ht="18.75" customFormat="1" customHeight="1" s="311"/>
    <row r="2279" hidden="1" ht="18.75" customFormat="1" customHeight="1" s="311"/>
    <row r="2280" hidden="1" ht="18.75" customFormat="1" customHeight="1" s="311"/>
    <row r="2281" hidden="1" ht="18.75" customFormat="1" customHeight="1" s="311"/>
    <row r="2282" hidden="1" ht="18.75" customFormat="1" customHeight="1" s="311"/>
    <row r="2283" hidden="1" ht="18.75" customFormat="1" customHeight="1" s="311"/>
    <row r="2284" hidden="1" ht="18.75" customFormat="1" customHeight="1" s="311"/>
    <row r="2285" hidden="1" ht="18.75" customFormat="1" customHeight="1" s="311"/>
    <row r="2286" hidden="1" ht="18.75" customFormat="1" customHeight="1" s="311"/>
    <row r="2287" hidden="1" ht="18.75" customFormat="1" customHeight="1" s="311"/>
    <row r="2288" hidden="1" ht="18.75" customFormat="1" customHeight="1" s="311"/>
    <row r="2289" hidden="1" ht="18.75" customFormat="1" customHeight="1" s="311"/>
    <row r="2290" hidden="1" ht="18.75" customFormat="1" customHeight="1" s="311"/>
    <row r="2291" hidden="1" ht="18.75" customFormat="1" customHeight="1" s="311"/>
    <row r="2292" hidden="1" ht="18.75" customFormat="1" customHeight="1" s="311"/>
    <row r="2293" hidden="1" ht="18.75" customFormat="1" customHeight="1" s="311"/>
    <row r="2294" hidden="1" ht="18.75" customFormat="1" customHeight="1" s="311"/>
    <row r="2295" hidden="1" ht="18.75" customFormat="1" customHeight="1" s="311"/>
    <row r="2296" hidden="1" ht="18.75" customFormat="1" customHeight="1" s="311"/>
    <row r="2297" hidden="1" ht="18.75" customFormat="1" customHeight="1" s="311"/>
    <row r="2298" hidden="1" ht="18.75" customFormat="1" customHeight="1" s="311"/>
    <row r="2299" hidden="1" ht="18.75" customFormat="1" customHeight="1" s="311"/>
    <row r="2300" hidden="1" ht="18.75" customFormat="1" customHeight="1" s="311"/>
    <row r="2301" hidden="1" ht="18.75" customFormat="1" customHeight="1" s="311"/>
    <row r="2302" hidden="1" ht="18.75" customFormat="1" customHeight="1" s="311"/>
    <row r="2303" hidden="1" ht="18.75" customFormat="1" customHeight="1" s="311"/>
    <row r="2304" hidden="1" ht="18.75" customFormat="1" customHeight="1" s="311"/>
    <row r="2305" hidden="1" ht="18.75" customFormat="1" customHeight="1" s="311"/>
    <row r="2306" hidden="1" ht="18.75" customFormat="1" customHeight="1" s="311"/>
    <row r="2307" hidden="1" ht="18.75" customFormat="1" customHeight="1" s="311"/>
    <row r="2308" hidden="1" ht="18.75" customFormat="1" customHeight="1" s="311"/>
    <row r="2309" hidden="1" ht="18.75" customFormat="1" customHeight="1" s="311"/>
    <row r="2310" hidden="1" ht="18.75" customFormat="1" customHeight="1" s="311"/>
    <row r="2311" hidden="1" ht="18.75" customFormat="1" customHeight="1" s="311"/>
    <row r="2312" hidden="1" ht="18.75" customFormat="1" customHeight="1" s="311"/>
    <row r="2313" hidden="1" ht="18.75" customFormat="1" customHeight="1" s="311"/>
    <row r="2314" hidden="1" ht="18.75" customFormat="1" customHeight="1" s="311"/>
    <row r="2315" hidden="1" ht="18.75" customFormat="1" customHeight="1" s="311"/>
    <row r="2316" hidden="1" ht="18.75" customFormat="1" customHeight="1" s="311"/>
    <row r="2317" hidden="1" ht="18.75" customFormat="1" customHeight="1" s="311"/>
    <row r="2318" hidden="1" ht="18.75" customFormat="1" customHeight="1" s="311"/>
    <row r="2319" hidden="1" ht="18.75" customFormat="1" customHeight="1" s="311"/>
    <row r="2320" hidden="1" ht="18.75" customFormat="1" customHeight="1" s="311"/>
    <row r="2321" hidden="1" ht="18.75" customFormat="1" customHeight="1" s="311"/>
    <row r="2322" hidden="1" ht="18.75" customFormat="1" customHeight="1" s="311"/>
    <row r="2323" hidden="1" ht="18.75" customFormat="1" customHeight="1" s="311"/>
    <row r="2324" hidden="1" ht="18.75" customFormat="1" customHeight="1" s="311"/>
    <row r="2325" hidden="1" ht="18.75" customFormat="1" customHeight="1" s="311"/>
    <row r="2326" hidden="1" ht="18.75" customFormat="1" customHeight="1" s="311"/>
    <row r="2327" hidden="1" ht="18.75" customFormat="1" customHeight="1" s="311"/>
    <row r="2328" hidden="1" ht="18.75" customFormat="1" customHeight="1" s="311"/>
    <row r="2329" hidden="1" ht="18.75" customFormat="1" customHeight="1" s="311"/>
    <row r="2330" hidden="1" ht="18.75" customFormat="1" customHeight="1" s="311"/>
    <row r="2331" hidden="1" ht="18.75" customFormat="1" customHeight="1" s="311"/>
    <row r="2332" hidden="1" ht="18.75" customFormat="1" customHeight="1" s="311"/>
    <row r="2333" hidden="1" ht="18.75" customFormat="1" customHeight="1" s="311"/>
    <row r="2334" hidden="1" ht="18.75" customFormat="1" customHeight="1" s="311"/>
    <row r="2335" hidden="1" ht="18.75" customFormat="1" customHeight="1" s="311"/>
    <row r="2336" hidden="1" ht="18.75" customFormat="1" customHeight="1" s="311"/>
    <row r="2337" hidden="1" ht="18.75" customFormat="1" customHeight="1" s="311"/>
    <row r="2338" hidden="1" ht="18.75" customFormat="1" customHeight="1" s="311"/>
    <row r="2339" hidden="1" ht="18.75" customFormat="1" customHeight="1" s="311"/>
    <row r="2340" hidden="1" ht="18.75" customFormat="1" customHeight="1" s="311"/>
    <row r="2341" hidden="1" ht="18.75" customFormat="1" customHeight="1" s="311"/>
    <row r="2342" hidden="1" ht="18.75" customFormat="1" customHeight="1" s="311"/>
    <row r="2343" hidden="1" ht="18.75" customFormat="1" customHeight="1" s="311"/>
    <row r="2344" hidden="1" ht="18.75" customFormat="1" customHeight="1" s="311"/>
    <row r="2345" hidden="1" ht="18.75" customFormat="1" customHeight="1" s="311"/>
    <row r="2346" hidden="1" ht="18.75" customFormat="1" customHeight="1" s="311"/>
    <row r="2347" hidden="1" ht="18.75" customFormat="1" customHeight="1" s="311"/>
    <row r="2348" hidden="1" ht="18.75" customFormat="1" customHeight="1" s="311"/>
    <row r="2349" hidden="1" ht="18.75" customFormat="1" customHeight="1" s="311"/>
    <row r="2350" hidden="1" ht="18.75" customFormat="1" customHeight="1" s="311"/>
    <row r="2351" hidden="1" ht="18.75" customFormat="1" customHeight="1" s="311"/>
    <row r="2352" hidden="1" ht="18.75" customFormat="1" customHeight="1" s="311"/>
    <row r="2353" hidden="1" ht="18.75" customFormat="1" customHeight="1" s="311"/>
    <row r="2354" hidden="1" ht="18.75" customFormat="1" customHeight="1" s="311"/>
    <row r="2355" hidden="1" ht="18.75" customFormat="1" customHeight="1" s="311"/>
    <row r="2356" hidden="1" ht="18.75" customFormat="1" customHeight="1" s="311"/>
    <row r="2357" hidden="1" ht="18.75" customFormat="1" customHeight="1" s="311"/>
    <row r="2358" hidden="1" ht="18.75" customFormat="1" customHeight="1" s="311"/>
    <row r="2359" hidden="1" ht="18.75" customFormat="1" customHeight="1" s="311"/>
    <row r="2360" hidden="1" ht="18.75" customFormat="1" customHeight="1" s="311"/>
    <row r="2361" hidden="1" ht="18.75" customFormat="1" customHeight="1" s="311"/>
    <row r="2362" hidden="1" ht="18.75" customFormat="1" customHeight="1" s="311"/>
    <row r="2363" hidden="1" ht="18.75" customFormat="1" customHeight="1" s="311"/>
    <row r="2364" hidden="1" ht="18.75" customFormat="1" customHeight="1" s="311"/>
    <row r="2365" hidden="1" ht="18.75" customFormat="1" customHeight="1" s="311"/>
    <row r="2366" hidden="1" ht="18.75" customFormat="1" customHeight="1" s="311"/>
    <row r="2367" hidden="1" ht="18.75" customFormat="1" customHeight="1" s="311"/>
    <row r="2368" hidden="1" ht="18.75" customFormat="1" customHeight="1" s="311"/>
    <row r="2369" hidden="1" ht="18.75" customFormat="1" customHeight="1" s="311"/>
    <row r="2370" hidden="1" ht="18.75" customFormat="1" customHeight="1" s="311"/>
    <row r="2371" hidden="1" ht="18.75" customFormat="1" customHeight="1" s="311"/>
    <row r="2372" hidden="1" ht="18.75" customFormat="1" customHeight="1" s="311"/>
    <row r="2373" hidden="1" ht="18.75" customFormat="1" customHeight="1" s="311"/>
    <row r="2374" hidden="1" ht="18.75" customFormat="1" customHeight="1" s="311"/>
    <row r="2375" hidden="1" ht="18.75" customFormat="1" customHeight="1" s="311"/>
    <row r="2376" hidden="1" ht="18.75" customFormat="1" customHeight="1" s="311"/>
    <row r="2377" hidden="1" ht="18.75" customFormat="1" customHeight="1" s="311"/>
    <row r="2378" hidden="1" ht="18.75" customFormat="1" customHeight="1" s="311"/>
    <row r="2379" hidden="1" ht="18.75" customFormat="1" customHeight="1" s="311"/>
    <row r="2380" hidden="1" ht="18.75" customFormat="1" customHeight="1" s="311"/>
    <row r="2381" hidden="1" ht="18.75" customFormat="1" customHeight="1" s="311"/>
    <row r="2382" hidden="1" ht="18.75" customFormat="1" customHeight="1" s="311"/>
    <row r="2383" hidden="1" ht="18.75" customFormat="1" customHeight="1" s="311"/>
    <row r="2384" hidden="1" ht="18.75" customFormat="1" customHeight="1" s="311"/>
    <row r="2385" hidden="1" ht="18.75" customFormat="1" customHeight="1" s="311"/>
    <row r="2386" hidden="1" ht="18.75" customFormat="1" customHeight="1" s="311"/>
    <row r="2387" hidden="1" ht="18.75" customFormat="1" customHeight="1" s="311"/>
    <row r="2388" hidden="1" ht="18.75" customFormat="1" customHeight="1" s="311"/>
    <row r="2389" hidden="1" ht="18.75" customFormat="1" customHeight="1" s="311"/>
    <row r="2390" hidden="1" ht="18.75" customFormat="1" customHeight="1" s="311"/>
    <row r="2391" hidden="1" ht="18.75" customFormat="1" customHeight="1" s="311"/>
    <row r="2392" hidden="1" ht="18.75" customFormat="1" customHeight="1" s="311"/>
    <row r="2393" hidden="1" ht="18.75" customFormat="1" customHeight="1" s="311"/>
    <row r="2394" hidden="1" ht="18.75" customFormat="1" customHeight="1" s="311"/>
    <row r="2395" hidden="1" ht="18.75" customFormat="1" customHeight="1" s="311"/>
    <row r="2396" hidden="1" ht="18.75" customFormat="1" customHeight="1" s="311"/>
    <row r="2397" hidden="1" ht="18.75" customFormat="1" customHeight="1" s="311"/>
    <row r="2398" hidden="1" ht="18.75" customFormat="1" customHeight="1" s="311"/>
    <row r="2399" hidden="1" ht="18.75" customFormat="1" customHeight="1" s="311"/>
    <row r="2400" hidden="1" ht="18.75" customFormat="1" customHeight="1" s="311"/>
    <row r="2401" hidden="1" ht="18.75" customFormat="1" customHeight="1" s="311"/>
    <row r="2402" hidden="1" ht="18.75" customFormat="1" customHeight="1" s="311"/>
    <row r="2403" hidden="1" ht="18.75" customFormat="1" customHeight="1" s="311"/>
    <row r="2404" hidden="1" ht="18.75" customFormat="1" customHeight="1" s="311"/>
    <row r="2405" hidden="1" ht="18.75" customFormat="1" customHeight="1" s="311"/>
    <row r="2406" hidden="1" ht="18.75" customFormat="1" customHeight="1" s="311"/>
    <row r="2407" hidden="1" ht="18.75" customFormat="1" customHeight="1" s="311"/>
    <row r="2408" hidden="1" ht="18.75" customFormat="1" customHeight="1" s="311"/>
    <row r="2409" hidden="1" ht="18.75" customFormat="1" customHeight="1" s="311"/>
    <row r="2410" hidden="1" ht="18.75" customFormat="1" customHeight="1" s="311"/>
    <row r="2411" hidden="1" ht="18.75" customFormat="1" customHeight="1" s="311"/>
    <row r="2412" hidden="1" ht="18.75" customFormat="1" customHeight="1" s="311"/>
    <row r="2413" hidden="1" ht="18.75" customFormat="1" customHeight="1" s="311"/>
    <row r="2414" hidden="1" ht="18.75" customFormat="1" customHeight="1" s="311"/>
    <row r="2415" hidden="1" ht="18.75" customFormat="1" customHeight="1" s="311"/>
    <row r="2416" hidden="1" ht="18.75" customFormat="1" customHeight="1" s="311"/>
    <row r="2417" hidden="1" ht="18.75" customFormat="1" customHeight="1" s="311"/>
    <row r="2418" hidden="1" ht="18.75" customFormat="1" customHeight="1" s="311"/>
    <row r="2419" hidden="1" ht="18.75" customFormat="1" customHeight="1" s="311"/>
    <row r="2420" hidden="1" ht="18.75" customFormat="1" customHeight="1" s="311"/>
    <row r="2421" hidden="1" ht="18.75" customFormat="1" customHeight="1" s="311"/>
    <row r="2422" hidden="1" ht="18.75" customFormat="1" customHeight="1" s="311"/>
    <row r="2423" hidden="1" ht="18.75" customFormat="1" customHeight="1" s="311"/>
    <row r="2424" hidden="1" ht="18.75" customFormat="1" customHeight="1" s="311"/>
    <row r="2425" hidden="1" ht="18.75" customFormat="1" customHeight="1" s="311"/>
    <row r="2426" hidden="1" ht="18.75" customFormat="1" customHeight="1" s="311"/>
    <row r="2427" hidden="1" ht="18.75" customFormat="1" customHeight="1" s="311"/>
    <row r="2428" hidden="1" ht="18.75" customFormat="1" customHeight="1" s="311"/>
    <row r="2429" hidden="1" ht="18.75" customFormat="1" customHeight="1" s="311"/>
    <row r="2430" hidden="1" ht="18.75" customFormat="1" customHeight="1" s="311"/>
    <row r="2431" hidden="1" ht="18.75" customFormat="1" customHeight="1" s="311"/>
    <row r="2432" hidden="1" ht="18.75" customFormat="1" customHeight="1" s="311"/>
    <row r="2433" hidden="1" ht="18.75" customFormat="1" customHeight="1" s="311"/>
    <row r="2434" hidden="1" ht="18.75" customFormat="1" customHeight="1" s="311"/>
    <row r="2435" hidden="1" ht="18.75" customFormat="1" customHeight="1" s="311"/>
    <row r="2436" hidden="1" ht="18.75" customFormat="1" customHeight="1" s="311"/>
    <row r="2437" hidden="1" ht="18.75" customFormat="1" customHeight="1" s="311"/>
    <row r="2438" hidden="1" ht="18.75" customFormat="1" customHeight="1" s="311"/>
    <row r="2439" hidden="1" ht="18.75" customFormat="1" customHeight="1" s="311"/>
    <row r="2440" hidden="1" ht="18.75" customFormat="1" customHeight="1" s="311"/>
    <row r="2441" hidden="1" ht="18.75" customFormat="1" customHeight="1" s="311"/>
    <row r="2442" hidden="1" ht="18.75" customFormat="1" customHeight="1" s="311"/>
    <row r="2443" hidden="1" ht="18.75" customFormat="1" customHeight="1" s="311"/>
    <row r="2444" hidden="1" ht="18.75" customFormat="1" customHeight="1" s="311"/>
    <row r="2445" hidden="1" ht="18.75" customFormat="1" customHeight="1" s="311"/>
    <row r="2446" hidden="1" ht="18.75" customFormat="1" customHeight="1" s="311"/>
    <row r="2447" hidden="1" ht="18.75" customFormat="1" customHeight="1" s="311"/>
    <row r="2448" hidden="1" ht="18.75" customFormat="1" customHeight="1" s="311"/>
    <row r="2449" hidden="1" ht="18.75" customFormat="1" customHeight="1" s="311"/>
    <row r="2450" hidden="1" ht="18.75" customFormat="1" customHeight="1" s="311"/>
    <row r="2451" hidden="1" ht="18.75" customFormat="1" customHeight="1" s="311"/>
    <row r="2452" hidden="1" ht="18.75" customFormat="1" customHeight="1" s="311"/>
    <row r="2453" hidden="1" ht="18.75" customFormat="1" customHeight="1" s="311"/>
    <row r="2454" hidden="1" ht="18.75" customFormat="1" customHeight="1" s="311"/>
    <row r="2455" hidden="1" ht="18.75" customFormat="1" customHeight="1" s="311"/>
    <row r="2456" hidden="1" ht="18.75" customFormat="1" customHeight="1" s="311"/>
    <row r="2457" hidden="1" ht="18.75" customFormat="1" customHeight="1" s="311"/>
    <row r="2458" hidden="1" ht="18.75" customFormat="1" customHeight="1" s="311"/>
    <row r="2459" hidden="1" ht="18.75" customFormat="1" customHeight="1" s="311"/>
    <row r="2460" hidden="1" ht="18.75" customFormat="1" customHeight="1" s="311"/>
    <row r="2461" hidden="1" ht="18.75" customFormat="1" customHeight="1" s="311"/>
    <row r="2462" hidden="1" ht="18.75" customFormat="1" customHeight="1" s="311"/>
    <row r="2463" hidden="1" ht="18.75" customFormat="1" customHeight="1" s="311"/>
    <row r="2464" hidden="1" ht="18.75" customFormat="1" customHeight="1" s="311"/>
    <row r="2465" hidden="1" ht="18.75" customFormat="1" customHeight="1" s="311"/>
    <row r="2466" hidden="1" ht="18.75" customFormat="1" customHeight="1" s="311"/>
    <row r="2467" hidden="1" ht="18.75" customFormat="1" customHeight="1" s="311"/>
    <row r="2468" hidden="1" ht="18.75" customFormat="1" customHeight="1" s="311"/>
    <row r="2469" hidden="1" ht="18.75" customFormat="1" customHeight="1" s="311"/>
    <row r="2470" hidden="1" ht="18.75" customFormat="1" customHeight="1" s="311"/>
    <row r="2471" hidden="1" ht="18.75" customFormat="1" customHeight="1" s="311"/>
    <row r="2472" hidden="1" ht="18.75" customFormat="1" customHeight="1" s="311"/>
    <row r="2473" hidden="1" ht="18.75" customFormat="1" customHeight="1" s="311"/>
    <row r="2474" hidden="1" ht="18.75" customFormat="1" customHeight="1" s="311"/>
    <row r="2475" hidden="1" ht="18.75" customFormat="1" customHeight="1" s="311"/>
    <row r="2476" hidden="1" ht="18.75" customFormat="1" customHeight="1" s="311"/>
    <row r="2477" hidden="1" ht="18.75" customFormat="1" customHeight="1" s="311"/>
    <row r="2478" hidden="1" ht="18.75" customFormat="1" customHeight="1" s="311"/>
    <row r="2479" hidden="1" ht="18.75" customFormat="1" customHeight="1" s="311"/>
    <row r="2480" hidden="1" ht="18.75" customFormat="1" customHeight="1" s="311"/>
    <row r="2481" hidden="1" ht="18.75" customFormat="1" customHeight="1" s="311"/>
    <row r="2482" hidden="1" ht="18.75" customFormat="1" customHeight="1" s="311"/>
    <row r="2483" hidden="1" ht="18.75" customFormat="1" customHeight="1" s="311"/>
    <row r="2484" hidden="1" ht="18.75" customFormat="1" customHeight="1" s="311"/>
    <row r="2485" hidden="1" ht="18.75" customFormat="1" customHeight="1" s="311"/>
    <row r="2486" hidden="1" ht="18.75" customFormat="1" customHeight="1" s="311"/>
    <row r="2487" hidden="1" ht="18.75" customFormat="1" customHeight="1" s="311"/>
    <row r="2488" hidden="1" ht="18.75" customFormat="1" customHeight="1" s="311"/>
    <row r="2489" hidden="1" ht="18.75" customFormat="1" customHeight="1" s="311"/>
    <row r="2490" hidden="1" ht="18.75" customFormat="1" customHeight="1" s="311"/>
    <row r="2491" hidden="1" ht="18.75" customFormat="1" customHeight="1" s="311"/>
    <row r="2492" hidden="1" ht="18.75" customFormat="1" customHeight="1" s="311"/>
    <row r="2493" hidden="1" ht="18.75" customFormat="1" customHeight="1" s="311"/>
    <row r="2494" hidden="1" ht="18.75" customFormat="1" customHeight="1" s="311"/>
    <row r="2495" hidden="1" ht="18.75" customFormat="1" customHeight="1" s="311"/>
    <row r="2496" hidden="1" ht="18.75" customFormat="1" customHeight="1" s="311"/>
    <row r="2497" hidden="1" ht="18.75" customFormat="1" customHeight="1" s="311"/>
    <row r="2498" hidden="1" ht="18.75" customFormat="1" customHeight="1" s="311"/>
    <row r="2499" hidden="1" ht="18.75" customFormat="1" customHeight="1" s="311"/>
    <row r="2500" hidden="1" ht="18.75" customFormat="1" customHeight="1" s="311"/>
    <row r="2501" hidden="1" ht="18.75" customFormat="1" customHeight="1" s="311"/>
    <row r="2502" hidden="1" ht="18.75" customFormat="1" customHeight="1" s="311"/>
    <row r="2503" hidden="1" ht="18.75" customFormat="1" customHeight="1" s="311"/>
    <row r="2504" hidden="1" ht="18.75" customFormat="1" customHeight="1" s="311"/>
    <row r="2505" hidden="1" ht="18.75" customFormat="1" customHeight="1" s="311"/>
    <row r="2506" hidden="1" ht="18.75" customFormat="1" customHeight="1" s="311"/>
    <row r="2507" hidden="1" ht="18.75" customFormat="1" customHeight="1" s="311"/>
    <row r="2508" hidden="1" ht="18.75" customFormat="1" customHeight="1" s="311"/>
    <row r="2509" hidden="1" ht="18.75" customFormat="1" customHeight="1" s="311"/>
    <row r="2510" hidden="1" ht="18.75" customFormat="1" customHeight="1" s="311"/>
    <row r="2511" hidden="1" ht="18.75" customFormat="1" customHeight="1" s="311"/>
    <row r="2512" hidden="1" ht="18.75" customFormat="1" customHeight="1" s="311"/>
    <row r="2513" hidden="1" ht="18.75" customFormat="1" customHeight="1" s="311"/>
    <row r="2514" hidden="1" ht="18.75" customFormat="1" customHeight="1" s="311"/>
    <row r="2515" hidden="1" ht="18.75" customFormat="1" customHeight="1" s="311"/>
    <row r="2516" hidden="1" ht="18.75" customFormat="1" customHeight="1" s="311"/>
    <row r="2517" hidden="1" ht="18.75" customFormat="1" customHeight="1" s="311"/>
    <row r="2518" hidden="1" ht="18.75" customFormat="1" customHeight="1" s="311"/>
    <row r="2519" hidden="1" ht="18.75" customFormat="1" customHeight="1" s="311"/>
    <row r="2520" hidden="1" ht="18.75" customFormat="1" customHeight="1" s="311"/>
    <row r="2521" hidden="1" ht="18.75" customFormat="1" customHeight="1" s="311"/>
    <row r="2522" hidden="1" ht="18.75" customFormat="1" customHeight="1" s="311"/>
    <row r="2523" hidden="1" ht="18.75" customFormat="1" customHeight="1" s="311"/>
    <row r="2524" hidden="1" ht="18.75" customFormat="1" customHeight="1" s="311"/>
    <row r="2525" hidden="1" ht="18.75" customFormat="1" customHeight="1" s="311"/>
    <row r="2526" hidden="1" ht="18.75" customFormat="1" customHeight="1" s="311"/>
    <row r="2527" hidden="1" ht="18.75" customFormat="1" customHeight="1" s="311"/>
    <row r="2528" hidden="1" ht="18.75" customFormat="1" customHeight="1" s="311"/>
    <row r="2529" hidden="1" ht="18.75" customFormat="1" customHeight="1" s="311"/>
    <row r="2530" hidden="1" ht="18.75" customFormat="1" customHeight="1" s="311"/>
    <row r="2531" hidden="1" ht="18.75" customFormat="1" customHeight="1" s="311"/>
    <row r="2532" hidden="1" ht="18.75" customFormat="1" customHeight="1" s="311"/>
    <row r="2533" hidden="1" ht="18.75" customFormat="1" customHeight="1" s="311"/>
    <row r="2534" hidden="1" ht="18.75" customFormat="1" customHeight="1" s="311"/>
    <row r="2535" hidden="1" ht="18.75" customFormat="1" customHeight="1" s="311"/>
    <row r="2536" hidden="1" ht="18.75" customFormat="1" customHeight="1" s="311"/>
    <row r="2537" hidden="1" ht="18.75" customFormat="1" customHeight="1" s="311"/>
    <row r="2538" hidden="1" ht="18.75" customFormat="1" customHeight="1" s="311"/>
    <row r="2539" hidden="1" ht="18.75" customFormat="1" customHeight="1" s="311"/>
    <row r="2540" hidden="1" ht="18.75" customFormat="1" customHeight="1" s="311"/>
    <row r="2541" hidden="1" ht="18.75" customFormat="1" customHeight="1" s="311"/>
    <row r="2542" hidden="1" ht="18.75" customFormat="1" customHeight="1" s="311"/>
    <row r="2543" hidden="1" ht="18.75" customFormat="1" customHeight="1" s="311"/>
    <row r="2544" hidden="1" ht="18.75" customFormat="1" customHeight="1" s="311"/>
    <row r="2545" hidden="1" ht="18.75" customFormat="1" customHeight="1" s="311"/>
    <row r="2546" hidden="1" ht="18.75" customFormat="1" customHeight="1" s="311"/>
    <row r="2547" hidden="1" ht="18.75" customFormat="1" customHeight="1" s="311"/>
    <row r="2548" hidden="1" ht="18.75" customFormat="1" customHeight="1" s="311"/>
    <row r="2549" hidden="1" ht="18.75" customFormat="1" customHeight="1" s="311"/>
    <row r="2550" hidden="1" ht="18.75" customFormat="1" customHeight="1" s="311"/>
    <row r="2551" hidden="1" ht="18.75" customFormat="1" customHeight="1" s="311"/>
    <row r="2552" hidden="1" ht="18.75" customFormat="1" customHeight="1" s="311"/>
    <row r="2553" hidden="1" ht="18.75" customFormat="1" customHeight="1" s="311"/>
    <row r="2554" hidden="1" ht="18.75" customFormat="1" customHeight="1" s="311"/>
    <row r="2555" hidden="1" ht="18.75" customFormat="1" customHeight="1" s="311"/>
    <row r="2556" hidden="1" ht="18.75" customFormat="1" customHeight="1" s="311"/>
    <row r="2557" hidden="1" ht="18.75" customFormat="1" customHeight="1" s="311"/>
    <row r="2558" hidden="1" ht="18.75" customFormat="1" customHeight="1" s="311"/>
    <row r="2559" hidden="1" ht="18.75" customFormat="1" customHeight="1" s="311"/>
    <row r="2560" hidden="1" ht="18.75" customFormat="1" customHeight="1" s="311"/>
    <row r="2561" hidden="1" ht="18.75" customFormat="1" customHeight="1" s="311"/>
    <row r="2562" hidden="1" ht="18.75" customFormat="1" customHeight="1" s="311"/>
    <row r="2563" hidden="1" ht="18.75" customFormat="1" customHeight="1" s="311"/>
    <row r="2564" hidden="1" ht="18.75" customFormat="1" customHeight="1" s="311"/>
    <row r="2565" hidden="1" ht="18.75" customFormat="1" customHeight="1" s="311"/>
    <row r="2566" hidden="1" ht="18.75" customFormat="1" customHeight="1" s="311"/>
    <row r="2567" hidden="1" ht="18.75" customFormat="1" customHeight="1" s="311"/>
    <row r="2568" hidden="1" ht="18.75" customFormat="1" customHeight="1" s="311"/>
    <row r="2569" hidden="1" ht="18.75" customFormat="1" customHeight="1" s="311"/>
    <row r="2570" hidden="1" ht="18.75" customFormat="1" customHeight="1" s="311"/>
    <row r="2571" hidden="1" ht="18.75" customFormat="1" customHeight="1" s="311"/>
    <row r="2572" hidden="1" ht="18.75" customFormat="1" customHeight="1" s="311"/>
    <row r="2573" hidden="1" ht="18.75" customFormat="1" customHeight="1" s="311"/>
    <row r="2574" hidden="1" ht="18.75" customFormat="1" customHeight="1" s="311"/>
    <row r="2575" hidden="1" ht="18.75" customFormat="1" customHeight="1" s="311"/>
    <row r="2576" hidden="1" ht="18.75" customFormat="1" customHeight="1" s="311"/>
    <row r="2577" hidden="1" ht="18.75" customFormat="1" customHeight="1" s="311"/>
    <row r="2578" hidden="1" ht="18.75" customFormat="1" customHeight="1" s="311"/>
    <row r="2579" hidden="1" ht="18.75" customFormat="1" customHeight="1" s="311"/>
    <row r="2580" hidden="1" ht="18.75" customFormat="1" customHeight="1" s="311"/>
    <row r="2581" hidden="1" ht="18.75" customFormat="1" customHeight="1" s="311"/>
    <row r="2582" hidden="1" ht="18.75" customFormat="1" customHeight="1" s="311"/>
    <row r="2583" hidden="1" ht="18.75" customFormat="1" customHeight="1" s="311"/>
    <row r="2584" hidden="1" ht="18.75" customFormat="1" customHeight="1" s="311"/>
    <row r="2585" hidden="1" ht="18.75" customFormat="1" customHeight="1" s="311"/>
    <row r="2586" hidden="1" ht="18.75" customFormat="1" customHeight="1" s="311"/>
    <row r="2587" hidden="1" ht="18.75" customFormat="1" customHeight="1" s="311"/>
    <row r="2588" hidden="1" ht="18.75" customFormat="1" customHeight="1" s="311"/>
    <row r="2589" hidden="1" ht="18.75" customFormat="1" customHeight="1" s="311"/>
    <row r="2590" hidden="1" ht="18.75" customFormat="1" customHeight="1" s="311"/>
    <row r="2591" hidden="1" ht="18.75" customFormat="1" customHeight="1" s="311"/>
    <row r="2592" hidden="1" ht="18.75" customFormat="1" customHeight="1" s="311"/>
    <row r="2593" hidden="1" ht="18.75" customFormat="1" customHeight="1" s="311"/>
    <row r="2594" hidden="1" ht="18.75" customFormat="1" customHeight="1" s="311"/>
    <row r="2595" hidden="1" ht="18.75" customFormat="1" customHeight="1" s="311"/>
    <row r="2596" hidden="1" ht="18.75" customFormat="1" customHeight="1" s="311"/>
    <row r="2597" hidden="1" ht="18.75" customFormat="1" customHeight="1" s="311"/>
    <row r="2598" hidden="1" ht="18.75" customFormat="1" customHeight="1" s="311"/>
    <row r="2599" hidden="1" ht="18.75" customFormat="1" customHeight="1" s="311"/>
    <row r="2600" hidden="1" ht="18.75" customFormat="1" customHeight="1" s="311"/>
    <row r="2601" hidden="1" ht="18.75" customFormat="1" customHeight="1" s="311"/>
    <row r="2602" hidden="1" ht="18.75" customFormat="1" customHeight="1" s="311"/>
    <row r="2603" hidden="1" ht="18.75" customFormat="1" customHeight="1" s="311"/>
    <row r="2604" hidden="1" ht="18.75" customFormat="1" customHeight="1" s="311"/>
    <row r="2605" hidden="1" ht="18.75" customFormat="1" customHeight="1" s="311"/>
    <row r="2606" hidden="1" ht="18.75" customFormat="1" customHeight="1" s="311"/>
    <row r="2607" hidden="1" ht="18.75" customFormat="1" customHeight="1" s="311"/>
    <row r="2608" hidden="1" ht="18.75" customFormat="1" customHeight="1" s="311"/>
    <row r="2609" hidden="1" ht="18.75" customFormat="1" customHeight="1" s="311"/>
    <row r="2610" hidden="1" ht="18.75" customFormat="1" customHeight="1" s="311"/>
    <row r="2611" hidden="1" ht="18.75" customFormat="1" customHeight="1" s="311"/>
    <row r="2612" hidden="1" ht="18.75" customFormat="1" customHeight="1" s="311"/>
    <row r="2613" hidden="1" ht="18.75" customFormat="1" customHeight="1" s="311"/>
    <row r="2614" hidden="1" ht="18.75" customFormat="1" customHeight="1" s="311"/>
    <row r="2615" hidden="1" ht="18.75" customFormat="1" customHeight="1" s="311"/>
    <row r="2616" hidden="1" ht="18.75" customFormat="1" customHeight="1" s="311"/>
    <row r="2617" hidden="1" ht="18.75" customFormat="1" customHeight="1" s="311"/>
    <row r="2618" hidden="1" ht="18.75" customFormat="1" customHeight="1" s="311"/>
    <row r="2619" hidden="1" ht="18.75" customFormat="1" customHeight="1" s="311"/>
    <row r="2620" hidden="1" ht="18.75" customFormat="1" customHeight="1" s="311"/>
    <row r="2621" hidden="1" ht="18.75" customFormat="1" customHeight="1" s="311"/>
    <row r="2622" hidden="1" ht="18.75" customFormat="1" customHeight="1" s="311"/>
    <row r="2623" hidden="1" ht="18.75" customFormat="1" customHeight="1" s="311"/>
    <row r="2624" hidden="1" ht="18.75" customFormat="1" customHeight="1" s="311"/>
    <row r="2625" hidden="1" ht="18.75" customFormat="1" customHeight="1" s="311"/>
    <row r="2626" hidden="1" ht="18.75" customFormat="1" customHeight="1" s="311"/>
    <row r="2627" hidden="1" ht="18.75" customFormat="1" customHeight="1" s="311"/>
    <row r="2628" hidden="1" ht="18.75" customFormat="1" customHeight="1" s="311"/>
    <row r="2629" hidden="1" ht="18.75" customFormat="1" customHeight="1" s="311"/>
    <row r="2630" hidden="1" ht="18.75" customFormat="1" customHeight="1" s="311"/>
    <row r="2631" hidden="1" ht="18.75" customFormat="1" customHeight="1" s="311"/>
    <row r="2632" hidden="1" ht="18.75" customFormat="1" customHeight="1" s="311"/>
    <row r="2633" hidden="1" ht="18.75" customFormat="1" customHeight="1" s="311"/>
    <row r="2634" hidden="1" ht="18.75" customFormat="1" customHeight="1" s="311"/>
    <row r="2635" hidden="1" ht="18.75" customFormat="1" customHeight="1" s="311"/>
    <row r="2636" hidden="1" ht="18.75" customFormat="1" customHeight="1" s="311"/>
    <row r="2637" hidden="1" ht="18.75" customFormat="1" customHeight="1" s="311"/>
    <row r="2638" hidden="1" ht="18.75" customFormat="1" customHeight="1" s="311"/>
    <row r="2639" hidden="1" ht="18.75" customFormat="1" customHeight="1" s="311"/>
    <row r="2640" hidden="1" ht="18.75" customFormat="1" customHeight="1" s="311"/>
    <row r="2641" hidden="1" ht="18.75" customFormat="1" customHeight="1" s="311"/>
    <row r="2642" hidden="1" ht="18.75" customFormat="1" customHeight="1" s="311"/>
    <row r="2643" hidden="1" ht="18.75" customFormat="1" customHeight="1" s="311"/>
    <row r="2644" hidden="1" ht="18.75" customFormat="1" customHeight="1" s="311"/>
    <row r="2645" hidden="1" ht="18.75" customFormat="1" customHeight="1" s="311"/>
    <row r="2646" hidden="1" ht="18.75" customFormat="1" customHeight="1" s="311"/>
    <row r="2647" hidden="1" ht="18.75" customFormat="1" customHeight="1" s="311"/>
    <row r="2648" hidden="1" ht="18.75" customFormat="1" customHeight="1" s="311"/>
    <row r="2649" hidden="1" ht="18.75" customFormat="1" customHeight="1" s="311"/>
    <row r="2650" hidden="1" ht="18.75" customFormat="1" customHeight="1" s="311"/>
    <row r="2651" hidden="1" ht="18.75" customFormat="1" customHeight="1" s="311"/>
    <row r="2652" hidden="1" ht="18.75" customFormat="1" customHeight="1" s="311"/>
    <row r="2653" hidden="1" ht="18.75" customFormat="1" customHeight="1" s="311"/>
    <row r="2654" hidden="1" ht="18.75" customFormat="1" customHeight="1" s="311"/>
    <row r="2655" hidden="1" ht="18.75" customFormat="1" customHeight="1" s="311"/>
    <row r="2656" hidden="1" ht="18.75" customFormat="1" customHeight="1" s="311"/>
    <row r="2657" hidden="1" ht="18.75" customFormat="1" customHeight="1" s="311"/>
    <row r="2658" hidden="1" ht="18.75" customFormat="1" customHeight="1" s="311"/>
    <row r="2659" hidden="1" ht="18.75" customFormat="1" customHeight="1" s="311"/>
    <row r="2660" hidden="1" ht="18.75" customFormat="1" customHeight="1" s="311"/>
    <row r="2661" hidden="1" ht="18.75" customFormat="1" customHeight="1" s="311"/>
    <row r="2662" hidden="1" ht="18.75" customFormat="1" customHeight="1" s="311"/>
    <row r="2663" hidden="1" ht="18.75" customFormat="1" customHeight="1" s="311"/>
    <row r="2664" hidden="1" ht="18.75" customFormat="1" customHeight="1" s="311"/>
    <row r="2665" hidden="1" ht="18.75" customFormat="1" customHeight="1" s="311"/>
    <row r="2666" hidden="1" ht="18.75" customFormat="1" customHeight="1" s="311"/>
    <row r="2667" hidden="1" ht="18.75" customFormat="1" customHeight="1" s="311"/>
    <row r="2668" hidden="1" ht="18.75" customFormat="1" customHeight="1" s="311"/>
    <row r="2669" hidden="1" ht="18.75" customFormat="1" customHeight="1" s="311"/>
    <row r="2670" hidden="1" ht="18.75" customFormat="1" customHeight="1" s="311"/>
    <row r="2671" hidden="1" ht="18.75" customFormat="1" customHeight="1" s="311"/>
    <row r="2672" hidden="1" ht="18.75" customFormat="1" customHeight="1" s="311"/>
    <row r="2673" hidden="1" ht="18.75" customFormat="1" customHeight="1" s="311"/>
    <row r="2674" hidden="1" ht="18.75" customFormat="1" customHeight="1" s="311"/>
    <row r="2675" hidden="1" ht="18.75" customFormat="1" customHeight="1" s="311"/>
    <row r="2676" hidden="1" ht="18.75" customFormat="1" customHeight="1" s="311"/>
    <row r="2677" hidden="1" ht="18.75" customFormat="1" customHeight="1" s="311"/>
    <row r="2678" hidden="1" ht="18.75" customFormat="1" customHeight="1" s="311"/>
    <row r="2679" hidden="1" ht="18.75" customFormat="1" customHeight="1" s="311"/>
    <row r="2680" hidden="1" ht="18.75" customFormat="1" customHeight="1" s="311"/>
    <row r="2681" hidden="1" ht="18.75" customFormat="1" customHeight="1" s="311"/>
    <row r="2682" hidden="1" ht="18.75" customFormat="1" customHeight="1" s="311"/>
    <row r="2683" hidden="1" ht="18.75" customFormat="1" customHeight="1" s="311"/>
    <row r="2684" hidden="1" ht="18.75" customFormat="1" customHeight="1" s="311"/>
    <row r="2685" hidden="1" ht="18.75" customFormat="1" customHeight="1" s="311"/>
    <row r="2686" hidden="1" ht="18.75" customFormat="1" customHeight="1" s="311"/>
    <row r="2687" hidden="1" ht="18.75" customFormat="1" customHeight="1" s="311"/>
    <row r="2688" hidden="1" ht="18.75" customFormat="1" customHeight="1" s="311"/>
    <row r="2689" hidden="1" ht="18.75" customFormat="1" customHeight="1" s="311"/>
    <row r="2690" hidden="1" ht="18.75" customFormat="1" customHeight="1" s="311"/>
    <row r="2691" hidden="1" ht="18.75" customFormat="1" customHeight="1" s="311"/>
    <row r="2692" hidden="1" ht="18.75" customFormat="1" customHeight="1" s="311"/>
    <row r="2693" hidden="1" ht="18.75" customFormat="1" customHeight="1" s="311"/>
    <row r="2694" hidden="1" ht="18.75" customFormat="1" customHeight="1" s="311"/>
    <row r="2695" hidden="1" ht="18.75" customFormat="1" customHeight="1" s="311"/>
    <row r="2696" hidden="1" ht="18.75" customFormat="1" customHeight="1" s="311"/>
    <row r="2697" hidden="1" ht="18.75" customFormat="1" customHeight="1" s="311"/>
    <row r="2698" hidden="1" ht="18.75" customFormat="1" customHeight="1" s="311"/>
    <row r="2699" hidden="1" ht="18.75" customFormat="1" customHeight="1" s="311"/>
    <row r="2700" hidden="1" ht="18.75" customFormat="1" customHeight="1" s="311"/>
    <row r="2701" hidden="1" ht="18.75" customFormat="1" customHeight="1" s="311"/>
    <row r="2702" hidden="1" ht="18.75" customFormat="1" customHeight="1" s="311"/>
    <row r="2703" hidden="1" ht="18.75" customFormat="1" customHeight="1" s="311"/>
    <row r="2704" hidden="1" ht="18.75" customFormat="1" customHeight="1" s="311"/>
    <row r="2705" hidden="1" ht="18.75" customFormat="1" customHeight="1" s="311"/>
    <row r="2706" hidden="1" ht="18.75" customFormat="1" customHeight="1" s="311"/>
    <row r="2707" hidden="1" ht="18.75" customFormat="1" customHeight="1" s="311"/>
    <row r="2708" hidden="1" ht="18.75" customFormat="1" customHeight="1" s="311"/>
    <row r="2709" hidden="1" ht="18.75" customFormat="1" customHeight="1" s="311"/>
    <row r="2710" hidden="1" ht="18.75" customFormat="1" customHeight="1" s="311"/>
    <row r="2711" hidden="1" ht="18.75" customFormat="1" customHeight="1" s="311"/>
    <row r="2712" hidden="1" ht="18.75" customFormat="1" customHeight="1" s="311"/>
    <row r="2713" hidden="1" ht="18.75" customFormat="1" customHeight="1" s="311"/>
    <row r="2714" hidden="1" ht="18.75" customFormat="1" customHeight="1" s="311"/>
    <row r="2715" hidden="1" ht="18.75" customFormat="1" customHeight="1" s="311"/>
    <row r="2716" hidden="1" ht="18.75" customFormat="1" customHeight="1" s="311"/>
    <row r="2717" hidden="1" ht="18.75" customFormat="1" customHeight="1" s="311"/>
    <row r="2718" hidden="1" ht="18.75" customFormat="1" customHeight="1" s="311"/>
    <row r="2719" hidden="1" ht="18.75" customFormat="1" customHeight="1" s="311"/>
    <row r="2720" hidden="1" ht="18.75" customFormat="1" customHeight="1" s="311"/>
    <row r="2721" hidden="1" ht="18.75" customFormat="1" customHeight="1" s="311"/>
    <row r="2722" hidden="1" ht="18.75" customFormat="1" customHeight="1" s="311"/>
    <row r="2723" hidden="1" ht="18.75" customFormat="1" customHeight="1" s="311"/>
    <row r="2724" hidden="1" ht="18.75" customFormat="1" customHeight="1" s="311"/>
    <row r="2725" hidden="1" ht="18.75" customFormat="1" customHeight="1" s="311"/>
    <row r="2726" hidden="1" ht="18.75" customFormat="1" customHeight="1" s="311"/>
    <row r="2727" hidden="1" ht="18.75" customFormat="1" customHeight="1" s="311"/>
    <row r="2728" hidden="1" ht="18.75" customFormat="1" customHeight="1" s="311"/>
    <row r="2729" hidden="1" ht="18.75" customFormat="1" customHeight="1" s="311"/>
    <row r="2730" hidden="1" ht="18.75" customFormat="1" customHeight="1" s="311"/>
    <row r="2731" hidden="1" ht="18.75" customFormat="1" customHeight="1" s="311"/>
    <row r="2732" hidden="1" ht="18.75" customFormat="1" customHeight="1" s="311"/>
    <row r="2733" hidden="1" ht="18.75" customFormat="1" customHeight="1" s="311"/>
    <row r="2734" hidden="1" ht="18.75" customFormat="1" customHeight="1" s="311"/>
    <row r="2735" hidden="1" ht="18.75" customFormat="1" customHeight="1" s="311"/>
    <row r="2736" hidden="1" ht="18.75" customFormat="1" customHeight="1" s="311"/>
    <row r="2737" hidden="1" ht="18.75" customFormat="1" customHeight="1" s="311"/>
    <row r="2738" hidden="1" ht="18.75" customFormat="1" customHeight="1" s="311"/>
    <row r="2739" hidden="1" ht="18.75" customFormat="1" customHeight="1" s="311"/>
    <row r="2740" hidden="1" ht="18.75" customFormat="1" customHeight="1" s="311"/>
    <row r="2741" hidden="1" ht="18.75" customFormat="1" customHeight="1" s="311"/>
    <row r="2742" hidden="1" ht="18.75" customFormat="1" customHeight="1" s="311"/>
    <row r="2743" hidden="1" ht="18.75" customFormat="1" customHeight="1" s="311"/>
    <row r="2744" hidden="1" ht="18.75" customFormat="1" customHeight="1" s="311"/>
    <row r="2745" hidden="1" ht="18.75" customFormat="1" customHeight="1" s="311"/>
    <row r="2746" hidden="1" ht="18.75" customFormat="1" customHeight="1" s="311"/>
    <row r="2747" hidden="1" ht="18.75" customFormat="1" customHeight="1" s="311"/>
    <row r="2748" hidden="1" ht="18.75" customFormat="1" customHeight="1" s="311"/>
    <row r="2749" hidden="1" ht="18.75" customFormat="1" customHeight="1" s="311"/>
    <row r="2750" hidden="1" ht="18.75" customFormat="1" customHeight="1" s="311"/>
    <row r="2751" hidden="1" ht="18.75" customFormat="1" customHeight="1" s="311"/>
    <row r="2752" hidden="1" ht="18.75" customFormat="1" customHeight="1" s="311"/>
    <row r="2753" hidden="1" ht="18.75" customFormat="1" customHeight="1" s="311"/>
    <row r="2754" hidden="1" ht="18.75" customFormat="1" customHeight="1" s="311"/>
    <row r="2755" hidden="1" ht="18.75" customFormat="1" customHeight="1" s="311"/>
    <row r="2756" hidden="1" ht="18.75" customFormat="1" customHeight="1" s="311"/>
    <row r="2757" hidden="1" ht="18.75" customFormat="1" customHeight="1" s="311"/>
    <row r="2758" hidden="1" ht="18.75" customFormat="1" customHeight="1" s="311"/>
    <row r="2759" hidden="1" ht="18.75" customFormat="1" customHeight="1" s="311"/>
    <row r="2760" hidden="1" ht="18.75" customFormat="1" customHeight="1" s="311"/>
    <row r="2761" hidden="1" ht="18.75" customFormat="1" customHeight="1" s="311"/>
    <row r="2762" hidden="1" ht="18.75" customFormat="1" customHeight="1" s="311"/>
    <row r="2763" hidden="1" ht="18.75" customFormat="1" customHeight="1" s="311"/>
    <row r="2764" hidden="1" ht="18.75" customFormat="1" customHeight="1" s="311"/>
    <row r="2765" hidden="1" ht="18.75" customFormat="1" customHeight="1" s="311"/>
    <row r="2766" hidden="1" ht="18.75" customFormat="1" customHeight="1" s="311"/>
    <row r="2767" hidden="1" ht="18.75" customFormat="1" customHeight="1" s="311"/>
    <row r="2768" hidden="1" ht="18.75" customFormat="1" customHeight="1" s="311"/>
    <row r="2769" hidden="1" ht="18.75" customFormat="1" customHeight="1" s="311"/>
    <row r="2770" hidden="1" ht="18.75" customFormat="1" customHeight="1" s="311"/>
    <row r="2771" hidden="1" ht="18.75" customFormat="1" customHeight="1" s="311"/>
    <row r="2772" hidden="1" ht="18.75" customFormat="1" customHeight="1" s="311"/>
    <row r="2773" hidden="1" ht="18.75" customFormat="1" customHeight="1" s="311"/>
    <row r="2774" hidden="1" ht="18.75" customFormat="1" customHeight="1" s="311"/>
    <row r="2775" hidden="1" ht="18.75" customFormat="1" customHeight="1" s="311"/>
    <row r="2776" hidden="1" ht="18.75" customFormat="1" customHeight="1" s="311"/>
    <row r="2777" hidden="1" ht="18.75" customFormat="1" customHeight="1" s="311"/>
    <row r="2778" hidden="1" ht="18.75" customFormat="1" customHeight="1" s="311"/>
    <row r="2779" hidden="1" ht="18.75" customFormat="1" customHeight="1" s="311"/>
    <row r="2780" hidden="1" ht="18.75" customFormat="1" customHeight="1" s="311"/>
    <row r="2781" hidden="1" ht="18.75" customFormat="1" customHeight="1" s="311"/>
    <row r="2782" hidden="1" ht="18.75" customFormat="1" customHeight="1" s="311"/>
    <row r="2783" hidden="1" ht="18.75" customFormat="1" customHeight="1" s="311"/>
    <row r="2784" hidden="1" ht="18.75" customFormat="1" customHeight="1" s="311"/>
    <row r="2785" hidden="1" ht="18.75" customFormat="1" customHeight="1" s="311"/>
    <row r="2786" hidden="1" ht="18.75" customFormat="1" customHeight="1" s="311"/>
    <row r="2787" hidden="1" ht="18.75" customFormat="1" customHeight="1" s="311"/>
    <row r="2788" hidden="1" ht="18.75" customFormat="1" customHeight="1" s="311"/>
    <row r="2789" hidden="1" ht="18.75" customFormat="1" customHeight="1" s="311"/>
    <row r="2790" hidden="1" ht="18.75" customFormat="1" customHeight="1" s="311"/>
    <row r="2791" hidden="1" ht="18.75" customFormat="1" customHeight="1" s="311"/>
    <row r="2792" hidden="1" ht="18.75" customFormat="1" customHeight="1" s="311"/>
    <row r="2793" hidden="1" ht="18.75" customFormat="1" customHeight="1" s="311"/>
    <row r="2794" hidden="1" ht="18.75" customFormat="1" customHeight="1" s="311"/>
    <row r="2795" hidden="1" ht="18.75" customFormat="1" customHeight="1" s="311"/>
    <row r="2796" hidden="1" ht="18.75" customFormat="1" customHeight="1" s="311"/>
    <row r="2797" hidden="1" ht="18.75" customFormat="1" customHeight="1" s="311"/>
    <row r="2798" hidden="1" ht="18.75" customFormat="1" customHeight="1" s="311"/>
    <row r="2799" hidden="1" ht="18.75" customFormat="1" customHeight="1" s="311"/>
    <row r="2800" hidden="1" ht="18.75" customFormat="1" customHeight="1" s="311"/>
    <row r="2801" hidden="1" ht="18.75" customFormat="1" customHeight="1" s="311"/>
    <row r="2802" hidden="1" ht="18.75" customFormat="1" customHeight="1" s="311"/>
    <row r="2803" hidden="1" ht="18.75" customFormat="1" customHeight="1" s="311"/>
    <row r="2804" hidden="1" ht="18.75" customFormat="1" customHeight="1" s="311"/>
    <row r="2805" hidden="1" ht="18.75" customFormat="1" customHeight="1" s="311"/>
    <row r="2806" hidden="1" ht="18.75" customFormat="1" customHeight="1" s="311"/>
    <row r="2807" hidden="1" ht="18.75" customFormat="1" customHeight="1" s="311"/>
    <row r="2808" hidden="1" ht="18.75" customFormat="1" customHeight="1" s="311"/>
    <row r="2809" hidden="1" ht="18.75" customFormat="1" customHeight="1" s="311"/>
    <row r="2810" hidden="1" ht="18.75" customFormat="1" customHeight="1" s="311"/>
    <row r="2811" hidden="1" ht="18.75" customFormat="1" customHeight="1" s="311"/>
    <row r="2812" hidden="1" ht="18.75" customFormat="1" customHeight="1" s="311"/>
    <row r="2813" hidden="1" ht="18.75" customFormat="1" customHeight="1" s="311"/>
    <row r="2814" hidden="1" ht="18.75" customFormat="1" customHeight="1" s="311"/>
    <row r="2815" hidden="1" ht="18.75" customFormat="1" customHeight="1" s="311"/>
    <row r="2816" hidden="1" ht="18.75" customFormat="1" customHeight="1" s="311"/>
    <row r="2817" hidden="1" ht="18.75" customFormat="1" customHeight="1" s="311"/>
    <row r="2818" hidden="1" ht="18.75" customFormat="1" customHeight="1" s="311"/>
    <row r="2819" hidden="1" ht="18.75" customFormat="1" customHeight="1" s="311"/>
    <row r="2820" hidden="1" ht="18.75" customFormat="1" customHeight="1" s="311"/>
    <row r="2821" hidden="1" ht="18.75" customFormat="1" customHeight="1" s="311"/>
    <row r="2822" hidden="1" ht="18.75" customFormat="1" customHeight="1" s="311"/>
    <row r="2823" hidden="1" ht="18.75" customFormat="1" customHeight="1" s="311"/>
    <row r="2824" hidden="1" ht="18.75" customFormat="1" customHeight="1" s="311"/>
    <row r="2825" hidden="1" ht="18.75" customFormat="1" customHeight="1" s="311"/>
    <row r="2826" hidden="1" ht="18.75" customFormat="1" customHeight="1" s="311"/>
    <row r="2827" hidden="1" ht="18.75" customFormat="1" customHeight="1" s="311"/>
    <row r="2828" hidden="1" ht="18.75" customFormat="1" customHeight="1" s="311"/>
    <row r="2829" hidden="1" ht="18.75" customFormat="1" customHeight="1" s="311"/>
    <row r="2830" hidden="1" ht="18.75" customFormat="1" customHeight="1" s="311"/>
    <row r="2831" hidden="1" ht="18.75" customFormat="1" customHeight="1" s="311"/>
    <row r="2832" hidden="1" ht="18.75" customFormat="1" customHeight="1" s="311"/>
    <row r="2833" hidden="1" ht="18.75" customFormat="1" customHeight="1" s="311"/>
    <row r="2834" hidden="1" ht="18.75" customFormat="1" customHeight="1" s="311"/>
    <row r="2835" hidden="1" ht="18.75" customFormat="1" customHeight="1" s="311"/>
    <row r="2836" hidden="1" ht="18.75" customFormat="1" customHeight="1" s="311"/>
    <row r="2837" hidden="1" ht="18.75" customFormat="1" customHeight="1" s="311"/>
    <row r="2838" hidden="1" ht="18.75" customFormat="1" customHeight="1" s="311"/>
    <row r="2839" hidden="1" ht="18.75" customFormat="1" customHeight="1" s="311"/>
    <row r="2840" hidden="1" ht="18.75" customFormat="1" customHeight="1" s="311"/>
    <row r="2841" hidden="1" ht="18.75" customFormat="1" customHeight="1" s="311"/>
    <row r="2842" hidden="1" ht="18.75" customFormat="1" customHeight="1" s="311"/>
    <row r="2843" hidden="1" ht="18.75" customFormat="1" customHeight="1" s="311"/>
    <row r="2844" hidden="1" ht="18.75" customFormat="1" customHeight="1" s="311"/>
    <row r="2845" hidden="1" ht="18.75" customFormat="1" customHeight="1" s="311"/>
    <row r="2846" hidden="1" ht="18.75" customFormat="1" customHeight="1" s="311"/>
    <row r="2847" hidden="1" ht="18.75" customFormat="1" customHeight="1" s="311"/>
    <row r="2848" hidden="1" ht="18.75" customFormat="1" customHeight="1" s="311"/>
    <row r="2849" hidden="1" ht="18.75" customFormat="1" customHeight="1" s="311"/>
    <row r="2850" hidden="1" ht="18.75" customFormat="1" customHeight="1" s="311"/>
    <row r="2851" hidden="1" ht="18.75" customFormat="1" customHeight="1" s="311"/>
    <row r="2852" hidden="1" ht="18.75" customFormat="1" customHeight="1" s="311"/>
    <row r="2853" hidden="1" ht="18.75" customFormat="1" customHeight="1" s="311"/>
    <row r="2854" hidden="1" ht="18.75" customFormat="1" customHeight="1" s="311"/>
    <row r="2855" hidden="1" ht="18.75" customFormat="1" customHeight="1" s="311"/>
    <row r="2856" hidden="1" ht="18.75" customFormat="1" customHeight="1" s="311"/>
    <row r="2857" hidden="1" ht="18.75" customFormat="1" customHeight="1" s="311"/>
    <row r="2858" hidden="1" ht="18.75" customFormat="1" customHeight="1" s="311"/>
    <row r="2859" hidden="1" ht="18.75" customFormat="1" customHeight="1" s="311"/>
    <row r="2860" hidden="1" ht="18.75" customFormat="1" customHeight="1" s="311"/>
    <row r="2861" hidden="1" ht="18.75" customFormat="1" customHeight="1" s="311"/>
    <row r="2862" hidden="1" ht="18.75" customFormat="1" customHeight="1" s="311"/>
    <row r="2863" hidden="1" ht="18.75" customFormat="1" customHeight="1" s="311"/>
    <row r="2864" hidden="1" ht="18.75" customFormat="1" customHeight="1" s="311"/>
    <row r="2865" hidden="1" ht="18.75" customFormat="1" customHeight="1" s="311"/>
    <row r="2866" hidden="1" ht="18.75" customFormat="1" customHeight="1" s="311"/>
    <row r="2867" hidden="1" ht="18.75" customFormat="1" customHeight="1" s="311"/>
    <row r="2868" hidden="1" ht="18.75" customFormat="1" customHeight="1" s="311"/>
    <row r="2869" hidden="1" ht="18.75" customFormat="1" customHeight="1" s="311"/>
    <row r="2870" hidden="1" ht="18.75" customFormat="1" customHeight="1" s="311"/>
    <row r="2871" hidden="1" ht="18.75" customFormat="1" customHeight="1" s="311"/>
    <row r="2872" hidden="1" ht="18.75" customFormat="1" customHeight="1" s="311"/>
    <row r="2873" hidden="1" ht="18.75" customFormat="1" customHeight="1" s="311"/>
    <row r="2874" hidden="1" ht="18.75" customFormat="1" customHeight="1" s="311"/>
    <row r="2875" hidden="1" ht="18.75" customFormat="1" customHeight="1" s="311"/>
    <row r="2876" hidden="1" ht="18.75" customFormat="1" customHeight="1" s="311"/>
    <row r="2877" hidden="1" ht="18.75" customFormat="1" customHeight="1" s="311"/>
    <row r="2878" hidden="1" ht="18.75" customFormat="1" customHeight="1" s="311"/>
    <row r="2879" hidden="1" ht="18.75" customFormat="1" customHeight="1" s="311"/>
    <row r="2880" hidden="1" ht="18.75" customFormat="1" customHeight="1" s="311"/>
    <row r="2881" hidden="1" ht="18.75" customFormat="1" customHeight="1" s="311"/>
    <row r="2882" hidden="1" ht="18.75" customFormat="1" customHeight="1" s="311"/>
    <row r="2883" hidden="1" ht="18.75" customFormat="1" customHeight="1" s="311"/>
    <row r="2884" hidden="1" ht="18.75" customFormat="1" customHeight="1" s="311"/>
    <row r="2885" hidden="1" ht="18.75" customFormat="1" customHeight="1" s="311"/>
    <row r="2886" hidden="1" ht="18.75" customFormat="1" customHeight="1" s="311"/>
    <row r="2887" hidden="1" ht="18.75" customFormat="1" customHeight="1" s="311"/>
    <row r="2888" hidden="1" ht="18.75" customFormat="1" customHeight="1" s="311"/>
    <row r="2889" hidden="1" ht="18.75" customFormat="1" customHeight="1" s="311"/>
    <row r="2890" hidden="1" ht="18.75" customFormat="1" customHeight="1" s="311"/>
    <row r="2891" hidden="1" ht="18.75" customFormat="1" customHeight="1" s="311"/>
    <row r="2892" hidden="1" ht="18.75" customFormat="1" customHeight="1" s="311"/>
    <row r="2893" hidden="1" ht="18.75" customFormat="1" customHeight="1" s="311"/>
    <row r="2894" hidden="1" ht="18.75" customFormat="1" customHeight="1" s="311"/>
    <row r="2895" hidden="1" ht="18.75" customFormat="1" customHeight="1" s="311"/>
    <row r="2896" hidden="1" ht="18.75" customFormat="1" customHeight="1" s="311"/>
    <row r="2897" hidden="1" ht="18.75" customFormat="1" customHeight="1" s="311"/>
    <row r="2898" hidden="1" ht="18.75" customFormat="1" customHeight="1" s="311"/>
    <row r="2899" hidden="1" ht="18.75" customFormat="1" customHeight="1" s="311"/>
    <row r="2900" hidden="1" ht="18.75" customFormat="1" customHeight="1" s="311"/>
    <row r="2901" hidden="1" ht="18.75" customFormat="1" customHeight="1" s="311"/>
    <row r="2902" hidden="1" ht="18.75" customFormat="1" customHeight="1" s="311"/>
    <row r="2903" hidden="1" ht="18.75" customFormat="1" customHeight="1" s="311"/>
    <row r="2904" hidden="1" ht="18.75" customFormat="1" customHeight="1" s="311"/>
    <row r="2905" hidden="1" ht="18.75" customFormat="1" customHeight="1" s="311"/>
    <row r="2906" hidden="1" ht="18.75" customFormat="1" customHeight="1" s="311"/>
    <row r="2907" hidden="1" ht="18.75" customFormat="1" customHeight="1" s="311"/>
    <row r="2908" hidden="1" ht="18.75" customFormat="1" customHeight="1" s="311"/>
    <row r="2909" hidden="1" ht="18.75" customFormat="1" customHeight="1" s="311"/>
    <row r="2910" hidden="1" ht="18.75" customFormat="1" customHeight="1" s="311"/>
    <row r="2911" hidden="1" ht="18.75" customFormat="1" customHeight="1" s="311"/>
    <row r="2912" hidden="1" ht="18.75" customFormat="1" customHeight="1" s="311"/>
    <row r="2913" hidden="1" ht="18.75" customFormat="1" customHeight="1" s="311"/>
    <row r="2914" hidden="1" ht="18.75" customFormat="1" customHeight="1" s="311"/>
    <row r="2915" hidden="1" ht="18.75" customFormat="1" customHeight="1" s="311"/>
    <row r="2916" hidden="1" ht="18.75" customFormat="1" customHeight="1" s="311"/>
    <row r="2917" hidden="1" ht="18.75" customFormat="1" customHeight="1" s="311"/>
    <row r="2918" hidden="1" ht="18.75" customFormat="1" customHeight="1" s="311"/>
    <row r="2919" hidden="1" ht="18.75" customFormat="1" customHeight="1" s="311"/>
    <row r="2920" hidden="1" ht="18.75" customFormat="1" customHeight="1" s="311"/>
    <row r="2921" hidden="1" ht="18.75" customFormat="1" customHeight="1" s="311"/>
    <row r="2922" hidden="1" ht="18.75" customFormat="1" customHeight="1" s="311"/>
    <row r="2923" hidden="1" ht="18.75" customFormat="1" customHeight="1" s="311"/>
    <row r="2924" hidden="1" ht="18.75" customFormat="1" customHeight="1" s="311"/>
    <row r="2925" hidden="1" ht="18.75" customFormat="1" customHeight="1" s="311"/>
    <row r="2926" hidden="1" ht="18.75" customFormat="1" customHeight="1" s="311"/>
    <row r="2927" hidden="1" ht="18.75" customFormat="1" customHeight="1" s="311"/>
    <row r="2928" hidden="1" ht="18.75" customFormat="1" customHeight="1" s="311"/>
    <row r="2929" hidden="1" ht="18.75" customFormat="1" customHeight="1" s="311"/>
    <row r="2930" hidden="1" ht="18.75" customFormat="1" customHeight="1" s="311"/>
    <row r="2931" hidden="1" ht="18.75" customFormat="1" customHeight="1" s="311"/>
    <row r="2932" hidden="1" ht="18.75" customFormat="1" customHeight="1" s="311"/>
    <row r="2933" hidden="1" ht="18.75" customFormat="1" customHeight="1" s="311"/>
    <row r="2934" hidden="1" ht="18.75" customFormat="1" customHeight="1" s="311"/>
    <row r="2935" hidden="1" ht="18.75" customFormat="1" customHeight="1" s="311"/>
    <row r="2936" hidden="1" ht="18.75" customFormat="1" customHeight="1" s="311"/>
    <row r="2937" hidden="1" ht="18.75" customFormat="1" customHeight="1" s="311"/>
    <row r="2938" hidden="1" ht="18.75" customFormat="1" customHeight="1" s="311"/>
    <row r="2939" hidden="1" ht="18.75" customFormat="1" customHeight="1" s="311"/>
    <row r="2940" hidden="1" ht="18.75" customFormat="1" customHeight="1" s="311"/>
    <row r="2941" hidden="1" ht="18.75" customFormat="1" customHeight="1" s="311"/>
    <row r="2942" hidden="1" ht="18.75" customFormat="1" customHeight="1" s="311"/>
    <row r="2943" hidden="1" ht="18.75" customFormat="1" customHeight="1" s="311"/>
    <row r="2944" hidden="1" ht="18.75" customFormat="1" customHeight="1" s="311"/>
    <row r="2945" hidden="1" ht="18.75" customFormat="1" customHeight="1" s="311"/>
    <row r="2946" hidden="1" ht="18.75" customFormat="1" customHeight="1" s="311"/>
    <row r="2947" hidden="1" ht="18.75" customFormat="1" customHeight="1" s="311"/>
    <row r="2948" hidden="1" ht="18.75" customFormat="1" customHeight="1" s="311"/>
    <row r="2949" hidden="1" ht="18.75" customFormat="1" customHeight="1" s="311"/>
    <row r="2950" hidden="1" ht="18.75" customFormat="1" customHeight="1" s="311"/>
    <row r="2951" hidden="1" ht="18.75" customFormat="1" customHeight="1" s="311"/>
    <row r="2952" hidden="1" ht="18.75" customFormat="1" customHeight="1" s="311"/>
    <row r="2953" hidden="1" ht="18.75" customFormat="1" customHeight="1" s="311"/>
    <row r="2954" hidden="1" ht="18.75" customFormat="1" customHeight="1" s="311"/>
    <row r="2955" hidden="1" ht="18.75" customFormat="1" customHeight="1" s="311"/>
    <row r="2956" hidden="1" ht="18.75" customFormat="1" customHeight="1" s="311"/>
    <row r="2957" hidden="1" ht="18.75" customFormat="1" customHeight="1" s="311"/>
    <row r="2958" hidden="1" ht="18.75" customFormat="1" customHeight="1" s="311"/>
    <row r="2959" hidden="1" ht="18.75" customFormat="1" customHeight="1" s="311"/>
    <row r="2960" hidden="1" ht="18.75" customFormat="1" customHeight="1" s="311"/>
    <row r="2961" hidden="1" ht="18.75" customFormat="1" customHeight="1" s="311"/>
    <row r="2962" hidden="1" ht="18.75" customFormat="1" customHeight="1" s="311"/>
    <row r="2963" hidden="1" ht="18.75" customFormat="1" customHeight="1" s="311"/>
    <row r="2964" hidden="1" ht="18.75" customFormat="1" customHeight="1" s="311"/>
    <row r="2965" hidden="1" ht="18.75" customFormat="1" customHeight="1" s="311"/>
    <row r="2966" hidden="1" ht="18.75" customFormat="1" customHeight="1" s="311"/>
    <row r="2967" hidden="1" ht="18.75" customFormat="1" customHeight="1" s="311"/>
    <row r="2968" hidden="1" ht="18.75" customFormat="1" customHeight="1" s="311"/>
    <row r="2969" hidden="1" ht="18.75" customFormat="1" customHeight="1" s="311"/>
    <row r="2970" hidden="1" ht="18.75" customFormat="1" customHeight="1" s="311"/>
    <row r="2971" hidden="1" ht="18.75" customFormat="1" customHeight="1" s="311"/>
    <row r="2972" hidden="1" ht="18.75" customFormat="1" customHeight="1" s="311"/>
    <row r="2973" hidden="1" ht="18.75" customFormat="1" customHeight="1" s="311"/>
    <row r="2974" hidden="1" ht="18.75" customFormat="1" customHeight="1" s="311"/>
    <row r="2975" hidden="1" ht="18.75" customFormat="1" customHeight="1" s="311"/>
    <row r="2976" hidden="1" ht="18.75" customFormat="1" customHeight="1" s="311"/>
    <row r="2977" hidden="1" ht="18.75" customFormat="1" customHeight="1" s="311"/>
    <row r="2978" hidden="1" ht="18.75" customFormat="1" customHeight="1" s="311"/>
    <row r="2979" hidden="1" ht="18.75" customFormat="1" customHeight="1" s="311"/>
    <row r="2980" hidden="1" ht="18.75" customFormat="1" customHeight="1" s="311"/>
    <row r="2981" hidden="1" ht="18.75" customFormat="1" customHeight="1" s="311"/>
    <row r="2982" hidden="1" ht="18.75" customFormat="1" customHeight="1" s="311"/>
    <row r="2983" hidden="1" ht="18.75" customFormat="1" customHeight="1" s="311"/>
    <row r="2984" hidden="1" ht="18.75" customFormat="1" customHeight="1" s="311"/>
    <row r="2985" hidden="1" ht="18.75" customFormat="1" customHeight="1" s="311"/>
    <row r="2986" hidden="1" ht="18.75" customFormat="1" customHeight="1" s="311"/>
    <row r="2987" hidden="1" ht="18.75" customFormat="1" customHeight="1" s="311"/>
    <row r="2988" hidden="1" ht="18.75" customFormat="1" customHeight="1" s="311"/>
    <row r="2989" hidden="1" ht="18.75" customFormat="1" customHeight="1" s="311"/>
    <row r="2990" hidden="1" ht="18.75" customFormat="1" customHeight="1" s="311"/>
    <row r="2991" hidden="1" ht="18.75" customFormat="1" customHeight="1" s="311"/>
    <row r="2992" hidden="1" ht="18.75" customFormat="1" customHeight="1" s="311"/>
    <row r="2993" hidden="1" ht="18.75" customFormat="1" customHeight="1" s="311"/>
    <row r="2994" hidden="1" ht="18.75" customFormat="1" customHeight="1" s="311"/>
    <row r="2995" hidden="1" ht="18.75" customFormat="1" customHeight="1" s="311"/>
    <row r="2996" hidden="1" ht="18.75" customFormat="1" customHeight="1" s="311"/>
    <row r="2997" hidden="1" ht="18.75" customFormat="1" customHeight="1" s="311"/>
    <row r="2998" hidden="1" ht="18.75" customFormat="1" customHeight="1" s="311"/>
    <row r="2999" hidden="1" ht="18.75" customFormat="1" customHeight="1" s="311"/>
    <row r="3000" hidden="1" ht="18.75" customFormat="1" customHeight="1" s="311"/>
    <row r="3001" hidden="1" ht="18.75" customFormat="1" customHeight="1" s="311"/>
    <row r="3002" hidden="1" ht="18.75" customFormat="1" customHeight="1" s="311"/>
    <row r="3003" hidden="1" ht="18.75" customFormat="1" customHeight="1" s="311"/>
    <row r="3004" hidden="1" ht="18.75" customFormat="1" customHeight="1" s="311"/>
    <row r="3005" hidden="1" ht="18.75" customFormat="1" customHeight="1" s="311"/>
    <row r="3006" hidden="1" ht="18.75" customFormat="1" customHeight="1" s="311"/>
    <row r="3007" hidden="1" ht="18.75" customFormat="1" customHeight="1" s="311"/>
    <row r="3008" hidden="1" ht="18.75" customFormat="1" customHeight="1" s="311"/>
    <row r="3009" hidden="1" ht="18.75" customFormat="1" customHeight="1" s="311"/>
    <row r="3010" hidden="1" ht="18.75" customFormat="1" customHeight="1" s="311"/>
    <row r="3011" hidden="1" ht="18.75" customFormat="1" customHeight="1" s="311"/>
    <row r="3012" hidden="1" ht="18.75" customFormat="1" customHeight="1" s="311"/>
    <row r="3013" hidden="1" ht="18.75" customFormat="1" customHeight="1" s="311"/>
    <row r="3014" hidden="1" ht="18.75" customFormat="1" customHeight="1" s="311"/>
    <row r="3015" hidden="1" ht="18.75" customFormat="1" customHeight="1" s="311"/>
    <row r="3016" hidden="1" ht="18.75" customFormat="1" customHeight="1" s="311"/>
    <row r="3017" hidden="1" ht="18.75" customFormat="1" customHeight="1" s="311"/>
    <row r="3018" hidden="1" ht="18.75" customFormat="1" customHeight="1" s="311"/>
    <row r="3019" hidden="1" ht="18.75" customFormat="1" customHeight="1" s="311"/>
    <row r="3020" hidden="1" ht="18.75" customFormat="1" customHeight="1" s="311"/>
    <row r="3021" hidden="1" ht="18.75" customFormat="1" customHeight="1" s="311"/>
    <row r="3022" hidden="1" ht="18.75" customFormat="1" customHeight="1" s="311"/>
    <row r="3023" hidden="1" ht="18.75" customFormat="1" customHeight="1" s="311"/>
    <row r="3024" hidden="1" ht="18.75" customFormat="1" customHeight="1" s="311"/>
    <row r="3025" hidden="1" ht="18.75" customFormat="1" customHeight="1" s="311"/>
    <row r="3026" hidden="1" ht="18.75" customFormat="1" customHeight="1" s="311"/>
    <row r="3027" hidden="1" ht="18.75" customFormat="1" customHeight="1" s="311"/>
    <row r="3028" hidden="1" ht="18.75" customFormat="1" customHeight="1" s="311"/>
    <row r="3029" hidden="1" ht="18.75" customFormat="1" customHeight="1" s="311"/>
    <row r="3030" hidden="1" ht="18.75" customFormat="1" customHeight="1" s="311"/>
    <row r="3031" hidden="1" ht="18.75" customFormat="1" customHeight="1" s="311"/>
    <row r="3032" hidden="1" ht="18.75" customFormat="1" customHeight="1" s="311"/>
    <row r="3033" hidden="1" ht="18.75" customFormat="1" customHeight="1" s="311"/>
    <row r="3034" hidden="1" ht="18.75" customFormat="1" customHeight="1" s="311"/>
    <row r="3035" hidden="1" ht="18.75" customFormat="1" customHeight="1" s="311"/>
    <row r="3036" hidden="1" ht="18.75" customFormat="1" customHeight="1" s="311"/>
    <row r="3037" hidden="1" ht="18.75" customFormat="1" customHeight="1" s="311"/>
    <row r="3038" hidden="1" ht="18.75" customFormat="1" customHeight="1" s="311"/>
    <row r="3039" hidden="1" ht="18.75" customFormat="1" customHeight="1" s="311"/>
    <row r="3040" hidden="1" ht="18.75" customFormat="1" customHeight="1" s="311"/>
    <row r="3041" hidden="1" ht="18.75" customFormat="1" customHeight="1" s="311"/>
    <row r="3042" hidden="1" ht="18.75" customFormat="1" customHeight="1" s="311"/>
    <row r="3043" hidden="1" ht="18.75" customFormat="1" customHeight="1" s="311"/>
    <row r="3044" hidden="1" ht="18.75" customFormat="1" customHeight="1" s="311"/>
    <row r="3045" hidden="1" ht="18.75" customFormat="1" customHeight="1" s="311"/>
    <row r="3046" hidden="1" ht="18.75" customFormat="1" customHeight="1" s="311"/>
    <row r="3047" hidden="1" ht="18.75" customFormat="1" customHeight="1" s="311"/>
    <row r="3048" hidden="1" ht="18.75" customFormat="1" customHeight="1" s="311"/>
    <row r="3049" hidden="1" ht="18.75" customFormat="1" customHeight="1" s="311"/>
    <row r="3050" hidden="1" ht="18.75" customFormat="1" customHeight="1" s="311"/>
    <row r="3051" hidden="1" ht="18.75" customFormat="1" customHeight="1" s="311"/>
    <row r="3052" hidden="1" ht="18.75" customFormat="1" customHeight="1" s="311"/>
    <row r="3053" hidden="1" ht="18.75" customFormat="1" customHeight="1" s="311"/>
    <row r="3054" hidden="1" ht="18.75" customFormat="1" customHeight="1" s="311"/>
    <row r="3055" hidden="1" ht="18.75" customFormat="1" customHeight="1" s="311"/>
    <row r="3056" hidden="1" ht="18.75" customFormat="1" customHeight="1" s="311"/>
    <row r="3057" hidden="1" ht="18.75" customFormat="1" customHeight="1" s="311"/>
    <row r="3058" hidden="1" ht="18.75" customFormat="1" customHeight="1" s="311"/>
    <row r="3059" hidden="1" ht="18.75" customFormat="1" customHeight="1" s="311"/>
    <row r="3060" hidden="1" ht="18.75" customFormat="1" customHeight="1" s="311"/>
    <row r="3061" hidden="1" ht="18.75" customFormat="1" customHeight="1" s="311"/>
    <row r="3062" hidden="1" ht="18.75" customFormat="1" customHeight="1" s="311"/>
    <row r="3063" hidden="1" ht="18.75" customFormat="1" customHeight="1" s="311"/>
    <row r="3064" hidden="1" ht="18.75" customFormat="1" customHeight="1" s="311"/>
    <row r="3065" hidden="1" ht="18.75" customFormat="1" customHeight="1" s="311"/>
    <row r="3066" hidden="1" ht="18.75" customFormat="1" customHeight="1" s="311"/>
    <row r="3067" hidden="1" ht="18.75" customFormat="1" customHeight="1" s="311"/>
    <row r="3068" hidden="1" ht="18.75" customFormat="1" customHeight="1" s="311"/>
    <row r="3069" hidden="1" ht="18.75" customFormat="1" customHeight="1" s="311"/>
    <row r="3070" hidden="1" ht="18.75" customFormat="1" customHeight="1" s="311"/>
    <row r="3071" hidden="1" ht="18.75" customFormat="1" customHeight="1" s="311"/>
    <row r="3072" hidden="1" ht="18.75" customFormat="1" customHeight="1" s="311"/>
    <row r="3073" hidden="1" ht="18.75" customFormat="1" customHeight="1" s="311"/>
    <row r="3074" hidden="1" ht="18.75" customFormat="1" customHeight="1" s="311"/>
    <row r="3075" hidden="1" ht="18.75" customFormat="1" customHeight="1" s="311"/>
    <row r="3076" hidden="1" ht="18.75" customFormat="1" customHeight="1" s="311"/>
    <row r="3077" hidden="1" ht="18.75" customFormat="1" customHeight="1" s="311"/>
    <row r="3078" hidden="1" ht="18.75" customFormat="1" customHeight="1" s="311"/>
    <row r="3079" hidden="1" ht="18.75" customFormat="1" customHeight="1" s="311"/>
    <row r="3080" hidden="1" ht="18.75" customFormat="1" customHeight="1" s="311"/>
    <row r="3081" hidden="1" ht="18.75" customFormat="1" customHeight="1" s="311"/>
    <row r="3082" hidden="1" ht="18.75" customFormat="1" customHeight="1" s="311"/>
    <row r="3083" hidden="1" ht="18.75" customFormat="1" customHeight="1" s="311"/>
    <row r="3084" hidden="1" ht="18.75" customFormat="1" customHeight="1" s="311"/>
    <row r="3085" hidden="1" ht="18.75" customFormat="1" customHeight="1" s="311"/>
    <row r="3086" hidden="1" ht="18.75" customFormat="1" customHeight="1" s="311"/>
    <row r="3087" hidden="1" ht="18.75" customFormat="1" customHeight="1" s="311"/>
    <row r="3088" hidden="1" ht="18.75" customFormat="1" customHeight="1" s="311"/>
    <row r="3089" hidden="1" ht="18.75" customFormat="1" customHeight="1" s="311"/>
    <row r="3090" hidden="1" ht="18.75" customFormat="1" customHeight="1" s="311"/>
    <row r="3091" hidden="1" ht="18.75" customFormat="1" customHeight="1" s="311"/>
    <row r="3092" hidden="1" ht="18.75" customFormat="1" customHeight="1" s="311"/>
    <row r="3093" hidden="1" ht="18.75" customFormat="1" customHeight="1" s="311"/>
    <row r="3094" hidden="1" ht="18.75" customFormat="1" customHeight="1" s="311"/>
    <row r="3095" hidden="1" ht="18.75" customFormat="1" customHeight="1" s="311"/>
    <row r="3096" hidden="1" ht="18.75" customFormat="1" customHeight="1" s="311"/>
    <row r="3097" hidden="1" ht="18.75" customFormat="1" customHeight="1" s="311"/>
    <row r="3098" hidden="1" ht="18.75" customFormat="1" customHeight="1" s="311"/>
    <row r="3099" hidden="1" ht="18.75" customFormat="1" customHeight="1" s="311"/>
    <row r="3100" hidden="1" ht="18.75" customFormat="1" customHeight="1" s="311"/>
    <row r="3101" hidden="1" ht="18.75" customFormat="1" customHeight="1" s="311"/>
    <row r="3102" hidden="1" ht="18.75" customFormat="1" customHeight="1" s="311"/>
    <row r="3103" hidden="1" ht="18.75" customFormat="1" customHeight="1" s="311"/>
    <row r="3104" hidden="1" ht="18.75" customFormat="1" customHeight="1" s="311"/>
    <row r="3105" hidden="1" ht="18.75" customFormat="1" customHeight="1" s="311"/>
    <row r="3106" hidden="1" ht="18.75" customFormat="1" customHeight="1" s="311"/>
    <row r="3107" hidden="1" ht="18.75" customFormat="1" customHeight="1" s="311"/>
    <row r="3108" hidden="1" ht="18.75" customFormat="1" customHeight="1" s="311"/>
    <row r="3109" hidden="1" ht="18.75" customFormat="1" customHeight="1" s="311"/>
    <row r="3110" hidden="1" ht="18.75" customFormat="1" customHeight="1" s="311"/>
    <row r="3111" hidden="1" ht="18.75" customFormat="1" customHeight="1" s="311"/>
    <row r="3112" hidden="1" ht="18.75" customFormat="1" customHeight="1" s="311"/>
    <row r="3113" hidden="1" ht="18.75" customFormat="1" customHeight="1" s="311"/>
    <row r="3114" hidden="1" ht="18.75" customFormat="1" customHeight="1" s="311"/>
    <row r="3115" hidden="1" ht="18.75" customFormat="1" customHeight="1" s="311"/>
    <row r="3116" hidden="1" ht="18.75" customFormat="1" customHeight="1" s="311"/>
    <row r="3117" hidden="1" ht="18.75" customFormat="1" customHeight="1" s="311"/>
    <row r="3118" hidden="1" ht="18.75" customFormat="1" customHeight="1" s="311"/>
    <row r="3119" hidden="1" ht="18.75" customFormat="1" customHeight="1" s="311"/>
    <row r="3120" hidden="1" ht="18.75" customFormat="1" customHeight="1" s="311"/>
    <row r="3121" hidden="1" ht="18.75" customFormat="1" customHeight="1" s="311"/>
    <row r="3122" hidden="1" ht="18.75" customFormat="1" customHeight="1" s="311"/>
    <row r="3123" hidden="1" ht="18.75" customFormat="1" customHeight="1" s="311"/>
    <row r="3124" hidden="1" ht="18.75" customFormat="1" customHeight="1" s="311"/>
    <row r="3125" hidden="1" ht="18.75" customFormat="1" customHeight="1" s="311"/>
    <row r="3126" hidden="1" ht="18.75" customFormat="1" customHeight="1" s="311"/>
    <row r="3127" hidden="1" ht="18.75" customFormat="1" customHeight="1" s="311"/>
    <row r="3128" hidden="1" ht="18.75" customFormat="1" customHeight="1" s="311"/>
    <row r="3129" hidden="1" ht="18.75" customFormat="1" customHeight="1" s="311"/>
    <row r="3130" hidden="1" ht="18.75" customFormat="1" customHeight="1" s="311"/>
    <row r="3131" hidden="1" ht="18.75" customFormat="1" customHeight="1" s="311"/>
    <row r="3132" hidden="1" ht="18.75" customFormat="1" customHeight="1" s="311"/>
    <row r="3133" hidden="1" ht="18.75" customFormat="1" customHeight="1" s="311"/>
    <row r="3134" hidden="1" ht="18.75" customFormat="1" customHeight="1" s="311"/>
    <row r="3135" hidden="1" ht="18.75" customFormat="1" customHeight="1" s="311"/>
    <row r="3136" hidden="1" ht="18.75" customFormat="1" customHeight="1" s="311"/>
    <row r="3137" hidden="1" ht="18.75" customFormat="1" customHeight="1" s="311"/>
    <row r="3138" hidden="1" ht="18.75" customFormat="1" customHeight="1" s="311"/>
    <row r="3139" hidden="1" ht="18.75" customFormat="1" customHeight="1" s="311"/>
    <row r="3140" hidden="1" ht="18.75" customFormat="1" customHeight="1" s="311"/>
    <row r="3141" hidden="1" ht="18.75" customFormat="1" customHeight="1" s="311"/>
    <row r="3142" hidden="1" ht="18.75" customFormat="1" customHeight="1" s="311"/>
    <row r="3143" hidden="1" ht="18.75" customFormat="1" customHeight="1" s="311"/>
    <row r="3144" hidden="1" ht="18.75" customFormat="1" customHeight="1" s="311"/>
    <row r="3145" hidden="1" ht="18.75" customFormat="1" customHeight="1" s="311"/>
    <row r="3146" hidden="1" ht="18.75" customFormat="1" customHeight="1" s="311"/>
    <row r="3147" hidden="1" ht="18.75" customFormat="1" customHeight="1" s="311"/>
    <row r="3148" hidden="1" ht="18.75" customFormat="1" customHeight="1" s="311"/>
    <row r="3149" hidden="1" ht="18.75" customFormat="1" customHeight="1" s="311"/>
    <row r="3150" hidden="1" ht="18.75" customFormat="1" customHeight="1" s="311"/>
    <row r="3151" hidden="1" ht="18.75" customFormat="1" customHeight="1" s="311"/>
    <row r="3152" hidden="1" ht="18.75" customFormat="1" customHeight="1" s="311"/>
    <row r="3153" hidden="1" ht="18.75" customFormat="1" customHeight="1" s="311"/>
    <row r="3154" hidden="1" ht="18.75" customFormat="1" customHeight="1" s="311"/>
    <row r="3155" hidden="1" ht="18.75" customFormat="1" customHeight="1" s="311"/>
    <row r="3156" hidden="1" ht="18.75" customFormat="1" customHeight="1" s="311"/>
    <row r="3157" hidden="1" ht="18.75" customFormat="1" customHeight="1" s="311"/>
    <row r="3158" hidden="1" ht="18.75" customFormat="1" customHeight="1" s="311"/>
    <row r="3159" hidden="1" ht="18.75" customFormat="1" customHeight="1" s="311"/>
    <row r="3160" hidden="1" ht="18.75" customFormat="1" customHeight="1" s="311"/>
    <row r="3161" hidden="1" ht="18.75" customFormat="1" customHeight="1" s="311"/>
    <row r="3162" hidden="1" ht="18.75" customFormat="1" customHeight="1" s="311"/>
    <row r="3163" hidden="1" ht="18.75" customFormat="1" customHeight="1" s="311"/>
    <row r="3164" hidden="1" ht="18.75" customFormat="1" customHeight="1" s="311"/>
    <row r="3165" hidden="1" ht="18.75" customFormat="1" customHeight="1" s="311"/>
    <row r="3166" hidden="1" ht="18.75" customFormat="1" customHeight="1" s="311"/>
    <row r="3167" hidden="1" ht="18.75" customFormat="1" customHeight="1" s="311"/>
    <row r="3168" hidden="1" ht="18.75" customFormat="1" customHeight="1" s="311"/>
    <row r="3169" hidden="1" ht="18.75" customFormat="1" customHeight="1" s="311"/>
    <row r="3170" hidden="1" ht="18.75" customFormat="1" customHeight="1" s="311"/>
    <row r="3171" hidden="1" ht="18.75" customFormat="1" customHeight="1" s="311"/>
    <row r="3172" hidden="1" ht="18.75" customFormat="1" customHeight="1" s="311"/>
    <row r="3173" hidden="1" ht="18.75" customFormat="1" customHeight="1" s="311"/>
    <row r="3174" hidden="1" ht="18.75" customFormat="1" customHeight="1" s="311"/>
    <row r="3175" hidden="1" ht="18.75" customFormat="1" customHeight="1" s="311"/>
    <row r="3176" hidden="1" ht="18.75" customFormat="1" customHeight="1" s="311"/>
    <row r="3177" hidden="1" ht="18.75" customFormat="1" customHeight="1" s="311"/>
    <row r="3178" hidden="1" ht="18.75" customFormat="1" customHeight="1" s="311"/>
    <row r="3179" hidden="1" ht="18.75" customFormat="1" customHeight="1" s="311"/>
    <row r="3180" hidden="1" ht="18.75" customFormat="1" customHeight="1" s="311"/>
    <row r="3181" hidden="1" ht="18.75" customFormat="1" customHeight="1" s="311"/>
    <row r="3182" hidden="1" ht="18.75" customFormat="1" customHeight="1" s="311"/>
    <row r="3183" hidden="1" ht="18.75" customFormat="1" customHeight="1" s="311"/>
    <row r="3184" hidden="1" ht="18.75" customFormat="1" customHeight="1" s="311"/>
    <row r="3185" hidden="1" ht="18.75" customFormat="1" customHeight="1" s="311"/>
    <row r="3186" hidden="1" ht="18.75" customFormat="1" customHeight="1" s="311"/>
    <row r="3187" hidden="1" ht="18.75" customFormat="1" customHeight="1" s="311"/>
    <row r="3188" hidden="1" ht="18.75" customFormat="1" customHeight="1" s="311"/>
    <row r="3189" hidden="1" ht="18.75" customFormat="1" customHeight="1" s="311"/>
    <row r="3190" hidden="1" ht="18.75" customFormat="1" customHeight="1" s="311"/>
    <row r="3191" hidden="1" ht="18.75" customFormat="1" customHeight="1" s="311"/>
    <row r="3192" hidden="1" ht="18.75" customFormat="1" customHeight="1" s="311"/>
    <row r="3193" hidden="1" ht="18.75" customFormat="1" customHeight="1" s="311"/>
    <row r="3194" hidden="1" ht="18.75" customFormat="1" customHeight="1" s="311"/>
    <row r="3195" hidden="1" ht="18.75" customFormat="1" customHeight="1" s="311"/>
    <row r="3196" hidden="1" ht="18.75" customFormat="1" customHeight="1" s="311"/>
    <row r="3197" hidden="1" ht="18.75" customFormat="1" customHeight="1" s="311"/>
    <row r="3198" hidden="1" ht="18.75" customFormat="1" customHeight="1" s="311"/>
    <row r="3199" hidden="1" ht="18.75" customFormat="1" customHeight="1" s="311"/>
    <row r="3200" hidden="1" ht="18.75" customFormat="1" customHeight="1" s="311"/>
    <row r="3201" hidden="1" ht="18.75" customFormat="1" customHeight="1" s="311"/>
    <row r="3202" hidden="1" ht="18.75" customFormat="1" customHeight="1" s="311"/>
    <row r="3203" hidden="1" ht="18.75" customFormat="1" customHeight="1" s="311"/>
    <row r="3204" hidden="1" ht="18.75" customFormat="1" customHeight="1" s="311"/>
    <row r="3205" hidden="1" ht="18.75" customFormat="1" customHeight="1" s="311"/>
    <row r="3206" hidden="1" ht="18.75" customFormat="1" customHeight="1" s="311"/>
    <row r="3207" hidden="1" ht="18.75" customFormat="1" customHeight="1" s="311"/>
    <row r="3208" hidden="1" ht="18.75" customFormat="1" customHeight="1" s="311"/>
    <row r="3209" hidden="1" ht="18.75" customFormat="1" customHeight="1" s="311"/>
    <row r="3210" hidden="1" ht="18.75" customFormat="1" customHeight="1" s="311"/>
    <row r="3211" hidden="1" ht="18.75" customFormat="1" customHeight="1" s="311"/>
    <row r="3212" hidden="1" ht="18.75" customFormat="1" customHeight="1" s="311"/>
    <row r="3213" hidden="1" ht="18.75" customFormat="1" customHeight="1" s="311"/>
    <row r="3214" hidden="1" ht="18.75" customFormat="1" customHeight="1" s="311"/>
    <row r="3215" hidden="1" ht="18.75" customFormat="1" customHeight="1" s="311"/>
    <row r="3216" hidden="1" ht="18.75" customFormat="1" customHeight="1" s="311"/>
    <row r="3217" hidden="1" ht="18.75" customFormat="1" customHeight="1" s="311"/>
    <row r="3218" hidden="1" ht="18.75" customFormat="1" customHeight="1" s="311"/>
    <row r="3219" hidden="1" ht="18.75" customFormat="1" customHeight="1" s="311"/>
    <row r="3220" hidden="1" ht="18.75" customFormat="1" customHeight="1" s="311"/>
    <row r="3221" hidden="1" ht="18.75" customFormat="1" customHeight="1" s="311"/>
    <row r="3222" hidden="1" ht="18.75" customFormat="1" customHeight="1" s="311"/>
    <row r="3223" hidden="1" ht="18.75" customFormat="1" customHeight="1" s="311"/>
    <row r="3224" hidden="1" ht="18.75" customFormat="1" customHeight="1" s="311"/>
    <row r="3225" hidden="1" ht="18.75" customFormat="1" customHeight="1" s="311"/>
    <row r="3226" hidden="1" ht="18.75" customFormat="1" customHeight="1" s="311"/>
    <row r="3227" hidden="1" ht="18.75" customFormat="1" customHeight="1" s="311"/>
    <row r="3228" hidden="1" ht="18.75" customFormat="1" customHeight="1" s="311"/>
    <row r="3229" hidden="1" ht="18.75" customFormat="1" customHeight="1" s="311"/>
    <row r="3230" hidden="1" ht="18.75" customFormat="1" customHeight="1" s="311"/>
    <row r="3231" hidden="1" ht="18.75" customFormat="1" customHeight="1" s="311"/>
    <row r="3232" hidden="1" ht="18.75" customFormat="1" customHeight="1" s="311"/>
    <row r="3233" hidden="1" ht="18.75" customFormat="1" customHeight="1" s="311"/>
    <row r="3234" hidden="1" ht="18.75" customFormat="1" customHeight="1" s="311"/>
    <row r="3235" hidden="1" ht="18.75" customFormat="1" customHeight="1" s="311"/>
    <row r="3236" hidden="1" ht="18.75" customFormat="1" customHeight="1" s="311"/>
    <row r="3237" hidden="1" ht="18.75" customFormat="1" customHeight="1" s="311"/>
    <row r="3238" hidden="1" ht="18.75" customFormat="1" customHeight="1" s="311"/>
    <row r="3239" hidden="1" ht="18.75" customFormat="1" customHeight="1" s="311"/>
    <row r="3240" hidden="1" ht="18.75" customFormat="1" customHeight="1" s="311"/>
    <row r="3241" hidden="1" ht="18.75" customFormat="1" customHeight="1" s="311"/>
    <row r="3242" hidden="1" ht="18.75" customFormat="1" customHeight="1" s="311"/>
    <row r="3243" hidden="1" ht="18.75" customFormat="1" customHeight="1" s="311"/>
    <row r="3244" hidden="1" ht="18.75" customFormat="1" customHeight="1" s="311"/>
    <row r="3245" hidden="1" ht="18.75" customFormat="1" customHeight="1" s="311"/>
    <row r="3246" hidden="1" ht="18.75" customFormat="1" customHeight="1" s="311"/>
    <row r="3247" hidden="1" ht="18.75" customFormat="1" customHeight="1" s="311"/>
    <row r="3248" hidden="1" ht="18.75" customFormat="1" customHeight="1" s="311"/>
    <row r="3249" hidden="1" ht="18.75" customFormat="1" customHeight="1" s="311"/>
    <row r="3250" hidden="1" ht="18.75" customFormat="1" customHeight="1" s="311"/>
    <row r="3251" hidden="1" ht="18.75" customFormat="1" customHeight="1" s="311"/>
    <row r="3252" hidden="1" ht="18.75" customFormat="1" customHeight="1" s="311"/>
    <row r="3253" hidden="1" ht="18.75" customFormat="1" customHeight="1" s="311"/>
    <row r="3254" hidden="1" ht="18.75" customFormat="1" customHeight="1" s="311"/>
    <row r="3255" hidden="1" ht="18.75" customFormat="1" customHeight="1" s="311"/>
    <row r="3256" hidden="1" ht="18.75" customFormat="1" customHeight="1" s="311"/>
    <row r="3257" hidden="1" ht="18.75" customFormat="1" customHeight="1" s="311"/>
    <row r="3258" hidden="1" ht="18.75" customFormat="1" customHeight="1" s="311"/>
    <row r="3259" hidden="1" ht="18.75" customFormat="1" customHeight="1" s="311"/>
    <row r="3260" hidden="1" ht="18.75" customFormat="1" customHeight="1" s="311"/>
    <row r="3261" hidden="1" ht="18.75" customFormat="1" customHeight="1" s="311"/>
    <row r="3262" hidden="1" ht="18.75" customFormat="1" customHeight="1" s="311"/>
    <row r="3263" hidden="1" ht="18.75" customFormat="1" customHeight="1" s="311"/>
    <row r="3264" hidden="1" ht="18.75" customFormat="1" customHeight="1" s="311"/>
    <row r="3265" hidden="1" ht="18.75" customFormat="1" customHeight="1" s="311"/>
    <row r="3266" hidden="1" ht="18.75" customFormat="1" customHeight="1" s="311"/>
    <row r="3267" hidden="1" ht="18.75" customFormat="1" customHeight="1" s="311"/>
    <row r="3268" hidden="1" ht="18.75" customFormat="1" customHeight="1" s="311"/>
    <row r="3269" hidden="1" ht="18.75" customFormat="1" customHeight="1" s="311"/>
    <row r="3270" hidden="1" ht="18.75" customFormat="1" customHeight="1" s="311"/>
    <row r="3271" hidden="1" ht="18.75" customFormat="1" customHeight="1" s="311"/>
    <row r="3272" hidden="1" ht="18.75" customFormat="1" customHeight="1" s="311"/>
    <row r="3273" hidden="1" ht="18.75" customFormat="1" customHeight="1" s="311"/>
    <row r="3274" hidden="1" ht="18.75" customFormat="1" customHeight="1" s="311"/>
    <row r="3275" hidden="1" ht="18.75" customFormat="1" customHeight="1" s="311"/>
    <row r="3276" hidden="1" ht="18.75" customFormat="1" customHeight="1" s="311"/>
    <row r="3277" hidden="1" ht="18.75" customFormat="1" customHeight="1" s="311"/>
    <row r="3278" hidden="1" ht="18.75" customFormat="1" customHeight="1" s="311"/>
    <row r="3279" hidden="1" ht="18.75" customFormat="1" customHeight="1" s="311"/>
    <row r="3280" hidden="1" ht="18.75" customFormat="1" customHeight="1" s="311"/>
    <row r="3281" hidden="1" ht="18.75" customFormat="1" customHeight="1" s="311"/>
    <row r="3282" hidden="1" ht="18.75" customFormat="1" customHeight="1" s="311"/>
    <row r="3283" hidden="1" ht="18.75" customFormat="1" customHeight="1" s="311"/>
    <row r="3284" hidden="1" ht="18.75" customFormat="1" customHeight="1" s="311"/>
    <row r="3285" hidden="1" ht="18.75" customFormat="1" customHeight="1" s="311"/>
    <row r="3286" hidden="1" ht="18.75" customFormat="1" customHeight="1" s="311"/>
    <row r="3287" hidden="1" ht="18.75" customFormat="1" customHeight="1" s="311"/>
    <row r="3288" hidden="1" ht="18.75" customFormat="1" customHeight="1" s="311"/>
    <row r="3289" hidden="1" ht="18.75" customFormat="1" customHeight="1" s="311"/>
    <row r="3290" hidden="1" ht="18.75" customFormat="1" customHeight="1" s="311"/>
    <row r="3291" hidden="1" ht="18.75" customFormat="1" customHeight="1" s="311"/>
    <row r="3292" hidden="1" ht="18.75" customFormat="1" customHeight="1" s="311"/>
    <row r="3293" hidden="1" ht="18.75" customFormat="1" customHeight="1" s="311"/>
    <row r="3294" hidden="1" ht="18.75" customFormat="1" customHeight="1" s="311"/>
    <row r="3295" hidden="1" ht="18.75" customFormat="1" customHeight="1" s="311"/>
    <row r="3296" hidden="1" ht="18.75" customFormat="1" customHeight="1" s="311"/>
    <row r="3297" hidden="1" ht="18.75" customFormat="1" customHeight="1" s="311"/>
    <row r="3298" hidden="1" ht="18.75" customFormat="1" customHeight="1" s="311"/>
    <row r="3299" hidden="1" ht="18.75" customFormat="1" customHeight="1" s="311"/>
    <row r="3300" hidden="1" ht="18.75" customFormat="1" customHeight="1" s="311"/>
    <row r="3301" hidden="1" ht="18.75" customFormat="1" customHeight="1" s="311"/>
    <row r="3302" hidden="1" ht="18.75" customFormat="1" customHeight="1" s="311"/>
    <row r="3303" hidden="1" ht="18.75" customFormat="1" customHeight="1" s="311"/>
    <row r="3304" hidden="1" ht="18.75" customFormat="1" customHeight="1" s="311"/>
    <row r="3305" hidden="1" ht="18.75" customFormat="1" customHeight="1" s="311"/>
    <row r="3306" hidden="1" ht="18.75" customFormat="1" customHeight="1" s="311"/>
    <row r="3307" hidden="1" ht="18.75" customFormat="1" customHeight="1" s="311"/>
    <row r="3308" hidden="1" ht="18.75" customFormat="1" customHeight="1" s="311"/>
    <row r="3309" hidden="1" ht="18.75" customFormat="1" customHeight="1" s="311"/>
    <row r="3310" hidden="1" ht="18.75" customFormat="1" customHeight="1" s="311"/>
    <row r="3311" hidden="1" ht="18.75" customFormat="1" customHeight="1" s="311"/>
    <row r="3312" hidden="1" ht="18.75" customFormat="1" customHeight="1" s="311"/>
    <row r="3313" hidden="1" ht="18.75" customFormat="1" customHeight="1" s="311"/>
    <row r="3314" hidden="1" ht="18.75" customFormat="1" customHeight="1" s="311"/>
    <row r="3315" hidden="1" ht="18.75" customFormat="1" customHeight="1" s="311"/>
    <row r="3316" hidden="1" ht="18.75" customFormat="1" customHeight="1" s="311"/>
    <row r="3317" hidden="1" ht="18.75" customFormat="1" customHeight="1" s="311"/>
    <row r="3318" hidden="1" ht="18.75" customFormat="1" customHeight="1" s="311"/>
    <row r="3319" hidden="1" ht="18.75" customFormat="1" customHeight="1" s="311"/>
    <row r="3320" hidden="1" ht="18.75" customFormat="1" customHeight="1" s="311"/>
    <row r="3321" hidden="1" ht="18.75" customFormat="1" customHeight="1" s="311"/>
    <row r="3322" hidden="1" ht="18.75" customFormat="1" customHeight="1" s="311"/>
    <row r="3323" hidden="1" ht="18.75" customFormat="1" customHeight="1" s="311"/>
    <row r="3324" hidden="1" ht="18.75" customFormat="1" customHeight="1" s="311"/>
    <row r="3325" hidden="1" ht="18.75" customFormat="1" customHeight="1" s="311"/>
    <row r="3326" hidden="1" ht="18.75" customFormat="1" customHeight="1" s="311"/>
    <row r="3327" hidden="1" ht="18.75" customFormat="1" customHeight="1" s="311"/>
    <row r="3328" hidden="1" ht="18.75" customFormat="1" customHeight="1" s="311"/>
    <row r="3329" hidden="1" ht="18.75" customFormat="1" customHeight="1" s="311"/>
    <row r="3330" hidden="1" ht="18.75" customFormat="1" customHeight="1" s="311"/>
    <row r="3331" hidden="1" ht="18.75" customFormat="1" customHeight="1" s="311"/>
    <row r="3332" hidden="1" ht="18.75" customFormat="1" customHeight="1" s="311"/>
    <row r="3333" hidden="1" ht="18.75" customFormat="1" customHeight="1" s="311"/>
    <row r="3334" hidden="1" ht="18.75" customFormat="1" customHeight="1" s="311"/>
    <row r="3335" hidden="1" ht="18.75" customFormat="1" customHeight="1" s="311"/>
    <row r="3336" hidden="1" ht="18.75" customFormat="1" customHeight="1" s="311"/>
    <row r="3337" hidden="1" ht="18.75" customFormat="1" customHeight="1" s="311"/>
    <row r="3338" hidden="1" ht="18.75" customFormat="1" customHeight="1" s="311"/>
    <row r="3339" hidden="1" ht="18.75" customFormat="1" customHeight="1" s="311"/>
    <row r="3340" hidden="1" ht="18.75" customFormat="1" customHeight="1" s="311"/>
    <row r="3341" hidden="1" ht="18.75" customFormat="1" customHeight="1" s="311"/>
    <row r="3342" hidden="1" ht="18.75" customFormat="1" customHeight="1" s="311"/>
    <row r="3343" hidden="1" ht="18.75" customFormat="1" customHeight="1" s="311"/>
    <row r="3344" hidden="1" ht="18.75" customFormat="1" customHeight="1" s="311"/>
    <row r="3345" hidden="1" ht="18.75" customFormat="1" customHeight="1" s="311"/>
    <row r="3346" hidden="1" ht="18.75" customFormat="1" customHeight="1" s="311"/>
    <row r="3347" hidden="1" ht="18.75" customFormat="1" customHeight="1" s="311"/>
    <row r="3348" hidden="1" ht="18.75" customFormat="1" customHeight="1" s="311"/>
    <row r="3349" hidden="1" ht="18.75" customFormat="1" customHeight="1" s="311"/>
    <row r="3350" hidden="1" ht="18.75" customFormat="1" customHeight="1" s="311"/>
    <row r="3351" hidden="1" ht="18.75" customFormat="1" customHeight="1" s="311"/>
    <row r="3352" hidden="1" ht="18.75" customFormat="1" customHeight="1" s="311"/>
    <row r="3353" hidden="1" ht="18.75" customFormat="1" customHeight="1" s="311"/>
    <row r="3354" hidden="1" ht="18.75" customFormat="1" customHeight="1" s="311"/>
    <row r="3355" hidden="1" ht="18.75" customFormat="1" customHeight="1" s="311"/>
    <row r="3356" hidden="1" ht="18.75" customFormat="1" customHeight="1" s="311"/>
    <row r="3357" hidden="1" ht="18.75" customFormat="1" customHeight="1" s="311"/>
    <row r="3358" hidden="1" ht="18.75" customFormat="1" customHeight="1" s="311"/>
    <row r="3359" hidden="1" ht="18.75" customFormat="1" customHeight="1" s="311"/>
    <row r="3360" hidden="1" ht="18.75" customFormat="1" customHeight="1" s="311"/>
    <row r="3361" hidden="1" ht="18.75" customFormat="1" customHeight="1" s="311"/>
    <row r="3362" hidden="1" ht="18.75" customFormat="1" customHeight="1" s="311"/>
    <row r="3363" hidden="1" ht="18.75" customFormat="1" customHeight="1" s="311"/>
    <row r="3364" hidden="1" ht="18.75" customFormat="1" customHeight="1" s="311"/>
    <row r="3365" hidden="1" ht="18.75" customFormat="1" customHeight="1" s="311"/>
    <row r="3366" hidden="1" ht="18.75" customFormat="1" customHeight="1" s="311"/>
    <row r="3367" hidden="1" ht="18.75" customFormat="1" customHeight="1" s="311"/>
    <row r="3368" hidden="1" ht="18.75" customFormat="1" customHeight="1" s="311"/>
    <row r="3369" hidden="1" ht="18.75" customFormat="1" customHeight="1" s="311"/>
    <row r="3370" hidden="1" ht="18.75" customFormat="1" customHeight="1" s="311"/>
    <row r="3371" hidden="1" ht="18.75" customFormat="1" customHeight="1" s="311"/>
    <row r="3372" hidden="1" ht="18.75" customFormat="1" customHeight="1" s="311"/>
    <row r="3373" hidden="1" ht="18.75" customFormat="1" customHeight="1" s="311"/>
    <row r="3374" hidden="1" ht="18.75" customFormat="1" customHeight="1" s="311"/>
    <row r="3375" hidden="1" ht="18.75" customFormat="1" customHeight="1" s="311"/>
    <row r="3376" hidden="1" ht="18.75" customFormat="1" customHeight="1" s="311"/>
    <row r="3377" hidden="1" ht="18.75" customFormat="1" customHeight="1" s="311"/>
    <row r="3378" hidden="1" ht="18.75" customFormat="1" customHeight="1" s="311"/>
    <row r="3379" hidden="1" ht="18.75" customFormat="1" customHeight="1" s="311"/>
    <row r="3380" hidden="1" ht="18.75" customFormat="1" customHeight="1" s="311"/>
    <row r="3381" hidden="1" ht="18.75" customFormat="1" customHeight="1" s="311"/>
    <row r="3382" hidden="1" ht="18.75" customFormat="1" customHeight="1" s="311"/>
    <row r="3383" hidden="1" ht="18.75" customFormat="1" customHeight="1" s="311"/>
    <row r="3384" hidden="1" ht="18.75" customFormat="1" customHeight="1" s="311"/>
    <row r="3385" hidden="1" ht="18.75" customFormat="1" customHeight="1" s="311"/>
    <row r="3386" hidden="1" ht="18.75" customFormat="1" customHeight="1" s="311"/>
    <row r="3387" hidden="1" ht="18.75" customFormat="1" customHeight="1" s="311"/>
    <row r="3388" hidden="1" ht="18.75" customFormat="1" customHeight="1" s="311"/>
    <row r="3389" hidden="1" ht="18.75" customFormat="1" customHeight="1" s="311"/>
    <row r="3390" hidden="1" ht="18.75" customFormat="1" customHeight="1" s="311"/>
    <row r="3391" hidden="1" ht="18.75" customFormat="1" customHeight="1" s="311"/>
    <row r="3392" hidden="1" ht="18.75" customFormat="1" customHeight="1" s="311"/>
    <row r="3393" hidden="1" ht="18.75" customFormat="1" customHeight="1" s="311"/>
    <row r="3394" hidden="1" ht="18.75" customFormat="1" customHeight="1" s="311"/>
    <row r="3395" hidden="1" ht="18.75" customFormat="1" customHeight="1" s="311"/>
    <row r="3396" hidden="1" ht="18.75" customFormat="1" customHeight="1" s="311"/>
    <row r="3397" hidden="1" ht="18.75" customFormat="1" customHeight="1" s="311"/>
    <row r="3398" hidden="1" ht="18.75" customFormat="1" customHeight="1" s="311"/>
    <row r="3399" hidden="1" ht="18.75" customFormat="1" customHeight="1" s="311"/>
    <row r="3400" hidden="1" ht="18.75" customFormat="1" customHeight="1" s="311"/>
    <row r="3401" hidden="1" ht="18.75" customFormat="1" customHeight="1" s="311"/>
    <row r="3402" hidden="1" ht="18.75" customFormat="1" customHeight="1" s="311"/>
    <row r="3403" hidden="1" ht="18.75" customFormat="1" customHeight="1" s="311"/>
    <row r="3404" hidden="1" ht="18.75" customFormat="1" customHeight="1" s="311"/>
    <row r="3405" hidden="1" ht="18.75" customFormat="1" customHeight="1" s="311"/>
    <row r="3406" hidden="1" ht="18.75" customFormat="1" customHeight="1" s="311"/>
    <row r="3407" hidden="1" ht="18.75" customFormat="1" customHeight="1" s="311"/>
    <row r="3408" hidden="1" ht="18.75" customFormat="1" customHeight="1" s="311"/>
    <row r="3409" hidden="1" ht="18.75" customFormat="1" customHeight="1" s="311"/>
    <row r="3410" hidden="1" ht="18.75" customFormat="1" customHeight="1" s="311"/>
    <row r="3411" hidden="1" ht="18.75" customFormat="1" customHeight="1" s="311"/>
    <row r="3412" hidden="1" ht="18.75" customFormat="1" customHeight="1" s="311"/>
    <row r="3413" hidden="1" ht="18.75" customFormat="1" customHeight="1" s="311"/>
    <row r="3414" hidden="1" ht="18.75" customFormat="1" customHeight="1" s="311"/>
    <row r="3415" hidden="1" ht="18.75" customFormat="1" customHeight="1" s="311"/>
    <row r="3416" hidden="1" ht="18.75" customFormat="1" customHeight="1" s="311"/>
    <row r="3417" hidden="1" ht="18.75" customFormat="1" customHeight="1" s="311"/>
    <row r="3418" hidden="1" ht="18.75" customFormat="1" customHeight="1" s="311"/>
    <row r="3419" hidden="1" ht="18.75" customFormat="1" customHeight="1" s="311"/>
    <row r="3420" hidden="1" ht="18.75" customFormat="1" customHeight="1" s="311"/>
    <row r="3421" hidden="1" ht="18.75" customFormat="1" customHeight="1" s="311"/>
    <row r="3422" hidden="1" ht="18.75" customFormat="1" customHeight="1" s="311"/>
    <row r="3423" hidden="1" ht="18.75" customFormat="1" customHeight="1" s="311"/>
    <row r="3424" hidden="1" ht="18.75" customFormat="1" customHeight="1" s="311"/>
    <row r="3425" hidden="1" ht="18.75" customFormat="1" customHeight="1" s="311"/>
    <row r="3426" hidden="1" ht="18.75" customFormat="1" customHeight="1" s="311"/>
    <row r="3427" hidden="1" ht="18.75" customFormat="1" customHeight="1" s="311"/>
    <row r="3428" hidden="1" ht="18.75" customFormat="1" customHeight="1" s="311"/>
    <row r="3429" hidden="1" ht="18.75" customFormat="1" customHeight="1" s="311"/>
    <row r="3430" hidden="1" ht="18.75" customFormat="1" customHeight="1" s="311"/>
    <row r="3431" hidden="1" ht="18.75" customFormat="1" customHeight="1" s="311"/>
    <row r="3432" hidden="1" ht="18.75" customFormat="1" customHeight="1" s="311"/>
    <row r="3433" hidden="1" ht="18.75" customFormat="1" customHeight="1" s="311"/>
    <row r="3434" hidden="1" ht="18.75" customFormat="1" customHeight="1" s="311"/>
    <row r="3435" hidden="1" ht="18.75" customFormat="1" customHeight="1" s="311"/>
    <row r="3436" hidden="1" ht="18.75" customFormat="1" customHeight="1" s="311"/>
    <row r="3437" hidden="1" ht="18.75" customFormat="1" customHeight="1" s="311"/>
    <row r="3438" hidden="1" ht="18.75" customFormat="1" customHeight="1" s="311"/>
    <row r="3439" hidden="1" ht="18.75" customFormat="1" customHeight="1" s="311"/>
    <row r="3440" hidden="1" ht="18.75" customFormat="1" customHeight="1" s="311"/>
    <row r="3441" hidden="1" ht="18.75" customFormat="1" customHeight="1" s="311"/>
    <row r="3442" hidden="1" ht="18.75" customFormat="1" customHeight="1" s="311"/>
    <row r="3443" hidden="1" ht="18.75" customFormat="1" customHeight="1" s="311"/>
    <row r="3444" hidden="1" ht="18.75" customFormat="1" customHeight="1" s="311"/>
    <row r="3445" hidden="1" ht="18.75" customFormat="1" customHeight="1" s="311"/>
    <row r="3446" hidden="1" ht="18.75" customFormat="1" customHeight="1" s="311"/>
    <row r="3447" hidden="1" ht="18.75" customFormat="1" customHeight="1" s="311"/>
    <row r="3448" hidden="1" ht="18.75" customFormat="1" customHeight="1" s="311"/>
    <row r="3449" hidden="1" ht="18.75" customFormat="1" customHeight="1" s="311"/>
    <row r="3450" hidden="1" ht="18.75" customFormat="1" customHeight="1" s="311"/>
    <row r="3451" hidden="1" ht="18.75" customFormat="1" customHeight="1" s="311"/>
    <row r="3452" hidden="1" ht="18.75" customFormat="1" customHeight="1" s="311"/>
    <row r="3453" hidden="1" ht="18.75" customFormat="1" customHeight="1" s="311"/>
    <row r="3454" hidden="1" ht="18.75" customFormat="1" customHeight="1" s="311"/>
    <row r="3455" hidden="1" ht="18.75" customFormat="1" customHeight="1" s="311"/>
    <row r="3456" hidden="1" ht="18.75" customFormat="1" customHeight="1" s="311"/>
    <row r="3457" hidden="1" ht="18.75" customFormat="1" customHeight="1" s="311"/>
    <row r="3458" hidden="1" ht="18.75" customFormat="1" customHeight="1" s="311"/>
    <row r="3459" hidden="1" ht="18.75" customFormat="1" customHeight="1" s="311"/>
    <row r="3460" hidden="1" ht="18.75" customFormat="1" customHeight="1" s="311"/>
    <row r="3461" hidden="1" ht="18.75" customFormat="1" customHeight="1" s="311"/>
    <row r="3462" hidden="1" ht="18.75" customFormat="1" customHeight="1" s="311"/>
    <row r="3463" hidden="1" ht="18.75" customFormat="1" customHeight="1" s="311"/>
    <row r="3464" hidden="1" ht="18.75" customFormat="1" customHeight="1" s="311"/>
    <row r="3465" hidden="1" ht="18.75" customFormat="1" customHeight="1" s="311"/>
    <row r="3466" hidden="1" ht="18.75" customFormat="1" customHeight="1" s="311"/>
    <row r="3467" hidden="1" ht="18.75" customFormat="1" customHeight="1" s="311"/>
    <row r="3468" hidden="1" ht="18.75" customFormat="1" customHeight="1" s="311"/>
    <row r="3469" hidden="1" ht="18.75" customFormat="1" customHeight="1" s="311"/>
    <row r="3470" hidden="1" ht="18.75" customFormat="1" customHeight="1" s="311"/>
    <row r="3471" hidden="1" ht="18.75" customFormat="1" customHeight="1" s="311"/>
    <row r="3472" hidden="1" ht="18.75" customFormat="1" customHeight="1" s="311"/>
    <row r="3473" hidden="1" ht="18.75" customFormat="1" customHeight="1" s="311"/>
    <row r="3474" hidden="1" ht="18.75" customFormat="1" customHeight="1" s="311"/>
    <row r="3475" hidden="1" ht="18.75" customFormat="1" customHeight="1" s="311"/>
    <row r="3476" hidden="1" ht="18.75" customFormat="1" customHeight="1" s="311"/>
    <row r="3477" hidden="1" ht="18.75" customFormat="1" customHeight="1" s="311"/>
    <row r="3478" hidden="1" ht="18.75" customFormat="1" customHeight="1" s="311"/>
    <row r="3479" hidden="1" ht="18.75" customFormat="1" customHeight="1" s="311"/>
    <row r="3480" hidden="1" ht="18.75" customFormat="1" customHeight="1" s="311"/>
    <row r="3481" hidden="1" ht="18.75" customFormat="1" customHeight="1" s="311"/>
    <row r="3482" hidden="1" ht="18.75" customFormat="1" customHeight="1" s="311"/>
    <row r="3483" hidden="1" ht="18.75" customFormat="1" customHeight="1" s="311"/>
    <row r="3484" hidden="1" ht="18.75" customFormat="1" customHeight="1" s="311"/>
    <row r="3485" hidden="1" ht="18.75" customFormat="1" customHeight="1" s="311"/>
    <row r="3486" hidden="1" ht="18.75" customFormat="1" customHeight="1" s="311"/>
    <row r="3487" hidden="1" ht="18.75" customFormat="1" customHeight="1" s="311"/>
    <row r="3488" hidden="1" ht="18.75" customFormat="1" customHeight="1" s="311"/>
    <row r="3489" hidden="1" ht="18.75" customFormat="1" customHeight="1" s="311"/>
    <row r="3490" hidden="1" ht="18.75" customFormat="1" customHeight="1" s="311"/>
    <row r="3491" hidden="1" ht="18.75" customFormat="1" customHeight="1" s="311"/>
    <row r="3492" hidden="1" ht="18.75" customFormat="1" customHeight="1" s="311"/>
    <row r="3493" hidden="1" ht="18.75" customFormat="1" customHeight="1" s="311"/>
    <row r="3494" hidden="1" ht="18.75" customFormat="1" customHeight="1" s="311"/>
    <row r="3495" hidden="1" ht="18.75" customFormat="1" customHeight="1" s="311"/>
    <row r="3496" hidden="1" ht="18.75" customFormat="1" customHeight="1" s="311"/>
    <row r="3497" hidden="1" ht="18.75" customFormat="1" customHeight="1" s="311"/>
    <row r="3498" hidden="1" ht="18.75" customFormat="1" customHeight="1" s="311"/>
    <row r="3499" hidden="1" ht="18.75" customFormat="1" customHeight="1" s="311"/>
    <row r="3500" hidden="1" ht="18.75" customFormat="1" customHeight="1" s="311"/>
    <row r="3501" hidden="1" ht="18.75" customFormat="1" customHeight="1" s="311"/>
    <row r="3502" hidden="1" ht="18.75" customFormat="1" customHeight="1" s="311"/>
    <row r="3503" hidden="1" ht="18.75" customFormat="1" customHeight="1" s="311"/>
    <row r="3504" hidden="1" ht="18.75" customFormat="1" customHeight="1" s="311"/>
    <row r="3505" hidden="1" ht="18.75" customFormat="1" customHeight="1" s="311"/>
    <row r="3506" hidden="1" ht="18.75" customFormat="1" customHeight="1" s="311"/>
    <row r="3507" hidden="1" ht="18.75" customFormat="1" customHeight="1" s="311"/>
    <row r="3508" hidden="1" ht="18.75" customFormat="1" customHeight="1" s="311"/>
    <row r="3509" hidden="1" ht="18.75" customFormat="1" customHeight="1" s="311"/>
    <row r="3510" hidden="1" ht="18.75" customFormat="1" customHeight="1" s="311"/>
    <row r="3511" hidden="1" ht="18.75" customFormat="1" customHeight="1" s="311"/>
    <row r="3512" hidden="1" ht="18.75" customFormat="1" customHeight="1" s="311"/>
    <row r="3513" hidden="1" ht="18.75" customFormat="1" customHeight="1" s="311"/>
    <row r="3514" hidden="1" ht="18.75" customFormat="1" customHeight="1" s="311"/>
    <row r="3515" hidden="1" ht="18.75" customFormat="1" customHeight="1" s="311"/>
    <row r="3516" hidden="1" ht="18.75" customFormat="1" customHeight="1" s="311"/>
    <row r="3517" hidden="1" ht="18.75" customFormat="1" customHeight="1" s="311"/>
    <row r="3518" hidden="1" ht="18.75" customFormat="1" customHeight="1" s="311"/>
    <row r="3519" hidden="1" ht="18.75" customFormat="1" customHeight="1" s="311"/>
    <row r="3520" hidden="1" ht="18.75" customFormat="1" customHeight="1" s="311"/>
    <row r="3521" hidden="1" ht="18.75" customFormat="1" customHeight="1" s="311"/>
    <row r="3522" hidden="1" ht="18.75" customFormat="1" customHeight="1" s="311"/>
    <row r="3523" hidden="1" ht="18.75" customFormat="1" customHeight="1" s="311"/>
    <row r="3524" hidden="1" ht="18.75" customFormat="1" customHeight="1" s="311"/>
    <row r="3525" hidden="1" ht="18.75" customFormat="1" customHeight="1" s="311"/>
    <row r="3526" hidden="1" ht="18.75" customFormat="1" customHeight="1" s="311"/>
    <row r="3527" hidden="1" ht="18.75" customFormat="1" customHeight="1" s="311"/>
    <row r="3528" hidden="1" ht="18.75" customFormat="1" customHeight="1" s="311"/>
    <row r="3529" hidden="1" ht="18.75" customFormat="1" customHeight="1" s="311"/>
    <row r="3530" hidden="1" ht="18.75" customFormat="1" customHeight="1" s="311"/>
    <row r="3531" hidden="1" ht="18.75" customFormat="1" customHeight="1" s="311"/>
    <row r="3532" hidden="1" ht="18.75" customFormat="1" customHeight="1" s="311"/>
    <row r="3533" hidden="1" ht="18.75" customFormat="1" customHeight="1" s="311"/>
    <row r="3534" hidden="1" ht="18.75" customFormat="1" customHeight="1" s="311"/>
    <row r="3535" hidden="1" ht="18.75" customFormat="1" customHeight="1" s="311"/>
    <row r="3536" hidden="1" ht="18.75" customFormat="1" customHeight="1" s="311"/>
    <row r="3537" hidden="1" ht="18.75" customFormat="1" customHeight="1" s="311"/>
    <row r="3538" hidden="1" ht="18.75" customFormat="1" customHeight="1" s="311"/>
    <row r="3539" hidden="1" ht="18.75" customFormat="1" customHeight="1" s="311"/>
    <row r="3540" hidden="1" ht="18.75" customFormat="1" customHeight="1" s="311"/>
    <row r="3541" hidden="1" ht="18.75" customFormat="1" customHeight="1" s="311"/>
    <row r="3542" hidden="1" ht="18.75" customFormat="1" customHeight="1" s="311"/>
    <row r="3543" hidden="1" ht="18.75" customFormat="1" customHeight="1" s="311"/>
    <row r="3544" hidden="1" ht="18.75" customFormat="1" customHeight="1" s="311"/>
    <row r="3545" hidden="1" ht="18.75" customFormat="1" customHeight="1" s="311"/>
    <row r="3546" hidden="1" ht="18.75" customFormat="1" customHeight="1" s="311"/>
    <row r="3547" hidden="1" ht="18.75" customFormat="1" customHeight="1" s="311"/>
    <row r="3548" hidden="1" ht="18.75" customFormat="1" customHeight="1" s="311"/>
    <row r="3549" hidden="1" ht="18.75" customFormat="1" customHeight="1" s="311"/>
    <row r="3550" hidden="1" ht="18.75" customFormat="1" customHeight="1" s="311"/>
    <row r="3551" hidden="1" ht="18.75" customFormat="1" customHeight="1" s="311"/>
    <row r="3552" hidden="1" ht="18.75" customFormat="1" customHeight="1" s="311"/>
    <row r="3553" hidden="1" ht="18.75" customFormat="1" customHeight="1" s="311"/>
    <row r="3554" hidden="1" ht="18.75" customFormat="1" customHeight="1" s="311"/>
    <row r="3555" hidden="1" ht="18.75" customFormat="1" customHeight="1" s="311"/>
    <row r="3556" hidden="1" ht="18.75" customFormat="1" customHeight="1" s="311"/>
    <row r="3557" hidden="1" ht="18.75" customFormat="1" customHeight="1" s="311"/>
    <row r="3558" hidden="1" ht="18.75" customFormat="1" customHeight="1" s="311"/>
    <row r="3559" hidden="1" ht="18.75" customFormat="1" customHeight="1" s="311"/>
    <row r="3560" hidden="1" ht="18.75" customFormat="1" customHeight="1" s="311"/>
    <row r="3561" hidden="1" ht="18.75" customFormat="1" customHeight="1" s="311"/>
    <row r="3562" hidden="1" ht="18.75" customFormat="1" customHeight="1" s="311"/>
    <row r="3563" hidden="1" ht="18.75" customFormat="1" customHeight="1" s="311"/>
    <row r="3564" hidden="1" ht="18.75" customFormat="1" customHeight="1" s="311"/>
    <row r="3565" hidden="1" ht="18.75" customFormat="1" customHeight="1" s="311"/>
    <row r="3566" hidden="1" ht="18.75" customFormat="1" customHeight="1" s="311"/>
    <row r="3567" hidden="1" ht="18.75" customFormat="1" customHeight="1" s="311"/>
    <row r="3568" hidden="1" ht="18.75" customFormat="1" customHeight="1" s="311"/>
    <row r="3569" hidden="1" ht="18.75" customFormat="1" customHeight="1" s="311"/>
    <row r="3570" hidden="1" ht="18.75" customFormat="1" customHeight="1" s="311"/>
    <row r="3571" hidden="1" ht="18.75" customFormat="1" customHeight="1" s="311"/>
    <row r="3572" hidden="1" ht="18.75" customFormat="1" customHeight="1" s="311"/>
    <row r="3573" hidden="1" ht="18.75" customFormat="1" customHeight="1" s="311"/>
    <row r="3574" hidden="1" ht="18.75" customFormat="1" customHeight="1" s="311"/>
    <row r="3575" hidden="1" ht="18.75" customFormat="1" customHeight="1" s="311"/>
    <row r="3576" hidden="1" ht="18.75" customFormat="1" customHeight="1" s="311"/>
    <row r="3577" hidden="1" ht="18.75" customFormat="1" customHeight="1" s="311"/>
    <row r="3578" hidden="1" ht="18.75" customFormat="1" customHeight="1" s="311"/>
    <row r="3579" hidden="1" ht="18.75" customFormat="1" customHeight="1" s="311"/>
    <row r="3580" hidden="1" ht="18.75" customFormat="1" customHeight="1" s="311"/>
    <row r="3581" hidden="1" ht="18.75" customFormat="1" customHeight="1" s="311"/>
    <row r="3582" hidden="1" ht="18.75" customFormat="1" customHeight="1" s="311"/>
    <row r="3583" hidden="1" ht="18.75" customFormat="1" customHeight="1" s="311"/>
    <row r="3584" hidden="1" ht="18.75" customFormat="1" customHeight="1" s="311"/>
    <row r="3585" hidden="1" ht="18.75" customFormat="1" customHeight="1" s="311"/>
    <row r="3586" hidden="1" ht="18.75" customFormat="1" customHeight="1" s="311"/>
    <row r="3587" hidden="1" ht="18.75" customFormat="1" customHeight="1" s="311"/>
    <row r="3588" hidden="1" ht="18.75" customFormat="1" customHeight="1" s="311"/>
    <row r="3589" hidden="1" ht="18.75" customFormat="1" customHeight="1" s="311"/>
    <row r="3590" hidden="1" ht="18.75" customFormat="1" customHeight="1" s="311"/>
    <row r="3591" hidden="1" ht="18.75" customFormat="1" customHeight="1" s="311"/>
    <row r="3592" hidden="1" ht="18.75" customFormat="1" customHeight="1" s="311"/>
    <row r="3593" hidden="1" ht="18.75" customFormat="1" customHeight="1" s="311"/>
    <row r="3594" hidden="1" ht="18.75" customFormat="1" customHeight="1" s="311"/>
    <row r="3595" hidden="1" ht="18.75" customFormat="1" customHeight="1" s="311"/>
    <row r="3596" hidden="1" ht="18.75" customFormat="1" customHeight="1" s="311"/>
    <row r="3597" hidden="1" ht="18.75" customFormat="1" customHeight="1" s="311"/>
    <row r="3598" hidden="1" ht="18.75" customFormat="1" customHeight="1" s="311"/>
    <row r="3599" hidden="1" ht="18.75" customFormat="1" customHeight="1" s="311"/>
    <row r="3600" hidden="1" ht="18.75" customFormat="1" customHeight="1" s="311"/>
    <row r="3601" hidden="1" ht="18.75" customFormat="1" customHeight="1" s="311"/>
    <row r="3602" hidden="1" ht="18.75" customFormat="1" customHeight="1" s="311"/>
    <row r="3603" hidden="1" ht="18.75" customFormat="1" customHeight="1" s="311"/>
    <row r="3604" hidden="1" ht="18.75" customFormat="1" customHeight="1" s="311"/>
    <row r="3605" hidden="1" ht="18.75" customFormat="1" customHeight="1" s="311"/>
    <row r="3606" hidden="1" ht="18.75" customFormat="1" customHeight="1" s="311"/>
    <row r="3607" hidden="1" ht="18.75" customFormat="1" customHeight="1" s="311"/>
    <row r="3608" hidden="1" ht="18.75" customFormat="1" customHeight="1" s="311"/>
    <row r="3609" hidden="1" ht="18.75" customFormat="1" customHeight="1" s="311"/>
    <row r="3610" hidden="1" ht="18.75" customFormat="1" customHeight="1" s="311"/>
    <row r="3611" hidden="1" ht="18.75" customFormat="1" customHeight="1" s="311"/>
    <row r="3612" hidden="1" ht="18.75" customFormat="1" customHeight="1" s="311"/>
    <row r="3613" hidden="1" ht="18.75" customFormat="1" customHeight="1" s="311"/>
    <row r="3614" hidden="1" ht="18.75" customFormat="1" customHeight="1" s="311"/>
    <row r="3615" hidden="1" ht="18.75" customFormat="1" customHeight="1" s="311"/>
    <row r="3616" hidden="1" ht="18.75" customFormat="1" customHeight="1" s="311"/>
    <row r="3617" hidden="1" ht="18.75" customFormat="1" customHeight="1" s="311"/>
    <row r="3618" hidden="1" ht="18.75" customFormat="1" customHeight="1" s="311"/>
    <row r="3619" hidden="1" ht="18.75" customFormat="1" customHeight="1" s="311"/>
    <row r="3620" hidden="1" ht="18.75" customFormat="1" customHeight="1" s="311"/>
    <row r="3621" hidden="1" ht="18.75" customFormat="1" customHeight="1" s="311"/>
    <row r="3622" hidden="1" ht="18.75" customFormat="1" customHeight="1" s="311"/>
    <row r="3623" hidden="1" ht="18.75" customFormat="1" customHeight="1" s="311"/>
    <row r="3624" hidden="1" ht="18.75" customFormat="1" customHeight="1" s="311"/>
    <row r="3625" hidden="1" ht="18.75" customFormat="1" customHeight="1" s="311"/>
    <row r="3626" hidden="1" ht="18.75" customFormat="1" customHeight="1" s="311"/>
    <row r="3627" hidden="1" ht="18.75" customFormat="1" customHeight="1" s="311"/>
    <row r="3628" hidden="1" ht="18.75" customFormat="1" customHeight="1" s="311"/>
    <row r="3629" hidden="1" ht="18.75" customFormat="1" customHeight="1" s="311"/>
    <row r="3630" hidden="1" ht="18.75" customFormat="1" customHeight="1" s="311"/>
    <row r="3631" hidden="1" ht="18.75" customFormat="1" customHeight="1" s="311"/>
    <row r="3632" hidden="1" ht="18.75" customFormat="1" customHeight="1" s="311"/>
    <row r="3633" hidden="1" ht="18.75" customFormat="1" customHeight="1" s="311"/>
    <row r="3634" hidden="1" ht="18.75" customFormat="1" customHeight="1" s="311"/>
    <row r="3635" hidden="1" ht="18.75" customFormat="1" customHeight="1" s="311"/>
    <row r="3636" hidden="1" ht="18.75" customFormat="1" customHeight="1" s="311"/>
    <row r="3637" hidden="1" ht="18.75" customFormat="1" customHeight="1" s="311"/>
    <row r="3638" hidden="1" ht="18.75" customFormat="1" customHeight="1" s="311"/>
    <row r="3639" hidden="1" ht="18.75" customFormat="1" customHeight="1" s="311"/>
    <row r="3640" hidden="1" ht="18.75" customFormat="1" customHeight="1" s="311"/>
    <row r="3641" hidden="1" ht="18.75" customFormat="1" customHeight="1" s="311"/>
    <row r="3642" hidden="1" ht="18.75" customFormat="1" customHeight="1" s="311"/>
    <row r="3643" hidden="1" ht="18.75" customFormat="1" customHeight="1" s="311"/>
    <row r="3644" hidden="1" ht="18.75" customFormat="1" customHeight="1" s="311"/>
    <row r="3645" hidden="1" ht="18.75" customFormat="1" customHeight="1" s="311"/>
    <row r="3646" hidden="1" ht="18.75" customFormat="1" customHeight="1" s="311"/>
    <row r="3647" hidden="1" ht="18.75" customFormat="1" customHeight="1" s="311"/>
    <row r="3648" hidden="1" ht="18.75" customFormat="1" customHeight="1" s="311"/>
    <row r="3649" hidden="1" ht="18.75" customFormat="1" customHeight="1" s="311"/>
    <row r="3650" hidden="1" ht="18.75" customFormat="1" customHeight="1" s="311"/>
    <row r="3651" hidden="1" ht="18.75" customFormat="1" customHeight="1" s="311"/>
    <row r="3652" hidden="1" ht="18.75" customFormat="1" customHeight="1" s="311"/>
    <row r="3653" hidden="1" ht="18.75" customFormat="1" customHeight="1" s="311"/>
    <row r="3654" hidden="1" ht="18.75" customFormat="1" customHeight="1" s="311"/>
    <row r="3655" hidden="1" ht="18.75" customFormat="1" customHeight="1" s="311"/>
    <row r="3656" hidden="1" ht="18.75" customFormat="1" customHeight="1" s="311"/>
    <row r="3657" hidden="1" ht="18.75" customFormat="1" customHeight="1" s="311"/>
    <row r="3658" hidden="1" ht="18.75" customFormat="1" customHeight="1" s="311"/>
    <row r="3659" hidden="1" ht="18.75" customFormat="1" customHeight="1" s="311"/>
    <row r="3660" hidden="1" ht="18.75" customFormat="1" customHeight="1" s="311"/>
    <row r="3661" hidden="1" ht="18.75" customFormat="1" customHeight="1" s="311"/>
    <row r="3662" hidden="1" ht="18.75" customFormat="1" customHeight="1" s="311"/>
    <row r="3663" hidden="1" ht="18.75" customFormat="1" customHeight="1" s="311"/>
    <row r="3664" hidden="1" ht="18.75" customFormat="1" customHeight="1" s="311"/>
    <row r="3665" hidden="1" ht="18.75" customFormat="1" customHeight="1" s="311"/>
    <row r="3666" hidden="1" ht="18.75" customFormat="1" customHeight="1" s="311"/>
    <row r="3667" hidden="1" ht="18.75" customFormat="1" customHeight="1" s="311"/>
    <row r="3668" hidden="1" ht="18.75" customFormat="1" customHeight="1" s="311"/>
    <row r="3669" hidden="1" ht="18.75" customFormat="1" customHeight="1" s="311"/>
    <row r="3670" hidden="1" ht="18.75" customFormat="1" customHeight="1" s="311"/>
    <row r="3671" ht="18.75" customFormat="1" customHeight="1" s="311"/>
    <row r="3672" ht="18.75" customFormat="1" customHeight="1" s="311"/>
    <row r="3673" ht="18.75" customFormat="1" customHeight="1" s="311"/>
    <row r="3674" ht="18.75" customFormat="1" customHeight="1" s="311"/>
    <row r="3675" ht="18.75" customFormat="1" customHeight="1" s="311"/>
    <row r="3676" ht="18.75" customFormat="1" customHeight="1" s="311" thickBot="1"/>
    <row r="3677" ht="18.75" customFormat="1" customHeight="1" s="311" thickBot="1"/>
    <row r="3678" ht="18.75" customFormat="1" customHeight="1" s="311"/>
    <row r="3679" ht="18.75" customFormat="1" customHeight="1" s="311"/>
    <row r="3680" ht="18.75" customFormat="1" customHeight="1" s="311"/>
    <row r="3681" ht="18.75" customFormat="1" customHeight="1" s="311"/>
    <row r="3682" ht="18.75" customFormat="1" customHeight="1" s="311"/>
    <row r="3683" ht="18.75" customFormat="1" customHeight="1" s="311"/>
    <row r="3684" ht="18.75" customFormat="1" customHeight="1" s="311"/>
    <row r="3685" ht="18.75" customFormat="1" customHeight="1" s="311"/>
    <row r="3686" ht="18.75" customFormat="1" customHeight="1" s="311"/>
    <row r="3687" ht="18.75" customFormat="1" customHeight="1" s="311"/>
    <row r="3688" ht="18.75" customFormat="1" customHeight="1" s="311"/>
    <row r="3689" ht="18.75" customFormat="1" customHeight="1" s="311"/>
    <row r="3690" ht="18.75" customFormat="1" customHeight="1" s="311"/>
    <row r="3691" ht="18.75" customFormat="1" customHeight="1" s="311"/>
    <row r="3692" ht="18.75" customFormat="1" customHeight="1" s="311"/>
    <row r="3693" ht="18.75" customFormat="1" customHeight="1" s="311"/>
    <row r="3694" ht="18.75" customFormat="1" customHeight="1" s="311"/>
    <row r="3695" ht="18.75" customFormat="1" customHeight="1" s="311"/>
    <row r="3696" ht="18.75" customFormat="1" customHeight="1" s="311"/>
    <row r="3697" ht="18.75" customFormat="1" customHeight="1" s="311"/>
    <row r="3698" ht="18.75" customFormat="1" customHeight="1" s="311"/>
    <row r="3699" ht="18.75" customFormat="1" customHeight="1" s="311"/>
    <row r="3700" ht="18.75" customFormat="1" customHeight="1" s="311"/>
    <row r="3701" ht="18.75" customFormat="1" customHeight="1" s="311"/>
    <row r="3702" ht="18.75" customFormat="1" customHeight="1" s="311"/>
    <row r="3703" ht="18.75" customFormat="1" customHeight="1" s="311"/>
    <row r="3704" ht="18.75" customFormat="1" customHeight="1" s="311"/>
    <row r="3705" ht="18.75" customFormat="1" customHeight="1" s="311"/>
    <row r="3706" ht="18.75" customFormat="1" customHeight="1" s="311"/>
    <row r="3707" ht="18.75" customFormat="1" customHeight="1" s="311"/>
    <row r="3708" ht="18.75" customFormat="1" customHeight="1" s="311"/>
    <row r="3709" ht="18.75" customFormat="1" customHeight="1" s="311"/>
    <row r="3710" ht="18.75" customFormat="1" customHeight="1" s="311"/>
    <row r="3711" ht="18.75" customFormat="1" customHeight="1" s="311"/>
    <row r="3712" ht="18.75" customFormat="1" customHeight="1" s="311"/>
    <row r="3713" ht="18.75" customFormat="1" customHeight="1" s="311"/>
    <row r="3714" ht="18.75" customFormat="1" customHeight="1" s="311"/>
    <row r="3715" ht="18.75" customFormat="1" customHeight="1" s="311"/>
    <row r="3716" ht="18.75" customFormat="1" customHeight="1" s="311"/>
    <row r="3717" ht="18.75" customFormat="1" customHeight="1" s="311"/>
    <row r="3718" ht="18.75" customFormat="1" customHeight="1" s="311"/>
    <row r="3719" ht="18.75" customFormat="1" customHeight="1" s="311"/>
    <row r="3720" ht="18.75" customFormat="1" customHeight="1" s="311"/>
    <row r="3721" ht="18.75" customFormat="1" customHeight="1" s="311"/>
    <row r="3722" ht="18.75" customFormat="1" customHeight="1" s="311"/>
    <row r="3723" ht="18.75" customFormat="1" customHeight="1" s="311"/>
    <row r="3724" ht="18.75" customFormat="1" customHeight="1" s="311"/>
    <row r="3725" ht="18.75" customFormat="1" customHeight="1" s="311"/>
    <row r="3726" ht="18.75" customFormat="1" customHeight="1" s="311"/>
    <row r="3727" ht="18.75" customFormat="1" customHeight="1" s="311"/>
    <row r="3728" ht="18.75" customFormat="1" customHeight="1" s="311"/>
    <row r="3729" ht="18.75" customFormat="1" customHeight="1" s="311"/>
    <row r="3730" ht="18.75" customFormat="1" customHeight="1" s="311"/>
    <row r="3731" ht="18.75" customFormat="1" customHeight="1" s="311"/>
    <row r="3732" ht="18.75" customFormat="1" customHeight="1" s="311"/>
    <row r="3733" ht="18.75" customFormat="1" customHeight="1" s="311"/>
    <row r="3734" ht="18.75" customFormat="1" customHeight="1" s="311"/>
    <row r="3735" ht="18.75" customFormat="1" customHeight="1" s="311"/>
    <row r="3736" ht="18.75" customFormat="1" customHeight="1" s="311"/>
    <row r="3737" ht="18.75" customFormat="1" customHeight="1" s="311"/>
    <row r="3738" ht="18.75" customFormat="1" customHeight="1" s="311"/>
    <row r="3739" ht="18.75" customFormat="1" customHeight="1" s="311"/>
    <row r="3740" ht="18.75" customFormat="1" customHeight="1" s="311"/>
    <row r="3741" ht="18.75" customFormat="1" customHeight="1" s="311"/>
    <row r="3742" ht="18.75" customFormat="1" customHeight="1" s="311"/>
    <row r="3743" ht="18.75" customFormat="1" customHeight="1" s="311"/>
    <row r="3744" ht="18.75" customFormat="1" customHeight="1" s="311"/>
    <row r="3745" ht="18.75" customFormat="1" customHeight="1" s="311"/>
    <row r="3746" ht="18.75" customFormat="1" customHeight="1" s="311"/>
    <row r="3747" ht="18.75" customFormat="1" customHeight="1" s="311"/>
    <row r="3748" ht="18.75" customFormat="1" customHeight="1" s="311"/>
    <row r="3749" ht="18.75" customFormat="1" customHeight="1" s="311"/>
    <row r="3750" ht="18.75" customFormat="1" customHeight="1" s="311"/>
    <row r="3751" ht="18.75" customFormat="1" customHeight="1" s="311"/>
    <row r="3752" ht="18.75" customFormat="1" customHeight="1" s="311"/>
    <row r="3753" ht="18.75" customFormat="1" customHeight="1" s="311"/>
    <row r="3754" ht="18.75" customFormat="1" customHeight="1" s="311"/>
    <row r="3755" ht="18.75" customFormat="1" customHeight="1" s="311"/>
    <row r="3756" ht="18.75" customFormat="1" customHeight="1" s="311"/>
    <row r="3757" ht="18.75" customFormat="1" customHeight="1" s="311"/>
    <row r="3758" ht="18.75" customFormat="1" customHeight="1" s="311"/>
    <row r="3759" ht="18.75" customFormat="1" customHeight="1" s="311"/>
    <row r="3760" ht="18.75" customFormat="1" customHeight="1" s="311"/>
    <row r="3761" ht="18.75" customFormat="1" customHeight="1" s="311"/>
    <row r="3762" ht="18.75" customFormat="1" customHeight="1" s="311"/>
    <row r="3763" ht="18.75" customFormat="1" customHeight="1" s="311"/>
    <row r="3764" ht="18.75" customFormat="1" customHeight="1" s="311"/>
    <row r="3765" ht="18.75" customFormat="1" customHeight="1" s="311"/>
    <row r="3766" ht="18.75" customFormat="1" customHeight="1" s="311"/>
    <row r="3767" ht="18.75" customFormat="1" customHeight="1" s="311"/>
    <row r="3768" ht="18.75" customFormat="1" customHeight="1" s="311"/>
    <row r="3769" ht="18.75" customFormat="1" customHeight="1" s="311"/>
    <row r="3770" ht="18.75" customFormat="1" customHeight="1" s="311"/>
    <row r="3771" ht="18.75" customFormat="1" customHeight="1" s="311"/>
    <row r="3772" ht="18.75" customFormat="1" customHeight="1" s="311"/>
    <row r="3773" ht="18.75" customFormat="1" customHeight="1" s="311"/>
    <row r="3774" ht="18.75" customFormat="1" customHeight="1" s="311"/>
    <row r="3775" ht="18.75" customFormat="1" customHeight="1" s="311"/>
    <row r="3776" ht="18.75" customFormat="1" customHeight="1" s="311"/>
    <row r="3777" ht="18.75" customFormat="1" customHeight="1" s="311"/>
    <row r="3778" ht="18.75" customFormat="1" customHeight="1" s="311"/>
    <row r="3779" ht="18.75" customFormat="1" customHeight="1" s="311"/>
    <row r="3780" ht="18.75" customFormat="1" customHeight="1" s="311"/>
    <row r="3781" ht="18.75" customFormat="1" customHeight="1" s="311"/>
    <row r="3782" ht="18.75" customFormat="1" customHeight="1" s="311"/>
    <row r="3783" ht="18.75" customFormat="1" customHeight="1" s="311"/>
    <row r="3784" ht="18.75" customFormat="1" customHeight="1" s="311"/>
    <row r="3785" ht="18.75" customFormat="1" customHeight="1" s="311"/>
    <row r="3786" ht="18.75" customFormat="1" customHeight="1" s="311"/>
    <row r="3787" ht="18.75" customFormat="1" customHeight="1" s="311"/>
    <row r="3788" ht="18.75" customFormat="1" customHeight="1" s="311"/>
    <row r="3789" ht="18.75" customFormat="1" customHeight="1" s="311"/>
    <row r="3790" ht="18.75" customFormat="1" customHeight="1" s="311"/>
    <row r="3791" ht="18.75" customFormat="1" customHeight="1" s="311"/>
    <row r="3792" ht="18.75" customFormat="1" customHeight="1" s="311"/>
    <row r="3793" ht="18.75" customFormat="1" customHeight="1" s="311"/>
    <row r="3794" ht="18.75" customFormat="1" customHeight="1" s="311"/>
    <row r="3795" ht="18.75" customFormat="1" customHeight="1" s="311"/>
    <row r="3796" ht="18.75" customFormat="1" customHeight="1" s="311"/>
    <row r="3797" ht="18.75" customFormat="1" customHeight="1" s="311"/>
    <row r="3798" ht="18.75" customFormat="1" customHeight="1" s="311"/>
    <row r="3799" ht="18.75" customFormat="1" customHeight="1" s="311"/>
    <row r="3800" ht="18.75" customFormat="1" customHeight="1" s="311"/>
    <row r="3801" ht="18.75" customFormat="1" customHeight="1" s="311"/>
    <row r="3802" ht="18.75" customFormat="1" customHeight="1" s="311"/>
    <row r="3803" ht="18.75" customFormat="1" customHeight="1" s="311"/>
    <row r="3804" ht="18.75" customFormat="1" customHeight="1" s="311"/>
    <row r="3805" ht="18.75" customFormat="1" customHeight="1" s="311"/>
    <row r="3806" ht="18.75" customFormat="1" customHeight="1" s="311"/>
    <row r="3807" ht="18.75" customFormat="1" customHeight="1" s="311"/>
    <row r="3808" ht="18.75" customFormat="1" customHeight="1" s="311"/>
    <row r="3809" ht="18.75" customFormat="1" customHeight="1" s="311"/>
    <row r="3810" ht="18.75" customFormat="1" customHeight="1" s="311"/>
    <row r="3811" ht="18.75" customFormat="1" customHeight="1" s="311"/>
    <row r="3812" ht="18.75" customFormat="1" customHeight="1" s="311"/>
    <row r="3813" ht="18.75" customFormat="1" customHeight="1" s="311"/>
    <row r="3814" ht="18.75" customFormat="1" customHeight="1" s="311"/>
    <row r="3815" ht="18.75" customFormat="1" customHeight="1" s="311"/>
    <row r="3816" ht="18.75" customFormat="1" customHeight="1" s="311"/>
    <row r="3817" ht="18.75" customFormat="1" customHeight="1" s="311"/>
    <row r="3818" ht="18.75" customFormat="1" customHeight="1" s="311"/>
    <row r="3819" ht="18.75" customFormat="1" customHeight="1" s="311"/>
    <row r="3820" ht="18.75" customFormat="1" customHeight="1" s="311"/>
    <row r="3821" ht="18.75" customFormat="1" customHeight="1" s="311"/>
    <row r="3822" ht="18.75" customFormat="1" customHeight="1" s="311"/>
    <row r="3823" ht="18.75" customFormat="1" customHeight="1" s="311"/>
    <row r="3824" ht="18.75" customFormat="1" customHeight="1" s="311"/>
    <row r="3825" ht="18.75" customFormat="1" customHeight="1" s="311"/>
    <row r="3826" ht="18.75" customFormat="1" customHeight="1" s="311"/>
    <row r="3827" ht="18.75" customFormat="1" customHeight="1" s="311"/>
    <row r="3828" ht="18.75" customFormat="1" customHeight="1" s="311"/>
    <row r="3829" ht="18.75" customFormat="1" customHeight="1" s="311"/>
    <row r="3830" ht="18.75" customFormat="1" customHeight="1" s="311"/>
    <row r="3831" ht="18.75" customFormat="1" customHeight="1" s="311"/>
    <row r="3832" ht="18.75" customFormat="1" customHeight="1" s="311"/>
    <row r="3833" ht="18.75" customFormat="1" customHeight="1" s="311"/>
    <row r="3834" ht="18.75" customFormat="1" customHeight="1" s="311"/>
    <row r="3835" ht="18.75" customFormat="1" customHeight="1" s="311"/>
    <row r="3836" ht="18.75" customFormat="1" customHeight="1" s="311"/>
    <row r="3837" ht="18.75" customFormat="1" customHeight="1" s="311"/>
    <row r="3838" ht="18.75" customFormat="1" customHeight="1" s="311"/>
    <row r="3839" ht="18.75" customFormat="1" customHeight="1" s="311"/>
    <row r="3840" ht="18.75" customFormat="1" customHeight="1" s="311"/>
    <row r="3841" ht="18.75" customFormat="1" customHeight="1" s="311"/>
    <row r="3842" ht="18.75" customFormat="1" customHeight="1" s="311"/>
    <row r="3843" ht="18.75" customFormat="1" customHeight="1" s="311"/>
    <row r="3844" ht="18.75" customFormat="1" customHeight="1" s="311"/>
    <row r="3845" ht="18.75" customFormat="1" customHeight="1" s="311"/>
    <row r="3846" ht="18.75" customFormat="1" customHeight="1" s="311"/>
    <row r="3847" ht="18.75" customFormat="1" customHeight="1" s="311"/>
    <row r="3848" ht="18.75" customFormat="1" customHeight="1" s="311"/>
    <row r="3849" ht="18.75" customFormat="1" customHeight="1" s="311"/>
    <row r="3850" ht="18.75" customFormat="1" customHeight="1" s="311"/>
    <row r="3851" ht="18.75" customFormat="1" customHeight="1" s="311"/>
    <row r="3852" ht="18.75" customFormat="1" customHeight="1" s="311"/>
    <row r="3853" ht="18.75" customFormat="1" customHeight="1" s="311"/>
    <row r="3854" ht="18.75" customFormat="1" customHeight="1" s="311"/>
    <row r="3855" ht="18.75" customFormat="1" customHeight="1" s="311"/>
    <row r="3856" ht="18.75" customFormat="1" customHeight="1" s="311"/>
    <row r="3857" ht="18.75" customFormat="1" customHeight="1" s="311"/>
    <row r="3858" ht="18.75" customFormat="1" customHeight="1" s="311"/>
    <row r="3859" ht="18.75" customFormat="1" customHeight="1" s="311"/>
    <row r="3860" ht="18.75" customFormat="1" customHeight="1" s="311"/>
    <row r="3861" ht="18.75" customFormat="1" customHeight="1" s="311"/>
    <row r="3862" ht="18.75" customFormat="1" customHeight="1" s="311"/>
    <row r="3863" ht="18.75" customFormat="1" customHeight="1" s="311"/>
    <row r="3864" ht="18.75" customFormat="1" customHeight="1" s="311"/>
    <row r="3865" ht="18.75" customFormat="1" customHeight="1" s="311"/>
    <row r="3866" ht="18.75" customFormat="1" customHeight="1" s="311"/>
    <row r="3867" ht="18.75" customFormat="1" customHeight="1" s="311"/>
    <row r="3868" ht="18.75" customFormat="1" customHeight="1" s="311"/>
    <row r="3869" ht="18.75" customFormat="1" customHeight="1" s="311"/>
    <row r="3870" ht="18.75" customFormat="1" customHeight="1" s="311"/>
    <row r="3871" ht="18.75" customFormat="1" customHeight="1" s="311"/>
    <row r="3872" ht="18.75" customFormat="1" customHeight="1" s="311"/>
    <row r="3873" ht="18.75" customFormat="1" customHeight="1" s="311"/>
    <row r="3874" ht="18.75" customFormat="1" customHeight="1" s="311"/>
    <row r="3875" ht="18.75" customFormat="1" customHeight="1" s="311"/>
    <row r="3876" ht="18.75" customFormat="1" customHeight="1" s="311"/>
    <row r="3877" ht="18.75" customFormat="1" customHeight="1" s="311"/>
    <row r="3878" ht="18.75" customFormat="1" customHeight="1" s="311"/>
    <row r="3879" ht="18.75" customFormat="1" customHeight="1" s="311"/>
    <row r="3880" ht="18.75" customFormat="1" customHeight="1" s="311"/>
    <row r="3881" ht="18.75" customFormat="1" customHeight="1" s="311"/>
    <row r="3882" ht="18.75" customFormat="1" customHeight="1" s="311"/>
    <row r="3883" ht="18.75" customFormat="1" customHeight="1" s="311"/>
    <row r="3884" ht="18.75" customFormat="1" customHeight="1" s="311"/>
    <row r="3885" ht="18.75" customFormat="1" customHeight="1" s="311"/>
    <row r="3886" ht="18.75" customFormat="1" customHeight="1" s="311"/>
    <row r="3887" ht="18.75" customFormat="1" customHeight="1" s="311"/>
    <row r="3888" ht="18.75" customFormat="1" customHeight="1" s="311"/>
    <row r="3889" ht="18.75" customFormat="1" customHeight="1" s="311"/>
    <row r="3890" ht="18.75" customFormat="1" customHeight="1" s="311"/>
    <row r="3891" ht="18.75" customFormat="1" customHeight="1" s="311"/>
    <row r="3892" ht="18.75" customFormat="1" customHeight="1" s="311"/>
    <row r="3893" ht="18.75" customFormat="1" customHeight="1" s="311"/>
    <row r="3894" ht="18.75" customFormat="1" customHeight="1" s="311"/>
    <row r="3895" ht="18.75" customFormat="1" customHeight="1" s="311"/>
    <row r="3896" ht="18.75" customFormat="1" customHeight="1" s="311"/>
    <row r="3897" ht="18.75" customFormat="1" customHeight="1" s="311"/>
    <row r="3898" ht="18.75" customFormat="1" customHeight="1" s="311"/>
    <row r="3899" ht="18.75" customFormat="1" customHeight="1" s="311"/>
    <row r="3900" ht="18.75" customFormat="1" customHeight="1" s="311"/>
    <row r="3901" ht="18.75" customFormat="1" customHeight="1" s="311"/>
    <row r="3902" ht="18.75" customFormat="1" customHeight="1" s="311"/>
    <row r="3903" ht="18.75" customFormat="1" customHeight="1" s="311"/>
    <row r="3904" ht="18.75" customFormat="1" customHeight="1" s="311"/>
    <row r="3905" ht="18.75" customFormat="1" customHeight="1" s="311"/>
    <row r="3906" ht="18.75" customFormat="1" customHeight="1" s="311"/>
    <row r="3907" ht="18.75" customFormat="1" customHeight="1" s="311"/>
    <row r="3908" ht="18.75" customFormat="1" customHeight="1" s="311"/>
    <row r="3909" ht="18.75" customFormat="1" customHeight="1" s="311"/>
    <row r="3910" ht="18.75" customFormat="1" customHeight="1" s="311"/>
    <row r="3911" ht="18.75" customFormat="1" customHeight="1" s="311"/>
    <row r="3912" ht="18.75" customFormat="1" customHeight="1" s="311"/>
    <row r="3913" ht="18.75" customFormat="1" customHeight="1" s="311"/>
    <row r="3914" ht="18.75" customFormat="1" customHeight="1" s="311"/>
    <row r="3915" ht="18.75" customFormat="1" customHeight="1" s="311"/>
    <row r="3916" ht="18.75" customFormat="1" customHeight="1" s="311"/>
    <row r="3917" ht="18.75" customFormat="1" customHeight="1" s="311"/>
    <row r="3918" ht="18.75" customFormat="1" customHeight="1" s="311"/>
    <row r="3919" ht="18.75" customFormat="1" customHeight="1" s="311"/>
    <row r="3920" ht="18.75" customFormat="1" customHeight="1" s="311"/>
    <row r="3921" ht="18.75" customFormat="1" customHeight="1" s="311"/>
    <row r="3922" ht="18.75" customFormat="1" customHeight="1" s="311"/>
    <row r="3923" ht="18.75" customFormat="1" customHeight="1" s="311"/>
    <row r="3924" ht="18.75" customFormat="1" customHeight="1" s="311"/>
    <row r="3925" ht="18.75" customFormat="1" customHeight="1" s="311"/>
    <row r="3926" ht="18.75" customFormat="1" customHeight="1" s="311"/>
    <row r="3927" ht="18.75" customFormat="1" customHeight="1" s="311"/>
    <row r="3928" ht="18.75" customFormat="1" customHeight="1" s="311"/>
    <row r="3929" ht="18.75" customFormat="1" customHeight="1" s="311"/>
    <row r="3930" ht="18.75" customFormat="1" customHeight="1" s="311"/>
    <row r="3931" ht="18.75" customFormat="1" customHeight="1" s="311"/>
    <row r="3932" ht="18.75" customFormat="1" customHeight="1" s="311"/>
    <row r="3933" ht="18.75" customFormat="1" customHeight="1" s="311"/>
    <row r="3934" ht="18.75" customFormat="1" customHeight="1" s="311"/>
    <row r="3935" ht="18.75" customFormat="1" customHeight="1" s="311"/>
    <row r="3936" ht="18.75" customFormat="1" customHeight="1" s="311"/>
    <row r="3937" ht="18.75" customFormat="1" customHeight="1" s="311"/>
    <row r="3938" ht="18.75" customFormat="1" customHeight="1" s="311"/>
    <row r="3939" ht="18.75" customFormat="1" customHeight="1" s="311"/>
    <row r="3940" ht="18.75" customFormat="1" customHeight="1" s="311"/>
    <row r="3941" ht="18.75" customFormat="1" customHeight="1" s="311"/>
    <row r="3942" ht="18.75" customFormat="1" customHeight="1" s="311"/>
    <row r="3943" ht="18.75" customFormat="1" customHeight="1" s="311"/>
    <row r="3944" ht="18.75" customFormat="1" customHeight="1" s="311"/>
    <row r="3945" ht="18.75" customFormat="1" customHeight="1" s="311"/>
    <row r="3946" ht="18.75" customFormat="1" customHeight="1" s="311"/>
    <row r="3947" ht="18.75" customFormat="1" customHeight="1" s="311"/>
    <row r="3948" ht="18.75" customFormat="1" customHeight="1" s="311"/>
    <row r="3949" ht="18.75" customFormat="1" customHeight="1" s="311"/>
    <row r="3950" ht="18.75" customFormat="1" customHeight="1" s="311"/>
    <row r="3951" ht="18.75" customFormat="1" customHeight="1" s="311"/>
    <row r="3952" ht="18.75" customFormat="1" customHeight="1" s="311"/>
    <row r="3953" ht="18.75" customFormat="1" customHeight="1" s="311"/>
    <row r="3954" ht="18.75" customFormat="1" customHeight="1" s="311"/>
    <row r="3955" ht="18.75" customFormat="1" customHeight="1" s="311"/>
    <row r="3956" ht="18.75" customFormat="1" customHeight="1" s="311"/>
    <row r="3957" ht="18.75" customFormat="1" customHeight="1" s="311"/>
    <row r="3958" ht="18.75" customFormat="1" customHeight="1" s="311"/>
    <row r="3959" ht="18.75" customFormat="1" customHeight="1" s="311"/>
    <row r="3960" ht="18.75" customFormat="1" customHeight="1" s="311"/>
    <row r="3961" ht="18.75" customFormat="1" customHeight="1" s="311"/>
    <row r="3962" ht="18.75" customFormat="1" customHeight="1" s="311"/>
    <row r="3963" ht="18.75" customFormat="1" customHeight="1" s="311"/>
    <row r="3964" ht="18.75" customFormat="1" customHeight="1" s="311"/>
    <row r="3965" ht="18.75" customFormat="1" customHeight="1" s="311"/>
    <row r="3966" ht="18.75" customFormat="1" customHeight="1" s="311"/>
    <row r="3967" ht="18.75" customFormat="1" customHeight="1" s="311"/>
    <row r="3968" ht="18.75" customFormat="1" customHeight="1" s="311"/>
    <row r="3969" ht="18.75" customFormat="1" customHeight="1" s="311"/>
    <row r="3970" ht="18.75" customFormat="1" customHeight="1" s="311"/>
    <row r="3971" ht="18.75" customFormat="1" customHeight="1" s="311"/>
    <row r="3972" ht="18.75" customFormat="1" customHeight="1" s="311"/>
    <row r="3973" ht="18.75" customFormat="1" customHeight="1" s="311"/>
    <row r="3974" ht="18.75" customFormat="1" customHeight="1" s="311"/>
    <row r="3975" ht="18.75" customFormat="1" customHeight="1" s="311"/>
    <row r="3976" ht="18.75" customFormat="1" customHeight="1" s="311"/>
    <row r="3977" ht="18.75" customFormat="1" customHeight="1" s="311"/>
    <row r="3978" ht="18.75" customFormat="1" customHeight="1" s="311"/>
    <row r="3979" ht="18.75" customFormat="1" customHeight="1" s="311"/>
    <row r="3980" ht="18.75" customFormat="1" customHeight="1" s="311"/>
    <row r="3981" ht="18.75" customFormat="1" customHeight="1" s="311"/>
    <row r="3982" ht="18.75" customFormat="1" customHeight="1" s="311"/>
    <row r="3983" ht="18.75" customFormat="1" customHeight="1" s="311"/>
    <row r="3984" ht="18.75" customFormat="1" customHeight="1" s="311"/>
    <row r="3985" ht="18.75" customFormat="1" customHeight="1" s="311"/>
    <row r="3986" ht="18.75" customFormat="1" customHeight="1" s="311"/>
    <row r="3987" ht="18.75" customFormat="1" customHeight="1" s="311"/>
    <row r="3988" ht="18.75" customFormat="1" customHeight="1" s="311"/>
    <row r="3989" ht="18.75" customFormat="1" customHeight="1" s="311"/>
    <row r="3990" ht="18.75" customFormat="1" customHeight="1" s="311"/>
    <row r="3991" ht="18.75" customFormat="1" customHeight="1" s="311"/>
    <row r="3992" ht="18.75" customFormat="1" customHeight="1" s="311"/>
    <row r="3993" ht="18.75" customFormat="1" customHeight="1" s="311"/>
    <row r="3994" ht="18.75" customFormat="1" customHeight="1" s="311"/>
    <row r="3995" ht="18.75" customFormat="1" customHeight="1" s="311"/>
    <row r="3996" ht="18.75" customFormat="1" customHeight="1" s="311"/>
    <row r="3997" ht="18.75" customFormat="1" customHeight="1" s="311"/>
    <row r="3998" ht="18.75" customFormat="1" customHeight="1" s="311"/>
    <row r="3999" ht="18.75" customFormat="1" customHeight="1" s="311"/>
    <row r="4000" ht="18.75" customFormat="1" customHeight="1" s="311"/>
    <row r="4001" ht="18.75" customFormat="1" customHeight="1" s="311"/>
    <row r="4002" ht="18.75" customFormat="1" customHeight="1" s="311"/>
    <row r="4003" ht="18.75" customFormat="1" customHeight="1" s="311"/>
    <row r="4004" ht="18.75" customFormat="1" customHeight="1" s="311"/>
    <row r="4005" ht="18.75" customFormat="1" customHeight="1" s="311"/>
    <row r="4006" ht="18.75" customFormat="1" customHeight="1" s="311"/>
    <row r="4007" ht="18.75" customFormat="1" customHeight="1" s="311"/>
    <row r="4008" ht="18.75" customFormat="1" customHeight="1" s="311"/>
    <row r="4009" ht="18.75" customFormat="1" customHeight="1" s="311"/>
    <row r="4010" ht="18.75" customFormat="1" customHeight="1" s="311"/>
    <row r="4011" ht="18.75" customFormat="1" customHeight="1" s="311"/>
    <row r="4012" ht="18.75" customFormat="1" customHeight="1" s="311"/>
    <row r="4013" ht="18.75" customFormat="1" customHeight="1" s="311"/>
    <row r="4014" ht="18.75" customFormat="1" customHeight="1" s="311"/>
    <row r="4015" ht="18.75" customFormat="1" customHeight="1" s="311"/>
    <row r="4016" ht="18.75" customFormat="1" customHeight="1" s="311"/>
    <row r="4017" ht="18.75" customFormat="1" customHeight="1" s="311"/>
    <row r="4018" ht="18.75" customFormat="1" customHeight="1" s="311"/>
    <row r="4019" ht="18.75" customFormat="1" customHeight="1" s="311"/>
    <row r="4020" ht="18.75" customFormat="1" customHeight="1" s="311"/>
    <row r="4021" ht="18.75" customFormat="1" customHeight="1" s="311"/>
    <row r="4022" ht="18.75" customFormat="1" customHeight="1" s="311"/>
    <row r="4023" ht="18.75" customFormat="1" customHeight="1" s="311"/>
    <row r="4024" ht="18.75" customFormat="1" customHeight="1" s="311"/>
    <row r="4025" ht="18.75" customFormat="1" customHeight="1" s="311"/>
    <row r="4026" ht="18.75" customFormat="1" customHeight="1" s="311"/>
    <row r="4027" ht="18.75" customFormat="1" customHeight="1" s="311"/>
    <row r="4028" ht="18.75" customFormat="1" customHeight="1" s="311"/>
    <row r="4029" ht="18.75" customFormat="1" customHeight="1" s="311"/>
    <row r="4030" ht="18.75" customFormat="1" customHeight="1" s="311"/>
    <row r="4031" ht="18.75" customFormat="1" customHeight="1" s="311"/>
    <row r="4032" ht="18.75" customFormat="1" customHeight="1" s="311"/>
    <row r="4033" ht="18.75" customFormat="1" customHeight="1" s="311"/>
    <row r="4034" ht="18.75" customFormat="1" customHeight="1" s="311"/>
    <row r="4035" ht="18.75" customFormat="1" customHeight="1" s="311"/>
    <row r="4036" ht="18.75" customFormat="1" customHeight="1" s="311"/>
    <row r="4037" ht="18.75" customFormat="1" customHeight="1" s="311"/>
    <row r="4038" ht="18.75" customFormat="1" customHeight="1" s="311"/>
    <row r="4039" ht="18.75" customFormat="1" customHeight="1" s="311"/>
    <row r="4040" ht="18.75" customFormat="1" customHeight="1" s="311"/>
    <row r="4041" ht="18.75" customFormat="1" customHeight="1" s="311"/>
    <row r="4042" ht="18.75" customFormat="1" customHeight="1" s="311"/>
    <row r="4043" ht="18.75" customFormat="1" customHeight="1" s="311"/>
    <row r="4044" ht="18.75" customFormat="1" customHeight="1" s="311"/>
    <row r="4045" ht="18.75" customFormat="1" customHeight="1" s="311"/>
    <row r="4046" ht="18.75" customFormat="1" customHeight="1" s="311"/>
    <row r="4047" ht="18.75" customFormat="1" customHeight="1" s="311"/>
    <row r="4048" ht="18.75" customFormat="1" customHeight="1" s="311"/>
    <row r="4049" ht="18.75" customFormat="1" customHeight="1" s="311"/>
    <row r="4050" ht="18.75" customFormat="1" customHeight="1" s="311"/>
    <row r="4051" ht="18.75" customFormat="1" customHeight="1" s="311"/>
    <row r="4052" ht="18.75" customFormat="1" customHeight="1" s="311"/>
    <row r="4053" ht="18.75" customFormat="1" customHeight="1" s="311"/>
    <row r="4054" ht="18.75" customFormat="1" customHeight="1" s="311"/>
    <row r="4055" ht="18.75" customFormat="1" customHeight="1" s="311"/>
    <row r="4056" ht="18.75" customFormat="1" customHeight="1" s="311"/>
    <row r="4057" ht="18.75" customFormat="1" customHeight="1" s="311"/>
    <row r="4058" ht="18.75" customFormat="1" customHeight="1" s="311"/>
    <row r="4059" ht="18.75" customFormat="1" customHeight="1" s="311"/>
    <row r="4060" ht="18.75" customFormat="1" customHeight="1" s="311"/>
    <row r="4061" ht="18.75" customFormat="1" customHeight="1" s="311"/>
    <row r="4062" ht="18.75" customFormat="1" customHeight="1" s="311"/>
    <row r="4063" ht="18.75" customFormat="1" customHeight="1" s="311"/>
    <row r="4064" ht="18.75" customFormat="1" customHeight="1" s="311"/>
    <row r="4065" ht="18.75" customFormat="1" customHeight="1" s="311"/>
    <row r="4066" ht="18.75" customFormat="1" customHeight="1" s="311"/>
    <row r="4067" ht="18.75" customFormat="1" customHeight="1" s="311"/>
    <row r="4068" ht="18.75" customFormat="1" customHeight="1" s="311"/>
    <row r="4069" ht="18.75" customFormat="1" customHeight="1" s="311"/>
    <row r="4070" ht="18.75" customFormat="1" customHeight="1" s="311"/>
    <row r="4071" ht="18.75" customFormat="1" customHeight="1" s="311"/>
    <row r="4072" ht="18.75" customFormat="1" customHeight="1" s="311"/>
    <row r="4073" ht="18.75" customFormat="1" customHeight="1" s="311"/>
    <row r="4074" ht="18.75" customFormat="1" customHeight="1" s="311"/>
    <row r="4075" ht="18.75" customFormat="1" customHeight="1" s="311"/>
    <row r="4076" ht="18.75" customFormat="1" customHeight="1" s="311"/>
    <row r="4077" ht="18.75" customFormat="1" customHeight="1" s="311"/>
    <row r="4078" ht="18.75" customFormat="1" customHeight="1" s="311"/>
    <row r="4079" ht="18.75" customFormat="1" customHeight="1" s="311"/>
    <row r="4080" ht="18.75" customFormat="1" customHeight="1" s="311"/>
    <row r="4081" ht="18.75" customFormat="1" customHeight="1" s="311"/>
    <row r="4082" ht="18.75" customFormat="1" customHeight="1" s="311"/>
    <row r="4083" ht="18.75" customFormat="1" customHeight="1" s="311"/>
    <row r="4084" ht="18.75" customFormat="1" customHeight="1" s="311"/>
    <row r="4085" ht="18.75" customFormat="1" customHeight="1" s="311"/>
    <row r="4086" ht="18.75" customFormat="1" customHeight="1" s="311"/>
    <row r="4087" ht="18.75" customFormat="1" customHeight="1" s="311"/>
    <row r="4088" ht="18.75" customFormat="1" customHeight="1" s="311"/>
    <row r="4089" ht="18.75" customFormat="1" customHeight="1" s="311"/>
    <row r="4090" ht="18.75" customFormat="1" customHeight="1" s="311"/>
    <row r="4091" ht="18.75" customFormat="1" customHeight="1" s="311"/>
    <row r="4092" ht="18.75" customFormat="1" customHeight="1" s="311"/>
    <row r="4093" ht="18.75" customFormat="1" customHeight="1" s="311"/>
    <row r="4094" ht="18.75" customFormat="1" customHeight="1" s="311"/>
    <row r="4095" ht="18.75" customFormat="1" customHeight="1" s="311"/>
    <row r="4096" ht="18.75" customFormat="1" customHeight="1" s="311"/>
    <row r="4097" ht="18.75" customFormat="1" customHeight="1" s="311"/>
    <row r="4098" ht="18.75" customFormat="1" customHeight="1" s="311"/>
    <row r="4099" ht="18.75" customFormat="1" customHeight="1" s="311"/>
    <row r="4100" ht="18.75" customFormat="1" customHeight="1" s="311"/>
    <row r="4101" ht="18.75" customFormat="1" customHeight="1" s="311"/>
    <row r="4102" ht="18.75" customFormat="1" customHeight="1" s="311"/>
    <row r="4103" ht="18.75" customFormat="1" customHeight="1" s="311"/>
    <row r="4104" ht="18.75" customFormat="1" customHeight="1" s="311"/>
    <row r="4105" ht="18.75" customFormat="1" customHeight="1" s="311"/>
    <row r="4106" ht="18.75" customFormat="1" customHeight="1" s="311"/>
    <row r="4107" ht="18.75" customFormat="1" customHeight="1" s="311"/>
    <row r="4108" ht="18.75" customFormat="1" customHeight="1" s="311"/>
    <row r="4109" ht="18.75" customFormat="1" customHeight="1" s="311"/>
    <row r="4110" ht="18.75" customFormat="1" customHeight="1" s="311"/>
    <row r="4111" ht="18.75" customFormat="1" customHeight="1" s="311"/>
    <row r="4112" ht="18.75" customFormat="1" customHeight="1" s="311"/>
    <row r="4113" ht="18.75" customFormat="1" customHeight="1" s="311"/>
    <row r="4114" ht="18.75" customFormat="1" customHeight="1" s="311"/>
    <row r="4115" ht="18.75" customFormat="1" customHeight="1" s="311"/>
    <row r="4116" ht="18.75" customFormat="1" customHeight="1" s="311"/>
    <row r="4117" ht="18.75" customFormat="1" customHeight="1" s="311"/>
    <row r="4118" ht="18.75" customFormat="1" customHeight="1" s="311"/>
    <row r="4119" ht="18.75" customFormat="1" customHeight="1" s="311"/>
    <row r="4120" ht="18.75" customFormat="1" customHeight="1" s="311"/>
    <row r="4121" ht="18.75" customFormat="1" customHeight="1" s="311"/>
    <row r="4122" ht="18.75" customFormat="1" customHeight="1" s="311"/>
    <row r="4123" ht="18.75" customFormat="1" customHeight="1" s="311"/>
    <row r="4124" ht="18.75" customFormat="1" customHeight="1" s="311"/>
    <row r="4125" ht="18.75" customFormat="1" customHeight="1" s="311"/>
    <row r="4126" ht="18.75" customFormat="1" customHeight="1" s="311"/>
    <row r="4127" ht="18.75" customFormat="1" customHeight="1" s="311"/>
    <row r="4128" ht="18.75" customFormat="1" customHeight="1" s="311"/>
    <row r="4129" ht="18.75" customFormat="1" customHeight="1" s="311"/>
    <row r="4130" ht="18.75" customFormat="1" customHeight="1" s="311"/>
    <row r="4131" ht="18.75" customFormat="1" customHeight="1" s="311"/>
    <row r="4132" ht="18.75" customFormat="1" customHeight="1" s="311"/>
    <row r="4133" ht="18.75" customFormat="1" customHeight="1" s="311"/>
    <row r="4134" ht="18.75" customFormat="1" customHeight="1" s="311"/>
    <row r="4135" ht="18.75" customFormat="1" customHeight="1" s="311"/>
    <row r="4136" ht="18.75" customFormat="1" customHeight="1" s="311"/>
    <row r="4137" ht="18.75" customFormat="1" customHeight="1" s="311"/>
    <row r="4138" ht="18.75" customFormat="1" customHeight="1" s="311"/>
    <row r="4139" ht="18.75" customFormat="1" customHeight="1" s="311"/>
    <row r="4140" ht="18.75" customFormat="1" customHeight="1" s="311"/>
    <row r="4141" ht="18.75" customFormat="1" customHeight="1" s="311"/>
    <row r="4142" ht="18.75" customFormat="1" customHeight="1" s="311"/>
    <row r="4143" ht="18.75" customFormat="1" customHeight="1" s="311"/>
    <row r="4144" ht="18.75" customFormat="1" customHeight="1" s="311"/>
    <row r="4145" ht="18.75" customFormat="1" customHeight="1" s="311"/>
    <row r="4146" ht="18.75" customFormat="1" customHeight="1" s="311"/>
    <row r="4147" ht="18.75" customFormat="1" customHeight="1" s="311"/>
    <row r="4148" ht="18.75" customFormat="1" customHeight="1" s="311"/>
    <row r="4149" ht="18.75" customFormat="1" customHeight="1" s="311"/>
    <row r="4150" ht="18.75" customFormat="1" customHeight="1" s="311"/>
    <row r="4151" ht="18.75" customFormat="1" customHeight="1" s="311"/>
    <row r="4152" ht="18.75" customFormat="1" customHeight="1" s="311"/>
    <row r="4153" ht="18.75" customFormat="1" customHeight="1" s="311"/>
    <row r="4154" ht="18.75" customFormat="1" customHeight="1" s="311"/>
    <row r="4155" ht="18.75" customFormat="1" customHeight="1" s="311"/>
    <row r="4156" ht="18.75" customFormat="1" customHeight="1" s="311"/>
    <row r="4157" ht="18.75" customFormat="1" customHeight="1" s="311"/>
    <row r="4158" ht="18.75" customFormat="1" customHeight="1" s="311"/>
    <row r="4159" ht="18.75" customFormat="1" customHeight="1" s="311"/>
    <row r="4160" ht="18.75" customFormat="1" customHeight="1" s="311"/>
    <row r="4161" ht="18.75" customFormat="1" customHeight="1" s="311"/>
    <row r="4162" ht="18.75" customFormat="1" customHeight="1" s="311"/>
    <row r="4163" ht="18.75" customFormat="1" customHeight="1" s="311"/>
    <row r="4164" ht="18.75" customFormat="1" customHeight="1" s="311"/>
    <row r="4165" ht="18.75" customFormat="1" customHeight="1" s="311"/>
    <row r="4166" ht="18.75" customFormat="1" customHeight="1" s="311"/>
    <row r="4167" ht="18.75" customFormat="1" customHeight="1" s="311"/>
    <row r="4168" ht="18.75" customFormat="1" customHeight="1" s="311"/>
    <row r="4169" ht="18.75" customFormat="1" customHeight="1" s="311"/>
    <row r="4170" ht="18.75" customFormat="1" customHeight="1" s="311"/>
    <row r="4171" ht="18.75" customFormat="1" customHeight="1" s="311"/>
    <row r="4172" ht="18.75" customFormat="1" customHeight="1" s="311"/>
    <row r="4173" ht="18.75" customFormat="1" customHeight="1" s="311"/>
    <row r="4174" ht="18.75" customFormat="1" customHeight="1" s="311"/>
    <row r="4175" ht="18.75" customFormat="1" customHeight="1" s="311"/>
    <row r="4176" ht="18.75" customFormat="1" customHeight="1" s="311"/>
    <row r="4177" ht="18.75" customFormat="1" customHeight="1" s="311"/>
    <row r="4178" ht="18.75" customFormat="1" customHeight="1" s="311"/>
    <row r="4179" ht="18.75" customFormat="1" customHeight="1" s="311"/>
    <row r="4180" ht="18.75" customFormat="1" customHeight="1" s="311"/>
    <row r="4181" ht="18.75" customFormat="1" customHeight="1" s="311"/>
    <row r="4182" ht="18.75" customFormat="1" customHeight="1" s="311"/>
    <row r="4183" ht="18.75" customFormat="1" customHeight="1" s="311"/>
    <row r="4184" ht="18.75" customFormat="1" customHeight="1" s="311"/>
    <row r="4185" ht="18.75" customFormat="1" customHeight="1" s="311"/>
    <row r="4186" ht="18.75" customFormat="1" customHeight="1" s="311"/>
    <row r="4187" ht="18.75" customFormat="1" customHeight="1" s="311"/>
    <row r="4188" ht="18.75" customFormat="1" customHeight="1" s="311"/>
    <row r="4189" ht="18.75" customFormat="1" customHeight="1" s="311"/>
    <row r="4190" ht="18.75" customFormat="1" customHeight="1" s="311"/>
    <row r="4191" ht="18.75" customFormat="1" customHeight="1" s="311"/>
    <row r="4192" ht="18.75" customFormat="1" customHeight="1" s="311"/>
    <row r="4193" ht="18.75" customFormat="1" customHeight="1" s="311"/>
    <row r="4194" ht="18.75" customFormat="1" customHeight="1" s="311"/>
    <row r="4195" ht="18.75" customFormat="1" customHeight="1" s="311"/>
    <row r="4196" ht="18.75" customFormat="1" customHeight="1" s="311"/>
    <row r="4197" ht="18.75" customFormat="1" customHeight="1" s="311"/>
    <row r="4198" ht="18.75" customFormat="1" customHeight="1" s="311"/>
    <row r="4199" ht="18.75" customFormat="1" customHeight="1" s="311"/>
    <row r="4200" ht="18.75" customFormat="1" customHeight="1" s="311"/>
    <row r="4201" ht="18.75" customFormat="1" customHeight="1" s="311"/>
    <row r="4202" ht="18.75" customFormat="1" customHeight="1" s="311"/>
    <row r="4203" ht="18.75" customFormat="1" customHeight="1" s="311"/>
    <row r="4204" ht="18.75" customFormat="1" customHeight="1" s="311"/>
    <row r="4205" ht="18.75" customFormat="1" customHeight="1" s="311"/>
    <row r="4206" ht="18.75" customFormat="1" customHeight="1" s="311"/>
    <row r="4207" ht="18.75" customFormat="1" customHeight="1" s="311"/>
    <row r="4208" ht="18.75" customFormat="1" customHeight="1" s="311"/>
    <row r="4209" ht="18.75" customFormat="1" customHeight="1" s="311"/>
    <row r="4210" ht="18.75" customFormat="1" customHeight="1" s="311"/>
    <row r="4211" ht="18.75" customFormat="1" customHeight="1" s="311"/>
    <row r="4212" ht="18.75" customFormat="1" customHeight="1" s="311"/>
    <row r="4213" ht="18.75" customFormat="1" customHeight="1" s="311"/>
    <row r="4214" ht="18.75" customFormat="1" customHeight="1" s="311"/>
    <row r="4215" ht="18.75" customFormat="1" customHeight="1" s="311"/>
    <row r="4216" ht="18.75" customFormat="1" customHeight="1" s="311"/>
    <row r="4217" ht="18.75" customFormat="1" customHeight="1" s="311"/>
    <row r="4218" ht="18.75" customFormat="1" customHeight="1" s="311"/>
    <row r="4219" ht="18.75" customFormat="1" customHeight="1" s="311"/>
    <row r="4220" ht="18.75" customFormat="1" customHeight="1" s="311"/>
    <row r="4221" ht="18.75" customFormat="1" customHeight="1" s="311"/>
    <row r="4222" ht="18.75" customFormat="1" customHeight="1" s="311"/>
    <row r="4223" ht="18.75" customFormat="1" customHeight="1" s="311"/>
    <row r="4224" ht="18.75" customFormat="1" customHeight="1" s="311"/>
    <row r="4225" ht="18.75" customFormat="1" customHeight="1" s="311"/>
    <row r="4226" ht="18.75" customFormat="1" customHeight="1" s="311"/>
    <row r="4227" ht="18.75" customFormat="1" customHeight="1" s="311"/>
    <row r="4228" ht="18.75" customFormat="1" customHeight="1" s="311"/>
    <row r="4229" ht="18.75" customFormat="1" customHeight="1" s="311"/>
    <row r="4230" ht="18.75" customFormat="1" customHeight="1" s="311"/>
    <row r="4231" ht="18.75" customFormat="1" customHeight="1" s="311"/>
    <row r="4232" ht="18.75" customFormat="1" customHeight="1" s="311"/>
    <row r="4233" ht="18.75" customFormat="1" customHeight="1" s="311"/>
    <row r="4234" ht="18.75" customFormat="1" customHeight="1" s="311"/>
    <row r="4235" ht="18.75" customFormat="1" customHeight="1" s="311"/>
    <row r="4236" ht="18.75" customFormat="1" customHeight="1" s="311"/>
    <row r="4237" ht="18.75" customFormat="1" customHeight="1" s="311"/>
    <row r="4238" ht="18.75" customFormat="1" customHeight="1" s="311"/>
    <row r="4239" ht="18.75" customFormat="1" customHeight="1" s="311"/>
    <row r="4240" ht="18.75" customFormat="1" customHeight="1" s="311"/>
    <row r="4241" ht="18.75" customFormat="1" customHeight="1" s="311"/>
    <row r="4242" ht="18.75" customFormat="1" customHeight="1" s="311"/>
    <row r="4243" ht="18.75" customFormat="1" customHeight="1" s="311"/>
    <row r="4244" ht="18.75" customFormat="1" customHeight="1" s="311"/>
    <row r="4245" ht="18.75" customFormat="1" customHeight="1" s="311"/>
    <row r="4246" ht="18.75" customFormat="1" customHeight="1" s="311"/>
    <row r="4247" ht="18.75" customFormat="1" customHeight="1" s="311"/>
    <row r="4248" ht="18.75" customFormat="1" customHeight="1" s="311"/>
    <row r="4249" ht="18.75" customFormat="1" customHeight="1" s="311"/>
    <row r="4250" ht="18.75" customFormat="1" customHeight="1" s="311"/>
    <row r="4251" ht="18.75" customFormat="1" customHeight="1" s="311"/>
    <row r="4252" ht="18.75" customFormat="1" customHeight="1" s="311"/>
    <row r="4253" ht="18.75" customFormat="1" customHeight="1" s="311"/>
    <row r="4254" ht="18.75" customFormat="1" customHeight="1" s="311"/>
    <row r="4255" ht="18.75" customFormat="1" customHeight="1" s="311"/>
    <row r="4256" ht="18.75" customFormat="1" customHeight="1" s="311"/>
    <row r="4257" ht="18.75" customFormat="1" customHeight="1" s="311"/>
    <row r="4258" ht="18.75" customFormat="1" customHeight="1" s="311"/>
    <row r="4259" ht="18.75" customFormat="1" customHeight="1" s="311"/>
    <row r="4260" ht="18.75" customFormat="1" customHeight="1" s="311"/>
    <row r="4261" ht="18.75" customFormat="1" customHeight="1" s="311"/>
    <row r="4262" ht="18.75" customFormat="1" customHeight="1" s="311"/>
    <row r="4263" ht="18.75" customFormat="1" customHeight="1" s="311"/>
    <row r="4264" ht="18.75" customFormat="1" customHeight="1" s="311"/>
    <row r="4265" ht="18.75" customFormat="1" customHeight="1" s="311"/>
    <row r="4266" ht="18.75" customFormat="1" customHeight="1" s="311"/>
    <row r="4267" ht="18.75" customFormat="1" customHeight="1" s="311"/>
    <row r="4268" ht="18.75" customFormat="1" customHeight="1" s="311"/>
    <row r="4269" ht="18.75" customFormat="1" customHeight="1" s="311"/>
    <row r="4270" ht="18.75" customFormat="1" customHeight="1" s="311"/>
    <row r="4271" ht="18.75" customFormat="1" customHeight="1" s="311"/>
    <row r="4272" ht="18.75" customFormat="1" customHeight="1" s="311"/>
    <row r="4273" ht="18.75" customFormat="1" customHeight="1" s="311"/>
    <row r="4274" ht="18.75" customFormat="1" customHeight="1" s="311"/>
    <row r="4275" ht="18.75" customFormat="1" customHeight="1" s="311"/>
    <row r="4276" ht="18.75" customFormat="1" customHeight="1" s="311"/>
    <row r="4277" ht="18.75" customFormat="1" customHeight="1" s="311"/>
    <row r="4278" ht="18.75" customFormat="1" customHeight="1" s="311"/>
    <row r="4279" ht="18.75" customFormat="1" customHeight="1" s="311"/>
    <row r="4280" ht="18.75" customFormat="1" customHeight="1" s="311"/>
    <row r="4281" ht="18.75" customFormat="1" customHeight="1" s="311"/>
    <row r="4282" ht="18.75" customFormat="1" customHeight="1" s="311"/>
    <row r="4283" ht="18.75" customFormat="1" customHeight="1" s="311"/>
    <row r="4284" ht="18.75" customFormat="1" customHeight="1" s="311"/>
    <row r="4285" ht="18.75" customFormat="1" customHeight="1" s="311"/>
    <row r="4286" ht="18.75" customFormat="1" customHeight="1" s="311"/>
    <row r="4287" ht="18.75" customFormat="1" customHeight="1" s="311"/>
    <row r="4288" ht="18.75" customFormat="1" customHeight="1" s="311"/>
    <row r="4289" ht="18.75" customFormat="1" customHeight="1" s="311"/>
    <row r="4290" ht="18.75" customFormat="1" customHeight="1" s="311"/>
    <row r="4291" ht="18.75" customFormat="1" customHeight="1" s="311"/>
    <row r="4292" ht="18.75" customFormat="1" customHeight="1" s="311"/>
    <row r="4293" ht="18.75" customFormat="1" customHeight="1" s="311"/>
    <row r="4294" ht="18.75" customFormat="1" customHeight="1" s="311"/>
    <row r="4295" ht="18.75" customFormat="1" customHeight="1" s="311"/>
    <row r="4296" ht="18.75" customFormat="1" customHeight="1" s="311"/>
    <row r="4297" ht="18.75" customFormat="1" customHeight="1" s="311"/>
    <row r="4298" ht="18.75" customFormat="1" customHeight="1" s="311"/>
    <row r="4299" ht="18.75" customFormat="1" customHeight="1" s="311"/>
    <row r="4300" ht="18.75" customFormat="1" customHeight="1" s="311"/>
    <row r="4301" ht="18.75" customFormat="1" customHeight="1" s="311"/>
    <row r="4302" ht="18.75" customFormat="1" customHeight="1" s="311"/>
    <row r="4303" ht="18.75" customFormat="1" customHeight="1" s="311"/>
    <row r="4304" ht="18.75" customFormat="1" customHeight="1" s="311"/>
    <row r="4305" ht="18.75" customFormat="1" customHeight="1" s="311"/>
    <row r="4306" ht="18.75" customFormat="1" customHeight="1" s="311"/>
    <row r="4307" ht="18.75" customFormat="1" customHeight="1" s="311"/>
    <row r="4308" ht="18.75" customFormat="1" customHeight="1" s="311"/>
    <row r="4309" ht="18.75" customFormat="1" customHeight="1" s="311"/>
    <row r="4310" ht="18.75" customFormat="1" customHeight="1" s="311"/>
    <row r="4311" ht="18.75" customFormat="1" customHeight="1" s="311"/>
    <row r="4312" ht="18.75" customFormat="1" customHeight="1" s="311"/>
    <row r="4313" ht="18.75" customFormat="1" customHeight="1" s="311"/>
    <row r="4314" ht="18.75" customFormat="1" customHeight="1" s="311"/>
    <row r="4315" ht="18.75" customFormat="1" customHeight="1" s="311"/>
    <row r="4316" ht="18.75" customFormat="1" customHeight="1" s="311"/>
    <row r="4317" ht="18.75" customFormat="1" customHeight="1" s="311"/>
    <row r="4318" ht="18.75" customFormat="1" customHeight="1" s="311"/>
    <row r="4319" ht="18.75" customFormat="1" customHeight="1" s="311"/>
    <row r="4320" ht="18.75" customFormat="1" customHeight="1" s="311"/>
    <row r="4321" ht="18.75" customFormat="1" customHeight="1" s="311"/>
    <row r="4322" ht="18.75" customFormat="1" customHeight="1" s="311"/>
    <row r="4323" ht="18.75" customFormat="1" customHeight="1" s="311"/>
    <row r="4324" ht="18.75" customFormat="1" customHeight="1" s="311"/>
    <row r="4325" ht="18.75" customFormat="1" customHeight="1" s="311"/>
    <row r="4326" ht="18.75" customFormat="1" customHeight="1" s="311"/>
    <row r="4327" ht="18.75" customFormat="1" customHeight="1" s="311"/>
    <row r="4328" ht="18.75" customFormat="1" customHeight="1" s="311"/>
    <row r="4329" ht="18.75" customFormat="1" customHeight="1" s="311"/>
    <row r="4330" ht="18.75" customFormat="1" customHeight="1" s="311"/>
    <row r="4331" ht="18.75" customFormat="1" customHeight="1" s="311"/>
    <row r="4332" ht="18.75" customFormat="1" customHeight="1" s="311"/>
    <row r="4333" ht="18.75" customFormat="1" customHeight="1" s="311"/>
    <row r="4334" ht="18.75" customFormat="1" customHeight="1" s="311"/>
    <row r="4335" ht="18.75" customFormat="1" customHeight="1" s="311"/>
    <row r="4336" ht="18.75" customFormat="1" customHeight="1" s="311"/>
    <row r="4337" ht="18.75" customFormat="1" customHeight="1" s="311"/>
    <row r="4338" ht="18.75" customFormat="1" customHeight="1" s="311"/>
    <row r="4339" ht="18.75" customFormat="1" customHeight="1" s="311"/>
    <row r="4340" ht="18.75" customFormat="1" customHeight="1" s="311"/>
    <row r="4341" ht="18.75" customFormat="1" customHeight="1" s="311"/>
    <row r="4342" ht="18.75" customFormat="1" customHeight="1" s="311"/>
    <row r="4343" ht="18.75" customFormat="1" customHeight="1" s="311"/>
    <row r="4344" ht="18.75" customFormat="1" customHeight="1" s="311"/>
    <row r="4345" ht="18.75" customFormat="1" customHeight="1" s="311"/>
    <row r="4346" ht="18.75" customFormat="1" customHeight="1" s="311"/>
    <row r="4347" ht="18.75" customFormat="1" customHeight="1" s="311"/>
    <row r="4348" ht="18.75" customFormat="1" customHeight="1" s="311"/>
    <row r="4349" ht="18.75" customFormat="1" customHeight="1" s="311"/>
    <row r="4350" ht="18.75" customFormat="1" customHeight="1" s="311"/>
    <row r="4351" ht="18.75" customFormat="1" customHeight="1" s="311"/>
    <row r="4352" ht="18.75" customFormat="1" customHeight="1" s="311"/>
    <row r="4353" ht="18.75" customFormat="1" customHeight="1" s="311"/>
    <row r="4354" ht="18.75" customFormat="1" customHeight="1" s="311"/>
    <row r="4355" ht="18.75" customFormat="1" customHeight="1" s="311"/>
    <row r="4356" ht="18.75" customFormat="1" customHeight="1" s="311"/>
    <row r="4357" ht="18.75" customFormat="1" customHeight="1" s="311"/>
    <row r="4358" ht="18.75" customFormat="1" customHeight="1" s="311"/>
    <row r="4359" ht="18.75" customFormat="1" customHeight="1" s="311"/>
    <row r="4360" ht="18.75" customFormat="1" customHeight="1" s="311"/>
    <row r="4361" ht="18.75" customFormat="1" customHeight="1" s="311"/>
    <row r="4362" ht="18.75" customFormat="1" customHeight="1" s="311"/>
    <row r="4363" ht="18.75" customFormat="1" customHeight="1" s="311"/>
    <row r="4364" ht="18.75" customFormat="1" customHeight="1" s="311"/>
    <row r="4365" ht="18.75" customFormat="1" customHeight="1" s="311"/>
    <row r="4366" ht="18.75" customFormat="1" customHeight="1" s="311"/>
    <row r="4367" ht="18.75" customFormat="1" customHeight="1" s="311"/>
    <row r="4368" ht="18.75" customFormat="1" customHeight="1" s="311"/>
    <row r="4369" ht="18.75" customFormat="1" customHeight="1" s="311"/>
    <row r="4370" ht="18.75" customFormat="1" customHeight="1" s="311"/>
    <row r="4371" ht="18.75" customFormat="1" customHeight="1" s="311"/>
    <row r="4372" ht="18.75" customFormat="1" customHeight="1" s="311"/>
    <row r="4373" ht="18.75" customFormat="1" customHeight="1" s="311"/>
    <row r="4374" ht="18.75" customFormat="1" customHeight="1" s="311"/>
    <row r="4375" ht="18.75" customFormat="1" customHeight="1" s="311"/>
    <row r="4376" ht="18.75" customFormat="1" customHeight="1" s="311"/>
    <row r="4377" ht="18.75" customFormat="1" customHeight="1" s="311"/>
    <row r="4378" ht="18.75" customFormat="1" customHeight="1" s="311"/>
    <row r="4379" ht="18.75" customFormat="1" customHeight="1" s="311"/>
    <row r="4380" ht="18.75" customFormat="1" customHeight="1" s="311"/>
    <row r="4381" ht="18.75" customFormat="1" customHeight="1" s="311"/>
    <row r="4382" ht="18.75" customFormat="1" customHeight="1" s="311"/>
    <row r="4383" ht="18.75" customFormat="1" customHeight="1" s="311"/>
    <row r="4384" ht="18.75" customFormat="1" customHeight="1" s="311"/>
    <row r="4385" ht="18.75" customFormat="1" customHeight="1" s="311"/>
    <row r="4386" ht="18.75" customFormat="1" customHeight="1" s="311"/>
    <row r="4387" ht="18.75" customFormat="1" customHeight="1" s="311"/>
    <row r="4388" ht="18.75" customFormat="1" customHeight="1" s="311"/>
    <row r="4389" ht="18.75" customFormat="1" customHeight="1" s="311"/>
    <row r="4390" ht="18.75" customFormat="1" customHeight="1" s="311"/>
    <row r="4391" ht="18.75" customFormat="1" customHeight="1" s="311"/>
    <row r="4392" ht="18.75" customFormat="1" customHeight="1" s="311"/>
    <row r="4393" ht="18.75" customFormat="1" customHeight="1" s="311"/>
    <row r="4394" ht="18.75" customFormat="1" customHeight="1" s="311"/>
    <row r="4395" ht="18.75" customFormat="1" customHeight="1" s="311"/>
    <row r="4396" ht="18.75" customFormat="1" customHeight="1" s="311"/>
    <row r="4397" ht="18.75" customFormat="1" customHeight="1" s="311"/>
    <row r="4398" ht="18.75" customFormat="1" customHeight="1" s="311"/>
    <row r="4399" ht="18.75" customFormat="1" customHeight="1" s="311"/>
    <row r="4400" ht="18.75" customFormat="1" customHeight="1" s="311"/>
    <row r="4401" ht="18.75" customFormat="1" customHeight="1" s="311"/>
    <row r="4402" ht="18.75" customFormat="1" customHeight="1" s="311"/>
    <row r="4403" ht="18.75" customFormat="1" customHeight="1" s="311"/>
    <row r="4404" ht="18.75" customFormat="1" customHeight="1" s="311"/>
    <row r="4405" ht="18.75" customFormat="1" customHeight="1" s="311"/>
    <row r="4406" ht="18.75" customFormat="1" customHeight="1" s="311"/>
    <row r="4407" ht="18.75" customFormat="1" customHeight="1" s="311"/>
    <row r="4408" ht="18.75" customFormat="1" customHeight="1" s="311"/>
    <row r="4409" ht="18.75" customFormat="1" customHeight="1" s="311"/>
    <row r="4410" ht="18.75" customFormat="1" customHeight="1" s="311"/>
    <row r="4411" ht="18.75" customFormat="1" customHeight="1" s="311"/>
    <row r="4412" ht="18.75" customFormat="1" customHeight="1" s="311"/>
    <row r="4413" ht="18.75" customFormat="1" customHeight="1" s="311"/>
    <row r="4414" ht="18.75" customFormat="1" customHeight="1" s="311"/>
    <row r="4415" ht="18.75" customFormat="1" customHeight="1" s="311"/>
    <row r="4416" ht="18.75" customFormat="1" customHeight="1" s="311"/>
    <row r="4417" ht="18.75" customFormat="1" customHeight="1" s="311"/>
    <row r="4418" ht="18.75" customFormat="1" customHeight="1" s="311"/>
    <row r="4419" ht="18.75" customFormat="1" customHeight="1" s="311"/>
    <row r="4420" ht="18.75" customFormat="1" customHeight="1" s="311"/>
    <row r="4421" ht="18.75" customFormat="1" customHeight="1" s="311"/>
    <row r="4422" ht="18.75" customFormat="1" customHeight="1" s="311"/>
    <row r="4423" ht="18.75" customFormat="1" customHeight="1" s="311"/>
    <row r="4424" ht="18.75" customFormat="1" customHeight="1" s="311"/>
    <row r="4425" ht="18.75" customFormat="1" customHeight="1" s="311"/>
    <row r="4426" ht="18.75" customFormat="1" customHeight="1" s="311"/>
    <row r="4427" ht="18.75" customFormat="1" customHeight="1" s="311"/>
    <row r="4428" ht="18.75" customFormat="1" customHeight="1" s="311"/>
    <row r="4429" ht="18.75" customFormat="1" customHeight="1" s="311"/>
    <row r="4430" ht="18.75" customFormat="1" customHeight="1" s="311"/>
    <row r="4431" ht="18.75" customFormat="1" customHeight="1" s="311"/>
    <row r="4432" ht="18.75" customFormat="1" customHeight="1" s="311"/>
    <row r="4433" ht="18.75" customFormat="1" customHeight="1" s="311"/>
    <row r="4434" ht="18.75" customFormat="1" customHeight="1" s="311"/>
    <row r="4435" ht="18.75" customFormat="1" customHeight="1" s="311"/>
    <row r="4436" ht="18.75" customFormat="1" customHeight="1" s="311"/>
    <row r="4437" ht="18.75" customFormat="1" customHeight="1" s="311"/>
    <row r="4438" ht="18.75" customFormat="1" customHeight="1" s="311"/>
    <row r="4439" ht="18.75" customFormat="1" customHeight="1" s="311"/>
    <row r="4440" ht="18.75" customFormat="1" customHeight="1" s="311"/>
    <row r="4441" ht="18.75" customFormat="1" customHeight="1" s="311"/>
    <row r="4442" ht="18.75" customFormat="1" customHeight="1" s="311"/>
    <row r="4443" ht="18.75" customFormat="1" customHeight="1" s="311"/>
    <row r="4444" ht="18.75" customFormat="1" customHeight="1" s="311"/>
    <row r="4445" ht="18.75" customFormat="1" customHeight="1" s="311"/>
    <row r="4446" ht="18.75" customFormat="1" customHeight="1" s="311"/>
    <row r="4447" ht="18.75" customFormat="1" customHeight="1" s="311"/>
    <row r="4448" ht="18.75" customFormat="1" customHeight="1" s="311"/>
    <row r="4449" ht="18.75" customFormat="1" customHeight="1" s="311"/>
    <row r="4450" ht="18.75" customFormat="1" customHeight="1" s="311"/>
    <row r="4451" ht="18.75" customFormat="1" customHeight="1" s="311"/>
    <row r="4452" ht="18.75" customFormat="1" customHeight="1" s="311"/>
    <row r="4453" ht="18.75" customFormat="1" customHeight="1" s="311"/>
    <row r="4454" ht="18.75" customFormat="1" customHeight="1" s="311"/>
    <row r="4455" ht="18.75" customFormat="1" customHeight="1" s="311"/>
    <row r="4456" ht="18.75" customFormat="1" customHeight="1" s="311"/>
    <row r="4457" ht="18.75" customFormat="1" customHeight="1" s="311"/>
    <row r="4458" ht="18.75" customFormat="1" customHeight="1" s="311"/>
    <row r="4459" ht="18.75" customFormat="1" customHeight="1" s="311"/>
    <row r="4460" ht="18.75" customFormat="1" customHeight="1" s="311"/>
    <row r="4461" ht="18.75" customFormat="1" customHeight="1" s="311"/>
    <row r="4462" ht="18.75" customFormat="1" customHeight="1" s="311"/>
    <row r="4463" ht="18.75" customFormat="1" customHeight="1" s="311"/>
    <row r="4464" ht="18.75" customFormat="1" customHeight="1" s="311"/>
    <row r="4465" ht="18.75" customFormat="1" customHeight="1" s="311"/>
    <row r="4466" ht="18.75" customFormat="1" customHeight="1" s="311"/>
    <row r="4467" ht="18.75" customFormat="1" customHeight="1" s="311"/>
    <row r="4468" ht="18.75" customFormat="1" customHeight="1" s="311"/>
    <row r="4469" ht="18.75" customFormat="1" customHeight="1" s="311"/>
    <row r="4470" ht="18.75" customFormat="1" customHeight="1" s="311"/>
    <row r="4471" ht="18.75" customFormat="1" customHeight="1" s="311"/>
    <row r="4472" ht="18.75" customFormat="1" customHeight="1" s="311"/>
    <row r="4473" ht="18.75" customFormat="1" customHeight="1" s="311"/>
    <row r="4474" ht="18.75" customFormat="1" customHeight="1" s="311"/>
    <row r="4475" ht="18.75" customFormat="1" customHeight="1" s="311"/>
    <row r="4476" ht="18.75" customFormat="1" customHeight="1" s="311"/>
    <row r="4477" ht="18.75" customFormat="1" customHeight="1" s="311"/>
    <row r="4478" ht="18.75" customFormat="1" customHeight="1" s="311"/>
    <row r="4479" ht="18.75" customFormat="1" customHeight="1" s="311"/>
    <row r="4480" ht="18.75" customFormat="1" customHeight="1" s="311"/>
    <row r="4481" ht="18.75" customFormat="1" customHeight="1" s="311"/>
    <row r="4482" ht="18.75" customFormat="1" customHeight="1" s="311"/>
    <row r="4483" ht="18.75" customFormat="1" customHeight="1" s="311"/>
    <row r="4484" ht="18.75" customFormat="1" customHeight="1" s="311"/>
    <row r="4485" ht="18.75" customFormat="1" customHeight="1" s="311"/>
    <row r="4486" ht="18.75" customFormat="1" customHeight="1" s="311"/>
    <row r="4487" ht="18.75" customFormat="1" customHeight="1" s="311"/>
    <row r="4488" ht="18.75" customFormat="1" customHeight="1" s="311"/>
    <row r="4489" ht="18.75" customFormat="1" customHeight="1" s="311"/>
    <row r="4490" ht="18.75" customFormat="1" customHeight="1" s="311"/>
    <row r="4491" ht="18.75" customFormat="1" customHeight="1" s="311"/>
    <row r="4492" ht="18.75" customFormat="1" customHeight="1" s="311"/>
    <row r="4493" ht="18.75" customFormat="1" customHeight="1" s="311"/>
    <row r="4494" ht="18.75" customFormat="1" customHeight="1" s="311"/>
    <row r="4495" ht="18.75" customFormat="1" customHeight="1" s="311"/>
    <row r="4496" ht="18.75" customFormat="1" customHeight="1" s="311"/>
    <row r="4497" ht="18.75" customFormat="1" customHeight="1" s="311"/>
    <row r="4498" ht="18.75" customFormat="1" customHeight="1" s="311"/>
    <row r="4499" ht="18.75" customFormat="1" customHeight="1" s="311"/>
    <row r="4500" ht="18.75" customFormat="1" customHeight="1" s="311"/>
    <row r="4501" ht="18.75" customFormat="1" customHeight="1" s="311"/>
    <row r="4502" ht="18.75" customFormat="1" customHeight="1" s="311"/>
    <row r="4503" ht="18.75" customFormat="1" customHeight="1" s="311"/>
    <row r="4504" ht="18.75" customFormat="1" customHeight="1" s="311"/>
    <row r="4505" ht="18.75" customFormat="1" customHeight="1" s="311"/>
    <row r="4506" ht="18.75" customFormat="1" customHeight="1" s="311"/>
    <row r="4507" ht="18.75" customFormat="1" customHeight="1" s="311"/>
    <row r="4508" ht="18.75" customFormat="1" customHeight="1" s="311"/>
    <row r="4509" ht="18.75" customFormat="1" customHeight="1" s="311"/>
    <row r="4510" ht="18.75" customFormat="1" customHeight="1" s="311"/>
    <row r="4511" ht="18.75" customFormat="1" customHeight="1" s="311"/>
    <row r="4512" ht="18.75" customFormat="1" customHeight="1" s="311"/>
    <row r="4513" ht="18.75" customFormat="1" customHeight="1" s="311"/>
    <row r="4514" ht="18.75" customFormat="1" customHeight="1" s="311"/>
    <row r="4515" ht="18.75" customFormat="1" customHeight="1" s="311"/>
    <row r="4516" ht="18.75" customFormat="1" customHeight="1" s="311"/>
    <row r="4517" ht="18.75" customFormat="1" customHeight="1" s="311"/>
    <row r="4518" ht="18.75" customFormat="1" customHeight="1" s="311"/>
    <row r="4519" ht="18.75" customFormat="1" customHeight="1" s="311"/>
    <row r="4520" ht="18.75" customFormat="1" customHeight="1" s="311"/>
    <row r="4521" ht="18.75" customFormat="1" customHeight="1" s="311"/>
    <row r="4522" ht="18.75" customFormat="1" customHeight="1" s="311"/>
    <row r="4523" ht="18.75" customFormat="1" customHeight="1" s="311"/>
    <row r="4524" ht="18.75" customFormat="1" customHeight="1" s="311"/>
    <row r="4525" ht="18.75" customFormat="1" customHeight="1" s="311"/>
    <row r="4526" ht="18.75" customFormat="1" customHeight="1" s="311"/>
    <row r="4527" ht="18.75" customFormat="1" customHeight="1" s="311"/>
    <row r="4528" ht="18.75" customFormat="1" customHeight="1" s="311"/>
    <row r="4529" ht="18.75" customFormat="1" customHeight="1" s="311"/>
    <row r="4530" ht="18.75" customFormat="1" customHeight="1" s="311"/>
    <row r="4531" ht="18.75" customFormat="1" customHeight="1" s="311"/>
    <row r="4532" ht="18.75" customFormat="1" customHeight="1" s="311"/>
    <row r="4533" ht="18.75" customFormat="1" customHeight="1" s="311"/>
    <row r="4534" ht="18.75" customFormat="1" customHeight="1" s="311"/>
    <row r="4535" ht="18.75" customFormat="1" customHeight="1" s="311"/>
    <row r="4536" ht="18.75" customFormat="1" customHeight="1" s="311"/>
    <row r="4537" ht="18.75" customFormat="1" customHeight="1" s="311"/>
    <row r="4538" ht="18.75" customFormat="1" customHeight="1" s="311"/>
    <row r="4539" ht="18.75" customFormat="1" customHeight="1" s="311"/>
    <row r="4540" ht="18.75" customFormat="1" customHeight="1" s="311"/>
    <row r="4541" ht="18.75" customFormat="1" customHeight="1" s="311"/>
    <row r="4542" ht="18.75" customFormat="1" customHeight="1" s="311"/>
    <row r="4543" ht="18.75" customFormat="1" customHeight="1" s="311"/>
    <row r="4544" ht="18.75" customFormat="1" customHeight="1" s="311"/>
    <row r="4545" ht="18.75" customFormat="1" customHeight="1" s="311"/>
    <row r="4546" ht="18.75" customFormat="1" customHeight="1" s="311"/>
    <row r="4547" ht="18.75" customFormat="1" customHeight="1" s="311"/>
    <row r="4548" ht="18.75" customFormat="1" customHeight="1" s="311"/>
    <row r="4549" ht="18.75" customFormat="1" customHeight="1" s="311"/>
    <row r="4550" ht="18.75" customFormat="1" customHeight="1" s="311"/>
    <row r="4551" ht="18.75" customFormat="1" customHeight="1" s="311"/>
    <row r="4552" ht="18.75" customFormat="1" customHeight="1" s="311"/>
    <row r="4553" ht="18.75" customFormat="1" customHeight="1" s="311"/>
    <row r="4554" ht="18.75" customFormat="1" customHeight="1" s="311"/>
    <row r="4555" ht="18.75" customFormat="1" customHeight="1" s="311"/>
    <row r="4556" ht="18.75" customFormat="1" customHeight="1" s="311"/>
    <row r="4557" ht="18.75" customFormat="1" customHeight="1" s="311"/>
    <row r="4558" ht="18.75" customFormat="1" customHeight="1" s="311"/>
    <row r="4559" ht="18.75" customFormat="1" customHeight="1" s="311"/>
    <row r="4560" ht="18.75" customFormat="1" customHeight="1" s="311"/>
    <row r="4561" ht="18.75" customFormat="1" customHeight="1" s="311"/>
    <row r="4562" ht="18.75" customFormat="1" customHeight="1" s="311"/>
    <row r="4563" ht="18.75" customFormat="1" customHeight="1" s="311"/>
    <row r="4564" ht="18.75" customFormat="1" customHeight="1" s="311"/>
    <row r="4565" ht="18.75" customFormat="1" customHeight="1" s="311"/>
    <row r="4566" ht="18.75" customFormat="1" customHeight="1" s="311"/>
    <row r="4567" ht="18.75" customFormat="1" customHeight="1" s="311"/>
    <row r="4568" ht="18.75" customFormat="1" customHeight="1" s="311"/>
    <row r="4569" ht="18.75" customFormat="1" customHeight="1" s="311"/>
    <row r="4570" ht="18.75" customFormat="1" customHeight="1" s="311"/>
    <row r="4571" ht="18.75" customFormat="1" customHeight="1" s="311"/>
    <row r="4572" ht="18.75" customFormat="1" customHeight="1" s="311"/>
    <row r="4573" ht="18.75" customFormat="1" customHeight="1" s="311"/>
    <row r="4574" ht="18.75" customFormat="1" customHeight="1" s="311"/>
    <row r="4575" ht="18.75" customFormat="1" customHeight="1" s="311"/>
    <row r="4576" ht="18.75" customFormat="1" customHeight="1" s="311"/>
    <row r="4577" ht="18.75" customFormat="1" customHeight="1" s="311"/>
    <row r="4578" ht="18.75" customFormat="1" customHeight="1" s="311"/>
    <row r="4579" ht="18.75" customFormat="1" customHeight="1" s="311"/>
    <row r="4580" ht="18.75" customFormat="1" customHeight="1" s="311"/>
    <row r="4581" ht="18.75" customFormat="1" customHeight="1" s="311"/>
    <row r="4582" ht="18.75" customFormat="1" customHeight="1" s="311"/>
    <row r="4583" ht="18.75" customFormat="1" customHeight="1" s="311"/>
    <row r="4584" ht="18.75" customFormat="1" customHeight="1" s="311"/>
    <row r="4585" ht="18.75" customFormat="1" customHeight="1" s="311"/>
    <row r="4586" ht="18.75" customFormat="1" customHeight="1" s="311"/>
    <row r="4587" ht="18.75" customFormat="1" customHeight="1" s="311"/>
    <row r="4588" ht="18.75" customFormat="1" customHeight="1" s="311"/>
    <row r="4589" ht="18.75" customFormat="1" customHeight="1" s="311"/>
    <row r="4590" ht="18.75" customFormat="1" customHeight="1" s="311"/>
    <row r="4591" ht="18.75" customFormat="1" customHeight="1" s="311"/>
    <row r="4592" ht="18.75" customFormat="1" customHeight="1" s="311"/>
    <row r="4593" ht="18.75" customFormat="1" customHeight="1" s="311"/>
    <row r="4594" ht="18.75" customFormat="1" customHeight="1" s="311"/>
    <row r="4595" ht="18.75" customFormat="1" customHeight="1" s="311"/>
    <row r="4596" ht="18.75" customFormat="1" customHeight="1" s="311"/>
    <row r="4597" ht="18.75" customFormat="1" customHeight="1" s="311"/>
    <row r="4598" ht="18.75" customFormat="1" customHeight="1" s="311"/>
    <row r="4599" ht="18.75" customFormat="1" customHeight="1" s="311"/>
    <row r="4600" ht="18.75" customFormat="1" customHeight="1" s="311"/>
    <row r="4601" ht="18.75" customFormat="1" customHeight="1" s="311"/>
    <row r="4602" ht="18.75" customFormat="1" customHeight="1" s="311"/>
    <row r="4603" ht="18.75" customFormat="1" customHeight="1" s="311"/>
    <row r="4604" ht="18.75" customFormat="1" customHeight="1" s="311"/>
    <row r="4605" ht="18.75" customFormat="1" customHeight="1" s="311"/>
    <row r="4606" ht="18.75" customFormat="1" customHeight="1" s="311"/>
    <row r="4607" ht="18.75" customFormat="1" customHeight="1" s="311"/>
    <row r="4608" ht="18.75" customFormat="1" customHeight="1" s="311"/>
    <row r="4609" ht="18.75" customFormat="1" customHeight="1" s="311"/>
    <row r="4610" ht="18.75" customFormat="1" customHeight="1" s="311"/>
    <row r="4611" ht="18.75" customFormat="1" customHeight="1" s="311"/>
    <row r="4612" ht="18.75" customFormat="1" customHeight="1" s="311"/>
    <row r="4613" ht="18.75" customFormat="1" customHeight="1" s="311"/>
    <row r="4614" ht="18.75" customFormat="1" customHeight="1" s="311"/>
    <row r="4615" ht="18.75" customFormat="1" customHeight="1" s="311"/>
    <row r="4616" ht="18.75" customFormat="1" customHeight="1" s="311"/>
    <row r="4617" ht="18.75" customFormat="1" customHeight="1" s="311"/>
    <row r="4618" ht="18.75" customFormat="1" customHeight="1" s="311"/>
    <row r="4619" ht="18.75" customFormat="1" customHeight="1" s="311"/>
    <row r="4620" ht="18.75" customFormat="1" customHeight="1" s="311"/>
    <row r="4621" ht="18.75" customFormat="1" customHeight="1" s="311"/>
    <row r="4622" ht="18.75" customFormat="1" customHeight="1" s="311"/>
    <row r="4623" ht="18.75" customFormat="1" customHeight="1" s="311"/>
    <row r="4624" ht="18.75" customFormat="1" customHeight="1" s="311"/>
    <row r="4625" ht="18.75" customFormat="1" customHeight="1" s="311"/>
    <row r="4626" ht="18.75" customFormat="1" customHeight="1" s="311"/>
    <row r="4627" ht="18.75" customFormat="1" customHeight="1" s="311"/>
    <row r="4628" ht="18.75" customFormat="1" customHeight="1" s="311"/>
    <row r="4629" ht="18.75" customFormat="1" customHeight="1" s="311"/>
    <row r="4630" ht="18.75" customFormat="1" customHeight="1" s="311"/>
    <row r="4631" ht="18.75" customFormat="1" customHeight="1" s="311"/>
    <row r="4632" ht="18.75" customFormat="1" customHeight="1" s="311"/>
    <row r="4633" ht="18.75" customFormat="1" customHeight="1" s="311"/>
    <row r="4634" ht="18.75" customFormat="1" customHeight="1" s="311"/>
    <row r="4635" ht="18.75" customFormat="1" customHeight="1" s="311"/>
    <row r="4636" ht="18.75" customFormat="1" customHeight="1" s="311"/>
    <row r="4637" ht="18.75" customFormat="1" customHeight="1" s="311"/>
    <row r="4638" ht="18.75" customFormat="1" customHeight="1" s="311"/>
    <row r="4639" ht="18.75" customFormat="1" customHeight="1" s="311"/>
    <row r="4640" ht="18.75" customFormat="1" customHeight="1" s="311"/>
    <row r="4641" ht="18.75" customFormat="1" customHeight="1" s="311"/>
    <row r="4642" ht="18.75" customFormat="1" customHeight="1" s="311"/>
    <row r="4643" ht="18.75" customFormat="1" customHeight="1" s="311"/>
    <row r="4644" ht="18.75" customFormat="1" customHeight="1" s="311"/>
    <row r="4645" ht="18.75" customFormat="1" customHeight="1" s="311"/>
    <row r="4646" ht="18.75" customFormat="1" customHeight="1" s="311"/>
    <row r="4647" ht="18.75" customFormat="1" customHeight="1" s="311"/>
    <row r="4648" ht="18.75" customFormat="1" customHeight="1" s="311"/>
    <row r="4649" ht="18.75" customFormat="1" customHeight="1" s="311"/>
    <row r="4650" ht="18.75" customFormat="1" customHeight="1" s="311"/>
    <row r="4651" ht="18.75" customFormat="1" customHeight="1" s="311"/>
    <row r="4652" ht="18.75" customFormat="1" customHeight="1" s="311"/>
    <row r="4653" ht="18.75" customFormat="1" customHeight="1" s="311"/>
    <row r="4654" ht="18.75" customFormat="1" customHeight="1" s="311"/>
    <row r="4655" ht="18.75" customFormat="1" customHeight="1" s="311"/>
    <row r="4656" ht="18.75" customFormat="1" customHeight="1" s="311"/>
    <row r="4657" ht="18.75" customFormat="1" customHeight="1" s="311"/>
    <row r="4658" ht="18.75" customFormat="1" customHeight="1" s="311"/>
    <row r="4659" ht="18.75" customFormat="1" customHeight="1" s="311"/>
    <row r="4660" ht="18.75" customFormat="1" customHeight="1" s="311"/>
    <row r="4661" ht="18.75" customFormat="1" customHeight="1" s="311"/>
    <row r="4662" ht="18.75" customFormat="1" customHeight="1" s="311"/>
    <row r="4663" ht="18.75" customFormat="1" customHeight="1" s="311"/>
    <row r="4664" ht="18.75" customFormat="1" customHeight="1" s="311"/>
    <row r="4665" ht="18.75" customFormat="1" customHeight="1" s="311"/>
    <row r="4666" ht="18.75" customFormat="1" customHeight="1" s="311"/>
    <row r="4667" ht="18.75" customFormat="1" customHeight="1" s="311"/>
    <row r="4668" ht="18.75" customFormat="1" customHeight="1" s="311"/>
    <row r="4669" ht="18.75" customFormat="1" customHeight="1" s="311"/>
    <row r="4670" ht="18.75" customFormat="1" customHeight="1" s="311"/>
    <row r="4671" ht="18.75" customFormat="1" customHeight="1" s="311"/>
    <row r="4672" ht="18.75" customFormat="1" customHeight="1" s="311"/>
    <row r="4673" ht="18.75" customFormat="1" customHeight="1" s="311"/>
    <row r="4674" ht="18.75" customFormat="1" customHeight="1" s="311"/>
    <row r="4675" ht="18.75" customFormat="1" customHeight="1" s="311"/>
    <row r="4676" ht="18.75" customFormat="1" customHeight="1" s="311"/>
    <row r="4677" ht="18.75" customFormat="1" customHeight="1" s="311"/>
    <row r="4678" ht="18.75" customFormat="1" customHeight="1" s="311"/>
    <row r="4679" ht="18.75" customFormat="1" customHeight="1" s="311"/>
    <row r="4680" ht="18.75" customFormat="1" customHeight="1" s="311"/>
    <row r="4681" ht="18.75" customFormat="1" customHeight="1" s="311"/>
    <row r="4682" ht="18.75" customFormat="1" customHeight="1" s="311"/>
    <row r="4683" ht="18.75" customFormat="1" customHeight="1" s="311"/>
    <row r="4684" ht="18.75" customFormat="1" customHeight="1" s="311"/>
    <row r="4685" ht="18.75" customFormat="1" customHeight="1" s="311"/>
    <row r="4686" ht="18.75" customFormat="1" customHeight="1" s="311"/>
    <row r="4687" ht="18.75" customFormat="1" customHeight="1" s="311"/>
    <row r="4688" ht="18.75" customFormat="1" customHeight="1" s="311"/>
    <row r="4689" ht="18.75" customFormat="1" customHeight="1" s="311"/>
    <row r="4690" ht="18.75" customFormat="1" customHeight="1" s="311"/>
    <row r="4691" ht="18.75" customFormat="1" customHeight="1" s="311"/>
    <row r="4692" ht="18.75" customFormat="1" customHeight="1" s="311"/>
    <row r="4693" ht="18.75" customFormat="1" customHeight="1" s="311"/>
    <row r="4694" ht="18.75" customFormat="1" customHeight="1" s="311"/>
    <row r="4695" ht="18.75" customFormat="1" customHeight="1" s="311"/>
    <row r="4696" ht="18.75" customFormat="1" customHeight="1" s="311"/>
    <row r="4697" ht="18.75" customFormat="1" customHeight="1" s="311"/>
    <row r="4698" ht="18.75" customFormat="1" customHeight="1" s="311"/>
    <row r="4699" ht="18.75" customFormat="1" customHeight="1" s="311"/>
    <row r="4700" ht="18.75" customFormat="1" customHeight="1" s="311"/>
    <row r="4701" ht="18.75" customFormat="1" customHeight="1" s="311"/>
    <row r="4702" ht="18.75" customFormat="1" customHeight="1" s="311"/>
    <row r="4703" ht="18.75" customFormat="1" customHeight="1" s="311"/>
    <row r="4704" ht="18.75" customFormat="1" customHeight="1" s="311"/>
    <row r="4705" ht="18.75" customFormat="1" customHeight="1" s="311"/>
    <row r="4706" ht="18.75" customFormat="1" customHeight="1" s="311"/>
    <row r="4707" ht="18.75" customFormat="1" customHeight="1" s="311"/>
    <row r="4708" ht="18.75" customFormat="1" customHeight="1" s="311"/>
    <row r="4709" ht="18.75" customFormat="1" customHeight="1" s="311"/>
    <row r="4710" ht="18.75" customFormat="1" customHeight="1" s="311"/>
    <row r="4711" ht="18.75" customFormat="1" customHeight="1" s="311"/>
    <row r="4712" ht="18.75" customFormat="1" customHeight="1" s="311"/>
    <row r="4713" ht="18.75" customFormat="1" customHeight="1" s="311"/>
    <row r="4714" ht="18.75" customFormat="1" customHeight="1" s="311"/>
    <row r="4715" ht="18.75" customFormat="1" customHeight="1" s="311"/>
    <row r="4716" ht="18.75" customFormat="1" customHeight="1" s="311"/>
    <row r="4717" ht="18.75" customFormat="1" customHeight="1" s="311"/>
    <row r="4718" ht="18.75" customFormat="1" customHeight="1" s="311"/>
    <row r="4719" ht="18.75" customFormat="1" customHeight="1" s="311"/>
    <row r="4720" ht="18.75" customFormat="1" customHeight="1" s="311"/>
    <row r="4721" ht="18.75" customFormat="1" customHeight="1" s="311"/>
    <row r="4722" ht="18.75" customFormat="1" customHeight="1" s="311"/>
    <row r="4723" ht="18.75" customFormat="1" customHeight="1" s="311"/>
    <row r="4724" ht="18.75" customFormat="1" customHeight="1" s="311"/>
    <row r="4725" ht="18.75" customFormat="1" customHeight="1" s="311"/>
    <row r="4726" ht="18.75" customFormat="1" customHeight="1" s="311"/>
    <row r="4727" ht="18.75" customFormat="1" customHeight="1" s="311"/>
    <row r="4728" ht="18.75" customFormat="1" customHeight="1" s="311"/>
    <row r="4729" ht="18.75" customFormat="1" customHeight="1" s="311"/>
    <row r="4730" ht="18.75" customFormat="1" customHeight="1" s="311"/>
    <row r="4731" ht="18.75" customFormat="1" customHeight="1" s="311"/>
    <row r="4732" ht="18.75" customFormat="1" customHeight="1" s="311"/>
    <row r="4733" ht="18.75" customFormat="1" customHeight="1" s="311"/>
    <row r="4734" ht="18.75" customFormat="1" customHeight="1" s="311"/>
    <row r="4735" ht="18.75" customFormat="1" customHeight="1" s="311"/>
    <row r="4736" ht="18.75" customFormat="1" customHeight="1" s="311"/>
    <row r="4737" ht="18.75" customFormat="1" customHeight="1" s="311"/>
    <row r="4738" ht="18.75" customFormat="1" customHeight="1" s="311"/>
    <row r="4739" ht="18.75" customFormat="1" customHeight="1" s="311"/>
    <row r="4740" ht="18.75" customFormat="1" customHeight="1" s="311"/>
    <row r="4741" ht="18.75" customFormat="1" customHeight="1" s="311"/>
    <row r="4742" ht="18.75" customFormat="1" customHeight="1" s="311"/>
    <row r="4743" ht="18.75" customFormat="1" customHeight="1" s="311"/>
    <row r="4744" ht="18.75" customFormat="1" customHeight="1" s="311"/>
    <row r="4745" ht="18.75" customFormat="1" customHeight="1" s="311"/>
    <row r="4746" ht="18.75" customFormat="1" customHeight="1" s="311"/>
    <row r="4747" ht="18.75" customFormat="1" customHeight="1" s="311"/>
    <row r="4748" ht="18.75" customFormat="1" customHeight="1" s="311"/>
    <row r="4749" ht="18.75" customFormat="1" customHeight="1" s="311"/>
    <row r="4750" ht="18.75" customFormat="1" customHeight="1" s="311"/>
    <row r="4751" ht="18.75" customFormat="1" customHeight="1" s="311"/>
    <row r="4752" ht="18.75" customFormat="1" customHeight="1" s="311"/>
    <row r="4753" ht="18.75" customFormat="1" customHeight="1" s="311"/>
    <row r="4754" ht="18.75" customFormat="1" customHeight="1" s="311"/>
    <row r="4755" ht="18.75" customFormat="1" customHeight="1" s="311"/>
    <row r="4756" ht="18.75" customFormat="1" customHeight="1" s="311"/>
    <row r="4757" ht="18.75" customFormat="1" customHeight="1" s="311"/>
    <row r="4758" ht="18.75" customFormat="1" customHeight="1" s="311"/>
    <row r="4759" ht="18.75" customFormat="1" customHeight="1" s="311"/>
    <row r="4760" ht="18.75" customFormat="1" customHeight="1" s="311"/>
    <row r="4761" ht="18.75" customFormat="1" customHeight="1" s="311"/>
    <row r="4762" ht="18.75" customFormat="1" customHeight="1" s="311"/>
    <row r="4763" ht="18.75" customFormat="1" customHeight="1" s="311"/>
    <row r="4764" ht="18.75" customFormat="1" customHeight="1" s="311"/>
    <row r="4765" ht="18.75" customFormat="1" customHeight="1" s="311"/>
    <row r="4766" ht="18.75" customFormat="1" customHeight="1" s="311"/>
    <row r="4767" ht="18.75" customFormat="1" customHeight="1" s="311"/>
    <row r="4768" ht="18.75" customFormat="1" customHeight="1" s="311"/>
    <row r="4769" ht="18.75" customFormat="1" customHeight="1" s="311"/>
    <row r="4770" ht="18.75" customFormat="1" customHeight="1" s="311"/>
    <row r="4771" ht="18.75" customFormat="1" customHeight="1" s="311"/>
    <row r="4772" ht="18.75" customFormat="1" customHeight="1" s="311"/>
    <row r="4773" ht="18.75" customFormat="1" customHeight="1" s="311"/>
    <row r="4774" ht="18.75" customFormat="1" customHeight="1" s="311"/>
    <row r="4775" ht="18.75" customFormat="1" customHeight="1" s="311"/>
    <row r="4776" ht="18.75" customFormat="1" customHeight="1" s="311"/>
    <row r="4777" ht="18.75" customFormat="1" customHeight="1" s="311"/>
    <row r="4778" ht="18.75" customFormat="1" customHeight="1" s="311"/>
    <row r="4779" ht="18.75" customFormat="1" customHeight="1" s="311"/>
    <row r="4780" ht="18.75" customFormat="1" customHeight="1" s="311"/>
    <row r="4781" ht="18.75" customFormat="1" customHeight="1" s="311"/>
    <row r="4782" ht="18.75" customFormat="1" customHeight="1" s="311"/>
    <row r="4783" ht="18.75" customFormat="1" customHeight="1" s="311"/>
    <row r="4784" ht="18.75" customFormat="1" customHeight="1" s="311"/>
    <row r="4785" ht="18.75" customFormat="1" customHeight="1" s="311"/>
    <row r="4786" ht="18.75" customFormat="1" customHeight="1" s="311"/>
    <row r="4787" ht="18.75" customFormat="1" customHeight="1" s="311"/>
    <row r="4788" ht="18.75" customFormat="1" customHeight="1" s="311"/>
    <row r="4789" ht="18.75" customFormat="1" customHeight="1" s="311"/>
    <row r="4790" ht="18.75" customFormat="1" customHeight="1" s="311"/>
    <row r="4791" ht="18.75" customFormat="1" customHeight="1" s="311"/>
    <row r="4792" ht="18.75" customFormat="1" customHeight="1" s="311"/>
    <row r="4793" ht="18.75" customFormat="1" customHeight="1" s="311"/>
    <row r="4794" ht="18.75" customFormat="1" customHeight="1" s="311"/>
    <row r="4795" ht="18.75" customFormat="1" customHeight="1" s="311"/>
    <row r="4796" ht="18.75" customFormat="1" customHeight="1" s="311"/>
    <row r="4797" ht="18.75" customFormat="1" customHeight="1" s="311"/>
    <row r="4798" ht="18.75" customFormat="1" customHeight="1" s="311"/>
    <row r="4799" ht="18.75" customFormat="1" customHeight="1" s="311"/>
    <row r="4800" ht="18.75" customFormat="1" customHeight="1" s="311"/>
    <row r="4801" ht="18.75" customFormat="1" customHeight="1" s="311"/>
    <row r="4802" ht="18.75" customFormat="1" customHeight="1" s="311"/>
    <row r="4803" ht="18.75" customFormat="1" customHeight="1" s="311"/>
    <row r="4804" ht="18.75" customFormat="1" customHeight="1" s="311"/>
    <row r="4805" ht="18.75" customFormat="1" customHeight="1" s="311"/>
    <row r="4806" ht="18.75" customFormat="1" customHeight="1" s="311"/>
    <row r="4807" ht="18.75" customFormat="1" customHeight="1" s="311"/>
    <row r="4808" ht="18.75" customFormat="1" customHeight="1" s="311"/>
    <row r="4809" ht="18.75" customFormat="1" customHeight="1" s="311"/>
    <row r="4810" ht="18.75" customFormat="1" customHeight="1" s="311"/>
    <row r="4811" ht="18.75" customFormat="1" customHeight="1" s="311"/>
    <row r="4812" ht="18.75" customFormat="1" customHeight="1" s="311"/>
    <row r="4813" ht="18.75" customFormat="1" customHeight="1" s="311"/>
    <row r="4814" ht="18.75" customFormat="1" customHeight="1" s="311"/>
    <row r="4815" ht="18.75" customFormat="1" customHeight="1" s="311"/>
    <row r="4816" ht="18.75" customFormat="1" customHeight="1" s="311"/>
    <row r="4817" ht="18.75" customFormat="1" customHeight="1" s="311"/>
    <row r="4818" ht="18.75" customFormat="1" customHeight="1" s="311"/>
    <row r="4819" ht="18.75" customFormat="1" customHeight="1" s="311"/>
    <row r="4820" ht="18.75" customFormat="1" customHeight="1" s="311"/>
    <row r="4821" ht="18.75" customFormat="1" customHeight="1" s="311"/>
    <row r="4822" ht="18.75" customFormat="1" customHeight="1" s="311"/>
    <row r="4823" ht="18.75" customFormat="1" customHeight="1" s="311"/>
    <row r="4824" ht="18.75" customFormat="1" customHeight="1" s="311"/>
    <row r="4825" ht="18.75" customFormat="1" customHeight="1" s="311"/>
    <row r="4826" ht="18.75" customFormat="1" customHeight="1" s="311"/>
    <row r="4827" ht="18.75" customFormat="1" customHeight="1" s="311"/>
    <row r="4828" ht="18.75" customFormat="1" customHeight="1" s="311"/>
    <row r="4829" ht="18.75" customFormat="1" customHeight="1" s="311"/>
    <row r="4830" ht="18.75" customFormat="1" customHeight="1" s="311"/>
    <row r="4831" ht="18.75" customFormat="1" customHeight="1" s="311"/>
    <row r="4832" ht="18.75" customFormat="1" customHeight="1" s="311"/>
    <row r="4833" ht="18.75" customFormat="1" customHeight="1" s="311"/>
    <row r="4834" ht="18.75" customFormat="1" customHeight="1" s="311"/>
    <row r="4835" ht="18.75" customFormat="1" customHeight="1" s="311"/>
    <row r="4836" ht="18.75" customFormat="1" customHeight="1" s="311"/>
    <row r="4837" ht="18.75" customFormat="1" customHeight="1" s="311"/>
    <row r="4838" ht="18.75" customFormat="1" customHeight="1" s="311"/>
    <row r="4839" ht="18.75" customFormat="1" customHeight="1" s="311"/>
    <row r="4840" ht="18.75" customFormat="1" customHeight="1" s="311"/>
    <row r="4841" ht="18.75" customFormat="1" customHeight="1" s="311"/>
    <row r="4842" ht="18.75" customFormat="1" customHeight="1" s="311"/>
    <row r="4843" ht="18.75" customFormat="1" customHeight="1" s="311"/>
    <row r="4844" ht="18.75" customFormat="1" customHeight="1" s="311"/>
    <row r="4845" ht="18.75" customFormat="1" customHeight="1" s="311"/>
    <row r="4846" ht="18.75" customFormat="1" customHeight="1" s="311"/>
    <row r="4847" ht="18.75" customFormat="1" customHeight="1" s="311"/>
    <row r="4848" ht="18.75" customFormat="1" customHeight="1" s="311"/>
    <row r="4849" ht="18.75" customFormat="1" customHeight="1" s="311"/>
    <row r="4850" ht="18.75" customFormat="1" customHeight="1" s="311"/>
    <row r="4851" ht="18.75" customFormat="1" customHeight="1" s="311"/>
    <row r="4852" ht="18.75" customFormat="1" customHeight="1" s="311"/>
    <row r="4853" ht="18.75" customFormat="1" customHeight="1" s="311"/>
    <row r="4854" ht="18.75" customFormat="1" customHeight="1" s="311"/>
    <row r="4855" ht="18.75" customFormat="1" customHeight="1" s="311"/>
    <row r="4856" ht="18.75" customFormat="1" customHeight="1" s="311"/>
    <row r="4857" ht="18.75" customFormat="1" customHeight="1" s="311"/>
    <row r="4858" ht="18.75" customFormat="1" customHeight="1" s="311"/>
    <row r="4859" ht="18.75" customFormat="1" customHeight="1" s="311"/>
    <row r="4860" ht="18.75" customFormat="1" customHeight="1" s="311"/>
    <row r="4861" ht="18.75" customFormat="1" customHeight="1" s="311"/>
    <row r="4862" ht="18.75" customFormat="1" customHeight="1" s="311"/>
    <row r="4863" ht="18.75" customFormat="1" customHeight="1" s="311"/>
    <row r="4864" ht="18.75" customFormat="1" customHeight="1" s="311"/>
    <row r="4865" ht="18.75" customFormat="1" customHeight="1" s="311"/>
    <row r="4866" ht="18.75" customFormat="1" customHeight="1" s="311"/>
    <row r="4867" ht="18.75" customFormat="1" customHeight="1" s="311"/>
    <row r="4868" ht="18.75" customFormat="1" customHeight="1" s="311"/>
    <row r="4869" ht="18.75" customFormat="1" customHeight="1" s="311"/>
    <row r="4870" ht="18.75" customFormat="1" customHeight="1" s="311"/>
    <row r="4871" ht="18.75" customFormat="1" customHeight="1" s="311"/>
    <row r="4872" ht="18.75" customFormat="1" customHeight="1" s="311"/>
    <row r="4873" ht="18.75" customFormat="1" customHeight="1" s="311"/>
    <row r="4874" ht="18.75" customFormat="1" customHeight="1" s="311"/>
    <row r="4875" ht="18.75" customFormat="1" customHeight="1" s="311"/>
    <row r="4876" ht="18.75" customFormat="1" customHeight="1" s="311"/>
    <row r="4877" ht="18.75" customFormat="1" customHeight="1" s="311"/>
    <row r="4878" ht="18.75" customFormat="1" customHeight="1" s="311"/>
    <row r="4879" ht="18.75" customFormat="1" customHeight="1" s="311"/>
    <row r="4880" ht="18.75" customFormat="1" customHeight="1" s="311"/>
    <row r="4881" ht="18.75" customFormat="1" customHeight="1" s="311"/>
    <row r="4882" ht="18.75" customFormat="1" customHeight="1" s="311"/>
    <row r="4883" ht="18.75" customFormat="1" customHeight="1" s="311"/>
    <row r="4884" ht="18.75" customFormat="1" customHeight="1" s="311"/>
    <row r="4885" ht="18.75" customFormat="1" customHeight="1" s="311"/>
    <row r="4886" ht="18.75" customFormat="1" customHeight="1" s="311"/>
    <row r="4887" ht="18.75" customFormat="1" customHeight="1" s="311"/>
    <row r="4888" ht="18.75" customFormat="1" customHeight="1" s="311"/>
    <row r="4889" ht="18.75" customFormat="1" customHeight="1" s="311"/>
    <row r="4890" ht="18.75" customFormat="1" customHeight="1" s="311"/>
    <row r="4891" ht="18.75" customFormat="1" customHeight="1" s="311"/>
    <row r="4892" ht="18.75" customFormat="1" customHeight="1" s="311"/>
    <row r="4893" ht="18.75" customFormat="1" customHeight="1" s="311"/>
    <row r="4894" ht="18.75" customFormat="1" customHeight="1" s="311"/>
    <row r="4895" ht="18.75" customFormat="1" customHeight="1" s="311"/>
    <row r="4896" ht="18.75" customFormat="1" customHeight="1" s="311"/>
    <row r="4897" ht="18.75" customFormat="1" customHeight="1" s="311"/>
    <row r="4898" ht="18.75" customFormat="1" customHeight="1" s="311"/>
    <row r="4899" ht="18.75" customFormat="1" customHeight="1" s="311"/>
    <row r="4900" ht="18.75" customFormat="1" customHeight="1" s="311"/>
    <row r="4901" ht="18.75" customFormat="1" customHeight="1" s="311"/>
    <row r="4902" ht="18.75" customFormat="1" customHeight="1" s="311"/>
    <row r="4903" ht="18.75" customFormat="1" customHeight="1" s="311"/>
    <row r="4904" ht="18.75" customFormat="1" customHeight="1" s="311"/>
    <row r="4905" ht="18.75" customFormat="1" customHeight="1" s="311"/>
    <row r="4906" ht="18.75" customFormat="1" customHeight="1" s="311"/>
    <row r="4907" ht="18.75" customFormat="1" customHeight="1" s="311"/>
    <row r="4908" ht="18.75" customFormat="1" customHeight="1" s="311"/>
    <row r="4909" ht="18.75" customFormat="1" customHeight="1" s="311"/>
    <row r="4910" ht="18.75" customFormat="1" customHeight="1" s="311"/>
    <row r="4911" ht="18.75" customFormat="1" customHeight="1" s="311"/>
    <row r="4912" ht="18.75" customFormat="1" customHeight="1" s="311"/>
    <row r="4913" ht="18.75" customFormat="1" customHeight="1" s="311"/>
    <row r="4914" ht="18.75" customFormat="1" customHeight="1" s="311"/>
    <row r="4915" ht="18.75" customFormat="1" customHeight="1" s="311"/>
    <row r="4916" ht="18.75" customFormat="1" customHeight="1" s="311"/>
    <row r="4917" ht="18.75" customFormat="1" customHeight="1" s="311"/>
    <row r="4918" ht="18.75" customFormat="1" customHeight="1" s="311"/>
    <row r="4919" ht="18.75" customFormat="1" customHeight="1" s="311"/>
    <row r="4920" ht="18.75" customFormat="1" customHeight="1" s="311"/>
    <row r="4921" ht="18.75" customFormat="1" customHeight="1" s="311"/>
    <row r="4922" ht="18.75" customFormat="1" customHeight="1" s="311"/>
    <row r="4923" ht="18.75" customFormat="1" customHeight="1" s="311"/>
    <row r="4924" ht="18.75" customFormat="1" customHeight="1" s="311"/>
    <row r="4925" ht="18.75" customFormat="1" customHeight="1" s="311"/>
    <row r="4926" ht="18.75" customFormat="1" customHeight="1" s="311"/>
    <row r="4927" ht="18.75" customFormat="1" customHeight="1" s="311"/>
    <row r="4928" ht="18.75" customFormat="1" customHeight="1" s="311"/>
    <row r="4929" ht="18.75" customFormat="1" customHeight="1" s="311"/>
    <row r="4930" ht="18.75" customFormat="1" customHeight="1" s="311"/>
    <row r="4931" ht="18.75" customFormat="1" customHeight="1" s="311"/>
    <row r="4932" ht="18.75" customFormat="1" customHeight="1" s="311"/>
    <row r="4933" ht="18.75" customFormat="1" customHeight="1" s="311"/>
    <row r="4934" ht="18.75" customFormat="1" customHeight="1" s="311"/>
    <row r="4935" ht="18.75" customFormat="1" customHeight="1" s="311"/>
    <row r="4936" ht="18.75" customFormat="1" customHeight="1" s="311"/>
    <row r="4937" ht="18.75" customFormat="1" customHeight="1" s="311"/>
    <row r="4938" ht="18.75" customFormat="1" customHeight="1" s="311"/>
    <row r="4939" ht="18.75" customFormat="1" customHeight="1" s="311"/>
    <row r="4940" ht="18.75" customFormat="1" customHeight="1" s="311"/>
    <row r="4941" ht="18.75" customFormat="1" customHeight="1" s="311"/>
    <row r="4942" ht="18.75" customFormat="1" customHeight="1" s="311"/>
    <row r="4943" ht="18.75" customFormat="1" customHeight="1" s="311"/>
    <row r="4944" ht="18.75" customFormat="1" customHeight="1" s="311"/>
    <row r="4945" ht="18.75" customFormat="1" customHeight="1" s="311"/>
    <row r="4946" ht="18.75" customFormat="1" customHeight="1" s="311"/>
    <row r="4947" ht="18.75" customFormat="1" customHeight="1" s="311"/>
    <row r="4948" ht="18.75" customFormat="1" customHeight="1" s="311"/>
    <row r="4949" ht="18.75" customFormat="1" customHeight="1" s="311"/>
    <row r="4950" ht="18.75" customFormat="1" customHeight="1" s="311"/>
    <row r="4951" ht="18.75" customFormat="1" customHeight="1" s="311"/>
    <row r="4952" ht="18.75" customFormat="1" customHeight="1" s="311"/>
    <row r="4953" ht="18.75" customFormat="1" customHeight="1" s="311"/>
    <row r="4954" ht="18.75" customFormat="1" customHeight="1" s="311"/>
    <row r="4955" ht="18.75" customFormat="1" customHeight="1" s="311"/>
    <row r="4956" ht="18.75" customFormat="1" customHeight="1" s="311"/>
    <row r="4957" ht="18.75" customFormat="1" customHeight="1" s="311"/>
    <row r="4958" ht="18.75" customFormat="1" customHeight="1" s="311"/>
    <row r="4959" ht="18.75" customFormat="1" customHeight="1" s="311"/>
    <row r="4960" ht="18.75" customFormat="1" customHeight="1" s="311"/>
    <row r="4961" ht="18.75" customFormat="1" customHeight="1" s="311"/>
    <row r="4962" ht="18.75" customFormat="1" customHeight="1" s="311"/>
    <row r="4963" ht="18.75" customFormat="1" customHeight="1" s="311"/>
    <row r="4964" ht="18.75" customFormat="1" customHeight="1" s="311"/>
    <row r="4965" ht="18.75" customFormat="1" customHeight="1" s="311"/>
    <row r="4966" ht="18.75" customFormat="1" customHeight="1" s="311"/>
    <row r="4967" ht="18.75" customFormat="1" customHeight="1" s="311"/>
    <row r="4968" ht="18.75" customFormat="1" customHeight="1" s="311"/>
    <row r="4969" ht="18.75" customFormat="1" customHeight="1" s="311"/>
    <row r="4970" ht="18.75" customFormat="1" customHeight="1" s="311"/>
    <row r="4971" ht="18.75" customFormat="1" customHeight="1" s="311"/>
    <row r="4972" ht="18.75" customFormat="1" customHeight="1" s="311"/>
    <row r="4973" ht="18.75" customFormat="1" customHeight="1" s="311"/>
    <row r="4974" ht="18.75" customFormat="1" customHeight="1" s="311"/>
    <row r="4975" ht="18.75" customFormat="1" customHeight="1" s="311"/>
    <row r="4976" ht="18.75" customFormat="1" customHeight="1" s="311"/>
    <row r="4977" ht="18.75" customFormat="1" customHeight="1" s="311"/>
    <row r="4978" ht="18.75" customFormat="1" customHeight="1" s="311"/>
    <row r="4979" ht="18.75" customFormat="1" customHeight="1" s="311"/>
    <row r="4980" ht="18.75" customFormat="1" customHeight="1" s="311"/>
    <row r="4981" ht="18.75" customFormat="1" customHeight="1" s="311"/>
    <row r="4982" ht="18.75" customFormat="1" customHeight="1" s="311"/>
    <row r="4983" ht="18.75" customFormat="1" customHeight="1" s="311"/>
    <row r="4984" ht="18.75" customFormat="1" customHeight="1" s="311"/>
    <row r="4985" ht="18.75" customFormat="1" customHeight="1" s="311"/>
    <row r="4986" ht="18.75" customFormat="1" customHeight="1" s="311"/>
    <row r="4987" ht="18.75" customFormat="1" customHeight="1" s="311"/>
    <row r="4988" ht="18.75" customFormat="1" customHeight="1" s="311"/>
    <row r="4989" ht="18.75" customFormat="1" customHeight="1" s="311"/>
    <row r="4990" ht="18.75" customFormat="1" customHeight="1" s="311"/>
    <row r="4991" ht="18.75" customFormat="1" customHeight="1" s="311"/>
    <row r="4992" ht="18.75" customFormat="1" customHeight="1" s="311"/>
    <row r="4993" ht="18.75" customFormat="1" customHeight="1" s="311"/>
    <row r="4994" ht="18.75" customFormat="1" customHeight="1" s="311"/>
    <row r="4995" ht="18.75" customFormat="1" customHeight="1" s="311"/>
    <row r="4996" ht="18.75" customFormat="1" customHeight="1" s="311"/>
    <row r="4997" ht="18.75" customFormat="1" customHeight="1" s="311"/>
    <row r="4998" ht="18.75" customFormat="1" customHeight="1" s="311"/>
    <row r="4999" ht="18.75" customFormat="1" customHeight="1" s="311"/>
    <row r="5000" ht="18.75" customFormat="1" customHeight="1" s="311"/>
    <row r="5001" ht="18.75" customFormat="1" customHeight="1" s="311"/>
    <row r="5002" ht="18.75" customFormat="1" customHeight="1" s="311"/>
    <row r="5003" ht="18.75" customFormat="1" customHeight="1" s="311"/>
    <row r="5004" ht="18.75" customFormat="1" customHeight="1" s="311"/>
    <row r="5005" ht="18.75" customFormat="1" customHeight="1" s="311"/>
    <row r="5006" ht="18.75" customFormat="1" customHeight="1" s="311"/>
    <row r="5007" ht="18.75" customFormat="1" customHeight="1" s="311"/>
    <row r="5008" ht="18.75" customFormat="1" customHeight="1" s="311"/>
    <row r="5009" ht="18.75" customFormat="1" customHeight="1" s="311"/>
    <row r="5010" ht="18.75" customFormat="1" customHeight="1" s="311"/>
    <row r="5011" ht="18.75" customFormat="1" customHeight="1" s="311"/>
    <row r="5012" ht="18.75" customFormat="1" customHeight="1" s="311"/>
    <row r="5013" ht="18.75" customFormat="1" customHeight="1" s="311"/>
    <row r="5014" ht="18.75" customFormat="1" customHeight="1" s="311"/>
    <row r="5015" ht="18.75" customFormat="1" customHeight="1" s="311"/>
    <row r="5016" ht="18.75" customFormat="1" customHeight="1" s="311"/>
    <row r="5017" ht="18.75" customFormat="1" customHeight="1" s="311"/>
    <row r="5018" ht="18.75" customFormat="1" customHeight="1" s="311"/>
    <row r="5019" ht="18.75" customFormat="1" customHeight="1" s="311"/>
    <row r="5020" ht="18.75" customFormat="1" customHeight="1" s="311"/>
    <row r="5021" ht="18.75" customFormat="1" customHeight="1" s="311"/>
    <row r="5022" ht="18.75" customFormat="1" customHeight="1" s="311"/>
    <row r="5023" ht="18.75" customFormat="1" customHeight="1" s="311"/>
    <row r="5024" ht="18.75" customFormat="1" customHeight="1" s="311"/>
    <row r="5025" ht="18.75" customFormat="1" customHeight="1" s="311"/>
    <row r="5026" ht="18.75" customFormat="1" customHeight="1" s="311"/>
    <row r="5027" ht="18.75" customFormat="1" customHeight="1" s="311"/>
    <row r="5028" ht="18.75" customFormat="1" customHeight="1" s="311"/>
    <row r="5029" ht="18.75" customFormat="1" customHeight="1" s="311"/>
    <row r="5030" ht="18.75" customFormat="1" customHeight="1" s="311"/>
    <row r="5031" ht="18.75" customFormat="1" customHeight="1" s="311"/>
    <row r="5032" ht="18.75" customFormat="1" customHeight="1" s="311"/>
    <row r="5033" ht="18.75" customFormat="1" customHeight="1" s="311"/>
    <row r="5034" ht="18.75" customFormat="1" customHeight="1" s="311"/>
    <row r="5035" ht="18.75" customFormat="1" customHeight="1" s="311"/>
    <row r="5036" ht="18.75" customFormat="1" customHeight="1" s="311"/>
    <row r="5037" ht="18.75" customFormat="1" customHeight="1" s="311"/>
    <row r="5038" ht="18.75" customFormat="1" customHeight="1" s="311"/>
    <row r="5039" ht="18.75" customFormat="1" customHeight="1" s="311"/>
    <row r="5040" ht="18.75" customFormat="1" customHeight="1" s="311"/>
    <row r="5041" ht="18.75" customFormat="1" customHeight="1" s="311"/>
    <row r="5042" ht="18.75" customFormat="1" customHeight="1" s="311"/>
    <row r="5043" ht="18.75" customFormat="1" customHeight="1" s="311"/>
    <row r="5044" ht="18.75" customFormat="1" customHeight="1" s="311"/>
    <row r="5045" ht="18.75" customFormat="1" customHeight="1" s="311"/>
    <row r="5046" ht="18.75" customFormat="1" customHeight="1" s="311"/>
    <row r="5047" ht="18.75" customFormat="1" customHeight="1" s="311"/>
    <row r="5048" ht="18.75" customFormat="1" customHeight="1" s="311"/>
    <row r="5049" ht="18.75" customFormat="1" customHeight="1" s="311"/>
    <row r="5050" ht="18.75" customFormat="1" customHeight="1" s="311"/>
    <row r="5051" ht="18.75" customFormat="1" customHeight="1" s="311"/>
    <row r="5052" ht="18.75" customFormat="1" customHeight="1" s="311"/>
    <row r="5053" ht="18.75" customFormat="1" customHeight="1" s="311"/>
    <row r="5054" ht="18.75" customFormat="1" customHeight="1" s="311"/>
    <row r="5055" ht="18.75" customFormat="1" customHeight="1" s="311"/>
    <row r="5056" ht="18.75" customFormat="1" customHeight="1" s="311"/>
    <row r="5057" ht="18.75" customFormat="1" customHeight="1" s="311"/>
    <row r="5058" ht="18.75" customFormat="1" customHeight="1" s="311"/>
    <row r="5059" ht="18.75" customFormat="1" customHeight="1" s="311"/>
    <row r="5060" ht="18.75" customFormat="1" customHeight="1" s="311"/>
    <row r="5061" ht="18.75" customFormat="1" customHeight="1" s="311"/>
    <row r="5062" ht="18.75" customFormat="1" customHeight="1" s="311"/>
    <row r="5063" ht="18.75" customFormat="1" customHeight="1" s="311"/>
    <row r="5064" ht="18.75" customFormat="1" customHeight="1" s="311"/>
    <row r="5065" ht="18.75" customFormat="1" customHeight="1" s="311"/>
    <row r="5066" ht="18.75" customFormat="1" customHeight="1" s="311"/>
    <row r="5067" ht="18.75" customFormat="1" customHeight="1" s="311"/>
    <row r="5068" ht="18.75" customFormat="1" customHeight="1" s="311"/>
    <row r="5069" ht="18.75" customFormat="1" customHeight="1" s="311"/>
    <row r="5070" ht="18.75" customFormat="1" customHeight="1" s="311"/>
    <row r="5071" ht="18.75" customFormat="1" customHeight="1" s="311"/>
    <row r="5072" ht="18.75" customFormat="1" customHeight="1" s="311"/>
    <row r="5073" ht="18.75" customFormat="1" customHeight="1" s="311"/>
    <row r="5074" ht="18.75" customFormat="1" customHeight="1" s="311"/>
    <row r="5075" ht="18.75" customFormat="1" customHeight="1" s="311"/>
    <row r="5076" ht="18.75" customFormat="1" customHeight="1" s="311"/>
    <row r="5077" ht="18.75" customFormat="1" customHeight="1" s="311"/>
    <row r="5078" ht="18.75" customFormat="1" customHeight="1" s="311"/>
    <row r="5079" ht="18.75" customFormat="1" customHeight="1" s="311"/>
    <row r="5080" ht="18.75" customFormat="1" customHeight="1" s="311"/>
    <row r="5081" ht="18.75" customFormat="1" customHeight="1" s="311"/>
    <row r="5082" ht="18.75" customFormat="1" customHeight="1" s="311"/>
    <row r="5083" ht="18.75" customFormat="1" customHeight="1" s="311"/>
    <row r="5084" ht="18.75" customFormat="1" customHeight="1" s="311"/>
    <row r="5085" ht="18.75" customFormat="1" customHeight="1" s="311"/>
    <row r="5086" ht="18.75" customFormat="1" customHeight="1" s="311"/>
    <row r="5087" ht="18.75" customFormat="1" customHeight="1" s="311"/>
    <row r="5088" ht="18.75" customFormat="1" customHeight="1" s="311"/>
    <row r="5089" ht="18.75" customFormat="1" customHeight="1" s="311"/>
    <row r="5090" ht="18.75" customFormat="1" customHeight="1" s="311"/>
    <row r="5091" ht="18.75" customFormat="1" customHeight="1" s="311"/>
    <row r="5092" ht="18.75" customFormat="1" customHeight="1" s="311"/>
    <row r="5093" ht="18.75" customFormat="1" customHeight="1" s="311"/>
    <row r="5094" ht="18.75" customFormat="1" customHeight="1" s="311"/>
    <row r="5095" ht="18.75" customFormat="1" customHeight="1" s="311"/>
    <row r="5096" ht="18.75" customFormat="1" customHeight="1" s="311"/>
    <row r="5097" ht="18.75" customFormat="1" customHeight="1" s="311"/>
    <row r="5098" ht="18.75" customFormat="1" customHeight="1" s="311"/>
    <row r="5099" ht="18.75" customFormat="1" customHeight="1" s="311"/>
    <row r="5100" ht="18.75" customFormat="1" customHeight="1" s="311"/>
    <row r="5101" ht="18.75" customFormat="1" customHeight="1" s="311"/>
    <row r="5102" ht="18.75" customFormat="1" customHeight="1" s="311"/>
    <row r="5103" ht="18.75" customFormat="1" customHeight="1" s="311"/>
    <row r="5104" ht="18.75" customFormat="1" customHeight="1" s="311"/>
    <row r="5105" ht="18.75" customFormat="1" customHeight="1" s="311"/>
    <row r="5106" ht="18.75" customFormat="1" customHeight="1" s="311"/>
    <row r="5107" ht="18.75" customFormat="1" customHeight="1" s="311"/>
    <row r="5108" ht="18.75" customFormat="1" customHeight="1" s="311"/>
    <row r="5109" ht="18.75" customFormat="1" customHeight="1" s="311"/>
    <row r="5110" ht="18.75" customFormat="1" customHeight="1" s="311"/>
    <row r="5111" ht="18.75" customFormat="1" customHeight="1" s="311"/>
    <row r="5112" ht="18.75" customFormat="1" customHeight="1" s="311"/>
    <row r="5113" ht="18.75" customFormat="1" customHeight="1" s="311"/>
    <row r="5114" ht="18.75" customFormat="1" customHeight="1" s="311"/>
    <row r="5115" ht="18.75" customFormat="1" customHeight="1" s="311"/>
    <row r="5116" ht="18.75" customFormat="1" customHeight="1" s="311"/>
    <row r="5117" ht="18.75" customFormat="1" customHeight="1" s="311"/>
    <row r="5118" ht="18.75" customFormat="1" customHeight="1" s="311"/>
    <row r="5119" ht="18.75" customFormat="1" customHeight="1" s="311"/>
    <row r="5120" ht="18.75" customFormat="1" customHeight="1" s="311"/>
    <row r="5121" ht="18.75" customFormat="1" customHeight="1" s="311"/>
    <row r="5122" ht="18.75" customFormat="1" customHeight="1" s="311"/>
    <row r="5123" ht="18.75" customFormat="1" customHeight="1" s="311"/>
    <row r="5124" ht="18.75" customFormat="1" customHeight="1" s="311"/>
    <row r="5125" ht="18.75" customFormat="1" customHeight="1" s="311"/>
    <row r="5126" ht="18.75" customFormat="1" customHeight="1" s="311"/>
    <row r="5127" ht="18.75" customFormat="1" customHeight="1" s="311"/>
    <row r="5128" ht="18.75" customFormat="1" customHeight="1" s="311"/>
    <row r="5129" ht="18.75" customFormat="1" customHeight="1" s="311"/>
    <row r="5130" ht="18.75" customFormat="1" customHeight="1" s="311"/>
    <row r="5131" ht="18.75" customFormat="1" customHeight="1" s="311"/>
    <row r="5132" ht="18.75" customFormat="1" customHeight="1" s="311"/>
    <row r="5133" ht="18.75" customFormat="1" customHeight="1" s="311"/>
    <row r="5134" ht="18.75" customFormat="1" customHeight="1" s="311"/>
    <row r="5135" ht="18.75" customFormat="1" customHeight="1" s="311"/>
    <row r="5136" ht="18.75" customFormat="1" customHeight="1" s="311"/>
    <row r="5137" ht="18.75" customFormat="1" customHeight="1" s="311"/>
    <row r="5138" ht="18.75" customFormat="1" customHeight="1" s="311"/>
    <row r="5139" ht="18.75" customFormat="1" customHeight="1" s="311"/>
    <row r="5140" ht="18.75" customFormat="1" customHeight="1" s="311"/>
    <row r="5141" ht="18.75" customFormat="1" customHeight="1" s="311"/>
    <row r="5142" ht="18.75" customFormat="1" customHeight="1" s="311"/>
    <row r="5143" ht="18.75" customFormat="1" customHeight="1" s="311"/>
    <row r="5144" ht="18.75" customFormat="1" customHeight="1" s="311"/>
    <row r="5145" ht="18.75" customFormat="1" customHeight="1" s="311"/>
    <row r="5146" ht="18.75" customFormat="1" customHeight="1" s="311"/>
    <row r="5147" ht="18.75" customFormat="1" customHeight="1" s="311"/>
    <row r="5148" ht="18.75" customFormat="1" customHeight="1" s="311"/>
    <row r="5149" ht="18.75" customFormat="1" customHeight="1" s="311"/>
    <row r="5150" ht="18.75" customFormat="1" customHeight="1" s="311"/>
    <row r="5151" ht="18.75" customFormat="1" customHeight="1" s="311"/>
    <row r="5152" ht="18.75" customFormat="1" customHeight="1" s="311"/>
    <row r="5153" ht="18.75" customFormat="1" customHeight="1" s="311"/>
    <row r="5154" ht="18.75" customFormat="1" customHeight="1" s="311"/>
    <row r="5155" ht="18.75" customFormat="1" customHeight="1" s="311"/>
    <row r="5156" ht="18.75" customFormat="1" customHeight="1" s="311"/>
    <row r="5157" ht="18.75" customFormat="1" customHeight="1" s="311"/>
    <row r="5158" ht="18.75" customFormat="1" customHeight="1" s="311"/>
    <row r="5159" ht="18.75" customFormat="1" customHeight="1" s="311"/>
    <row r="5160" ht="18.75" customFormat="1" customHeight="1" s="311"/>
    <row r="5161" ht="18.75" customFormat="1" customHeight="1" s="311"/>
    <row r="5162" ht="18.75" customFormat="1" customHeight="1" s="311"/>
    <row r="5163" ht="18.75" customFormat="1" customHeight="1" s="311"/>
    <row r="5164" ht="18.75" customFormat="1" customHeight="1" s="311"/>
    <row r="5165" ht="18.75" customFormat="1" customHeight="1" s="311"/>
    <row r="5166" ht="18.75" customFormat="1" customHeight="1" s="311"/>
    <row r="5167" ht="18.75" customFormat="1" customHeight="1" s="311"/>
    <row r="5168" ht="18.75" customFormat="1" customHeight="1" s="311"/>
    <row r="5169" ht="18.75" customFormat="1" customHeight="1" s="311"/>
    <row r="5170" ht="18.75" customFormat="1" customHeight="1" s="311"/>
    <row r="5171" ht="18.75" customFormat="1" customHeight="1" s="311"/>
    <row r="5172" ht="18.75" customFormat="1" customHeight="1" s="311"/>
    <row r="5173" ht="18.75" customFormat="1" customHeight="1" s="311"/>
    <row r="5174" ht="18.75" customFormat="1" customHeight="1" s="311"/>
    <row r="5175" ht="18.75" customFormat="1" customHeight="1" s="311"/>
    <row r="5176" ht="18.75" customFormat="1" customHeight="1" s="311"/>
    <row r="5177" ht="18.75" customFormat="1" customHeight="1" s="311"/>
    <row r="5178" ht="18.75" customFormat="1" customHeight="1" s="311"/>
    <row r="5179" ht="18.75" customFormat="1" customHeight="1" s="311"/>
    <row r="5180" ht="18.75" customFormat="1" customHeight="1" s="311"/>
    <row r="5181" ht="18.75" customFormat="1" customHeight="1" s="311"/>
    <row r="5182" ht="18.75" customFormat="1" customHeight="1" s="311"/>
    <row r="5183" ht="18.75" customFormat="1" customHeight="1" s="311"/>
    <row r="5184" ht="18.75" customFormat="1" customHeight="1" s="311"/>
    <row r="5185" ht="18.75" customFormat="1" customHeight="1" s="311"/>
    <row r="5186" ht="18.75" customFormat="1" customHeight="1" s="311"/>
    <row r="5187" ht="18.75" customFormat="1" customHeight="1" s="311"/>
    <row r="5188" ht="18.75" customFormat="1" customHeight="1" s="311"/>
    <row r="5189" ht="18.75" customFormat="1" customHeight="1" s="311"/>
    <row r="5190" ht="18.75" customFormat="1" customHeight="1" s="311"/>
    <row r="5191" ht="18.75" customFormat="1" customHeight="1" s="311"/>
    <row r="5192" ht="18.75" customFormat="1" customHeight="1" s="311"/>
    <row r="5193" ht="18.75" customFormat="1" customHeight="1" s="311"/>
    <row r="5194" ht="18.75" customFormat="1" customHeight="1" s="311"/>
    <row r="5195" ht="18.75" customFormat="1" customHeight="1" s="311"/>
    <row r="5196" ht="18.75" customFormat="1" customHeight="1" s="311"/>
    <row r="5197" ht="18.75" customFormat="1" customHeight="1" s="311"/>
    <row r="5198" ht="18.75" customFormat="1" customHeight="1" s="311"/>
    <row r="5199" ht="18.75" customFormat="1" customHeight="1" s="311"/>
    <row r="5200" ht="18.75" customFormat="1" customHeight="1" s="311"/>
    <row r="5201" ht="18.75" customFormat="1" customHeight="1" s="311"/>
    <row r="5202" ht="18.75" customFormat="1" customHeight="1" s="311"/>
    <row r="5203" ht="18.75" customFormat="1" customHeight="1" s="311"/>
    <row r="5204" ht="18.75" customFormat="1" customHeight="1" s="311"/>
    <row r="5205" ht="18.75" customFormat="1" customHeight="1" s="311"/>
    <row r="5206" ht="18.75" customFormat="1" customHeight="1" s="311"/>
    <row r="5207" ht="18.75" customFormat="1" customHeight="1" s="311"/>
    <row r="5208" ht="18.75" customFormat="1" customHeight="1" s="311"/>
    <row r="5209" ht="18.75" customFormat="1" customHeight="1" s="311"/>
    <row r="5210" ht="18.75" customFormat="1" customHeight="1" s="311"/>
    <row r="5211" ht="18.75" customFormat="1" customHeight="1" s="311"/>
    <row r="5212" ht="18.75" customFormat="1" customHeight="1" s="311"/>
    <row r="5213" ht="18.75" customFormat="1" customHeight="1" s="311"/>
    <row r="5214" ht="18.75" customFormat="1" customHeight="1" s="311"/>
    <row r="5215" ht="18.75" customFormat="1" customHeight="1" s="311"/>
    <row r="5216" ht="18.75" customFormat="1" customHeight="1" s="311"/>
    <row r="5217" ht="18.75" customFormat="1" customHeight="1" s="311"/>
    <row r="5218" ht="18.75" customFormat="1" customHeight="1" s="311"/>
    <row r="5219" ht="18.75" customFormat="1" customHeight="1" s="311"/>
    <row r="5220" ht="18.75" customFormat="1" customHeight="1" s="311"/>
    <row r="5221" ht="18.75" customFormat="1" customHeight="1" s="311"/>
    <row r="5222" ht="18.75" customFormat="1" customHeight="1" s="311"/>
    <row r="5223" ht="18.75" customFormat="1" customHeight="1" s="311"/>
    <row r="5224" ht="18.75" customFormat="1" customHeight="1" s="311"/>
    <row r="5225" ht="18.75" customFormat="1" customHeight="1" s="311"/>
    <row r="5226" ht="18.75" customFormat="1" customHeight="1" s="311"/>
    <row r="5227" ht="18.75" customFormat="1" customHeight="1" s="311"/>
    <row r="5228" ht="18.75" customFormat="1" customHeight="1" s="311"/>
    <row r="5229" ht="18.75" customFormat="1" customHeight="1" s="311"/>
    <row r="5230" ht="18.75" customFormat="1" customHeight="1" s="311"/>
    <row r="5231" ht="18.75" customFormat="1" customHeight="1" s="311"/>
    <row r="5232" ht="18.75" customFormat="1" customHeight="1" s="311"/>
    <row r="5233" ht="18.75" customFormat="1" customHeight="1" s="311"/>
    <row r="5234" ht="18.75" customFormat="1" customHeight="1" s="311"/>
    <row r="5235" ht="18.75" customFormat="1" customHeight="1" s="311"/>
    <row r="5236" ht="18.75" customFormat="1" customHeight="1" s="311"/>
    <row r="5237" ht="18.75" customFormat="1" customHeight="1" s="311"/>
    <row r="5238" ht="18.75" customFormat="1" customHeight="1" s="311"/>
    <row r="5239" ht="18.75" customFormat="1" customHeight="1" s="311"/>
    <row r="5240" ht="18.75" customFormat="1" customHeight="1" s="311"/>
    <row r="5241" ht="18.75" customFormat="1" customHeight="1" s="311"/>
    <row r="5242" ht="18.75" customFormat="1" customHeight="1" s="311"/>
    <row r="5243" ht="18.75" customFormat="1" customHeight="1" s="311"/>
    <row r="5244" ht="18.75" customFormat="1" customHeight="1" s="311"/>
    <row r="5245" ht="18.75" customFormat="1" customHeight="1" s="311"/>
    <row r="5246" ht="18.75" customFormat="1" customHeight="1" s="311"/>
    <row r="5247" ht="18.75" customFormat="1" customHeight="1" s="311"/>
    <row r="5248" ht="18.75" customFormat="1" customHeight="1" s="311"/>
    <row r="5249" ht="18.75" customFormat="1" customHeight="1" s="311"/>
    <row r="5250" ht="18.75" customFormat="1" customHeight="1" s="311"/>
    <row r="5251" ht="18.75" customFormat="1" customHeight="1" s="311"/>
    <row r="5252" ht="18.75" customFormat="1" customHeight="1" s="311"/>
    <row r="5253" ht="18.75" customFormat="1" customHeight="1" s="311"/>
    <row r="5254" ht="18.75" customFormat="1" customHeight="1" s="311"/>
    <row r="5255" ht="18.75" customFormat="1" customHeight="1" s="311"/>
    <row r="5256" ht="18.75" customFormat="1" customHeight="1" s="311"/>
    <row r="5257" ht="18.75" customFormat="1" customHeight="1" s="311"/>
    <row r="5258" ht="18.75" customFormat="1" customHeight="1" s="311"/>
    <row r="5259" ht="18.75" customFormat="1" customHeight="1" s="311"/>
    <row r="5260" ht="18.75" customFormat="1" customHeight="1" s="311"/>
    <row r="5261" ht="18.75" customFormat="1" customHeight="1" s="311"/>
    <row r="5262" ht="18.75" customFormat="1" customHeight="1" s="311"/>
    <row r="5263" ht="18.75" customFormat="1" customHeight="1" s="311"/>
    <row r="5264" ht="18.75" customFormat="1" customHeight="1" s="311"/>
    <row r="5265" ht="18.75" customFormat="1" customHeight="1" s="311"/>
    <row r="5266" ht="18.75" customFormat="1" customHeight="1" s="311"/>
    <row r="5267" ht="18.75" customFormat="1" customHeight="1" s="311"/>
    <row r="5268" ht="18.75" customFormat="1" customHeight="1" s="311"/>
    <row r="5269" ht="18.75" customFormat="1" customHeight="1" s="311"/>
    <row r="5270" ht="18.75" customFormat="1" customHeight="1" s="311"/>
    <row r="5271" ht="18.75" customFormat="1" customHeight="1" s="311"/>
    <row r="5272" ht="18.75" customFormat="1" customHeight="1" s="311"/>
    <row r="5273" ht="18.75" customFormat="1" customHeight="1" s="311"/>
    <row r="5274" ht="18.75" customFormat="1" customHeight="1" s="311"/>
    <row r="5275" ht="18.75" customFormat="1" customHeight="1" s="311"/>
    <row r="5276" ht="18.75" customFormat="1" customHeight="1" s="311"/>
    <row r="5277" ht="18.75" customFormat="1" customHeight="1" s="311"/>
    <row r="5278" ht="18.75" customFormat="1" customHeight="1" s="311"/>
    <row r="5279" ht="18.75" customFormat="1" customHeight="1" s="311"/>
    <row r="5280" ht="18.75" customFormat="1" customHeight="1" s="311"/>
    <row r="5281" ht="18.75" customFormat="1" customHeight="1" s="311"/>
    <row r="5282" ht="18.75" customFormat="1" customHeight="1" s="311"/>
    <row r="5283" ht="18.75" customFormat="1" customHeight="1" s="311"/>
    <row r="5284" ht="18.75" customFormat="1" customHeight="1" s="311"/>
    <row r="5285" ht="18.75" customFormat="1" customHeight="1" s="311"/>
    <row r="5286" ht="18.75" customFormat="1" customHeight="1" s="311"/>
    <row r="5287" ht="18.75" customFormat="1" customHeight="1" s="311"/>
    <row r="5288" ht="18.75" customFormat="1" customHeight="1" s="311"/>
    <row r="5289" ht="18.75" customFormat="1" customHeight="1" s="311"/>
    <row r="5290" ht="18.75" customFormat="1" customHeight="1" s="311"/>
    <row r="5291" ht="18.75" customFormat="1" customHeight="1" s="311"/>
    <row r="5292" ht="18.75" customFormat="1" customHeight="1" s="311"/>
    <row r="5293" ht="18.75" customFormat="1" customHeight="1" s="311"/>
    <row r="5294" ht="18.75" customFormat="1" customHeight="1" s="311"/>
    <row r="5295" ht="18.75" customFormat="1" customHeight="1" s="311"/>
    <row r="5296" ht="18.75" customFormat="1" customHeight="1" s="311"/>
    <row r="5297" ht="18.75" customFormat="1" customHeight="1" s="311"/>
    <row r="5298" ht="18.75" customFormat="1" customHeight="1" s="311"/>
    <row r="5299" ht="18.75" customFormat="1" customHeight="1" s="311"/>
    <row r="5300" ht="18.75" customFormat="1" customHeight="1" s="311"/>
    <row r="5301" ht="18.75" customFormat="1" customHeight="1" s="311"/>
    <row r="5302" ht="18.75" customFormat="1" customHeight="1" s="311"/>
    <row r="5303" ht="18.75" customFormat="1" customHeight="1" s="311"/>
    <row r="5304" ht="18.75" customFormat="1" customHeight="1" s="311"/>
    <row r="5305" ht="18.75" customFormat="1" customHeight="1" s="311"/>
    <row r="5306" ht="18.75" customFormat="1" customHeight="1" s="311"/>
    <row r="5307" ht="18.75" customFormat="1" customHeight="1" s="311"/>
    <row r="5308" ht="18.75" customFormat="1" customHeight="1" s="311"/>
    <row r="5309" ht="18.75" customFormat="1" customHeight="1" s="311"/>
    <row r="5310" ht="18.75" customFormat="1" customHeight="1" s="311"/>
    <row r="5311" ht="18.75" customFormat="1" customHeight="1" s="311"/>
    <row r="5312" ht="18.75" customFormat="1" customHeight="1" s="311"/>
    <row r="5313" ht="18.75" customFormat="1" customHeight="1" s="311"/>
    <row r="5314" ht="18.75" customFormat="1" customHeight="1" s="311"/>
    <row r="5315" ht="18.75" customFormat="1" customHeight="1" s="311"/>
    <row r="5316" ht="18.75" customFormat="1" customHeight="1" s="311"/>
    <row r="5317" ht="18.75" customFormat="1" customHeight="1" s="311"/>
    <row r="5318" ht="18.75" customFormat="1" customHeight="1" s="311"/>
    <row r="5319" ht="18.75" customFormat="1" customHeight="1" s="311"/>
    <row r="5320" ht="18.75" customFormat="1" customHeight="1" s="311"/>
    <row r="5321" ht="18.75" customFormat="1" customHeight="1" s="311"/>
    <row r="5322" ht="18.75" customFormat="1" customHeight="1" s="311"/>
    <row r="5323" ht="18.75" customFormat="1" customHeight="1" s="311"/>
    <row r="5324" ht="18.75" customFormat="1" customHeight="1" s="311"/>
    <row r="5325" ht="18.75" customFormat="1" customHeight="1" s="311"/>
    <row r="5326" ht="18.75" customFormat="1" customHeight="1" s="311"/>
    <row r="5327" ht="18.75" customFormat="1" customHeight="1" s="311"/>
    <row r="5328" ht="18.75" customFormat="1" customHeight="1" s="311"/>
    <row r="5329" ht="18.75" customFormat="1" customHeight="1" s="311"/>
    <row r="5330" ht="18.75" customFormat="1" customHeight="1" s="311"/>
    <row r="5331" ht="18.75" customFormat="1" customHeight="1" s="311"/>
    <row r="5332" ht="18.75" customFormat="1" customHeight="1" s="311"/>
    <row r="5333" ht="18.75" customFormat="1" customHeight="1" s="311"/>
    <row r="5334" ht="18.75" customFormat="1" customHeight="1" s="311"/>
    <row r="5335" ht="18.75" customFormat="1" customHeight="1" s="311"/>
    <row r="5336" ht="18.75" customFormat="1" customHeight="1" s="311"/>
    <row r="5337" ht="18.75" customFormat="1" customHeight="1" s="311"/>
    <row r="5338" ht="18.75" customFormat="1" customHeight="1" s="311"/>
    <row r="5339" ht="18.75" customFormat="1" customHeight="1" s="311"/>
    <row r="5340" ht="18.75" customFormat="1" customHeight="1" s="311"/>
    <row r="5341" ht="18.75" customFormat="1" customHeight="1" s="311"/>
    <row r="5342" ht="18.75" customFormat="1" customHeight="1" s="311"/>
    <row r="5343" ht="18.75" customFormat="1" customHeight="1" s="311"/>
    <row r="5344" ht="18.75" customFormat="1" customHeight="1" s="311"/>
    <row r="5345" ht="18.75" customFormat="1" customHeight="1" s="311"/>
    <row r="5346" ht="18.75" customFormat="1" customHeight="1" s="311"/>
    <row r="5347" ht="18.75" customFormat="1" customHeight="1" s="311"/>
    <row r="5348" ht="18.75" customFormat="1" customHeight="1" s="311"/>
    <row r="5349" ht="18.75" customFormat="1" customHeight="1" s="311"/>
    <row r="5350" ht="18.75" customFormat="1" customHeight="1" s="311"/>
    <row r="5351" ht="18.75" customFormat="1" customHeight="1" s="311"/>
    <row r="5352" ht="18.75" customFormat="1" customHeight="1" s="311"/>
    <row r="5353" ht="18.75" customFormat="1" customHeight="1" s="311"/>
    <row r="5354" ht="18.75" customFormat="1" customHeight="1" s="311"/>
    <row r="5355" ht="18.75" customFormat="1" customHeight="1" s="311"/>
    <row r="5356" ht="18.75" customFormat="1" customHeight="1" s="311"/>
    <row r="5357" ht="18.75" customFormat="1" customHeight="1" s="311"/>
    <row r="5358" ht="18.75" customFormat="1" customHeight="1" s="311"/>
    <row r="5359" ht="18.75" customFormat="1" customHeight="1" s="311"/>
    <row r="5360" ht="18.75" customFormat="1" customHeight="1" s="311"/>
    <row r="5361" ht="18.75" customFormat="1" customHeight="1" s="311"/>
    <row r="5362" ht="18.75" customFormat="1" customHeight="1" s="311"/>
    <row r="5363" ht="18.75" customFormat="1" customHeight="1" s="311"/>
    <row r="5364" ht="18.75" customFormat="1" customHeight="1" s="311"/>
    <row r="5365" ht="18.75" customFormat="1" customHeight="1" s="311"/>
    <row r="5366" ht="18.75" customFormat="1" customHeight="1" s="311"/>
    <row r="5367" ht="18.75" customFormat="1" customHeight="1" s="311"/>
    <row r="5368" ht="18.75" customFormat="1" customHeight="1" s="311"/>
    <row r="5369" ht="18.75" customFormat="1" customHeight="1" s="311"/>
    <row r="5370" ht="18.75" customFormat="1" customHeight="1" s="311"/>
    <row r="5371" ht="18.75" customFormat="1" customHeight="1" s="311"/>
    <row r="5372" ht="18.75" customFormat="1" customHeight="1" s="311"/>
    <row r="5373" ht="18.75" customFormat="1" customHeight="1" s="311"/>
    <row r="5374" ht="18.75" customFormat="1" customHeight="1" s="311"/>
    <row r="5375" ht="18.75" customFormat="1" customHeight="1" s="311"/>
    <row r="5376" ht="18.75" customFormat="1" customHeight="1" s="311"/>
    <row r="5377" ht="18.75" customFormat="1" customHeight="1" s="311"/>
    <row r="5378" ht="18.75" customFormat="1" customHeight="1" s="311"/>
    <row r="5379" ht="18.75" customFormat="1" customHeight="1" s="311"/>
    <row r="5380" ht="18.75" customFormat="1" customHeight="1" s="311"/>
    <row r="5381" ht="18.75" customFormat="1" customHeight="1" s="311"/>
    <row r="5382" ht="18.75" customFormat="1" customHeight="1" s="311"/>
    <row r="5383" ht="18.75" customFormat="1" customHeight="1" s="311"/>
    <row r="5384" ht="18.75" customFormat="1" customHeight="1" s="311"/>
    <row r="5385" ht="18.75" customFormat="1" customHeight="1" s="311"/>
    <row r="5386" ht="18.75" customFormat="1" customHeight="1" s="311"/>
    <row r="5387" ht="18.75" customFormat="1" customHeight="1" s="311"/>
    <row r="5388" ht="18.75" customFormat="1" customHeight="1" s="311"/>
    <row r="5389" ht="18.75" customFormat="1" customHeight="1" s="311"/>
    <row r="5390" ht="18.75" customFormat="1" customHeight="1" s="311"/>
    <row r="5391" ht="18.75" customFormat="1" customHeight="1" s="311"/>
    <row r="5392" ht="18.75" customFormat="1" customHeight="1" s="311"/>
    <row r="5393" ht="18.75" customFormat="1" customHeight="1" s="311"/>
    <row r="5394" ht="18.75" customFormat="1" customHeight="1" s="311"/>
    <row r="5395" ht="18.75" customFormat="1" customHeight="1" s="311"/>
    <row r="5396" ht="18.75" customFormat="1" customHeight="1" s="311"/>
    <row r="5397" ht="18.75" customFormat="1" customHeight="1" s="311"/>
    <row r="5398" ht="18.75" customFormat="1" customHeight="1" s="311"/>
    <row r="5399" ht="18.75" customFormat="1" customHeight="1" s="311"/>
    <row r="5400" ht="18.75" customFormat="1" customHeight="1" s="311"/>
    <row r="5401" ht="18.75" customFormat="1" customHeight="1" s="311"/>
    <row r="5402" ht="18.75" customFormat="1" customHeight="1" s="311"/>
    <row r="5403" ht="18.75" customFormat="1" customHeight="1" s="311"/>
    <row r="5404" ht="18.75" customFormat="1" customHeight="1" s="311"/>
    <row r="5405" ht="18.75" customFormat="1" customHeight="1" s="311"/>
    <row r="5406" ht="18.75" customFormat="1" customHeight="1" s="311"/>
    <row r="5407" ht="18.75" customFormat="1" customHeight="1" s="311"/>
    <row r="5408" ht="18.75" customFormat="1" customHeight="1" s="311"/>
    <row r="5409" ht="18.75" customFormat="1" customHeight="1" s="311"/>
    <row r="5410" ht="18.75" customFormat="1" customHeight="1" s="311"/>
    <row r="5411" ht="18.75" customFormat="1" customHeight="1" s="311"/>
    <row r="5412" ht="18.75" customFormat="1" customHeight="1" s="311"/>
    <row r="5413" ht="18.75" customFormat="1" customHeight="1" s="311"/>
    <row r="5414" ht="18.75" customFormat="1" customHeight="1" s="311"/>
    <row r="5415" ht="18.75" customFormat="1" customHeight="1" s="311"/>
    <row r="5416" ht="18.75" customFormat="1" customHeight="1" s="311"/>
    <row r="5417" ht="18.75" customFormat="1" customHeight="1" s="311"/>
    <row r="5418" ht="18.75" customFormat="1" customHeight="1" s="311"/>
    <row r="5419" ht="18.75" customFormat="1" customHeight="1" s="311"/>
    <row r="5420" ht="18.75" customFormat="1" customHeight="1" s="311"/>
    <row r="5421" ht="18.75" customFormat="1" customHeight="1" s="311"/>
    <row r="5422" ht="18.75" customFormat="1" customHeight="1" s="311"/>
    <row r="5423" ht="18.75" customFormat="1" customHeight="1" s="311"/>
    <row r="5424" ht="18.75" customFormat="1" customHeight="1" s="311"/>
    <row r="5425" ht="18.75" customFormat="1" customHeight="1" s="311"/>
    <row r="5426" ht="18.75" customFormat="1" customHeight="1" s="311"/>
    <row r="5427" ht="18.75" customFormat="1" customHeight="1" s="311"/>
    <row r="5428" ht="18.75" customFormat="1" customHeight="1" s="311"/>
    <row r="5429" ht="18.75" customFormat="1" customHeight="1" s="311"/>
    <row r="5430" ht="18.75" customFormat="1" customHeight="1" s="311"/>
    <row r="5431" ht="18.75" customFormat="1" customHeight="1" s="311"/>
    <row r="5432" ht="18.75" customFormat="1" customHeight="1" s="311"/>
    <row r="5433" ht="18.75" customFormat="1" customHeight="1" s="311"/>
    <row r="5434" ht="18.75" customFormat="1" customHeight="1" s="311"/>
    <row r="5435" ht="18.75" customFormat="1" customHeight="1" s="311"/>
    <row r="5436" ht="18.75" customFormat="1" customHeight="1" s="311"/>
    <row r="5437" ht="18.75" customFormat="1" customHeight="1" s="311"/>
    <row r="5438" ht="18.75" customFormat="1" customHeight="1" s="311"/>
    <row r="5439" ht="18.75" customFormat="1" customHeight="1" s="311"/>
    <row r="5440" ht="18.75" customFormat="1" customHeight="1" s="311"/>
    <row r="5441" ht="18.75" customFormat="1" customHeight="1" s="311"/>
    <row r="5442" ht="18.75" customFormat="1" customHeight="1" s="311"/>
    <row r="5443" ht="18.75" customFormat="1" customHeight="1" s="311"/>
    <row r="5444" ht="18.75" customFormat="1" customHeight="1" s="311"/>
    <row r="5445" ht="18.75" customFormat="1" customHeight="1" s="311"/>
    <row r="5446" ht="18.75" customFormat="1" customHeight="1" s="311"/>
    <row r="5447" ht="18.75" customFormat="1" customHeight="1" s="311"/>
    <row r="5448" ht="18.75" customFormat="1" customHeight="1" s="311"/>
    <row r="5449" ht="18.75" customFormat="1" customHeight="1" s="311"/>
    <row r="5450" ht="18.75" customFormat="1" customHeight="1" s="311"/>
    <row r="5451" ht="18.75" customFormat="1" customHeight="1" s="311"/>
    <row r="5452" ht="18.75" customFormat="1" customHeight="1" s="311"/>
    <row r="5453" ht="18.75" customFormat="1" customHeight="1" s="311"/>
    <row r="5454" ht="18.75" customFormat="1" customHeight="1" s="311"/>
    <row r="5455" ht="18.75" customFormat="1" customHeight="1" s="311"/>
    <row r="5456" ht="18.75" customFormat="1" customHeight="1" s="311"/>
    <row r="5457" ht="18.75" customFormat="1" customHeight="1" s="311"/>
    <row r="5458" ht="18.75" customFormat="1" customHeight="1" s="311"/>
    <row r="5459" ht="18.75" customFormat="1" customHeight="1" s="311"/>
    <row r="5460" ht="18.75" customFormat="1" customHeight="1" s="311"/>
    <row r="5461" ht="18.75" customFormat="1" customHeight="1" s="311"/>
    <row r="5462" ht="18.75" customFormat="1" customHeight="1" s="311"/>
    <row r="5463" ht="18.75" customFormat="1" customHeight="1" s="311"/>
    <row r="5464" ht="18.75" customFormat="1" customHeight="1" s="311"/>
    <row r="5465" ht="18.75" customFormat="1" customHeight="1" s="311"/>
    <row r="5466" ht="18.75" customFormat="1" customHeight="1" s="311"/>
    <row r="5467" ht="18.75" customFormat="1" customHeight="1" s="311"/>
    <row r="5468" ht="18.75" customFormat="1" customHeight="1" s="311"/>
    <row r="5469" ht="18.75" customFormat="1" customHeight="1" s="311"/>
    <row r="5470" ht="18.75" customFormat="1" customHeight="1" s="311"/>
    <row r="5471" ht="18.75" customFormat="1" customHeight="1" s="311"/>
    <row r="5472" ht="18.75" customFormat="1" customHeight="1" s="311"/>
    <row r="5473" ht="18.75" customFormat="1" customHeight="1" s="311"/>
    <row r="5474" ht="18.75" customFormat="1" customHeight="1" s="311"/>
    <row r="5475" ht="18.75" customFormat="1" customHeight="1" s="311"/>
    <row r="5476" ht="18.75" customFormat="1" customHeight="1" s="311"/>
    <row r="5477" ht="18.75" customFormat="1" customHeight="1" s="311"/>
    <row r="5478" ht="18.75" customFormat="1" customHeight="1" s="311"/>
    <row r="5479" ht="18.75" customFormat="1" customHeight="1" s="311"/>
    <row r="5480" ht="18.75" customFormat="1" customHeight="1" s="311"/>
    <row r="5481" ht="18.75" customFormat="1" customHeight="1" s="311"/>
    <row r="5482" ht="18.75" customFormat="1" customHeight="1" s="311"/>
    <row r="5483" ht="18.75" customFormat="1" customHeight="1" s="311"/>
    <row r="5484" ht="18.75" customFormat="1" customHeight="1" s="311"/>
    <row r="5485" ht="18.75" customFormat="1" customHeight="1" s="311"/>
    <row r="5486" ht="18.75" customFormat="1" customHeight="1" s="311"/>
    <row r="5487" ht="18.75" customFormat="1" customHeight="1" s="311"/>
    <row r="5488" ht="18.75" customFormat="1" customHeight="1" s="311"/>
    <row r="5489" ht="18.75" customFormat="1" customHeight="1" s="311"/>
    <row r="5490" ht="18.75" customFormat="1" customHeight="1" s="311"/>
    <row r="5491" ht="18.75" customFormat="1" customHeight="1" s="311"/>
    <row r="5492" ht="18.75" customFormat="1" customHeight="1" s="311"/>
    <row r="5493" ht="18.75" customFormat="1" customHeight="1" s="311"/>
    <row r="5494" ht="18.75" customFormat="1" customHeight="1" s="311"/>
    <row r="5495" ht="18.75" customFormat="1" customHeight="1" s="311"/>
    <row r="5496" ht="18.75" customFormat="1" customHeight="1" s="311"/>
    <row r="5497" ht="18.75" customFormat="1" customHeight="1" s="311"/>
    <row r="5498" ht="18.75" customFormat="1" customHeight="1" s="311"/>
    <row r="5499" ht="18.75" customFormat="1" customHeight="1" s="311"/>
    <row r="5500" ht="18.75" customFormat="1" customHeight="1" s="311"/>
    <row r="5501" ht="18.75" customFormat="1" customHeight="1" s="311"/>
    <row r="5502" ht="18.75" customFormat="1" customHeight="1" s="311"/>
    <row r="5503" ht="18.75" customFormat="1" customHeight="1" s="311"/>
    <row r="5504" ht="18.75" customFormat="1" customHeight="1" s="311"/>
    <row r="5505" ht="18.75" customFormat="1" customHeight="1" s="311"/>
    <row r="5506" ht="18.75" customFormat="1" customHeight="1" s="311"/>
    <row r="5507" ht="18.75" customFormat="1" customHeight="1" s="311"/>
    <row r="5508" ht="18.75" customFormat="1" customHeight="1" s="311"/>
    <row r="5509" ht="18.75" customFormat="1" customHeight="1" s="311"/>
    <row r="5510" ht="18.75" customFormat="1" customHeight="1" s="311"/>
    <row r="5511" ht="18.75" customFormat="1" customHeight="1" s="311"/>
    <row r="5512" ht="18.75" customFormat="1" customHeight="1" s="311"/>
    <row r="5513" ht="18.75" customFormat="1" customHeight="1" s="311"/>
    <row r="5514" ht="18.75" customFormat="1" customHeight="1" s="311"/>
    <row r="5515" ht="18.75" customFormat="1" customHeight="1" s="311"/>
    <row r="5516" ht="18.75" customFormat="1" customHeight="1" s="311"/>
    <row r="5517" ht="18.75" customFormat="1" customHeight="1" s="311"/>
    <row r="5518" ht="18.75" customFormat="1" customHeight="1" s="311"/>
    <row r="5519" ht="18.75" customFormat="1" customHeight="1" s="311"/>
    <row r="5520" ht="18.75" customFormat="1" customHeight="1" s="311"/>
    <row r="5521" ht="18.75" customFormat="1" customHeight="1" s="311"/>
    <row r="5522" ht="18.75" customFormat="1" customHeight="1" s="311"/>
    <row r="5523" ht="18.75" customFormat="1" customHeight="1" s="311"/>
    <row r="5524" ht="18.75" customFormat="1" customHeight="1" s="311"/>
    <row r="5525" ht="18.75" customFormat="1" customHeight="1" s="311"/>
    <row r="5526" ht="18.75" customFormat="1" customHeight="1" s="311"/>
    <row r="5527" ht="18.75" customFormat="1" customHeight="1" s="311"/>
    <row r="5528" ht="18.75" customFormat="1" customHeight="1" s="311"/>
    <row r="5529" ht="18.75" customFormat="1" customHeight="1" s="311"/>
    <row r="5530" ht="18.75" customFormat="1" customHeight="1" s="311"/>
    <row r="5531" ht="18.75" customFormat="1" customHeight="1" s="311"/>
    <row r="5532" ht="18.75" customFormat="1" customHeight="1" s="311"/>
    <row r="5533" ht="18.75" customFormat="1" customHeight="1" s="311"/>
    <row r="5534" ht="18.75" customFormat="1" customHeight="1" s="311"/>
    <row r="5535" ht="18.75" customFormat="1" customHeight="1" s="311"/>
    <row r="5536" ht="18.75" customFormat="1" customHeight="1" s="311"/>
    <row r="5537" ht="18.75" customFormat="1" customHeight="1" s="311"/>
    <row r="5538" ht="18.75" customFormat="1" customHeight="1" s="311"/>
    <row r="5539" ht="18.75" customFormat="1" customHeight="1" s="311"/>
    <row r="5540" ht="18.75" customFormat="1" customHeight="1" s="311"/>
    <row r="5541" ht="18.75" customFormat="1" customHeight="1" s="311"/>
    <row r="5542" ht="18.75" customFormat="1" customHeight="1" s="311"/>
    <row r="5543" ht="18.75" customFormat="1" customHeight="1" s="311"/>
    <row r="5544" ht="18.75" customFormat="1" customHeight="1" s="311"/>
    <row r="5545" ht="18.75" customFormat="1" customHeight="1" s="311"/>
    <row r="5546" ht="18.75" customFormat="1" customHeight="1" s="311"/>
    <row r="5547" ht="18.75" customFormat="1" customHeight="1" s="311"/>
    <row r="5548" ht="18.75" customFormat="1" customHeight="1" s="311"/>
    <row r="5549" ht="18.75" customFormat="1" customHeight="1" s="311"/>
    <row r="5550" ht="18.75" customFormat="1" customHeight="1" s="311"/>
    <row r="5551" ht="18.75" customFormat="1" customHeight="1" s="311"/>
    <row r="5552" ht="18.75" customFormat="1" customHeight="1" s="311"/>
    <row r="5553" ht="18.75" customFormat="1" customHeight="1" s="311"/>
    <row r="5554" ht="18.75" customFormat="1" customHeight="1" s="311"/>
    <row r="5555" ht="18.75" customFormat="1" customHeight="1" s="311"/>
    <row r="5556" ht="18.75" customFormat="1" customHeight="1" s="311"/>
    <row r="5557" ht="18.75" customFormat="1" customHeight="1" s="311"/>
    <row r="5558" ht="18.75" customFormat="1" customHeight="1" s="311"/>
    <row r="5559" ht="18.75" customFormat="1" customHeight="1" s="311"/>
    <row r="5560" ht="18.75" customFormat="1" customHeight="1" s="311"/>
    <row r="5561" ht="18.75" customFormat="1" customHeight="1" s="311"/>
    <row r="5562" ht="18.75" customFormat="1" customHeight="1" s="311"/>
    <row r="5563" ht="18.75" customFormat="1" customHeight="1" s="311"/>
    <row r="5564" ht="18.75" customFormat="1" customHeight="1" s="311"/>
    <row r="5565" ht="18.75" customFormat="1" customHeight="1" s="311"/>
    <row r="5566" ht="18.75" customFormat="1" customHeight="1" s="311"/>
    <row r="5567" ht="18.75" customFormat="1" customHeight="1" s="311"/>
    <row r="5568" ht="18.75" customFormat="1" customHeight="1" s="311"/>
    <row r="5569" ht="18.75" customFormat="1" customHeight="1" s="311"/>
    <row r="5570" ht="18.75" customFormat="1" customHeight="1" s="311"/>
    <row r="5571" ht="18.75" customFormat="1" customHeight="1" s="311"/>
    <row r="5572" ht="18.75" customFormat="1" customHeight="1" s="311"/>
    <row r="5573" ht="18.75" customFormat="1" customHeight="1" s="311"/>
    <row r="5574" ht="18.75" customFormat="1" customHeight="1" s="311"/>
    <row r="5575" ht="18.75" customFormat="1" customHeight="1" s="311"/>
    <row r="5576" ht="18.75" customFormat="1" customHeight="1" s="311"/>
    <row r="5577" ht="18.75" customFormat="1" customHeight="1" s="311"/>
    <row r="5578" ht="18.75" customFormat="1" customHeight="1" s="311"/>
    <row r="5579" ht="18.75" customFormat="1" customHeight="1" s="311"/>
    <row r="5580" ht="18.75" customFormat="1" customHeight="1" s="311"/>
    <row r="5581" ht="18.75" customFormat="1" customHeight="1" s="311"/>
    <row r="5582" ht="18.75" customFormat="1" customHeight="1" s="311"/>
    <row r="5583" ht="18.75" customFormat="1" customHeight="1" s="311"/>
    <row r="5584" ht="18.75" customFormat="1" customHeight="1" s="311"/>
    <row r="5585" ht="18.75" customFormat="1" customHeight="1" s="311"/>
    <row r="5586" ht="18.75" customFormat="1" customHeight="1" s="311"/>
    <row r="5587" ht="18.75" customFormat="1" customHeight="1" s="311"/>
    <row r="5588" ht="18.75" customFormat="1" customHeight="1" s="311"/>
    <row r="5589" ht="18.75" customFormat="1" customHeight="1" s="311"/>
    <row r="5590" ht="18.75" customFormat="1" customHeight="1" s="311"/>
    <row r="5591" ht="18.75" customFormat="1" customHeight="1" s="311"/>
    <row r="5592" ht="18.75" customFormat="1" customHeight="1" s="311"/>
    <row r="5593" ht="18.75" customFormat="1" customHeight="1" s="311"/>
    <row r="5594" ht="18.75" customFormat="1" customHeight="1" s="311"/>
    <row r="5595" ht="18.75" customFormat="1" customHeight="1" s="311"/>
    <row r="5596" ht="18.75" customFormat="1" customHeight="1" s="311"/>
    <row r="5597" ht="18.75" customFormat="1" customHeight="1" s="311"/>
    <row r="5598" ht="18.75" customFormat="1" customHeight="1" s="311"/>
    <row r="5599" ht="18.75" customFormat="1" customHeight="1" s="311"/>
    <row r="5600" ht="18.75" customFormat="1" customHeight="1" s="311"/>
    <row r="5601" ht="18.75" customFormat="1" customHeight="1" s="311"/>
    <row r="5602" ht="18.75" customFormat="1" customHeight="1" s="311"/>
    <row r="5603" ht="18.75" customFormat="1" customHeight="1" s="311"/>
    <row r="5604" ht="18.75" customFormat="1" customHeight="1" s="311"/>
    <row r="5605" ht="18.75" customFormat="1" customHeight="1" s="311"/>
    <row r="5606" ht="18.75" customFormat="1" customHeight="1" s="311"/>
    <row r="5607" ht="18.75" customFormat="1" customHeight="1" s="311"/>
    <row r="5608" ht="18.75" customFormat="1" customHeight="1" s="311"/>
    <row r="5609" ht="18.75" customFormat="1" customHeight="1" s="311"/>
    <row r="5610" ht="18.75" customFormat="1" customHeight="1" s="311"/>
    <row r="5611" ht="18.75" customFormat="1" customHeight="1" s="311"/>
    <row r="5612" ht="18.75" customFormat="1" customHeight="1" s="311"/>
    <row r="5613" ht="18.75" customFormat="1" customHeight="1" s="311"/>
    <row r="5614" ht="18.75" customFormat="1" customHeight="1" s="311"/>
    <row r="5615" ht="18.75" customFormat="1" customHeight="1" s="311"/>
    <row r="5616" ht="18.75" customFormat="1" customHeight="1" s="311"/>
    <row r="5617" ht="18.75" customFormat="1" customHeight="1" s="311"/>
    <row r="5618" ht="18.75" customFormat="1" customHeight="1" s="311"/>
    <row r="5619" ht="18.75" customFormat="1" customHeight="1" s="311"/>
    <row r="5620" ht="18.75" customFormat="1" customHeight="1" s="311"/>
    <row r="5621" ht="18.75" customFormat="1" customHeight="1" s="311"/>
    <row r="5622" ht="18.75" customFormat="1" customHeight="1" s="311"/>
    <row r="5623" ht="18.75" customFormat="1" customHeight="1" s="311"/>
    <row r="5624" ht="18.75" customFormat="1" customHeight="1" s="311"/>
    <row r="5625" ht="18.75" customFormat="1" customHeight="1" s="311"/>
    <row r="5626" ht="18.75" customFormat="1" customHeight="1" s="311"/>
    <row r="5627" ht="18.75" customFormat="1" customHeight="1" s="311"/>
    <row r="5628" ht="18.75" customFormat="1" customHeight="1" s="311"/>
    <row r="5629" ht="18.75" customFormat="1" customHeight="1" s="311"/>
    <row r="5630" ht="18.75" customFormat="1" customHeight="1" s="311"/>
    <row r="5631" ht="18.75" customFormat="1" customHeight="1" s="311"/>
    <row r="5632" ht="18.75" customFormat="1" customHeight="1" s="311"/>
    <row r="5633" ht="18.75" customFormat="1" customHeight="1" s="311"/>
    <row r="5634" ht="18.75" customFormat="1" customHeight="1" s="311"/>
    <row r="5635" ht="18.75" customFormat="1" customHeight="1" s="311"/>
    <row r="5636" ht="18.75" customFormat="1" customHeight="1" s="311"/>
    <row r="5637" ht="18.75" customFormat="1" customHeight="1" s="311"/>
    <row r="5638" ht="18.75" customFormat="1" customHeight="1" s="311"/>
    <row r="5639" ht="18.75" customFormat="1" customHeight="1" s="311"/>
    <row r="5640" ht="18.75" customFormat="1" customHeight="1" s="311"/>
    <row r="5641" ht="18.75" customFormat="1" customHeight="1" s="311"/>
    <row r="5642" ht="18.75" customFormat="1" customHeight="1" s="311"/>
    <row r="5643" ht="18.75" customFormat="1" customHeight="1" s="311"/>
    <row r="5644" ht="18.75" customFormat="1" customHeight="1" s="311"/>
    <row r="5645" ht="18.75" customFormat="1" customHeight="1" s="311"/>
    <row r="5646" ht="18.75" customFormat="1" customHeight="1" s="311"/>
    <row r="5647" ht="18.75" customFormat="1" customHeight="1" s="311"/>
    <row r="5648" ht="18.75" customFormat="1" customHeight="1" s="311"/>
    <row r="5649" ht="18.75" customFormat="1" customHeight="1" s="311"/>
    <row r="5650" ht="18.75" customFormat="1" customHeight="1" s="311"/>
    <row r="5651" ht="18.75" customFormat="1" customHeight="1" s="311"/>
    <row r="5652" ht="18.75" customFormat="1" customHeight="1" s="311"/>
    <row r="5653" ht="18.75" customFormat="1" customHeight="1" s="311"/>
    <row r="5654" ht="18.75" customFormat="1" customHeight="1" s="311"/>
    <row r="5655" ht="18.75" customFormat="1" customHeight="1" s="311"/>
    <row r="5656" ht="18.75" customFormat="1" customHeight="1" s="311"/>
    <row r="5657" ht="18.75" customFormat="1" customHeight="1" s="311"/>
    <row r="5658" ht="18.75" customFormat="1" customHeight="1" s="311"/>
    <row r="5659" ht="18.75" customFormat="1" customHeight="1" s="311"/>
    <row r="5660" ht="18.75" customFormat="1" customHeight="1" s="311"/>
    <row r="5661" ht="18.75" customFormat="1" customHeight="1" s="311"/>
    <row r="5662" ht="18.75" customFormat="1" customHeight="1" s="311"/>
    <row r="5663" ht="18.75" customFormat="1" customHeight="1" s="311"/>
    <row r="5664" ht="18.75" customFormat="1" customHeight="1" s="311"/>
    <row r="5665" ht="18.75" customFormat="1" customHeight="1" s="311"/>
    <row r="5666" ht="18.75" customFormat="1" customHeight="1" s="311"/>
    <row r="5667" ht="18.75" customFormat="1" customHeight="1" s="311"/>
    <row r="5668" ht="18.75" customFormat="1" customHeight="1" s="311"/>
    <row r="5669" ht="18.75" customFormat="1" customHeight="1" s="311"/>
    <row r="5670" ht="18.75" customFormat="1" customHeight="1" s="311"/>
    <row r="5671" ht="18.75" customFormat="1" customHeight="1" s="311"/>
    <row r="5672" ht="18.75" customFormat="1" customHeight="1" s="311"/>
    <row r="5673" ht="18.75" customFormat="1" customHeight="1" s="311"/>
    <row r="5674" ht="18.75" customFormat="1" customHeight="1" s="311"/>
    <row r="5675" ht="18.75" customFormat="1" customHeight="1" s="311"/>
    <row r="5676" ht="18.75" customFormat="1" customHeight="1" s="311"/>
    <row r="5677" ht="18.75" customFormat="1" customHeight="1" s="311"/>
    <row r="5678" ht="18.75" customFormat="1" customHeight="1" s="311"/>
    <row r="5679" ht="18.75" customFormat="1" customHeight="1" s="311"/>
    <row r="5680" ht="18.75" customFormat="1" customHeight="1" s="311"/>
    <row r="5681" ht="18.75" customFormat="1" customHeight="1" s="311"/>
    <row r="5682" ht="18.75" customFormat="1" customHeight="1" s="311"/>
    <row r="5683" ht="18.75" customFormat="1" customHeight="1" s="311"/>
    <row r="5684" ht="18.75" customFormat="1" customHeight="1" s="311"/>
    <row r="5685" ht="18.75" customFormat="1" customHeight="1" s="311"/>
    <row r="5686" ht="18.75" customFormat="1" customHeight="1" s="311"/>
    <row r="5687" ht="18.75" customFormat="1" customHeight="1" s="311"/>
    <row r="5688" ht="18.75" customFormat="1" customHeight="1" s="311"/>
    <row r="5689" ht="18.75" customFormat="1" customHeight="1" s="311"/>
    <row r="5690" ht="18.75" customFormat="1" customHeight="1" s="311"/>
    <row r="5691" ht="18.75" customFormat="1" customHeight="1" s="311"/>
    <row r="5692" ht="18.75" customFormat="1" customHeight="1" s="311"/>
    <row r="5693" ht="18.75" customFormat="1" customHeight="1" s="311"/>
    <row r="5694" ht="18.75" customFormat="1" customHeight="1" s="311"/>
    <row r="5695" ht="18.75" customFormat="1" customHeight="1" s="311"/>
    <row r="5696" ht="18.75" customFormat="1" customHeight="1" s="311"/>
    <row r="5697" ht="18.75" customFormat="1" customHeight="1" s="311"/>
    <row r="5698" ht="18.75" customFormat="1" customHeight="1" s="311"/>
    <row r="5699" ht="18.75" customFormat="1" customHeight="1" s="311"/>
    <row r="5700" ht="18.75" customFormat="1" customHeight="1" s="311"/>
    <row r="5701" ht="18.75" customFormat="1" customHeight="1" s="311"/>
    <row r="5702" ht="18.75" customFormat="1" customHeight="1" s="311"/>
    <row r="5703" ht="18.75" customFormat="1" customHeight="1" s="311"/>
    <row r="5704" ht="18.75" customFormat="1" customHeight="1" s="311"/>
    <row r="5705" ht="18.75" customFormat="1" customHeight="1" s="311"/>
    <row r="5706" ht="18.75" customFormat="1" customHeight="1" s="311"/>
    <row r="5707" ht="18.75" customFormat="1" customHeight="1" s="311"/>
    <row r="5708" ht="18.75" customFormat="1" customHeight="1" s="311"/>
    <row r="5709" ht="18.75" customFormat="1" customHeight="1" s="311"/>
    <row r="5710" ht="18.75" customFormat="1" customHeight="1" s="311"/>
    <row r="5711" ht="18.75" customFormat="1" customHeight="1" s="311"/>
    <row r="5712" ht="18.75" customFormat="1" customHeight="1" s="311"/>
    <row r="5713" ht="18.75" customFormat="1" customHeight="1" s="311"/>
    <row r="5714" ht="18.75" customFormat="1" customHeight="1" s="311"/>
    <row r="5715" ht="18.75" customFormat="1" customHeight="1" s="311"/>
    <row r="5716" ht="18.75" customFormat="1" customHeight="1" s="311"/>
    <row r="5717" ht="18.75" customFormat="1" customHeight="1" s="311"/>
    <row r="5718" ht="18.75" customFormat="1" customHeight="1" s="311"/>
    <row r="5719" ht="18.75" customFormat="1" customHeight="1" s="311"/>
    <row r="5720" ht="18.75" customFormat="1" customHeight="1" s="311"/>
    <row r="5721" ht="18.75" customFormat="1" customHeight="1" s="311"/>
    <row r="5722" ht="18.75" customFormat="1" customHeight="1" s="311"/>
    <row r="5723" ht="18.75" customFormat="1" customHeight="1" s="311"/>
    <row r="5724" ht="18.75" customFormat="1" customHeight="1" s="311"/>
    <row r="5725" ht="18.75" customFormat="1" customHeight="1" s="311"/>
    <row r="5726" ht="18.75" customFormat="1" customHeight="1" s="311"/>
    <row r="5727" ht="18.75" customFormat="1" customHeight="1" s="311"/>
    <row r="5728" ht="18.75" customFormat="1" customHeight="1" s="311"/>
    <row r="5729" ht="18.75" customFormat="1" customHeight="1" s="311"/>
    <row r="5730" ht="18.75" customFormat="1" customHeight="1" s="311"/>
    <row r="5731" ht="18.75" customFormat="1" customHeight="1" s="311"/>
    <row r="5732" ht="18.75" customFormat="1" customHeight="1" s="311"/>
    <row r="5733" ht="18.75" customFormat="1" customHeight="1" s="311"/>
    <row r="5734" ht="18.75" customFormat="1" customHeight="1" s="311"/>
    <row r="5735" ht="18.75" customFormat="1" customHeight="1" s="311"/>
    <row r="5736" ht="18.75" customFormat="1" customHeight="1" s="311"/>
    <row r="5737" ht="18.75" customFormat="1" customHeight="1" s="311"/>
    <row r="5738" ht="18.75" customFormat="1" customHeight="1" s="311"/>
    <row r="5739" ht="18.75" customFormat="1" customHeight="1" s="311"/>
    <row r="5740" ht="18.75" customFormat="1" customHeight="1" s="311"/>
    <row r="5741" ht="18.75" customFormat="1" customHeight="1" s="311"/>
    <row r="5742" ht="18.75" customFormat="1" customHeight="1" s="311"/>
    <row r="5743" ht="18.75" customFormat="1" customHeight="1" s="311"/>
    <row r="5744" ht="18.75" customFormat="1" customHeight="1" s="311"/>
    <row r="5745" ht="18.75" customFormat="1" customHeight="1" s="311"/>
    <row r="5746" ht="18.75" customFormat="1" customHeight="1" s="311"/>
    <row r="5747" ht="18.75" customFormat="1" customHeight="1" s="311"/>
    <row r="5748" ht="18.75" customFormat="1" customHeight="1" s="311"/>
    <row r="5749" ht="18.75" customFormat="1" customHeight="1" s="311"/>
    <row r="5750" ht="18.75" customFormat="1" customHeight="1" s="311"/>
    <row r="5751" ht="18.75" customFormat="1" customHeight="1" s="311"/>
    <row r="5752" ht="18.75" customFormat="1" customHeight="1" s="311"/>
    <row r="5753" ht="18.75" customFormat="1" customHeight="1" s="311"/>
    <row r="5754" ht="18.75" customFormat="1" customHeight="1" s="311"/>
    <row r="5755" ht="18.75" customFormat="1" customHeight="1" s="311"/>
    <row r="5756" ht="18.75" customFormat="1" customHeight="1" s="311"/>
    <row r="5757" ht="18.75" customFormat="1" customHeight="1" s="311"/>
    <row r="5758" ht="18.75" customFormat="1" customHeight="1" s="311"/>
    <row r="5759" ht="18.75" customFormat="1" customHeight="1" s="311"/>
    <row r="5760" ht="18.75" customFormat="1" customHeight="1" s="311"/>
    <row r="5761" ht="18.75" customFormat="1" customHeight="1" s="311"/>
    <row r="5762" ht="18.75" customFormat="1" customHeight="1" s="311"/>
    <row r="5763" ht="18.75" customFormat="1" customHeight="1" s="311"/>
    <row r="5764" ht="18.75" customFormat="1" customHeight="1" s="311"/>
    <row r="5765" ht="18.75" customFormat="1" customHeight="1" s="311"/>
    <row r="5766" ht="18.75" customFormat="1" customHeight="1" s="311"/>
    <row r="5767" ht="18.75" customFormat="1" customHeight="1" s="311"/>
    <row r="5768" ht="18.75" customFormat="1" customHeight="1" s="311"/>
    <row r="5769" ht="18.75" customFormat="1" customHeight="1" s="311"/>
    <row r="5770" ht="18.75" customFormat="1" customHeight="1" s="311"/>
    <row r="5771" ht="18.75" customFormat="1" customHeight="1" s="311"/>
    <row r="5772" ht="18.75" customFormat="1" customHeight="1" s="311"/>
    <row r="5773" ht="18.75" customFormat="1" customHeight="1" s="311"/>
    <row r="5774" ht="18.75" customFormat="1" customHeight="1" s="311"/>
    <row r="5775" ht="18.75" customFormat="1" customHeight="1" s="311"/>
    <row r="5776" ht="18.75" customFormat="1" customHeight="1" s="311"/>
    <row r="5777" ht="18.75" customFormat="1" customHeight="1" s="311"/>
    <row r="5778" ht="18.75" customFormat="1" customHeight="1" s="311"/>
    <row r="5779" ht="18.75" customFormat="1" customHeight="1" s="311"/>
    <row r="5780" ht="18.75" customFormat="1" customHeight="1" s="311"/>
    <row r="5781" ht="18.75" customFormat="1" customHeight="1" s="311"/>
    <row r="5782" ht="18.75" customFormat="1" customHeight="1" s="311"/>
    <row r="5783" ht="18.75" customFormat="1" customHeight="1" s="311"/>
    <row r="5784" ht="18.75" customFormat="1" customHeight="1" s="311"/>
    <row r="5785" ht="18.75" customFormat="1" customHeight="1" s="311"/>
    <row r="5786" ht="18.75" customFormat="1" customHeight="1" s="311"/>
    <row r="5787" ht="18.75" customFormat="1" customHeight="1" s="311"/>
    <row r="5788" ht="18.75" customFormat="1" customHeight="1" s="311"/>
    <row r="5789" ht="18.75" customFormat="1" customHeight="1" s="311"/>
    <row r="5790" ht="18.75" customFormat="1" customHeight="1" s="311"/>
    <row r="5791" ht="18.75" customFormat="1" customHeight="1" s="311"/>
    <row r="5792" ht="18.75" customFormat="1" customHeight="1" s="311"/>
    <row r="5793" ht="18.75" customFormat="1" customHeight="1" s="311"/>
    <row r="5794" ht="18.75" customFormat="1" customHeight="1" s="311"/>
    <row r="5795" ht="18.75" customFormat="1" customHeight="1" s="311"/>
    <row r="5796" ht="18.75" customFormat="1" customHeight="1" s="311"/>
    <row r="5797" ht="18.75" customFormat="1" customHeight="1" s="311"/>
    <row r="5798" ht="18.75" customFormat="1" customHeight="1" s="311"/>
    <row r="5799" ht="18.75" customFormat="1" customHeight="1" s="311"/>
    <row r="5800" ht="18.75" customFormat="1" customHeight="1" s="311"/>
    <row r="5801" ht="18.75" customFormat="1" customHeight="1" s="311"/>
    <row r="5802" ht="18.75" customFormat="1" customHeight="1" s="311"/>
    <row r="5803" ht="18.75" customFormat="1" customHeight="1" s="311"/>
    <row r="5804" ht="18.75" customFormat="1" customHeight="1" s="311"/>
    <row r="5805" ht="18.75" customFormat="1" customHeight="1" s="311"/>
    <row r="5806" ht="18.75" customFormat="1" customHeight="1" s="311"/>
    <row r="5807" ht="18.75" customFormat="1" customHeight="1" s="311"/>
    <row r="5808" ht="18.75" customFormat="1" customHeight="1" s="311"/>
    <row r="5809" ht="18.75" customFormat="1" customHeight="1" s="311"/>
    <row r="5810" ht="18.75" customFormat="1" customHeight="1" s="311"/>
    <row r="5811" ht="18.75" customFormat="1" customHeight="1" s="311"/>
    <row r="5812" ht="18.75" customFormat="1" customHeight="1" s="311"/>
    <row r="5813" ht="18.75" customFormat="1" customHeight="1" s="311"/>
    <row r="5814" ht="18.75" customFormat="1" customHeight="1" s="311"/>
    <row r="5815" ht="18.75" customFormat="1" customHeight="1" s="311"/>
    <row r="5816" ht="18.75" customFormat="1" customHeight="1" s="311"/>
    <row r="5817" ht="18.75" customFormat="1" customHeight="1" s="311"/>
    <row r="5818" ht="18.75" customFormat="1" customHeight="1" s="311"/>
    <row r="5819" ht="18.75" customFormat="1" customHeight="1" s="311"/>
    <row r="5820" ht="18.75" customFormat="1" customHeight="1" s="311"/>
    <row r="5821" ht="18.75" customFormat="1" customHeight="1" s="311"/>
    <row r="5822" ht="18.75" customFormat="1" customHeight="1" s="311"/>
    <row r="5823" ht="18.75" customFormat="1" customHeight="1" s="311"/>
    <row r="5824" ht="18.75" customFormat="1" customHeight="1" s="311"/>
    <row r="5825" ht="18.75" customFormat="1" customHeight="1" s="311"/>
    <row r="5826" ht="18.75" customFormat="1" customHeight="1" s="311"/>
    <row r="5827" ht="18.75" customFormat="1" customHeight="1" s="311"/>
    <row r="5828" ht="18.75" customFormat="1" customHeight="1" s="311"/>
    <row r="5829" ht="18.75" customFormat="1" customHeight="1" s="311"/>
    <row r="5830" ht="18.75" customFormat="1" customHeight="1" s="311"/>
    <row r="5831" ht="18.75" customFormat="1" customHeight="1" s="311"/>
    <row r="5832" ht="18.75" customFormat="1" customHeight="1" s="311"/>
    <row r="5833" ht="18.75" customFormat="1" customHeight="1" s="311"/>
    <row r="5834" ht="18.75" customFormat="1" customHeight="1" s="311"/>
    <row r="5835" ht="18.75" customFormat="1" customHeight="1" s="311"/>
    <row r="5836" ht="18.75" customFormat="1" customHeight="1" s="311"/>
    <row r="5837" ht="18.75" customFormat="1" customHeight="1" s="311"/>
    <row r="5838" ht="18.75" customFormat="1" customHeight="1" s="311"/>
    <row r="5839" ht="18.75" customFormat="1" customHeight="1" s="311"/>
    <row r="5840" ht="18.75" customFormat="1" customHeight="1" s="311"/>
    <row r="5841" ht="18.75" customFormat="1" customHeight="1" s="311"/>
    <row r="5842" ht="18.75" customFormat="1" customHeight="1" s="311"/>
    <row r="5843" ht="18.75" customFormat="1" customHeight="1" s="311"/>
    <row r="5844" ht="18.75" customFormat="1" customHeight="1" s="311"/>
    <row r="5845" ht="18.75" customFormat="1" customHeight="1" s="311"/>
    <row r="5846" ht="18.75" customFormat="1" customHeight="1" s="311"/>
    <row r="5847" ht="18.75" customFormat="1" customHeight="1" s="311"/>
    <row r="5848" ht="18.75" customFormat="1" customHeight="1" s="311"/>
    <row r="5849" ht="18.75" customFormat="1" customHeight="1" s="311"/>
    <row r="5850" ht="18.75" customFormat="1" customHeight="1" s="311"/>
    <row r="5851" ht="18.75" customFormat="1" customHeight="1" s="311"/>
    <row r="5852" ht="18.75" customFormat="1" customHeight="1" s="311"/>
    <row r="5853" ht="18.75" customFormat="1" customHeight="1" s="311"/>
    <row r="5854" ht="18.75" customFormat="1" customHeight="1" s="311"/>
    <row r="5855" ht="18.75" customFormat="1" customHeight="1" s="311"/>
    <row r="5856" ht="18.75" customFormat="1" customHeight="1" s="311"/>
    <row r="5857" ht="18.75" customFormat="1" customHeight="1" s="311"/>
    <row r="5858" ht="18.75" customFormat="1" customHeight="1" s="311"/>
    <row r="5859" ht="18.75" customFormat="1" customHeight="1" s="311"/>
    <row r="5860" ht="18.75" customFormat="1" customHeight="1" s="311"/>
    <row r="5861" ht="18.75" customFormat="1" customHeight="1" s="311"/>
    <row r="5862" ht="18.75" customFormat="1" customHeight="1" s="311"/>
    <row r="5863" ht="18.75" customFormat="1" customHeight="1" s="311"/>
    <row r="5864" ht="18.75" customFormat="1" customHeight="1" s="311"/>
    <row r="5865" ht="18.75" customFormat="1" customHeight="1" s="311"/>
    <row r="5866" ht="18.75" customFormat="1" customHeight="1" s="311"/>
    <row r="5867" ht="18.75" customFormat="1" customHeight="1" s="311"/>
    <row r="5868" ht="18.75" customFormat="1" customHeight="1" s="311"/>
    <row r="5869" ht="18.75" customFormat="1" customHeight="1" s="311"/>
    <row r="5870" ht="18.75" customFormat="1" customHeight="1" s="311"/>
    <row r="5871" ht="18.75" customFormat="1" customHeight="1" s="311"/>
    <row r="5872" ht="18.75" customFormat="1" customHeight="1" s="311"/>
    <row r="5873" ht="18.75" customFormat="1" customHeight="1" s="311"/>
    <row r="5874" ht="18.75" customFormat="1" customHeight="1" s="311"/>
    <row r="5875" ht="18.75" customFormat="1" customHeight="1" s="311"/>
    <row r="5876" ht="18.75" customFormat="1" customHeight="1" s="311"/>
    <row r="5877" ht="18.75" customFormat="1" customHeight="1" s="311"/>
    <row r="5878" ht="18.75" customFormat="1" customHeight="1" s="311"/>
    <row r="5879" ht="18.75" customFormat="1" customHeight="1" s="311"/>
    <row r="5880" ht="18.75" customFormat="1" customHeight="1" s="311"/>
    <row r="5881" ht="18.75" customFormat="1" customHeight="1" s="311"/>
    <row r="5882" ht="18.75" customFormat="1" customHeight="1" s="311"/>
    <row r="5883" ht="18.75" customFormat="1" customHeight="1" s="311"/>
    <row r="5884" ht="18.75" customFormat="1" customHeight="1" s="311"/>
    <row r="5885" ht="18.75" customFormat="1" customHeight="1" s="311"/>
    <row r="5886" ht="18.75" customFormat="1" customHeight="1" s="311"/>
    <row r="5887" ht="18.75" customFormat="1" customHeight="1" s="311"/>
    <row r="5888" ht="18.75" customFormat="1" customHeight="1" s="311"/>
    <row r="5889" ht="18.75" customFormat="1" customHeight="1" s="311"/>
    <row r="5890" ht="18.75" customFormat="1" customHeight="1" s="311"/>
    <row r="5891" ht="18.75" customFormat="1" customHeight="1" s="311"/>
    <row r="5892" ht="18.75" customFormat="1" customHeight="1" s="311"/>
    <row r="5893" ht="18.75" customFormat="1" customHeight="1" s="311"/>
    <row r="5894" ht="18.75" customFormat="1" customHeight="1" s="311"/>
    <row r="5895" ht="18.75" customFormat="1" customHeight="1" s="311"/>
    <row r="5896" ht="18.75" customFormat="1" customHeight="1" s="311"/>
    <row r="5897" ht="18.75" customFormat="1" customHeight="1" s="311"/>
    <row r="5898" ht="18.75" customFormat="1" customHeight="1" s="311"/>
    <row r="5899" ht="18.75" customFormat="1" customHeight="1" s="311"/>
    <row r="5900" ht="18.75" customFormat="1" customHeight="1" s="311"/>
    <row r="5901" ht="18.75" customFormat="1" customHeight="1" s="311"/>
    <row r="5902" ht="18.75" customFormat="1" customHeight="1" s="311"/>
    <row r="5903" ht="18.75" customFormat="1" customHeight="1" s="311"/>
    <row r="5904" ht="18.75" customFormat="1" customHeight="1" s="311"/>
    <row r="5905" ht="18.75" customFormat="1" customHeight="1" s="311"/>
    <row r="5906" ht="18.75" customFormat="1" customHeight="1" s="311"/>
    <row r="5907" ht="18.75" customFormat="1" customHeight="1" s="311"/>
    <row r="5908" ht="18.75" customFormat="1" customHeight="1" s="311"/>
    <row r="5909" ht="18.75" customFormat="1" customHeight="1" s="311"/>
    <row r="5910" ht="18.75" customFormat="1" customHeight="1" s="311"/>
    <row r="5911" ht="18.75" customFormat="1" customHeight="1" s="311"/>
    <row r="5912" ht="18.75" customFormat="1" customHeight="1" s="311"/>
    <row r="5913" ht="18.75" customFormat="1" customHeight="1" s="311"/>
    <row r="5914" ht="18.75" customFormat="1" customHeight="1" s="311"/>
    <row r="5915" ht="18.75" customFormat="1" customHeight="1" s="311"/>
    <row r="5916" ht="18.75" customFormat="1" customHeight="1" s="311"/>
    <row r="5917" ht="18.75" customFormat="1" customHeight="1" s="311"/>
    <row r="5918" ht="18.75" customFormat="1" customHeight="1" s="311"/>
    <row r="5919" ht="18.75" customFormat="1" customHeight="1" s="311"/>
    <row r="5920" ht="18.75" customFormat="1" customHeight="1" s="311"/>
    <row r="5921" ht="18.75" customFormat="1" customHeight="1" s="311"/>
    <row r="5922" ht="18.75" customFormat="1" customHeight="1" s="311"/>
    <row r="5923" ht="18.75" customFormat="1" customHeight="1" s="311"/>
    <row r="5924" ht="18.75" customFormat="1" customHeight="1" s="311"/>
    <row r="5925" ht="18.75" customFormat="1" customHeight="1" s="311"/>
    <row r="5926" ht="18.75" customFormat="1" customHeight="1" s="311"/>
    <row r="5927" ht="18.75" customFormat="1" customHeight="1" s="311"/>
    <row r="5928" ht="18.75" customFormat="1" customHeight="1" s="311"/>
    <row r="5929" ht="18.75" customFormat="1" customHeight="1" s="311"/>
    <row r="5930" ht="18.75" customFormat="1" customHeight="1" s="311"/>
    <row r="5931" ht="18.75" customFormat="1" customHeight="1" s="311"/>
    <row r="5932" ht="18.75" customFormat="1" customHeight="1" s="311"/>
    <row r="5933" ht="18.75" customFormat="1" customHeight="1" s="311"/>
    <row r="5934" ht="18.75" customFormat="1" customHeight="1" s="311"/>
    <row r="5935" ht="18.75" customFormat="1" customHeight="1" s="311"/>
    <row r="5936" ht="18.75" customFormat="1" customHeight="1" s="311"/>
    <row r="5937" ht="18.75" customFormat="1" customHeight="1" s="311"/>
    <row r="5938" ht="18.75" customFormat="1" customHeight="1" s="311"/>
    <row r="5939" ht="18.75" customFormat="1" customHeight="1" s="311"/>
    <row r="5940" ht="18.75" customFormat="1" customHeight="1" s="311"/>
    <row r="5941" ht="18.75" customFormat="1" customHeight="1" s="311"/>
    <row r="5942" ht="18.75" customFormat="1" customHeight="1" s="311"/>
    <row r="5943" ht="18.75" customFormat="1" customHeight="1" s="311"/>
    <row r="5944" ht="18.75" customFormat="1" customHeight="1" s="311"/>
    <row r="5945" ht="18.75" customFormat="1" customHeight="1" s="311"/>
    <row r="5946" ht="18.75" customFormat="1" customHeight="1" s="311"/>
    <row r="5947" ht="18.75" customFormat="1" customHeight="1" s="311"/>
    <row r="5948" ht="18.75" customFormat="1" customHeight="1" s="311"/>
    <row r="5949" ht="18.75" customFormat="1" customHeight="1" s="311"/>
    <row r="5950" ht="18.75" customFormat="1" customHeight="1" s="311"/>
    <row r="5951" ht="18.75" customFormat="1" customHeight="1" s="311"/>
    <row r="5952" ht="18.75" customFormat="1" customHeight="1" s="311"/>
    <row r="5953" ht="18.75" customFormat="1" customHeight="1" s="311"/>
    <row r="5954" ht="18.75" customFormat="1" customHeight="1" s="311"/>
    <row r="5955" ht="18.75" customFormat="1" customHeight="1" s="311"/>
    <row r="5956" ht="18.75" customFormat="1" customHeight="1" s="311"/>
    <row r="5957" ht="18.75" customFormat="1" customHeight="1" s="311"/>
    <row r="5958" ht="18.75" customFormat="1" customHeight="1" s="311"/>
    <row r="5959" ht="18.75" customFormat="1" customHeight="1" s="311"/>
    <row r="5960" ht="18.75" customFormat="1" customHeight="1" s="311"/>
    <row r="5961" ht="18.75" customFormat="1" customHeight="1" s="311"/>
    <row r="5962" ht="18.75" customFormat="1" customHeight="1" s="311"/>
    <row r="5963" ht="18.75" customFormat="1" customHeight="1" s="311"/>
    <row r="5964" ht="18.75" customFormat="1" customHeight="1" s="311"/>
    <row r="5965" ht="18.75" customFormat="1" customHeight="1" s="311"/>
    <row r="5966" ht="18.75" customFormat="1" customHeight="1" s="311"/>
    <row r="5967" ht="18.75" customFormat="1" customHeight="1" s="311"/>
    <row r="5968" ht="18.75" customFormat="1" customHeight="1" s="311"/>
    <row r="5969" ht="18.75" customFormat="1" customHeight="1" s="311"/>
    <row r="5970" ht="18.75" customFormat="1" customHeight="1" s="311"/>
    <row r="5971" ht="18.75" customFormat="1" customHeight="1" s="311"/>
    <row r="5972" ht="18.75" customFormat="1" customHeight="1" s="311"/>
    <row r="5973" ht="18.75" customFormat="1" customHeight="1" s="311"/>
    <row r="5974" ht="18.75" customFormat="1" customHeight="1" s="311"/>
    <row r="5975" ht="18.75" customFormat="1" customHeight="1" s="311"/>
    <row r="5976" ht="18.75" customFormat="1" customHeight="1" s="311"/>
    <row r="5977" ht="18.75" customFormat="1" customHeight="1" s="311"/>
    <row r="5978" ht="18.75" customFormat="1" customHeight="1" s="311"/>
    <row r="5979" ht="18.75" customFormat="1" customHeight="1" s="311"/>
    <row r="5980" ht="18.75" customFormat="1" customHeight="1" s="311"/>
    <row r="5981" ht="18.75" customFormat="1" customHeight="1" s="311"/>
    <row r="5982" ht="18.75" customFormat="1" customHeight="1" s="311"/>
    <row r="5983" ht="18.75" customFormat="1" customHeight="1" s="311"/>
    <row r="5984" ht="18.75" customFormat="1" customHeight="1" s="311"/>
    <row r="5985" ht="18.75" customFormat="1" customHeight="1" s="311"/>
    <row r="5986" ht="18.75" customFormat="1" customHeight="1" s="311"/>
    <row r="5987" ht="18.75" customFormat="1" customHeight="1" s="311"/>
    <row r="5988" ht="18.75" customFormat="1" customHeight="1" s="311"/>
    <row r="5989" ht="18.75" customFormat="1" customHeight="1" s="311"/>
    <row r="5990" ht="18.75" customFormat="1" customHeight="1" s="311"/>
    <row r="5991" ht="18.75" customFormat="1" customHeight="1" s="311"/>
    <row r="5992" ht="18.75" customFormat="1" customHeight="1" s="311"/>
    <row r="5993" ht="18.75" customFormat="1" customHeight="1" s="311"/>
    <row r="5994" ht="18.75" customFormat="1" customHeight="1" s="311"/>
    <row r="5995" ht="18.75" customFormat="1" customHeight="1" s="311"/>
    <row r="5996" ht="18.75" customFormat="1" customHeight="1" s="311"/>
    <row r="5997" ht="18.75" customFormat="1" customHeight="1" s="311"/>
    <row r="5998" ht="18.75" customFormat="1" customHeight="1" s="311"/>
    <row r="5999" ht="18.75" customFormat="1" customHeight="1" s="311"/>
    <row r="6000" ht="18.75" customFormat="1" customHeight="1" s="311"/>
    <row r="6001" ht="18.75" customFormat="1" customHeight="1" s="311"/>
    <row r="6002" ht="18.75" customFormat="1" customHeight="1" s="311"/>
    <row r="6003" ht="18.75" customFormat="1" customHeight="1" s="311"/>
    <row r="6004" ht="18.75" customFormat="1" customHeight="1" s="311"/>
    <row r="6005" ht="18.75" customFormat="1" customHeight="1" s="311"/>
    <row r="6006" ht="18.75" customFormat="1" customHeight="1" s="311"/>
    <row r="6007" ht="18.75" customFormat="1" customHeight="1" s="311"/>
    <row r="6008" ht="18.75" customFormat="1" customHeight="1" s="311"/>
    <row r="6009" ht="18.75" customFormat="1" customHeight="1" s="311"/>
    <row r="6010" ht="18.75" customFormat="1" customHeight="1" s="311"/>
    <row r="6011" ht="18.75" customFormat="1" customHeight="1" s="311"/>
    <row r="6012" ht="18.75" customFormat="1" customHeight="1" s="311"/>
    <row r="6013" ht="18.75" customFormat="1" customHeight="1" s="311"/>
    <row r="6014" ht="18.75" customFormat="1" customHeight="1" s="311"/>
    <row r="6015" ht="18.75" customFormat="1" customHeight="1" s="311"/>
    <row r="6016" ht="18.75" customFormat="1" customHeight="1" s="311"/>
    <row r="6017" ht="18.75" customFormat="1" customHeight="1" s="311"/>
    <row r="6018" ht="18.75" customFormat="1" customHeight="1" s="311"/>
    <row r="6019" ht="18.75" customFormat="1" customHeight="1" s="311"/>
    <row r="6020" ht="18.75" customFormat="1" customHeight="1" s="311"/>
    <row r="6021" ht="18.75" customFormat="1" customHeight="1" s="311"/>
    <row r="6022" ht="18.75" customFormat="1" customHeight="1" s="311"/>
    <row r="6023" ht="18.75" customFormat="1" customHeight="1" s="311"/>
    <row r="6024" ht="18.75" customFormat="1" customHeight="1" s="311"/>
    <row r="6025" ht="18.75" customFormat="1" customHeight="1" s="311"/>
    <row r="6026" ht="18.75" customFormat="1" customHeight="1" s="311"/>
    <row r="6027" ht="18.75" customFormat="1" customHeight="1" s="311"/>
    <row r="6028" ht="18.75" customFormat="1" customHeight="1" s="311"/>
    <row r="6029" ht="18.75" customFormat="1" customHeight="1" s="311"/>
    <row r="6030" ht="18.75" customFormat="1" customHeight="1" s="311"/>
    <row r="6031" ht="18.75" customFormat="1" customHeight="1" s="311"/>
    <row r="6032" ht="18.75" customFormat="1" customHeight="1" s="311"/>
    <row r="6033" ht="18.75" customFormat="1" customHeight="1" s="311"/>
    <row r="6034" ht="18.75" customFormat="1" customHeight="1" s="311"/>
    <row r="6035" ht="18.75" customFormat="1" customHeight="1" s="311"/>
    <row r="6036" ht="18.75" customFormat="1" customHeight="1" s="311"/>
    <row r="6037" ht="18.75" customFormat="1" customHeight="1" s="311"/>
    <row r="6038" ht="18.75" customFormat="1" customHeight="1" s="311"/>
    <row r="6039" ht="18.75" customFormat="1" customHeight="1" s="311"/>
    <row r="6040" ht="18.75" customFormat="1" customHeight="1" s="311"/>
    <row r="6041" ht="18.75" customFormat="1" customHeight="1" s="311"/>
    <row r="6042" ht="18.75" customFormat="1" customHeight="1" s="311"/>
    <row r="6043" ht="18.75" customFormat="1" customHeight="1" s="311"/>
    <row r="6044" ht="18.75" customFormat="1" customHeight="1" s="311"/>
    <row r="6045" ht="18.75" customFormat="1" customHeight="1" s="311"/>
    <row r="6046" ht="18.75" customFormat="1" customHeight="1" s="311"/>
    <row r="6047" ht="18.75" customFormat="1" customHeight="1" s="311"/>
    <row r="6048" ht="18.75" customFormat="1" customHeight="1" s="311"/>
    <row r="6049" ht="18.75" customFormat="1" customHeight="1" s="311"/>
    <row r="6050" ht="18.75" customFormat="1" customHeight="1" s="311"/>
    <row r="6051" ht="18.75" customFormat="1" customHeight="1" s="311"/>
    <row r="6052" ht="18.75" customFormat="1" customHeight="1" s="311"/>
    <row r="6053" ht="18.75" customFormat="1" customHeight="1" s="311"/>
    <row r="6054" ht="18.75" customFormat="1" customHeight="1" s="311"/>
    <row r="6055" ht="18.75" customFormat="1" customHeight="1" s="311"/>
    <row r="6056" ht="18.75" customFormat="1" customHeight="1" s="311"/>
    <row r="6057" ht="18.75" customFormat="1" customHeight="1" s="311"/>
    <row r="6058" ht="18.75" customFormat="1" customHeight="1" s="311"/>
    <row r="6059" ht="18.75" customFormat="1" customHeight="1" s="311"/>
    <row r="6060" ht="18.75" customFormat="1" customHeight="1" s="311"/>
    <row r="6061" ht="18.75" customFormat="1" customHeight="1" s="311"/>
    <row r="6062" ht="18.75" customFormat="1" customHeight="1" s="311"/>
    <row r="6063" ht="18.75" customFormat="1" customHeight="1" s="311"/>
    <row r="6064" ht="18.75" customFormat="1" customHeight="1" s="311"/>
    <row r="6065" ht="18.75" customFormat="1" customHeight="1" s="311"/>
    <row r="6066" ht="18.75" customFormat="1" customHeight="1" s="311"/>
    <row r="6067" ht="18.75" customFormat="1" customHeight="1" s="311"/>
    <row r="6068" ht="18.75" customFormat="1" customHeight="1" s="311"/>
    <row r="6069" ht="18.75" customFormat="1" customHeight="1" s="311"/>
    <row r="6070" ht="18.75" customFormat="1" customHeight="1" s="311"/>
    <row r="6071" ht="18.75" customFormat="1" customHeight="1" s="311"/>
    <row r="6072" ht="18.75" customFormat="1" customHeight="1" s="311"/>
    <row r="6073" ht="18.75" customFormat="1" customHeight="1" s="311"/>
    <row r="6074" ht="18.75" customFormat="1" customHeight="1" s="311"/>
    <row r="6075" ht="18.75" customFormat="1" customHeight="1" s="311"/>
    <row r="6076" ht="18.75" customFormat="1" customHeight="1" s="311"/>
    <row r="6077" ht="18.75" customFormat="1" customHeight="1" s="311"/>
    <row r="6078" ht="18.75" customFormat="1" customHeight="1" s="311"/>
    <row r="6079" ht="18.75" customFormat="1" customHeight="1" s="311"/>
    <row r="6080" ht="18.75" customFormat="1" customHeight="1" s="311"/>
    <row r="6081" ht="18.75" customFormat="1" customHeight="1" s="311"/>
    <row r="6082" ht="18.75" customFormat="1" customHeight="1" s="311"/>
    <row r="6083" ht="18.75" customFormat="1" customHeight="1" s="311"/>
    <row r="6084" ht="18.75" customFormat="1" customHeight="1" s="311"/>
    <row r="6085" ht="18.75" customFormat="1" customHeight="1" s="311"/>
    <row r="6086" ht="18.75" customFormat="1" customHeight="1" s="311"/>
    <row r="6087" ht="18.75" customFormat="1" customHeight="1" s="311"/>
    <row r="6088" ht="18.75" customFormat="1" customHeight="1" s="311"/>
    <row r="6089" ht="18.75" customFormat="1" customHeight="1" s="311"/>
    <row r="6090" ht="18.75" customFormat="1" customHeight="1" s="311"/>
    <row r="6091" ht="18.75" customFormat="1" customHeight="1" s="311"/>
    <row r="6092" ht="18.75" customFormat="1" customHeight="1" s="311"/>
    <row r="6093" ht="18.75" customFormat="1" customHeight="1" s="311"/>
    <row r="6094" ht="18.75" customFormat="1" customHeight="1" s="311"/>
    <row r="6095" ht="18.75" customFormat="1" customHeight="1" s="311"/>
    <row r="6096" ht="18.75" customFormat="1" customHeight="1" s="311"/>
    <row r="6097" ht="18.75" customFormat="1" customHeight="1" s="311"/>
    <row r="6098" ht="18.75" customFormat="1" customHeight="1" s="311"/>
    <row r="6099" ht="18.75" customFormat="1" customHeight="1" s="311"/>
    <row r="6100" ht="18.75" customFormat="1" customHeight="1" s="311"/>
    <row r="6101" ht="18.75" customFormat="1" customHeight="1" s="311"/>
    <row r="6102" ht="18.75" customFormat="1" customHeight="1" s="311"/>
    <row r="6103" ht="18.75" customFormat="1" customHeight="1" s="311"/>
    <row r="6104" ht="18.75" customFormat="1" customHeight="1" s="311"/>
    <row r="6105" ht="18.75" customFormat="1" customHeight="1" s="311"/>
    <row r="6106" ht="18.75" customFormat="1" customHeight="1" s="311"/>
    <row r="6107" ht="18.75" customFormat="1" customHeight="1" s="311"/>
    <row r="6108" ht="18.75" customFormat="1" customHeight="1" s="311"/>
    <row r="6109" ht="18.75" customFormat="1" customHeight="1" s="311"/>
    <row r="6110" ht="18.75" customFormat="1" customHeight="1" s="311"/>
    <row r="6111" ht="18.75" customFormat="1" customHeight="1" s="311"/>
    <row r="6112" ht="18.75" customFormat="1" customHeight="1" s="311"/>
    <row r="6113" ht="18.75" customFormat="1" customHeight="1" s="311"/>
    <row r="6114" ht="18.75" customFormat="1" customHeight="1" s="311"/>
    <row r="6115" ht="18.75" customFormat="1" customHeight="1" s="311"/>
    <row r="6116" ht="18.75" customFormat="1" customHeight="1" s="311"/>
    <row r="6117" ht="18.75" customFormat="1" customHeight="1" s="311"/>
    <row r="6118" ht="18.75" customFormat="1" customHeight="1" s="311"/>
    <row r="6119" ht="18.75" customFormat="1" customHeight="1" s="311"/>
    <row r="6120" ht="18.75" customFormat="1" customHeight="1" s="311"/>
    <row r="6121" ht="18.75" customFormat="1" customHeight="1" s="311"/>
    <row r="6122" ht="18.75" customFormat="1" customHeight="1" s="311"/>
    <row r="6123" ht="18.75" customFormat="1" customHeight="1" s="311"/>
    <row r="6124" ht="18.75" customFormat="1" customHeight="1" s="311"/>
    <row r="6125" ht="18.75" customFormat="1" customHeight="1" s="311"/>
    <row r="6126" ht="18.75" customFormat="1" customHeight="1" s="311"/>
    <row r="6127" ht="18.75" customFormat="1" customHeight="1" s="311"/>
    <row r="6128" ht="18.75" customFormat="1" customHeight="1" s="311"/>
    <row r="6129" ht="18.75" customFormat="1" customHeight="1" s="311"/>
    <row r="6130" ht="18.75" customFormat="1" customHeight="1" s="311"/>
    <row r="6131" ht="18.75" customFormat="1" customHeight="1" s="311"/>
    <row r="6132" ht="18.75" customFormat="1" customHeight="1" s="311"/>
    <row r="6133" ht="18.75" customFormat="1" customHeight="1" s="311"/>
    <row r="6134" ht="18.75" customFormat="1" customHeight="1" s="311"/>
    <row r="6135" ht="18.75" customFormat="1" customHeight="1" s="311"/>
    <row r="6136" ht="18.75" customFormat="1" customHeight="1" s="311"/>
    <row r="6137" ht="18.75" customFormat="1" customHeight="1" s="311"/>
    <row r="6138" ht="18.75" customFormat="1" customHeight="1" s="311"/>
    <row r="6139" ht="18.75" customFormat="1" customHeight="1" s="311"/>
    <row r="6140" ht="18.75" customFormat="1" customHeight="1" s="311"/>
    <row r="6141" ht="18.75" customFormat="1" customHeight="1" s="311"/>
    <row r="6142" ht="18.75" customFormat="1" customHeight="1" s="311"/>
    <row r="6143" ht="18.75" customFormat="1" customHeight="1" s="311"/>
    <row r="6144" ht="18.75" customFormat="1" customHeight="1" s="311"/>
    <row r="6145" ht="18.75" customFormat="1" customHeight="1" s="311"/>
    <row r="6146" ht="18.75" customFormat="1" customHeight="1" s="311"/>
    <row r="6147" ht="18.75" customFormat="1" customHeight="1" s="311"/>
    <row r="6148" ht="18.75" customFormat="1" customHeight="1" s="311"/>
    <row r="6149" ht="18.75" customFormat="1" customHeight="1" s="311"/>
    <row r="6150" ht="18.75" customFormat="1" customHeight="1" s="311"/>
    <row r="6151" ht="18.75" customFormat="1" customHeight="1" s="311"/>
    <row r="6152" ht="18.75" customFormat="1" customHeight="1" s="311"/>
    <row r="6153" ht="18.75" customFormat="1" customHeight="1" s="311"/>
    <row r="6154" ht="18.75" customFormat="1" customHeight="1" s="311"/>
    <row r="6155" ht="18.75" customFormat="1" customHeight="1" s="311"/>
    <row r="6156" ht="18.75" customFormat="1" customHeight="1" s="311"/>
    <row r="6157" ht="18.75" customFormat="1" customHeight="1" s="311"/>
    <row r="6158" ht="18.75" customFormat="1" customHeight="1" s="311"/>
    <row r="6159" ht="18.75" customFormat="1" customHeight="1" s="311"/>
    <row r="6160" ht="18.75" customFormat="1" customHeight="1" s="311"/>
    <row r="6161" ht="18.75" customFormat="1" customHeight="1" s="311"/>
    <row r="6162" ht="18.75" customFormat="1" customHeight="1" s="311"/>
    <row r="6163" ht="18.75" customFormat="1" customHeight="1" s="311"/>
    <row r="6164" ht="18.75" customFormat="1" customHeight="1" s="311"/>
    <row r="6165" ht="18.75" customFormat="1" customHeight="1" s="311"/>
    <row r="6166" ht="18.75" customFormat="1" customHeight="1" s="311"/>
    <row r="6167" ht="18.75" customFormat="1" customHeight="1" s="311"/>
    <row r="6168" ht="18.75" customFormat="1" customHeight="1" s="311"/>
    <row r="6169" ht="18.75" customFormat="1" customHeight="1" s="311"/>
    <row r="6170" ht="18.75" customFormat="1" customHeight="1" s="311"/>
    <row r="6171" ht="18.75" customFormat="1" customHeight="1" s="311"/>
    <row r="6172" ht="18.75" customFormat="1" customHeight="1" s="311"/>
    <row r="6173" ht="18.75" customFormat="1" customHeight="1" s="311"/>
    <row r="6174" ht="18.75" customFormat="1" customHeight="1" s="311"/>
    <row r="6175" ht="18.75" customFormat="1" customHeight="1" s="311"/>
    <row r="6176" ht="18.75" customFormat="1" customHeight="1" s="311"/>
    <row r="6177" ht="18.75" customFormat="1" customHeight="1" s="311"/>
    <row r="6178" ht="18.75" customFormat="1" customHeight="1" s="311"/>
    <row r="6179" ht="18.75" customFormat="1" customHeight="1" s="311"/>
    <row r="6180" ht="18.75" customFormat="1" customHeight="1" s="311"/>
    <row r="6181" ht="18.75" customFormat="1" customHeight="1" s="311"/>
    <row r="6182" ht="18.75" customFormat="1" customHeight="1" s="311"/>
    <row r="6183" ht="18.75" customFormat="1" customHeight="1" s="311"/>
    <row r="6184" ht="18.75" customFormat="1" customHeight="1" s="311"/>
    <row r="6185" ht="18.75" customFormat="1" customHeight="1" s="311"/>
    <row r="6186" ht="18.75" customFormat="1" customHeight="1" s="311"/>
    <row r="6187" ht="18.75" customFormat="1" customHeight="1" s="311"/>
    <row r="6188" ht="18.75" customFormat="1" customHeight="1" s="311"/>
    <row r="6189" ht="18.75" customFormat="1" customHeight="1" s="311"/>
    <row r="6190" ht="18.75" customFormat="1" customHeight="1" s="311"/>
    <row r="6191" ht="18.75" customFormat="1" customHeight="1" s="311"/>
    <row r="6192" ht="18.75" customFormat="1" customHeight="1" s="311"/>
    <row r="6193" ht="18.75" customFormat="1" customHeight="1" s="311"/>
    <row r="6194" ht="18.75" customFormat="1" customHeight="1" s="311"/>
    <row r="6195" ht="18.75" customFormat="1" customHeight="1" s="311"/>
    <row r="6196" ht="18.75" customFormat="1" customHeight="1" s="311"/>
    <row r="6197" ht="18.75" customFormat="1" customHeight="1" s="311"/>
    <row r="6198" ht="18.75" customFormat="1" customHeight="1" s="311"/>
    <row r="6199" ht="18.75" customFormat="1" customHeight="1" s="311"/>
    <row r="6200" ht="18.75" customFormat="1" customHeight="1" s="311"/>
    <row r="6201" ht="18.75" customFormat="1" customHeight="1" s="311"/>
    <row r="6202" ht="18.75" customFormat="1" customHeight="1" s="311"/>
    <row r="6203" ht="18.75" customFormat="1" customHeight="1" s="311"/>
    <row r="6204" ht="18.75" customFormat="1" customHeight="1" s="311"/>
    <row r="6205" ht="18.75" customFormat="1" customHeight="1" s="311"/>
    <row r="6206" ht="18.75" customFormat="1" customHeight="1" s="311"/>
    <row r="6207" ht="18.75" customFormat="1" customHeight="1" s="311"/>
    <row r="6208" ht="18.75" customFormat="1" customHeight="1" s="311"/>
    <row r="6209" ht="18.75" customFormat="1" customHeight="1" s="311"/>
    <row r="6210" ht="18.75" customFormat="1" customHeight="1" s="311"/>
    <row r="6211" ht="18.75" customFormat="1" customHeight="1" s="311"/>
    <row r="6212" ht="18.75" customFormat="1" customHeight="1" s="311"/>
    <row r="6213" ht="18.75" customFormat="1" customHeight="1" s="311"/>
    <row r="6214" ht="18.75" customFormat="1" customHeight="1" s="311"/>
    <row r="6215" ht="18.75" customFormat="1" customHeight="1" s="311"/>
    <row r="6216" ht="18.75" customFormat="1" customHeight="1" s="311"/>
    <row r="6217" ht="18.75" customFormat="1" customHeight="1" s="311"/>
    <row r="6218" ht="18.75" customFormat="1" customHeight="1" s="311"/>
    <row r="6219" ht="18.75" customFormat="1" customHeight="1" s="311"/>
    <row r="6220" ht="18.75" customFormat="1" customHeight="1" s="311"/>
    <row r="6221" ht="18.75" customFormat="1" customHeight="1" s="311"/>
    <row r="6222" ht="18.75" customFormat="1" customHeight="1" s="311"/>
    <row r="6223" ht="18.75" customFormat="1" customHeight="1" s="311"/>
    <row r="6224" ht="18.75" customFormat="1" customHeight="1" s="311"/>
    <row r="6225" ht="18.75" customFormat="1" customHeight="1" s="311"/>
    <row r="6226" ht="18.75" customFormat="1" customHeight="1" s="311"/>
    <row r="6227" ht="18.75" customFormat="1" customHeight="1" s="311"/>
    <row r="6228" ht="18.75" customFormat="1" customHeight="1" s="311"/>
    <row r="6229" ht="18.75" customFormat="1" customHeight="1" s="311"/>
    <row r="6230" ht="18.75" customFormat="1" customHeight="1" s="311"/>
    <row r="6231" ht="18.75" customFormat="1" customHeight="1" s="311"/>
    <row r="6232" ht="18.75" customFormat="1" customHeight="1" s="311"/>
    <row r="6233" ht="18.75" customFormat="1" customHeight="1" s="311"/>
    <row r="6234" ht="18.75" customFormat="1" customHeight="1" s="311"/>
    <row r="6235" ht="18.75" customFormat="1" customHeight="1" s="311"/>
    <row r="6236" ht="18.75" customFormat="1" customHeight="1" s="311"/>
    <row r="6237" ht="18.75" customFormat="1" customHeight="1" s="311"/>
    <row r="6238" ht="18.75" customFormat="1" customHeight="1" s="311"/>
    <row r="6239" ht="18.75" customFormat="1" customHeight="1" s="311"/>
    <row r="6240" ht="18.75" customFormat="1" customHeight="1" s="311"/>
    <row r="6241" ht="18.75" customFormat="1" customHeight="1" s="311"/>
    <row r="6242" ht="18.75" customFormat="1" customHeight="1" s="311"/>
    <row r="6243" ht="18.75" customFormat="1" customHeight="1" s="311"/>
    <row r="6244" ht="18.75" customFormat="1" customHeight="1" s="311"/>
    <row r="6245" ht="18.75" customFormat="1" customHeight="1" s="311"/>
    <row r="6246" ht="18.75" customFormat="1" customHeight="1" s="311"/>
    <row r="6247" ht="18.75" customFormat="1" customHeight="1" s="311"/>
    <row r="6248" ht="18.75" customFormat="1" customHeight="1" s="311"/>
    <row r="6249" ht="18.75" customFormat="1" customHeight="1" s="311"/>
    <row r="6250" ht="18.75" customFormat="1" customHeight="1" s="311"/>
    <row r="6251" ht="18.75" customFormat="1" customHeight="1" s="311"/>
    <row r="6252" ht="18.75" customFormat="1" customHeight="1" s="311"/>
    <row r="6253" ht="18.75" customFormat="1" customHeight="1" s="311"/>
    <row r="6254" ht="18.75" customFormat="1" customHeight="1" s="311"/>
    <row r="6255" ht="18.75" customFormat="1" customHeight="1" s="311"/>
    <row r="6256" ht="18.75" customFormat="1" customHeight="1" s="311"/>
    <row r="6257" ht="18.75" customFormat="1" customHeight="1" s="311"/>
    <row r="6258" ht="18.75" customFormat="1" customHeight="1" s="311"/>
    <row r="6259" ht="18.75" customFormat="1" customHeight="1" s="311"/>
    <row r="6260" ht="18.75" customFormat="1" customHeight="1" s="311"/>
    <row r="6261" ht="18.75" customFormat="1" customHeight="1" s="311"/>
    <row r="6262" ht="18.75" customFormat="1" customHeight="1" s="311"/>
    <row r="6263" ht="18.75" customFormat="1" customHeight="1" s="311"/>
    <row r="6264" ht="18.75" customFormat="1" customHeight="1" s="311"/>
    <row r="6265" ht="18.75" customFormat="1" customHeight="1" s="311"/>
    <row r="6266" ht="18.75" customFormat="1" customHeight="1" s="311"/>
    <row r="6267" ht="18.75" customFormat="1" customHeight="1" s="311"/>
    <row r="6268" ht="18.75" customFormat="1" customHeight="1" s="311"/>
    <row r="6269" ht="18.75" customFormat="1" customHeight="1" s="311"/>
    <row r="6270" ht="18.75" customFormat="1" customHeight="1" s="311"/>
    <row r="6271" ht="18.75" customFormat="1" customHeight="1" s="311"/>
    <row r="6272" ht="18.75" customFormat="1" customHeight="1" s="311"/>
    <row r="6273" ht="18.75" customFormat="1" customHeight="1" s="311"/>
    <row r="6274" ht="18.75" customFormat="1" customHeight="1" s="311"/>
    <row r="6275" ht="18.75" customFormat="1" customHeight="1" s="311"/>
    <row r="6276" ht="18.75" customFormat="1" customHeight="1" s="311"/>
    <row r="6277" ht="18.75" customFormat="1" customHeight="1" s="311"/>
    <row r="6278" ht="18.75" customFormat="1" customHeight="1" s="311"/>
    <row r="6279" ht="18.75" customFormat="1" customHeight="1" s="311"/>
    <row r="6280" ht="18.75" customFormat="1" customHeight="1" s="311"/>
    <row r="6281" ht="18.75" customFormat="1" customHeight="1" s="311"/>
    <row r="6282" ht="18.75" customFormat="1" customHeight="1" s="311"/>
    <row r="6283" ht="18.75" customFormat="1" customHeight="1" s="311"/>
    <row r="6284" ht="18.75" customFormat="1" customHeight="1" s="311"/>
    <row r="6285" ht="18.75" customFormat="1" customHeight="1" s="311"/>
    <row r="6286" ht="18.75" customFormat="1" customHeight="1" s="311"/>
    <row r="6287" ht="22.5" customHeight="1" s="59"/>
    <row r="6305" customFormat="1" s="302"/>
    <row r="6306" customFormat="1" s="302"/>
    <row r="6307" customFormat="1" s="302"/>
    <row r="6308" customFormat="1" s="302"/>
    <row r="6309" customFormat="1" s="302"/>
    <row r="6310" customFormat="1" s="302"/>
    <row r="6311" customFormat="1" s="302"/>
    <row r="6312" customFormat="1" s="302"/>
    <row r="6313" customFormat="1" s="302"/>
    <row r="6314" customFormat="1" s="302"/>
    <row r="6315" customFormat="1" s="302"/>
    <row r="6316" customFormat="1" s="302"/>
    <row r="6317" customFormat="1" s="302"/>
    <row r="6318" customFormat="1" s="302"/>
    <row r="6319" customFormat="1" s="302"/>
    <row r="6320" customFormat="1" s="302"/>
    <row r="6321" customFormat="1" s="302"/>
    <row r="6322" customFormat="1" s="302"/>
    <row r="6323" customFormat="1" s="302"/>
    <row r="6324" customFormat="1" s="302"/>
    <row r="6325" customFormat="1" s="302"/>
    <row r="6326" customFormat="1" s="302"/>
    <row r="6327" customFormat="1" s="302"/>
    <row r="6328" customFormat="1" s="302"/>
    <row r="6329" customFormat="1" s="302"/>
    <row r="6330" customFormat="1" s="302"/>
    <row r="6331" customFormat="1" s="302"/>
    <row r="6332" customFormat="1" s="302"/>
    <row r="6333" customFormat="1" s="302"/>
    <row r="6334" customFormat="1" s="302"/>
    <row r="6335" customFormat="1" s="302"/>
    <row r="6336" customFormat="1" s="302"/>
    <row r="6337" customFormat="1" s="302"/>
    <row r="6338" customFormat="1" s="302"/>
    <row r="6339" customFormat="1" s="302"/>
    <row r="6340" customFormat="1" s="302"/>
    <row r="6341" customFormat="1" s="302"/>
    <row r="6342" customFormat="1" s="302"/>
    <row r="6343" customFormat="1" s="302"/>
    <row r="6344" customFormat="1" s="302"/>
    <row r="6345" customFormat="1" s="302"/>
    <row r="6346" customFormat="1" s="302"/>
    <row r="6347" customFormat="1" s="302"/>
    <row r="6348" customFormat="1" s="302"/>
    <row r="6349" customFormat="1" s="302"/>
    <row r="6350" customFormat="1" s="302"/>
    <row r="6351" customFormat="1" s="302"/>
    <row r="6352" customFormat="1" s="302"/>
    <row r="6353" customFormat="1" s="302"/>
    <row r="6354" customFormat="1" s="302"/>
    <row r="6355" customFormat="1" s="302"/>
    <row r="6356" customFormat="1" s="302"/>
    <row r="6357" customFormat="1" s="302"/>
    <row r="6358" customFormat="1" s="302"/>
    <row r="6359" customFormat="1" s="302"/>
    <row r="6360" customFormat="1" s="302"/>
    <row r="6361" customFormat="1" s="302"/>
    <row r="6362" customFormat="1" s="302"/>
    <row r="6363" customFormat="1" s="302"/>
    <row r="6364" customFormat="1" s="302"/>
    <row r="6365" customFormat="1" s="302"/>
    <row r="6366" customFormat="1" s="302"/>
    <row r="6367" customFormat="1" s="302"/>
    <row r="6368" customFormat="1" s="302"/>
    <row r="6369" customFormat="1" s="302"/>
    <row r="6370" customFormat="1" s="302"/>
    <row r="6371" customFormat="1" s="302"/>
    <row r="6372" customFormat="1" s="302"/>
    <row r="6373" customFormat="1" s="302"/>
    <row r="6374" customFormat="1" s="302"/>
    <row r="6375" customFormat="1" s="302"/>
    <row r="6376" customFormat="1" s="302"/>
    <row r="6377" customFormat="1" s="302"/>
    <row r="6378" customFormat="1" s="302"/>
    <row r="6379" customFormat="1" s="302"/>
    <row r="6380" customFormat="1" s="302"/>
    <row r="6381" customFormat="1" s="302"/>
    <row r="6382" customFormat="1" s="302"/>
    <row r="6383" customFormat="1" s="302"/>
    <row r="6384" customFormat="1" s="302"/>
    <row r="6385" customFormat="1" s="302"/>
    <row r="6386" customFormat="1" s="302"/>
    <row r="6387" customFormat="1" s="302"/>
    <row r="6388" customFormat="1" s="302"/>
    <row r="6389" customFormat="1" s="302"/>
    <row r="6390" customFormat="1" s="302"/>
    <row r="6391" customFormat="1" s="302"/>
    <row r="6392" customFormat="1" s="302"/>
    <row r="6393" customFormat="1" s="302"/>
    <row r="6394" customFormat="1" s="302"/>
    <row r="6395" customFormat="1" s="302"/>
    <row r="6396" customFormat="1" s="302"/>
    <row r="6397" customFormat="1" s="302"/>
    <row r="6398" customFormat="1" s="302"/>
    <row r="6399" customFormat="1" s="302"/>
    <row r="6400" customFormat="1" s="302"/>
    <row r="6401" customFormat="1" s="302"/>
    <row r="6402" customFormat="1" s="302"/>
    <row r="6403" customFormat="1" s="302"/>
    <row r="6404" customFormat="1" s="302"/>
    <row r="6405" customFormat="1" s="302"/>
    <row r="6406" customFormat="1" s="302"/>
    <row r="6407" customFormat="1" s="302"/>
    <row r="6408" customFormat="1" s="302"/>
    <row r="6409" customFormat="1" s="302"/>
    <row r="6410" customFormat="1" s="302"/>
    <row r="6411" customFormat="1" s="302"/>
    <row r="6412" customFormat="1" s="302"/>
    <row r="6413" customFormat="1" s="302"/>
    <row r="6414" customFormat="1" s="302"/>
    <row r="6415" customFormat="1" s="302"/>
    <row r="6416" customFormat="1" s="302"/>
    <row r="6417" customFormat="1" s="302"/>
    <row r="6418" customFormat="1" s="302"/>
    <row r="6419" customFormat="1" s="302"/>
    <row r="6420" customFormat="1" s="302"/>
    <row r="6421" customFormat="1" s="302"/>
    <row r="6422" customFormat="1" s="302"/>
    <row r="6423" customFormat="1" s="302"/>
    <row r="6424" customFormat="1" s="302"/>
    <row r="6425" customFormat="1" s="302"/>
    <row r="6426" customFormat="1" s="302"/>
    <row r="6427" customFormat="1" s="302"/>
    <row r="6428" customFormat="1" s="302"/>
    <row r="6429" customFormat="1" s="302"/>
    <row r="6430" customFormat="1" s="302"/>
    <row r="6431" customFormat="1" s="302"/>
    <row r="6432" customFormat="1" s="302"/>
    <row r="6433" customFormat="1" s="302"/>
    <row r="6434" customFormat="1" s="302"/>
    <row r="6435" customFormat="1" s="302"/>
    <row r="6436" customFormat="1" s="302"/>
    <row r="6437" customFormat="1" s="302"/>
    <row r="6438" customFormat="1" s="302"/>
    <row r="6439" customFormat="1" s="302"/>
    <row r="6440" customFormat="1" s="302"/>
    <row r="6441" customFormat="1" s="302"/>
    <row r="6442" customFormat="1" s="302"/>
    <row r="6443" customFormat="1" s="302"/>
    <row r="6444" customFormat="1" s="302"/>
    <row r="6445" customFormat="1" s="302"/>
    <row r="6446" customFormat="1" s="302"/>
    <row r="6447" customFormat="1" s="302"/>
    <row r="6448" customFormat="1" s="302"/>
    <row r="6449" customFormat="1" s="302"/>
    <row r="6450" customFormat="1" s="302"/>
    <row r="6451" customFormat="1" s="302"/>
    <row r="6452" customFormat="1" s="302"/>
    <row r="6453" customFormat="1" s="302"/>
    <row r="6454" customFormat="1" s="302"/>
    <row r="6455" customFormat="1" s="302"/>
    <row r="6456" customFormat="1" s="302"/>
    <row r="6457" customFormat="1" s="302"/>
    <row r="6458" customFormat="1" s="302"/>
    <row r="6459" customFormat="1" s="302"/>
    <row r="6460" customFormat="1" s="302"/>
    <row r="6461" customFormat="1" s="302"/>
    <row r="6462" customFormat="1" s="302"/>
    <row r="6463" customFormat="1" s="302"/>
    <row r="6464" customFormat="1" s="302"/>
    <row r="6465" customFormat="1" s="302"/>
    <row r="6466" customFormat="1" s="302"/>
    <row r="6467" customFormat="1" s="302"/>
    <row r="6468" customFormat="1" s="302"/>
    <row r="6469" customFormat="1" s="302"/>
    <row r="6470" customFormat="1" s="302"/>
    <row r="6471" customFormat="1" s="302"/>
    <row r="6472" customFormat="1" s="302"/>
    <row r="6473" customFormat="1" s="302"/>
    <row r="6474" customFormat="1" s="302"/>
    <row r="6475" customFormat="1" s="302"/>
    <row r="6476" customFormat="1" s="302"/>
    <row r="6477" customFormat="1" s="302"/>
    <row r="6478" customFormat="1" s="302"/>
    <row r="6479" customFormat="1" s="302"/>
    <row r="6480" customFormat="1" s="302"/>
    <row r="6481" customFormat="1" s="302"/>
    <row r="6482" customFormat="1" s="302"/>
    <row r="6483" customFormat="1" s="302"/>
    <row r="6484" customFormat="1" s="302"/>
    <row r="6485" customFormat="1" s="302"/>
    <row r="6486" customFormat="1" s="302"/>
    <row r="6487" customFormat="1" s="302"/>
    <row r="6488" customFormat="1" s="302"/>
    <row r="6489" customFormat="1" s="302"/>
    <row r="6490" customFormat="1" s="302"/>
    <row r="6491" customFormat="1" s="302"/>
    <row r="6492" customFormat="1" s="302"/>
    <row r="6493" customFormat="1" s="302"/>
    <row r="6494" customFormat="1" s="302"/>
    <row r="6495" customFormat="1" s="302"/>
    <row r="6496" customFormat="1" s="302"/>
    <row r="6497" customFormat="1" s="302"/>
    <row r="6498" customFormat="1" s="302"/>
    <row r="6499" customFormat="1" s="302"/>
    <row r="6500" customFormat="1" s="302"/>
    <row r="6501" customFormat="1" s="302"/>
    <row r="6502" customFormat="1" s="302"/>
    <row r="6503" customFormat="1" s="302"/>
    <row r="6504" customFormat="1" s="302"/>
    <row r="6505" customFormat="1" s="302"/>
    <row r="6506" customFormat="1" s="302"/>
    <row r="6507" customFormat="1" s="302"/>
    <row r="6508" customFormat="1" s="302"/>
    <row r="6509" customFormat="1" s="302"/>
    <row r="6510" customFormat="1" s="302"/>
    <row r="6511" customFormat="1" s="302"/>
    <row r="6512" customFormat="1" s="302"/>
    <row r="6513" customFormat="1" s="302"/>
    <row r="6514" customFormat="1" s="302"/>
    <row r="6515" customFormat="1" s="302"/>
    <row r="6516" customFormat="1" s="302"/>
    <row r="6517" customFormat="1" s="302"/>
    <row r="6518" customFormat="1" s="302"/>
    <row r="6519" customFormat="1" s="302"/>
    <row r="6520" customFormat="1" s="302"/>
    <row r="6521" customFormat="1" s="302"/>
    <row r="6522" customFormat="1" s="302"/>
    <row r="6523" customFormat="1" s="302"/>
    <row r="6524" customFormat="1" s="302"/>
    <row r="6525" customFormat="1" s="302"/>
    <row r="6526" customFormat="1" s="302"/>
    <row r="6527" customFormat="1" s="302"/>
    <row r="6528" customFormat="1" s="302"/>
    <row r="6529" customFormat="1" s="302"/>
    <row r="6530" customFormat="1" s="302"/>
    <row r="6531" customFormat="1" s="302"/>
    <row r="6532" customFormat="1" s="302"/>
    <row r="6533" customFormat="1" s="302"/>
    <row r="6534" customFormat="1" s="302"/>
    <row r="6535" customFormat="1" s="302"/>
    <row r="6536" customFormat="1" s="302"/>
    <row r="6537" customFormat="1" s="302"/>
    <row r="6538" customFormat="1" s="302"/>
    <row r="6539" customFormat="1" s="302"/>
    <row r="6540" customFormat="1" s="302"/>
    <row r="6541" customFormat="1" s="302"/>
    <row r="6542" customFormat="1" s="302"/>
    <row r="6543" customFormat="1" s="302"/>
    <row r="6544" customFormat="1" s="302"/>
    <row r="6545" customFormat="1" s="302"/>
    <row r="6546" customFormat="1" s="302"/>
    <row r="6547" customFormat="1" s="302"/>
    <row r="6548" customFormat="1" s="302"/>
    <row r="6549" customFormat="1" s="302"/>
    <row r="6550" customFormat="1" s="302"/>
    <row r="6551" customFormat="1" s="302"/>
    <row r="6552" customFormat="1" s="302"/>
    <row r="6553" customFormat="1" s="302"/>
    <row r="6554" customFormat="1" s="302"/>
    <row r="6555" customFormat="1" s="302"/>
    <row r="6556" customFormat="1" s="302"/>
    <row r="6557" customFormat="1" s="302"/>
    <row r="6558" customFormat="1" s="302"/>
    <row r="6559" customFormat="1" s="302"/>
    <row r="6560" customFormat="1" s="302"/>
    <row r="6561" customFormat="1" s="302"/>
    <row r="6562" customFormat="1" s="302"/>
    <row r="6563" customFormat="1" s="302"/>
    <row r="6564" customFormat="1" s="302"/>
    <row r="6565" customFormat="1" s="302"/>
    <row r="6566" customFormat="1" s="302"/>
    <row r="6567" customFormat="1" s="302"/>
    <row r="6568" customFormat="1" s="302"/>
    <row r="6569" customFormat="1" s="302"/>
    <row r="6570" customFormat="1" s="302"/>
    <row r="6571" customFormat="1" s="302"/>
    <row r="6572" customFormat="1" s="302"/>
    <row r="6573" customFormat="1" s="302"/>
    <row r="6574" customFormat="1" s="302"/>
    <row r="6575" customFormat="1" s="302"/>
    <row r="6576" customFormat="1" s="302"/>
    <row r="6577" customFormat="1" s="302"/>
    <row r="6578" customFormat="1" s="302"/>
    <row r="6579" customFormat="1" s="302"/>
    <row r="6580" customFormat="1" s="302"/>
    <row r="6581" customFormat="1" s="302"/>
    <row r="6582" customFormat="1" s="302"/>
    <row r="6583" customFormat="1" s="302"/>
    <row r="6584" customFormat="1" s="302"/>
    <row r="6585" customFormat="1" s="302"/>
    <row r="6586" customFormat="1" s="302"/>
    <row r="6587" customFormat="1" s="302"/>
    <row r="6588" customFormat="1" s="302"/>
    <row r="6589" customFormat="1" s="302"/>
    <row r="6590" customFormat="1" s="302"/>
    <row r="6591" customFormat="1" s="302"/>
    <row r="6592" customFormat="1" s="302"/>
    <row r="6593" customFormat="1" s="302"/>
    <row r="6594" customFormat="1" s="302"/>
    <row r="6595" customFormat="1" s="302"/>
    <row r="6596" customFormat="1" s="302"/>
    <row r="6597" customFormat="1" s="302"/>
    <row r="6598" customFormat="1" s="302"/>
    <row r="6599" customFormat="1" s="302"/>
    <row r="6600" customFormat="1" s="302"/>
    <row r="6601" customFormat="1" s="302"/>
    <row r="6602" customFormat="1" s="302"/>
    <row r="6603" customFormat="1" s="302"/>
    <row r="6604" customFormat="1" s="302"/>
    <row r="6605" customFormat="1" s="302"/>
    <row r="6606" customFormat="1" s="302"/>
    <row r="6607" customFormat="1" s="302"/>
    <row r="6608" customFormat="1" s="302"/>
    <row r="6609" customFormat="1" s="302"/>
    <row r="6610" customFormat="1" s="302"/>
    <row r="6611" customFormat="1" s="302"/>
    <row r="6612" customFormat="1" s="302"/>
    <row r="6613" customFormat="1" s="302"/>
    <row r="6614" customFormat="1" s="302"/>
    <row r="6615" customFormat="1" s="302"/>
    <row r="6616" customFormat="1" s="302"/>
    <row r="6617" customFormat="1" s="302"/>
    <row r="6618" customFormat="1" s="302"/>
    <row r="6619" customFormat="1" s="302"/>
    <row r="6620" customFormat="1" s="302"/>
    <row r="6621" customFormat="1" s="302"/>
    <row r="6622" customFormat="1" s="302"/>
    <row r="6623" customFormat="1" s="302"/>
    <row r="6624" customFormat="1" s="302"/>
    <row r="6625" customFormat="1" s="302"/>
    <row r="6626" customFormat="1" s="302"/>
    <row r="6627" customFormat="1" s="302"/>
    <row r="6628" customFormat="1" s="302"/>
    <row r="6629" customFormat="1" s="302"/>
    <row r="6630" customFormat="1" s="302"/>
    <row r="6631" customFormat="1" s="302"/>
    <row r="6632" customFormat="1" s="302"/>
    <row r="6633" customFormat="1" s="302"/>
    <row r="6634" customFormat="1" s="302"/>
    <row r="6635" customFormat="1" s="302"/>
    <row r="6636" customFormat="1" s="302"/>
    <row r="6637" customFormat="1" s="302"/>
    <row r="6638" customFormat="1" s="302"/>
    <row r="6639" customFormat="1" s="302"/>
    <row r="6640" customFormat="1" s="302"/>
    <row r="6641" customFormat="1" s="302"/>
    <row r="6642" customFormat="1" s="302"/>
    <row r="6643" customFormat="1" s="302"/>
    <row r="6644" customFormat="1" s="302"/>
    <row r="6645" customFormat="1" s="302"/>
    <row r="6646" customFormat="1" s="302"/>
    <row r="6647" customFormat="1" s="302"/>
    <row r="6648" customFormat="1" s="302"/>
    <row r="6649" customFormat="1" s="302"/>
    <row r="6650" customFormat="1" s="302"/>
    <row r="6651" customFormat="1" s="302"/>
    <row r="6652" customFormat="1" s="302"/>
    <row r="6653" customFormat="1" s="302"/>
    <row r="6654" customFormat="1" s="302"/>
    <row r="6655" customFormat="1" s="302"/>
    <row r="6656" customFormat="1" s="302"/>
    <row r="6657" customFormat="1" s="302"/>
    <row r="6658" customFormat="1" s="302"/>
    <row r="6659" customFormat="1" s="302"/>
    <row r="6660" customFormat="1" s="302"/>
    <row r="6661" customFormat="1" s="302"/>
    <row r="6662" customFormat="1" s="302"/>
    <row r="6663" customFormat="1" s="302"/>
    <row r="6664" customFormat="1" s="302"/>
    <row r="6665" customFormat="1" s="302"/>
    <row r="6666" customFormat="1" s="302"/>
    <row r="6667" customFormat="1" s="302"/>
    <row r="6668" customFormat="1" s="302"/>
    <row r="6669" customFormat="1" s="302"/>
    <row r="6670" customFormat="1" s="302"/>
    <row r="6671" customFormat="1" s="302"/>
    <row r="6672" customFormat="1" s="302"/>
    <row r="6673" customFormat="1" s="302"/>
    <row r="6674" customFormat="1" s="302"/>
    <row r="6675" customFormat="1" s="302"/>
    <row r="6676" customFormat="1" s="302"/>
    <row r="6677" customFormat="1" s="302"/>
    <row r="6678" customFormat="1" s="302"/>
    <row r="6679" customFormat="1" s="302"/>
    <row r="6680" customFormat="1" s="302"/>
    <row r="6681" customFormat="1" s="302"/>
    <row r="6682" customFormat="1" s="302"/>
    <row r="6683" customFormat="1" s="302"/>
    <row r="6684" customFormat="1" s="302"/>
    <row r="6685" customFormat="1" s="302"/>
    <row r="6686" customFormat="1" s="302"/>
    <row r="6687" customFormat="1" s="302"/>
    <row r="6688" customFormat="1" s="302"/>
    <row r="6689" customFormat="1" s="302"/>
    <row r="6690" customFormat="1" s="302"/>
    <row r="6691" customFormat="1" s="302"/>
    <row r="6692" customFormat="1" s="302"/>
    <row r="6693" customFormat="1" s="302"/>
    <row r="6694" customFormat="1" s="302"/>
    <row r="6695" customFormat="1" s="302"/>
    <row r="6696" customFormat="1" s="302"/>
    <row r="6697" customFormat="1" s="302"/>
    <row r="6698" customFormat="1" s="302"/>
    <row r="6699" customFormat="1" s="302"/>
    <row r="6700" customFormat="1" s="302"/>
    <row r="6701" customFormat="1" s="302"/>
    <row r="6702" customFormat="1" s="302"/>
    <row r="6703" customFormat="1" s="302"/>
    <row r="6704" customFormat="1" s="302"/>
    <row r="6705" customFormat="1" s="302"/>
    <row r="6706" customFormat="1" s="302"/>
    <row r="6707" customFormat="1" s="302"/>
    <row r="6708" customFormat="1" s="302"/>
    <row r="6709" customFormat="1" s="302"/>
    <row r="6710" customFormat="1" s="302"/>
    <row r="6711" customFormat="1" s="302"/>
    <row r="6712" customFormat="1" s="302"/>
    <row r="6713" customFormat="1" s="302"/>
    <row r="6714" customFormat="1" s="302"/>
    <row r="6715" customFormat="1" s="302"/>
    <row r="6716" customFormat="1" s="302"/>
    <row r="6717" customFormat="1" s="302"/>
    <row r="6718" customFormat="1" s="302"/>
    <row r="6719" customFormat="1" s="302"/>
    <row r="6720" customFormat="1" s="302"/>
    <row r="6721" customFormat="1" s="302"/>
    <row r="6722" customFormat="1" s="302"/>
    <row r="6723" customFormat="1" s="302"/>
    <row r="6724" customFormat="1" s="302"/>
    <row r="6725" customFormat="1" s="302"/>
    <row r="6726" customFormat="1" s="302"/>
    <row r="6727" customFormat="1" s="302"/>
    <row r="6728" customFormat="1" s="302"/>
    <row r="6729" customFormat="1" s="302"/>
    <row r="6730" customFormat="1" s="302"/>
    <row r="6731" customFormat="1" s="302"/>
    <row r="6732" customFormat="1" s="302"/>
    <row r="6733" customFormat="1" s="302"/>
    <row r="6734" customFormat="1" s="302"/>
    <row r="6735" customFormat="1" s="302"/>
    <row r="6736" customFormat="1" s="302"/>
    <row r="6737" customFormat="1" s="302"/>
    <row r="6738" customFormat="1" s="302"/>
    <row r="6739" customFormat="1" s="302"/>
    <row r="6740" customFormat="1" s="302"/>
    <row r="6741" customFormat="1" s="302"/>
    <row r="6742" customFormat="1" s="302"/>
    <row r="6743" customFormat="1" s="302"/>
    <row r="6744" customFormat="1" s="302"/>
    <row r="6745" customFormat="1" s="302"/>
    <row r="6746" customFormat="1" s="302"/>
    <row r="6747" customFormat="1" s="302"/>
    <row r="6748" customFormat="1" s="302"/>
    <row r="6749" customFormat="1" s="302"/>
    <row r="6750" customFormat="1" s="302"/>
    <row r="6751" customFormat="1" s="302"/>
    <row r="6752" customFormat="1" s="302"/>
    <row r="6753" customFormat="1" s="302"/>
    <row r="6754" customFormat="1" s="302"/>
    <row r="6755" customFormat="1" s="302"/>
    <row r="6756" customFormat="1" s="302"/>
    <row r="6757" customFormat="1" s="302"/>
    <row r="6758" customFormat="1" s="302"/>
    <row r="6759" customFormat="1" s="302"/>
    <row r="6760" customFormat="1" s="302"/>
    <row r="6761" customFormat="1" s="302"/>
    <row r="6762" customFormat="1" s="302"/>
    <row r="6763" customFormat="1" s="302"/>
    <row r="6764" customFormat="1" s="302"/>
    <row r="6765" customFormat="1" s="302"/>
    <row r="6766" customFormat="1" s="302"/>
    <row r="6767" customFormat="1" s="302"/>
    <row r="6768" customFormat="1" s="302"/>
    <row r="6769" customFormat="1" s="302"/>
    <row r="6770" customFormat="1" s="302"/>
    <row r="6771" customFormat="1" s="302"/>
    <row r="6772" customFormat="1" s="302"/>
    <row r="6773" customFormat="1" s="302"/>
    <row r="6774" customFormat="1" s="302"/>
    <row r="6775" customFormat="1" s="302"/>
    <row r="6776" customFormat="1" s="302"/>
    <row r="6777" customFormat="1" s="302"/>
    <row r="6778" customFormat="1" s="302"/>
    <row r="6779" customFormat="1" s="302"/>
    <row r="6780" customFormat="1" s="302"/>
    <row r="6781" customFormat="1" s="302"/>
    <row r="6782" customFormat="1" s="302"/>
    <row r="6783" customFormat="1" s="302"/>
    <row r="6784" customFormat="1" s="302"/>
    <row r="6785" customFormat="1" s="302"/>
    <row r="6786" customFormat="1" s="302"/>
    <row r="6787" customFormat="1" s="302"/>
    <row r="6788" customFormat="1" s="302"/>
    <row r="6789" customFormat="1" s="302"/>
    <row r="6790" customFormat="1" s="302"/>
    <row r="6791" customFormat="1" s="302"/>
    <row r="6792" customFormat="1" s="302"/>
    <row r="6793" customFormat="1" s="302"/>
    <row r="6794" customFormat="1" s="302"/>
    <row r="6795" customFormat="1" s="302"/>
    <row r="6796" customFormat="1" s="302"/>
    <row r="6797" customFormat="1" s="302"/>
    <row r="6798" customFormat="1" s="302"/>
    <row r="6799" customFormat="1" s="302"/>
    <row r="6800" customFormat="1" s="302"/>
    <row r="6801" customFormat="1" s="302"/>
    <row r="6802" customFormat="1" s="302"/>
    <row r="6803" customFormat="1" s="302"/>
    <row r="6804" customFormat="1" s="302"/>
    <row r="6805" customFormat="1" s="302"/>
    <row r="6806" customFormat="1" s="302"/>
    <row r="6807" customFormat="1" s="302"/>
    <row r="6808" customFormat="1" s="302"/>
    <row r="6809" customFormat="1" s="302"/>
    <row r="6810" customFormat="1" s="302"/>
    <row r="6811" customFormat="1" s="302"/>
    <row r="6812" customFormat="1" s="302"/>
    <row r="6813" customFormat="1" s="302"/>
    <row r="6814" customFormat="1" s="302"/>
    <row r="6815" customFormat="1" s="302"/>
    <row r="6816" customFormat="1" s="302"/>
    <row r="6817" customFormat="1" s="302"/>
    <row r="6818" customFormat="1" s="302"/>
    <row r="6819" customFormat="1" s="302"/>
    <row r="6820" customFormat="1" s="302"/>
    <row r="6821" customFormat="1" s="302"/>
    <row r="6822" customFormat="1" s="302"/>
    <row r="6823" customFormat="1" s="302"/>
    <row r="6824" customFormat="1" s="302"/>
    <row r="6825" customFormat="1" s="302"/>
    <row r="6826" customFormat="1" s="302"/>
    <row r="6827" customFormat="1" s="302"/>
    <row r="6828" customFormat="1" s="302"/>
    <row r="6829" customFormat="1" s="302"/>
    <row r="6830" customFormat="1" s="302"/>
    <row r="6831" customFormat="1" s="302"/>
    <row r="6832" customFormat="1" s="302"/>
    <row r="6833" customFormat="1" s="302"/>
    <row r="6834" customFormat="1" s="302"/>
    <row r="6835" customFormat="1" s="302"/>
    <row r="6836" customFormat="1" s="302"/>
    <row r="6837" customFormat="1" s="302"/>
    <row r="6838" customFormat="1" s="302"/>
    <row r="6839" customFormat="1" s="302"/>
    <row r="6840" customFormat="1" s="302"/>
    <row r="6841" customFormat="1" s="302"/>
    <row r="6842" customFormat="1" s="302"/>
    <row r="6843" customFormat="1" s="302"/>
    <row r="6844" customFormat="1" s="302"/>
    <row r="6845" customFormat="1" s="302"/>
    <row r="6846" customFormat="1" s="302"/>
    <row r="6847" customFormat="1" s="302"/>
    <row r="6848" customFormat="1" s="302"/>
    <row r="6849" customFormat="1" s="302"/>
    <row r="6850" customFormat="1" s="302"/>
    <row r="6851" customFormat="1" s="302"/>
    <row r="6852" customFormat="1" s="302"/>
    <row r="6853" customFormat="1" s="302"/>
    <row r="6854" customFormat="1" s="302"/>
    <row r="6855" customFormat="1" s="302"/>
    <row r="6856" customFormat="1" s="302"/>
    <row r="6857" customFormat="1" s="302"/>
    <row r="6858" customFormat="1" s="302"/>
    <row r="6859" customFormat="1" s="302"/>
    <row r="6860" customFormat="1" s="302"/>
    <row r="6861" customFormat="1" s="302"/>
    <row r="6862" customFormat="1" s="302"/>
    <row r="6863" customFormat="1" s="302"/>
    <row r="6864" customFormat="1" s="302"/>
    <row r="6865" customFormat="1" s="302"/>
    <row r="6866" customFormat="1" s="302"/>
    <row r="6867" customFormat="1" s="302"/>
    <row r="6868" customFormat="1" s="302"/>
    <row r="6869" customFormat="1" s="302"/>
    <row r="6870" customFormat="1" s="302"/>
    <row r="6871" customFormat="1" s="302"/>
    <row r="6872" customFormat="1" s="302"/>
    <row r="6873" customFormat="1" s="302"/>
    <row r="6874" customFormat="1" s="302"/>
    <row r="6875" customFormat="1" s="302"/>
    <row r="6876" customFormat="1" s="302"/>
    <row r="6877" customFormat="1" s="302"/>
    <row r="6878" customFormat="1" s="302"/>
    <row r="6879" customFormat="1" s="302"/>
    <row r="6880" customFormat="1" s="302"/>
    <row r="6881" customFormat="1" s="302"/>
    <row r="6882" customFormat="1" s="302"/>
    <row r="6883" customFormat="1" s="302"/>
    <row r="6884" customFormat="1" s="302"/>
    <row r="6885" customFormat="1" s="302"/>
    <row r="6886" customFormat="1" s="302"/>
    <row r="6887" customFormat="1" s="302"/>
    <row r="6888" customFormat="1" s="302"/>
    <row r="6889" customFormat="1" s="302"/>
    <row r="6890" customFormat="1" s="302"/>
    <row r="6891" customFormat="1" s="302"/>
    <row r="6892" customFormat="1" s="302"/>
    <row r="6893" customFormat="1" s="302"/>
    <row r="6894" customFormat="1" s="302"/>
    <row r="6895" customFormat="1" s="302"/>
    <row r="6896" customFormat="1" s="302"/>
    <row r="6897" customFormat="1" s="302"/>
    <row r="6898" customFormat="1" s="302"/>
    <row r="6899" customFormat="1" s="302"/>
    <row r="6900" customFormat="1" s="302"/>
    <row r="6901" customFormat="1" s="302"/>
    <row r="6902" customFormat="1" s="302"/>
    <row r="6903" customFormat="1" s="302"/>
    <row r="6904" customFormat="1" s="302"/>
    <row r="6905" customFormat="1" s="302"/>
    <row r="6906" customFormat="1" s="302"/>
    <row r="6907" customFormat="1" s="302"/>
    <row r="6908" customFormat="1" s="302"/>
    <row r="6909" customFormat="1" s="302"/>
    <row r="6910" customFormat="1" s="302"/>
    <row r="6911" customFormat="1" s="302"/>
    <row r="6912" customFormat="1" s="302"/>
    <row r="6913" customFormat="1" s="302"/>
    <row r="6914" customFormat="1" s="302"/>
    <row r="6915" customFormat="1" s="302"/>
    <row r="6916" customFormat="1" s="302"/>
    <row r="6917" customFormat="1" s="302"/>
    <row r="6918" customFormat="1" s="302"/>
    <row r="6919" customFormat="1" s="302"/>
    <row r="6920" customFormat="1" s="302"/>
    <row r="6921" customFormat="1" s="302"/>
    <row r="6922" customFormat="1" s="302"/>
    <row r="6923" customFormat="1" s="302"/>
    <row r="6924" customFormat="1" s="302"/>
    <row r="6925" customFormat="1" s="302"/>
    <row r="6926" customFormat="1" s="302"/>
    <row r="6927" customFormat="1" s="302"/>
    <row r="6928" customFormat="1" s="302"/>
    <row r="6929" customFormat="1" s="302"/>
    <row r="6930" customFormat="1" s="302"/>
    <row r="6931" customFormat="1" s="302"/>
    <row r="6932" customFormat="1" s="302"/>
    <row r="6933" customFormat="1" s="302"/>
    <row r="6934" customFormat="1" s="302"/>
    <row r="6935" customFormat="1" s="302"/>
    <row r="6936" customFormat="1" s="302"/>
    <row r="6937" customFormat="1" s="302"/>
    <row r="6938" customFormat="1" s="302"/>
    <row r="6939" customFormat="1" s="302"/>
    <row r="6940" customFormat="1" s="302"/>
    <row r="6941" customFormat="1" s="302"/>
    <row r="6942" customFormat="1" s="302"/>
    <row r="6943" customFormat="1" s="302"/>
    <row r="6944" customFormat="1" s="302"/>
    <row r="6945" customFormat="1" s="302"/>
    <row r="6946" customFormat="1" s="302"/>
    <row r="6947" customFormat="1" s="302"/>
    <row r="6948" customFormat="1" s="302"/>
    <row r="6949" customFormat="1" s="302"/>
    <row r="6950" customFormat="1" s="302"/>
    <row r="6951" customFormat="1" s="302"/>
    <row r="6952" customFormat="1" s="302"/>
    <row r="6953" customFormat="1" s="302"/>
    <row r="6954" customFormat="1" s="302"/>
    <row r="6955" customFormat="1" s="302"/>
    <row r="6956" customFormat="1" s="302"/>
    <row r="6957" customFormat="1" s="302"/>
    <row r="6958" customFormat="1" s="302"/>
    <row r="6959" customFormat="1" s="302"/>
    <row r="6960" customFormat="1" s="302"/>
    <row r="6961" customFormat="1" s="302"/>
    <row r="6962" customFormat="1" s="302"/>
    <row r="6963" customFormat="1" s="302"/>
    <row r="6964" customFormat="1" s="302"/>
    <row r="6965" customFormat="1" s="302"/>
    <row r="6966" customFormat="1" s="302"/>
    <row r="6967" customFormat="1" s="302"/>
    <row r="6968" customFormat="1" s="302"/>
    <row r="6969" customFormat="1" s="302"/>
    <row r="6970" customFormat="1" s="302"/>
    <row r="6971" customFormat="1" s="302"/>
    <row r="6972" customFormat="1" s="302"/>
    <row r="6973" customFormat="1" s="302"/>
    <row r="6974" customFormat="1" s="302"/>
    <row r="6975" customFormat="1" s="302"/>
    <row r="6976" customFormat="1" s="302"/>
    <row r="6977" customFormat="1" s="302"/>
    <row r="6978" customFormat="1" s="302"/>
    <row r="6979" customFormat="1" s="302"/>
    <row r="6980" customFormat="1" s="302"/>
    <row r="6981" customFormat="1" s="302"/>
    <row r="6982" customFormat="1" s="302"/>
    <row r="6983" customFormat="1" s="302"/>
    <row r="6984" customFormat="1" s="302"/>
    <row r="6985" customFormat="1" s="302"/>
    <row r="6986" customFormat="1" s="302"/>
    <row r="6987" customFormat="1" s="302"/>
    <row r="6988" customFormat="1" s="302"/>
    <row r="6989" customFormat="1" s="302"/>
    <row r="6990" customFormat="1" s="302"/>
    <row r="6991" customFormat="1" s="302"/>
    <row r="6992" customFormat="1" s="302"/>
    <row r="6993" customFormat="1" s="302"/>
    <row r="6994" customFormat="1" s="302"/>
    <row r="6995" customFormat="1" s="302"/>
    <row r="6996" customFormat="1" s="302"/>
    <row r="6997" customFormat="1" s="302"/>
    <row r="6998" customFormat="1" s="302"/>
    <row r="6999" customFormat="1" s="302"/>
    <row r="7000" customFormat="1" s="302"/>
    <row r="7001" customFormat="1" s="302"/>
    <row r="7002" customFormat="1" s="302"/>
    <row r="7003" customFormat="1" s="302"/>
    <row r="7004" customFormat="1" s="302"/>
    <row r="7005" customFormat="1" s="302"/>
    <row r="7006" customFormat="1" s="302"/>
    <row r="7007" customFormat="1" s="302"/>
    <row r="7008" customFormat="1" s="302"/>
    <row r="7009" customFormat="1" s="302"/>
    <row r="7010" customFormat="1" s="302"/>
    <row r="7011" customFormat="1" s="302"/>
    <row r="7012" customFormat="1" s="302"/>
    <row r="7013" customFormat="1" s="302"/>
    <row r="7014" customFormat="1" s="302"/>
    <row r="7015" customFormat="1" s="302"/>
    <row r="7016" customFormat="1" s="302"/>
    <row r="7017" customFormat="1" s="302"/>
    <row r="7018" customFormat="1" s="302"/>
    <row r="7019" customFormat="1" s="302"/>
    <row r="7020" customFormat="1" s="302"/>
    <row r="7021" customFormat="1" s="302"/>
    <row r="7022" customFormat="1" s="302"/>
    <row r="7023" customFormat="1" s="302"/>
    <row r="7024" customFormat="1" s="302"/>
    <row r="7025" customFormat="1" s="302"/>
    <row r="7026" customFormat="1" s="302"/>
    <row r="7027" customFormat="1" s="302"/>
    <row r="7028" customFormat="1" s="302"/>
    <row r="7029" customFormat="1" s="302"/>
    <row r="7030" customFormat="1" s="302"/>
    <row r="7031" customFormat="1" s="302"/>
    <row r="7032" customFormat="1" s="302"/>
    <row r="7033" customFormat="1" s="302"/>
    <row r="7034" customFormat="1" s="302"/>
    <row r="7035" customFormat="1" s="302"/>
    <row r="7036" customFormat="1" s="302"/>
    <row r="7037" customFormat="1" s="302"/>
    <row r="7038" customFormat="1" s="302"/>
    <row r="7039" customFormat="1" s="302"/>
    <row r="7040" customFormat="1" s="302"/>
    <row r="7041" customFormat="1" s="302"/>
    <row r="7042" customFormat="1" s="302"/>
    <row r="7043" customFormat="1" s="302"/>
    <row r="7044" customFormat="1" s="302"/>
    <row r="7045" customFormat="1" s="302"/>
    <row r="7046" customFormat="1" s="302"/>
    <row r="7047" customFormat="1" s="302"/>
    <row r="7048" customFormat="1" s="302"/>
    <row r="7049" customFormat="1" s="302"/>
    <row r="7050" customFormat="1" s="302"/>
    <row r="7051" customFormat="1" s="302"/>
    <row r="7052" customFormat="1" s="302"/>
    <row r="7053" customFormat="1" s="302"/>
    <row r="7054" customFormat="1" s="302"/>
    <row r="7055" customFormat="1" s="302"/>
    <row r="7056" customFormat="1" s="302"/>
    <row r="7057" customFormat="1" s="302"/>
    <row r="7058" customFormat="1" s="302"/>
    <row r="7059" customFormat="1" s="302"/>
    <row r="7060" customFormat="1" s="302"/>
    <row r="7061" customFormat="1" s="302"/>
    <row r="7062" customFormat="1" s="302"/>
    <row r="7063" customFormat="1" s="302"/>
    <row r="7064" customFormat="1" s="302"/>
    <row r="7065" customFormat="1" s="302"/>
    <row r="7066" customFormat="1" s="302"/>
    <row r="7067" customFormat="1" s="302"/>
    <row r="7068" customFormat="1" s="302"/>
    <row r="7069" customFormat="1" s="302"/>
    <row r="7070" customFormat="1" s="302"/>
    <row r="7071" customFormat="1" s="302"/>
    <row r="7072" customFormat="1" s="302"/>
    <row r="7073" customFormat="1" s="302"/>
    <row r="7074" customFormat="1" s="302"/>
    <row r="7075" customFormat="1" s="302"/>
    <row r="7076" customFormat="1" s="302"/>
    <row r="7077" customFormat="1" s="302"/>
    <row r="7078" customFormat="1" s="302"/>
    <row r="7079" customFormat="1" s="302"/>
    <row r="7080" customFormat="1" s="302"/>
    <row r="7081" customFormat="1" s="302"/>
    <row r="7082" customFormat="1" s="302"/>
    <row r="7083" customFormat="1" s="302"/>
    <row r="7084" customFormat="1" s="302"/>
    <row r="7085" customFormat="1" s="302"/>
    <row r="7086" customFormat="1" s="302"/>
    <row r="7087" customFormat="1" s="302"/>
    <row r="7088" customFormat="1" s="302"/>
    <row r="7089" customFormat="1" s="302"/>
    <row r="7090" customFormat="1" s="302"/>
    <row r="7091" customFormat="1" s="302"/>
    <row r="7092" customFormat="1" s="302"/>
    <row r="7093" customFormat="1" s="302"/>
    <row r="7094" customFormat="1" s="302"/>
    <row r="7095" customFormat="1" s="302"/>
    <row r="7096" customFormat="1" s="302"/>
    <row r="7097" customFormat="1" s="302"/>
    <row r="7098" customFormat="1" s="302"/>
    <row r="7099" customFormat="1" s="302"/>
    <row r="7100" customFormat="1" s="302"/>
    <row r="7101" customFormat="1" s="302"/>
    <row r="7102" customFormat="1" s="302"/>
    <row r="7103" customFormat="1" s="302"/>
    <row r="7104" customFormat="1" s="302"/>
    <row r="7105" customFormat="1" s="302"/>
    <row r="7106" customFormat="1" s="302"/>
    <row r="7107" customFormat="1" s="302"/>
    <row r="7108" customFormat="1" s="302"/>
    <row r="7109" customFormat="1" s="302"/>
    <row r="7110" customFormat="1" s="302"/>
    <row r="7111" customFormat="1" s="302"/>
    <row r="7112" customFormat="1" s="302"/>
    <row r="7113" customFormat="1" s="302"/>
    <row r="7114" customFormat="1" s="302"/>
    <row r="7115" customFormat="1" s="302"/>
    <row r="7116" customFormat="1" s="302"/>
    <row r="7117" customFormat="1" s="302"/>
    <row r="7118" customFormat="1" s="302"/>
    <row r="7119" customFormat="1" s="302"/>
    <row r="7120" customFormat="1" s="302"/>
    <row r="7121" customFormat="1" s="302"/>
    <row r="7122" customFormat="1" s="302"/>
    <row r="7123" customFormat="1" s="302"/>
    <row r="7124" customFormat="1" s="302"/>
    <row r="7125" customFormat="1" s="302"/>
    <row r="7126" customFormat="1" s="302"/>
    <row r="7127" customFormat="1" s="302"/>
    <row r="7128" customFormat="1" s="302"/>
    <row r="7129" customFormat="1" s="302"/>
    <row r="7130" customFormat="1" s="302"/>
    <row r="7131" customFormat="1" s="302"/>
    <row r="7132" customFormat="1" s="302"/>
    <row r="7133" customFormat="1" s="302"/>
    <row r="7134" customFormat="1" s="302"/>
    <row r="7135" customFormat="1" s="302"/>
    <row r="7136" customFormat="1" s="302"/>
    <row r="7137" customFormat="1" s="302"/>
    <row r="7138" customFormat="1" s="302"/>
    <row r="7139" customFormat="1" s="302"/>
    <row r="7140" customFormat="1" s="302"/>
    <row r="7141" customFormat="1" s="302"/>
    <row r="7142" customFormat="1" s="302"/>
    <row r="7143" customFormat="1" s="302"/>
    <row r="7144" customFormat="1" s="302"/>
    <row r="7145" customFormat="1" s="302"/>
    <row r="7146" customFormat="1" s="302"/>
    <row r="7147" customFormat="1" s="302"/>
    <row r="7148" customFormat="1" s="302"/>
    <row r="7149" customFormat="1" s="302"/>
    <row r="7150" customFormat="1" s="302"/>
    <row r="7151" customFormat="1" s="302"/>
    <row r="7152" customFormat="1" s="302"/>
    <row r="7153" customFormat="1" s="302"/>
    <row r="7154" customFormat="1" s="302"/>
    <row r="7155" customFormat="1" s="302"/>
    <row r="7156" customFormat="1" s="302"/>
    <row r="7157" customFormat="1" s="302"/>
    <row r="7158" customFormat="1" s="302"/>
    <row r="7159" customFormat="1" s="302"/>
    <row r="7160" customFormat="1" s="302"/>
    <row r="7161" customFormat="1" s="302"/>
    <row r="7162" customFormat="1" s="302"/>
    <row r="7163" customFormat="1" s="302"/>
    <row r="7164" customFormat="1" s="302"/>
    <row r="7165" customFormat="1" s="302"/>
    <row r="7166" customFormat="1" s="302"/>
    <row r="7167" customFormat="1" s="302"/>
    <row r="7168" customFormat="1" s="302"/>
    <row r="7169" customFormat="1" s="302"/>
    <row r="7170" customFormat="1" s="302"/>
    <row r="7171" customFormat="1" s="302"/>
    <row r="7172" customFormat="1" s="302"/>
    <row r="7173" customFormat="1" s="302"/>
    <row r="7174" customFormat="1" s="302"/>
    <row r="7175" customFormat="1" s="302"/>
    <row r="7176" customFormat="1" s="302"/>
    <row r="7177" customFormat="1" s="302"/>
    <row r="7178" customFormat="1" s="302"/>
    <row r="7179" customFormat="1" s="302"/>
    <row r="7180" customFormat="1" s="302"/>
    <row r="7181" customFormat="1" s="302"/>
    <row r="7182" customFormat="1" s="302"/>
    <row r="7183" customFormat="1" s="302"/>
    <row r="7184" customFormat="1" s="302"/>
    <row r="7185" customFormat="1" s="302"/>
    <row r="7186" customFormat="1" s="302"/>
    <row r="7187" customFormat="1" s="302"/>
    <row r="7188" customFormat="1" s="302"/>
    <row r="7189" customFormat="1" s="302"/>
    <row r="7190" customFormat="1" s="302"/>
    <row r="7191" customFormat="1" s="302"/>
    <row r="7192" customFormat="1" s="302"/>
    <row r="7193" customFormat="1" s="302"/>
    <row r="7194" customFormat="1" s="302"/>
    <row r="7195" customFormat="1" s="302"/>
    <row r="7196" customFormat="1" s="302"/>
    <row r="7197" customFormat="1" s="302"/>
    <row r="7198" customFormat="1" s="302"/>
    <row r="7199" customFormat="1" s="302"/>
    <row r="7200" customFormat="1" s="302"/>
    <row r="7201" customFormat="1" s="302"/>
    <row r="7202" customFormat="1" s="302"/>
    <row r="7203" customFormat="1" s="302"/>
    <row r="7204" customFormat="1" s="302"/>
    <row r="7205" customFormat="1" s="302"/>
    <row r="7206" customFormat="1" s="302"/>
    <row r="7207" customFormat="1" s="302"/>
    <row r="7208" customFormat="1" s="302"/>
    <row r="7209" customFormat="1" s="302"/>
    <row r="7210" customFormat="1" s="302"/>
    <row r="7211" customFormat="1" s="302"/>
    <row r="7212" customFormat="1" s="302"/>
    <row r="7213" customFormat="1" s="302"/>
    <row r="7214" customFormat="1" s="302"/>
    <row r="7215" customFormat="1" s="302"/>
    <row r="7216" customFormat="1" s="302"/>
    <row r="7217" customFormat="1" s="302"/>
    <row r="7218" customFormat="1" s="302"/>
    <row r="7219" customFormat="1" s="302"/>
    <row r="7220" customFormat="1" s="302"/>
    <row r="7221" customFormat="1" s="302"/>
    <row r="7222" customFormat="1" s="302"/>
    <row r="7223" customFormat="1" s="302"/>
    <row r="7224" customFormat="1" s="302"/>
    <row r="7225" customFormat="1" s="302"/>
    <row r="7226" customFormat="1" s="302"/>
    <row r="7227" customFormat="1" s="302"/>
    <row r="7228" customFormat="1" s="302"/>
    <row r="7229" customFormat="1" s="302"/>
    <row r="7230" customFormat="1" s="302"/>
    <row r="7231" customFormat="1" s="302"/>
    <row r="7232" customFormat="1" s="302"/>
    <row r="7233" customFormat="1" s="302"/>
    <row r="7234" customFormat="1" s="302"/>
    <row r="7235" customFormat="1" s="302"/>
    <row r="7236" customFormat="1" s="302"/>
    <row r="7237" customFormat="1" s="302"/>
    <row r="7238" customFormat="1" s="302"/>
    <row r="7239" customFormat="1" s="302"/>
    <row r="7240" customFormat="1" s="302"/>
    <row r="7241" customFormat="1" s="302"/>
    <row r="7242" customFormat="1" s="302"/>
    <row r="7243" customFormat="1" s="302"/>
    <row r="7244" customFormat="1" s="302"/>
    <row r="7245" customFormat="1" s="302"/>
    <row r="7246" customFormat="1" s="302"/>
    <row r="7247" customFormat="1" s="302"/>
    <row r="7248" customFormat="1" s="302"/>
    <row r="7249" customFormat="1" s="302"/>
    <row r="7250" customFormat="1" s="302"/>
    <row r="7251" customFormat="1" s="302"/>
    <row r="7252" customFormat="1" s="302"/>
    <row r="7253" customFormat="1" s="302"/>
    <row r="7254" customFormat="1" s="302"/>
    <row r="7255" customFormat="1" s="302"/>
    <row r="7256" customFormat="1" s="302"/>
    <row r="7257" customFormat="1" s="302"/>
    <row r="7258" customFormat="1" s="302"/>
    <row r="7259" customFormat="1" s="302"/>
    <row r="7260" customFormat="1" s="302"/>
    <row r="7261" customFormat="1" s="302"/>
    <row r="7262" customFormat="1" s="302"/>
    <row r="7263" customFormat="1" s="302"/>
    <row r="7264" customFormat="1" s="302"/>
    <row r="7265" customFormat="1" s="302"/>
    <row r="7266" customFormat="1" s="302"/>
    <row r="7267" customFormat="1" s="302"/>
    <row r="7268" customFormat="1" s="302"/>
    <row r="7269" customFormat="1" s="302"/>
    <row r="7270" customFormat="1" s="302"/>
    <row r="7271" customFormat="1" s="302"/>
    <row r="7272" customFormat="1" s="302"/>
    <row r="7273" customFormat="1" s="302"/>
    <row r="7274" customFormat="1" s="302"/>
    <row r="7275" customFormat="1" s="302"/>
    <row r="7276" customFormat="1" s="302"/>
    <row r="7277" customFormat="1" s="302"/>
    <row r="7278" customFormat="1" s="302"/>
    <row r="7279" customFormat="1" s="302"/>
    <row r="7280" customFormat="1" s="302"/>
    <row r="7281" customFormat="1" s="302"/>
    <row r="7282" customFormat="1" s="302"/>
    <row r="7283" customFormat="1" s="302"/>
    <row r="7284" customFormat="1" s="302"/>
    <row r="7285" customFormat="1" s="302"/>
    <row r="7286" customFormat="1" s="302"/>
    <row r="7287" customFormat="1" s="302"/>
    <row r="7288" customFormat="1" s="302"/>
    <row r="7289" customFormat="1" s="302"/>
    <row r="7290" customFormat="1" s="302"/>
    <row r="7291" customFormat="1" s="302"/>
    <row r="7292" customFormat="1" s="302"/>
    <row r="7293" customFormat="1" s="302"/>
    <row r="7294" customFormat="1" s="302"/>
    <row r="7295" customFormat="1" s="302"/>
    <row r="7296" customFormat="1" s="302"/>
    <row r="7297" customFormat="1" s="302"/>
    <row r="7298" customFormat="1" s="302"/>
    <row r="7299" customFormat="1" s="302"/>
    <row r="7300" customFormat="1" s="302"/>
    <row r="7301" customFormat="1" s="302"/>
    <row r="7302" customFormat="1" s="302"/>
    <row r="7303" customFormat="1" s="302"/>
    <row r="7304" customFormat="1" s="302"/>
    <row r="7305" customFormat="1" s="302"/>
    <row r="7306" customFormat="1" s="302"/>
    <row r="7307" customFormat="1" s="302"/>
    <row r="7308" customFormat="1" s="302"/>
    <row r="7309" customFormat="1" s="302"/>
    <row r="7310" customFormat="1" s="302"/>
    <row r="7311" customFormat="1" s="302"/>
    <row r="7312" customFormat="1" s="302"/>
    <row r="7313" customFormat="1" s="302"/>
    <row r="7314" customFormat="1" s="302"/>
    <row r="7315" customFormat="1" s="302"/>
    <row r="7316" customFormat="1" s="302"/>
    <row r="7317" customFormat="1" s="302"/>
    <row r="7318" customFormat="1" s="302"/>
    <row r="7319" customFormat="1" s="302"/>
    <row r="7320" customFormat="1" s="302"/>
    <row r="7321" customFormat="1" s="302"/>
    <row r="7322" customFormat="1" s="302"/>
    <row r="7323" customFormat="1" s="302"/>
    <row r="7324" customFormat="1" s="302"/>
    <row r="7325" customFormat="1" s="302"/>
    <row r="7326" customFormat="1" s="302"/>
    <row r="7327" customFormat="1" s="302"/>
    <row r="7328" customFormat="1" s="302"/>
    <row r="7370" customFormat="1" s="313"/>
    <row r="7371" customFormat="1" s="313"/>
    <row r="7372" customFormat="1" s="313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B1:AS2"/>
  <sheetViews>
    <sheetView zoomScale="80" zoomScaleNormal="80" workbookViewId="0">
      <selection activeCell="L16155" sqref="L16155"/>
    </sheetView>
  </sheetViews>
  <sheetFormatPr baseColWidth="8" defaultColWidth="9.140625" defaultRowHeight="15"/>
  <cols>
    <col width="7.85546875" bestFit="1" customWidth="1" style="1" min="1" max="1"/>
    <col width="15" customWidth="1" style="291" min="2" max="4"/>
    <col width="9.28515625" customWidth="1" style="291" min="5" max="5"/>
    <col width="9.85546875" customWidth="1" style="292" min="6" max="6"/>
    <col width="10.140625" customWidth="1" style="291" min="7" max="8"/>
    <col width="10.140625" customWidth="1" style="292" min="9" max="9"/>
    <col width="15" customWidth="1" style="291" min="10" max="10"/>
    <col width="32.140625" customWidth="1" style="291" min="11" max="11"/>
    <col width="20" bestFit="1" customWidth="1" style="291" min="12" max="12"/>
    <col width="8.7109375" customWidth="1" style="292" min="13" max="13"/>
    <col width="8.28515625" customWidth="1" style="293" min="14" max="14"/>
    <col width="12.5703125" bestFit="1" customWidth="1" style="62" min="15" max="15"/>
    <col width="8.42578125" customWidth="1" style="292" min="16" max="16"/>
    <col width="12.28515625" customWidth="1" style="5" min="17" max="17"/>
    <col width="11.5703125" customWidth="1" style="5" min="18" max="19"/>
    <col width="11.5703125" customWidth="1" style="77" min="20" max="20"/>
    <col width="15.7109375" customWidth="1" style="294" min="21" max="21"/>
    <col width="15.7109375" customWidth="1" style="295" min="22" max="24"/>
    <col width="15.7109375" customWidth="1" style="294" min="25" max="25"/>
    <col width="11.140625" customWidth="1" style="295" min="26" max="28"/>
    <col width="11.5703125" customWidth="1" style="295" min="29" max="29"/>
    <col width="7.85546875" customWidth="1" style="296" min="30" max="32"/>
    <col width="16.28515625" bestFit="1" customWidth="1" style="296" min="33" max="33"/>
    <col width="10" customWidth="1" style="297" min="34" max="37"/>
    <col width="8.140625" customWidth="1" style="292" min="38" max="38"/>
    <col width="8.5703125" customWidth="1" style="292" min="39" max="39"/>
    <col width="16.5703125" bestFit="1" customWidth="1" style="298" min="40" max="40"/>
    <col width="41.7109375" customWidth="1" style="300" min="41" max="41"/>
    <col width="27.42578125" customWidth="1" style="300" min="42" max="42"/>
    <col width="28.7109375" customWidth="1" style="300" min="43" max="43"/>
    <col width="13.5703125" customWidth="1" style="43" min="44" max="44"/>
    <col width="13.5703125" customWidth="1" style="300" min="45" max="45"/>
    <col width="9.140625" customWidth="1" style="302" min="46" max="16384"/>
  </cols>
  <sheetData>
    <row r="1" ht="15.75" customHeight="1" s="59" thickBot="1">
      <c r="B1" s="314" t="n"/>
    </row>
    <row r="2" ht="22.5" customHeight="1" s="59" thickBot="1" thickTop="1">
      <c r="B2" s="315" t="inlineStr">
        <is>
          <t>LEASE NO.</t>
        </is>
      </c>
      <c r="C2" s="315" t="inlineStr">
        <is>
          <t>NEW</t>
        </is>
      </c>
      <c r="D2" s="315" t="inlineStr">
        <is>
          <t>LOC. CODE</t>
        </is>
      </c>
      <c r="E2" s="315" t="inlineStr">
        <is>
          <t>Date</t>
        </is>
      </c>
      <c r="F2" s="315" t="inlineStr">
        <is>
          <t>RENEWED</t>
        </is>
      </c>
      <c r="G2" s="315" t="inlineStr">
        <is>
          <t>AGENCY</t>
        </is>
      </c>
      <c r="H2" s="315" t="inlineStr">
        <is>
          <t>Rep. Agency</t>
        </is>
      </c>
      <c r="I2" s="315" t="inlineStr">
        <is>
          <t>Reduce TF</t>
        </is>
      </c>
      <c r="J2" s="315" t="inlineStr">
        <is>
          <t>INTEREST</t>
        </is>
      </c>
      <c r="K2" s="315" t="inlineStr">
        <is>
          <t>ADDRESS</t>
        </is>
      </c>
      <c r="L2" s="315" t="inlineStr">
        <is>
          <t>CITY</t>
        </is>
      </c>
      <c r="M2" s="315" t="inlineStr">
        <is>
          <t>STATE</t>
        </is>
      </c>
      <c r="N2" s="315" t="inlineStr">
        <is>
          <t>LAND</t>
        </is>
      </c>
      <c r="O2" s="315" t="inlineStr">
        <is>
          <t>BUILT</t>
        </is>
      </c>
      <c r="P2" s="315" t="inlineStr">
        <is>
          <t>BTS</t>
        </is>
      </c>
      <c r="Q2" s="315" t="inlineStr">
        <is>
          <t>SF LEASED</t>
        </is>
      </c>
      <c r="R2" s="315" t="inlineStr">
        <is>
          <t>RBA</t>
        </is>
      </c>
      <c r="S2" s="315" t="inlineStr">
        <is>
          <t>OCCP</t>
        </is>
      </c>
      <c r="T2" s="315" t="inlineStr">
        <is>
          <t>GSA OCCP</t>
        </is>
      </c>
      <c r="U2" s="315" t="inlineStr">
        <is>
          <t>GROSS</t>
        </is>
      </c>
      <c r="V2" s="315" t="inlineStr">
        <is>
          <t>GROSS/SF</t>
        </is>
      </c>
      <c r="W2" s="315" t="inlineStr">
        <is>
          <t>FUTURE/SF</t>
        </is>
      </c>
      <c r="X2" s="315" t="inlineStr">
        <is>
          <t>CAGR</t>
        </is>
      </c>
      <c r="Y2" s="315" t="inlineStr">
        <is>
          <t>NOI</t>
        </is>
      </c>
      <c r="Z2" s="315" t="inlineStr">
        <is>
          <t>NET/SF</t>
        </is>
      </c>
      <c r="AA2" s="315" t="inlineStr">
        <is>
          <t>Tenure at Com</t>
        </is>
      </c>
      <c r="AB2" s="315" t="inlineStr">
        <is>
          <t>#ofRenewals</t>
        </is>
      </c>
      <c r="AC2" s="315" t="inlineStr">
        <is>
          <t>ORG. OCC.</t>
        </is>
      </c>
      <c r="AD2" s="315" t="inlineStr">
        <is>
          <t>COM</t>
        </is>
      </c>
      <c r="AE2" s="315" t="inlineStr">
        <is>
          <t>EXP</t>
        </is>
      </c>
      <c r="AF2" s="315" t="inlineStr">
        <is>
          <t>TERMN</t>
        </is>
      </c>
      <c r="AG2" s="315" t="inlineStr">
        <is>
          <t>Last</t>
        </is>
      </c>
      <c r="AH2" s="315" t="inlineStr">
        <is>
          <t>Term</t>
        </is>
      </c>
      <c r="AI2" s="315" t="inlineStr">
        <is>
          <t>Firm</t>
        </is>
      </c>
      <c r="AJ2" s="315" t="inlineStr">
        <is>
          <t>T-Rem</t>
        </is>
      </c>
      <c r="AK2" s="315" t="inlineStr">
        <is>
          <t>F-Rem</t>
        </is>
      </c>
      <c r="AL2" s="315" t="inlineStr">
        <is>
          <t>EXPS</t>
        </is>
      </c>
      <c r="AM2" s="315" t="inlineStr">
        <is>
          <t>OPTS</t>
        </is>
      </c>
      <c r="AN2" s="315" t="inlineStr">
        <is>
          <t>EST SIZE</t>
        </is>
      </c>
      <c r="AO2" s="315" t="inlineStr">
        <is>
          <t>RECORDED</t>
        </is>
      </c>
      <c r="AP2" s="315" t="inlineStr">
        <is>
          <t>TRUE OWNER</t>
        </is>
      </c>
      <c r="AQ2" s="315" t="inlineStr">
        <is>
          <t>LAST LL</t>
        </is>
      </c>
      <c r="AR2" s="315" t="inlineStr">
        <is>
          <t>COMP</t>
        </is>
      </c>
      <c r="AS2" s="315" t="inlineStr">
        <is>
          <t>DEVELOPER</t>
        </is>
      </c>
    </row>
    <row r="3" hidden="1" ht="18.75" customFormat="1" customHeight="1" s="311" thickTop="1"/>
    <row r="4" hidden="1" ht="18.75" customFormat="1" customHeight="1" s="311"/>
    <row r="5" hidden="1" ht="18.75" customFormat="1" customHeight="1" s="311"/>
    <row r="6" hidden="1" ht="18.75" customFormat="1" customHeight="1" s="311"/>
    <row r="7" hidden="1" ht="18.75" customFormat="1" customHeight="1" s="311"/>
    <row r="8" hidden="1" ht="18.75" customFormat="1" customHeight="1" s="311"/>
    <row r="9" hidden="1" ht="18.75" customFormat="1" customHeight="1" s="311"/>
    <row r="10" hidden="1" ht="18.75" customFormat="1" customHeight="1" s="311"/>
    <row r="11" hidden="1" ht="18.75" customFormat="1" customHeight="1" s="311"/>
    <row r="12" hidden="1" ht="18.75" customFormat="1" customHeight="1" s="311"/>
    <row r="13" hidden="1" ht="18.75" customFormat="1" customHeight="1" s="311"/>
    <row r="14" hidden="1" ht="18.75" customFormat="1" customHeight="1" s="311"/>
    <row r="15" hidden="1" ht="18.75" customFormat="1" customHeight="1" s="311"/>
    <row r="16" hidden="1" ht="18.75" customFormat="1" customHeight="1" s="311"/>
    <row r="17" hidden="1" ht="18.75" customFormat="1" customHeight="1" s="311"/>
    <row r="18" hidden="1" ht="18.75" customFormat="1" customHeight="1" s="311"/>
    <row r="19" hidden="1" ht="18.75" customFormat="1" customHeight="1" s="311"/>
    <row r="20" hidden="1" ht="18.75" customFormat="1" customHeight="1" s="311"/>
    <row r="21" hidden="1" ht="18.75" customFormat="1" customHeight="1" s="311"/>
    <row r="22" hidden="1" ht="18.75" customFormat="1" customHeight="1" s="311"/>
    <row r="23" hidden="1" ht="18.75" customFormat="1" customHeight="1" s="311"/>
    <row r="24" hidden="1" ht="18.75" customFormat="1" customHeight="1" s="311"/>
    <row r="25" hidden="1" ht="18.75" customFormat="1" customHeight="1" s="311"/>
    <row r="26" hidden="1" ht="18.75" customFormat="1" customHeight="1" s="311"/>
    <row r="27" hidden="1" ht="18.75" customFormat="1" customHeight="1" s="311"/>
    <row r="28" hidden="1" ht="18.75" customFormat="1" customHeight="1" s="311"/>
    <row r="29" hidden="1" ht="18.75" customFormat="1" customHeight="1" s="311"/>
    <row r="30" hidden="1" ht="18.75" customFormat="1" customHeight="1" s="311"/>
    <row r="31" hidden="1" ht="18.75" customFormat="1" customHeight="1" s="311"/>
    <row r="32" hidden="1" ht="18.75" customFormat="1" customHeight="1" s="311"/>
    <row r="33" hidden="1" ht="18.75" customFormat="1" customHeight="1" s="311"/>
    <row r="34" hidden="1" ht="18.75" customFormat="1" customHeight="1" s="311"/>
    <row r="35" hidden="1" ht="18.75" customFormat="1" customHeight="1" s="311"/>
    <row r="36" hidden="1" ht="18.75" customFormat="1" customHeight="1" s="311"/>
    <row r="37" hidden="1" ht="18.75" customFormat="1" customHeight="1" s="311"/>
    <row r="38" hidden="1" ht="18.75" customFormat="1" customHeight="1" s="311"/>
    <row r="39" hidden="1" ht="18.75" customFormat="1" customHeight="1" s="311"/>
    <row r="40" hidden="1" ht="18.75" customFormat="1" customHeight="1" s="311"/>
    <row r="41" hidden="1" ht="18.75" customFormat="1" customHeight="1" s="311"/>
    <row r="42" hidden="1" ht="18.75" customFormat="1" customHeight="1" s="311"/>
    <row r="43" hidden="1" ht="18.75" customFormat="1" customHeight="1" s="311"/>
    <row r="44" hidden="1" ht="18.75" customFormat="1" customHeight="1" s="311"/>
    <row r="45" hidden="1" ht="18.75" customFormat="1" customHeight="1" s="311"/>
    <row r="46" hidden="1" ht="18.75" customFormat="1" customHeight="1" s="311"/>
    <row r="47" hidden="1" ht="18.75" customFormat="1" customHeight="1" s="311"/>
    <row r="48" hidden="1" ht="18.75" customFormat="1" customHeight="1" s="311"/>
    <row r="49" hidden="1" ht="18.75" customFormat="1" customHeight="1" s="311"/>
    <row r="50" hidden="1" ht="18.75" customFormat="1" customHeight="1" s="311"/>
    <row r="51" hidden="1" ht="18.75" customFormat="1" customHeight="1" s="311"/>
    <row r="52" hidden="1" ht="18.75" customFormat="1" customHeight="1" s="311"/>
    <row r="53" hidden="1" ht="18.75" customFormat="1" customHeight="1" s="311"/>
    <row r="54" hidden="1" ht="18.75" customFormat="1" customHeight="1" s="311"/>
    <row r="55" hidden="1" ht="18.75" customFormat="1" customHeight="1" s="311"/>
    <row r="56" hidden="1" ht="18.75" customFormat="1" customHeight="1" s="311"/>
    <row r="57" hidden="1" ht="18.75" customFormat="1" customHeight="1" s="311"/>
    <row r="58" hidden="1" ht="18.75" customFormat="1" customHeight="1" s="311"/>
    <row r="59" hidden="1" ht="18.75" customFormat="1" customHeight="1" s="311"/>
    <row r="60" hidden="1" ht="18.75" customFormat="1" customHeight="1" s="311"/>
    <row r="61" hidden="1" ht="18.75" customFormat="1" customHeight="1" s="311"/>
    <row r="62" hidden="1" ht="18.75" customFormat="1" customHeight="1" s="311"/>
    <row r="63" hidden="1" ht="18.75" customFormat="1" customHeight="1" s="311"/>
    <row r="64" hidden="1" ht="18.75" customFormat="1" customHeight="1" s="311"/>
    <row r="65" hidden="1" ht="18.75" customFormat="1" customHeight="1" s="311"/>
    <row r="66" hidden="1" ht="18.75" customFormat="1" customHeight="1" s="311"/>
    <row r="67" hidden="1" ht="18.75" customFormat="1" customHeight="1" s="311"/>
    <row r="68" hidden="1" ht="18.75" customFormat="1" customHeight="1" s="311"/>
    <row r="69" hidden="1" ht="18.75" customFormat="1" customHeight="1" s="311"/>
    <row r="70" hidden="1" ht="18.75" customFormat="1" customHeight="1" s="311"/>
    <row r="71" hidden="1" ht="18.75" customFormat="1" customHeight="1" s="311"/>
    <row r="72" hidden="1" ht="18.75" customFormat="1" customHeight="1" s="311"/>
    <row r="73" hidden="1" ht="18.75" customFormat="1" customHeight="1" s="311"/>
    <row r="74" hidden="1" ht="18.75" customFormat="1" customHeight="1" s="311"/>
    <row r="75" hidden="1" ht="18.75" customFormat="1" customHeight="1" s="311"/>
    <row r="76" hidden="1" ht="18.75" customFormat="1" customHeight="1" s="311"/>
    <row r="77" hidden="1" ht="18.75" customFormat="1" customHeight="1" s="311"/>
    <row r="78" hidden="1" ht="18.75" customFormat="1" customHeight="1" s="311"/>
    <row r="79" hidden="1" ht="18.75" customFormat="1" customHeight="1" s="311"/>
    <row r="80" hidden="1" ht="18.75" customFormat="1" customHeight="1" s="311"/>
    <row r="81" hidden="1" ht="18.75" customFormat="1" customHeight="1" s="311"/>
    <row r="82" hidden="1" ht="18.75" customFormat="1" customHeight="1" s="311"/>
    <row r="83" hidden="1" ht="18.75" customFormat="1" customHeight="1" s="311"/>
    <row r="84" hidden="1" ht="18.75" customFormat="1" customHeight="1" s="311"/>
    <row r="85" hidden="1" ht="18.75" customFormat="1" customHeight="1" s="311"/>
    <row r="86" hidden="1" ht="18.75" customFormat="1" customHeight="1" s="311"/>
    <row r="87" hidden="1" ht="18.75" customFormat="1" customHeight="1" s="311"/>
    <row r="88" hidden="1" ht="18.75" customFormat="1" customHeight="1" s="311"/>
    <row r="89" hidden="1" ht="18.75" customFormat="1" customHeight="1" s="311"/>
    <row r="90" hidden="1" ht="18.75" customFormat="1" customHeight="1" s="311"/>
    <row r="91" hidden="1" ht="18.75" customFormat="1" customHeight="1" s="311"/>
    <row r="92" hidden="1" ht="18.75" customFormat="1" customHeight="1" s="311"/>
    <row r="93" hidden="1" ht="18.75" customFormat="1" customHeight="1" s="311"/>
    <row r="94" hidden="1" ht="18.75" customFormat="1" customHeight="1" s="311"/>
    <row r="95" hidden="1" ht="18.75" customFormat="1" customHeight="1" s="311"/>
    <row r="96" hidden="1" ht="18.75" customFormat="1" customHeight="1" s="311"/>
    <row r="97" hidden="1" ht="18.75" customFormat="1" customHeight="1" s="311"/>
    <row r="98" hidden="1" ht="18.75" customFormat="1" customHeight="1" s="311"/>
    <row r="99" hidden="1" ht="18.75" customFormat="1" customHeight="1" s="311"/>
    <row r="100" hidden="1" ht="18.75" customFormat="1" customHeight="1" s="311"/>
    <row r="101" hidden="1" ht="18.75" customFormat="1" customHeight="1" s="311"/>
    <row r="102" hidden="1" ht="18.75" customFormat="1" customHeight="1" s="311"/>
    <row r="103" hidden="1" ht="18.75" customFormat="1" customHeight="1" s="311"/>
    <row r="104" hidden="1" ht="18.75" customFormat="1" customHeight="1" s="311"/>
    <row r="105" hidden="1" ht="18.75" customFormat="1" customHeight="1" s="311"/>
    <row r="106" hidden="1" ht="18.75" customFormat="1" customHeight="1" s="311"/>
    <row r="107" hidden="1" ht="18.75" customFormat="1" customHeight="1" s="311"/>
    <row r="108" ht="18.75" customFormat="1" customHeight="1" s="311" thickTop="1"/>
    <row r="109" hidden="1" ht="18.75" customFormat="1" customHeight="1" s="311"/>
    <row r="110" hidden="1" ht="18.75" customFormat="1" customHeight="1" s="311"/>
    <row r="111" hidden="1" ht="18.75" customFormat="1" customHeight="1" s="311"/>
    <row r="112" hidden="1" ht="18.75" customFormat="1" customHeight="1" s="311"/>
    <row r="113" hidden="1" ht="18.75" customFormat="1" customHeight="1" s="311"/>
    <row r="114" hidden="1" ht="18.75" customFormat="1" customHeight="1" s="311"/>
    <row r="115" hidden="1" ht="18.75" customFormat="1" customHeight="1" s="311"/>
    <row r="116" hidden="1" ht="18.75" customFormat="1" customHeight="1" s="311"/>
    <row r="117" hidden="1" ht="18.75" customFormat="1" customHeight="1" s="311"/>
    <row r="118" hidden="1" ht="18.75" customFormat="1" customHeight="1" s="311"/>
    <row r="119" hidden="1" ht="18.75" customFormat="1" customHeight="1" s="311"/>
    <row r="120" hidden="1" ht="18.75" customFormat="1" customHeight="1" s="311"/>
    <row r="121" hidden="1" ht="18.75" customFormat="1" customHeight="1" s="311"/>
    <row r="122" hidden="1" ht="18.75" customFormat="1" customHeight="1" s="311"/>
    <row r="123" hidden="1" ht="18.75" customFormat="1" customHeight="1" s="311"/>
    <row r="124" hidden="1" ht="18.75" customFormat="1" customHeight="1" s="311"/>
    <row r="125" hidden="1" ht="18.75" customFormat="1" customHeight="1" s="311"/>
    <row r="126" hidden="1" ht="18.75" customFormat="1" customHeight="1" s="311"/>
    <row r="127" hidden="1" ht="18.75" customFormat="1" customHeight="1" s="311"/>
    <row r="128" hidden="1" ht="18.75" customFormat="1" customHeight="1" s="311"/>
    <row r="129" hidden="1" ht="18.75" customFormat="1" customHeight="1" s="311"/>
    <row r="130" hidden="1" ht="18.75" customFormat="1" customHeight="1" s="311"/>
    <row r="131" hidden="1" ht="18.75" customFormat="1" customHeight="1" s="311"/>
    <row r="132" hidden="1" ht="18.75" customFormat="1" customHeight="1" s="311"/>
    <row r="133" hidden="1" ht="18.75" customFormat="1" customHeight="1" s="311"/>
    <row r="134" hidden="1" ht="18.75" customFormat="1" customHeight="1" s="311"/>
    <row r="135" hidden="1" ht="18.75" customFormat="1" customHeight="1" s="311"/>
    <row r="136" hidden="1" ht="18.75" customFormat="1" customHeight="1" s="311"/>
    <row r="137" hidden="1" ht="18.75" customFormat="1" customHeight="1" s="311"/>
    <row r="138" hidden="1" ht="18.75" customFormat="1" customHeight="1" s="311"/>
    <row r="139" hidden="1" ht="18.75" customFormat="1" customHeight="1" s="311"/>
    <row r="140" hidden="1" ht="18.75" customFormat="1" customHeight="1" s="311"/>
    <row r="141" hidden="1" ht="18.75" customFormat="1" customHeight="1" s="311"/>
    <row r="142" hidden="1" ht="18.75" customFormat="1" customHeight="1" s="311"/>
    <row r="143" hidden="1" ht="18.75" customFormat="1" customHeight="1" s="311"/>
    <row r="144" hidden="1" ht="18.75" customFormat="1" customHeight="1" s="311"/>
    <row r="145" hidden="1" ht="18.75" customFormat="1" customHeight="1" s="311"/>
    <row r="146" hidden="1" ht="18.75" customFormat="1" customHeight="1" s="311"/>
    <row r="147" hidden="1" ht="18.75" customFormat="1" customHeight="1" s="311"/>
    <row r="148" hidden="1" ht="18.75" customFormat="1" customHeight="1" s="311"/>
    <row r="149" hidden="1" ht="18.75" customFormat="1" customHeight="1" s="311"/>
    <row r="150" hidden="1" ht="18.75" customFormat="1" customHeight="1" s="311"/>
    <row r="151" hidden="1" ht="18.75" customFormat="1" customHeight="1" s="311"/>
    <row r="152" hidden="1" ht="18.75" customFormat="1" customHeight="1" s="311"/>
    <row r="153" hidden="1" ht="18.75" customFormat="1" customHeight="1" s="311"/>
    <row r="154" hidden="1" ht="18.75" customFormat="1" customHeight="1" s="311"/>
    <row r="155" hidden="1" ht="18.75" customFormat="1" customHeight="1" s="311"/>
    <row r="156" hidden="1" ht="18.75" customFormat="1" customHeight="1" s="311"/>
    <row r="157" hidden="1" ht="18.75" customFormat="1" customHeight="1" s="311"/>
    <row r="158" hidden="1" ht="18.75" customFormat="1" customHeight="1" s="311"/>
    <row r="159" hidden="1" ht="18.75" customFormat="1" customHeight="1" s="311"/>
    <row r="160" hidden="1" ht="18.75" customFormat="1" customHeight="1" s="311"/>
    <row r="161" hidden="1" ht="18.75" customFormat="1" customHeight="1" s="311"/>
    <row r="162" hidden="1" ht="18.75" customFormat="1" customHeight="1" s="311"/>
    <row r="163" hidden="1" ht="18.75" customFormat="1" customHeight="1" s="311"/>
    <row r="164" hidden="1" ht="18.75" customFormat="1" customHeight="1" s="311"/>
    <row r="165" hidden="1" ht="18.75" customFormat="1" customHeight="1" s="311"/>
    <row r="166" hidden="1" ht="18.75" customFormat="1" customHeight="1" s="311"/>
    <row r="167" hidden="1" ht="18.75" customFormat="1" customHeight="1" s="311"/>
    <row r="168" hidden="1" ht="18.75" customFormat="1" customHeight="1" s="311"/>
    <row r="169" hidden="1" ht="18.75" customFormat="1" customHeight="1" s="311"/>
    <row r="170" hidden="1" ht="18.75" customFormat="1" customHeight="1" s="311"/>
    <row r="171" hidden="1" ht="18.75" customFormat="1" customHeight="1" s="311"/>
    <row r="172" hidden="1" ht="18.75" customFormat="1" customHeight="1" s="311"/>
    <row r="173" hidden="1" ht="18.75" customFormat="1" customHeight="1" s="311"/>
    <row r="174" hidden="1" ht="18.75" customFormat="1" customHeight="1" s="311"/>
    <row r="175" hidden="1" ht="18.75" customFormat="1" customHeight="1" s="311"/>
    <row r="176" hidden="1" ht="18.75" customFormat="1" customHeight="1" s="311"/>
    <row r="177" hidden="1" ht="18.75" customFormat="1" customHeight="1" s="311"/>
    <row r="178" hidden="1" ht="18.75" customFormat="1" customHeight="1" s="311"/>
    <row r="179" hidden="1" ht="18.75" customFormat="1" customHeight="1" s="311"/>
    <row r="180" hidden="1" ht="18.75" customFormat="1" customHeight="1" s="311"/>
    <row r="181" hidden="1" ht="18.75" customFormat="1" customHeight="1" s="311"/>
    <row r="182" hidden="1" ht="18.75" customFormat="1" customHeight="1" s="311"/>
    <row r="183" hidden="1" ht="18.75" customFormat="1" customHeight="1" s="311"/>
    <row r="184" hidden="1" ht="18.75" customFormat="1" customHeight="1" s="311"/>
    <row r="185" hidden="1" ht="18.75" customFormat="1" customHeight="1" s="311"/>
    <row r="186" hidden="1" ht="18.75" customFormat="1" customHeight="1" s="311"/>
    <row r="187" hidden="1" ht="18.75" customFormat="1" customHeight="1" s="311"/>
    <row r="188" hidden="1" ht="18.75" customFormat="1" customHeight="1" s="311"/>
    <row r="189" hidden="1" ht="18.75" customFormat="1" customHeight="1" s="311"/>
    <row r="190" hidden="1" ht="18.75" customFormat="1" customHeight="1" s="311"/>
    <row r="191" hidden="1" ht="18.75" customFormat="1" customHeight="1" s="311"/>
    <row r="192" hidden="1" ht="18.75" customFormat="1" customHeight="1" s="311"/>
    <row r="193" hidden="1" ht="18.75" customFormat="1" customHeight="1" s="311"/>
    <row r="194" hidden="1" ht="18.75" customFormat="1" customHeight="1" s="311"/>
    <row r="195" hidden="1" ht="18.75" customFormat="1" customHeight="1" s="311"/>
    <row r="196" hidden="1" ht="18.75" customFormat="1" customHeight="1" s="311"/>
    <row r="197" hidden="1" ht="18.75" customFormat="1" customHeight="1" s="311"/>
    <row r="198" hidden="1" ht="18.75" customFormat="1" customHeight="1" s="311"/>
    <row r="199" hidden="1" ht="18.75" customFormat="1" customHeight="1" s="311"/>
    <row r="200" hidden="1" ht="18.75" customFormat="1" customHeight="1" s="311"/>
    <row r="201" hidden="1" ht="18.75" customFormat="1" customHeight="1" s="311"/>
    <row r="202" hidden="1" ht="18.75" customFormat="1" customHeight="1" s="311"/>
    <row r="203" hidden="1" ht="18.75" customFormat="1" customHeight="1" s="311"/>
    <row r="204" hidden="1" ht="18.75" customFormat="1" customHeight="1" s="311"/>
    <row r="205" hidden="1" ht="18.75" customFormat="1" customHeight="1" s="311"/>
    <row r="206" hidden="1" ht="18.75" customFormat="1" customHeight="1" s="311"/>
    <row r="207" hidden="1" ht="18.75" customFormat="1" customHeight="1" s="311"/>
    <row r="208" hidden="1" ht="18.75" customFormat="1" customHeight="1" s="311"/>
    <row r="209" hidden="1" ht="18.75" customFormat="1" customHeight="1" s="311"/>
    <row r="210" hidden="1" ht="18.75" customFormat="1" customHeight="1" s="311"/>
    <row r="211" hidden="1" ht="18.75" customFormat="1" customHeight="1" s="311"/>
    <row r="212" hidden="1" ht="18.75" customFormat="1" customHeight="1" s="311"/>
    <row r="213" hidden="1" ht="18.75" customFormat="1" customHeight="1" s="311"/>
    <row r="214" hidden="1" ht="18.75" customFormat="1" customHeight="1" s="311"/>
    <row r="215" hidden="1" ht="18.75" customFormat="1" customHeight="1" s="311"/>
    <row r="216" hidden="1" ht="18.75" customFormat="1" customHeight="1" s="311"/>
    <row r="217" hidden="1" ht="18.75" customFormat="1" customHeight="1" s="311"/>
    <row r="218" hidden="1" ht="18.75" customFormat="1" customHeight="1" s="311"/>
    <row r="219" hidden="1" ht="18.75" customFormat="1" customHeight="1" s="311"/>
    <row r="220" hidden="1" ht="18.75" customFormat="1" customHeight="1" s="311"/>
    <row r="221" hidden="1" ht="18.75" customFormat="1" customHeight="1" s="311"/>
    <row r="222" hidden="1" ht="18.75" customFormat="1" customHeight="1" s="311"/>
    <row r="223" hidden="1" ht="18.75" customFormat="1" customHeight="1" s="311"/>
    <row r="224" hidden="1" ht="18.75" customFormat="1" customHeight="1" s="311"/>
    <row r="225" hidden="1" ht="18.75" customFormat="1" customHeight="1" s="311"/>
    <row r="226" hidden="1" ht="18.75" customFormat="1" customHeight="1" s="311"/>
    <row r="227" hidden="1" ht="18.75" customFormat="1" customHeight="1" s="311"/>
    <row r="228" hidden="1" ht="18.75" customFormat="1" customHeight="1" s="311"/>
    <row r="229" hidden="1" ht="18.75" customFormat="1" customHeight="1" s="311"/>
    <row r="230" hidden="1" ht="18.75" customFormat="1" customHeight="1" s="311"/>
    <row r="231" hidden="1" ht="18.75" customFormat="1" customHeight="1" s="311"/>
    <row r="232" hidden="1" ht="18.75" customFormat="1" customHeight="1" s="311"/>
    <row r="233" hidden="1" ht="18.75" customFormat="1" customHeight="1" s="311"/>
    <row r="234" hidden="1" ht="18.75" customFormat="1" customHeight="1" s="311"/>
    <row r="235" hidden="1" ht="18.75" customFormat="1" customHeight="1" s="311"/>
    <row r="236" hidden="1" ht="18.75" customFormat="1" customHeight="1" s="311"/>
    <row r="237" hidden="1" ht="18.75" customFormat="1" customHeight="1" s="311"/>
    <row r="238" hidden="1" ht="18.75" customFormat="1" customHeight="1" s="311"/>
    <row r="239" hidden="1" ht="18.75" customFormat="1" customHeight="1" s="311"/>
    <row r="240" hidden="1" ht="18.75" customFormat="1" customHeight="1" s="311"/>
    <row r="241" hidden="1" ht="18.75" customFormat="1" customHeight="1" s="311"/>
    <row r="242" hidden="1" ht="18.75" customFormat="1" customHeight="1" s="311"/>
    <row r="243" hidden="1" ht="18.75" customFormat="1" customHeight="1" s="311"/>
    <row r="244" hidden="1" ht="18.75" customFormat="1" customHeight="1" s="311"/>
    <row r="245" hidden="1" ht="18.75" customFormat="1" customHeight="1" s="311"/>
    <row r="246" hidden="1" ht="18.75" customFormat="1" customHeight="1" s="311"/>
    <row r="247" hidden="1" ht="18.75" customFormat="1" customHeight="1" s="311"/>
    <row r="248" hidden="1" ht="18.75" customFormat="1" customHeight="1" s="311"/>
    <row r="249" hidden="1" ht="18.75" customFormat="1" customHeight="1" s="311"/>
    <row r="250" hidden="1" ht="18.75" customFormat="1" customHeight="1" s="311"/>
    <row r="251" hidden="1" ht="18.75" customFormat="1" customHeight="1" s="311"/>
    <row r="252" hidden="1" ht="18.75" customFormat="1" customHeight="1" s="311"/>
    <row r="253" hidden="1" ht="18.75" customFormat="1" customHeight="1" s="311"/>
    <row r="254" hidden="1" ht="18.75" customFormat="1" customHeight="1" s="311"/>
    <row r="255" hidden="1" ht="18.75" customFormat="1" customHeight="1" s="311"/>
    <row r="256" hidden="1" ht="18.75" customFormat="1" customHeight="1" s="311"/>
    <row r="257" hidden="1" ht="18.75" customFormat="1" customHeight="1" s="311"/>
    <row r="258" hidden="1" ht="18.75" customFormat="1" customHeight="1" s="311"/>
    <row r="259" hidden="1" ht="18.75" customFormat="1" customHeight="1" s="311"/>
    <row r="260" hidden="1" ht="18.75" customFormat="1" customHeight="1" s="311"/>
    <row r="261" hidden="1" ht="18.75" customFormat="1" customHeight="1" s="311"/>
    <row r="262" hidden="1" ht="18.75" customFormat="1" customHeight="1" s="311"/>
    <row r="263" hidden="1" ht="18.75" customFormat="1" customHeight="1" s="311"/>
    <row r="264" hidden="1" ht="18.75" customFormat="1" customHeight="1" s="311"/>
    <row r="265" hidden="1" ht="18.75" customFormat="1" customHeight="1" s="311"/>
    <row r="266" hidden="1" ht="18.75" customFormat="1" customHeight="1" s="311"/>
    <row r="267" hidden="1" ht="18.75" customFormat="1" customHeight="1" s="311"/>
    <row r="268" hidden="1" ht="18.75" customFormat="1" customHeight="1" s="311"/>
    <row r="269" hidden="1" ht="18.75" customFormat="1" customHeight="1" s="311"/>
    <row r="270" hidden="1" ht="18.75" customFormat="1" customHeight="1" s="311"/>
    <row r="271" hidden="1" ht="18.75" customFormat="1" customHeight="1" s="311"/>
    <row r="272" hidden="1" ht="18.75" customFormat="1" customHeight="1" s="311"/>
    <row r="273" hidden="1" ht="18.75" customFormat="1" customHeight="1" s="311"/>
    <row r="274" hidden="1" ht="18.75" customFormat="1" customHeight="1" s="311"/>
    <row r="275" hidden="1" ht="18.75" customFormat="1" customHeight="1" s="311"/>
    <row r="276" hidden="1" ht="18.75" customFormat="1" customHeight="1" s="311"/>
    <row r="277" hidden="1" ht="18.75" customFormat="1" customHeight="1" s="311"/>
    <row r="278" hidden="1" ht="18.75" customFormat="1" customHeight="1" s="311"/>
    <row r="279" hidden="1" ht="18.75" customFormat="1" customHeight="1" s="311"/>
    <row r="280" hidden="1" ht="18.75" customFormat="1" customHeight="1" s="311"/>
    <row r="281" hidden="1" ht="18.75" customFormat="1" customHeight="1" s="311"/>
    <row r="282" hidden="1" ht="18.75" customFormat="1" customHeight="1" s="311"/>
    <row r="283" hidden="1" ht="18.75" customFormat="1" customHeight="1" s="311"/>
    <row r="284" hidden="1" ht="18.75" customFormat="1" customHeight="1" s="311"/>
    <row r="285" hidden="1" ht="18.75" customFormat="1" customHeight="1" s="311"/>
    <row r="286" hidden="1" ht="18.75" customFormat="1" customHeight="1" s="311"/>
    <row r="287" hidden="1" ht="18.75" customFormat="1" customHeight="1" s="311"/>
    <row r="288" hidden="1" ht="18.75" customFormat="1" customHeight="1" s="311"/>
    <row r="289" hidden="1" ht="18.75" customFormat="1" customHeight="1" s="311"/>
    <row r="290" hidden="1" ht="18.75" customFormat="1" customHeight="1" s="311"/>
    <row r="291" hidden="1" ht="18.75" customFormat="1" customHeight="1" s="311"/>
    <row r="292" hidden="1" ht="18.75" customFormat="1" customHeight="1" s="311"/>
    <row r="293" hidden="1" ht="18.75" customFormat="1" customHeight="1" s="311"/>
    <row r="294" hidden="1" ht="18.75" customFormat="1" customHeight="1" s="311"/>
    <row r="295" hidden="1" ht="18.75" customFormat="1" customHeight="1" s="311"/>
    <row r="296" hidden="1" ht="18.75" customFormat="1" customHeight="1" s="311"/>
    <row r="297" hidden="1" ht="18.75" customFormat="1" customHeight="1" s="311"/>
    <row r="298" hidden="1" ht="18.75" customFormat="1" customHeight="1" s="311"/>
    <row r="299" hidden="1" ht="18.75" customFormat="1" customHeight="1" s="311"/>
    <row r="300" hidden="1" ht="18.75" customFormat="1" customHeight="1" s="311"/>
    <row r="301" hidden="1" ht="18.75" customFormat="1" customHeight="1" s="311"/>
    <row r="302" hidden="1" ht="18.75" customFormat="1" customHeight="1" s="311"/>
    <row r="303" hidden="1" ht="18.75" customFormat="1" customHeight="1" s="311"/>
    <row r="304" hidden="1" ht="18.75" customFormat="1" customHeight="1" s="311"/>
    <row r="305" hidden="1" ht="18.75" customFormat="1" customHeight="1" s="311"/>
    <row r="306" hidden="1" ht="18.75" customFormat="1" customHeight="1" s="311"/>
    <row r="307" hidden="1" ht="18.75" customFormat="1" customHeight="1" s="311"/>
    <row r="308" hidden="1" ht="18.75" customFormat="1" customHeight="1" s="311"/>
    <row r="309" hidden="1" ht="18.75" customFormat="1" customHeight="1" s="311"/>
    <row r="310" hidden="1" ht="18.75" customFormat="1" customHeight="1" s="311"/>
    <row r="311" hidden="1" ht="18.75" customFormat="1" customHeight="1" s="311"/>
    <row r="312" hidden="1" ht="18.75" customFormat="1" customHeight="1" s="311"/>
    <row r="313" hidden="1" ht="18.75" customFormat="1" customHeight="1" s="311"/>
    <row r="314" hidden="1" ht="18.75" customFormat="1" customHeight="1" s="311"/>
    <row r="315" hidden="1" ht="18.75" customFormat="1" customHeight="1" s="311"/>
    <row r="316" hidden="1" ht="18.75" customFormat="1" customHeight="1" s="311"/>
    <row r="317" hidden="1" ht="18.75" customFormat="1" customHeight="1" s="311"/>
    <row r="318" hidden="1" ht="18.75" customFormat="1" customHeight="1" s="311"/>
    <row r="319" hidden="1" ht="18.75" customFormat="1" customHeight="1" s="311"/>
    <row r="320" hidden="1" ht="18.75" customFormat="1" customHeight="1" s="311"/>
    <row r="321" hidden="1" ht="18.75" customFormat="1" customHeight="1" s="311"/>
    <row r="322" hidden="1" ht="18.75" customFormat="1" customHeight="1" s="311"/>
    <row r="323" hidden="1" ht="18.75" customFormat="1" customHeight="1" s="311"/>
    <row r="324" hidden="1" ht="18.75" customFormat="1" customHeight="1" s="311"/>
    <row r="325" hidden="1" ht="18.75" customFormat="1" customHeight="1" s="311"/>
    <row r="326" hidden="1" ht="18.75" customFormat="1" customHeight="1" s="311"/>
    <row r="327" hidden="1" ht="18.75" customFormat="1" customHeight="1" s="311"/>
    <row r="328" hidden="1" ht="18.75" customFormat="1" customHeight="1" s="311"/>
    <row r="329" hidden="1" ht="18.75" customFormat="1" customHeight="1" s="311"/>
    <row r="330" hidden="1" ht="18.75" customFormat="1" customHeight="1" s="311"/>
    <row r="331" hidden="1" ht="18.75" customFormat="1" customHeight="1" s="311"/>
    <row r="332" hidden="1" ht="18.75" customFormat="1" customHeight="1" s="311"/>
    <row r="333" hidden="1" ht="18.75" customFormat="1" customHeight="1" s="311"/>
    <row r="334" hidden="1" ht="18.75" customFormat="1" customHeight="1" s="311"/>
    <row r="335" hidden="1" ht="18.75" customFormat="1" customHeight="1" s="311"/>
    <row r="336" hidden="1" ht="18.75" customFormat="1" customHeight="1" s="311"/>
    <row r="337" hidden="1" ht="18.75" customFormat="1" customHeight="1" s="311"/>
    <row r="338" hidden="1" ht="18.75" customFormat="1" customHeight="1" s="311"/>
    <row r="339" hidden="1" ht="18.75" customFormat="1" customHeight="1" s="311"/>
    <row r="340" hidden="1" ht="18.75" customFormat="1" customHeight="1" s="311"/>
    <row r="341" hidden="1" ht="18.75" customFormat="1" customHeight="1" s="311"/>
    <row r="342" hidden="1" ht="18.75" customFormat="1" customHeight="1" s="311"/>
    <row r="343" hidden="1" ht="18.75" customFormat="1" customHeight="1" s="311"/>
    <row r="344" hidden="1" ht="18.75" customFormat="1" customHeight="1" s="311"/>
    <row r="345" hidden="1" ht="18.75" customFormat="1" customHeight="1" s="311"/>
    <row r="346" hidden="1" ht="18.75" customFormat="1" customHeight="1" s="311"/>
    <row r="347" hidden="1" ht="18.75" customFormat="1" customHeight="1" s="311"/>
    <row r="348" hidden="1" ht="18.75" customFormat="1" customHeight="1" s="311"/>
    <row r="349" hidden="1" ht="18.75" customFormat="1" customHeight="1" s="311"/>
    <row r="350" hidden="1" ht="18.75" customFormat="1" customHeight="1" s="311"/>
    <row r="351" hidden="1" ht="18.75" customFormat="1" customHeight="1" s="311"/>
    <row r="352" hidden="1" ht="18.75" customFormat="1" customHeight="1" s="311"/>
    <row r="353" hidden="1" ht="18.75" customFormat="1" customHeight="1" s="311"/>
    <row r="354" hidden="1" ht="18.75" customFormat="1" customHeight="1" s="311"/>
    <row r="355" hidden="1" ht="18.75" customFormat="1" customHeight="1" s="311"/>
    <row r="356" hidden="1" ht="18.75" customFormat="1" customHeight="1" s="311"/>
    <row r="357" hidden="1" ht="18.75" customFormat="1" customHeight="1" s="311"/>
    <row r="358" hidden="1" ht="18.75" customFormat="1" customHeight="1" s="311"/>
    <row r="359" hidden="1" ht="18.75" customFormat="1" customHeight="1" s="311"/>
    <row r="360" hidden="1" ht="18.75" customFormat="1" customHeight="1" s="311"/>
    <row r="361" hidden="1" ht="18.75" customFormat="1" customHeight="1" s="311"/>
    <row r="362" hidden="1" ht="18.75" customFormat="1" customHeight="1" s="311"/>
    <row r="363" hidden="1" ht="18.75" customFormat="1" customHeight="1" s="311"/>
    <row r="364" hidden="1" ht="18.75" customFormat="1" customHeight="1" s="311"/>
    <row r="365" hidden="1" ht="18.75" customFormat="1" customHeight="1" s="311"/>
    <row r="366" hidden="1" ht="18.75" customFormat="1" customHeight="1" s="311"/>
    <row r="367" hidden="1" ht="18.75" customFormat="1" customHeight="1" s="311"/>
    <row r="368" hidden="1" ht="18.75" customFormat="1" customHeight="1" s="311"/>
    <row r="369" hidden="1" ht="18.75" customFormat="1" customHeight="1" s="311"/>
    <row r="370" hidden="1" ht="18.75" customFormat="1" customHeight="1" s="311"/>
    <row r="371" hidden="1" ht="18.75" customFormat="1" customHeight="1" s="311"/>
    <row r="372" hidden="1" ht="18.75" customFormat="1" customHeight="1" s="311"/>
    <row r="373" hidden="1" ht="18.75" customFormat="1" customHeight="1" s="311"/>
    <row r="374" hidden="1" ht="18.75" customFormat="1" customHeight="1" s="311"/>
    <row r="375" hidden="1" ht="18.75" customFormat="1" customHeight="1" s="311"/>
    <row r="376" hidden="1" ht="18.75" customFormat="1" customHeight="1" s="311"/>
    <row r="377" hidden="1" ht="18.75" customFormat="1" customHeight="1" s="311"/>
    <row r="378" hidden="1" ht="18.75" customFormat="1" customHeight="1" s="311"/>
    <row r="379" hidden="1" ht="18.75" customFormat="1" customHeight="1" s="311"/>
    <row r="380" hidden="1" ht="18.75" customFormat="1" customHeight="1" s="311"/>
    <row r="381" hidden="1" ht="18.75" customFormat="1" customHeight="1" s="311"/>
    <row r="382" hidden="1" ht="18.75" customFormat="1" customHeight="1" s="311"/>
    <row r="383" hidden="1" ht="18.75" customFormat="1" customHeight="1" s="311"/>
    <row r="384" hidden="1" ht="18.75" customFormat="1" customHeight="1" s="311"/>
    <row r="385" hidden="1" ht="18.75" customFormat="1" customHeight="1" s="311"/>
    <row r="386" hidden="1" ht="18.75" customFormat="1" customHeight="1" s="311"/>
    <row r="387" hidden="1" ht="18.75" customFormat="1" customHeight="1" s="311"/>
    <row r="388" hidden="1" ht="18.75" customFormat="1" customHeight="1" s="311"/>
    <row r="389" hidden="1" ht="18.75" customFormat="1" customHeight="1" s="311"/>
    <row r="390" hidden="1" ht="18.75" customFormat="1" customHeight="1" s="311"/>
    <row r="391" hidden="1" ht="18.75" customFormat="1" customHeight="1" s="311"/>
    <row r="392" hidden="1" ht="18.75" customFormat="1" customHeight="1" s="311"/>
    <row r="393" hidden="1" ht="18.75" customFormat="1" customHeight="1" s="311"/>
    <row r="394" hidden="1" ht="18.75" customFormat="1" customHeight="1" s="311"/>
    <row r="395" hidden="1" ht="18.75" customFormat="1" customHeight="1" s="311"/>
    <row r="396" hidden="1" ht="18.75" customFormat="1" customHeight="1" s="311"/>
    <row r="397" hidden="1" ht="18.75" customFormat="1" customHeight="1" s="311"/>
    <row r="398" hidden="1" ht="18.75" customFormat="1" customHeight="1" s="311"/>
    <row r="399" hidden="1" ht="18.75" customFormat="1" customHeight="1" s="311"/>
    <row r="400" hidden="1" ht="18.75" customFormat="1" customHeight="1" s="311"/>
    <row r="401" hidden="1" ht="18.75" customFormat="1" customHeight="1" s="311"/>
    <row r="402" hidden="1" ht="18.75" customFormat="1" customHeight="1" s="311"/>
    <row r="403" hidden="1" ht="18.75" customFormat="1" customHeight="1" s="311"/>
    <row r="404" hidden="1" ht="18.75" customFormat="1" customHeight="1" s="311"/>
    <row r="405" hidden="1" ht="18.75" customFormat="1" customHeight="1" s="311"/>
    <row r="406" hidden="1" ht="18.75" customFormat="1" customHeight="1" s="311"/>
    <row r="407" hidden="1" ht="18.75" customFormat="1" customHeight="1" s="311"/>
    <row r="408" hidden="1" ht="18.75" customFormat="1" customHeight="1" s="311"/>
    <row r="409" hidden="1" ht="18.75" customFormat="1" customHeight="1" s="311"/>
    <row r="410" hidden="1" ht="18.75" customFormat="1" customHeight="1" s="311"/>
    <row r="411" hidden="1" ht="18.75" customFormat="1" customHeight="1" s="311"/>
    <row r="412" hidden="1" ht="18.75" customFormat="1" customHeight="1" s="311"/>
    <row r="413" hidden="1" ht="18.75" customFormat="1" customHeight="1" s="311"/>
    <row r="414" hidden="1" ht="18.75" customFormat="1" customHeight="1" s="311"/>
    <row r="415" hidden="1" ht="18.75" customFormat="1" customHeight="1" s="311"/>
    <row r="416" hidden="1" ht="18.75" customFormat="1" customHeight="1" s="311"/>
    <row r="417" hidden="1" ht="18.75" customFormat="1" customHeight="1" s="311"/>
    <row r="418" hidden="1" ht="18.75" customFormat="1" customHeight="1" s="311"/>
    <row r="419" hidden="1" ht="18.75" customFormat="1" customHeight="1" s="311"/>
    <row r="420" hidden="1" ht="18.75" customFormat="1" customHeight="1" s="311"/>
    <row r="421" hidden="1" ht="18.75" customFormat="1" customHeight="1" s="311"/>
    <row r="422" hidden="1" ht="18.75" customFormat="1" customHeight="1" s="311"/>
    <row r="423" hidden="1" ht="18.75" customFormat="1" customHeight="1" s="311"/>
    <row r="424" hidden="1" ht="18.75" customFormat="1" customHeight="1" s="311"/>
    <row r="425" hidden="1" ht="18.75" customFormat="1" customHeight="1" s="311"/>
    <row r="426" hidden="1" ht="18.75" customFormat="1" customHeight="1" s="311"/>
    <row r="427" hidden="1" ht="18.75" customFormat="1" customHeight="1" s="311"/>
    <row r="428" hidden="1" ht="18.75" customFormat="1" customHeight="1" s="311"/>
    <row r="429" hidden="1" ht="18.75" customFormat="1" customHeight="1" s="311"/>
    <row r="430" hidden="1" ht="18.75" customFormat="1" customHeight="1" s="311"/>
    <row r="431" hidden="1" ht="18.75" customFormat="1" customHeight="1" s="311"/>
    <row r="432" hidden="1" ht="18.75" customFormat="1" customHeight="1" s="311"/>
    <row r="433" hidden="1" ht="18.75" customFormat="1" customHeight="1" s="311"/>
    <row r="434" hidden="1" ht="18.75" customFormat="1" customHeight="1" s="311"/>
    <row r="435" hidden="1" ht="18.75" customFormat="1" customHeight="1" s="311"/>
    <row r="436" hidden="1" ht="18.75" customFormat="1" customHeight="1" s="311"/>
    <row r="437" hidden="1" ht="18.75" customFormat="1" customHeight="1" s="311"/>
    <row r="438" hidden="1" ht="18.75" customFormat="1" customHeight="1" s="311"/>
    <row r="439" hidden="1" ht="18.75" customFormat="1" customHeight="1" s="311"/>
    <row r="440" hidden="1" ht="18.75" customFormat="1" customHeight="1" s="311"/>
    <row r="441" hidden="1" ht="18.75" customFormat="1" customHeight="1" s="311"/>
    <row r="442" hidden="1" ht="18.75" customFormat="1" customHeight="1" s="311"/>
    <row r="443" hidden="1" ht="18.75" customFormat="1" customHeight="1" s="311"/>
    <row r="444" hidden="1" ht="18.75" customFormat="1" customHeight="1" s="311"/>
    <row r="445" hidden="1" ht="18.75" customFormat="1" customHeight="1" s="311"/>
    <row r="446" hidden="1" ht="18.75" customFormat="1" customHeight="1" s="311"/>
    <row r="447" hidden="1" ht="18.75" customFormat="1" customHeight="1" s="311"/>
    <row r="448" hidden="1" ht="18.75" customFormat="1" customHeight="1" s="311"/>
    <row r="449" hidden="1" ht="18.75" customFormat="1" customHeight="1" s="311"/>
    <row r="450" hidden="1" ht="18.75" customFormat="1" customHeight="1" s="311"/>
    <row r="451" hidden="1" ht="18.75" customFormat="1" customHeight="1" s="311"/>
    <row r="452" hidden="1" ht="18.75" customFormat="1" customHeight="1" s="311"/>
    <row r="453" hidden="1" ht="18.75" customFormat="1" customHeight="1" s="311"/>
    <row r="454" hidden="1" ht="18.75" customFormat="1" customHeight="1" s="311"/>
    <row r="455" hidden="1" ht="18.75" customFormat="1" customHeight="1" s="311"/>
    <row r="456" hidden="1" ht="18.75" customFormat="1" customHeight="1" s="311"/>
    <row r="457" hidden="1" ht="18.75" customFormat="1" customHeight="1" s="311"/>
    <row r="458" hidden="1" ht="18.75" customFormat="1" customHeight="1" s="311"/>
    <row r="459" hidden="1" ht="18.75" customFormat="1" customHeight="1" s="311"/>
    <row r="460" hidden="1" ht="18.75" customFormat="1" customHeight="1" s="311"/>
    <row r="461" hidden="1" ht="18.75" customFormat="1" customHeight="1" s="311"/>
    <row r="462" hidden="1" ht="18.75" customFormat="1" customHeight="1" s="311"/>
    <row r="463" hidden="1" ht="18.75" customFormat="1" customHeight="1" s="311"/>
    <row r="464" hidden="1" ht="18.75" customFormat="1" customHeight="1" s="311"/>
    <row r="465" hidden="1" ht="18.75" customFormat="1" customHeight="1" s="311"/>
    <row r="466" hidden="1" ht="18.75" customFormat="1" customHeight="1" s="311"/>
    <row r="467" hidden="1" ht="18.75" customFormat="1" customHeight="1" s="311"/>
    <row r="468" hidden="1" ht="18.75" customFormat="1" customHeight="1" s="311"/>
    <row r="469" hidden="1" ht="18.75" customFormat="1" customHeight="1" s="311"/>
    <row r="470" hidden="1" ht="18.75" customFormat="1" customHeight="1" s="311"/>
    <row r="471" hidden="1" ht="18.75" customFormat="1" customHeight="1" s="311"/>
    <row r="472" hidden="1" ht="18.75" customFormat="1" customHeight="1" s="311"/>
    <row r="473" hidden="1" ht="18.75" customFormat="1" customHeight="1" s="311"/>
    <row r="474" hidden="1" ht="18.75" customFormat="1" customHeight="1" s="311"/>
    <row r="475" hidden="1" ht="18.75" customFormat="1" customHeight="1" s="311"/>
    <row r="476" hidden="1" ht="18.75" customFormat="1" customHeight="1" s="311"/>
    <row r="477" hidden="1" ht="18.75" customFormat="1" customHeight="1" s="311"/>
    <row r="478" hidden="1" ht="18.75" customFormat="1" customHeight="1" s="311"/>
    <row r="479" hidden="1" ht="18.75" customFormat="1" customHeight="1" s="311"/>
    <row r="480" hidden="1" ht="18.75" customFormat="1" customHeight="1" s="311"/>
    <row r="481" hidden="1" ht="18.75" customFormat="1" customHeight="1" s="311"/>
    <row r="482" hidden="1" ht="18.75" customFormat="1" customHeight="1" s="311"/>
    <row r="483" hidden="1" ht="18.75" customFormat="1" customHeight="1" s="311"/>
    <row r="484" hidden="1" ht="18.75" customFormat="1" customHeight="1" s="311"/>
    <row r="485" hidden="1" ht="18.75" customFormat="1" customHeight="1" s="311"/>
    <row r="486" hidden="1" ht="18.75" customFormat="1" customHeight="1" s="311"/>
    <row r="487" hidden="1" ht="18.75" customFormat="1" customHeight="1" s="311"/>
    <row r="488" hidden="1" ht="18.75" customFormat="1" customHeight="1" s="311"/>
    <row r="489" hidden="1" ht="18.75" customFormat="1" customHeight="1" s="311"/>
    <row r="490" hidden="1" ht="18.75" customFormat="1" customHeight="1" s="311"/>
    <row r="491" hidden="1" ht="18.75" customFormat="1" customHeight="1" s="311"/>
    <row r="492" hidden="1" ht="18.75" customFormat="1" customHeight="1" s="311"/>
    <row r="493" hidden="1" ht="18.75" customFormat="1" customHeight="1" s="311"/>
    <row r="494" hidden="1" ht="18.75" customFormat="1" customHeight="1" s="311"/>
    <row r="495" hidden="1" ht="18.75" customFormat="1" customHeight="1" s="311"/>
    <row r="496" hidden="1" ht="18.75" customFormat="1" customHeight="1" s="311"/>
    <row r="497" hidden="1" ht="18.75" customFormat="1" customHeight="1" s="311"/>
    <row r="498" hidden="1" ht="18.75" customFormat="1" customHeight="1" s="311"/>
    <row r="499" hidden="1" ht="18.75" customFormat="1" customHeight="1" s="311"/>
    <row r="500" hidden="1" ht="18.75" customFormat="1" customHeight="1" s="311"/>
    <row r="501" hidden="1" ht="18.75" customFormat="1" customHeight="1" s="311"/>
    <row r="502" hidden="1" ht="18.75" customFormat="1" customHeight="1" s="311"/>
    <row r="503" hidden="1" ht="18.75" customFormat="1" customHeight="1" s="311"/>
    <row r="504" hidden="1" ht="18.75" customFormat="1" customHeight="1" s="311"/>
    <row r="505" hidden="1" ht="18.75" customFormat="1" customHeight="1" s="311"/>
    <row r="506" hidden="1" ht="18.75" customFormat="1" customHeight="1" s="311"/>
    <row r="507" hidden="1" ht="18.75" customFormat="1" customHeight="1" s="311"/>
    <row r="508" hidden="1" ht="18.75" customFormat="1" customHeight="1" s="311"/>
    <row r="509" hidden="1" ht="18.75" customFormat="1" customHeight="1" s="311"/>
    <row r="510" hidden="1" ht="18.75" customFormat="1" customHeight="1" s="311"/>
    <row r="511" hidden="1" ht="18.75" customFormat="1" customHeight="1" s="311"/>
    <row r="512" hidden="1" ht="18.75" customFormat="1" customHeight="1" s="311"/>
    <row r="513" hidden="1" ht="18.75" customFormat="1" customHeight="1" s="311"/>
    <row r="514" hidden="1" ht="18.75" customFormat="1" customHeight="1" s="311"/>
    <row r="515" hidden="1" ht="18.75" customFormat="1" customHeight="1" s="311"/>
    <row r="516" hidden="1" ht="18.75" customFormat="1" customHeight="1" s="311"/>
    <row r="517" hidden="1" ht="18.75" customFormat="1" customHeight="1" s="311"/>
    <row r="518" hidden="1" ht="18.75" customFormat="1" customHeight="1" s="311"/>
    <row r="519" hidden="1" ht="18.75" customFormat="1" customHeight="1" s="311"/>
    <row r="520" hidden="1" ht="18.75" customFormat="1" customHeight="1" s="311"/>
    <row r="521" hidden="1" ht="18.75" customFormat="1" customHeight="1" s="311"/>
    <row r="522" hidden="1" ht="18.75" customFormat="1" customHeight="1" s="311"/>
    <row r="523" hidden="1" ht="18.75" customFormat="1" customHeight="1" s="311"/>
    <row r="524" hidden="1" ht="18.75" customFormat="1" customHeight="1" s="311"/>
    <row r="525" hidden="1" ht="18.75" customFormat="1" customHeight="1" s="311"/>
    <row r="526" hidden="1" ht="18.75" customFormat="1" customHeight="1" s="311"/>
    <row r="527" hidden="1" ht="18.75" customFormat="1" customHeight="1" s="311"/>
    <row r="528" hidden="1" ht="18.75" customFormat="1" customHeight="1" s="311"/>
    <row r="529" hidden="1" ht="18.75" customFormat="1" customHeight="1" s="311"/>
    <row r="530" hidden="1" ht="18.75" customFormat="1" customHeight="1" s="311"/>
    <row r="531" hidden="1" ht="18.75" customFormat="1" customHeight="1" s="311"/>
    <row r="532" hidden="1" ht="18.75" customFormat="1" customHeight="1" s="311"/>
    <row r="533" hidden="1" ht="18.75" customFormat="1" customHeight="1" s="311"/>
    <row r="534" hidden="1" ht="18.75" customFormat="1" customHeight="1" s="311"/>
    <row r="535" hidden="1" ht="18.75" customFormat="1" customHeight="1" s="311"/>
    <row r="536" hidden="1" ht="18.75" customFormat="1" customHeight="1" s="311"/>
    <row r="537" hidden="1" ht="18.75" customFormat="1" customHeight="1" s="311"/>
    <row r="538" hidden="1" ht="18.75" customFormat="1" customHeight="1" s="311"/>
    <row r="539" hidden="1" ht="18.75" customFormat="1" customHeight="1" s="311"/>
    <row r="540" hidden="1" ht="18.75" customFormat="1" customHeight="1" s="311"/>
    <row r="541" hidden="1" ht="18.75" customFormat="1" customHeight="1" s="311"/>
    <row r="542" hidden="1" ht="18.75" customFormat="1" customHeight="1" s="311"/>
    <row r="543" hidden="1" ht="18.75" customFormat="1" customHeight="1" s="311"/>
    <row r="544" hidden="1" ht="18.75" customFormat="1" customHeight="1" s="311"/>
    <row r="545" hidden="1" ht="18.75" customFormat="1" customHeight="1" s="311"/>
    <row r="546" hidden="1" ht="18.75" customFormat="1" customHeight="1" s="311"/>
    <row r="547" hidden="1" ht="18.75" customFormat="1" customHeight="1" s="311"/>
    <row r="548" hidden="1" ht="18.75" customFormat="1" customHeight="1" s="311"/>
    <row r="549" hidden="1" ht="18.75" customFormat="1" customHeight="1" s="311"/>
    <row r="550" hidden="1" ht="18.75" customFormat="1" customHeight="1" s="311"/>
    <row r="551" hidden="1" ht="18.75" customFormat="1" customHeight="1" s="311"/>
    <row r="552" hidden="1" ht="18.75" customFormat="1" customHeight="1" s="311"/>
    <row r="553" hidden="1" ht="18.75" customFormat="1" customHeight="1" s="311"/>
    <row r="554" hidden="1" ht="18.75" customFormat="1" customHeight="1" s="311"/>
    <row r="555" hidden="1" ht="18.75" customFormat="1" customHeight="1" s="311"/>
    <row r="556" hidden="1" ht="18.75" customFormat="1" customHeight="1" s="311"/>
    <row r="557" hidden="1" ht="18.75" customFormat="1" customHeight="1" s="311"/>
    <row r="558" hidden="1" ht="18.75" customFormat="1" customHeight="1" s="311"/>
    <row r="559" hidden="1" ht="18.75" customFormat="1" customHeight="1" s="311"/>
    <row r="560" hidden="1" ht="18.75" customFormat="1" customHeight="1" s="311"/>
    <row r="561" hidden="1" ht="18.75" customFormat="1" customHeight="1" s="311"/>
    <row r="562" hidden="1" ht="18.75" customFormat="1" customHeight="1" s="311"/>
    <row r="563" hidden="1" ht="18.75" customFormat="1" customHeight="1" s="311"/>
    <row r="564" hidden="1" ht="18.75" customFormat="1" customHeight="1" s="311"/>
    <row r="565" hidden="1" ht="18.75" customFormat="1" customHeight="1" s="311"/>
    <row r="566" hidden="1" ht="18.75" customFormat="1" customHeight="1" s="311"/>
    <row r="567" hidden="1" ht="18.75" customFormat="1" customHeight="1" s="311"/>
    <row r="568" hidden="1" ht="18.75" customFormat="1" customHeight="1" s="311"/>
    <row r="569" hidden="1" ht="18.75" customFormat="1" customHeight="1" s="311"/>
    <row r="570" hidden="1" ht="18.75" customFormat="1" customHeight="1" s="311"/>
    <row r="571" hidden="1" ht="18.75" customFormat="1" customHeight="1" s="311"/>
    <row r="572" hidden="1" ht="18.75" customFormat="1" customHeight="1" s="311"/>
    <row r="573" hidden="1" ht="18.75" customFormat="1" customHeight="1" s="311"/>
    <row r="574" hidden="1" ht="18.75" customFormat="1" customHeight="1" s="311"/>
    <row r="575" hidden="1" ht="18.75" customFormat="1" customHeight="1" s="311"/>
    <row r="576" hidden="1" ht="18.75" customFormat="1" customHeight="1" s="311"/>
    <row r="577" hidden="1" ht="18.75" customFormat="1" customHeight="1" s="311"/>
    <row r="578" hidden="1" ht="18.75" customFormat="1" customHeight="1" s="311"/>
    <row r="579" hidden="1" ht="18.75" customFormat="1" customHeight="1" s="311"/>
    <row r="580" hidden="1" ht="18.75" customFormat="1" customHeight="1" s="311"/>
    <row r="581" hidden="1" ht="18.75" customFormat="1" customHeight="1" s="311"/>
    <row r="582" hidden="1" ht="18.75" customFormat="1" customHeight="1" s="311"/>
    <row r="583" hidden="1" ht="18.75" customFormat="1" customHeight="1" s="311"/>
    <row r="584" hidden="1" ht="18.75" customFormat="1" customHeight="1" s="311"/>
    <row r="585" hidden="1" ht="18.75" customFormat="1" customHeight="1" s="311"/>
    <row r="586" hidden="1" ht="18.75" customFormat="1" customHeight="1" s="311"/>
    <row r="587" hidden="1" ht="18.75" customFormat="1" customHeight="1" s="311"/>
    <row r="588" hidden="1" ht="18.75" customFormat="1" customHeight="1" s="311"/>
    <row r="589" hidden="1" ht="18.75" customFormat="1" customHeight="1" s="311"/>
    <row r="590" hidden="1" ht="18.75" customFormat="1" customHeight="1" s="311"/>
    <row r="591" hidden="1" ht="18.75" customFormat="1" customHeight="1" s="311"/>
    <row r="592" hidden="1" ht="18.75" customFormat="1" customHeight="1" s="311"/>
    <row r="593" hidden="1" ht="18.75" customFormat="1" customHeight="1" s="311"/>
    <row r="594" hidden="1" ht="18.75" customFormat="1" customHeight="1" s="311"/>
    <row r="595" hidden="1" ht="18.75" customFormat="1" customHeight="1" s="311"/>
    <row r="596" hidden="1" ht="18.75" customFormat="1" customHeight="1" s="311"/>
    <row r="597" hidden="1" ht="18.75" customFormat="1" customHeight="1" s="311"/>
    <row r="598" hidden="1" ht="18.75" customFormat="1" customHeight="1" s="311"/>
    <row r="599" hidden="1" ht="18.75" customFormat="1" customHeight="1" s="311"/>
    <row r="600" hidden="1" ht="18.75" customFormat="1" customHeight="1" s="311"/>
    <row r="601" hidden="1" ht="18.75" customFormat="1" customHeight="1" s="311"/>
    <row r="602" hidden="1" ht="18.75" customFormat="1" customHeight="1" s="311"/>
    <row r="603" hidden="1" ht="18.75" customFormat="1" customHeight="1" s="311"/>
    <row r="604" hidden="1" ht="18.75" customFormat="1" customHeight="1" s="311"/>
    <row r="605" hidden="1" ht="18.75" customFormat="1" customHeight="1" s="311"/>
    <row r="606" hidden="1" ht="18.75" customFormat="1" customHeight="1" s="311"/>
    <row r="607" hidden="1" ht="18.75" customFormat="1" customHeight="1" s="311"/>
    <row r="608" hidden="1" ht="18.75" customFormat="1" customHeight="1" s="311"/>
    <row r="609" hidden="1" ht="18.75" customFormat="1" customHeight="1" s="311"/>
    <row r="610" hidden="1" ht="18.75" customFormat="1" customHeight="1" s="311"/>
    <row r="611" hidden="1" ht="18.75" customFormat="1" customHeight="1" s="311"/>
    <row r="612" hidden="1" ht="18.75" customFormat="1" customHeight="1" s="311"/>
    <row r="613" hidden="1" ht="18.75" customFormat="1" customHeight="1" s="311"/>
    <row r="614" hidden="1" ht="18.75" customFormat="1" customHeight="1" s="311"/>
    <row r="615" hidden="1" ht="18.75" customFormat="1" customHeight="1" s="311"/>
    <row r="616" hidden="1" ht="18.75" customFormat="1" customHeight="1" s="311"/>
    <row r="617" hidden="1" ht="18.75" customFormat="1" customHeight="1" s="311"/>
    <row r="618" hidden="1" ht="18.75" customFormat="1" customHeight="1" s="311"/>
    <row r="619" hidden="1" ht="18.75" customFormat="1" customHeight="1" s="311"/>
    <row r="620" hidden="1" ht="18.75" customFormat="1" customHeight="1" s="311"/>
    <row r="621" hidden="1" ht="18.75" customFormat="1" customHeight="1" s="311"/>
    <row r="622" hidden="1" ht="18.75" customFormat="1" customHeight="1" s="311"/>
    <row r="623" hidden="1" ht="18.75" customFormat="1" customHeight="1" s="311"/>
    <row r="624" hidden="1" ht="18.75" customFormat="1" customHeight="1" s="311"/>
    <row r="625" hidden="1" ht="18.75" customFormat="1" customHeight="1" s="311"/>
    <row r="626" hidden="1" ht="18.75" customFormat="1" customHeight="1" s="311"/>
    <row r="627" hidden="1" ht="18.75" customFormat="1" customHeight="1" s="311"/>
    <row r="628" hidden="1" ht="18.75" customFormat="1" customHeight="1" s="311"/>
    <row r="629" hidden="1" ht="18.75" customFormat="1" customHeight="1" s="311"/>
    <row r="630" hidden="1" ht="18.75" customFormat="1" customHeight="1" s="311"/>
    <row r="631" hidden="1" ht="18.75" customFormat="1" customHeight="1" s="311"/>
    <row r="632" hidden="1" ht="18.75" customFormat="1" customHeight="1" s="311"/>
    <row r="633" hidden="1" ht="18.75" customFormat="1" customHeight="1" s="311"/>
    <row r="634" hidden="1" ht="18.75" customFormat="1" customHeight="1" s="311"/>
    <row r="635" hidden="1" ht="18.75" customFormat="1" customHeight="1" s="311"/>
    <row r="636" hidden="1" ht="18.75" customFormat="1" customHeight="1" s="311"/>
    <row r="637" hidden="1" ht="18.75" customFormat="1" customHeight="1" s="311"/>
    <row r="638" hidden="1" ht="18.75" customFormat="1" customHeight="1" s="311"/>
    <row r="639" hidden="1" ht="18.75" customFormat="1" customHeight="1" s="311"/>
    <row r="640" hidden="1" ht="18.75" customFormat="1" customHeight="1" s="311"/>
    <row r="641" hidden="1" ht="18.75" customFormat="1" customHeight="1" s="311"/>
    <row r="642" hidden="1" ht="18.75" customFormat="1" customHeight="1" s="311"/>
    <row r="643" hidden="1" ht="18.75" customFormat="1" customHeight="1" s="311"/>
    <row r="644" hidden="1" ht="18.75" customFormat="1" customHeight="1" s="311"/>
    <row r="645" hidden="1" ht="18.75" customFormat="1" customHeight="1" s="311"/>
    <row r="646" hidden="1" ht="18.75" customFormat="1" customHeight="1" s="311"/>
    <row r="647" hidden="1" ht="18.75" customFormat="1" customHeight="1" s="311"/>
    <row r="648" hidden="1" ht="18.75" customFormat="1" customHeight="1" s="311"/>
    <row r="649" hidden="1" ht="18.75" customFormat="1" customHeight="1" s="311"/>
    <row r="650" hidden="1" ht="18.75" customFormat="1" customHeight="1" s="311"/>
    <row r="651" hidden="1" ht="18.75" customFormat="1" customHeight="1" s="311"/>
    <row r="652" hidden="1" ht="18.75" customFormat="1" customHeight="1" s="311"/>
    <row r="653" hidden="1" ht="18.75" customFormat="1" customHeight="1" s="311"/>
    <row r="654" hidden="1" ht="18.75" customFormat="1" customHeight="1" s="311"/>
    <row r="655" hidden="1" ht="18.75" customFormat="1" customHeight="1" s="311"/>
    <row r="656" hidden="1" ht="18.75" customFormat="1" customHeight="1" s="311"/>
    <row r="657" hidden="1" ht="18.75" customFormat="1" customHeight="1" s="311"/>
    <row r="658" hidden="1" ht="18.75" customFormat="1" customHeight="1" s="311"/>
    <row r="659" hidden="1" ht="18.75" customFormat="1" customHeight="1" s="311"/>
    <row r="660" hidden="1" ht="18.75" customFormat="1" customHeight="1" s="311"/>
    <row r="661" hidden="1" ht="18.75" customFormat="1" customHeight="1" s="311"/>
    <row r="662" hidden="1" ht="18.75" customFormat="1" customHeight="1" s="311"/>
    <row r="663" hidden="1" ht="18.75" customFormat="1" customHeight="1" s="311"/>
    <row r="664" hidden="1" ht="18.75" customFormat="1" customHeight="1" s="311"/>
    <row r="665" hidden="1" ht="18.75" customFormat="1" customHeight="1" s="311"/>
    <row r="666" hidden="1" ht="18.75" customFormat="1" customHeight="1" s="311"/>
    <row r="667" hidden="1" ht="18.75" customFormat="1" customHeight="1" s="311"/>
    <row r="668" hidden="1" ht="18.75" customFormat="1" customHeight="1" s="311"/>
    <row r="669" hidden="1" ht="18.75" customFormat="1" customHeight="1" s="311"/>
    <row r="670" hidden="1" ht="18.75" customFormat="1" customHeight="1" s="311"/>
    <row r="671" hidden="1" ht="18.75" customFormat="1" customHeight="1" s="311"/>
    <row r="672" hidden="1" ht="18.75" customFormat="1" customHeight="1" s="311"/>
    <row r="673" hidden="1" ht="18.75" customFormat="1" customHeight="1" s="311"/>
    <row r="674" hidden="1" ht="18.75" customFormat="1" customHeight="1" s="311"/>
    <row r="675" hidden="1" ht="18.75" customFormat="1" customHeight="1" s="311"/>
    <row r="676" hidden="1" ht="18.75" customFormat="1" customHeight="1" s="311"/>
    <row r="677" hidden="1" ht="18.75" customFormat="1" customHeight="1" s="311"/>
    <row r="678" hidden="1" ht="18.75" customFormat="1" customHeight="1" s="311"/>
    <row r="679" hidden="1" ht="18.75" customFormat="1" customHeight="1" s="311"/>
    <row r="680" hidden="1" ht="18.75" customFormat="1" customHeight="1" s="311"/>
    <row r="681" hidden="1" ht="18.75" customFormat="1" customHeight="1" s="311"/>
    <row r="682" hidden="1" ht="18.75" customFormat="1" customHeight="1" s="311"/>
    <row r="683" hidden="1" ht="18.75" customFormat="1" customHeight="1" s="311"/>
    <row r="684" hidden="1" ht="18.75" customFormat="1" customHeight="1" s="311"/>
    <row r="685" hidden="1" ht="18.75" customFormat="1" customHeight="1" s="311"/>
    <row r="686" hidden="1" ht="18.75" customFormat="1" customHeight="1" s="311"/>
    <row r="687" hidden="1" ht="18.75" customFormat="1" customHeight="1" s="311"/>
    <row r="688" hidden="1" ht="18.75" customFormat="1" customHeight="1" s="311"/>
    <row r="689" hidden="1" ht="18.75" customFormat="1" customHeight="1" s="311"/>
    <row r="690" hidden="1" ht="18.75" customFormat="1" customHeight="1" s="311"/>
    <row r="691" hidden="1" ht="18.75" customFormat="1" customHeight="1" s="311"/>
    <row r="692" hidden="1" ht="18.75" customFormat="1" customHeight="1" s="311"/>
    <row r="693" hidden="1" ht="18.75" customFormat="1" customHeight="1" s="311"/>
    <row r="694" hidden="1" ht="18.75" customFormat="1" customHeight="1" s="311"/>
    <row r="695" hidden="1" ht="18.75" customFormat="1" customHeight="1" s="311"/>
    <row r="696" hidden="1" ht="18.75" customFormat="1" customHeight="1" s="311"/>
    <row r="697" hidden="1" ht="18.75" customFormat="1" customHeight="1" s="311"/>
    <row r="698" hidden="1" ht="18.75" customFormat="1" customHeight="1" s="311"/>
    <row r="699" hidden="1" ht="18.75" customFormat="1" customHeight="1" s="311"/>
    <row r="700" hidden="1" ht="18.75" customFormat="1" customHeight="1" s="311"/>
    <row r="701" hidden="1" ht="18.75" customFormat="1" customHeight="1" s="311"/>
    <row r="702" hidden="1" ht="18.75" customFormat="1" customHeight="1" s="311"/>
    <row r="703" hidden="1" ht="18.75" customFormat="1" customHeight="1" s="311"/>
    <row r="704" hidden="1" ht="18.75" customFormat="1" customHeight="1" s="311"/>
    <row r="705" hidden="1" ht="18.75" customFormat="1" customHeight="1" s="311"/>
    <row r="706" hidden="1" ht="18.75" customFormat="1" customHeight="1" s="311"/>
    <row r="707" hidden="1" ht="18.75" customFormat="1" customHeight="1" s="311"/>
    <row r="708" hidden="1" ht="18.75" customFormat="1" customHeight="1" s="311"/>
    <row r="709" hidden="1" ht="18.75" customFormat="1" customHeight="1" s="311"/>
    <row r="710" hidden="1" ht="18.75" customFormat="1" customHeight="1" s="311"/>
    <row r="711" hidden="1" ht="18.75" customFormat="1" customHeight="1" s="311"/>
    <row r="712" hidden="1" ht="18.75" customFormat="1" customHeight="1" s="311"/>
    <row r="713" hidden="1" ht="18.75" customFormat="1" customHeight="1" s="311"/>
    <row r="714" hidden="1" ht="18.75" customFormat="1" customHeight="1" s="311"/>
    <row r="715" hidden="1" ht="18.75" customFormat="1" customHeight="1" s="311"/>
    <row r="716" hidden="1" ht="18.75" customFormat="1" customHeight="1" s="311"/>
    <row r="717" hidden="1" ht="18.75" customFormat="1" customHeight="1" s="311"/>
    <row r="718" hidden="1" ht="18.75" customFormat="1" customHeight="1" s="311"/>
    <row r="719" hidden="1" ht="18.75" customFormat="1" customHeight="1" s="311"/>
    <row r="720" hidden="1" ht="18.75" customFormat="1" customHeight="1" s="311"/>
    <row r="721" hidden="1" ht="18.75" customFormat="1" customHeight="1" s="311"/>
    <row r="722" hidden="1" ht="18.75" customFormat="1" customHeight="1" s="311"/>
    <row r="723" hidden="1" ht="18.75" customFormat="1" customHeight="1" s="311"/>
    <row r="724" hidden="1" ht="18.75" customFormat="1" customHeight="1" s="311"/>
    <row r="725" hidden="1" ht="18.75" customFormat="1" customHeight="1" s="311"/>
    <row r="726" hidden="1" ht="18.75" customFormat="1" customHeight="1" s="311"/>
    <row r="727" hidden="1" ht="18.75" customFormat="1" customHeight="1" s="311"/>
    <row r="728" hidden="1" ht="18.75" customFormat="1" customHeight="1" s="311"/>
    <row r="729" hidden="1" ht="18.75" customFormat="1" customHeight="1" s="311"/>
    <row r="730" hidden="1" ht="18.75" customFormat="1" customHeight="1" s="311"/>
    <row r="731" hidden="1" ht="18.75" customFormat="1" customHeight="1" s="311"/>
    <row r="732" hidden="1" ht="18.75" customFormat="1" customHeight="1" s="311"/>
    <row r="733" hidden="1" ht="18.75" customFormat="1" customHeight="1" s="311"/>
    <row r="734" hidden="1" ht="18.75" customFormat="1" customHeight="1" s="311"/>
    <row r="735" hidden="1" ht="18.75" customFormat="1" customHeight="1" s="311"/>
    <row r="736" hidden="1" ht="18.75" customFormat="1" customHeight="1" s="311"/>
    <row r="737" hidden="1" ht="18.75" customFormat="1" customHeight="1" s="311"/>
    <row r="738" hidden="1" ht="18.75" customFormat="1" customHeight="1" s="311"/>
    <row r="739" hidden="1" ht="18.75" customFormat="1" customHeight="1" s="311"/>
    <row r="740" hidden="1" ht="18.75" customFormat="1" customHeight="1" s="311"/>
    <row r="741" hidden="1" ht="18.75" customFormat="1" customHeight="1" s="311"/>
    <row r="742" hidden="1" ht="18.75" customFormat="1" customHeight="1" s="311"/>
    <row r="743" hidden="1" ht="18.75" customFormat="1" customHeight="1" s="311"/>
    <row r="744" hidden="1" ht="18.75" customFormat="1" customHeight="1" s="311"/>
    <row r="745" hidden="1" ht="18.75" customFormat="1" customHeight="1" s="311"/>
    <row r="746" hidden="1" ht="18.75" customFormat="1" customHeight="1" s="311"/>
    <row r="747" hidden="1" ht="18.75" customFormat="1" customHeight="1" s="311"/>
    <row r="748" hidden="1" ht="18.75" customFormat="1" customHeight="1" s="311"/>
    <row r="749" hidden="1" ht="18.75" customFormat="1" customHeight="1" s="311"/>
    <row r="750" hidden="1" ht="18.75" customFormat="1" customHeight="1" s="311"/>
    <row r="751" hidden="1" ht="18.75" customFormat="1" customHeight="1" s="311"/>
    <row r="752" hidden="1" ht="18.75" customFormat="1" customHeight="1" s="311"/>
    <row r="753" hidden="1" ht="18.75" customFormat="1" customHeight="1" s="311"/>
    <row r="754" hidden="1" ht="18.75" customFormat="1" customHeight="1" s="311"/>
    <row r="755" hidden="1" ht="18.75" customFormat="1" customHeight="1" s="311"/>
    <row r="756" hidden="1" ht="18.75" customFormat="1" customHeight="1" s="311"/>
    <row r="757" hidden="1" ht="18.75" customFormat="1" customHeight="1" s="311"/>
    <row r="758" hidden="1" ht="18.75" customFormat="1" customHeight="1" s="311"/>
    <row r="759" hidden="1" ht="18.75" customFormat="1" customHeight="1" s="311"/>
    <row r="760" hidden="1" ht="18.75" customFormat="1" customHeight="1" s="311"/>
    <row r="761" hidden="1" ht="18.75" customFormat="1" customHeight="1" s="311"/>
    <row r="762" hidden="1" ht="18.75" customFormat="1" customHeight="1" s="311"/>
    <row r="763" hidden="1" ht="18.75" customFormat="1" customHeight="1" s="311"/>
    <row r="764" hidden="1" ht="18.75" customFormat="1" customHeight="1" s="311"/>
    <row r="765" hidden="1" ht="18.75" customFormat="1" customHeight="1" s="311"/>
    <row r="766" hidden="1" ht="18.75" customFormat="1" customHeight="1" s="311"/>
    <row r="767" hidden="1" ht="18.75" customFormat="1" customHeight="1" s="311"/>
    <row r="768" hidden="1" ht="18.75" customFormat="1" customHeight="1" s="311"/>
    <row r="769" hidden="1" ht="18.75" customFormat="1" customHeight="1" s="311"/>
    <row r="770" hidden="1" ht="18.75" customFormat="1" customHeight="1" s="311"/>
    <row r="771" hidden="1" ht="18.75" customFormat="1" customHeight="1" s="311"/>
    <row r="772" hidden="1" ht="18.75" customFormat="1" customHeight="1" s="311"/>
    <row r="773" hidden="1" ht="18.75" customFormat="1" customHeight="1" s="311"/>
    <row r="774" hidden="1" ht="18.75" customFormat="1" customHeight="1" s="311"/>
    <row r="775" hidden="1" ht="18.75" customFormat="1" customHeight="1" s="311"/>
    <row r="776" hidden="1" ht="18.75" customFormat="1" customHeight="1" s="311"/>
    <row r="777" hidden="1" ht="18.75" customFormat="1" customHeight="1" s="311"/>
    <row r="778" hidden="1" ht="18.75" customFormat="1" customHeight="1" s="311"/>
    <row r="779" hidden="1" ht="18.75" customFormat="1" customHeight="1" s="311"/>
    <row r="780" hidden="1" ht="18.75" customFormat="1" customHeight="1" s="311"/>
    <row r="781" hidden="1" ht="18.75" customFormat="1" customHeight="1" s="311"/>
    <row r="782" hidden="1" ht="18.75" customFormat="1" customHeight="1" s="311"/>
    <row r="783" hidden="1" ht="18.75" customFormat="1" customHeight="1" s="311"/>
    <row r="784" hidden="1" ht="18.75" customFormat="1" customHeight="1" s="311"/>
    <row r="785" hidden="1" ht="18.75" customFormat="1" customHeight="1" s="311"/>
    <row r="786" hidden="1" ht="18.75" customFormat="1" customHeight="1" s="311"/>
    <row r="787" hidden="1" ht="18.75" customFormat="1" customHeight="1" s="311"/>
    <row r="788" hidden="1" ht="18.75" customFormat="1" customHeight="1" s="311"/>
    <row r="789" hidden="1" ht="18.75" customFormat="1" customHeight="1" s="311"/>
    <row r="790" hidden="1" ht="18.75" customFormat="1" customHeight="1" s="311"/>
    <row r="791" hidden="1" ht="18.75" customFormat="1" customHeight="1" s="311"/>
    <row r="792" hidden="1" ht="18.75" customFormat="1" customHeight="1" s="311"/>
    <row r="793" hidden="1" ht="18.75" customFormat="1" customHeight="1" s="311"/>
    <row r="794" hidden="1" ht="18.75" customFormat="1" customHeight="1" s="311"/>
    <row r="795" hidden="1" ht="18.75" customFormat="1" customHeight="1" s="311"/>
    <row r="796" hidden="1" ht="18.75" customFormat="1" customHeight="1" s="311"/>
    <row r="797" hidden="1" ht="18.75" customFormat="1" customHeight="1" s="311"/>
    <row r="798" hidden="1" ht="18.75" customFormat="1" customHeight="1" s="311"/>
    <row r="799" hidden="1" ht="18.75" customFormat="1" customHeight="1" s="311"/>
    <row r="800" hidden="1" ht="18.75" customFormat="1" customHeight="1" s="311"/>
    <row r="801" hidden="1" ht="18.75" customFormat="1" customHeight="1" s="311"/>
    <row r="802" hidden="1" ht="18.75" customFormat="1" customHeight="1" s="311"/>
    <row r="803" hidden="1" ht="18.75" customFormat="1" customHeight="1" s="311"/>
    <row r="804" hidden="1" ht="18.75" customFormat="1" customHeight="1" s="311"/>
    <row r="805" hidden="1" ht="18.75" customFormat="1" customHeight="1" s="311"/>
    <row r="806" hidden="1" ht="18.75" customFormat="1" customHeight="1" s="311"/>
    <row r="807" hidden="1" ht="18.75" customFormat="1" customHeight="1" s="311"/>
    <row r="808" hidden="1" ht="18.75" customFormat="1" customHeight="1" s="311"/>
    <row r="809" hidden="1" ht="18.75" customFormat="1" customHeight="1" s="311"/>
    <row r="810" hidden="1" ht="18.75" customFormat="1" customHeight="1" s="311"/>
    <row r="811" hidden="1" ht="18.75" customFormat="1" customHeight="1" s="311"/>
    <row r="812" hidden="1" ht="18.75" customFormat="1" customHeight="1" s="311"/>
    <row r="813" hidden="1" ht="18.75" customFormat="1" customHeight="1" s="311"/>
    <row r="814" hidden="1" ht="18.75" customFormat="1" customHeight="1" s="311"/>
    <row r="815" hidden="1" ht="18.75" customFormat="1" customHeight="1" s="311"/>
    <row r="816" hidden="1" ht="18.75" customFormat="1" customHeight="1" s="311"/>
    <row r="817" hidden="1" ht="18.75" customFormat="1" customHeight="1" s="311"/>
    <row r="818" hidden="1" ht="18.75" customFormat="1" customHeight="1" s="311"/>
    <row r="819" hidden="1" ht="18.75" customFormat="1" customHeight="1" s="311"/>
    <row r="820" hidden="1" ht="18.75" customFormat="1" customHeight="1" s="311"/>
    <row r="821" hidden="1" ht="18.75" customFormat="1" customHeight="1" s="311"/>
    <row r="822" hidden="1" ht="18.75" customFormat="1" customHeight="1" s="311"/>
    <row r="823" hidden="1" ht="18.75" customFormat="1" customHeight="1" s="311"/>
    <row r="824" hidden="1" ht="18.75" customFormat="1" customHeight="1" s="311"/>
    <row r="825" hidden="1" ht="18.75" customFormat="1" customHeight="1" s="311"/>
    <row r="826" hidden="1" ht="18.75" customFormat="1" customHeight="1" s="311"/>
    <row r="827" hidden="1" ht="18.75" customFormat="1" customHeight="1" s="311"/>
    <row r="828" hidden="1" ht="18.75" customFormat="1" customHeight="1" s="311"/>
    <row r="829" hidden="1" ht="18.75" customFormat="1" customHeight="1" s="311"/>
    <row r="830" hidden="1" ht="18.75" customFormat="1" customHeight="1" s="311"/>
    <row r="831" hidden="1" ht="18.75" customFormat="1" customHeight="1" s="311"/>
    <row r="832" hidden="1" ht="18.75" customFormat="1" customHeight="1" s="311"/>
    <row r="833" hidden="1" ht="18.75" customFormat="1" customHeight="1" s="311"/>
    <row r="834" hidden="1" ht="18.75" customFormat="1" customHeight="1" s="311"/>
    <row r="835" hidden="1" ht="18.75" customFormat="1" customHeight="1" s="311"/>
    <row r="836" hidden="1" ht="18.75" customFormat="1" customHeight="1" s="311"/>
    <row r="837" hidden="1" ht="18.75" customFormat="1" customHeight="1" s="311"/>
    <row r="838" hidden="1" ht="18.75" customFormat="1" customHeight="1" s="311"/>
    <row r="839" hidden="1" ht="18.75" customFormat="1" customHeight="1" s="311"/>
    <row r="840" hidden="1" ht="18.75" customFormat="1" customHeight="1" s="311"/>
    <row r="841" hidden="1" ht="18.75" customFormat="1" customHeight="1" s="311"/>
    <row r="842" hidden="1" ht="18.75" customFormat="1" customHeight="1" s="311"/>
    <row r="843" hidden="1" ht="18.75" customFormat="1" customHeight="1" s="311"/>
    <row r="844" hidden="1" ht="18.75" customFormat="1" customHeight="1" s="311"/>
    <row r="845" hidden="1" ht="18.75" customFormat="1" customHeight="1" s="311"/>
    <row r="846" hidden="1" ht="18.75" customFormat="1" customHeight="1" s="311"/>
    <row r="847" hidden="1" ht="18.75" customFormat="1" customHeight="1" s="311"/>
    <row r="848" hidden="1" ht="18.75" customFormat="1" customHeight="1" s="311"/>
    <row r="849" hidden="1" ht="18.75" customFormat="1" customHeight="1" s="311"/>
    <row r="850" hidden="1" ht="18.75" customFormat="1" customHeight="1" s="311"/>
    <row r="851" hidden="1" ht="18.75" customFormat="1" customHeight="1" s="311"/>
    <row r="852" hidden="1" ht="18.75" customFormat="1" customHeight="1" s="311"/>
    <row r="853" hidden="1" ht="18.75" customFormat="1" customHeight="1" s="311"/>
    <row r="854" hidden="1" ht="18.75" customFormat="1" customHeight="1" s="311"/>
    <row r="855" hidden="1" ht="18.75" customFormat="1" customHeight="1" s="311"/>
    <row r="856" hidden="1" ht="18.75" customFormat="1" customHeight="1" s="311"/>
    <row r="857" hidden="1" ht="18.75" customFormat="1" customHeight="1" s="311"/>
    <row r="858" hidden="1" ht="18.75" customFormat="1" customHeight="1" s="311"/>
    <row r="859" hidden="1" ht="18.75" customFormat="1" customHeight="1" s="311"/>
    <row r="860" hidden="1" ht="18.75" customFormat="1" customHeight="1" s="311"/>
    <row r="861" hidden="1" ht="18.75" customFormat="1" customHeight="1" s="311"/>
    <row r="862" hidden="1" ht="18.75" customFormat="1" customHeight="1" s="311"/>
    <row r="863" hidden="1" ht="18.75" customFormat="1" customHeight="1" s="311"/>
    <row r="864" hidden="1" ht="18.75" customFormat="1" customHeight="1" s="311"/>
    <row r="865" hidden="1" ht="18.75" customFormat="1" customHeight="1" s="311"/>
    <row r="866" hidden="1" ht="18.75" customFormat="1" customHeight="1" s="311"/>
    <row r="867" hidden="1" ht="18.75" customFormat="1" customHeight="1" s="311"/>
    <row r="868" hidden="1" ht="18.75" customFormat="1" customHeight="1" s="311"/>
    <row r="869" hidden="1" ht="18.75" customFormat="1" customHeight="1" s="311"/>
    <row r="870" hidden="1" ht="18.75" customFormat="1" customHeight="1" s="311"/>
    <row r="871" hidden="1" ht="18.75" customFormat="1" customHeight="1" s="311"/>
    <row r="872" hidden="1" ht="18.75" customFormat="1" customHeight="1" s="311"/>
    <row r="873" hidden="1" ht="18.75" customFormat="1" customHeight="1" s="311"/>
    <row r="874" hidden="1" ht="18.75" customFormat="1" customHeight="1" s="311"/>
    <row r="875" hidden="1" ht="18.75" customFormat="1" customHeight="1" s="311"/>
    <row r="876" hidden="1" ht="18.75" customFormat="1" customHeight="1" s="311"/>
    <row r="877" hidden="1" ht="18.75" customFormat="1" customHeight="1" s="311"/>
    <row r="878" hidden="1" ht="18.75" customFormat="1" customHeight="1" s="311"/>
    <row r="879" hidden="1" ht="18.75" customFormat="1" customHeight="1" s="311"/>
    <row r="880" hidden="1" ht="18.75" customFormat="1" customHeight="1" s="311"/>
    <row r="881" hidden="1" ht="18.75" customFormat="1" customHeight="1" s="311"/>
    <row r="882" hidden="1" ht="18.75" customFormat="1" customHeight="1" s="311"/>
    <row r="883" hidden="1" ht="18.75" customFormat="1" customHeight="1" s="311"/>
    <row r="884" hidden="1" ht="18.75" customFormat="1" customHeight="1" s="311"/>
    <row r="885" hidden="1" ht="18.75" customFormat="1" customHeight="1" s="311"/>
    <row r="886" hidden="1" ht="18.75" customFormat="1" customHeight="1" s="311"/>
    <row r="887" hidden="1" ht="18.75" customFormat="1" customHeight="1" s="311"/>
    <row r="888" hidden="1" ht="18.75" customFormat="1" customHeight="1" s="311"/>
    <row r="889" hidden="1" ht="18.75" customFormat="1" customHeight="1" s="311"/>
    <row r="890" hidden="1" ht="18.75" customFormat="1" customHeight="1" s="311"/>
    <row r="891" hidden="1" ht="18.75" customFormat="1" customHeight="1" s="311"/>
    <row r="892" hidden="1" ht="18.75" customFormat="1" customHeight="1" s="311"/>
    <row r="893" hidden="1" ht="18.75" customFormat="1" customHeight="1" s="311"/>
    <row r="894" hidden="1" ht="18.75" customFormat="1" customHeight="1" s="311"/>
    <row r="895" hidden="1" ht="18.75" customFormat="1" customHeight="1" s="311"/>
    <row r="896" hidden="1" ht="18.75" customFormat="1" customHeight="1" s="311"/>
    <row r="897" hidden="1" ht="18.75" customFormat="1" customHeight="1" s="311"/>
    <row r="898" hidden="1" ht="18.75" customFormat="1" customHeight="1" s="311"/>
    <row r="899" hidden="1" ht="18.75" customFormat="1" customHeight="1" s="311"/>
    <row r="900" hidden="1" ht="18.75" customFormat="1" customHeight="1" s="311"/>
    <row r="901" hidden="1" ht="18.75" customFormat="1" customHeight="1" s="311"/>
    <row r="902" hidden="1" ht="18.75" customFormat="1" customHeight="1" s="311"/>
    <row r="903" hidden="1" ht="18.75" customFormat="1" customHeight="1" s="311"/>
    <row r="904" hidden="1" ht="18.75" customFormat="1" customHeight="1" s="311"/>
    <row r="905" hidden="1" ht="18.75" customFormat="1" customHeight="1" s="311"/>
    <row r="906" hidden="1" ht="18.75" customFormat="1" customHeight="1" s="311"/>
    <row r="907" hidden="1" ht="18.75" customFormat="1" customHeight="1" s="311"/>
    <row r="908" hidden="1" ht="18.75" customFormat="1" customHeight="1" s="311"/>
    <row r="909" hidden="1" ht="18.75" customFormat="1" customHeight="1" s="311"/>
    <row r="910" hidden="1" ht="18.75" customFormat="1" customHeight="1" s="311"/>
    <row r="911" hidden="1" ht="18.75" customFormat="1" customHeight="1" s="311"/>
    <row r="912" hidden="1" ht="18.75" customFormat="1" customHeight="1" s="311"/>
    <row r="913" hidden="1" ht="18.75" customFormat="1" customHeight="1" s="311"/>
    <row r="914" hidden="1" ht="18.75" customFormat="1" customHeight="1" s="311"/>
    <row r="915" hidden="1" ht="18.75" customFormat="1" customHeight="1" s="311"/>
    <row r="916" hidden="1" ht="18.75" customFormat="1" customHeight="1" s="311"/>
    <row r="917" hidden="1" ht="18.75" customFormat="1" customHeight="1" s="311"/>
    <row r="918" hidden="1" ht="18.75" customFormat="1" customHeight="1" s="311"/>
    <row r="919" hidden="1" ht="18.75" customFormat="1" customHeight="1" s="311"/>
    <row r="920" hidden="1" ht="18.75" customFormat="1" customHeight="1" s="311"/>
    <row r="921" hidden="1" ht="18.75" customFormat="1" customHeight="1" s="311"/>
    <row r="922" hidden="1" ht="18.75" customFormat="1" customHeight="1" s="311"/>
    <row r="923" hidden="1" ht="18.75" customFormat="1" customHeight="1" s="311"/>
    <row r="924" hidden="1" ht="18.75" customFormat="1" customHeight="1" s="311"/>
    <row r="925" hidden="1" ht="18.75" customFormat="1" customHeight="1" s="311"/>
    <row r="926" hidden="1" ht="18.75" customFormat="1" customHeight="1" s="311"/>
    <row r="927" hidden="1" ht="18.75" customFormat="1" customHeight="1" s="311"/>
    <row r="928" hidden="1" ht="18.75" customFormat="1" customHeight="1" s="311"/>
    <row r="929" hidden="1" ht="18.75" customFormat="1" customHeight="1" s="311"/>
    <row r="930" hidden="1" ht="18.75" customFormat="1" customHeight="1" s="311"/>
    <row r="931" hidden="1" ht="18.75" customFormat="1" customHeight="1" s="311"/>
    <row r="932" hidden="1" ht="18.75" customFormat="1" customHeight="1" s="311"/>
    <row r="933" hidden="1" ht="18.75" customFormat="1" customHeight="1" s="311"/>
    <row r="934" hidden="1" ht="18.75" customFormat="1" customHeight="1" s="311"/>
    <row r="935" hidden="1" ht="18.75" customFormat="1" customHeight="1" s="311"/>
    <row r="936" hidden="1" ht="18.75" customFormat="1" customHeight="1" s="311"/>
    <row r="937" hidden="1" ht="18.75" customFormat="1" customHeight="1" s="311"/>
    <row r="938" hidden="1" ht="18.75" customFormat="1" customHeight="1" s="311"/>
    <row r="939" hidden="1" ht="18.75" customFormat="1" customHeight="1" s="311"/>
    <row r="940" hidden="1" ht="18.75" customFormat="1" customHeight="1" s="311"/>
    <row r="941" hidden="1" ht="18.75" customFormat="1" customHeight="1" s="311"/>
    <row r="942" hidden="1" ht="18.75" customFormat="1" customHeight="1" s="311"/>
    <row r="943" hidden="1" ht="18.75" customFormat="1" customHeight="1" s="311"/>
    <row r="944" hidden="1" ht="18.75" customFormat="1" customHeight="1" s="311"/>
    <row r="945" hidden="1" ht="18.75" customFormat="1" customHeight="1" s="311"/>
    <row r="946" hidden="1" ht="18.75" customFormat="1" customHeight="1" s="311"/>
    <row r="947" hidden="1" ht="18.75" customFormat="1" customHeight="1" s="311"/>
    <row r="948" hidden="1" ht="18.75" customFormat="1" customHeight="1" s="311"/>
    <row r="949" hidden="1" ht="18.75" customFormat="1" customHeight="1" s="311"/>
    <row r="950" hidden="1" ht="18.75" customFormat="1" customHeight="1" s="311"/>
    <row r="951" hidden="1" ht="18.75" customFormat="1" customHeight="1" s="311"/>
    <row r="952" hidden="1" ht="18.75" customFormat="1" customHeight="1" s="311"/>
    <row r="953" hidden="1" ht="18.75" customFormat="1" customHeight="1" s="311"/>
    <row r="954" hidden="1" ht="18.75" customFormat="1" customHeight="1" s="311"/>
    <row r="955" hidden="1" ht="18.75" customFormat="1" customHeight="1" s="311"/>
    <row r="956" hidden="1" ht="18.75" customFormat="1" customHeight="1" s="311"/>
    <row r="957" hidden="1" ht="18.75" customFormat="1" customHeight="1" s="311"/>
    <row r="958" hidden="1" ht="18.75" customFormat="1" customHeight="1" s="311"/>
    <row r="959" hidden="1" ht="18.75" customFormat="1" customHeight="1" s="311"/>
    <row r="960" hidden="1" ht="18.75" customFormat="1" customHeight="1" s="311"/>
    <row r="961" hidden="1" ht="18.75" customFormat="1" customHeight="1" s="311"/>
    <row r="962" hidden="1" ht="18.75" customFormat="1" customHeight="1" s="311"/>
    <row r="963" hidden="1" ht="18.75" customFormat="1" customHeight="1" s="311"/>
    <row r="964" hidden="1" ht="18.75" customFormat="1" customHeight="1" s="311"/>
    <row r="965" hidden="1" ht="18.75" customFormat="1" customHeight="1" s="311"/>
    <row r="966" hidden="1" ht="18.75" customFormat="1" customHeight="1" s="311"/>
    <row r="967" hidden="1" ht="18.75" customFormat="1" customHeight="1" s="311"/>
    <row r="968" hidden="1" ht="18.75" customFormat="1" customHeight="1" s="311"/>
    <row r="969" hidden="1" ht="18.75" customFormat="1" customHeight="1" s="311"/>
    <row r="970" hidden="1" ht="18.75" customFormat="1" customHeight="1" s="311"/>
    <row r="971" hidden="1" ht="18.75" customFormat="1" customHeight="1" s="311"/>
    <row r="972" hidden="1" ht="18.75" customFormat="1" customHeight="1" s="311"/>
    <row r="973" hidden="1" ht="18.75" customFormat="1" customHeight="1" s="311"/>
    <row r="974" hidden="1" ht="18.75" customFormat="1" customHeight="1" s="311"/>
    <row r="975" hidden="1" ht="18.75" customFormat="1" customHeight="1" s="311"/>
    <row r="976" hidden="1" ht="18.75" customFormat="1" customHeight="1" s="311"/>
    <row r="977" hidden="1" ht="18.75" customFormat="1" customHeight="1" s="311"/>
    <row r="978" hidden="1" ht="18.75" customFormat="1" customHeight="1" s="311"/>
    <row r="979" hidden="1" ht="18.75" customFormat="1" customHeight="1" s="311"/>
    <row r="980" hidden="1" ht="18.75" customFormat="1" customHeight="1" s="311"/>
    <row r="981" hidden="1" ht="18.75" customFormat="1" customHeight="1" s="311"/>
    <row r="982" hidden="1" ht="18.75" customFormat="1" customHeight="1" s="311"/>
    <row r="983" hidden="1" ht="18.75" customFormat="1" customHeight="1" s="311"/>
    <row r="984" hidden="1" ht="18.75" customFormat="1" customHeight="1" s="311"/>
    <row r="985" hidden="1" ht="18.75" customFormat="1" customHeight="1" s="311"/>
    <row r="986" hidden="1" ht="18.75" customFormat="1" customHeight="1" s="311"/>
    <row r="987" hidden="1" ht="18.75" customFormat="1" customHeight="1" s="311"/>
    <row r="988" hidden="1" ht="18.75" customFormat="1" customHeight="1" s="311"/>
    <row r="989" hidden="1" ht="18.75" customFormat="1" customHeight="1" s="311"/>
    <row r="990" hidden="1" ht="18.75" customFormat="1" customHeight="1" s="311"/>
    <row r="991" hidden="1" ht="18.75" customFormat="1" customHeight="1" s="311"/>
    <row r="992" hidden="1" ht="18.75" customFormat="1" customHeight="1" s="311"/>
    <row r="993" hidden="1" ht="18.75" customFormat="1" customHeight="1" s="311"/>
    <row r="994" hidden="1" ht="18.75" customFormat="1" customHeight="1" s="311"/>
    <row r="995" hidden="1" ht="18.75" customFormat="1" customHeight="1" s="311"/>
    <row r="996" hidden="1" ht="18.75" customFormat="1" customHeight="1" s="311"/>
    <row r="997" hidden="1" ht="18.75" customFormat="1" customHeight="1" s="311"/>
    <row r="998" hidden="1" ht="18.75" customFormat="1" customHeight="1" s="311"/>
    <row r="999" hidden="1" ht="18.75" customFormat="1" customHeight="1" s="311"/>
    <row r="1000" hidden="1" ht="18.75" customFormat="1" customHeight="1" s="311"/>
    <row r="1001" hidden="1" ht="18.75" customFormat="1" customHeight="1" s="311"/>
    <row r="1002" hidden="1" ht="18.75" customFormat="1" customHeight="1" s="311"/>
    <row r="1003" hidden="1" ht="18.75" customFormat="1" customHeight="1" s="311"/>
    <row r="1004" hidden="1" ht="18.75" customFormat="1" customHeight="1" s="311"/>
    <row r="1005" hidden="1" ht="18.75" customFormat="1" customHeight="1" s="311"/>
    <row r="1006" hidden="1" ht="18.75" customFormat="1" customHeight="1" s="311"/>
    <row r="1007" hidden="1" ht="18.75" customFormat="1" customHeight="1" s="311"/>
    <row r="1008" hidden="1" ht="18.75" customFormat="1" customHeight="1" s="311"/>
    <row r="1009" hidden="1" ht="18.75" customFormat="1" customHeight="1" s="311"/>
    <row r="1010" hidden="1" ht="18.75" customFormat="1" customHeight="1" s="311"/>
    <row r="1011" hidden="1" ht="18.75" customFormat="1" customHeight="1" s="311"/>
    <row r="1012" hidden="1" ht="18.75" customFormat="1" customHeight="1" s="311"/>
    <row r="1013" hidden="1" ht="18.75" customFormat="1" customHeight="1" s="311"/>
    <row r="1014" hidden="1" ht="18.75" customFormat="1" customHeight="1" s="311"/>
    <row r="1015" hidden="1" ht="18.75" customFormat="1" customHeight="1" s="311"/>
    <row r="1016" hidden="1" ht="18.75" customFormat="1" customHeight="1" s="311"/>
    <row r="1017" hidden="1" ht="18.75" customFormat="1" customHeight="1" s="311"/>
    <row r="1018" hidden="1" ht="18.75" customFormat="1" customHeight="1" s="311"/>
    <row r="1019" hidden="1" ht="18.75" customFormat="1" customHeight="1" s="311"/>
    <row r="1020" hidden="1" ht="18.75" customFormat="1" customHeight="1" s="311"/>
    <row r="1021" hidden="1" ht="18.75" customFormat="1" customHeight="1" s="311"/>
    <row r="1022" hidden="1" ht="18.75" customFormat="1" customHeight="1" s="311"/>
    <row r="1023" hidden="1" ht="18.75" customFormat="1" customHeight="1" s="311"/>
    <row r="1024" hidden="1" ht="18.75" customFormat="1" customHeight="1" s="311"/>
    <row r="1025" hidden="1" ht="18.75" customFormat="1" customHeight="1" s="311"/>
    <row r="1026" hidden="1" ht="18.75" customFormat="1" customHeight="1" s="311"/>
    <row r="1027" hidden="1" ht="18.75" customFormat="1" customHeight="1" s="311"/>
    <row r="1028" hidden="1" ht="18.75" customFormat="1" customHeight="1" s="311"/>
    <row r="1029" hidden="1" ht="18.75" customFormat="1" customHeight="1" s="311"/>
    <row r="1030" hidden="1" ht="18.75" customFormat="1" customHeight="1" s="311"/>
    <row r="1031" hidden="1" ht="18.75" customFormat="1" customHeight="1" s="311"/>
    <row r="1032" hidden="1" ht="18.75" customFormat="1" customHeight="1" s="311"/>
    <row r="1033" hidden="1" ht="18.75" customFormat="1" customHeight="1" s="311"/>
    <row r="1034" hidden="1" ht="18.75" customFormat="1" customHeight="1" s="311"/>
    <row r="1035" hidden="1" ht="18.75" customFormat="1" customHeight="1" s="311"/>
    <row r="1036" hidden="1" ht="18.75" customFormat="1" customHeight="1" s="311"/>
    <row r="1037" hidden="1" ht="18.75" customFormat="1" customHeight="1" s="311"/>
    <row r="1038" hidden="1" ht="18.75" customFormat="1" customHeight="1" s="311"/>
    <row r="1039" hidden="1" ht="18.75" customFormat="1" customHeight="1" s="311"/>
    <row r="1040" hidden="1" ht="18.75" customFormat="1" customHeight="1" s="311"/>
    <row r="1041" hidden="1" ht="18.75" customFormat="1" customHeight="1" s="311"/>
    <row r="1042" hidden="1" ht="18.75" customFormat="1" customHeight="1" s="311"/>
    <row r="1043" hidden="1" ht="18.75" customFormat="1" customHeight="1" s="311"/>
    <row r="1044" hidden="1" ht="18.75" customFormat="1" customHeight="1" s="311"/>
    <row r="1045" hidden="1" ht="18.75" customFormat="1" customHeight="1" s="311"/>
    <row r="1046" hidden="1" ht="18.75" customFormat="1" customHeight="1" s="311"/>
    <row r="1047" hidden="1" ht="18.75" customFormat="1" customHeight="1" s="311"/>
    <row r="1048" hidden="1" ht="18.75" customFormat="1" customHeight="1" s="311"/>
    <row r="1049" hidden="1" ht="18.75" customFormat="1" customHeight="1" s="311"/>
    <row r="1050" hidden="1" ht="18.75" customFormat="1" customHeight="1" s="311"/>
    <row r="1051" hidden="1" ht="18.75" customFormat="1" customHeight="1" s="311"/>
    <row r="1052" hidden="1" ht="18.75" customFormat="1" customHeight="1" s="311"/>
    <row r="1053" hidden="1" ht="18.75" customFormat="1" customHeight="1" s="311"/>
    <row r="1054" hidden="1" ht="18.75" customFormat="1" customHeight="1" s="311"/>
    <row r="1055" hidden="1" ht="18.75" customFormat="1" customHeight="1" s="311"/>
    <row r="1056" hidden="1" ht="18.75" customFormat="1" customHeight="1" s="311"/>
    <row r="1057" hidden="1" ht="18.75" customFormat="1" customHeight="1" s="311"/>
    <row r="1058" hidden="1" ht="18.75" customFormat="1" customHeight="1" s="311"/>
    <row r="1059" hidden="1" ht="18.75" customFormat="1" customHeight="1" s="311"/>
    <row r="1060" hidden="1" ht="18.75" customFormat="1" customHeight="1" s="311"/>
    <row r="1061" hidden="1" ht="18.75" customFormat="1" customHeight="1" s="311"/>
    <row r="1062" hidden="1" ht="18.75" customFormat="1" customHeight="1" s="311"/>
    <row r="1063" hidden="1" ht="18.75" customFormat="1" customHeight="1" s="311"/>
    <row r="1064" hidden="1" ht="18.75" customFormat="1" customHeight="1" s="311"/>
    <row r="1065" hidden="1" ht="18.75" customFormat="1" customHeight="1" s="311"/>
    <row r="1066" hidden="1" ht="18.75" customFormat="1" customHeight="1" s="311"/>
    <row r="1067" hidden="1" ht="18.75" customFormat="1" customHeight="1" s="311"/>
    <row r="1068" hidden="1" ht="18.75" customFormat="1" customHeight="1" s="311"/>
    <row r="1069" hidden="1" ht="18.75" customFormat="1" customHeight="1" s="311"/>
    <row r="1070" hidden="1" ht="18.75" customFormat="1" customHeight="1" s="311"/>
    <row r="1071" hidden="1" ht="18.75" customFormat="1" customHeight="1" s="311"/>
    <row r="1072" hidden="1" ht="18.75" customFormat="1" customHeight="1" s="311"/>
    <row r="1073" hidden="1" ht="18.75" customFormat="1" customHeight="1" s="311"/>
    <row r="1074" hidden="1" ht="18.75" customFormat="1" customHeight="1" s="311"/>
    <row r="1075" hidden="1" ht="18.75" customFormat="1" customHeight="1" s="311"/>
    <row r="1076" hidden="1" ht="18.75" customFormat="1" customHeight="1" s="311"/>
    <row r="1077" hidden="1" ht="18.75" customFormat="1" customHeight="1" s="311"/>
    <row r="1078" hidden="1" ht="18.75" customFormat="1" customHeight="1" s="311"/>
    <row r="1079" hidden="1" ht="18.75" customFormat="1" customHeight="1" s="311"/>
    <row r="1080" hidden="1" ht="18.75" customFormat="1" customHeight="1" s="311"/>
    <row r="1081" hidden="1" ht="18.75" customFormat="1" customHeight="1" s="311"/>
    <row r="1082" hidden="1" ht="18.75" customFormat="1" customHeight="1" s="311"/>
    <row r="1083" hidden="1" ht="18.75" customFormat="1" customHeight="1" s="311"/>
    <row r="1084" hidden="1" ht="18.75" customFormat="1" customHeight="1" s="311"/>
    <row r="1085" hidden="1" ht="18.75" customFormat="1" customHeight="1" s="311"/>
    <row r="1086" hidden="1" ht="18.75" customFormat="1" customHeight="1" s="311"/>
    <row r="1087" hidden="1" ht="18.75" customFormat="1" customHeight="1" s="311"/>
    <row r="1088" hidden="1" ht="18.75" customFormat="1" customHeight="1" s="311"/>
    <row r="1089" hidden="1" ht="18.75" customFormat="1" customHeight="1" s="311"/>
    <row r="1090" hidden="1" ht="18.75" customFormat="1" customHeight="1" s="311"/>
    <row r="1091" hidden="1" ht="18.75" customFormat="1" customHeight="1" s="311"/>
    <row r="1092" hidden="1" ht="18.75" customFormat="1" customHeight="1" s="311"/>
    <row r="1093" hidden="1" ht="18.75" customFormat="1" customHeight="1" s="311"/>
    <row r="1094" hidden="1" ht="18.75" customFormat="1" customHeight="1" s="311"/>
    <row r="1095" hidden="1" ht="18.75" customFormat="1" customHeight="1" s="311"/>
    <row r="1096" hidden="1" ht="18.75" customFormat="1" customHeight="1" s="311"/>
    <row r="1097" hidden="1" ht="18.75" customFormat="1" customHeight="1" s="311"/>
    <row r="1098" hidden="1" ht="18.75" customFormat="1" customHeight="1" s="311"/>
    <row r="1099" hidden="1" ht="18.75" customFormat="1" customHeight="1" s="311"/>
    <row r="1100" hidden="1" ht="18.75" customFormat="1" customHeight="1" s="311"/>
    <row r="1101" hidden="1" ht="18.75" customFormat="1" customHeight="1" s="311"/>
    <row r="1102" hidden="1" ht="18.75" customFormat="1" customHeight="1" s="311"/>
    <row r="1103" hidden="1" ht="18.75" customFormat="1" customHeight="1" s="311"/>
    <row r="1104" hidden="1" ht="18.75" customFormat="1" customHeight="1" s="311"/>
    <row r="1105" hidden="1" ht="18.75" customFormat="1" customHeight="1" s="311"/>
    <row r="1106" hidden="1" ht="18.75" customFormat="1" customHeight="1" s="311"/>
    <row r="1107" hidden="1" ht="18.75" customFormat="1" customHeight="1" s="311"/>
    <row r="1108" hidden="1" ht="18.75" customFormat="1" customHeight="1" s="311"/>
    <row r="1109" hidden="1" ht="18.75" customFormat="1" customHeight="1" s="311"/>
    <row r="1110" hidden="1" ht="18.75" customFormat="1" customHeight="1" s="311"/>
    <row r="1111" hidden="1" ht="18.75" customFormat="1" customHeight="1" s="311"/>
    <row r="1112" hidden="1" ht="18.75" customFormat="1" customHeight="1" s="311"/>
    <row r="1113" hidden="1" ht="18.75" customFormat="1" customHeight="1" s="311"/>
    <row r="1114" hidden="1" ht="18.75" customFormat="1" customHeight="1" s="311"/>
    <row r="1115" hidden="1" ht="18.75" customFormat="1" customHeight="1" s="311"/>
    <row r="1116" hidden="1" ht="18.75" customFormat="1" customHeight="1" s="311"/>
    <row r="1117" hidden="1" ht="18.75" customFormat="1" customHeight="1" s="311"/>
    <row r="1118" hidden="1" ht="18.75" customFormat="1" customHeight="1" s="311"/>
    <row r="1119" hidden="1" ht="18.75" customFormat="1" customHeight="1" s="311"/>
    <row r="1120" hidden="1" ht="18.75" customFormat="1" customHeight="1" s="311"/>
    <row r="1121" hidden="1" ht="18.75" customFormat="1" customHeight="1" s="311"/>
    <row r="1122" hidden="1" ht="18.75" customFormat="1" customHeight="1" s="311"/>
    <row r="1123" hidden="1" ht="18.75" customFormat="1" customHeight="1" s="311"/>
    <row r="1124" hidden="1" ht="18.75" customFormat="1" customHeight="1" s="311"/>
    <row r="1125" hidden="1" ht="18.75" customFormat="1" customHeight="1" s="311"/>
    <row r="1126" hidden="1" ht="18.75" customFormat="1" customHeight="1" s="311"/>
    <row r="1127" hidden="1" ht="18.75" customFormat="1" customHeight="1" s="311"/>
    <row r="1128" hidden="1" ht="18.75" customFormat="1" customHeight="1" s="311"/>
    <row r="1129" hidden="1" ht="18.75" customFormat="1" customHeight="1" s="311"/>
    <row r="1130" hidden="1" ht="18.75" customFormat="1" customHeight="1" s="311"/>
    <row r="1131" hidden="1" ht="18.75" customFormat="1" customHeight="1" s="311"/>
    <row r="1132" hidden="1" ht="18.75" customFormat="1" customHeight="1" s="311"/>
    <row r="1133" hidden="1" ht="18.75" customFormat="1" customHeight="1" s="311"/>
    <row r="1134" hidden="1" ht="18.75" customFormat="1" customHeight="1" s="311"/>
    <row r="1135" hidden="1" ht="18.75" customFormat="1" customHeight="1" s="311"/>
    <row r="1136" hidden="1" ht="18.75" customFormat="1" customHeight="1" s="311"/>
    <row r="1137" hidden="1" ht="18.75" customFormat="1" customHeight="1" s="311"/>
    <row r="1138" hidden="1" ht="18.75" customFormat="1" customHeight="1" s="311"/>
    <row r="1139" hidden="1" ht="18.75" customFormat="1" customHeight="1" s="311"/>
    <row r="1140" hidden="1" ht="18.75" customFormat="1" customHeight="1" s="311"/>
    <row r="1141" hidden="1" ht="18.75" customFormat="1" customHeight="1" s="311"/>
    <row r="1142" hidden="1" ht="18.75" customFormat="1" customHeight="1" s="311"/>
    <row r="1143" hidden="1" ht="18.75" customFormat="1" customHeight="1" s="311"/>
    <row r="1144" hidden="1" ht="18.75" customFormat="1" customHeight="1" s="311"/>
    <row r="1145" hidden="1" ht="18.75" customFormat="1" customHeight="1" s="311"/>
    <row r="1146" hidden="1" ht="18.75" customFormat="1" customHeight="1" s="311"/>
    <row r="1147" hidden="1" ht="18.75" customFormat="1" customHeight="1" s="311"/>
    <row r="1148" hidden="1" ht="18.75" customFormat="1" customHeight="1" s="311"/>
    <row r="1149" hidden="1" ht="18.75" customFormat="1" customHeight="1" s="311"/>
    <row r="1150" hidden="1" ht="18.75" customFormat="1" customHeight="1" s="311"/>
    <row r="1151" hidden="1" ht="18.75" customFormat="1" customHeight="1" s="311"/>
    <row r="1152" hidden="1" ht="18.75" customFormat="1" customHeight="1" s="311"/>
    <row r="1153" hidden="1" ht="18.75" customFormat="1" customHeight="1" s="311"/>
    <row r="1154" hidden="1" ht="18.75" customFormat="1" customHeight="1" s="311"/>
    <row r="1155" hidden="1" ht="18.75" customFormat="1" customHeight="1" s="311"/>
    <row r="1156" hidden="1" ht="18.75" customFormat="1" customHeight="1" s="311"/>
    <row r="1157" hidden="1" ht="18.75" customFormat="1" customHeight="1" s="311"/>
    <row r="1158" hidden="1" ht="18.75" customFormat="1" customHeight="1" s="311"/>
    <row r="1159" hidden="1" ht="18.75" customFormat="1" customHeight="1" s="311"/>
    <row r="1160" hidden="1" ht="18.75" customFormat="1" customHeight="1" s="311"/>
    <row r="1161" hidden="1" ht="18.75" customFormat="1" customHeight="1" s="311"/>
    <row r="1162" hidden="1" ht="18.75" customFormat="1" customHeight="1" s="311"/>
    <row r="1163" hidden="1" ht="18.75" customFormat="1" customHeight="1" s="311"/>
    <row r="1164" hidden="1" ht="18.75" customFormat="1" customHeight="1" s="311"/>
    <row r="1165" hidden="1" ht="18.75" customFormat="1" customHeight="1" s="311"/>
    <row r="1166" hidden="1" ht="18.75" customFormat="1" customHeight="1" s="311"/>
    <row r="1167" hidden="1" ht="18.75" customFormat="1" customHeight="1" s="311"/>
    <row r="1168" hidden="1" ht="18.75" customFormat="1" customHeight="1" s="311"/>
    <row r="1169" hidden="1" ht="18.75" customFormat="1" customHeight="1" s="311"/>
    <row r="1170" hidden="1" ht="18.75" customFormat="1" customHeight="1" s="311"/>
    <row r="1171" hidden="1" ht="18.75" customFormat="1" customHeight="1" s="311"/>
    <row r="1172" hidden="1" ht="18.75" customFormat="1" customHeight="1" s="311"/>
    <row r="1173" hidden="1" ht="18.75" customFormat="1" customHeight="1" s="311"/>
    <row r="1174" hidden="1" ht="18.75" customFormat="1" customHeight="1" s="311"/>
    <row r="1175" hidden="1" ht="18.75" customFormat="1" customHeight="1" s="311"/>
    <row r="1176" hidden="1" ht="18.75" customFormat="1" customHeight="1" s="311"/>
    <row r="1177" hidden="1" ht="18.75" customFormat="1" customHeight="1" s="311"/>
    <row r="1178" hidden="1" ht="18.75" customFormat="1" customHeight="1" s="311"/>
    <row r="1179" hidden="1" ht="18.75" customFormat="1" customHeight="1" s="311"/>
    <row r="1180" hidden="1" ht="18.75" customFormat="1" customHeight="1" s="311"/>
    <row r="1181" hidden="1" ht="18.75" customFormat="1" customHeight="1" s="311"/>
    <row r="1182" hidden="1" ht="18.75" customFormat="1" customHeight="1" s="311"/>
    <row r="1183" hidden="1" ht="18.75" customFormat="1" customHeight="1" s="311"/>
    <row r="1184" hidden="1" ht="18.75" customFormat="1" customHeight="1" s="311"/>
    <row r="1185" hidden="1" ht="18.75" customFormat="1" customHeight="1" s="311"/>
    <row r="1186" hidden="1" ht="18.75" customFormat="1" customHeight="1" s="311"/>
    <row r="1187" hidden="1" ht="18.75" customFormat="1" customHeight="1" s="311"/>
    <row r="1188" hidden="1" ht="18.75" customFormat="1" customHeight="1" s="311"/>
    <row r="1189" hidden="1" ht="18.75" customFormat="1" customHeight="1" s="311"/>
    <row r="1190" hidden="1" ht="18.75" customFormat="1" customHeight="1" s="311"/>
    <row r="1191" hidden="1" ht="18.75" customFormat="1" customHeight="1" s="311"/>
    <row r="1192" hidden="1" ht="18.75" customFormat="1" customHeight="1" s="311"/>
    <row r="1193" hidden="1" ht="18.75" customFormat="1" customHeight="1" s="311"/>
    <row r="1194" hidden="1" ht="18.75" customFormat="1" customHeight="1" s="311"/>
    <row r="1195" hidden="1" ht="18.75" customFormat="1" customHeight="1" s="311"/>
    <row r="1196" hidden="1" ht="18.75" customFormat="1" customHeight="1" s="311"/>
    <row r="1197" hidden="1" ht="18.75" customFormat="1" customHeight="1" s="311"/>
    <row r="1198" hidden="1" ht="18.75" customFormat="1" customHeight="1" s="311"/>
    <row r="1199" hidden="1" ht="18.75" customFormat="1" customHeight="1" s="311"/>
    <row r="1200" hidden="1" ht="18.75" customFormat="1" customHeight="1" s="311"/>
    <row r="1201" hidden="1" ht="18.75" customFormat="1" customHeight="1" s="311"/>
    <row r="1202" hidden="1" ht="18.75" customFormat="1" customHeight="1" s="311"/>
    <row r="1203" hidden="1" ht="18.75" customFormat="1" customHeight="1" s="311"/>
    <row r="1204" hidden="1" ht="18.75" customFormat="1" customHeight="1" s="311"/>
    <row r="1205" hidden="1" ht="18.75" customFormat="1" customHeight="1" s="311"/>
    <row r="1206" hidden="1" ht="18.75" customFormat="1" customHeight="1" s="311"/>
    <row r="1207" hidden="1" ht="18.75" customFormat="1" customHeight="1" s="311"/>
    <row r="1208" hidden="1" ht="18.75" customFormat="1" customHeight="1" s="311"/>
    <row r="1209" hidden="1" ht="18.75" customFormat="1" customHeight="1" s="311"/>
    <row r="1210" hidden="1" ht="18.75" customFormat="1" customHeight="1" s="311"/>
    <row r="1211" hidden="1" ht="18.75" customFormat="1" customHeight="1" s="311"/>
    <row r="1212" hidden="1" ht="18.75" customFormat="1" customHeight="1" s="311"/>
    <row r="1213" hidden="1" ht="18.75" customFormat="1" customHeight="1" s="311"/>
    <row r="1214" hidden="1" ht="18.75" customFormat="1" customHeight="1" s="311"/>
    <row r="1215" hidden="1" ht="18.75" customFormat="1" customHeight="1" s="311"/>
    <row r="1216" hidden="1" ht="18.75" customFormat="1" customHeight="1" s="311"/>
    <row r="1217" hidden="1" ht="18.75" customFormat="1" customHeight="1" s="311"/>
    <row r="1218" hidden="1" ht="18.75" customFormat="1" customHeight="1" s="311"/>
    <row r="1219" hidden="1" ht="18.75" customFormat="1" customHeight="1" s="311"/>
    <row r="1220" hidden="1" ht="18.75" customFormat="1" customHeight="1" s="311"/>
    <row r="1221" hidden="1" ht="18.75" customFormat="1" customHeight="1" s="311"/>
    <row r="1222" hidden="1" ht="18.75" customFormat="1" customHeight="1" s="311"/>
    <row r="1223" hidden="1" ht="18.75" customFormat="1" customHeight="1" s="311"/>
    <row r="1224" hidden="1" ht="18.75" customFormat="1" customHeight="1" s="311"/>
    <row r="1225" hidden="1" ht="18.75" customFormat="1" customHeight="1" s="311"/>
    <row r="1226" hidden="1" ht="18.75" customFormat="1" customHeight="1" s="311"/>
    <row r="1227" hidden="1" ht="18.75" customFormat="1" customHeight="1" s="311"/>
    <row r="1228" hidden="1" ht="18.75" customFormat="1" customHeight="1" s="311"/>
    <row r="1229" hidden="1" ht="18.75" customFormat="1" customHeight="1" s="311"/>
    <row r="1230" hidden="1" ht="18.75" customFormat="1" customHeight="1" s="311"/>
    <row r="1231" hidden="1" ht="18.75" customFormat="1" customHeight="1" s="311"/>
    <row r="1232" hidden="1" ht="18.75" customFormat="1" customHeight="1" s="311"/>
    <row r="1233" hidden="1" ht="18.75" customFormat="1" customHeight="1" s="311"/>
    <row r="1234" hidden="1" ht="18.75" customFormat="1" customHeight="1" s="311"/>
    <row r="1235" hidden="1" ht="18.75" customFormat="1" customHeight="1" s="311"/>
    <row r="1236" hidden="1" ht="18.75" customFormat="1" customHeight="1" s="311"/>
    <row r="1237" hidden="1" ht="18.75" customFormat="1" customHeight="1" s="311"/>
    <row r="1238" hidden="1" ht="18.75" customFormat="1" customHeight="1" s="311"/>
    <row r="1239" hidden="1" ht="18.75" customFormat="1" customHeight="1" s="311"/>
    <row r="1240" hidden="1" ht="18.75" customFormat="1" customHeight="1" s="311"/>
    <row r="1241" hidden="1" ht="18.75" customFormat="1" customHeight="1" s="311"/>
    <row r="1242" hidden="1" ht="18.75" customFormat="1" customHeight="1" s="311"/>
    <row r="1243" hidden="1" ht="18.75" customFormat="1" customHeight="1" s="311"/>
    <row r="1244" hidden="1" ht="18.75" customFormat="1" customHeight="1" s="311"/>
    <row r="1245" hidden="1" ht="18.75" customFormat="1" customHeight="1" s="311"/>
    <row r="1246" hidden="1" ht="18.75" customFormat="1" customHeight="1" s="311"/>
    <row r="1247" hidden="1" ht="18.75" customFormat="1" customHeight="1" s="311"/>
    <row r="1248" hidden="1" ht="18.75" customFormat="1" customHeight="1" s="311"/>
    <row r="1249" hidden="1" ht="18.75" customFormat="1" customHeight="1" s="311"/>
    <row r="1250" hidden="1" ht="18.75" customFormat="1" customHeight="1" s="311"/>
    <row r="1251" hidden="1" ht="18.75" customFormat="1" customHeight="1" s="311"/>
    <row r="1252" hidden="1" ht="18.75" customFormat="1" customHeight="1" s="311"/>
    <row r="1253" hidden="1" ht="18.75" customFormat="1" customHeight="1" s="311"/>
    <row r="1254" hidden="1" ht="18.75" customFormat="1" customHeight="1" s="311"/>
    <row r="1255" hidden="1" ht="18.75" customFormat="1" customHeight="1" s="311"/>
    <row r="1256" hidden="1" ht="18.75" customFormat="1" customHeight="1" s="311"/>
    <row r="1257" hidden="1" ht="18.75" customFormat="1" customHeight="1" s="311"/>
    <row r="1258" hidden="1" ht="18.75" customFormat="1" customHeight="1" s="311"/>
    <row r="1259" hidden="1" ht="18.75" customFormat="1" customHeight="1" s="311"/>
    <row r="1260" hidden="1" ht="18.75" customFormat="1" customHeight="1" s="311"/>
    <row r="1261" hidden="1" ht="18.75" customFormat="1" customHeight="1" s="311"/>
    <row r="1262" hidden="1" ht="18.75" customFormat="1" customHeight="1" s="311"/>
    <row r="1263" hidden="1" ht="18.75" customFormat="1" customHeight="1" s="311"/>
    <row r="1264" hidden="1" ht="18.75" customFormat="1" customHeight="1" s="311"/>
    <row r="1265" hidden="1" ht="18.75" customFormat="1" customHeight="1" s="311"/>
    <row r="1266" hidden="1" ht="18.75" customFormat="1" customHeight="1" s="311"/>
    <row r="1267" hidden="1" ht="18.75" customFormat="1" customHeight="1" s="311"/>
    <row r="1268" hidden="1" ht="18.75" customFormat="1" customHeight="1" s="311"/>
    <row r="1269" hidden="1" ht="18.75" customFormat="1" customHeight="1" s="311"/>
    <row r="1270" hidden="1" ht="18.75" customFormat="1" customHeight="1" s="311"/>
    <row r="1271" hidden="1" ht="18.75" customFormat="1" customHeight="1" s="311"/>
    <row r="1272" hidden="1" ht="18.75" customFormat="1" customHeight="1" s="311"/>
    <row r="1273" hidden="1" ht="18.75" customFormat="1" customHeight="1" s="311"/>
    <row r="1274" hidden="1" ht="18.75" customFormat="1" customHeight="1" s="311"/>
    <row r="1275" hidden="1" ht="18.75" customFormat="1" customHeight="1" s="311"/>
    <row r="1276" hidden="1" ht="18.75" customFormat="1" customHeight="1" s="311"/>
    <row r="1277" hidden="1" ht="18.75" customFormat="1" customHeight="1" s="311"/>
    <row r="1278" hidden="1" ht="18.75" customFormat="1" customHeight="1" s="311"/>
    <row r="1279" hidden="1" ht="18.75" customFormat="1" customHeight="1" s="311"/>
    <row r="1280" hidden="1" ht="18.75" customFormat="1" customHeight="1" s="311"/>
    <row r="1281" hidden="1" ht="18.75" customFormat="1" customHeight="1" s="311"/>
    <row r="1282" hidden="1" ht="18.75" customFormat="1" customHeight="1" s="311"/>
    <row r="1283" hidden="1" ht="18.75" customFormat="1" customHeight="1" s="311"/>
    <row r="1284" hidden="1" ht="18.75" customFormat="1" customHeight="1" s="311"/>
    <row r="1285" hidden="1" ht="18.75" customFormat="1" customHeight="1" s="311"/>
    <row r="1286" hidden="1" ht="18.75" customFormat="1" customHeight="1" s="311"/>
    <row r="1287" hidden="1" ht="18.75" customFormat="1" customHeight="1" s="311"/>
    <row r="1288" hidden="1" ht="18.75" customFormat="1" customHeight="1" s="311"/>
    <row r="1289" hidden="1" ht="18.75" customFormat="1" customHeight="1" s="311"/>
    <row r="1290" hidden="1" ht="18.75" customFormat="1" customHeight="1" s="311"/>
    <row r="1291" hidden="1" ht="18.75" customFormat="1" customHeight="1" s="311"/>
    <row r="1292" hidden="1" ht="18.75" customFormat="1" customHeight="1" s="311"/>
    <row r="1293" hidden="1" ht="18.75" customFormat="1" customHeight="1" s="311"/>
    <row r="1294" hidden="1" ht="18.75" customFormat="1" customHeight="1" s="311"/>
    <row r="1295" hidden="1" ht="18.75" customFormat="1" customHeight="1" s="311"/>
    <row r="1296" hidden="1" ht="18.75" customFormat="1" customHeight="1" s="311"/>
    <row r="1297" hidden="1" ht="18.75" customFormat="1" customHeight="1" s="311"/>
    <row r="1298" hidden="1" ht="18.75" customFormat="1" customHeight="1" s="311"/>
    <row r="1299" hidden="1" ht="18.75" customFormat="1" customHeight="1" s="311"/>
    <row r="1300" hidden="1" ht="18.75" customFormat="1" customHeight="1" s="311"/>
    <row r="1301" hidden="1" ht="18.75" customFormat="1" customHeight="1" s="311"/>
    <row r="1302" hidden="1" ht="18.75" customFormat="1" customHeight="1" s="311"/>
    <row r="1303" hidden="1" ht="18.75" customFormat="1" customHeight="1" s="311"/>
    <row r="1304" hidden="1" ht="18.75" customFormat="1" customHeight="1" s="311"/>
    <row r="1305" hidden="1" ht="18.75" customFormat="1" customHeight="1" s="311"/>
    <row r="1306" hidden="1" ht="18.75" customFormat="1" customHeight="1" s="311"/>
    <row r="1307" hidden="1" ht="18.75" customFormat="1" customHeight="1" s="311"/>
    <row r="1308" hidden="1" ht="18.75" customFormat="1" customHeight="1" s="311"/>
    <row r="1309" hidden="1" ht="18.75" customFormat="1" customHeight="1" s="311"/>
    <row r="1310" hidden="1" ht="18.75" customFormat="1" customHeight="1" s="311"/>
    <row r="1311" hidden="1" ht="18.75" customFormat="1" customHeight="1" s="311"/>
    <row r="1312" hidden="1" ht="18.75" customFormat="1" customHeight="1" s="311"/>
    <row r="1313" hidden="1" ht="18.75" customFormat="1" customHeight="1" s="311"/>
    <row r="1314" hidden="1" ht="18.75" customFormat="1" customHeight="1" s="311"/>
    <row r="1315" hidden="1" ht="18.75" customFormat="1" customHeight="1" s="311"/>
    <row r="1316" hidden="1" ht="18.75" customFormat="1" customHeight="1" s="311"/>
    <row r="1317" hidden="1" ht="18.75" customFormat="1" customHeight="1" s="311"/>
    <row r="1318" hidden="1" ht="18.75" customFormat="1" customHeight="1" s="311"/>
    <row r="1319" hidden="1" ht="18.75" customFormat="1" customHeight="1" s="311"/>
    <row r="1320" hidden="1" ht="18.75" customFormat="1" customHeight="1" s="311"/>
    <row r="1321" hidden="1" ht="18.75" customFormat="1" customHeight="1" s="311"/>
    <row r="1322" hidden="1" ht="18.75" customFormat="1" customHeight="1" s="311"/>
    <row r="1323" hidden="1" ht="18.75" customFormat="1" customHeight="1" s="311"/>
    <row r="1324" hidden="1" ht="18.75" customFormat="1" customHeight="1" s="311"/>
    <row r="1325" hidden="1" ht="18.75" customFormat="1" customHeight="1" s="311"/>
    <row r="1326" hidden="1" ht="18.75" customFormat="1" customHeight="1" s="311"/>
    <row r="1327" hidden="1" ht="18.75" customFormat="1" customHeight="1" s="311"/>
    <row r="1328" hidden="1" ht="18.75" customFormat="1" customHeight="1" s="311"/>
    <row r="1329" hidden="1" ht="18.75" customFormat="1" customHeight="1" s="311"/>
    <row r="1330" hidden="1" ht="18.75" customFormat="1" customHeight="1" s="311"/>
    <row r="1331" hidden="1" ht="18.75" customFormat="1" customHeight="1" s="311"/>
    <row r="1332" hidden="1" ht="18.75" customFormat="1" customHeight="1" s="311"/>
    <row r="1333" hidden="1" ht="18.75" customFormat="1" customHeight="1" s="311"/>
    <row r="1334" hidden="1" ht="18.75" customFormat="1" customHeight="1" s="311"/>
    <row r="1335" hidden="1" ht="18.75" customFormat="1" customHeight="1" s="311"/>
    <row r="1336" hidden="1" ht="18.75" customFormat="1" customHeight="1" s="311"/>
    <row r="1337" hidden="1" ht="18.75" customFormat="1" customHeight="1" s="311"/>
    <row r="1338" hidden="1" ht="18.75" customFormat="1" customHeight="1" s="311"/>
    <row r="1339" hidden="1" ht="18.75" customFormat="1" customHeight="1" s="311"/>
    <row r="1340" hidden="1" ht="18.75" customFormat="1" customHeight="1" s="311"/>
    <row r="1341" hidden="1" ht="18.75" customFormat="1" customHeight="1" s="311"/>
    <row r="1342" hidden="1" ht="18.75" customFormat="1" customHeight="1" s="311"/>
    <row r="1343" hidden="1" ht="18.75" customFormat="1" customHeight="1" s="311"/>
    <row r="1344" hidden="1" ht="18.75" customFormat="1" customHeight="1" s="311"/>
    <row r="1345" hidden="1" ht="18.75" customFormat="1" customHeight="1" s="311"/>
    <row r="1346" hidden="1" ht="18.75" customFormat="1" customHeight="1" s="311"/>
    <row r="1347" hidden="1" ht="18.75" customFormat="1" customHeight="1" s="311"/>
    <row r="1348" hidden="1" ht="18.75" customFormat="1" customHeight="1" s="311"/>
    <row r="1349" hidden="1" ht="18.75" customFormat="1" customHeight="1" s="311"/>
    <row r="1350" hidden="1" ht="18.75" customFormat="1" customHeight="1" s="311"/>
    <row r="1351" hidden="1" ht="18.75" customFormat="1" customHeight="1" s="311"/>
    <row r="1352" hidden="1" ht="18.75" customFormat="1" customHeight="1" s="311"/>
    <row r="1353" hidden="1" ht="18.75" customFormat="1" customHeight="1" s="311"/>
    <row r="1354" hidden="1" ht="18.75" customFormat="1" customHeight="1" s="311"/>
    <row r="1355" hidden="1" ht="18.75" customFormat="1" customHeight="1" s="311"/>
    <row r="1356" hidden="1" ht="18.75" customFormat="1" customHeight="1" s="311"/>
    <row r="1357" hidden="1" ht="18.75" customFormat="1" customHeight="1" s="311"/>
    <row r="1358" hidden="1" ht="18.75" customFormat="1" customHeight="1" s="311"/>
    <row r="1359" hidden="1" ht="18.75" customFormat="1" customHeight="1" s="311"/>
    <row r="1360" hidden="1" ht="18.75" customFormat="1" customHeight="1" s="311"/>
    <row r="1361" hidden="1" ht="18.75" customFormat="1" customHeight="1" s="311"/>
    <row r="1362" hidden="1" ht="18.75" customFormat="1" customHeight="1" s="311"/>
    <row r="1363" hidden="1" ht="18.75" customFormat="1" customHeight="1" s="311"/>
    <row r="1364" hidden="1" ht="18.75" customFormat="1" customHeight="1" s="311"/>
    <row r="1365" hidden="1" ht="18.75" customFormat="1" customHeight="1" s="311"/>
    <row r="1366" hidden="1" ht="18.75" customFormat="1" customHeight="1" s="311"/>
    <row r="1367" hidden="1" ht="18.75" customFormat="1" customHeight="1" s="311"/>
    <row r="1368" hidden="1" ht="18.75" customFormat="1" customHeight="1" s="311"/>
    <row r="1369" hidden="1" ht="18.75" customFormat="1" customHeight="1" s="311"/>
    <row r="1370" hidden="1" ht="18.75" customFormat="1" customHeight="1" s="311"/>
    <row r="1371" hidden="1" ht="18.75" customFormat="1" customHeight="1" s="311"/>
    <row r="1372" hidden="1" ht="18.75" customFormat="1" customHeight="1" s="311"/>
    <row r="1373" hidden="1" ht="18.75" customFormat="1" customHeight="1" s="311"/>
    <row r="1374" hidden="1" ht="18.75" customFormat="1" customHeight="1" s="311"/>
    <row r="1375" hidden="1" ht="18.75" customFormat="1" customHeight="1" s="311"/>
    <row r="1376" hidden="1" ht="18.75" customFormat="1" customHeight="1" s="311"/>
    <row r="1377" hidden="1" ht="18.75" customFormat="1" customHeight="1" s="311"/>
    <row r="1378" hidden="1" ht="18.75" customFormat="1" customHeight="1" s="311"/>
    <row r="1379" hidden="1" ht="18.75" customFormat="1" customHeight="1" s="311"/>
    <row r="1380" hidden="1" ht="18.75" customFormat="1" customHeight="1" s="311"/>
    <row r="1381" hidden="1" ht="18.75" customFormat="1" customHeight="1" s="311"/>
    <row r="1382" hidden="1" ht="18.75" customFormat="1" customHeight="1" s="311"/>
    <row r="1383" hidden="1" ht="18.75" customFormat="1" customHeight="1" s="311"/>
    <row r="1384" hidden="1" ht="18.75" customFormat="1" customHeight="1" s="311"/>
    <row r="1385" hidden="1" ht="18.75" customFormat="1" customHeight="1" s="311"/>
    <row r="1386" hidden="1" ht="18.75" customFormat="1" customHeight="1" s="311"/>
    <row r="1387" hidden="1" ht="18.75" customFormat="1" customHeight="1" s="311"/>
    <row r="1388" hidden="1" ht="18.75" customFormat="1" customHeight="1" s="311"/>
    <row r="1389" hidden="1" ht="18.75" customFormat="1" customHeight="1" s="311"/>
    <row r="1390" hidden="1" ht="18.75" customFormat="1" customHeight="1" s="311"/>
    <row r="1391" hidden="1" ht="18.75" customFormat="1" customHeight="1" s="311"/>
    <row r="1392" hidden="1" ht="18.75" customFormat="1" customHeight="1" s="311"/>
    <row r="1393" hidden="1" ht="18.75" customFormat="1" customHeight="1" s="311"/>
    <row r="1394" hidden="1" ht="18.75" customFormat="1" customHeight="1" s="311"/>
    <row r="1395" hidden="1" ht="18.75" customFormat="1" customHeight="1" s="311"/>
    <row r="1396" hidden="1" ht="18.75" customFormat="1" customHeight="1" s="311"/>
    <row r="1397" hidden="1" ht="18.75" customFormat="1" customHeight="1" s="311"/>
    <row r="1398" hidden="1" ht="18.75" customFormat="1" customHeight="1" s="311"/>
    <row r="1399" hidden="1" ht="18.75" customFormat="1" customHeight="1" s="311"/>
    <row r="1400" hidden="1" ht="18.75" customFormat="1" customHeight="1" s="311"/>
    <row r="1401" hidden="1" ht="18.75" customFormat="1" customHeight="1" s="311"/>
    <row r="1402" hidden="1" ht="18.75" customFormat="1" customHeight="1" s="311"/>
    <row r="1403" hidden="1" ht="18.75" customFormat="1" customHeight="1" s="311"/>
    <row r="1404" hidden="1" ht="18.75" customFormat="1" customHeight="1" s="311"/>
    <row r="1405" hidden="1" ht="18.75" customFormat="1" customHeight="1" s="311"/>
    <row r="1406" hidden="1" ht="18.75" customFormat="1" customHeight="1" s="311"/>
    <row r="1407" hidden="1" ht="18.75" customFormat="1" customHeight="1" s="311"/>
    <row r="1408" hidden="1" ht="18.75" customFormat="1" customHeight="1" s="311"/>
    <row r="1409" hidden="1" ht="18.75" customFormat="1" customHeight="1" s="311"/>
    <row r="1410" hidden="1" ht="18.75" customFormat="1" customHeight="1" s="311"/>
    <row r="1411" hidden="1" ht="18.75" customFormat="1" customHeight="1" s="311"/>
    <row r="1412" hidden="1" ht="18.75" customFormat="1" customHeight="1" s="311"/>
    <row r="1413" hidden="1" ht="18.75" customFormat="1" customHeight="1" s="311"/>
    <row r="1414" hidden="1" ht="18.75" customFormat="1" customHeight="1" s="311"/>
    <row r="1415" hidden="1" ht="18.75" customFormat="1" customHeight="1" s="311"/>
    <row r="1416" hidden="1" ht="18.75" customFormat="1" customHeight="1" s="311"/>
    <row r="1417" hidden="1" ht="18.75" customFormat="1" customHeight="1" s="311"/>
    <row r="1418" hidden="1" ht="18.75" customFormat="1" customHeight="1" s="311"/>
    <row r="1419" hidden="1" ht="18.75" customFormat="1" customHeight="1" s="311"/>
    <row r="1420" hidden="1" ht="18.75" customFormat="1" customHeight="1" s="311"/>
    <row r="1421" hidden="1" ht="18.75" customFormat="1" customHeight="1" s="311"/>
    <row r="1422" hidden="1" ht="18.75" customFormat="1" customHeight="1" s="311"/>
    <row r="1423" hidden="1" ht="18.75" customFormat="1" customHeight="1" s="311"/>
    <row r="1424" hidden="1" ht="18.75" customFormat="1" customHeight="1" s="311"/>
    <row r="1425" hidden="1" ht="18.75" customFormat="1" customHeight="1" s="311"/>
    <row r="1426" hidden="1" ht="18.75" customFormat="1" customHeight="1" s="311"/>
    <row r="1427" hidden="1" ht="18.75" customFormat="1" customHeight="1" s="311"/>
    <row r="1428" hidden="1" ht="18.75" customFormat="1" customHeight="1" s="311"/>
    <row r="1429" hidden="1" ht="18.75" customFormat="1" customHeight="1" s="311"/>
    <row r="1430" hidden="1" ht="18.75" customFormat="1" customHeight="1" s="311"/>
    <row r="1431" hidden="1" ht="18.75" customFormat="1" customHeight="1" s="311"/>
    <row r="1432" hidden="1" ht="18.75" customFormat="1" customHeight="1" s="311"/>
    <row r="1433" hidden="1" ht="18.75" customFormat="1" customHeight="1" s="311"/>
    <row r="1434" hidden="1" ht="18.75" customFormat="1" customHeight="1" s="311"/>
    <row r="1435" hidden="1" ht="18.75" customFormat="1" customHeight="1" s="311"/>
    <row r="1436" hidden="1" ht="18.75" customFormat="1" customHeight="1" s="311"/>
    <row r="1437" hidden="1" ht="18.75" customFormat="1" customHeight="1" s="311"/>
    <row r="1438" hidden="1" ht="18.75" customFormat="1" customHeight="1" s="311"/>
    <row r="1439" hidden="1" ht="18.75" customFormat="1" customHeight="1" s="311"/>
    <row r="1440" hidden="1" ht="18.75" customFormat="1" customHeight="1" s="311"/>
    <row r="1441" hidden="1" ht="18.75" customFormat="1" customHeight="1" s="311"/>
    <row r="1442" hidden="1" ht="18.75" customFormat="1" customHeight="1" s="311"/>
    <row r="1443" hidden="1" ht="18.75" customFormat="1" customHeight="1" s="311"/>
    <row r="1444" hidden="1" ht="18.75" customFormat="1" customHeight="1" s="311"/>
    <row r="1445" hidden="1" ht="18.75" customFormat="1" customHeight="1" s="311"/>
    <row r="1446" hidden="1" ht="18.75" customFormat="1" customHeight="1" s="311"/>
    <row r="1447" hidden="1" ht="18.75" customFormat="1" customHeight="1" s="311"/>
    <row r="1448" hidden="1" ht="18.75" customFormat="1" customHeight="1" s="311"/>
    <row r="1449" hidden="1" ht="18.75" customFormat="1" customHeight="1" s="311"/>
    <row r="1450" hidden="1" ht="18.75" customFormat="1" customHeight="1" s="311"/>
    <row r="1451" hidden="1" ht="18.75" customFormat="1" customHeight="1" s="311"/>
    <row r="1452" hidden="1" ht="18.75" customFormat="1" customHeight="1" s="311"/>
    <row r="1453" hidden="1" ht="18.75" customFormat="1" customHeight="1" s="311"/>
    <row r="1454" hidden="1" ht="18.75" customFormat="1" customHeight="1" s="311"/>
    <row r="1455" hidden="1" ht="18.75" customFormat="1" customHeight="1" s="311"/>
    <row r="1456" hidden="1" ht="18.75" customFormat="1" customHeight="1" s="311"/>
    <row r="1457" hidden="1" ht="18.75" customFormat="1" customHeight="1" s="311"/>
    <row r="1458" hidden="1" ht="18.75" customFormat="1" customHeight="1" s="311"/>
    <row r="1459" hidden="1" ht="18.75" customFormat="1" customHeight="1" s="311"/>
    <row r="1460" hidden="1" ht="18.75" customFormat="1" customHeight="1" s="311"/>
    <row r="1461" hidden="1" ht="18.75" customFormat="1" customHeight="1" s="311"/>
    <row r="1462" hidden="1" ht="18.75" customFormat="1" customHeight="1" s="311"/>
    <row r="1463" hidden="1" ht="18.75" customFormat="1" customHeight="1" s="311"/>
    <row r="1464" hidden="1" ht="18.75" customFormat="1" customHeight="1" s="311"/>
    <row r="1465" hidden="1" ht="18.75" customFormat="1" customHeight="1" s="311"/>
    <row r="1466" hidden="1" ht="18.75" customFormat="1" customHeight="1" s="311"/>
    <row r="1467" hidden="1" ht="18.75" customFormat="1" customHeight="1" s="311"/>
    <row r="1468" hidden="1" ht="18.75" customFormat="1" customHeight="1" s="311"/>
    <row r="1469" hidden="1" ht="18.75" customFormat="1" customHeight="1" s="311"/>
    <row r="1470" hidden="1" ht="18.75" customFormat="1" customHeight="1" s="311"/>
    <row r="1471" hidden="1" ht="18.75" customFormat="1" customHeight="1" s="311"/>
    <row r="1472" hidden="1" ht="18.75" customFormat="1" customHeight="1" s="311"/>
    <row r="1473" hidden="1" ht="18.75" customFormat="1" customHeight="1" s="311"/>
    <row r="1474" hidden="1" ht="18.75" customFormat="1" customHeight="1" s="311"/>
    <row r="1475" hidden="1" ht="18.75" customFormat="1" customHeight="1" s="311"/>
    <row r="1476" hidden="1" ht="18.75" customFormat="1" customHeight="1" s="311"/>
    <row r="1477" hidden="1" ht="18.75" customFormat="1" customHeight="1" s="311"/>
    <row r="1478" hidden="1" ht="18.75" customFormat="1" customHeight="1" s="311"/>
    <row r="1479" hidden="1" ht="18.75" customFormat="1" customHeight="1" s="311"/>
    <row r="1480" hidden="1" ht="18.75" customFormat="1" customHeight="1" s="311"/>
    <row r="1481" hidden="1" ht="18.75" customFormat="1" customHeight="1" s="311"/>
    <row r="1482" hidden="1" ht="18.75" customFormat="1" customHeight="1" s="311"/>
    <row r="1483" hidden="1" ht="18.75" customFormat="1" customHeight="1" s="311"/>
    <row r="1484" hidden="1" ht="18.75" customFormat="1" customHeight="1" s="311"/>
    <row r="1485" hidden="1" ht="18.75" customFormat="1" customHeight="1" s="311"/>
    <row r="1486" hidden="1" ht="18.75" customFormat="1" customHeight="1" s="311"/>
    <row r="1487" hidden="1" ht="18.75" customFormat="1" customHeight="1" s="311"/>
    <row r="1488" hidden="1" ht="18.75" customFormat="1" customHeight="1" s="311"/>
    <row r="1489" hidden="1" ht="18.75" customFormat="1" customHeight="1" s="311"/>
    <row r="1490" hidden="1" ht="18.75" customFormat="1" customHeight="1" s="311"/>
    <row r="1491" hidden="1" ht="18.75" customFormat="1" customHeight="1" s="311"/>
    <row r="1492" hidden="1" ht="18.75" customFormat="1" customHeight="1" s="311"/>
    <row r="1493" hidden="1" ht="18.75" customFormat="1" customHeight="1" s="311"/>
    <row r="1494" hidden="1" ht="18.75" customFormat="1" customHeight="1" s="311"/>
    <row r="1495" hidden="1" ht="18.75" customFormat="1" customHeight="1" s="311"/>
    <row r="1496" hidden="1" ht="18.75" customFormat="1" customHeight="1" s="311"/>
    <row r="1497" hidden="1" ht="18.75" customFormat="1" customHeight="1" s="311"/>
    <row r="1498" hidden="1" ht="18.75" customFormat="1" customHeight="1" s="311"/>
    <row r="1499" hidden="1" ht="18.75" customFormat="1" customHeight="1" s="311"/>
    <row r="1500" hidden="1" ht="18.75" customFormat="1" customHeight="1" s="311"/>
    <row r="1501" hidden="1" ht="18.75" customFormat="1" customHeight="1" s="311"/>
    <row r="1502" hidden="1" ht="18.75" customFormat="1" customHeight="1" s="311"/>
    <row r="1503" hidden="1" ht="18.75" customFormat="1" customHeight="1" s="311"/>
    <row r="1504" hidden="1" ht="18.75" customFormat="1" customHeight="1" s="311"/>
    <row r="1505" hidden="1" ht="18.75" customFormat="1" customHeight="1" s="311"/>
    <row r="1506" hidden="1" ht="18.75" customFormat="1" customHeight="1" s="311"/>
    <row r="1507" hidden="1" ht="18.75" customFormat="1" customHeight="1" s="311"/>
    <row r="1508" hidden="1" ht="18.75" customFormat="1" customHeight="1" s="311"/>
    <row r="1509" hidden="1" ht="18.75" customFormat="1" customHeight="1" s="311"/>
    <row r="1510" hidden="1" ht="18.75" customFormat="1" customHeight="1" s="311"/>
    <row r="1511" hidden="1" ht="18.75" customFormat="1" customHeight="1" s="311"/>
    <row r="1512" hidden="1" ht="18.75" customFormat="1" customHeight="1" s="311"/>
    <row r="1513" hidden="1" ht="18.75" customFormat="1" customHeight="1" s="311"/>
    <row r="1514" hidden="1" ht="18.75" customFormat="1" customHeight="1" s="311"/>
    <row r="1515" hidden="1" ht="18.75" customFormat="1" customHeight="1" s="311"/>
    <row r="1516" hidden="1" ht="18.75" customFormat="1" customHeight="1" s="311"/>
    <row r="1517" hidden="1" ht="18.75" customFormat="1" customHeight="1" s="311"/>
    <row r="1518" hidden="1" ht="18.75" customFormat="1" customHeight="1" s="311"/>
    <row r="1519" hidden="1" ht="18.75" customFormat="1" customHeight="1" s="311"/>
    <row r="1520" hidden="1" ht="18.75" customFormat="1" customHeight="1" s="311"/>
    <row r="1521" hidden="1" ht="18.75" customFormat="1" customHeight="1" s="311"/>
    <row r="1522" hidden="1" ht="18.75" customFormat="1" customHeight="1" s="311"/>
    <row r="1523" hidden="1" ht="18.75" customFormat="1" customHeight="1" s="311"/>
    <row r="1524" hidden="1" ht="18.75" customFormat="1" customHeight="1" s="311"/>
    <row r="1525" hidden="1" ht="18.75" customFormat="1" customHeight="1" s="311"/>
    <row r="1526" hidden="1" ht="18.75" customFormat="1" customHeight="1" s="311"/>
    <row r="1527" hidden="1" ht="18.75" customFormat="1" customHeight="1" s="311"/>
    <row r="1528" hidden="1" ht="18.75" customFormat="1" customHeight="1" s="311"/>
    <row r="1529" hidden="1" ht="18.75" customFormat="1" customHeight="1" s="311"/>
    <row r="1530" hidden="1" ht="18.75" customFormat="1" customHeight="1" s="311"/>
    <row r="1531" hidden="1" ht="18.75" customFormat="1" customHeight="1" s="311"/>
    <row r="1532" hidden="1" ht="18.75" customFormat="1" customHeight="1" s="311"/>
    <row r="1533" hidden="1" ht="18.75" customFormat="1" customHeight="1" s="311"/>
    <row r="1534" hidden="1" ht="18.75" customFormat="1" customHeight="1" s="311"/>
    <row r="1535" hidden="1" ht="18.75" customFormat="1" customHeight="1" s="311"/>
    <row r="1536" hidden="1" ht="18.75" customFormat="1" customHeight="1" s="311"/>
    <row r="1537" hidden="1" ht="18.75" customFormat="1" customHeight="1" s="311"/>
    <row r="1538" hidden="1" ht="18.75" customFormat="1" customHeight="1" s="311"/>
    <row r="1539" hidden="1" ht="18.75" customFormat="1" customHeight="1" s="311"/>
    <row r="1540" hidden="1" ht="18.75" customFormat="1" customHeight="1" s="311"/>
    <row r="1541" hidden="1" ht="18.75" customFormat="1" customHeight="1" s="311"/>
    <row r="1542" hidden="1" ht="18.75" customFormat="1" customHeight="1" s="311"/>
    <row r="1543" hidden="1" ht="18.75" customFormat="1" customHeight="1" s="311"/>
    <row r="1544" hidden="1" ht="18.75" customFormat="1" customHeight="1" s="311"/>
    <row r="1545" hidden="1" ht="18.75" customFormat="1" customHeight="1" s="311"/>
    <row r="1546" hidden="1" ht="18.75" customFormat="1" customHeight="1" s="311"/>
    <row r="1547" hidden="1" ht="18.75" customFormat="1" customHeight="1" s="311"/>
    <row r="1548" hidden="1" ht="18.75" customFormat="1" customHeight="1" s="311"/>
    <row r="1549" hidden="1" ht="18.75" customFormat="1" customHeight="1" s="311"/>
    <row r="1550" hidden="1" ht="18.75" customFormat="1" customHeight="1" s="311"/>
    <row r="1551" hidden="1" ht="18.75" customFormat="1" customHeight="1" s="311"/>
    <row r="1552" hidden="1" ht="18.75" customFormat="1" customHeight="1" s="311"/>
    <row r="1553" hidden="1" ht="18.75" customFormat="1" customHeight="1" s="311"/>
    <row r="1554" hidden="1" ht="18.75" customFormat="1" customHeight="1" s="311"/>
    <row r="1555" hidden="1" ht="18.75" customFormat="1" customHeight="1" s="311"/>
    <row r="1556" hidden="1" ht="18.75" customFormat="1" customHeight="1" s="311"/>
    <row r="1557" hidden="1" ht="18.75" customFormat="1" customHeight="1" s="311"/>
    <row r="1558" hidden="1" ht="18.75" customFormat="1" customHeight="1" s="311"/>
    <row r="1559" hidden="1" ht="18.75" customFormat="1" customHeight="1" s="311"/>
    <row r="1560" hidden="1" ht="18.75" customFormat="1" customHeight="1" s="311"/>
    <row r="1561" hidden="1" ht="18.75" customFormat="1" customHeight="1" s="311"/>
    <row r="1562" hidden="1" ht="18.75" customFormat="1" customHeight="1" s="311"/>
    <row r="1563" hidden="1" ht="18.75" customFormat="1" customHeight="1" s="311"/>
    <row r="1564" hidden="1" ht="18.75" customFormat="1" customHeight="1" s="311"/>
    <row r="1565" hidden="1" ht="18.75" customFormat="1" customHeight="1" s="311"/>
    <row r="1566" hidden="1" ht="18.75" customFormat="1" customHeight="1" s="311"/>
    <row r="1567" hidden="1" ht="18.75" customFormat="1" customHeight="1" s="311"/>
    <row r="1568" hidden="1" ht="18.75" customFormat="1" customHeight="1" s="311"/>
    <row r="1569" hidden="1" ht="18.75" customFormat="1" customHeight="1" s="311"/>
    <row r="1570" hidden="1" ht="18.75" customFormat="1" customHeight="1" s="311"/>
    <row r="1571" hidden="1" ht="18.75" customFormat="1" customHeight="1" s="311"/>
    <row r="1572" hidden="1" ht="18.75" customFormat="1" customHeight="1" s="311"/>
    <row r="1573" hidden="1" ht="18.75" customFormat="1" customHeight="1" s="311"/>
    <row r="1574" hidden="1" ht="18.75" customFormat="1" customHeight="1" s="311"/>
    <row r="1575" hidden="1" ht="18.75" customFormat="1" customHeight="1" s="311"/>
    <row r="1576" hidden="1" ht="18.75" customFormat="1" customHeight="1" s="311"/>
    <row r="1577" hidden="1" ht="18.75" customFormat="1" customHeight="1" s="311"/>
    <row r="1578" hidden="1" ht="18.75" customFormat="1" customHeight="1" s="311"/>
    <row r="1579" hidden="1" ht="18.75" customFormat="1" customHeight="1" s="311"/>
    <row r="1580" hidden="1" ht="18.75" customFormat="1" customHeight="1" s="311"/>
    <row r="1581" hidden="1" ht="18.75" customFormat="1" customHeight="1" s="311"/>
    <row r="1582" hidden="1" ht="18.75" customFormat="1" customHeight="1" s="311"/>
    <row r="1583" hidden="1" ht="18.75" customFormat="1" customHeight="1" s="311"/>
    <row r="1584" hidden="1" ht="18.75" customFormat="1" customHeight="1" s="311"/>
    <row r="1585" hidden="1" ht="18.75" customFormat="1" customHeight="1" s="311"/>
    <row r="1586" hidden="1" ht="18.75" customFormat="1" customHeight="1" s="311"/>
    <row r="1587" hidden="1" ht="18.75" customFormat="1" customHeight="1" s="311"/>
    <row r="1588" hidden="1" ht="18.75" customFormat="1" customHeight="1" s="311"/>
    <row r="1589" hidden="1" ht="18.75" customFormat="1" customHeight="1" s="311"/>
    <row r="1590" hidden="1" ht="18.75" customFormat="1" customHeight="1" s="311"/>
    <row r="1591" hidden="1" ht="18.75" customFormat="1" customHeight="1" s="311"/>
    <row r="1592" hidden="1" ht="18.75" customFormat="1" customHeight="1" s="311"/>
    <row r="1593" hidden="1" ht="18.75" customFormat="1" customHeight="1" s="311"/>
    <row r="1594" hidden="1" ht="18.75" customFormat="1" customHeight="1" s="311"/>
    <row r="1595" hidden="1" ht="18.75" customFormat="1" customHeight="1" s="311"/>
    <row r="1596" hidden="1" ht="18.75" customFormat="1" customHeight="1" s="311"/>
    <row r="1597" hidden="1" ht="18.75" customFormat="1" customHeight="1" s="311"/>
    <row r="1598" hidden="1" ht="18.75" customFormat="1" customHeight="1" s="311"/>
    <row r="1599" hidden="1" ht="18.75" customFormat="1" customHeight="1" s="311"/>
    <row r="1600" hidden="1" ht="18.75" customFormat="1" customHeight="1" s="311"/>
    <row r="1601" hidden="1" ht="18.75" customFormat="1" customHeight="1" s="311"/>
    <row r="1602" hidden="1" ht="18.75" customFormat="1" customHeight="1" s="311"/>
    <row r="1603" hidden="1" ht="18.75" customFormat="1" customHeight="1" s="311"/>
    <row r="1604" hidden="1" ht="18.75" customFormat="1" customHeight="1" s="311"/>
    <row r="1605" hidden="1" ht="18.75" customFormat="1" customHeight="1" s="311"/>
    <row r="1606" hidden="1" ht="18.75" customFormat="1" customHeight="1" s="311"/>
    <row r="1607" hidden="1" ht="18.75" customFormat="1" customHeight="1" s="311"/>
    <row r="1608" hidden="1" ht="18.75" customFormat="1" customHeight="1" s="311"/>
    <row r="1609" hidden="1" ht="18.75" customFormat="1" customHeight="1" s="311"/>
    <row r="1610" hidden="1" ht="18.75" customFormat="1" customHeight="1" s="311"/>
    <row r="1611" hidden="1" ht="18.75" customFormat="1" customHeight="1" s="311"/>
    <row r="1612" hidden="1" ht="18.75" customFormat="1" customHeight="1" s="311"/>
    <row r="1613" hidden="1" ht="18.75" customFormat="1" customHeight="1" s="311"/>
    <row r="1614" hidden="1" ht="18.75" customFormat="1" customHeight="1" s="311"/>
    <row r="1615" hidden="1" ht="18.75" customFormat="1" customHeight="1" s="311"/>
    <row r="1616" hidden="1" ht="18.75" customFormat="1" customHeight="1" s="311"/>
    <row r="1617" hidden="1" ht="18.75" customFormat="1" customHeight="1" s="311"/>
    <row r="1618" hidden="1" ht="18.75" customFormat="1" customHeight="1" s="311"/>
    <row r="1619" hidden="1" ht="18.75" customFormat="1" customHeight="1" s="311"/>
    <row r="1620" hidden="1" ht="18.75" customFormat="1" customHeight="1" s="311"/>
    <row r="1621" hidden="1" ht="18.75" customFormat="1" customHeight="1" s="311"/>
    <row r="1622" hidden="1" ht="18.75" customFormat="1" customHeight="1" s="311"/>
    <row r="1623" hidden="1" ht="18.75" customFormat="1" customHeight="1" s="311"/>
    <row r="1624" hidden="1" ht="18.75" customFormat="1" customHeight="1" s="311"/>
    <row r="1625" hidden="1" ht="18.75" customFormat="1" customHeight="1" s="311"/>
    <row r="1626" hidden="1" ht="18.75" customFormat="1" customHeight="1" s="311"/>
    <row r="1627" hidden="1" ht="18.75" customFormat="1" customHeight="1" s="311"/>
    <row r="1628" hidden="1" ht="18.75" customFormat="1" customHeight="1" s="311"/>
    <row r="1629" hidden="1" ht="18.75" customFormat="1" customHeight="1" s="311"/>
    <row r="1630" hidden="1" ht="18.75" customFormat="1" customHeight="1" s="311"/>
    <row r="1631" hidden="1" ht="18.75" customFormat="1" customHeight="1" s="311"/>
    <row r="1632" hidden="1" ht="18.75" customFormat="1" customHeight="1" s="311"/>
    <row r="1633" hidden="1" ht="18.75" customFormat="1" customHeight="1" s="311"/>
    <row r="1634" hidden="1" ht="18.75" customFormat="1" customHeight="1" s="311"/>
    <row r="1635" hidden="1" ht="18.75" customFormat="1" customHeight="1" s="311"/>
    <row r="1636" hidden="1" ht="18.75" customFormat="1" customHeight="1" s="311"/>
    <row r="1637" hidden="1" ht="18.75" customFormat="1" customHeight="1" s="311"/>
    <row r="1638" hidden="1" ht="18.75" customFormat="1" customHeight="1" s="311"/>
    <row r="1639" hidden="1" ht="18.75" customFormat="1" customHeight="1" s="311"/>
    <row r="1640" hidden="1" ht="18.75" customFormat="1" customHeight="1" s="311"/>
    <row r="1641" hidden="1" ht="18.75" customFormat="1" customHeight="1" s="311"/>
    <row r="1642" hidden="1" ht="18.75" customFormat="1" customHeight="1" s="311"/>
    <row r="1643" hidden="1" ht="18.75" customFormat="1" customHeight="1" s="311"/>
    <row r="1644" hidden="1" ht="18.75" customFormat="1" customHeight="1" s="311"/>
    <row r="1645" hidden="1" ht="18.75" customFormat="1" customHeight="1" s="311"/>
    <row r="1646" hidden="1" ht="18.75" customFormat="1" customHeight="1" s="311"/>
    <row r="1647" hidden="1" ht="18.75" customFormat="1" customHeight="1" s="311"/>
    <row r="1648" hidden="1" ht="18.75" customFormat="1" customHeight="1" s="311"/>
    <row r="1649" hidden="1" ht="18.75" customFormat="1" customHeight="1" s="311"/>
    <row r="1650" hidden="1" ht="18.75" customFormat="1" customHeight="1" s="311"/>
    <row r="1651" hidden="1" ht="18.75" customFormat="1" customHeight="1" s="311"/>
    <row r="1652" hidden="1" ht="18.75" customFormat="1" customHeight="1" s="311"/>
    <row r="1653" hidden="1" ht="18.75" customFormat="1" customHeight="1" s="311"/>
    <row r="1654" hidden="1" ht="18.75" customFormat="1" customHeight="1" s="311"/>
    <row r="1655" hidden="1" ht="18.75" customFormat="1" customHeight="1" s="311"/>
    <row r="1656" hidden="1" ht="18.75" customFormat="1" customHeight="1" s="311"/>
    <row r="1657" hidden="1" ht="18.75" customFormat="1" customHeight="1" s="311"/>
    <row r="1658" hidden="1" ht="18.75" customFormat="1" customHeight="1" s="311"/>
    <row r="1659" hidden="1" ht="18.75" customFormat="1" customHeight="1" s="311"/>
    <row r="1660" hidden="1" ht="18.75" customFormat="1" customHeight="1" s="311"/>
    <row r="1661" hidden="1" ht="18.75" customFormat="1" customHeight="1" s="311"/>
    <row r="1662" hidden="1" ht="18.75" customFormat="1" customHeight="1" s="311"/>
    <row r="1663" hidden="1" ht="18.75" customFormat="1" customHeight="1" s="311"/>
    <row r="1664" hidden="1" ht="18.75" customFormat="1" customHeight="1" s="311"/>
    <row r="1665" hidden="1" ht="18.75" customFormat="1" customHeight="1" s="311"/>
    <row r="1666" hidden="1" ht="18.75" customFormat="1" customHeight="1" s="311"/>
    <row r="1667" hidden="1" ht="18.75" customFormat="1" customHeight="1" s="311"/>
    <row r="1668" hidden="1" ht="18.75" customFormat="1" customHeight="1" s="311"/>
    <row r="1669" hidden="1" ht="18.75" customFormat="1" customHeight="1" s="311"/>
    <row r="1670" hidden="1" ht="18.75" customFormat="1" customHeight="1" s="311"/>
    <row r="1671" hidden="1" ht="18.75" customFormat="1" customHeight="1" s="311"/>
    <row r="1672" hidden="1" ht="18.75" customFormat="1" customHeight="1" s="311"/>
    <row r="1673" hidden="1" ht="18.75" customFormat="1" customHeight="1" s="311"/>
    <row r="1674" hidden="1" ht="18.75" customFormat="1" customHeight="1" s="311"/>
    <row r="1675" hidden="1" ht="18.75" customFormat="1" customHeight="1" s="311"/>
    <row r="1676" hidden="1" ht="18.75" customFormat="1" customHeight="1" s="311"/>
    <row r="1677" hidden="1" ht="18.75" customFormat="1" customHeight="1" s="311"/>
    <row r="1678" hidden="1" ht="18.75" customFormat="1" customHeight="1" s="311"/>
    <row r="1679" hidden="1" ht="18.75" customFormat="1" customHeight="1" s="311"/>
    <row r="1680" hidden="1" ht="18.75" customFormat="1" customHeight="1" s="311"/>
    <row r="1681" hidden="1" ht="18.75" customFormat="1" customHeight="1" s="311"/>
    <row r="1682" hidden="1" ht="18.75" customFormat="1" customHeight="1" s="311"/>
    <row r="1683" hidden="1" ht="18.75" customFormat="1" customHeight="1" s="311"/>
    <row r="1684" hidden="1" ht="18.75" customFormat="1" customHeight="1" s="311"/>
    <row r="1685" hidden="1" ht="18.75" customFormat="1" customHeight="1" s="311"/>
    <row r="1686" hidden="1" ht="18.75" customFormat="1" customHeight="1" s="311"/>
    <row r="1687" hidden="1" ht="18.75" customFormat="1" customHeight="1" s="311"/>
    <row r="1688" hidden="1" ht="18.75" customFormat="1" customHeight="1" s="311"/>
    <row r="1689" hidden="1" ht="18.75" customFormat="1" customHeight="1" s="311"/>
    <row r="1690" hidden="1" ht="18.75" customFormat="1" customHeight="1" s="311"/>
    <row r="1691" hidden="1" ht="18.75" customFormat="1" customHeight="1" s="311"/>
    <row r="1692" hidden="1" ht="18.75" customFormat="1" customHeight="1" s="311"/>
    <row r="1693" hidden="1" ht="18.75" customFormat="1" customHeight="1" s="311"/>
    <row r="1694" hidden="1" ht="18.75" customFormat="1" customHeight="1" s="311"/>
    <row r="1695" hidden="1" ht="18.75" customFormat="1" customHeight="1" s="311"/>
    <row r="1696" hidden="1" ht="18.75" customFormat="1" customHeight="1" s="311"/>
    <row r="1697" hidden="1" ht="18.75" customFormat="1" customHeight="1" s="311"/>
    <row r="1698" hidden="1" ht="18.75" customFormat="1" customHeight="1" s="311"/>
    <row r="1699" hidden="1" ht="18.75" customFormat="1" customHeight="1" s="311"/>
    <row r="1700" hidden="1" ht="18.75" customFormat="1" customHeight="1" s="311"/>
    <row r="1701" hidden="1" ht="18.75" customFormat="1" customHeight="1" s="311"/>
    <row r="1702" hidden="1" ht="18.75" customFormat="1" customHeight="1" s="311"/>
    <row r="1703" hidden="1" ht="18.75" customFormat="1" customHeight="1" s="311"/>
    <row r="1704" hidden="1" ht="18.75" customFormat="1" customHeight="1" s="311"/>
    <row r="1705" hidden="1" ht="18.75" customFormat="1" customHeight="1" s="311"/>
    <row r="1706" hidden="1" ht="18.75" customFormat="1" customHeight="1" s="311"/>
    <row r="1707" hidden="1" ht="18.75" customFormat="1" customHeight="1" s="311"/>
    <row r="1708" hidden="1" ht="18.75" customFormat="1" customHeight="1" s="311"/>
    <row r="1709" hidden="1" ht="18.75" customFormat="1" customHeight="1" s="311"/>
    <row r="1710" hidden="1" ht="18.75" customFormat="1" customHeight="1" s="311"/>
    <row r="1711" hidden="1" ht="18.75" customFormat="1" customHeight="1" s="311"/>
    <row r="1712" hidden="1" ht="18.75" customFormat="1" customHeight="1" s="311"/>
    <row r="1713" hidden="1" ht="18.75" customFormat="1" customHeight="1" s="311"/>
    <row r="1714" hidden="1" ht="18.75" customFormat="1" customHeight="1" s="311"/>
    <row r="1715" hidden="1" ht="18.75" customFormat="1" customHeight="1" s="311"/>
    <row r="1716" hidden="1" ht="18.75" customFormat="1" customHeight="1" s="311"/>
    <row r="1717" hidden="1" ht="18.75" customFormat="1" customHeight="1" s="311"/>
    <row r="1718" hidden="1" ht="18.75" customFormat="1" customHeight="1" s="311"/>
    <row r="1719" hidden="1" ht="18.75" customFormat="1" customHeight="1" s="311"/>
    <row r="1720" hidden="1" ht="18.75" customFormat="1" customHeight="1" s="311"/>
    <row r="1721" hidden="1" ht="18.75" customFormat="1" customHeight="1" s="311"/>
    <row r="1722" hidden="1" ht="18.75" customFormat="1" customHeight="1" s="311"/>
    <row r="1723" hidden="1" ht="18.75" customFormat="1" customHeight="1" s="311"/>
    <row r="1724" hidden="1" ht="18.75" customFormat="1" customHeight="1" s="311"/>
    <row r="1725" hidden="1" ht="18.75" customFormat="1" customHeight="1" s="311"/>
    <row r="1726" hidden="1" ht="18.75" customFormat="1" customHeight="1" s="311"/>
    <row r="1727" hidden="1" ht="18.75" customFormat="1" customHeight="1" s="311"/>
    <row r="1728" hidden="1" ht="18.75" customFormat="1" customHeight="1" s="311"/>
    <row r="1729" hidden="1" ht="18.75" customFormat="1" customHeight="1" s="311"/>
    <row r="1730" hidden="1" ht="18.75" customFormat="1" customHeight="1" s="311"/>
    <row r="1731" hidden="1" ht="18.75" customFormat="1" customHeight="1" s="311"/>
    <row r="1732" hidden="1" ht="18.75" customFormat="1" customHeight="1" s="311"/>
    <row r="1733" hidden="1" ht="18.75" customFormat="1" customHeight="1" s="311"/>
    <row r="1734" hidden="1" ht="18.75" customFormat="1" customHeight="1" s="311"/>
    <row r="1735" hidden="1" ht="18.75" customFormat="1" customHeight="1" s="311"/>
    <row r="1736" hidden="1" ht="18.75" customFormat="1" customHeight="1" s="311"/>
    <row r="1737" hidden="1" ht="18.75" customFormat="1" customHeight="1" s="311"/>
    <row r="1738" hidden="1" ht="18.75" customFormat="1" customHeight="1" s="311"/>
    <row r="1739" hidden="1" ht="18.75" customFormat="1" customHeight="1" s="311"/>
    <row r="1740" hidden="1" ht="18.75" customFormat="1" customHeight="1" s="311"/>
    <row r="1741" hidden="1" ht="18.75" customFormat="1" customHeight="1" s="311"/>
    <row r="1742" hidden="1" ht="18.75" customFormat="1" customHeight="1" s="311"/>
    <row r="1743" hidden="1" ht="18.75" customFormat="1" customHeight="1" s="311"/>
    <row r="1744" hidden="1" ht="18.75" customFormat="1" customHeight="1" s="311"/>
    <row r="1745" hidden="1" ht="18.75" customFormat="1" customHeight="1" s="311"/>
    <row r="1746" hidden="1" ht="18.75" customFormat="1" customHeight="1" s="311"/>
    <row r="1747" hidden="1" ht="18.75" customFormat="1" customHeight="1" s="311"/>
    <row r="1748" hidden="1" ht="18.75" customFormat="1" customHeight="1" s="311"/>
    <row r="1749" hidden="1" ht="18.75" customFormat="1" customHeight="1" s="311"/>
    <row r="1750" hidden="1" ht="18.75" customFormat="1" customHeight="1" s="311"/>
    <row r="1751" hidden="1" ht="18.75" customFormat="1" customHeight="1" s="311"/>
    <row r="1752" hidden="1" ht="18.75" customFormat="1" customHeight="1" s="311"/>
    <row r="1753" hidden="1" ht="18.75" customFormat="1" customHeight="1" s="311"/>
    <row r="1754" hidden="1" ht="18.75" customFormat="1" customHeight="1" s="311"/>
    <row r="1755" hidden="1" ht="18.75" customFormat="1" customHeight="1" s="311"/>
    <row r="1756" hidden="1" ht="18.75" customFormat="1" customHeight="1" s="311"/>
    <row r="1757" hidden="1" ht="18.75" customFormat="1" customHeight="1" s="311"/>
    <row r="1758" hidden="1" ht="18.75" customFormat="1" customHeight="1" s="311"/>
    <row r="1759" hidden="1" ht="18.75" customFormat="1" customHeight="1" s="311"/>
    <row r="1760" hidden="1" ht="18.75" customFormat="1" customHeight="1" s="311"/>
    <row r="1761" hidden="1" ht="18.75" customFormat="1" customHeight="1" s="311"/>
    <row r="1762" hidden="1" ht="18.75" customFormat="1" customHeight="1" s="311"/>
    <row r="1763" hidden="1" ht="18.75" customFormat="1" customHeight="1" s="311"/>
    <row r="1764" hidden="1" ht="18.75" customFormat="1" customHeight="1" s="311"/>
    <row r="1765" hidden="1" ht="18.75" customFormat="1" customHeight="1" s="311"/>
    <row r="1766" hidden="1" ht="18.75" customFormat="1" customHeight="1" s="311"/>
    <row r="1767" hidden="1" ht="18.75" customFormat="1" customHeight="1" s="311"/>
    <row r="1768" hidden="1" ht="18.75" customFormat="1" customHeight="1" s="311"/>
    <row r="1769" hidden="1" ht="18.75" customFormat="1" customHeight="1" s="311"/>
    <row r="1770" hidden="1" ht="18.75" customFormat="1" customHeight="1" s="311"/>
    <row r="1771" hidden="1" ht="18.75" customFormat="1" customHeight="1" s="311"/>
    <row r="1772" hidden="1" ht="18.75" customFormat="1" customHeight="1" s="311"/>
    <row r="1773" hidden="1" ht="18.75" customFormat="1" customHeight="1" s="311"/>
    <row r="1774" hidden="1" ht="18.75" customFormat="1" customHeight="1" s="311"/>
    <row r="1775" hidden="1" ht="18.75" customFormat="1" customHeight="1" s="311"/>
    <row r="1776" hidden="1" ht="18.75" customFormat="1" customHeight="1" s="311"/>
    <row r="1777" hidden="1" ht="18.75" customFormat="1" customHeight="1" s="311"/>
    <row r="1778" hidden="1" ht="18.75" customFormat="1" customHeight="1" s="311"/>
    <row r="1779" hidden="1" ht="18.75" customFormat="1" customHeight="1" s="311"/>
    <row r="1780" hidden="1" ht="18.75" customFormat="1" customHeight="1" s="311"/>
    <row r="1781" hidden="1" ht="18.75" customFormat="1" customHeight="1" s="311"/>
    <row r="1782" hidden="1" ht="18.75" customFormat="1" customHeight="1" s="311"/>
    <row r="1783" hidden="1" ht="18.75" customFormat="1" customHeight="1" s="311"/>
    <row r="1784" hidden="1" ht="18.75" customFormat="1" customHeight="1" s="311"/>
    <row r="1785" hidden="1" ht="18.75" customFormat="1" customHeight="1" s="311"/>
    <row r="1786" hidden="1" ht="18.75" customFormat="1" customHeight="1" s="311"/>
    <row r="1787" hidden="1" ht="18.75" customFormat="1" customHeight="1" s="311"/>
    <row r="1788" hidden="1" ht="18.75" customFormat="1" customHeight="1" s="311"/>
    <row r="1789" hidden="1" ht="18.75" customFormat="1" customHeight="1" s="311"/>
    <row r="1790" hidden="1" ht="18.75" customFormat="1" customHeight="1" s="311"/>
    <row r="1791" hidden="1" ht="18.75" customFormat="1" customHeight="1" s="311"/>
    <row r="1792" hidden="1" ht="18.75" customFormat="1" customHeight="1" s="311"/>
    <row r="1793" hidden="1" ht="18.75" customFormat="1" customHeight="1" s="311"/>
    <row r="1794" hidden="1" ht="18.75" customFormat="1" customHeight="1" s="311"/>
    <row r="1795" hidden="1" ht="18.75" customFormat="1" customHeight="1" s="311"/>
    <row r="1796" hidden="1" ht="18.75" customFormat="1" customHeight="1" s="311"/>
    <row r="1797" hidden="1" ht="18.75" customFormat="1" customHeight="1" s="311"/>
    <row r="1798" hidden="1" ht="18.75" customFormat="1" customHeight="1" s="311"/>
    <row r="1799" hidden="1" ht="18.75" customFormat="1" customHeight="1" s="311"/>
    <row r="1800" hidden="1" ht="18.75" customFormat="1" customHeight="1" s="311"/>
    <row r="1801" hidden="1" ht="18.75" customFormat="1" customHeight="1" s="311"/>
    <row r="1802" hidden="1" ht="18.75" customFormat="1" customHeight="1" s="311"/>
    <row r="1803" hidden="1" ht="18.75" customFormat="1" customHeight="1" s="311"/>
    <row r="1804" hidden="1" ht="18.75" customFormat="1" customHeight="1" s="311"/>
    <row r="1805" hidden="1" ht="18.75" customFormat="1" customHeight="1" s="311"/>
    <row r="1806" hidden="1" ht="18.75" customFormat="1" customHeight="1" s="311"/>
    <row r="1807" hidden="1" ht="18.75" customFormat="1" customHeight="1" s="311"/>
    <row r="1808" hidden="1" ht="18.75" customFormat="1" customHeight="1" s="311"/>
    <row r="1809" hidden="1" ht="18.75" customFormat="1" customHeight="1" s="311"/>
    <row r="1810" hidden="1" ht="18.75" customFormat="1" customHeight="1" s="311"/>
    <row r="1811" hidden="1" ht="18.75" customFormat="1" customHeight="1" s="311"/>
    <row r="1812" hidden="1" ht="18.75" customFormat="1" customHeight="1" s="311"/>
    <row r="1813" hidden="1" ht="18.75" customFormat="1" customHeight="1" s="311"/>
    <row r="1814" hidden="1" ht="18.75" customFormat="1" customHeight="1" s="311"/>
    <row r="1815" hidden="1" ht="18.75" customFormat="1" customHeight="1" s="311"/>
    <row r="1816" hidden="1" ht="18.75" customFormat="1" customHeight="1" s="311"/>
    <row r="1817" hidden="1" ht="18.75" customFormat="1" customHeight="1" s="311"/>
    <row r="1818" hidden="1" ht="18.75" customFormat="1" customHeight="1" s="311"/>
    <row r="1819" hidden="1" ht="18.75" customFormat="1" customHeight="1" s="311"/>
    <row r="1820" hidden="1" ht="18.75" customFormat="1" customHeight="1" s="311"/>
    <row r="1821" hidden="1" ht="18.75" customFormat="1" customHeight="1" s="311"/>
    <row r="1822" hidden="1" ht="18.75" customFormat="1" customHeight="1" s="311"/>
    <row r="1823" hidden="1" ht="18.75" customFormat="1" customHeight="1" s="311"/>
    <row r="1824" hidden="1" ht="18.75" customFormat="1" customHeight="1" s="311"/>
    <row r="1825" hidden="1" ht="18.75" customFormat="1" customHeight="1" s="311"/>
    <row r="1826" hidden="1" ht="18.75" customFormat="1" customHeight="1" s="311"/>
    <row r="1827" hidden="1" ht="18.75" customFormat="1" customHeight="1" s="311"/>
    <row r="1828" hidden="1" ht="18.75" customFormat="1" customHeight="1" s="311"/>
    <row r="1829" hidden="1" ht="18.75" customFormat="1" customHeight="1" s="311"/>
    <row r="1830" hidden="1" ht="18.75" customFormat="1" customHeight="1" s="311"/>
    <row r="1831" hidden="1" ht="18.75" customFormat="1" customHeight="1" s="311"/>
    <row r="1832" hidden="1" ht="18.75" customFormat="1" customHeight="1" s="311"/>
    <row r="1833" hidden="1" ht="18.75" customFormat="1" customHeight="1" s="311"/>
    <row r="1834" hidden="1" ht="18.75" customFormat="1" customHeight="1" s="311"/>
    <row r="1835" hidden="1" ht="18.75" customFormat="1" customHeight="1" s="311"/>
    <row r="1836" hidden="1" ht="18.75" customFormat="1" customHeight="1" s="311"/>
    <row r="1837" hidden="1" ht="18.75" customFormat="1" customHeight="1" s="311"/>
    <row r="1838" hidden="1" ht="18.75" customFormat="1" customHeight="1" s="311"/>
    <row r="1839" hidden="1" ht="18.75" customFormat="1" customHeight="1" s="311"/>
    <row r="1840" hidden="1" ht="18.75" customFormat="1" customHeight="1" s="311"/>
    <row r="1841" hidden="1" ht="18.75" customFormat="1" customHeight="1" s="311"/>
    <row r="1842" hidden="1" ht="18.75" customFormat="1" customHeight="1" s="311"/>
    <row r="1843" hidden="1" ht="18.75" customFormat="1" customHeight="1" s="311"/>
    <row r="1844" hidden="1" ht="18.75" customFormat="1" customHeight="1" s="311"/>
    <row r="1845" hidden="1" ht="18.75" customFormat="1" customHeight="1" s="311"/>
    <row r="1846" hidden="1" ht="18.75" customFormat="1" customHeight="1" s="311"/>
    <row r="1847" hidden="1" ht="18.75" customFormat="1" customHeight="1" s="311"/>
    <row r="1848" hidden="1" ht="18.75" customFormat="1" customHeight="1" s="311"/>
    <row r="1849" hidden="1" ht="18.75" customFormat="1" customHeight="1" s="311"/>
    <row r="1850" hidden="1" ht="18.75" customFormat="1" customHeight="1" s="311"/>
    <row r="1851" hidden="1" ht="18.75" customFormat="1" customHeight="1" s="311"/>
    <row r="1852" hidden="1" ht="18.75" customFormat="1" customHeight="1" s="311"/>
    <row r="1853" hidden="1" ht="18.75" customFormat="1" customHeight="1" s="311"/>
    <row r="1854" hidden="1" ht="18.75" customFormat="1" customHeight="1" s="311"/>
    <row r="1855" hidden="1" ht="18.75" customFormat="1" customHeight="1" s="311"/>
    <row r="1856" hidden="1" ht="18.75" customFormat="1" customHeight="1" s="311"/>
    <row r="1857" hidden="1" ht="18.75" customFormat="1" customHeight="1" s="311"/>
    <row r="1858" hidden="1" ht="18.75" customFormat="1" customHeight="1" s="311"/>
    <row r="1859" hidden="1" ht="18.75" customFormat="1" customHeight="1" s="311"/>
    <row r="1860" hidden="1" ht="18.75" customFormat="1" customHeight="1" s="311"/>
    <row r="1861" hidden="1" ht="18.75" customFormat="1" customHeight="1" s="311"/>
    <row r="1862" hidden="1" ht="18.75" customFormat="1" customHeight="1" s="311"/>
    <row r="1863" hidden="1" ht="18.75" customFormat="1" customHeight="1" s="311"/>
    <row r="1864" hidden="1" ht="18.75" customFormat="1" customHeight="1" s="311"/>
    <row r="1865" hidden="1" ht="18.75" customFormat="1" customHeight="1" s="311"/>
    <row r="1866" hidden="1" ht="18.75" customFormat="1" customHeight="1" s="311"/>
    <row r="1867" hidden="1" ht="18.75" customFormat="1" customHeight="1" s="311"/>
    <row r="1868" hidden="1" ht="18.75" customFormat="1" customHeight="1" s="311"/>
    <row r="1869" hidden="1" ht="18.75" customFormat="1" customHeight="1" s="311"/>
    <row r="1870" hidden="1" ht="18.75" customFormat="1" customHeight="1" s="311"/>
    <row r="1871" hidden="1" ht="18.75" customFormat="1" customHeight="1" s="311"/>
    <row r="1872" hidden="1" ht="18.75" customFormat="1" customHeight="1" s="311"/>
    <row r="1873" hidden="1" ht="18.75" customFormat="1" customHeight="1" s="311"/>
    <row r="1874" hidden="1" ht="18.75" customFormat="1" customHeight="1" s="311"/>
    <row r="1875" hidden="1" ht="18.75" customFormat="1" customHeight="1" s="311"/>
    <row r="1876" hidden="1" ht="18.75" customFormat="1" customHeight="1" s="311"/>
    <row r="1877" hidden="1" ht="18.75" customFormat="1" customHeight="1" s="311"/>
    <row r="1878" hidden="1" ht="18.75" customFormat="1" customHeight="1" s="311"/>
    <row r="1879" hidden="1" ht="18.75" customFormat="1" customHeight="1" s="311"/>
    <row r="1880" hidden="1" ht="18.75" customFormat="1" customHeight="1" s="311"/>
    <row r="1881" hidden="1" ht="18.75" customFormat="1" customHeight="1" s="311"/>
    <row r="1882" hidden="1" ht="18.75" customFormat="1" customHeight="1" s="311"/>
    <row r="1883" hidden="1" ht="18.75" customFormat="1" customHeight="1" s="311"/>
    <row r="1884" hidden="1" ht="18.75" customFormat="1" customHeight="1" s="311"/>
    <row r="1885" hidden="1" ht="18.75" customFormat="1" customHeight="1" s="311"/>
    <row r="1886" hidden="1" ht="18.75" customFormat="1" customHeight="1" s="311"/>
    <row r="1887" hidden="1" ht="18.75" customFormat="1" customHeight="1" s="311"/>
    <row r="1888" hidden="1" ht="18.75" customFormat="1" customHeight="1" s="311"/>
    <row r="1889" hidden="1" ht="18.75" customFormat="1" customHeight="1" s="311"/>
    <row r="1890" hidden="1" ht="18.75" customFormat="1" customHeight="1" s="311"/>
    <row r="1891" hidden="1" ht="18.75" customFormat="1" customHeight="1" s="311"/>
    <row r="1892" hidden="1" ht="18.75" customFormat="1" customHeight="1" s="311"/>
    <row r="1893" hidden="1" ht="18.75" customFormat="1" customHeight="1" s="311"/>
    <row r="1894" hidden="1" ht="18.75" customFormat="1" customHeight="1" s="311"/>
    <row r="1895" hidden="1" ht="18.75" customFormat="1" customHeight="1" s="311"/>
    <row r="1896" hidden="1" ht="18.75" customFormat="1" customHeight="1" s="311"/>
    <row r="1897" hidden="1" ht="18.75" customFormat="1" customHeight="1" s="311"/>
    <row r="1898" hidden="1" ht="18.75" customFormat="1" customHeight="1" s="311"/>
    <row r="1899" hidden="1" ht="18.75" customFormat="1" customHeight="1" s="311"/>
    <row r="1900" hidden="1" ht="18.75" customFormat="1" customHeight="1" s="311"/>
    <row r="1901" hidden="1" ht="18.75" customFormat="1" customHeight="1" s="311"/>
    <row r="1902" hidden="1" ht="18.75" customFormat="1" customHeight="1" s="311"/>
    <row r="1903" hidden="1" ht="18.75" customFormat="1" customHeight="1" s="311"/>
    <row r="1904" hidden="1" ht="18.75" customFormat="1" customHeight="1" s="311"/>
    <row r="1905" hidden="1" ht="18.75" customFormat="1" customHeight="1" s="311"/>
    <row r="1906" hidden="1" ht="18.75" customFormat="1" customHeight="1" s="311"/>
    <row r="1907" hidden="1" ht="18.75" customFormat="1" customHeight="1" s="311"/>
    <row r="1908" hidden="1" ht="18.75" customFormat="1" customHeight="1" s="311"/>
    <row r="1909" hidden="1" ht="18.75" customFormat="1" customHeight="1" s="311"/>
    <row r="1910" hidden="1" ht="18.75" customFormat="1" customHeight="1" s="311"/>
    <row r="1911" hidden="1" ht="18.75" customFormat="1" customHeight="1" s="311"/>
    <row r="1912" hidden="1" ht="18.75" customFormat="1" customHeight="1" s="311"/>
    <row r="1913" hidden="1" ht="18.75" customFormat="1" customHeight="1" s="311"/>
    <row r="1914" hidden="1" ht="18.75" customFormat="1" customHeight="1" s="311"/>
    <row r="1915" hidden="1" ht="18.75" customFormat="1" customHeight="1" s="311"/>
    <row r="1916" hidden="1" ht="18.75" customFormat="1" customHeight="1" s="311"/>
    <row r="1917" hidden="1" ht="18.75" customFormat="1" customHeight="1" s="311"/>
    <row r="1918" hidden="1" ht="18.75" customFormat="1" customHeight="1" s="311"/>
    <row r="1919" hidden="1" ht="18.75" customFormat="1" customHeight="1" s="311"/>
    <row r="1920" hidden="1" ht="18.75" customFormat="1" customHeight="1" s="311"/>
    <row r="1921" hidden="1" ht="18.75" customFormat="1" customHeight="1" s="311"/>
    <row r="1922" hidden="1" ht="18.75" customFormat="1" customHeight="1" s="311"/>
    <row r="1923" hidden="1" ht="18.75" customFormat="1" customHeight="1" s="311"/>
    <row r="1924" hidden="1" ht="18.75" customFormat="1" customHeight="1" s="311"/>
    <row r="1925" hidden="1" ht="18.75" customFormat="1" customHeight="1" s="311"/>
    <row r="1926" hidden="1" ht="18.75" customFormat="1" customHeight="1" s="311"/>
    <row r="1927" hidden="1" ht="18.75" customFormat="1" customHeight="1" s="311"/>
    <row r="1928" hidden="1" ht="18.75" customFormat="1" customHeight="1" s="311"/>
    <row r="1929" hidden="1" ht="18.75" customFormat="1" customHeight="1" s="311"/>
    <row r="1930" hidden="1" ht="18.75" customFormat="1" customHeight="1" s="311"/>
    <row r="1931" hidden="1" ht="18.75" customFormat="1" customHeight="1" s="311"/>
    <row r="1932" hidden="1" ht="18.75" customFormat="1" customHeight="1" s="311"/>
    <row r="1933" hidden="1" ht="18.75" customFormat="1" customHeight="1" s="311"/>
    <row r="1934" hidden="1" ht="18.75" customFormat="1" customHeight="1" s="311"/>
    <row r="1935" hidden="1" ht="18.75" customFormat="1" customHeight="1" s="311"/>
    <row r="1936" hidden="1" ht="18.75" customFormat="1" customHeight="1" s="311"/>
    <row r="1937" hidden="1" ht="18.75" customFormat="1" customHeight="1" s="311"/>
    <row r="1938" hidden="1" ht="18.75" customFormat="1" customHeight="1" s="311"/>
    <row r="1939" hidden="1" ht="18.75" customFormat="1" customHeight="1" s="311"/>
    <row r="1940" hidden="1" ht="18.75" customFormat="1" customHeight="1" s="311"/>
    <row r="1941" hidden="1" ht="18.75" customFormat="1" customHeight="1" s="311"/>
    <row r="1942" hidden="1" ht="18.75" customFormat="1" customHeight="1" s="311"/>
    <row r="1943" hidden="1" ht="18.75" customFormat="1" customHeight="1" s="311"/>
    <row r="1944" hidden="1" ht="18.75" customFormat="1" customHeight="1" s="311"/>
    <row r="1945" hidden="1" ht="18.75" customFormat="1" customHeight="1" s="311"/>
    <row r="1946" hidden="1" ht="18.75" customFormat="1" customHeight="1" s="311"/>
    <row r="1947" hidden="1" ht="18.75" customFormat="1" customHeight="1" s="311"/>
    <row r="1948" hidden="1" ht="18.75" customFormat="1" customHeight="1" s="311"/>
    <row r="1949" hidden="1" ht="18.75" customFormat="1" customHeight="1" s="311"/>
    <row r="1950" hidden="1" ht="18.75" customFormat="1" customHeight="1" s="311"/>
    <row r="1951" hidden="1" ht="18.75" customFormat="1" customHeight="1" s="311"/>
    <row r="1952" hidden="1" ht="18.75" customFormat="1" customHeight="1" s="311"/>
    <row r="1953" hidden="1" ht="18.75" customFormat="1" customHeight="1" s="311"/>
    <row r="1954" hidden="1" ht="18.75" customFormat="1" customHeight="1" s="311"/>
    <row r="1955" hidden="1" ht="18.75" customFormat="1" customHeight="1" s="311"/>
    <row r="1956" hidden="1" ht="18.75" customFormat="1" customHeight="1" s="311"/>
    <row r="1957" hidden="1" ht="18.75" customFormat="1" customHeight="1" s="311"/>
    <row r="1958" hidden="1" ht="18.75" customFormat="1" customHeight="1" s="311"/>
    <row r="1959" hidden="1" ht="18.75" customFormat="1" customHeight="1" s="311"/>
    <row r="1960" hidden="1" ht="18.75" customFormat="1" customHeight="1" s="311"/>
    <row r="1961" hidden="1" ht="18.75" customFormat="1" customHeight="1" s="311"/>
    <row r="1962" hidden="1" ht="18.75" customFormat="1" customHeight="1" s="311"/>
    <row r="1963" hidden="1" ht="18.75" customFormat="1" customHeight="1" s="311"/>
    <row r="1964" hidden="1" ht="18.75" customFormat="1" customHeight="1" s="311"/>
    <row r="1965" hidden="1" ht="18.75" customFormat="1" customHeight="1" s="311"/>
    <row r="1966" hidden="1" ht="18.75" customFormat="1" customHeight="1" s="311"/>
    <row r="1967" hidden="1" ht="18.75" customFormat="1" customHeight="1" s="311"/>
    <row r="1968" hidden="1" ht="18.75" customFormat="1" customHeight="1" s="311"/>
    <row r="1969" hidden="1" ht="18.75" customFormat="1" customHeight="1" s="311"/>
    <row r="1970" hidden="1" ht="18.75" customFormat="1" customHeight="1" s="311"/>
    <row r="1971" hidden="1" ht="18.75" customFormat="1" customHeight="1" s="311"/>
    <row r="1972" hidden="1" ht="18.75" customFormat="1" customHeight="1" s="311"/>
    <row r="1973" hidden="1" ht="18.75" customFormat="1" customHeight="1" s="311"/>
    <row r="1974" hidden="1" ht="18.75" customFormat="1" customHeight="1" s="311"/>
    <row r="1975" hidden="1" ht="18.75" customFormat="1" customHeight="1" s="311"/>
    <row r="1976" hidden="1" ht="18.75" customFormat="1" customHeight="1" s="311"/>
    <row r="1977" hidden="1" ht="18.75" customFormat="1" customHeight="1" s="311"/>
    <row r="1978" hidden="1" ht="18.75" customFormat="1" customHeight="1" s="311"/>
    <row r="1979" hidden="1" ht="18.75" customFormat="1" customHeight="1" s="311"/>
    <row r="1980" hidden="1" ht="18.75" customFormat="1" customHeight="1" s="311"/>
    <row r="1981" hidden="1" ht="18.75" customFormat="1" customHeight="1" s="311"/>
    <row r="1982" hidden="1" ht="18.75" customFormat="1" customHeight="1" s="311"/>
    <row r="1983" hidden="1" ht="18.75" customFormat="1" customHeight="1" s="311"/>
    <row r="1984" hidden="1" ht="18.75" customFormat="1" customHeight="1" s="311"/>
    <row r="1985" hidden="1" ht="18.75" customFormat="1" customHeight="1" s="311"/>
    <row r="1986" hidden="1" ht="18.75" customFormat="1" customHeight="1" s="311"/>
    <row r="1987" hidden="1" ht="18.75" customFormat="1" customHeight="1" s="311"/>
    <row r="1988" hidden="1" ht="18.75" customFormat="1" customHeight="1" s="311"/>
    <row r="1989" hidden="1" ht="18.75" customFormat="1" customHeight="1" s="311"/>
    <row r="1990" hidden="1" ht="18.75" customFormat="1" customHeight="1" s="311"/>
    <row r="1991" hidden="1" ht="18.75" customFormat="1" customHeight="1" s="311"/>
    <row r="1992" hidden="1" ht="18.75" customFormat="1" customHeight="1" s="311"/>
    <row r="1993" hidden="1" ht="18.75" customFormat="1" customHeight="1" s="311"/>
    <row r="1994" hidden="1" ht="18.75" customFormat="1" customHeight="1" s="311"/>
    <row r="1995" hidden="1" ht="18.75" customFormat="1" customHeight="1" s="311"/>
    <row r="1996" hidden="1" ht="18.75" customFormat="1" customHeight="1" s="311"/>
    <row r="1997" hidden="1" ht="18.75" customFormat="1" customHeight="1" s="311"/>
    <row r="1998" hidden="1" ht="18.75" customFormat="1" customHeight="1" s="311"/>
    <row r="1999" hidden="1" ht="18.75" customFormat="1" customHeight="1" s="311"/>
    <row r="2000" hidden="1" ht="18.75" customFormat="1" customHeight="1" s="311"/>
    <row r="2001" hidden="1" ht="18.75" customFormat="1" customHeight="1" s="311"/>
    <row r="2002" hidden="1" ht="18.75" customFormat="1" customHeight="1" s="311"/>
    <row r="2003" hidden="1" ht="18.75" customFormat="1" customHeight="1" s="311"/>
    <row r="2004" hidden="1" ht="18.75" customFormat="1" customHeight="1" s="311"/>
    <row r="2005" hidden="1" ht="18.75" customFormat="1" customHeight="1" s="311"/>
    <row r="2006" hidden="1" ht="18.75" customFormat="1" customHeight="1" s="311"/>
    <row r="2007" hidden="1" ht="18.75" customFormat="1" customHeight="1" s="311"/>
    <row r="2008" hidden="1" ht="18.75" customFormat="1" customHeight="1" s="311"/>
    <row r="2009" hidden="1" ht="18.75" customFormat="1" customHeight="1" s="311"/>
    <row r="2010" hidden="1" ht="18.75" customFormat="1" customHeight="1" s="311"/>
    <row r="2011" hidden="1" ht="18.75" customFormat="1" customHeight="1" s="311"/>
    <row r="2012" hidden="1" ht="18.75" customFormat="1" customHeight="1" s="311"/>
    <row r="2013" hidden="1" ht="18.75" customFormat="1" customHeight="1" s="311"/>
    <row r="2014" hidden="1" ht="18.75" customFormat="1" customHeight="1" s="311"/>
    <row r="2015" hidden="1" ht="18.75" customFormat="1" customHeight="1" s="311"/>
    <row r="2016" hidden="1" ht="18.75" customFormat="1" customHeight="1" s="311"/>
    <row r="2017" hidden="1" ht="18.75" customFormat="1" customHeight="1" s="311"/>
    <row r="2018" hidden="1" ht="18.75" customFormat="1" customHeight="1" s="311"/>
    <row r="2019" hidden="1" ht="18.75" customFormat="1" customHeight="1" s="311"/>
    <row r="2020" hidden="1" ht="18.75" customFormat="1" customHeight="1" s="311"/>
    <row r="2021" hidden="1" ht="18.75" customFormat="1" customHeight="1" s="311"/>
    <row r="2022" hidden="1" ht="18.75" customFormat="1" customHeight="1" s="311"/>
    <row r="2023" hidden="1" ht="18.75" customFormat="1" customHeight="1" s="311"/>
    <row r="2024" hidden="1" ht="18.75" customFormat="1" customHeight="1" s="311"/>
    <row r="2025" hidden="1" ht="18.75" customFormat="1" customHeight="1" s="311"/>
    <row r="2026" hidden="1" ht="18.75" customFormat="1" customHeight="1" s="311"/>
    <row r="2027" hidden="1" ht="18.75" customFormat="1" customHeight="1" s="311"/>
    <row r="2028" hidden="1" ht="18.75" customFormat="1" customHeight="1" s="311"/>
    <row r="2029" hidden="1" ht="18.75" customFormat="1" customHeight="1" s="311"/>
    <row r="2030" hidden="1" ht="18.75" customFormat="1" customHeight="1" s="311"/>
    <row r="2031" hidden="1" ht="18.75" customFormat="1" customHeight="1" s="311"/>
    <row r="2032" hidden="1" ht="18.75" customFormat="1" customHeight="1" s="311"/>
    <row r="2033" hidden="1" ht="18.75" customFormat="1" customHeight="1" s="311"/>
    <row r="2034" hidden="1" ht="18.75" customFormat="1" customHeight="1" s="311"/>
    <row r="2035" hidden="1" ht="18.75" customFormat="1" customHeight="1" s="311"/>
    <row r="2036" hidden="1" ht="18.75" customFormat="1" customHeight="1" s="311"/>
    <row r="2037" hidden="1" ht="18.75" customFormat="1" customHeight="1" s="311"/>
    <row r="2038" hidden="1" ht="18.75" customFormat="1" customHeight="1" s="311"/>
    <row r="2039" hidden="1" ht="18.75" customFormat="1" customHeight="1" s="311"/>
    <row r="2040" hidden="1" ht="18.75" customFormat="1" customHeight="1" s="311"/>
    <row r="2041" hidden="1" ht="18.75" customFormat="1" customHeight="1" s="311"/>
    <row r="2042" hidden="1" ht="18.75" customFormat="1" customHeight="1" s="311"/>
    <row r="2043" hidden="1" ht="18.75" customFormat="1" customHeight="1" s="311"/>
    <row r="2044" hidden="1" ht="18.75" customFormat="1" customHeight="1" s="311"/>
    <row r="2045" hidden="1" ht="18.75" customFormat="1" customHeight="1" s="311"/>
    <row r="2046" hidden="1" ht="18.75" customFormat="1" customHeight="1" s="311"/>
    <row r="2047" hidden="1" ht="18.75" customFormat="1" customHeight="1" s="311"/>
    <row r="2048" hidden="1" ht="18.75" customFormat="1" customHeight="1" s="311"/>
    <row r="2049" hidden="1" ht="18.75" customFormat="1" customHeight="1" s="311"/>
    <row r="2050" hidden="1" ht="18.75" customFormat="1" customHeight="1" s="311"/>
    <row r="2051" hidden="1" ht="18.75" customFormat="1" customHeight="1" s="311"/>
    <row r="2052" hidden="1" ht="18.75" customFormat="1" customHeight="1" s="311"/>
    <row r="2053" hidden="1" ht="18.75" customFormat="1" customHeight="1" s="311"/>
    <row r="2054" hidden="1" ht="18.75" customFormat="1" customHeight="1" s="311"/>
    <row r="2055" hidden="1" ht="18.75" customFormat="1" customHeight="1" s="311"/>
    <row r="2056" hidden="1" ht="18.75" customFormat="1" customHeight="1" s="311"/>
    <row r="2057" hidden="1" ht="18.75" customFormat="1" customHeight="1" s="311"/>
    <row r="2058" hidden="1" ht="18.75" customFormat="1" customHeight="1" s="311"/>
    <row r="2059" hidden="1" ht="18.75" customFormat="1" customHeight="1" s="311"/>
    <row r="2060" hidden="1" ht="18.75" customFormat="1" customHeight="1" s="311"/>
    <row r="2061" hidden="1" ht="18.75" customFormat="1" customHeight="1" s="311"/>
    <row r="2062" hidden="1" ht="18.75" customFormat="1" customHeight="1" s="311"/>
    <row r="2063" hidden="1" ht="18.75" customFormat="1" customHeight="1" s="311"/>
    <row r="2064" hidden="1" ht="18.75" customFormat="1" customHeight="1" s="311"/>
    <row r="2065" hidden="1" ht="18.75" customFormat="1" customHeight="1" s="311"/>
    <row r="2066" hidden="1" ht="18.75" customFormat="1" customHeight="1" s="311"/>
    <row r="2067" hidden="1" ht="18.75" customFormat="1" customHeight="1" s="311"/>
    <row r="2068" hidden="1" ht="18.75" customFormat="1" customHeight="1" s="311"/>
    <row r="2069" hidden="1" ht="18.75" customFormat="1" customHeight="1" s="311"/>
    <row r="2070" hidden="1" ht="18.75" customFormat="1" customHeight="1" s="311"/>
    <row r="2071" hidden="1" ht="18.75" customFormat="1" customHeight="1" s="311"/>
    <row r="2072" hidden="1" ht="18.75" customFormat="1" customHeight="1" s="311"/>
    <row r="2073" hidden="1" ht="18.75" customFormat="1" customHeight="1" s="311"/>
    <row r="2074" hidden="1" ht="18.75" customFormat="1" customHeight="1" s="311"/>
    <row r="2075" hidden="1" ht="18.75" customFormat="1" customHeight="1" s="311"/>
    <row r="2076" hidden="1" ht="18.75" customFormat="1" customHeight="1" s="311"/>
    <row r="2077" hidden="1" ht="18.75" customFormat="1" customHeight="1" s="311"/>
    <row r="2078" hidden="1" ht="18.75" customFormat="1" customHeight="1" s="311"/>
    <row r="2079" hidden="1" ht="18.75" customFormat="1" customHeight="1" s="311"/>
    <row r="2080" hidden="1" ht="18.75" customFormat="1" customHeight="1" s="311"/>
    <row r="2081" hidden="1" ht="18.75" customFormat="1" customHeight="1" s="311"/>
    <row r="2082" hidden="1" ht="18.75" customFormat="1" customHeight="1" s="311"/>
    <row r="2083" hidden="1" ht="18.75" customFormat="1" customHeight="1" s="311"/>
    <row r="2084" hidden="1" ht="18.75" customFormat="1" customHeight="1" s="311"/>
    <row r="2085" hidden="1" ht="18.75" customFormat="1" customHeight="1" s="311"/>
    <row r="2086" hidden="1" ht="18.75" customFormat="1" customHeight="1" s="311"/>
    <row r="2087" hidden="1" ht="18.75" customFormat="1" customHeight="1" s="311"/>
    <row r="2088" hidden="1" ht="18.75" customFormat="1" customHeight="1" s="311"/>
    <row r="2089" hidden="1" ht="18.75" customFormat="1" customHeight="1" s="311"/>
    <row r="2090" hidden="1" ht="18.75" customFormat="1" customHeight="1" s="311"/>
    <row r="2091" hidden="1" ht="18.75" customFormat="1" customHeight="1" s="311"/>
    <row r="2092" hidden="1" ht="18.75" customFormat="1" customHeight="1" s="311"/>
    <row r="2093" hidden="1" ht="18.75" customFormat="1" customHeight="1" s="311"/>
    <row r="2094" hidden="1" ht="18.75" customFormat="1" customHeight="1" s="311"/>
    <row r="2095" hidden="1" ht="18.75" customFormat="1" customHeight="1" s="311"/>
    <row r="2096" hidden="1" ht="18.75" customFormat="1" customHeight="1" s="311"/>
    <row r="2097" hidden="1" ht="18.75" customFormat="1" customHeight="1" s="311"/>
    <row r="2098" hidden="1" ht="18.75" customFormat="1" customHeight="1" s="311"/>
    <row r="2099" hidden="1" ht="18.75" customFormat="1" customHeight="1" s="311"/>
    <row r="2100" hidden="1" ht="18.75" customFormat="1" customHeight="1" s="311"/>
    <row r="2101" hidden="1" ht="18.75" customFormat="1" customHeight="1" s="311"/>
    <row r="2102" hidden="1" ht="18.75" customFormat="1" customHeight="1" s="311"/>
    <row r="2103" hidden="1" ht="18.75" customFormat="1" customHeight="1" s="311"/>
    <row r="2104" hidden="1" ht="18.75" customFormat="1" customHeight="1" s="311"/>
    <row r="2105" hidden="1" ht="18.75" customFormat="1" customHeight="1" s="311"/>
    <row r="2106" hidden="1" ht="18.75" customFormat="1" customHeight="1" s="311"/>
    <row r="2107" hidden="1" ht="18.75" customFormat="1" customHeight="1" s="311"/>
    <row r="2108" hidden="1" ht="18.75" customFormat="1" customHeight="1" s="311"/>
    <row r="2109" hidden="1" ht="18.75" customFormat="1" customHeight="1" s="311"/>
    <row r="2110" hidden="1" ht="18.75" customFormat="1" customHeight="1" s="311"/>
    <row r="2111" hidden="1" ht="18.75" customFormat="1" customHeight="1" s="311"/>
    <row r="2112" hidden="1" ht="18.75" customFormat="1" customHeight="1" s="311"/>
    <row r="2113" hidden="1" ht="18.75" customFormat="1" customHeight="1" s="311"/>
    <row r="2114" hidden="1" ht="18.75" customFormat="1" customHeight="1" s="311"/>
    <row r="2115" hidden="1" ht="18.75" customFormat="1" customHeight="1" s="311"/>
    <row r="2116" hidden="1" ht="18.75" customFormat="1" customHeight="1" s="311"/>
    <row r="2117" hidden="1" ht="18.75" customFormat="1" customHeight="1" s="311"/>
    <row r="2118" hidden="1" ht="18.75" customFormat="1" customHeight="1" s="311"/>
    <row r="2119" hidden="1" ht="18.75" customFormat="1" customHeight="1" s="311"/>
    <row r="2120" hidden="1" ht="18.75" customFormat="1" customHeight="1" s="311"/>
    <row r="2121" hidden="1" ht="18.75" customFormat="1" customHeight="1" s="311"/>
    <row r="2122" hidden="1" ht="18.75" customFormat="1" customHeight="1" s="311"/>
    <row r="2123" hidden="1" ht="18.75" customFormat="1" customHeight="1" s="311"/>
    <row r="2124" hidden="1" ht="18.75" customFormat="1" customHeight="1" s="311"/>
    <row r="2125" hidden="1" ht="18.75" customFormat="1" customHeight="1" s="311"/>
    <row r="2126" hidden="1" ht="18.75" customFormat="1" customHeight="1" s="311"/>
    <row r="2127" hidden="1" ht="18.75" customFormat="1" customHeight="1" s="311"/>
    <row r="2128" hidden="1" ht="18.75" customFormat="1" customHeight="1" s="311"/>
    <row r="2129" hidden="1" ht="18.75" customFormat="1" customHeight="1" s="311"/>
    <row r="2130" hidden="1" ht="18.75" customFormat="1" customHeight="1" s="311"/>
    <row r="2131" hidden="1" ht="18.75" customFormat="1" customHeight="1" s="311"/>
    <row r="2132" hidden="1" ht="18.75" customFormat="1" customHeight="1" s="311"/>
    <row r="2133" hidden="1" ht="18.75" customFormat="1" customHeight="1" s="311"/>
    <row r="2134" hidden="1" ht="18.75" customFormat="1" customHeight="1" s="311"/>
    <row r="2135" hidden="1" ht="18.75" customFormat="1" customHeight="1" s="311"/>
    <row r="2136" hidden="1" ht="18.75" customFormat="1" customHeight="1" s="311"/>
    <row r="2137" hidden="1" ht="18.75" customFormat="1" customHeight="1" s="311"/>
    <row r="2138" hidden="1" ht="18.75" customFormat="1" customHeight="1" s="311"/>
    <row r="2139" hidden="1" ht="18.75" customFormat="1" customHeight="1" s="311"/>
    <row r="2140" hidden="1" ht="18.75" customFormat="1" customHeight="1" s="311"/>
    <row r="2141" hidden="1" ht="18.75" customFormat="1" customHeight="1" s="311"/>
    <row r="2142" hidden="1" ht="18.75" customFormat="1" customHeight="1" s="311"/>
    <row r="2143" hidden="1" ht="18.75" customFormat="1" customHeight="1" s="311"/>
    <row r="2144" hidden="1" ht="18.75" customFormat="1" customHeight="1" s="311"/>
    <row r="2145" hidden="1" ht="18.75" customFormat="1" customHeight="1" s="311"/>
    <row r="2146" hidden="1" ht="18.75" customFormat="1" customHeight="1" s="311"/>
    <row r="2147" hidden="1" ht="18.75" customFormat="1" customHeight="1" s="311"/>
    <row r="2148" hidden="1" ht="18.75" customFormat="1" customHeight="1" s="311"/>
    <row r="2149" hidden="1" ht="18.75" customFormat="1" customHeight="1" s="311"/>
    <row r="2150" hidden="1" ht="18.75" customFormat="1" customHeight="1" s="311"/>
    <row r="2151" hidden="1" ht="18.75" customFormat="1" customHeight="1" s="311"/>
    <row r="2152" hidden="1" ht="18.75" customFormat="1" customHeight="1" s="311"/>
    <row r="2153" hidden="1" ht="18.75" customFormat="1" customHeight="1" s="311"/>
    <row r="2154" hidden="1" ht="18.75" customFormat="1" customHeight="1" s="311"/>
    <row r="2155" hidden="1" ht="18.75" customFormat="1" customHeight="1" s="311"/>
    <row r="2156" hidden="1" ht="18.75" customFormat="1" customHeight="1" s="311"/>
    <row r="2157" hidden="1" ht="18.75" customFormat="1" customHeight="1" s="311"/>
    <row r="2158" hidden="1" ht="18.75" customFormat="1" customHeight="1" s="311"/>
    <row r="2159" hidden="1" ht="18.75" customFormat="1" customHeight="1" s="311"/>
    <row r="2160" hidden="1" ht="18.75" customFormat="1" customHeight="1" s="311"/>
    <row r="2161" hidden="1" ht="18.75" customFormat="1" customHeight="1" s="311"/>
    <row r="2162" hidden="1" ht="18.75" customFormat="1" customHeight="1" s="311"/>
    <row r="2163" hidden="1" ht="18.75" customFormat="1" customHeight="1" s="311"/>
    <row r="2164" hidden="1" ht="18.75" customFormat="1" customHeight="1" s="311"/>
    <row r="2165" hidden="1" ht="18.75" customFormat="1" customHeight="1" s="311"/>
    <row r="2166" hidden="1" ht="18.75" customFormat="1" customHeight="1" s="311"/>
    <row r="2167" hidden="1" ht="18.75" customFormat="1" customHeight="1" s="311"/>
    <row r="2168" hidden="1" ht="18.75" customFormat="1" customHeight="1" s="311"/>
    <row r="2169" hidden="1" ht="18.75" customFormat="1" customHeight="1" s="311"/>
    <row r="2170" hidden="1" ht="18.75" customFormat="1" customHeight="1" s="311"/>
    <row r="2171" hidden="1" ht="18.75" customFormat="1" customHeight="1" s="311"/>
    <row r="2172" hidden="1" ht="18.75" customFormat="1" customHeight="1" s="311"/>
    <row r="2173" hidden="1" ht="18.75" customFormat="1" customHeight="1" s="311"/>
    <row r="2174" hidden="1" ht="18.75" customFormat="1" customHeight="1" s="311"/>
    <row r="2175" hidden="1" ht="18.75" customFormat="1" customHeight="1" s="311"/>
    <row r="2176" hidden="1" ht="18.75" customFormat="1" customHeight="1" s="311"/>
    <row r="2177" hidden="1" ht="18.75" customFormat="1" customHeight="1" s="311"/>
    <row r="2178" hidden="1" ht="18.75" customFormat="1" customHeight="1" s="311"/>
    <row r="2179" hidden="1" ht="18.75" customFormat="1" customHeight="1" s="311"/>
    <row r="2180" hidden="1" ht="18.75" customFormat="1" customHeight="1" s="311"/>
    <row r="2181" hidden="1" ht="18.75" customFormat="1" customHeight="1" s="311"/>
    <row r="2182" hidden="1" ht="18.75" customFormat="1" customHeight="1" s="311"/>
    <row r="2183" hidden="1" ht="18.75" customFormat="1" customHeight="1" s="311"/>
    <row r="2184" hidden="1" ht="18.75" customFormat="1" customHeight="1" s="311"/>
    <row r="2185" hidden="1" ht="18.75" customFormat="1" customHeight="1" s="311"/>
    <row r="2186" hidden="1" ht="18.75" customFormat="1" customHeight="1" s="311"/>
    <row r="2187" hidden="1" ht="18.75" customFormat="1" customHeight="1" s="311"/>
    <row r="2188" hidden="1" ht="18.75" customFormat="1" customHeight="1" s="311"/>
    <row r="2189" hidden="1" ht="18.75" customFormat="1" customHeight="1" s="311"/>
    <row r="2190" hidden="1" ht="18.75" customFormat="1" customHeight="1" s="311"/>
    <row r="2191" hidden="1" ht="18.75" customFormat="1" customHeight="1" s="311"/>
    <row r="2192" hidden="1" ht="18.75" customFormat="1" customHeight="1" s="311"/>
    <row r="2193" hidden="1" ht="18.75" customFormat="1" customHeight="1" s="311"/>
    <row r="2194" hidden="1" ht="18.75" customFormat="1" customHeight="1" s="311"/>
    <row r="2195" hidden="1" ht="18.75" customFormat="1" customHeight="1" s="311"/>
    <row r="2196" hidden="1" ht="18.75" customFormat="1" customHeight="1" s="311"/>
    <row r="2197" hidden="1" ht="18.75" customFormat="1" customHeight="1" s="311"/>
    <row r="2198" hidden="1" ht="18.75" customFormat="1" customHeight="1" s="311"/>
    <row r="2199" hidden="1" ht="18.75" customFormat="1" customHeight="1" s="311"/>
    <row r="2200" hidden="1" ht="18.75" customFormat="1" customHeight="1" s="311"/>
    <row r="2201" hidden="1" ht="18.75" customFormat="1" customHeight="1" s="311"/>
    <row r="2202" hidden="1" ht="18.75" customFormat="1" customHeight="1" s="311"/>
    <row r="2203" hidden="1" ht="18.75" customFormat="1" customHeight="1" s="311"/>
    <row r="2204" hidden="1" ht="18.75" customFormat="1" customHeight="1" s="311"/>
    <row r="2205" hidden="1" ht="18.75" customFormat="1" customHeight="1" s="311"/>
    <row r="2206" hidden="1" ht="18.75" customFormat="1" customHeight="1" s="311"/>
    <row r="2207" hidden="1" ht="18.75" customFormat="1" customHeight="1" s="311"/>
    <row r="2208" hidden="1" ht="18.75" customFormat="1" customHeight="1" s="311"/>
    <row r="2209" hidden="1" ht="18.75" customFormat="1" customHeight="1" s="311"/>
    <row r="2210" hidden="1" ht="18.75" customFormat="1" customHeight="1" s="311"/>
    <row r="2211" hidden="1" ht="18.75" customFormat="1" customHeight="1" s="311"/>
    <row r="2212" hidden="1" ht="18.75" customFormat="1" customHeight="1" s="311"/>
    <row r="2213" hidden="1" ht="18.75" customFormat="1" customHeight="1" s="311"/>
    <row r="2214" hidden="1" ht="18.75" customFormat="1" customHeight="1" s="311"/>
    <row r="2215" hidden="1" ht="18.75" customFormat="1" customHeight="1" s="311"/>
    <row r="2216" hidden="1" ht="18.75" customFormat="1" customHeight="1" s="311"/>
    <row r="2217" hidden="1" ht="18.75" customFormat="1" customHeight="1" s="311"/>
    <row r="2218" hidden="1" ht="18.75" customFormat="1" customHeight="1" s="311"/>
    <row r="2219" hidden="1" ht="18.75" customFormat="1" customHeight="1" s="311"/>
    <row r="2220" hidden="1" ht="18.75" customFormat="1" customHeight="1" s="311"/>
    <row r="2221" hidden="1" ht="18.75" customFormat="1" customHeight="1" s="311"/>
    <row r="2222" hidden="1" ht="18.75" customFormat="1" customHeight="1" s="311"/>
    <row r="2223" hidden="1" ht="18.75" customFormat="1" customHeight="1" s="311"/>
    <row r="2224" hidden="1" ht="18.75" customFormat="1" customHeight="1" s="311"/>
    <row r="2225" hidden="1" ht="18.75" customFormat="1" customHeight="1" s="311"/>
    <row r="2226" hidden="1" ht="18.75" customFormat="1" customHeight="1" s="311"/>
    <row r="2227" hidden="1" ht="18.75" customFormat="1" customHeight="1" s="311"/>
    <row r="2228" hidden="1" ht="18.75" customFormat="1" customHeight="1" s="311"/>
    <row r="2229" hidden="1" ht="18.75" customFormat="1" customHeight="1" s="311"/>
    <row r="2230" hidden="1" ht="18.75" customFormat="1" customHeight="1" s="311"/>
    <row r="2231" hidden="1" ht="18.75" customFormat="1" customHeight="1" s="311"/>
    <row r="2232" hidden="1" ht="18.75" customFormat="1" customHeight="1" s="311"/>
    <row r="2233" hidden="1" ht="18.75" customFormat="1" customHeight="1" s="311"/>
    <row r="2234" hidden="1" ht="18.75" customFormat="1" customHeight="1" s="311"/>
    <row r="2235" hidden="1" ht="18.75" customFormat="1" customHeight="1" s="311"/>
    <row r="2236" hidden="1" ht="18.75" customFormat="1" customHeight="1" s="311"/>
    <row r="2237" hidden="1" ht="18.75" customFormat="1" customHeight="1" s="311"/>
    <row r="2238" hidden="1" ht="18.75" customFormat="1" customHeight="1" s="311"/>
    <row r="2239" hidden="1" ht="18.75" customFormat="1" customHeight="1" s="311"/>
    <row r="2240" hidden="1" ht="18.75" customFormat="1" customHeight="1" s="311"/>
    <row r="2241" hidden="1" ht="18.75" customFormat="1" customHeight="1" s="311"/>
    <row r="2242" hidden="1" ht="18.75" customFormat="1" customHeight="1" s="311"/>
    <row r="2243" hidden="1" ht="18.75" customFormat="1" customHeight="1" s="311"/>
    <row r="2244" hidden="1" ht="18.75" customFormat="1" customHeight="1" s="311"/>
    <row r="2245" hidden="1" ht="18.75" customFormat="1" customHeight="1" s="311"/>
    <row r="2246" hidden="1" ht="18.75" customFormat="1" customHeight="1" s="311"/>
    <row r="2247" hidden="1" ht="18.75" customFormat="1" customHeight="1" s="311"/>
    <row r="2248" hidden="1" ht="18.75" customFormat="1" customHeight="1" s="311"/>
    <row r="2249" hidden="1" ht="18.75" customFormat="1" customHeight="1" s="311"/>
    <row r="2250" hidden="1" ht="18.75" customFormat="1" customHeight="1" s="311"/>
    <row r="2251" hidden="1" ht="18.75" customFormat="1" customHeight="1" s="311"/>
    <row r="2252" hidden="1" ht="18.75" customFormat="1" customHeight="1" s="311"/>
    <row r="2253" hidden="1" ht="18.75" customFormat="1" customHeight="1" s="311"/>
    <row r="2254" hidden="1" ht="18.75" customFormat="1" customHeight="1" s="311"/>
    <row r="2255" hidden="1" ht="18.75" customFormat="1" customHeight="1" s="311"/>
    <row r="2256" hidden="1" ht="18.75" customFormat="1" customHeight="1" s="311"/>
    <row r="2257" hidden="1" ht="18.75" customFormat="1" customHeight="1" s="311"/>
    <row r="2258" hidden="1" ht="18.75" customFormat="1" customHeight="1" s="311"/>
    <row r="2259" hidden="1" ht="18.75" customFormat="1" customHeight="1" s="311"/>
    <row r="2260" hidden="1" ht="18.75" customFormat="1" customHeight="1" s="311"/>
    <row r="2261" hidden="1" ht="18.75" customFormat="1" customHeight="1" s="311"/>
    <row r="2262" hidden="1" ht="18.75" customFormat="1" customHeight="1" s="311"/>
    <row r="2263" hidden="1" ht="18.75" customFormat="1" customHeight="1" s="311"/>
    <row r="2264" hidden="1" ht="18.75" customFormat="1" customHeight="1" s="311"/>
    <row r="2265" hidden="1" ht="18.75" customFormat="1" customHeight="1" s="311"/>
    <row r="2266" hidden="1" ht="18.75" customFormat="1" customHeight="1" s="311"/>
    <row r="2267" hidden="1" ht="18.75" customFormat="1" customHeight="1" s="311"/>
    <row r="2268" hidden="1" ht="18.75" customFormat="1" customHeight="1" s="311"/>
    <row r="2269" hidden="1" ht="18.75" customFormat="1" customHeight="1" s="311"/>
    <row r="2270" hidden="1" ht="18.75" customFormat="1" customHeight="1" s="311"/>
    <row r="2271" hidden="1" ht="18.75" customFormat="1" customHeight="1" s="311"/>
    <row r="2272" hidden="1" ht="18.75" customFormat="1" customHeight="1" s="311"/>
    <row r="2273" hidden="1" ht="18.75" customFormat="1" customHeight="1" s="311"/>
    <row r="2274" hidden="1" ht="18.75" customFormat="1" customHeight="1" s="311"/>
    <row r="2275" hidden="1" ht="18.75" customFormat="1" customHeight="1" s="311"/>
    <row r="2276" hidden="1" ht="18.75" customFormat="1" customHeight="1" s="311"/>
    <row r="2277" hidden="1" ht="18.75" customFormat="1" customHeight="1" s="311"/>
    <row r="2278" hidden="1" ht="18.75" customFormat="1" customHeight="1" s="311"/>
    <row r="2279" hidden="1" ht="18.75" customFormat="1" customHeight="1" s="311"/>
    <row r="2280" hidden="1" ht="18.75" customFormat="1" customHeight="1" s="311"/>
    <row r="2281" hidden="1" ht="18.75" customFormat="1" customHeight="1" s="311"/>
    <row r="2282" hidden="1" ht="18.75" customFormat="1" customHeight="1" s="311"/>
    <row r="2283" hidden="1" ht="18.75" customFormat="1" customHeight="1" s="311"/>
    <row r="2284" hidden="1" ht="18.75" customFormat="1" customHeight="1" s="311"/>
    <row r="2285" hidden="1" ht="18.75" customFormat="1" customHeight="1" s="311"/>
    <row r="2286" hidden="1" ht="18.75" customFormat="1" customHeight="1" s="311"/>
    <row r="2287" hidden="1" ht="18.75" customFormat="1" customHeight="1" s="311"/>
    <row r="2288" hidden="1" ht="18.75" customFormat="1" customHeight="1" s="311"/>
    <row r="2289" hidden="1" ht="18.75" customFormat="1" customHeight="1" s="311"/>
    <row r="2290" hidden="1" ht="18.75" customFormat="1" customHeight="1" s="311"/>
    <row r="2291" hidden="1" ht="18.75" customFormat="1" customHeight="1" s="311"/>
    <row r="2292" hidden="1" ht="18.75" customFormat="1" customHeight="1" s="311"/>
    <row r="2293" hidden="1" ht="18.75" customFormat="1" customHeight="1" s="311"/>
    <row r="2294" hidden="1" ht="18.75" customFormat="1" customHeight="1" s="311"/>
    <row r="2295" hidden="1" ht="18.75" customFormat="1" customHeight="1" s="311"/>
    <row r="2296" hidden="1" ht="18.75" customFormat="1" customHeight="1" s="311"/>
    <row r="2297" hidden="1" ht="18.75" customFormat="1" customHeight="1" s="311"/>
    <row r="2298" hidden="1" ht="18.75" customFormat="1" customHeight="1" s="311"/>
    <row r="2299" hidden="1" ht="18.75" customFormat="1" customHeight="1" s="311"/>
    <row r="2300" hidden="1" ht="18.75" customFormat="1" customHeight="1" s="311"/>
    <row r="2301" hidden="1" ht="18.75" customFormat="1" customHeight="1" s="311"/>
    <row r="2302" hidden="1" ht="18.75" customFormat="1" customHeight="1" s="311"/>
    <row r="2303" hidden="1" ht="18.75" customFormat="1" customHeight="1" s="311"/>
    <row r="2304" hidden="1" ht="18.75" customFormat="1" customHeight="1" s="311"/>
    <row r="2305" hidden="1" ht="18.75" customFormat="1" customHeight="1" s="311"/>
    <row r="2306" hidden="1" ht="18.75" customFormat="1" customHeight="1" s="311"/>
    <row r="2307" hidden="1" ht="18.75" customFormat="1" customHeight="1" s="311"/>
    <row r="2308" hidden="1" ht="18.75" customFormat="1" customHeight="1" s="311"/>
    <row r="2309" hidden="1" ht="18.75" customFormat="1" customHeight="1" s="311"/>
    <row r="2310" hidden="1" ht="18.75" customFormat="1" customHeight="1" s="311"/>
    <row r="2311" hidden="1" ht="18.75" customFormat="1" customHeight="1" s="311"/>
    <row r="2312" hidden="1" ht="18.75" customFormat="1" customHeight="1" s="311"/>
    <row r="2313" hidden="1" ht="18.75" customFormat="1" customHeight="1" s="311"/>
    <row r="2314" hidden="1" ht="18.75" customFormat="1" customHeight="1" s="311"/>
    <row r="2315" hidden="1" ht="18.75" customFormat="1" customHeight="1" s="311"/>
    <row r="2316" hidden="1" ht="18.75" customFormat="1" customHeight="1" s="311"/>
    <row r="2317" hidden="1" ht="18.75" customFormat="1" customHeight="1" s="311"/>
    <row r="2318" hidden="1" ht="18.75" customFormat="1" customHeight="1" s="311"/>
    <row r="2319" hidden="1" ht="18.75" customFormat="1" customHeight="1" s="311"/>
    <row r="2320" hidden="1" ht="18.75" customFormat="1" customHeight="1" s="311"/>
    <row r="2321" hidden="1" ht="18.75" customFormat="1" customHeight="1" s="311"/>
    <row r="2322" hidden="1" ht="18.75" customFormat="1" customHeight="1" s="311"/>
    <row r="2323" hidden="1" ht="18.75" customFormat="1" customHeight="1" s="311"/>
    <row r="2324" hidden="1" ht="18.75" customFormat="1" customHeight="1" s="311"/>
    <row r="2325" hidden="1" ht="18.75" customFormat="1" customHeight="1" s="311"/>
    <row r="2326" hidden="1" ht="18.75" customFormat="1" customHeight="1" s="311"/>
    <row r="2327" hidden="1" ht="18.75" customFormat="1" customHeight="1" s="311"/>
    <row r="2328" hidden="1" ht="18.75" customFormat="1" customHeight="1" s="311"/>
    <row r="2329" hidden="1" ht="18.75" customFormat="1" customHeight="1" s="311"/>
    <row r="2330" hidden="1" ht="18.75" customFormat="1" customHeight="1" s="311"/>
    <row r="2331" hidden="1" ht="18.75" customFormat="1" customHeight="1" s="311"/>
    <row r="2332" hidden="1" ht="18.75" customFormat="1" customHeight="1" s="311"/>
    <row r="2333" hidden="1" ht="18.75" customFormat="1" customHeight="1" s="311"/>
    <row r="2334" hidden="1" ht="18.75" customFormat="1" customHeight="1" s="311"/>
    <row r="2335" hidden="1" ht="18.75" customFormat="1" customHeight="1" s="311"/>
    <row r="2336" hidden="1" ht="18.75" customFormat="1" customHeight="1" s="311"/>
    <row r="2337" hidden="1" ht="18.75" customFormat="1" customHeight="1" s="311"/>
    <row r="2338" hidden="1" ht="18.75" customFormat="1" customHeight="1" s="311"/>
    <row r="2339" hidden="1" ht="18.75" customFormat="1" customHeight="1" s="311"/>
    <row r="2340" hidden="1" ht="18.75" customFormat="1" customHeight="1" s="311"/>
    <row r="2341" hidden="1" ht="18.75" customFormat="1" customHeight="1" s="311"/>
    <row r="2342" hidden="1" ht="18.75" customFormat="1" customHeight="1" s="311"/>
    <row r="2343" hidden="1" ht="18.75" customFormat="1" customHeight="1" s="311"/>
    <row r="2344" hidden="1" ht="18.75" customFormat="1" customHeight="1" s="311"/>
    <row r="2345" hidden="1" ht="18.75" customFormat="1" customHeight="1" s="311"/>
    <row r="2346" hidden="1" ht="18.75" customFormat="1" customHeight="1" s="311"/>
    <row r="2347" hidden="1" ht="18.75" customFormat="1" customHeight="1" s="311"/>
    <row r="2348" hidden="1" ht="18.75" customFormat="1" customHeight="1" s="311"/>
    <row r="2349" hidden="1" ht="18.75" customFormat="1" customHeight="1" s="311"/>
    <row r="2350" hidden="1" ht="18.75" customFormat="1" customHeight="1" s="311"/>
    <row r="2351" hidden="1" ht="18.75" customFormat="1" customHeight="1" s="311"/>
    <row r="2352" hidden="1" ht="18.75" customFormat="1" customHeight="1" s="311"/>
    <row r="2353" hidden="1" ht="18.75" customFormat="1" customHeight="1" s="311"/>
    <row r="2354" hidden="1" ht="18.75" customFormat="1" customHeight="1" s="311"/>
    <row r="2355" hidden="1" ht="18.75" customFormat="1" customHeight="1" s="311"/>
    <row r="2356" hidden="1" ht="18.75" customFormat="1" customHeight="1" s="311"/>
    <row r="2357" hidden="1" ht="18.75" customFormat="1" customHeight="1" s="311"/>
    <row r="2358" hidden="1" ht="18.75" customFormat="1" customHeight="1" s="311"/>
    <row r="2359" hidden="1" ht="18.75" customFormat="1" customHeight="1" s="311"/>
    <row r="2360" hidden="1" ht="18.75" customFormat="1" customHeight="1" s="311"/>
    <row r="2361" hidden="1" ht="18.75" customFormat="1" customHeight="1" s="311"/>
    <row r="2362" hidden="1" ht="18.75" customFormat="1" customHeight="1" s="311"/>
    <row r="2363" hidden="1" ht="18.75" customFormat="1" customHeight="1" s="311"/>
    <row r="2364" hidden="1" ht="18.75" customFormat="1" customHeight="1" s="311"/>
    <row r="2365" hidden="1" ht="18.75" customFormat="1" customHeight="1" s="311"/>
    <row r="2366" hidden="1" ht="18.75" customFormat="1" customHeight="1" s="311"/>
    <row r="2367" hidden="1" ht="18.75" customFormat="1" customHeight="1" s="311"/>
    <row r="2368" hidden="1" ht="18.75" customFormat="1" customHeight="1" s="311"/>
    <row r="2369" hidden="1" ht="18.75" customFormat="1" customHeight="1" s="311"/>
    <row r="2370" hidden="1" ht="18.75" customFormat="1" customHeight="1" s="311"/>
    <row r="2371" hidden="1" ht="18.75" customFormat="1" customHeight="1" s="311"/>
    <row r="2372" hidden="1" ht="18.75" customFormat="1" customHeight="1" s="311"/>
    <row r="2373" hidden="1" ht="18.75" customFormat="1" customHeight="1" s="311"/>
    <row r="2374" hidden="1" ht="18.75" customFormat="1" customHeight="1" s="311"/>
    <row r="2375" hidden="1" ht="18.75" customFormat="1" customHeight="1" s="311"/>
    <row r="2376" hidden="1" ht="18.75" customFormat="1" customHeight="1" s="311"/>
    <row r="2377" hidden="1" ht="18.75" customFormat="1" customHeight="1" s="311"/>
    <row r="2378" hidden="1" ht="18.75" customFormat="1" customHeight="1" s="311"/>
    <row r="2379" hidden="1" ht="18.75" customFormat="1" customHeight="1" s="311"/>
    <row r="2380" hidden="1" ht="18.75" customFormat="1" customHeight="1" s="311"/>
    <row r="2381" hidden="1" ht="18.75" customFormat="1" customHeight="1" s="311"/>
    <row r="2382" hidden="1" ht="18.75" customFormat="1" customHeight="1" s="311"/>
    <row r="2383" hidden="1" ht="18.75" customFormat="1" customHeight="1" s="311"/>
    <row r="2384" hidden="1" ht="18.75" customFormat="1" customHeight="1" s="311"/>
    <row r="2385" hidden="1" ht="18.75" customFormat="1" customHeight="1" s="311"/>
    <row r="2386" hidden="1" ht="18.75" customFormat="1" customHeight="1" s="311"/>
    <row r="2387" hidden="1" ht="18.75" customFormat="1" customHeight="1" s="311"/>
    <row r="2388" hidden="1" ht="18.75" customFormat="1" customHeight="1" s="311"/>
    <row r="2389" hidden="1" ht="18.75" customFormat="1" customHeight="1" s="311"/>
    <row r="2390" hidden="1" ht="18.75" customFormat="1" customHeight="1" s="311"/>
    <row r="2391" hidden="1" ht="18.75" customFormat="1" customHeight="1" s="311"/>
    <row r="2392" hidden="1" ht="18.75" customFormat="1" customHeight="1" s="311"/>
    <row r="2393" hidden="1" ht="18.75" customFormat="1" customHeight="1" s="311"/>
    <row r="2394" hidden="1" ht="18.75" customFormat="1" customHeight="1" s="311"/>
    <row r="2395" hidden="1" ht="18.75" customFormat="1" customHeight="1" s="311"/>
    <row r="2396" hidden="1" ht="18.75" customFormat="1" customHeight="1" s="311"/>
    <row r="2397" hidden="1" ht="18.75" customFormat="1" customHeight="1" s="311"/>
    <row r="2398" hidden="1" ht="18.75" customFormat="1" customHeight="1" s="311"/>
    <row r="2399" hidden="1" ht="18.75" customFormat="1" customHeight="1" s="311"/>
    <row r="2400" hidden="1" ht="18.75" customFormat="1" customHeight="1" s="311"/>
    <row r="2401" hidden="1" ht="18.75" customFormat="1" customHeight="1" s="311"/>
    <row r="2402" hidden="1" ht="18.75" customFormat="1" customHeight="1" s="311"/>
    <row r="2403" hidden="1" ht="18.75" customFormat="1" customHeight="1" s="311"/>
    <row r="2404" hidden="1" ht="18.75" customFormat="1" customHeight="1" s="311"/>
    <row r="2405" hidden="1" ht="18.75" customFormat="1" customHeight="1" s="311"/>
    <row r="2406" hidden="1" ht="18.75" customFormat="1" customHeight="1" s="311"/>
    <row r="2407" hidden="1" ht="18.75" customFormat="1" customHeight="1" s="311"/>
    <row r="2408" hidden="1" ht="18.75" customFormat="1" customHeight="1" s="311"/>
    <row r="2409" hidden="1" ht="18.75" customFormat="1" customHeight="1" s="311"/>
    <row r="2410" hidden="1" ht="18.75" customFormat="1" customHeight="1" s="311"/>
    <row r="2411" hidden="1" ht="18.75" customFormat="1" customHeight="1" s="311"/>
    <row r="2412" hidden="1" ht="18.75" customFormat="1" customHeight="1" s="311"/>
    <row r="2413" hidden="1" ht="18.75" customFormat="1" customHeight="1" s="311"/>
    <row r="2414" hidden="1" ht="18.75" customFormat="1" customHeight="1" s="311"/>
    <row r="2415" hidden="1" ht="18.75" customFormat="1" customHeight="1" s="311"/>
    <row r="2416" hidden="1" ht="18.75" customFormat="1" customHeight="1" s="311"/>
    <row r="2417" hidden="1" ht="18.75" customFormat="1" customHeight="1" s="311"/>
    <row r="2418" hidden="1" ht="18.75" customFormat="1" customHeight="1" s="311"/>
    <row r="2419" hidden="1" ht="18.75" customFormat="1" customHeight="1" s="311"/>
    <row r="2420" hidden="1" ht="18.75" customFormat="1" customHeight="1" s="311"/>
    <row r="2421" hidden="1" ht="18.75" customFormat="1" customHeight="1" s="311"/>
    <row r="2422" hidden="1" ht="18.75" customFormat="1" customHeight="1" s="311"/>
    <row r="2423" hidden="1" ht="18.75" customFormat="1" customHeight="1" s="311"/>
    <row r="2424" hidden="1" ht="18.75" customFormat="1" customHeight="1" s="311"/>
    <row r="2425" hidden="1" ht="18.75" customFormat="1" customHeight="1" s="311"/>
    <row r="2426" hidden="1" ht="18.75" customFormat="1" customHeight="1" s="311"/>
    <row r="2427" hidden="1" ht="18.75" customFormat="1" customHeight="1" s="311"/>
    <row r="2428" hidden="1" ht="18.75" customFormat="1" customHeight="1" s="311"/>
    <row r="2429" hidden="1" ht="18.75" customFormat="1" customHeight="1" s="311"/>
    <row r="2430" hidden="1" ht="18.75" customFormat="1" customHeight="1" s="311"/>
    <row r="2431" hidden="1" ht="18.75" customFormat="1" customHeight="1" s="311"/>
    <row r="2432" hidden="1" ht="18.75" customFormat="1" customHeight="1" s="311"/>
    <row r="2433" hidden="1" ht="18.75" customFormat="1" customHeight="1" s="311"/>
    <row r="2434" hidden="1" ht="18.75" customFormat="1" customHeight="1" s="311"/>
    <row r="2435" hidden="1" ht="18.75" customFormat="1" customHeight="1" s="311"/>
    <row r="2436" hidden="1" ht="18.75" customFormat="1" customHeight="1" s="311"/>
    <row r="2437" hidden="1" ht="18.75" customFormat="1" customHeight="1" s="311"/>
    <row r="2438" hidden="1" ht="18.75" customFormat="1" customHeight="1" s="311"/>
    <row r="2439" hidden="1" ht="18.75" customFormat="1" customHeight="1" s="311"/>
    <row r="2440" hidden="1" ht="18.75" customFormat="1" customHeight="1" s="311"/>
    <row r="2441" hidden="1" ht="18.75" customFormat="1" customHeight="1" s="311"/>
    <row r="2442" hidden="1" ht="18.75" customFormat="1" customHeight="1" s="311"/>
    <row r="2443" hidden="1" ht="18.75" customFormat="1" customHeight="1" s="311"/>
    <row r="2444" hidden="1" ht="18.75" customFormat="1" customHeight="1" s="311"/>
    <row r="2445" hidden="1" ht="18.75" customFormat="1" customHeight="1" s="311"/>
    <row r="2446" hidden="1" ht="18.75" customFormat="1" customHeight="1" s="311"/>
    <row r="2447" hidden="1" ht="18.75" customFormat="1" customHeight="1" s="311"/>
    <row r="2448" hidden="1" ht="18.75" customFormat="1" customHeight="1" s="311"/>
    <row r="2449" hidden="1" ht="18.75" customFormat="1" customHeight="1" s="311"/>
    <row r="2450" hidden="1" ht="18.75" customFormat="1" customHeight="1" s="311"/>
    <row r="2451" hidden="1" ht="18.75" customFormat="1" customHeight="1" s="311"/>
    <row r="2452" hidden="1" ht="18.75" customFormat="1" customHeight="1" s="311"/>
    <row r="2453" hidden="1" ht="18.75" customFormat="1" customHeight="1" s="311"/>
    <row r="2454" hidden="1" ht="18.75" customFormat="1" customHeight="1" s="311"/>
    <row r="2455" hidden="1" ht="18.75" customFormat="1" customHeight="1" s="311"/>
    <row r="2456" hidden="1" ht="18.75" customFormat="1" customHeight="1" s="311"/>
    <row r="2457" hidden="1" ht="18.75" customFormat="1" customHeight="1" s="311"/>
    <row r="2458" hidden="1" ht="18.75" customFormat="1" customHeight="1" s="311"/>
    <row r="2459" hidden="1" ht="18.75" customFormat="1" customHeight="1" s="311"/>
    <row r="2460" hidden="1" ht="18.75" customFormat="1" customHeight="1" s="311"/>
    <row r="2461" hidden="1" ht="18.75" customFormat="1" customHeight="1" s="311"/>
    <row r="2462" hidden="1" ht="18.75" customFormat="1" customHeight="1" s="311"/>
    <row r="2463" hidden="1" ht="18.75" customFormat="1" customHeight="1" s="311"/>
    <row r="2464" hidden="1" ht="18.75" customFormat="1" customHeight="1" s="311"/>
    <row r="2465" hidden="1" ht="18.75" customFormat="1" customHeight="1" s="311"/>
    <row r="2466" hidden="1" ht="18.75" customFormat="1" customHeight="1" s="311"/>
    <row r="2467" hidden="1" ht="18.75" customFormat="1" customHeight="1" s="311"/>
    <row r="2468" hidden="1" ht="18.75" customFormat="1" customHeight="1" s="311"/>
    <row r="2469" hidden="1" ht="18.75" customFormat="1" customHeight="1" s="311"/>
    <row r="2470" hidden="1" ht="18.75" customFormat="1" customHeight="1" s="311"/>
    <row r="2471" hidden="1" ht="18.75" customFormat="1" customHeight="1" s="311"/>
    <row r="2472" hidden="1" ht="18.75" customFormat="1" customHeight="1" s="311"/>
    <row r="2473" hidden="1" ht="18.75" customFormat="1" customHeight="1" s="311"/>
    <row r="2474" hidden="1" ht="18.75" customFormat="1" customHeight="1" s="311"/>
    <row r="2475" hidden="1" ht="18.75" customFormat="1" customHeight="1" s="311"/>
    <row r="2476" hidden="1" ht="18.75" customFormat="1" customHeight="1" s="311"/>
    <row r="2477" hidden="1" ht="18.75" customFormat="1" customHeight="1" s="311"/>
    <row r="2478" hidden="1" ht="18.75" customFormat="1" customHeight="1" s="311"/>
    <row r="2479" hidden="1" ht="18.75" customFormat="1" customHeight="1" s="311"/>
    <row r="2480" hidden="1" ht="18.75" customFormat="1" customHeight="1" s="311"/>
    <row r="2481" hidden="1" ht="18.75" customFormat="1" customHeight="1" s="311"/>
    <row r="2482" hidden="1" ht="18.75" customFormat="1" customHeight="1" s="311"/>
    <row r="2483" hidden="1" ht="18.75" customFormat="1" customHeight="1" s="311"/>
    <row r="2484" hidden="1" ht="18.75" customFormat="1" customHeight="1" s="311"/>
    <row r="2485" hidden="1" ht="18.75" customFormat="1" customHeight="1" s="311"/>
    <row r="2486" hidden="1" ht="18.75" customFormat="1" customHeight="1" s="311"/>
    <row r="2487" hidden="1" ht="18.75" customFormat="1" customHeight="1" s="311"/>
    <row r="2488" hidden="1" ht="18.75" customFormat="1" customHeight="1" s="311"/>
    <row r="2489" hidden="1" ht="18.75" customFormat="1" customHeight="1" s="311"/>
    <row r="2490" hidden="1" ht="18.75" customFormat="1" customHeight="1" s="311"/>
    <row r="2491" hidden="1" ht="18.75" customFormat="1" customHeight="1" s="311"/>
    <row r="2492" hidden="1" ht="18.75" customFormat="1" customHeight="1" s="311"/>
    <row r="2493" hidden="1" ht="18.75" customFormat="1" customHeight="1" s="311"/>
    <row r="2494" hidden="1" ht="18.75" customFormat="1" customHeight="1" s="311"/>
    <row r="2495" hidden="1" ht="18.75" customFormat="1" customHeight="1" s="311"/>
    <row r="2496" hidden="1" ht="18.75" customFormat="1" customHeight="1" s="311"/>
    <row r="2497" hidden="1" ht="18.75" customFormat="1" customHeight="1" s="311"/>
    <row r="2498" hidden="1" ht="18.75" customFormat="1" customHeight="1" s="311"/>
    <row r="2499" hidden="1" ht="18.75" customFormat="1" customHeight="1" s="311"/>
    <row r="2500" hidden="1" ht="18.75" customFormat="1" customHeight="1" s="311"/>
    <row r="2501" hidden="1" ht="18.75" customFormat="1" customHeight="1" s="311"/>
    <row r="2502" hidden="1" ht="18.75" customFormat="1" customHeight="1" s="311"/>
    <row r="2503" hidden="1" ht="18.75" customFormat="1" customHeight="1" s="311"/>
    <row r="2504" hidden="1" ht="18.75" customFormat="1" customHeight="1" s="311"/>
    <row r="2505" hidden="1" ht="18.75" customFormat="1" customHeight="1" s="311"/>
    <row r="2506" hidden="1" ht="18.75" customFormat="1" customHeight="1" s="311"/>
    <row r="2507" hidden="1" ht="18.75" customFormat="1" customHeight="1" s="311"/>
    <row r="2508" hidden="1" ht="18.75" customFormat="1" customHeight="1" s="311"/>
    <row r="2509" hidden="1" ht="18.75" customFormat="1" customHeight="1" s="311"/>
    <row r="2510" hidden="1" ht="18.75" customFormat="1" customHeight="1" s="311"/>
    <row r="2511" hidden="1" ht="18.75" customFormat="1" customHeight="1" s="311"/>
    <row r="2512" hidden="1" ht="18.75" customFormat="1" customHeight="1" s="311"/>
    <row r="2513" hidden="1" ht="18.75" customFormat="1" customHeight="1" s="311"/>
    <row r="2514" hidden="1" ht="18.75" customFormat="1" customHeight="1" s="311"/>
    <row r="2515" hidden="1" ht="18.75" customFormat="1" customHeight="1" s="311"/>
    <row r="2516" hidden="1" ht="18.75" customFormat="1" customHeight="1" s="311"/>
    <row r="2517" hidden="1" ht="18.75" customFormat="1" customHeight="1" s="311"/>
    <row r="2518" hidden="1" ht="18.75" customFormat="1" customHeight="1" s="311"/>
    <row r="2519" hidden="1" ht="18.75" customFormat="1" customHeight="1" s="311"/>
    <row r="2520" hidden="1" ht="18.75" customFormat="1" customHeight="1" s="311"/>
    <row r="2521" hidden="1" ht="18.75" customFormat="1" customHeight="1" s="311"/>
    <row r="2522" hidden="1" ht="18.75" customFormat="1" customHeight="1" s="311"/>
    <row r="2523" hidden="1" ht="18.75" customFormat="1" customHeight="1" s="311"/>
    <row r="2524" hidden="1" ht="18.75" customFormat="1" customHeight="1" s="311"/>
    <row r="2525" hidden="1" ht="18.75" customFormat="1" customHeight="1" s="311"/>
    <row r="2526" hidden="1" ht="18.75" customFormat="1" customHeight="1" s="311"/>
    <row r="2527" hidden="1" ht="18.75" customFormat="1" customHeight="1" s="311"/>
    <row r="2528" hidden="1" ht="18.75" customFormat="1" customHeight="1" s="311"/>
    <row r="2529" hidden="1" ht="18.75" customFormat="1" customHeight="1" s="311"/>
    <row r="2530" hidden="1" ht="18.75" customFormat="1" customHeight="1" s="311"/>
    <row r="2531" hidden="1" ht="18.75" customFormat="1" customHeight="1" s="311"/>
    <row r="2532" hidden="1" ht="18.75" customFormat="1" customHeight="1" s="311"/>
    <row r="2533" hidden="1" ht="18.75" customFormat="1" customHeight="1" s="311"/>
    <row r="2534" hidden="1" ht="18.75" customFormat="1" customHeight="1" s="311"/>
    <row r="2535" hidden="1" ht="18.75" customFormat="1" customHeight="1" s="311"/>
    <row r="2536" hidden="1" ht="18.75" customFormat="1" customHeight="1" s="311"/>
    <row r="2537" hidden="1" ht="18.75" customFormat="1" customHeight="1" s="311"/>
    <row r="2538" hidden="1" ht="18.75" customFormat="1" customHeight="1" s="311"/>
    <row r="2539" hidden="1" ht="18.75" customFormat="1" customHeight="1" s="311"/>
    <row r="2540" hidden="1" ht="18.75" customFormat="1" customHeight="1" s="311"/>
    <row r="2541" hidden="1" ht="18.75" customFormat="1" customHeight="1" s="311"/>
    <row r="2542" hidden="1" ht="18.75" customFormat="1" customHeight="1" s="311"/>
    <row r="2543" hidden="1" ht="18.75" customFormat="1" customHeight="1" s="311"/>
    <row r="2544" hidden="1" ht="18.75" customFormat="1" customHeight="1" s="311"/>
    <row r="2545" hidden="1" ht="18.75" customFormat="1" customHeight="1" s="311"/>
    <row r="2546" hidden="1" ht="18.75" customFormat="1" customHeight="1" s="311"/>
    <row r="2547" hidden="1" ht="18.75" customFormat="1" customHeight="1" s="311"/>
    <row r="2548" hidden="1" ht="18.75" customFormat="1" customHeight="1" s="311"/>
    <row r="2549" hidden="1" ht="18.75" customFormat="1" customHeight="1" s="311"/>
    <row r="2550" hidden="1" ht="18.75" customFormat="1" customHeight="1" s="311"/>
    <row r="2551" hidden="1" ht="18.75" customFormat="1" customHeight="1" s="311"/>
    <row r="2552" hidden="1" ht="18.75" customFormat="1" customHeight="1" s="311"/>
    <row r="2553" hidden="1" ht="18.75" customFormat="1" customHeight="1" s="311"/>
    <row r="2554" hidden="1" ht="18.75" customFormat="1" customHeight="1" s="311"/>
    <row r="2555" hidden="1" ht="18.75" customFormat="1" customHeight="1" s="311"/>
    <row r="2556" hidden="1" ht="18.75" customFormat="1" customHeight="1" s="311"/>
    <row r="2557" hidden="1" ht="18.75" customFormat="1" customHeight="1" s="311"/>
    <row r="2558" hidden="1" ht="18.75" customFormat="1" customHeight="1" s="311"/>
    <row r="2559" hidden="1" ht="18.75" customFormat="1" customHeight="1" s="311"/>
    <row r="2560" hidden="1" ht="18.75" customFormat="1" customHeight="1" s="311"/>
    <row r="2561" hidden="1" ht="18.75" customFormat="1" customHeight="1" s="311"/>
    <row r="2562" hidden="1" ht="18.75" customFormat="1" customHeight="1" s="311"/>
    <row r="2563" hidden="1" ht="18.75" customFormat="1" customHeight="1" s="311"/>
    <row r="2564" hidden="1" ht="18.75" customFormat="1" customHeight="1" s="311"/>
    <row r="2565" hidden="1" ht="18.75" customFormat="1" customHeight="1" s="311"/>
    <row r="2566" hidden="1" ht="18.75" customFormat="1" customHeight="1" s="311"/>
    <row r="2567" hidden="1" ht="18.75" customFormat="1" customHeight="1" s="311"/>
    <row r="2568" hidden="1" ht="18.75" customFormat="1" customHeight="1" s="311"/>
    <row r="2569" hidden="1" ht="18.75" customFormat="1" customHeight="1" s="311"/>
    <row r="2570" hidden="1" ht="18.75" customFormat="1" customHeight="1" s="311"/>
    <row r="2571" hidden="1" ht="18.75" customFormat="1" customHeight="1" s="311"/>
    <row r="2572" hidden="1" ht="18.75" customFormat="1" customHeight="1" s="311"/>
    <row r="2573" hidden="1" ht="18.75" customFormat="1" customHeight="1" s="311"/>
    <row r="2574" hidden="1" ht="18.75" customFormat="1" customHeight="1" s="311"/>
    <row r="2575" hidden="1" ht="18.75" customFormat="1" customHeight="1" s="311"/>
    <row r="2576" hidden="1" ht="18.75" customFormat="1" customHeight="1" s="311"/>
    <row r="2577" hidden="1" ht="18.75" customFormat="1" customHeight="1" s="311"/>
    <row r="2578" hidden="1" ht="18.75" customFormat="1" customHeight="1" s="311"/>
    <row r="2579" hidden="1" ht="18.75" customFormat="1" customHeight="1" s="311"/>
    <row r="2580" hidden="1" ht="18.75" customFormat="1" customHeight="1" s="311"/>
    <row r="2581" hidden="1" ht="18.75" customFormat="1" customHeight="1" s="311"/>
    <row r="2582" hidden="1" ht="18.75" customFormat="1" customHeight="1" s="311"/>
    <row r="2583" hidden="1" ht="18.75" customFormat="1" customHeight="1" s="311"/>
    <row r="2584" hidden="1" ht="18.75" customFormat="1" customHeight="1" s="311"/>
    <row r="2585" hidden="1" ht="18.75" customFormat="1" customHeight="1" s="311"/>
    <row r="2586" hidden="1" ht="18.75" customFormat="1" customHeight="1" s="311"/>
    <row r="2587" hidden="1" ht="18.75" customFormat="1" customHeight="1" s="311"/>
    <row r="2588" hidden="1" ht="18.75" customFormat="1" customHeight="1" s="311"/>
    <row r="2589" hidden="1" ht="18.75" customFormat="1" customHeight="1" s="311"/>
    <row r="2590" hidden="1" ht="18.75" customFormat="1" customHeight="1" s="311"/>
    <row r="2591" hidden="1" ht="18.75" customFormat="1" customHeight="1" s="311"/>
    <row r="2592" hidden="1" ht="18.75" customFormat="1" customHeight="1" s="311"/>
    <row r="2593" hidden="1" ht="18.75" customFormat="1" customHeight="1" s="311"/>
    <row r="2594" hidden="1" ht="18.75" customFormat="1" customHeight="1" s="311"/>
    <row r="2595" hidden="1" ht="18.75" customFormat="1" customHeight="1" s="311"/>
    <row r="2596" hidden="1" ht="18.75" customFormat="1" customHeight="1" s="311"/>
    <row r="2597" hidden="1" ht="18.75" customFormat="1" customHeight="1" s="311"/>
    <row r="2598" hidden="1" ht="18.75" customFormat="1" customHeight="1" s="311"/>
    <row r="2599" hidden="1" ht="18.75" customFormat="1" customHeight="1" s="311"/>
    <row r="2600" hidden="1" ht="18.75" customFormat="1" customHeight="1" s="311"/>
    <row r="2601" hidden="1" ht="18.75" customFormat="1" customHeight="1" s="311"/>
    <row r="2602" hidden="1" ht="18.75" customFormat="1" customHeight="1" s="311"/>
    <row r="2603" hidden="1" ht="18.75" customFormat="1" customHeight="1" s="311"/>
    <row r="2604" hidden="1" ht="18.75" customFormat="1" customHeight="1" s="311"/>
    <row r="2605" hidden="1" ht="18.75" customFormat="1" customHeight="1" s="311"/>
    <row r="2606" hidden="1" ht="18.75" customFormat="1" customHeight="1" s="311"/>
    <row r="2607" hidden="1" ht="18.75" customFormat="1" customHeight="1" s="311"/>
    <row r="2608" hidden="1" ht="18.75" customFormat="1" customHeight="1" s="311"/>
    <row r="2609" hidden="1" ht="18.75" customFormat="1" customHeight="1" s="311"/>
    <row r="2610" hidden="1" ht="18.75" customFormat="1" customHeight="1" s="311"/>
    <row r="2611" hidden="1" ht="18.75" customFormat="1" customHeight="1" s="311"/>
    <row r="2612" hidden="1" ht="18.75" customFormat="1" customHeight="1" s="311"/>
    <row r="2613" hidden="1" ht="18.75" customFormat="1" customHeight="1" s="311"/>
    <row r="2614" hidden="1" ht="18.75" customFormat="1" customHeight="1" s="311"/>
    <row r="2615" hidden="1" ht="18.75" customFormat="1" customHeight="1" s="311"/>
    <row r="2616" hidden="1" ht="18.75" customFormat="1" customHeight="1" s="311"/>
    <row r="2617" hidden="1" ht="18.75" customFormat="1" customHeight="1" s="311"/>
    <row r="2618" hidden="1" ht="18.75" customFormat="1" customHeight="1" s="311"/>
    <row r="2619" hidden="1" ht="18.75" customFormat="1" customHeight="1" s="311"/>
    <row r="2620" hidden="1" ht="18.75" customFormat="1" customHeight="1" s="311"/>
    <row r="2621" hidden="1" ht="18.75" customFormat="1" customHeight="1" s="311"/>
    <row r="2622" hidden="1" ht="18.75" customFormat="1" customHeight="1" s="311"/>
    <row r="2623" hidden="1" ht="18.75" customFormat="1" customHeight="1" s="311"/>
    <row r="2624" hidden="1" ht="18.75" customFormat="1" customHeight="1" s="311"/>
    <row r="2625" hidden="1" ht="18.75" customFormat="1" customHeight="1" s="311"/>
    <row r="2626" hidden="1" ht="18.75" customFormat="1" customHeight="1" s="311"/>
    <row r="2627" hidden="1" ht="18.75" customFormat="1" customHeight="1" s="311"/>
    <row r="2628" hidden="1" ht="18.75" customFormat="1" customHeight="1" s="311"/>
    <row r="2629" hidden="1" ht="18.75" customFormat="1" customHeight="1" s="311"/>
    <row r="2630" hidden="1" ht="18.75" customFormat="1" customHeight="1" s="311"/>
    <row r="2631" hidden="1" ht="18.75" customFormat="1" customHeight="1" s="311"/>
    <row r="2632" hidden="1" ht="18.75" customFormat="1" customHeight="1" s="311"/>
    <row r="2633" hidden="1" ht="18.75" customFormat="1" customHeight="1" s="311"/>
    <row r="2634" hidden="1" ht="18.75" customFormat="1" customHeight="1" s="311"/>
    <row r="2635" hidden="1" ht="18.75" customFormat="1" customHeight="1" s="311"/>
    <row r="2636" hidden="1" ht="18.75" customFormat="1" customHeight="1" s="311"/>
    <row r="2637" hidden="1" ht="18.75" customFormat="1" customHeight="1" s="311"/>
    <row r="2638" hidden="1" ht="18.75" customFormat="1" customHeight="1" s="311"/>
    <row r="2639" hidden="1" ht="18.75" customFormat="1" customHeight="1" s="311"/>
    <row r="2640" hidden="1" ht="18.75" customFormat="1" customHeight="1" s="311"/>
    <row r="2641" hidden="1" ht="18.75" customFormat="1" customHeight="1" s="311"/>
    <row r="2642" hidden="1" ht="18.75" customFormat="1" customHeight="1" s="311"/>
    <row r="2643" hidden="1" ht="18.75" customFormat="1" customHeight="1" s="311"/>
    <row r="2644" hidden="1" ht="18.75" customFormat="1" customHeight="1" s="311"/>
    <row r="2645" hidden="1" ht="18.75" customFormat="1" customHeight="1" s="311"/>
    <row r="2646" hidden="1" ht="18.75" customFormat="1" customHeight="1" s="311"/>
    <row r="2647" hidden="1" ht="18.75" customFormat="1" customHeight="1" s="311"/>
    <row r="2648" hidden="1" ht="18.75" customFormat="1" customHeight="1" s="311"/>
    <row r="2649" hidden="1" ht="18.75" customFormat="1" customHeight="1" s="311"/>
    <row r="2650" hidden="1" ht="18.75" customFormat="1" customHeight="1" s="311"/>
    <row r="2651" hidden="1" ht="18.75" customFormat="1" customHeight="1" s="311"/>
    <row r="2652" hidden="1" ht="18.75" customFormat="1" customHeight="1" s="311"/>
    <row r="2653" hidden="1" ht="18.75" customFormat="1" customHeight="1" s="311"/>
    <row r="2654" hidden="1" ht="18.75" customFormat="1" customHeight="1" s="311"/>
    <row r="2655" hidden="1" ht="18.75" customFormat="1" customHeight="1" s="311"/>
    <row r="2656" hidden="1" ht="18.75" customFormat="1" customHeight="1" s="311"/>
    <row r="2657" hidden="1" ht="18.75" customFormat="1" customHeight="1" s="311"/>
    <row r="2658" hidden="1" ht="18.75" customFormat="1" customHeight="1" s="311"/>
    <row r="2659" hidden="1" ht="18.75" customFormat="1" customHeight="1" s="311"/>
    <row r="2660" hidden="1" ht="18.75" customFormat="1" customHeight="1" s="311"/>
    <row r="2661" hidden="1" ht="18.75" customFormat="1" customHeight="1" s="311"/>
    <row r="2662" hidden="1" ht="18.75" customFormat="1" customHeight="1" s="311"/>
    <row r="2663" hidden="1" ht="18.75" customFormat="1" customHeight="1" s="311"/>
    <row r="2664" hidden="1" ht="18.75" customFormat="1" customHeight="1" s="311"/>
    <row r="2665" hidden="1" ht="18.75" customFormat="1" customHeight="1" s="311"/>
    <row r="2666" hidden="1" ht="18.75" customFormat="1" customHeight="1" s="311"/>
    <row r="2667" hidden="1" ht="18.75" customFormat="1" customHeight="1" s="311"/>
    <row r="2668" hidden="1" ht="18.75" customFormat="1" customHeight="1" s="311"/>
    <row r="2669" hidden="1" ht="18.75" customFormat="1" customHeight="1" s="311"/>
    <row r="2670" hidden="1" ht="18.75" customFormat="1" customHeight="1" s="311"/>
    <row r="2671" hidden="1" ht="18.75" customFormat="1" customHeight="1" s="311"/>
    <row r="2672" hidden="1" ht="18.75" customFormat="1" customHeight="1" s="311"/>
    <row r="2673" hidden="1" ht="18.75" customFormat="1" customHeight="1" s="311"/>
    <row r="2674" hidden="1" ht="18.75" customFormat="1" customHeight="1" s="311"/>
    <row r="2675" hidden="1" ht="18.75" customFormat="1" customHeight="1" s="311"/>
    <row r="2676" hidden="1" ht="18.75" customFormat="1" customHeight="1" s="311"/>
    <row r="2677" hidden="1" ht="18.75" customFormat="1" customHeight="1" s="311"/>
    <row r="2678" hidden="1" ht="18.75" customFormat="1" customHeight="1" s="311"/>
    <row r="2679" hidden="1" ht="18.75" customFormat="1" customHeight="1" s="311"/>
    <row r="2680" hidden="1" ht="18.75" customFormat="1" customHeight="1" s="311"/>
    <row r="2681" hidden="1" ht="18.75" customFormat="1" customHeight="1" s="311"/>
    <row r="2682" hidden="1" ht="18.75" customFormat="1" customHeight="1" s="311"/>
    <row r="2683" hidden="1" ht="18.75" customFormat="1" customHeight="1" s="311"/>
    <row r="2684" hidden="1" ht="18.75" customFormat="1" customHeight="1" s="311"/>
    <row r="2685" hidden="1" ht="18.75" customFormat="1" customHeight="1" s="311"/>
    <row r="2686" hidden="1" ht="18.75" customFormat="1" customHeight="1" s="311"/>
    <row r="2687" hidden="1" ht="18.75" customFormat="1" customHeight="1" s="311"/>
    <row r="2688" hidden="1" ht="18.75" customFormat="1" customHeight="1" s="311"/>
    <row r="2689" hidden="1" ht="18.75" customFormat="1" customHeight="1" s="311"/>
    <row r="2690" hidden="1" ht="18.75" customFormat="1" customHeight="1" s="311"/>
    <row r="2691" hidden="1" ht="18.75" customFormat="1" customHeight="1" s="311"/>
    <row r="2692" hidden="1" ht="18.75" customFormat="1" customHeight="1" s="311"/>
    <row r="2693" hidden="1" ht="18.75" customFormat="1" customHeight="1" s="311"/>
    <row r="2694" hidden="1" ht="18.75" customFormat="1" customHeight="1" s="311"/>
    <row r="2695" hidden="1" ht="18.75" customFormat="1" customHeight="1" s="311"/>
    <row r="2696" hidden="1" ht="18.75" customFormat="1" customHeight="1" s="311"/>
    <row r="2697" hidden="1" ht="18.75" customFormat="1" customHeight="1" s="311"/>
    <row r="2698" hidden="1" ht="18.75" customFormat="1" customHeight="1" s="311"/>
    <row r="2699" hidden="1" ht="18.75" customFormat="1" customHeight="1" s="311"/>
    <row r="2700" hidden="1" ht="18.75" customFormat="1" customHeight="1" s="311"/>
    <row r="2701" hidden="1" ht="18.75" customFormat="1" customHeight="1" s="311"/>
    <row r="2702" hidden="1" ht="18.75" customFormat="1" customHeight="1" s="311"/>
    <row r="2703" hidden="1" ht="18.75" customFormat="1" customHeight="1" s="311"/>
    <row r="2704" hidden="1" ht="18.75" customFormat="1" customHeight="1" s="311"/>
    <row r="2705" hidden="1" ht="18.75" customFormat="1" customHeight="1" s="311"/>
    <row r="2706" hidden="1" ht="18.75" customFormat="1" customHeight="1" s="311"/>
    <row r="2707" hidden="1" ht="18.75" customFormat="1" customHeight="1" s="311"/>
    <row r="2708" hidden="1" ht="18.75" customFormat="1" customHeight="1" s="311"/>
    <row r="2709" hidden="1" ht="18.75" customFormat="1" customHeight="1" s="311"/>
    <row r="2710" hidden="1" ht="18.75" customFormat="1" customHeight="1" s="311"/>
    <row r="2711" hidden="1" ht="18.75" customFormat="1" customHeight="1" s="311"/>
    <row r="2712" hidden="1" ht="18.75" customFormat="1" customHeight="1" s="311"/>
    <row r="2713" hidden="1" ht="18.75" customFormat="1" customHeight="1" s="311"/>
    <row r="2714" hidden="1" ht="18.75" customFormat="1" customHeight="1" s="311"/>
    <row r="2715" hidden="1" ht="18.75" customFormat="1" customHeight="1" s="311"/>
    <row r="2716" hidden="1" ht="18.75" customFormat="1" customHeight="1" s="311"/>
    <row r="2717" hidden="1" ht="18.75" customFormat="1" customHeight="1" s="311"/>
    <row r="2718" hidden="1" ht="18.75" customFormat="1" customHeight="1" s="311"/>
    <row r="2719" hidden="1" ht="18.75" customFormat="1" customHeight="1" s="311"/>
    <row r="2720" hidden="1" ht="18.75" customFormat="1" customHeight="1" s="311"/>
    <row r="2721" hidden="1" ht="18.75" customFormat="1" customHeight="1" s="311"/>
    <row r="2722" hidden="1" ht="18.75" customFormat="1" customHeight="1" s="311"/>
    <row r="2723" hidden="1" ht="18.75" customFormat="1" customHeight="1" s="311"/>
    <row r="2724" hidden="1" ht="18.75" customFormat="1" customHeight="1" s="311"/>
    <row r="2725" hidden="1" ht="18.75" customFormat="1" customHeight="1" s="311"/>
    <row r="2726" hidden="1" ht="18.75" customFormat="1" customHeight="1" s="311"/>
    <row r="2727" hidden="1" ht="18.75" customFormat="1" customHeight="1" s="311"/>
    <row r="2728" hidden="1" ht="18.75" customFormat="1" customHeight="1" s="311"/>
    <row r="2729" hidden="1" ht="18.75" customFormat="1" customHeight="1" s="311"/>
    <row r="2730" hidden="1" ht="18.75" customFormat="1" customHeight="1" s="311"/>
    <row r="2731" hidden="1" ht="18.75" customFormat="1" customHeight="1" s="311"/>
    <row r="2732" hidden="1" ht="18.75" customFormat="1" customHeight="1" s="311"/>
    <row r="2733" hidden="1" ht="18.75" customFormat="1" customHeight="1" s="311"/>
    <row r="2734" hidden="1" ht="18.75" customFormat="1" customHeight="1" s="311"/>
    <row r="2735" hidden="1" ht="18.75" customFormat="1" customHeight="1" s="311"/>
    <row r="2736" hidden="1" ht="18.75" customFormat="1" customHeight="1" s="311"/>
    <row r="2737" hidden="1" ht="18.75" customFormat="1" customHeight="1" s="311"/>
    <row r="2738" hidden="1" ht="18.75" customFormat="1" customHeight="1" s="311"/>
    <row r="2739" hidden="1" ht="18.75" customFormat="1" customHeight="1" s="311"/>
    <row r="2740" hidden="1" ht="18.75" customFormat="1" customHeight="1" s="311"/>
    <row r="2741" hidden="1" ht="18.75" customFormat="1" customHeight="1" s="311"/>
    <row r="2742" hidden="1" ht="18.75" customFormat="1" customHeight="1" s="311"/>
    <row r="2743" hidden="1" ht="18.75" customFormat="1" customHeight="1" s="311"/>
    <row r="2744" hidden="1" ht="18.75" customFormat="1" customHeight="1" s="311"/>
    <row r="2745" hidden="1" ht="18.75" customFormat="1" customHeight="1" s="311"/>
    <row r="2746" hidden="1" ht="18.75" customFormat="1" customHeight="1" s="311"/>
    <row r="2747" hidden="1" ht="18.75" customFormat="1" customHeight="1" s="311"/>
    <row r="2748" hidden="1" ht="18.75" customFormat="1" customHeight="1" s="311"/>
    <row r="2749" hidden="1" ht="18.75" customFormat="1" customHeight="1" s="311"/>
    <row r="2750" hidden="1" ht="18.75" customFormat="1" customHeight="1" s="311"/>
    <row r="2751" hidden="1" ht="18.75" customFormat="1" customHeight="1" s="311"/>
    <row r="2752" hidden="1" ht="18.75" customFormat="1" customHeight="1" s="311"/>
    <row r="2753" hidden="1" ht="18.75" customFormat="1" customHeight="1" s="311"/>
    <row r="2754" hidden="1" ht="18.75" customFormat="1" customHeight="1" s="311"/>
    <row r="2755" hidden="1" ht="18.75" customFormat="1" customHeight="1" s="311"/>
    <row r="2756" hidden="1" ht="18.75" customFormat="1" customHeight="1" s="311"/>
    <row r="2757" hidden="1" ht="18.75" customFormat="1" customHeight="1" s="311"/>
    <row r="2758" hidden="1" ht="18.75" customFormat="1" customHeight="1" s="311"/>
    <row r="2759" hidden="1" ht="18.75" customFormat="1" customHeight="1" s="311"/>
    <row r="2760" hidden="1" ht="18.75" customFormat="1" customHeight="1" s="311"/>
    <row r="2761" hidden="1" ht="18.75" customFormat="1" customHeight="1" s="311"/>
    <row r="2762" hidden="1" ht="18.75" customFormat="1" customHeight="1" s="311"/>
    <row r="2763" hidden="1" ht="18.75" customFormat="1" customHeight="1" s="311"/>
    <row r="2764" hidden="1" ht="18.75" customFormat="1" customHeight="1" s="311"/>
    <row r="2765" hidden="1" ht="18.75" customFormat="1" customHeight="1" s="311"/>
    <row r="2766" hidden="1" ht="18.75" customFormat="1" customHeight="1" s="311"/>
    <row r="2767" hidden="1" ht="18.75" customFormat="1" customHeight="1" s="311"/>
    <row r="2768" hidden="1" ht="18.75" customFormat="1" customHeight="1" s="311"/>
    <row r="2769" hidden="1" ht="18.75" customFormat="1" customHeight="1" s="311"/>
    <row r="2770" hidden="1" ht="18.75" customFormat="1" customHeight="1" s="311"/>
    <row r="2771" hidden="1" ht="18.75" customFormat="1" customHeight="1" s="311"/>
    <row r="2772" hidden="1" ht="18.75" customFormat="1" customHeight="1" s="311"/>
    <row r="2773" hidden="1" ht="18.75" customFormat="1" customHeight="1" s="311"/>
    <row r="2774" hidden="1" ht="18.75" customFormat="1" customHeight="1" s="311"/>
    <row r="2775" hidden="1" ht="18.75" customFormat="1" customHeight="1" s="311"/>
    <row r="2776" hidden="1" ht="18.75" customFormat="1" customHeight="1" s="311"/>
    <row r="2777" hidden="1" ht="18.75" customFormat="1" customHeight="1" s="311"/>
    <row r="2778" hidden="1" ht="18.75" customFormat="1" customHeight="1" s="311"/>
    <row r="2779" hidden="1" ht="18.75" customFormat="1" customHeight="1" s="311"/>
    <row r="2780" hidden="1" ht="18.75" customFormat="1" customHeight="1" s="311"/>
    <row r="2781" hidden="1" ht="18.75" customFormat="1" customHeight="1" s="311"/>
    <row r="2782" hidden="1" ht="18.75" customFormat="1" customHeight="1" s="311"/>
    <row r="2783" hidden="1" ht="18.75" customFormat="1" customHeight="1" s="311"/>
    <row r="2784" hidden="1" ht="18.75" customFormat="1" customHeight="1" s="311"/>
    <row r="2785" hidden="1" ht="18.75" customFormat="1" customHeight="1" s="311"/>
    <row r="2786" hidden="1" ht="18.75" customFormat="1" customHeight="1" s="311"/>
    <row r="2787" hidden="1" ht="18.75" customFormat="1" customHeight="1" s="311"/>
    <row r="2788" hidden="1" ht="18.75" customFormat="1" customHeight="1" s="311"/>
    <row r="2789" hidden="1" ht="18.75" customFormat="1" customHeight="1" s="311"/>
    <row r="2790" hidden="1" ht="18.75" customFormat="1" customHeight="1" s="311"/>
    <row r="2791" hidden="1" ht="18.75" customFormat="1" customHeight="1" s="311"/>
    <row r="2792" hidden="1" ht="18.75" customFormat="1" customHeight="1" s="311"/>
    <row r="2793" hidden="1" ht="18.75" customFormat="1" customHeight="1" s="311"/>
    <row r="2794" hidden="1" ht="18.75" customFormat="1" customHeight="1" s="311"/>
    <row r="2795" hidden="1" ht="18.75" customFormat="1" customHeight="1" s="311"/>
    <row r="2796" hidden="1" ht="18.75" customFormat="1" customHeight="1" s="311"/>
    <row r="2797" hidden="1" ht="18.75" customFormat="1" customHeight="1" s="311"/>
    <row r="2798" hidden="1" ht="18.75" customFormat="1" customHeight="1" s="311"/>
    <row r="2799" hidden="1" ht="18.75" customFormat="1" customHeight="1" s="311"/>
    <row r="2800" hidden="1" ht="18.75" customFormat="1" customHeight="1" s="311"/>
    <row r="2801" hidden="1" ht="18.75" customFormat="1" customHeight="1" s="311"/>
    <row r="2802" hidden="1" ht="18.75" customFormat="1" customHeight="1" s="311"/>
    <row r="2803" hidden="1" ht="18.75" customFormat="1" customHeight="1" s="311"/>
    <row r="2804" hidden="1" ht="18.75" customFormat="1" customHeight="1" s="311"/>
    <row r="2805" hidden="1" ht="18.75" customFormat="1" customHeight="1" s="311"/>
    <row r="2806" hidden="1" ht="18.75" customFormat="1" customHeight="1" s="311"/>
    <row r="2807" hidden="1" ht="18.75" customFormat="1" customHeight="1" s="311"/>
    <row r="2808" hidden="1" ht="18.75" customFormat="1" customHeight="1" s="311"/>
    <row r="2809" hidden="1" ht="18.75" customFormat="1" customHeight="1" s="311"/>
    <row r="2810" hidden="1" ht="18.75" customFormat="1" customHeight="1" s="311"/>
    <row r="2811" hidden="1" ht="18.75" customFormat="1" customHeight="1" s="311"/>
    <row r="2812" hidden="1" ht="18.75" customFormat="1" customHeight="1" s="311"/>
    <row r="2813" hidden="1" ht="18.75" customFormat="1" customHeight="1" s="311"/>
    <row r="2814" hidden="1" ht="18.75" customFormat="1" customHeight="1" s="311"/>
    <row r="2815" hidden="1" ht="18.75" customFormat="1" customHeight="1" s="311"/>
    <row r="2816" hidden="1" ht="18.75" customFormat="1" customHeight="1" s="311"/>
    <row r="2817" hidden="1" ht="18.75" customFormat="1" customHeight="1" s="311"/>
    <row r="2818" hidden="1" ht="18.75" customFormat="1" customHeight="1" s="311"/>
    <row r="2819" hidden="1" ht="18.75" customFormat="1" customHeight="1" s="311"/>
    <row r="2820" hidden="1" ht="18.75" customFormat="1" customHeight="1" s="311"/>
    <row r="2821" hidden="1" ht="18.75" customFormat="1" customHeight="1" s="311"/>
    <row r="2822" hidden="1" ht="18.75" customFormat="1" customHeight="1" s="311"/>
    <row r="2823" hidden="1" ht="18.75" customFormat="1" customHeight="1" s="311"/>
    <row r="2824" hidden="1" ht="18.75" customFormat="1" customHeight="1" s="311"/>
    <row r="2825" hidden="1" ht="18.75" customFormat="1" customHeight="1" s="311"/>
    <row r="2826" hidden="1" ht="18.75" customFormat="1" customHeight="1" s="311"/>
    <row r="2827" hidden="1" ht="18.75" customFormat="1" customHeight="1" s="311"/>
    <row r="2828" hidden="1" ht="18.75" customFormat="1" customHeight="1" s="311"/>
    <row r="2829" hidden="1" ht="18.75" customFormat="1" customHeight="1" s="311"/>
    <row r="2830" hidden="1" ht="18.75" customFormat="1" customHeight="1" s="311"/>
    <row r="2831" hidden="1" ht="18.75" customFormat="1" customHeight="1" s="311"/>
    <row r="2832" hidden="1" ht="18.75" customFormat="1" customHeight="1" s="311"/>
    <row r="2833" hidden="1" ht="18.75" customFormat="1" customHeight="1" s="311"/>
    <row r="2834" hidden="1" ht="18.75" customFormat="1" customHeight="1" s="311"/>
    <row r="2835" hidden="1" ht="18.75" customFormat="1" customHeight="1" s="311"/>
    <row r="2836" hidden="1" ht="18.75" customFormat="1" customHeight="1" s="311"/>
    <row r="2837" hidden="1" ht="18.75" customFormat="1" customHeight="1" s="311"/>
    <row r="2838" hidden="1" ht="18.75" customFormat="1" customHeight="1" s="311"/>
    <row r="2839" hidden="1" ht="18.75" customFormat="1" customHeight="1" s="311"/>
    <row r="2840" hidden="1" ht="18.75" customFormat="1" customHeight="1" s="311"/>
    <row r="2841" hidden="1" ht="18.75" customFormat="1" customHeight="1" s="311"/>
    <row r="2842" hidden="1" ht="18.75" customFormat="1" customHeight="1" s="311"/>
    <row r="2843" hidden="1" ht="18.75" customFormat="1" customHeight="1" s="311"/>
    <row r="2844" hidden="1" ht="18.75" customFormat="1" customHeight="1" s="311"/>
    <row r="2845" hidden="1" ht="18.75" customFormat="1" customHeight="1" s="311"/>
    <row r="2846" hidden="1" ht="18.75" customFormat="1" customHeight="1" s="311"/>
    <row r="2847" hidden="1" ht="18.75" customFormat="1" customHeight="1" s="311"/>
    <row r="2848" hidden="1" ht="18.75" customFormat="1" customHeight="1" s="311"/>
    <row r="2849" hidden="1" ht="18.75" customFormat="1" customHeight="1" s="311"/>
    <row r="2850" hidden="1" ht="18.75" customFormat="1" customHeight="1" s="311"/>
    <row r="2851" hidden="1" ht="18.75" customFormat="1" customHeight="1" s="311"/>
    <row r="2852" hidden="1" ht="18.75" customFormat="1" customHeight="1" s="311"/>
    <row r="2853" hidden="1" ht="18.75" customFormat="1" customHeight="1" s="311"/>
    <row r="2854" hidden="1" ht="18.75" customFormat="1" customHeight="1" s="311"/>
    <row r="2855" hidden="1" ht="18.75" customFormat="1" customHeight="1" s="311"/>
    <row r="2856" hidden="1" ht="18.75" customFormat="1" customHeight="1" s="311"/>
    <row r="2857" hidden="1" ht="18.75" customFormat="1" customHeight="1" s="311"/>
    <row r="2858" hidden="1" ht="18.75" customFormat="1" customHeight="1" s="311"/>
    <row r="2859" hidden="1" ht="18.75" customFormat="1" customHeight="1" s="311"/>
    <row r="2860" hidden="1" ht="18.75" customFormat="1" customHeight="1" s="311"/>
    <row r="2861" hidden="1" ht="18.75" customFormat="1" customHeight="1" s="311"/>
    <row r="2862" hidden="1" ht="18.75" customFormat="1" customHeight="1" s="311"/>
    <row r="2863" hidden="1" ht="18.75" customFormat="1" customHeight="1" s="311"/>
    <row r="2864" hidden="1" ht="18.75" customFormat="1" customHeight="1" s="311"/>
    <row r="2865" hidden="1" ht="18.75" customFormat="1" customHeight="1" s="311"/>
    <row r="2866" hidden="1" ht="18.75" customFormat="1" customHeight="1" s="311"/>
    <row r="2867" hidden="1" ht="18.75" customFormat="1" customHeight="1" s="311"/>
    <row r="2868" hidden="1" ht="18.75" customFormat="1" customHeight="1" s="311"/>
    <row r="2869" hidden="1" ht="18.75" customFormat="1" customHeight="1" s="311"/>
    <row r="2870" hidden="1" ht="18.75" customFormat="1" customHeight="1" s="311"/>
    <row r="2871" hidden="1" ht="18.75" customFormat="1" customHeight="1" s="311"/>
    <row r="2872" hidden="1" ht="18.75" customFormat="1" customHeight="1" s="311"/>
    <row r="2873" hidden="1" ht="18.75" customFormat="1" customHeight="1" s="311"/>
    <row r="2874" hidden="1" ht="18.75" customFormat="1" customHeight="1" s="311"/>
    <row r="2875" hidden="1" ht="18.75" customFormat="1" customHeight="1" s="311"/>
    <row r="2876" hidden="1" ht="18.75" customFormat="1" customHeight="1" s="311"/>
    <row r="2877" hidden="1" ht="18.75" customFormat="1" customHeight="1" s="311"/>
    <row r="2878" hidden="1" ht="18.75" customFormat="1" customHeight="1" s="311"/>
    <row r="2879" hidden="1" ht="18.75" customFormat="1" customHeight="1" s="311"/>
    <row r="2880" hidden="1" ht="18.75" customFormat="1" customHeight="1" s="311"/>
    <row r="2881" hidden="1" ht="18.75" customFormat="1" customHeight="1" s="311"/>
    <row r="2882" hidden="1" ht="18.75" customFormat="1" customHeight="1" s="311"/>
    <row r="2883" hidden="1" ht="18.75" customFormat="1" customHeight="1" s="311"/>
    <row r="2884" hidden="1" ht="18.75" customFormat="1" customHeight="1" s="311"/>
    <row r="2885" hidden="1" ht="18.75" customFormat="1" customHeight="1" s="311"/>
    <row r="2886" hidden="1" ht="18.75" customFormat="1" customHeight="1" s="311"/>
    <row r="2887" hidden="1" ht="18.75" customFormat="1" customHeight="1" s="311"/>
    <row r="2888" hidden="1" ht="18.75" customFormat="1" customHeight="1" s="311"/>
    <row r="2889" hidden="1" ht="18.75" customFormat="1" customHeight="1" s="311"/>
    <row r="2890" hidden="1" ht="18.75" customFormat="1" customHeight="1" s="311"/>
    <row r="2891" hidden="1" ht="18.75" customFormat="1" customHeight="1" s="311"/>
    <row r="2892" hidden="1" ht="18.75" customFormat="1" customHeight="1" s="311"/>
    <row r="2893" hidden="1" ht="18.75" customFormat="1" customHeight="1" s="311"/>
    <row r="2894" hidden="1" ht="18.75" customFormat="1" customHeight="1" s="311"/>
    <row r="2895" hidden="1" ht="18.75" customFormat="1" customHeight="1" s="311"/>
    <row r="2896" hidden="1" ht="18.75" customFormat="1" customHeight="1" s="311"/>
    <row r="2897" hidden="1" ht="18.75" customFormat="1" customHeight="1" s="311"/>
    <row r="2898" hidden="1" ht="18.75" customFormat="1" customHeight="1" s="311"/>
    <row r="2899" hidden="1" ht="18.75" customFormat="1" customHeight="1" s="311"/>
    <row r="2900" hidden="1" ht="18.75" customFormat="1" customHeight="1" s="311"/>
    <row r="2901" hidden="1" ht="18.75" customFormat="1" customHeight="1" s="311"/>
    <row r="2902" hidden="1" ht="18.75" customFormat="1" customHeight="1" s="311"/>
    <row r="2903" hidden="1" ht="18.75" customFormat="1" customHeight="1" s="311"/>
    <row r="2904" hidden="1" ht="18.75" customFormat="1" customHeight="1" s="311"/>
    <row r="2905" hidden="1" ht="18.75" customFormat="1" customHeight="1" s="311"/>
    <row r="2906" hidden="1" ht="18.75" customFormat="1" customHeight="1" s="311"/>
    <row r="2907" hidden="1" ht="18.75" customFormat="1" customHeight="1" s="311"/>
    <row r="2908" hidden="1" ht="18.75" customFormat="1" customHeight="1" s="311"/>
    <row r="2909" hidden="1" ht="18.75" customFormat="1" customHeight="1" s="311"/>
    <row r="2910" hidden="1" ht="18.75" customFormat="1" customHeight="1" s="311"/>
    <row r="2911" hidden="1" ht="18.75" customFormat="1" customHeight="1" s="311"/>
    <row r="2912" hidden="1" ht="18.75" customFormat="1" customHeight="1" s="311"/>
    <row r="2913" hidden="1" ht="18.75" customFormat="1" customHeight="1" s="311"/>
    <row r="2914" hidden="1" ht="18.75" customFormat="1" customHeight="1" s="311"/>
    <row r="2915" hidden="1" ht="18.75" customFormat="1" customHeight="1" s="311"/>
    <row r="2916" hidden="1" ht="18.75" customFormat="1" customHeight="1" s="311"/>
    <row r="2917" hidden="1" ht="18.75" customFormat="1" customHeight="1" s="311"/>
    <row r="2918" hidden="1" ht="18.75" customFormat="1" customHeight="1" s="311"/>
    <row r="2919" hidden="1" ht="18.75" customFormat="1" customHeight="1" s="311"/>
    <row r="2920" hidden="1" ht="18.75" customFormat="1" customHeight="1" s="311"/>
    <row r="2921" hidden="1" ht="18.75" customFormat="1" customHeight="1" s="311"/>
    <row r="2922" hidden="1" ht="18.75" customFormat="1" customHeight="1" s="311"/>
    <row r="2923" hidden="1" ht="18.75" customFormat="1" customHeight="1" s="311"/>
    <row r="2924" hidden="1" ht="18.75" customFormat="1" customHeight="1" s="311"/>
    <row r="2925" hidden="1" ht="18.75" customFormat="1" customHeight="1" s="311"/>
    <row r="2926" hidden="1" ht="18.75" customFormat="1" customHeight="1" s="311"/>
    <row r="2927" hidden="1" ht="18.75" customFormat="1" customHeight="1" s="311"/>
    <row r="2928" hidden="1" ht="18.75" customFormat="1" customHeight="1" s="311"/>
    <row r="2929" hidden="1" ht="18.75" customFormat="1" customHeight="1" s="311"/>
    <row r="2930" hidden="1" ht="18.75" customFormat="1" customHeight="1" s="311"/>
    <row r="2931" hidden="1" ht="18.75" customFormat="1" customHeight="1" s="311"/>
    <row r="2932" hidden="1" ht="18.75" customFormat="1" customHeight="1" s="311"/>
    <row r="2933" hidden="1" ht="18.75" customFormat="1" customHeight="1" s="311"/>
    <row r="2934" hidden="1" ht="18.75" customFormat="1" customHeight="1" s="311"/>
    <row r="2935" hidden="1" ht="18.75" customFormat="1" customHeight="1" s="311"/>
    <row r="2936" hidden="1" ht="18.75" customFormat="1" customHeight="1" s="311"/>
    <row r="2937" hidden="1" ht="18.75" customFormat="1" customHeight="1" s="311"/>
    <row r="2938" hidden="1" ht="18.75" customFormat="1" customHeight="1" s="311"/>
    <row r="2939" hidden="1" ht="18.75" customFormat="1" customHeight="1" s="311"/>
    <row r="2940" hidden="1" ht="18.75" customFormat="1" customHeight="1" s="311"/>
    <row r="2941" hidden="1" ht="18.75" customFormat="1" customHeight="1" s="311"/>
    <row r="2942" hidden="1" ht="18.75" customFormat="1" customHeight="1" s="311"/>
    <row r="2943" hidden="1" ht="18.75" customFormat="1" customHeight="1" s="311"/>
    <row r="2944" hidden="1" ht="18.75" customFormat="1" customHeight="1" s="311"/>
    <row r="2945" hidden="1" ht="18.75" customFormat="1" customHeight="1" s="311"/>
    <row r="2946" hidden="1" ht="18.75" customFormat="1" customHeight="1" s="311"/>
    <row r="2947" hidden="1" ht="18.75" customFormat="1" customHeight="1" s="311"/>
    <row r="2948" hidden="1" ht="18.75" customFormat="1" customHeight="1" s="311"/>
    <row r="2949" hidden="1" ht="18.75" customFormat="1" customHeight="1" s="311"/>
    <row r="2950" hidden="1" ht="18.75" customFormat="1" customHeight="1" s="311"/>
    <row r="2951" hidden="1" ht="18.75" customFormat="1" customHeight="1" s="311"/>
    <row r="2952" hidden="1" ht="18.75" customFormat="1" customHeight="1" s="311"/>
    <row r="2953" hidden="1" ht="18.75" customFormat="1" customHeight="1" s="311"/>
    <row r="2954" hidden="1" ht="18.75" customFormat="1" customHeight="1" s="311"/>
    <row r="2955" hidden="1" ht="18.75" customFormat="1" customHeight="1" s="311"/>
    <row r="2956" hidden="1" ht="18.75" customFormat="1" customHeight="1" s="311"/>
    <row r="2957" hidden="1" ht="18.75" customFormat="1" customHeight="1" s="311"/>
    <row r="2958" hidden="1" ht="18.75" customFormat="1" customHeight="1" s="311"/>
    <row r="2959" hidden="1" ht="18.75" customFormat="1" customHeight="1" s="311"/>
    <row r="2960" hidden="1" ht="18.75" customFormat="1" customHeight="1" s="311"/>
    <row r="2961" hidden="1" ht="18.75" customFormat="1" customHeight="1" s="311"/>
    <row r="2962" hidden="1" ht="18.75" customFormat="1" customHeight="1" s="311"/>
    <row r="2963" hidden="1" ht="18.75" customFormat="1" customHeight="1" s="311"/>
    <row r="2964" hidden="1" ht="18.75" customFormat="1" customHeight="1" s="311"/>
    <row r="2965" hidden="1" ht="18.75" customFormat="1" customHeight="1" s="311"/>
    <row r="2966" hidden="1" ht="18.75" customFormat="1" customHeight="1" s="311"/>
    <row r="2967" hidden="1" ht="18.75" customFormat="1" customHeight="1" s="311"/>
    <row r="2968" hidden="1" ht="18.75" customFormat="1" customHeight="1" s="311"/>
    <row r="2969" hidden="1" ht="18.75" customFormat="1" customHeight="1" s="311"/>
    <row r="2970" hidden="1" ht="18.75" customFormat="1" customHeight="1" s="311"/>
    <row r="2971" hidden="1" ht="18.75" customFormat="1" customHeight="1" s="311"/>
    <row r="2972" hidden="1" ht="18.75" customFormat="1" customHeight="1" s="311"/>
    <row r="2973" hidden="1" ht="18.75" customFormat="1" customHeight="1" s="311"/>
    <row r="2974" hidden="1" ht="18.75" customFormat="1" customHeight="1" s="311"/>
    <row r="2975" hidden="1" ht="18.75" customFormat="1" customHeight="1" s="311"/>
    <row r="2976" hidden="1" ht="18.75" customFormat="1" customHeight="1" s="311"/>
    <row r="2977" hidden="1" ht="18.75" customFormat="1" customHeight="1" s="311"/>
    <row r="2978" hidden="1" ht="18.75" customFormat="1" customHeight="1" s="311"/>
    <row r="2979" hidden="1" ht="18.75" customFormat="1" customHeight="1" s="311"/>
    <row r="2980" hidden="1" ht="18.75" customFormat="1" customHeight="1" s="311"/>
    <row r="2981" hidden="1" ht="18.75" customFormat="1" customHeight="1" s="311"/>
    <row r="2982" hidden="1" ht="18.75" customFormat="1" customHeight="1" s="311"/>
    <row r="2983" hidden="1" ht="18.75" customFormat="1" customHeight="1" s="311"/>
    <row r="2984" hidden="1" ht="18.75" customFormat="1" customHeight="1" s="311"/>
    <row r="2985" hidden="1" ht="18.75" customFormat="1" customHeight="1" s="311"/>
    <row r="2986" hidden="1" ht="18.75" customFormat="1" customHeight="1" s="311"/>
    <row r="2987" hidden="1" ht="18.75" customFormat="1" customHeight="1" s="311"/>
    <row r="2988" hidden="1" ht="18.75" customFormat="1" customHeight="1" s="311"/>
    <row r="2989" hidden="1" ht="18.75" customFormat="1" customHeight="1" s="311"/>
    <row r="2990" hidden="1" ht="18.75" customFormat="1" customHeight="1" s="311"/>
    <row r="2991" hidden="1" ht="18.75" customFormat="1" customHeight="1" s="311"/>
    <row r="2992" hidden="1" ht="18.75" customFormat="1" customHeight="1" s="311"/>
    <row r="2993" hidden="1" ht="18.75" customFormat="1" customHeight="1" s="311"/>
    <row r="2994" hidden="1" ht="18.75" customFormat="1" customHeight="1" s="311"/>
    <row r="2995" hidden="1" ht="18.75" customFormat="1" customHeight="1" s="311"/>
    <row r="2996" hidden="1" ht="18.75" customFormat="1" customHeight="1" s="311"/>
    <row r="2997" hidden="1" ht="18.75" customFormat="1" customHeight="1" s="311"/>
    <row r="2998" hidden="1" ht="18.75" customFormat="1" customHeight="1" s="311"/>
    <row r="2999" hidden="1" ht="18.75" customFormat="1" customHeight="1" s="311"/>
    <row r="3000" hidden="1" ht="18.75" customFormat="1" customHeight="1" s="311"/>
    <row r="3001" hidden="1" ht="18.75" customFormat="1" customHeight="1" s="311"/>
    <row r="3002" hidden="1" ht="18.75" customFormat="1" customHeight="1" s="311"/>
    <row r="3003" hidden="1" ht="18.75" customFormat="1" customHeight="1" s="311"/>
    <row r="3004" hidden="1" ht="18.75" customFormat="1" customHeight="1" s="311"/>
    <row r="3005" hidden="1" ht="18.75" customFormat="1" customHeight="1" s="311"/>
    <row r="3006" hidden="1" ht="18.75" customFormat="1" customHeight="1" s="311"/>
    <row r="3007" hidden="1" ht="18.75" customFormat="1" customHeight="1" s="311"/>
    <row r="3008" hidden="1" ht="18.75" customFormat="1" customHeight="1" s="311"/>
    <row r="3009" hidden="1" ht="18.75" customFormat="1" customHeight="1" s="311"/>
    <row r="3010" hidden="1" ht="18.75" customFormat="1" customHeight="1" s="311"/>
    <row r="3011" hidden="1" ht="18.75" customFormat="1" customHeight="1" s="311"/>
    <row r="3012" hidden="1" ht="18.75" customFormat="1" customHeight="1" s="311"/>
    <row r="3013" hidden="1" ht="18.75" customFormat="1" customHeight="1" s="311"/>
    <row r="3014" hidden="1" ht="18.75" customFormat="1" customHeight="1" s="311"/>
    <row r="3015" hidden="1" ht="18.75" customFormat="1" customHeight="1" s="311"/>
    <row r="3016" hidden="1" ht="18.75" customFormat="1" customHeight="1" s="311"/>
    <row r="3017" hidden="1" ht="18.75" customFormat="1" customHeight="1" s="311"/>
    <row r="3018" hidden="1" ht="18.75" customFormat="1" customHeight="1" s="311"/>
    <row r="3019" hidden="1" ht="18.75" customFormat="1" customHeight="1" s="311"/>
    <row r="3020" hidden="1" ht="18.75" customFormat="1" customHeight="1" s="311"/>
    <row r="3021" hidden="1" ht="18.75" customFormat="1" customHeight="1" s="311"/>
    <row r="3022" hidden="1" ht="18.75" customFormat="1" customHeight="1" s="311"/>
    <row r="3023" hidden="1" ht="18.75" customFormat="1" customHeight="1" s="311"/>
    <row r="3024" hidden="1" ht="18.75" customFormat="1" customHeight="1" s="311"/>
    <row r="3025" hidden="1" ht="18.75" customFormat="1" customHeight="1" s="311"/>
    <row r="3026" hidden="1" ht="18.75" customFormat="1" customHeight="1" s="311"/>
    <row r="3027" hidden="1" ht="18.75" customFormat="1" customHeight="1" s="311"/>
    <row r="3028" hidden="1" ht="18.75" customFormat="1" customHeight="1" s="311"/>
    <row r="3029" hidden="1" ht="18.75" customFormat="1" customHeight="1" s="311"/>
    <row r="3030" hidden="1" ht="18.75" customFormat="1" customHeight="1" s="311"/>
    <row r="3031" hidden="1" ht="18.75" customFormat="1" customHeight="1" s="311"/>
    <row r="3032" hidden="1" ht="18.75" customFormat="1" customHeight="1" s="311"/>
    <row r="3033" hidden="1" ht="18.75" customFormat="1" customHeight="1" s="311"/>
    <row r="3034" hidden="1" ht="18.75" customFormat="1" customHeight="1" s="311"/>
    <row r="3035" hidden="1" ht="18.75" customFormat="1" customHeight="1" s="311"/>
    <row r="3036" hidden="1" ht="18.75" customFormat="1" customHeight="1" s="311"/>
    <row r="3037" hidden="1" ht="18.75" customFormat="1" customHeight="1" s="311"/>
    <row r="3038" hidden="1" ht="18.75" customFormat="1" customHeight="1" s="311"/>
    <row r="3039" hidden="1" ht="18.75" customFormat="1" customHeight="1" s="311"/>
    <row r="3040" hidden="1" ht="18.75" customFormat="1" customHeight="1" s="311"/>
    <row r="3041" hidden="1" ht="18.75" customFormat="1" customHeight="1" s="311"/>
    <row r="3042" hidden="1" ht="18.75" customFormat="1" customHeight="1" s="311"/>
    <row r="3043" hidden="1" ht="18.75" customFormat="1" customHeight="1" s="311"/>
    <row r="3044" hidden="1" ht="18.75" customFormat="1" customHeight="1" s="311"/>
    <row r="3045" hidden="1" ht="18.75" customFormat="1" customHeight="1" s="311"/>
    <row r="3046" hidden="1" ht="18.75" customFormat="1" customHeight="1" s="311"/>
    <row r="3047" hidden="1" ht="18.75" customFormat="1" customHeight="1" s="311"/>
    <row r="3048" hidden="1" ht="18.75" customFormat="1" customHeight="1" s="311"/>
    <row r="3049" hidden="1" ht="18.75" customFormat="1" customHeight="1" s="311"/>
    <row r="3050" hidden="1" ht="18.75" customFormat="1" customHeight="1" s="311"/>
    <row r="3051" hidden="1" ht="18.75" customFormat="1" customHeight="1" s="311"/>
    <row r="3052" hidden="1" ht="18.75" customFormat="1" customHeight="1" s="311"/>
    <row r="3053" hidden="1" ht="18.75" customFormat="1" customHeight="1" s="311"/>
    <row r="3054" hidden="1" ht="18.75" customFormat="1" customHeight="1" s="311"/>
    <row r="3055" hidden="1" ht="18.75" customFormat="1" customHeight="1" s="311"/>
    <row r="3056" hidden="1" ht="18.75" customFormat="1" customHeight="1" s="311"/>
    <row r="3057" hidden="1" ht="18.75" customFormat="1" customHeight="1" s="311"/>
    <row r="3058" hidden="1" ht="18.75" customFormat="1" customHeight="1" s="311"/>
    <row r="3059" hidden="1" ht="18.75" customFormat="1" customHeight="1" s="311"/>
    <row r="3060" hidden="1" ht="18.75" customFormat="1" customHeight="1" s="311"/>
    <row r="3061" hidden="1" ht="18.75" customFormat="1" customHeight="1" s="311"/>
    <row r="3062" hidden="1" ht="18.75" customFormat="1" customHeight="1" s="311"/>
    <row r="3063" hidden="1" ht="18.75" customFormat="1" customHeight="1" s="311"/>
    <row r="3064" hidden="1" ht="18.75" customFormat="1" customHeight="1" s="311"/>
    <row r="3065" hidden="1" ht="18.75" customFormat="1" customHeight="1" s="311"/>
    <row r="3066" hidden="1" ht="18.75" customFormat="1" customHeight="1" s="311"/>
    <row r="3067" hidden="1" ht="18.75" customFormat="1" customHeight="1" s="311"/>
    <row r="3068" hidden="1" ht="18.75" customFormat="1" customHeight="1" s="311"/>
    <row r="3069" hidden="1" ht="18.75" customFormat="1" customHeight="1" s="311"/>
    <row r="3070" hidden="1" ht="18.75" customFormat="1" customHeight="1" s="311"/>
    <row r="3071" hidden="1" ht="18.75" customFormat="1" customHeight="1" s="311"/>
    <row r="3072" hidden="1" ht="18.75" customFormat="1" customHeight="1" s="311"/>
    <row r="3073" hidden="1" ht="18.75" customFormat="1" customHeight="1" s="311"/>
    <row r="3074" hidden="1" ht="18.75" customFormat="1" customHeight="1" s="311"/>
    <row r="3075" hidden="1" ht="18.75" customFormat="1" customHeight="1" s="311"/>
    <row r="3076" hidden="1" ht="18.75" customFormat="1" customHeight="1" s="311"/>
    <row r="3077" hidden="1" ht="18.75" customFormat="1" customHeight="1" s="311"/>
    <row r="3078" hidden="1" ht="18.75" customFormat="1" customHeight="1" s="311"/>
    <row r="3079" hidden="1" ht="18.75" customFormat="1" customHeight="1" s="311"/>
    <row r="3080" hidden="1" ht="18.75" customFormat="1" customHeight="1" s="311"/>
    <row r="3081" hidden="1" ht="18.75" customFormat="1" customHeight="1" s="311"/>
    <row r="3082" hidden="1" ht="18.75" customFormat="1" customHeight="1" s="311"/>
    <row r="3083" hidden="1" ht="18.75" customFormat="1" customHeight="1" s="311"/>
    <row r="3084" hidden="1" ht="18.75" customFormat="1" customHeight="1" s="311"/>
    <row r="3085" hidden="1" ht="18.75" customFormat="1" customHeight="1" s="311"/>
    <row r="3086" hidden="1" ht="18.75" customFormat="1" customHeight="1" s="311"/>
    <row r="3087" hidden="1" ht="18.75" customFormat="1" customHeight="1" s="311"/>
    <row r="3088" hidden="1" ht="18.75" customFormat="1" customHeight="1" s="311"/>
    <row r="3089" hidden="1" ht="18.75" customFormat="1" customHeight="1" s="311"/>
    <row r="3090" hidden="1" ht="18.75" customFormat="1" customHeight="1" s="311"/>
    <row r="3091" hidden="1" ht="18.75" customFormat="1" customHeight="1" s="311"/>
    <row r="3092" hidden="1" ht="18.75" customFormat="1" customHeight="1" s="311"/>
    <row r="3093" hidden="1" ht="18.75" customFormat="1" customHeight="1" s="311"/>
    <row r="3094" hidden="1" ht="18.75" customFormat="1" customHeight="1" s="311"/>
    <row r="3095" hidden="1" ht="18.75" customFormat="1" customHeight="1" s="311"/>
    <row r="3096" hidden="1" ht="18.75" customFormat="1" customHeight="1" s="311"/>
    <row r="3097" hidden="1" ht="18.75" customFormat="1" customHeight="1" s="311"/>
    <row r="3098" hidden="1" ht="18.75" customFormat="1" customHeight="1" s="311"/>
    <row r="3099" hidden="1" ht="18.75" customFormat="1" customHeight="1" s="311"/>
    <row r="3100" hidden="1" ht="18.75" customFormat="1" customHeight="1" s="311"/>
    <row r="3101" hidden="1" ht="18.75" customFormat="1" customHeight="1" s="311"/>
    <row r="3102" hidden="1" ht="18.75" customFormat="1" customHeight="1" s="311"/>
    <row r="3103" hidden="1" ht="18.75" customFormat="1" customHeight="1" s="311"/>
    <row r="3104" hidden="1" ht="18.75" customFormat="1" customHeight="1" s="311"/>
    <row r="3105" hidden="1" ht="18.75" customFormat="1" customHeight="1" s="311"/>
    <row r="3106" hidden="1" ht="18.75" customFormat="1" customHeight="1" s="311"/>
    <row r="3107" hidden="1" ht="18.75" customFormat="1" customHeight="1" s="311"/>
    <row r="3108" hidden="1" ht="18.75" customFormat="1" customHeight="1" s="311"/>
    <row r="3109" hidden="1" ht="18.75" customFormat="1" customHeight="1" s="311"/>
    <row r="3110" hidden="1" ht="18.75" customFormat="1" customHeight="1" s="311"/>
    <row r="3111" hidden="1" ht="18.75" customFormat="1" customHeight="1" s="311"/>
    <row r="3112" hidden="1" ht="18.75" customFormat="1" customHeight="1" s="311"/>
    <row r="3113" hidden="1" ht="18.75" customFormat="1" customHeight="1" s="311"/>
    <row r="3114" hidden="1" ht="18.75" customFormat="1" customHeight="1" s="311"/>
    <row r="3115" hidden="1" ht="18.75" customFormat="1" customHeight="1" s="311"/>
    <row r="3116" hidden="1" ht="18.75" customFormat="1" customHeight="1" s="311"/>
    <row r="3117" hidden="1" ht="18.75" customFormat="1" customHeight="1" s="311"/>
    <row r="3118" hidden="1" ht="18.75" customFormat="1" customHeight="1" s="311"/>
    <row r="3119" hidden="1" ht="18.75" customFormat="1" customHeight="1" s="311"/>
    <row r="3120" hidden="1" ht="18.75" customFormat="1" customHeight="1" s="311"/>
    <row r="3121" hidden="1" ht="18.75" customFormat="1" customHeight="1" s="311"/>
    <row r="3122" hidden="1" ht="18.75" customFormat="1" customHeight="1" s="311"/>
    <row r="3123" hidden="1" ht="18.75" customFormat="1" customHeight="1" s="311"/>
    <row r="3124" hidden="1" ht="18.75" customFormat="1" customHeight="1" s="311"/>
    <row r="3125" hidden="1" ht="18.75" customFormat="1" customHeight="1" s="311"/>
    <row r="3126" hidden="1" ht="18.75" customFormat="1" customHeight="1" s="311"/>
    <row r="3127" hidden="1" ht="18.75" customFormat="1" customHeight="1" s="311"/>
    <row r="3128" hidden="1" ht="18.75" customFormat="1" customHeight="1" s="311"/>
    <row r="3129" hidden="1" ht="18.75" customFormat="1" customHeight="1" s="311"/>
    <row r="3130" hidden="1" ht="18.75" customFormat="1" customHeight="1" s="311"/>
    <row r="3131" hidden="1" ht="18.75" customFormat="1" customHeight="1" s="311"/>
    <row r="3132" hidden="1" ht="18.75" customFormat="1" customHeight="1" s="311"/>
    <row r="3133" hidden="1" ht="18.75" customFormat="1" customHeight="1" s="311"/>
    <row r="3134" hidden="1" ht="18.75" customFormat="1" customHeight="1" s="311"/>
    <row r="3135" hidden="1" ht="18.75" customFormat="1" customHeight="1" s="311"/>
    <row r="3136" hidden="1" ht="18.75" customFormat="1" customHeight="1" s="311"/>
    <row r="3137" hidden="1" ht="18.75" customFormat="1" customHeight="1" s="311"/>
    <row r="3138" hidden="1" ht="18.75" customFormat="1" customHeight="1" s="311"/>
    <row r="3139" hidden="1" ht="18.75" customFormat="1" customHeight="1" s="311"/>
    <row r="3140" hidden="1" ht="18.75" customFormat="1" customHeight="1" s="311"/>
    <row r="3141" hidden="1" ht="18.75" customFormat="1" customHeight="1" s="311"/>
    <row r="3142" hidden="1" ht="18.75" customFormat="1" customHeight="1" s="311"/>
    <row r="3143" hidden="1" ht="18.75" customFormat="1" customHeight="1" s="311"/>
    <row r="3144" hidden="1" ht="18.75" customFormat="1" customHeight="1" s="311"/>
    <row r="3145" hidden="1" ht="18.75" customFormat="1" customHeight="1" s="311"/>
    <row r="3146" hidden="1" ht="18.75" customFormat="1" customHeight="1" s="311"/>
    <row r="3147" hidden="1" ht="18.75" customFormat="1" customHeight="1" s="311"/>
    <row r="3148" hidden="1" ht="18.75" customFormat="1" customHeight="1" s="311"/>
    <row r="3149" hidden="1" ht="18.75" customFormat="1" customHeight="1" s="311"/>
    <row r="3150" hidden="1" ht="18.75" customFormat="1" customHeight="1" s="311"/>
    <row r="3151" hidden="1" ht="18.75" customFormat="1" customHeight="1" s="311"/>
    <row r="3152" hidden="1" ht="18.75" customFormat="1" customHeight="1" s="311"/>
    <row r="3153" hidden="1" ht="18.75" customFormat="1" customHeight="1" s="311"/>
    <row r="3154" hidden="1" ht="18.75" customFormat="1" customHeight="1" s="311"/>
    <row r="3155" hidden="1" ht="18.75" customFormat="1" customHeight="1" s="311"/>
    <row r="3156" hidden="1" ht="18.75" customFormat="1" customHeight="1" s="311"/>
    <row r="3157" hidden="1" ht="18.75" customFormat="1" customHeight="1" s="311"/>
    <row r="3158" hidden="1" ht="18.75" customFormat="1" customHeight="1" s="311"/>
    <row r="3159" hidden="1" ht="18.75" customFormat="1" customHeight="1" s="311"/>
    <row r="3160" hidden="1" ht="18.75" customFormat="1" customHeight="1" s="311"/>
    <row r="3161" hidden="1" ht="18.75" customFormat="1" customHeight="1" s="311"/>
    <row r="3162" hidden="1" ht="18.75" customFormat="1" customHeight="1" s="311"/>
    <row r="3163" hidden="1" ht="18.75" customFormat="1" customHeight="1" s="311"/>
    <row r="3164" hidden="1" ht="18.75" customFormat="1" customHeight="1" s="311"/>
    <row r="3165" hidden="1" ht="18.75" customFormat="1" customHeight="1" s="311"/>
    <row r="3166" hidden="1" ht="18.75" customFormat="1" customHeight="1" s="311"/>
    <row r="3167" hidden="1" ht="18.75" customFormat="1" customHeight="1" s="311"/>
    <row r="3168" hidden="1" ht="18.75" customFormat="1" customHeight="1" s="311"/>
    <row r="3169" hidden="1" ht="18.75" customFormat="1" customHeight="1" s="311"/>
    <row r="3170" hidden="1" ht="18.75" customFormat="1" customHeight="1" s="311"/>
    <row r="3171" hidden="1" ht="18.75" customFormat="1" customHeight="1" s="311"/>
    <row r="3172" hidden="1" ht="18.75" customFormat="1" customHeight="1" s="311"/>
    <row r="3173" hidden="1" ht="18.75" customFormat="1" customHeight="1" s="311"/>
    <row r="3174" hidden="1" ht="18.75" customFormat="1" customHeight="1" s="311"/>
    <row r="3175" hidden="1" ht="18.75" customFormat="1" customHeight="1" s="311"/>
    <row r="3176" hidden="1" ht="18.75" customFormat="1" customHeight="1" s="311"/>
    <row r="3177" hidden="1" ht="18.75" customFormat="1" customHeight="1" s="311"/>
    <row r="3178" hidden="1" ht="18.75" customFormat="1" customHeight="1" s="311"/>
    <row r="3179" hidden="1" ht="18.75" customFormat="1" customHeight="1" s="311"/>
    <row r="3180" hidden="1" ht="18.75" customFormat="1" customHeight="1" s="311"/>
    <row r="3181" hidden="1" ht="18.75" customFormat="1" customHeight="1" s="311"/>
    <row r="3182" hidden="1" ht="18.75" customFormat="1" customHeight="1" s="311"/>
    <row r="3183" hidden="1" ht="18.75" customFormat="1" customHeight="1" s="311"/>
    <row r="3184" hidden="1" ht="18.75" customFormat="1" customHeight="1" s="311"/>
    <row r="3185" hidden="1" ht="18.75" customFormat="1" customHeight="1" s="311"/>
    <row r="3186" hidden="1" ht="18.75" customFormat="1" customHeight="1" s="311"/>
    <row r="3187" hidden="1" ht="18.75" customFormat="1" customHeight="1" s="311"/>
    <row r="3188" hidden="1" ht="18.75" customFormat="1" customHeight="1" s="311"/>
    <row r="3189" hidden="1" ht="18.75" customFormat="1" customHeight="1" s="311"/>
    <row r="3190" hidden="1" ht="18.75" customFormat="1" customHeight="1" s="311"/>
    <row r="3191" hidden="1" ht="18.75" customFormat="1" customHeight="1" s="311"/>
    <row r="3192" hidden="1" ht="18.75" customFormat="1" customHeight="1" s="311"/>
    <row r="3193" hidden="1" ht="18.75" customFormat="1" customHeight="1" s="311"/>
    <row r="3194" hidden="1" ht="18.75" customFormat="1" customHeight="1" s="311"/>
    <row r="3195" hidden="1" ht="18.75" customFormat="1" customHeight="1" s="311"/>
    <row r="3196" hidden="1" ht="18.75" customFormat="1" customHeight="1" s="311"/>
    <row r="3197" hidden="1" ht="18.75" customFormat="1" customHeight="1" s="311"/>
    <row r="3198" hidden="1" ht="18.75" customFormat="1" customHeight="1" s="311"/>
    <row r="3199" hidden="1" ht="18.75" customFormat="1" customHeight="1" s="311"/>
    <row r="3200" hidden="1" ht="18.75" customFormat="1" customHeight="1" s="311"/>
    <row r="3201" hidden="1" ht="18.75" customFormat="1" customHeight="1" s="311"/>
    <row r="3202" hidden="1" ht="18.75" customFormat="1" customHeight="1" s="311"/>
    <row r="3203" hidden="1" ht="18.75" customFormat="1" customHeight="1" s="311"/>
    <row r="3204" hidden="1" ht="18.75" customFormat="1" customHeight="1" s="311"/>
    <row r="3205" hidden="1" ht="18.75" customFormat="1" customHeight="1" s="311"/>
    <row r="3206" hidden="1" ht="18.75" customFormat="1" customHeight="1" s="311"/>
    <row r="3207" hidden="1" ht="18.75" customFormat="1" customHeight="1" s="311"/>
    <row r="3208" hidden="1" ht="18.75" customFormat="1" customHeight="1" s="311"/>
    <row r="3209" hidden="1" ht="18.75" customFormat="1" customHeight="1" s="311"/>
    <row r="3210" hidden="1" ht="18.75" customFormat="1" customHeight="1" s="311"/>
    <row r="3211" hidden="1" ht="18.75" customFormat="1" customHeight="1" s="311"/>
    <row r="3212" hidden="1" ht="18.75" customFormat="1" customHeight="1" s="311"/>
    <row r="3213" hidden="1" ht="18.75" customFormat="1" customHeight="1" s="311"/>
    <row r="3214" hidden="1" ht="18.75" customFormat="1" customHeight="1" s="311"/>
    <row r="3215" hidden="1" ht="18.75" customFormat="1" customHeight="1" s="311"/>
    <row r="3216" hidden="1" ht="18.75" customFormat="1" customHeight="1" s="311"/>
    <row r="3217" hidden="1" ht="18.75" customFormat="1" customHeight="1" s="311"/>
    <row r="3218" hidden="1" ht="18.75" customFormat="1" customHeight="1" s="311"/>
    <row r="3219" hidden="1" ht="18.75" customFormat="1" customHeight="1" s="311"/>
    <row r="3220" hidden="1" ht="18.75" customFormat="1" customHeight="1" s="311"/>
    <row r="3221" hidden="1" ht="18.75" customFormat="1" customHeight="1" s="311"/>
    <row r="3222" hidden="1" ht="18.75" customFormat="1" customHeight="1" s="311"/>
    <row r="3223" hidden="1" ht="18.75" customFormat="1" customHeight="1" s="311"/>
    <row r="3224" hidden="1" ht="18.75" customFormat="1" customHeight="1" s="311"/>
    <row r="3225" hidden="1" ht="18.75" customFormat="1" customHeight="1" s="311"/>
    <row r="3226" hidden="1" ht="18.75" customFormat="1" customHeight="1" s="311"/>
    <row r="3227" hidden="1" ht="18.75" customFormat="1" customHeight="1" s="311"/>
    <row r="3228" hidden="1" ht="18.75" customFormat="1" customHeight="1" s="311"/>
    <row r="3229" hidden="1" ht="18.75" customFormat="1" customHeight="1" s="311"/>
    <row r="3230" hidden="1" ht="18.75" customFormat="1" customHeight="1" s="311"/>
    <row r="3231" hidden="1" ht="18.75" customFormat="1" customHeight="1" s="311"/>
    <row r="3232" hidden="1" ht="18.75" customFormat="1" customHeight="1" s="311"/>
    <row r="3233" hidden="1" ht="18.75" customFormat="1" customHeight="1" s="311"/>
    <row r="3234" hidden="1" ht="18.75" customFormat="1" customHeight="1" s="311"/>
    <row r="3235" hidden="1" ht="18.75" customFormat="1" customHeight="1" s="311"/>
    <row r="3236" hidden="1" ht="18.75" customFormat="1" customHeight="1" s="311"/>
    <row r="3237" hidden="1" ht="18.75" customFormat="1" customHeight="1" s="311"/>
    <row r="3238" hidden="1" ht="18.75" customFormat="1" customHeight="1" s="311"/>
    <row r="3239" hidden="1" ht="18.75" customFormat="1" customHeight="1" s="311"/>
    <row r="3240" hidden="1" ht="18.75" customFormat="1" customHeight="1" s="311"/>
    <row r="3241" hidden="1" ht="18.75" customFormat="1" customHeight="1" s="311"/>
    <row r="3242" hidden="1" ht="18.75" customFormat="1" customHeight="1" s="311"/>
    <row r="3243" hidden="1" ht="18.75" customFormat="1" customHeight="1" s="311"/>
    <row r="3244" hidden="1" ht="18.75" customFormat="1" customHeight="1" s="311"/>
    <row r="3245" hidden="1" ht="18.75" customFormat="1" customHeight="1" s="311"/>
    <row r="3246" hidden="1" ht="18.75" customFormat="1" customHeight="1" s="311"/>
    <row r="3247" hidden="1" ht="18.75" customFormat="1" customHeight="1" s="311"/>
    <row r="3248" hidden="1" ht="18.75" customFormat="1" customHeight="1" s="311"/>
    <row r="3249" hidden="1" ht="18.75" customFormat="1" customHeight="1" s="311"/>
    <row r="3250" hidden="1" ht="18.75" customFormat="1" customHeight="1" s="311"/>
    <row r="3251" hidden="1" ht="18.75" customFormat="1" customHeight="1" s="311"/>
    <row r="3252" hidden="1" ht="18.75" customFormat="1" customHeight="1" s="311"/>
    <row r="3253" hidden="1" ht="18.75" customFormat="1" customHeight="1" s="311"/>
    <row r="3254" hidden="1" ht="18.75" customFormat="1" customHeight="1" s="311"/>
    <row r="3255" hidden="1" ht="18.75" customFormat="1" customHeight="1" s="311"/>
    <row r="3256" hidden="1" ht="18.75" customFormat="1" customHeight="1" s="311"/>
    <row r="3257" hidden="1" ht="18.75" customFormat="1" customHeight="1" s="311"/>
    <row r="3258" hidden="1" ht="18.75" customFormat="1" customHeight="1" s="311"/>
    <row r="3259" hidden="1" ht="18.75" customFormat="1" customHeight="1" s="311"/>
    <row r="3260" hidden="1" ht="18.75" customFormat="1" customHeight="1" s="311"/>
    <row r="3261" hidden="1" ht="18.75" customFormat="1" customHeight="1" s="311"/>
    <row r="3262" hidden="1" ht="18.75" customFormat="1" customHeight="1" s="311"/>
    <row r="3263" hidden="1" ht="18.75" customFormat="1" customHeight="1" s="311"/>
    <row r="3264" hidden="1" ht="18.75" customFormat="1" customHeight="1" s="311"/>
    <row r="3265" hidden="1" ht="18.75" customFormat="1" customHeight="1" s="311"/>
    <row r="3266" hidden="1" ht="18.75" customFormat="1" customHeight="1" s="311"/>
    <row r="3267" hidden="1" ht="18.75" customFormat="1" customHeight="1" s="311"/>
    <row r="3268" hidden="1" ht="18.75" customFormat="1" customHeight="1" s="311"/>
    <row r="3269" hidden="1" ht="18.75" customFormat="1" customHeight="1" s="311"/>
    <row r="3270" hidden="1" ht="18.75" customFormat="1" customHeight="1" s="311"/>
    <row r="3271" hidden="1" ht="18.75" customFormat="1" customHeight="1" s="311"/>
    <row r="3272" hidden="1" ht="18.75" customFormat="1" customHeight="1" s="311"/>
    <row r="3273" hidden="1" ht="18.75" customFormat="1" customHeight="1" s="311"/>
    <row r="3274" hidden="1" ht="18.75" customFormat="1" customHeight="1" s="311"/>
    <row r="3275" hidden="1" ht="18.75" customFormat="1" customHeight="1" s="311"/>
    <row r="3276" hidden="1" ht="18.75" customFormat="1" customHeight="1" s="311"/>
    <row r="3277" hidden="1" ht="18.75" customFormat="1" customHeight="1" s="311"/>
    <row r="3278" hidden="1" ht="18.75" customFormat="1" customHeight="1" s="311"/>
    <row r="3279" hidden="1" ht="18.75" customFormat="1" customHeight="1" s="311"/>
    <row r="3280" hidden="1" ht="18.75" customFormat="1" customHeight="1" s="311"/>
    <row r="3281" hidden="1" ht="18.75" customFormat="1" customHeight="1" s="311"/>
    <row r="3282" hidden="1" ht="18.75" customFormat="1" customHeight="1" s="311"/>
    <row r="3283" hidden="1" ht="18.75" customFormat="1" customHeight="1" s="311"/>
    <row r="3284" hidden="1" ht="18.75" customFormat="1" customHeight="1" s="311"/>
    <row r="3285" hidden="1" ht="18.75" customFormat="1" customHeight="1" s="311"/>
    <row r="3286" hidden="1" ht="18.75" customFormat="1" customHeight="1" s="311"/>
    <row r="3287" hidden="1" ht="18.75" customFormat="1" customHeight="1" s="311"/>
    <row r="3288" hidden="1" ht="18.75" customFormat="1" customHeight="1" s="311"/>
    <row r="3289" hidden="1" ht="18.75" customFormat="1" customHeight="1" s="311"/>
    <row r="3290" hidden="1" ht="18.75" customFormat="1" customHeight="1" s="311"/>
    <row r="3291" hidden="1" ht="18.75" customFormat="1" customHeight="1" s="311"/>
    <row r="3292" hidden="1" ht="18.75" customFormat="1" customHeight="1" s="311"/>
    <row r="3293" hidden="1" ht="18.75" customFormat="1" customHeight="1" s="311"/>
    <row r="3294" hidden="1" ht="18.75" customFormat="1" customHeight="1" s="311"/>
    <row r="3295" hidden="1" ht="18.75" customFormat="1" customHeight="1" s="311"/>
    <row r="3296" hidden="1" ht="18.75" customFormat="1" customHeight="1" s="311"/>
    <row r="3297" hidden="1" ht="18.75" customFormat="1" customHeight="1" s="311"/>
    <row r="3298" hidden="1" ht="18.75" customFormat="1" customHeight="1" s="311"/>
    <row r="3299" hidden="1" ht="18.75" customFormat="1" customHeight="1" s="311"/>
    <row r="3300" hidden="1" ht="18.75" customFormat="1" customHeight="1" s="311"/>
    <row r="3301" hidden="1" ht="18.75" customFormat="1" customHeight="1" s="311"/>
    <row r="3302" hidden="1" ht="18.75" customFormat="1" customHeight="1" s="311"/>
    <row r="3303" hidden="1" ht="18.75" customFormat="1" customHeight="1" s="311"/>
    <row r="3304" hidden="1" ht="18.75" customFormat="1" customHeight="1" s="311"/>
    <row r="3305" hidden="1" ht="18.75" customFormat="1" customHeight="1" s="311"/>
    <row r="3306" hidden="1" ht="18.75" customFormat="1" customHeight="1" s="311"/>
    <row r="3307" hidden="1" ht="18.75" customFormat="1" customHeight="1" s="311"/>
    <row r="3308" hidden="1" ht="18.75" customFormat="1" customHeight="1" s="311"/>
    <row r="3309" hidden="1" ht="18.75" customFormat="1" customHeight="1" s="311"/>
    <row r="3310" hidden="1" ht="18.75" customFormat="1" customHeight="1" s="311"/>
    <row r="3311" hidden="1" ht="18.75" customFormat="1" customHeight="1" s="311"/>
    <row r="3312" hidden="1" ht="18.75" customFormat="1" customHeight="1" s="311"/>
    <row r="3313" hidden="1" ht="18.75" customFormat="1" customHeight="1" s="311"/>
    <row r="3314" hidden="1" ht="18.75" customFormat="1" customHeight="1" s="311"/>
    <row r="3315" hidden="1" ht="18.75" customFormat="1" customHeight="1" s="311"/>
    <row r="3316" hidden="1" ht="18.75" customFormat="1" customHeight="1" s="311"/>
    <row r="3317" hidden="1" ht="18.75" customFormat="1" customHeight="1" s="311"/>
    <row r="3318" hidden="1" ht="18.75" customFormat="1" customHeight="1" s="311"/>
    <row r="3319" hidden="1" ht="18.75" customFormat="1" customHeight="1" s="311"/>
    <row r="3320" hidden="1" ht="18.75" customFormat="1" customHeight="1" s="311"/>
    <row r="3321" hidden="1" ht="18.75" customFormat="1" customHeight="1" s="311"/>
    <row r="3322" hidden="1" ht="18.75" customFormat="1" customHeight="1" s="311"/>
    <row r="3323" hidden="1" ht="18.75" customFormat="1" customHeight="1" s="311"/>
    <row r="3324" hidden="1" ht="18.75" customFormat="1" customHeight="1" s="311"/>
    <row r="3325" hidden="1" ht="18.75" customFormat="1" customHeight="1" s="311"/>
    <row r="3326" hidden="1" ht="18.75" customFormat="1" customHeight="1" s="311"/>
    <row r="3327" hidden="1" ht="18.75" customFormat="1" customHeight="1" s="311"/>
    <row r="3328" hidden="1" ht="18.75" customFormat="1" customHeight="1" s="311"/>
    <row r="3329" hidden="1" ht="18.75" customFormat="1" customHeight="1" s="311"/>
    <row r="3330" hidden="1" ht="18.75" customFormat="1" customHeight="1" s="311"/>
    <row r="3331" hidden="1" ht="18.75" customFormat="1" customHeight="1" s="311"/>
    <row r="3332" hidden="1" ht="18.75" customFormat="1" customHeight="1" s="311"/>
    <row r="3333" hidden="1" ht="18.75" customFormat="1" customHeight="1" s="311"/>
    <row r="3334" hidden="1" ht="18.75" customFormat="1" customHeight="1" s="311"/>
    <row r="3335" hidden="1" ht="18.75" customFormat="1" customHeight="1" s="311"/>
    <row r="3336" hidden="1" ht="18.75" customFormat="1" customHeight="1" s="311"/>
    <row r="3337" hidden="1" ht="18.75" customFormat="1" customHeight="1" s="311"/>
    <row r="3338" hidden="1" ht="18.75" customFormat="1" customHeight="1" s="311"/>
    <row r="3339" hidden="1" ht="18.75" customFormat="1" customHeight="1" s="311"/>
    <row r="3340" hidden="1" ht="18.75" customFormat="1" customHeight="1" s="311"/>
    <row r="3341" hidden="1" ht="18.75" customFormat="1" customHeight="1" s="311"/>
    <row r="3342" hidden="1" ht="18.75" customFormat="1" customHeight="1" s="311"/>
    <row r="3343" hidden="1" ht="18.75" customFormat="1" customHeight="1" s="311"/>
    <row r="3344" hidden="1" ht="18.75" customFormat="1" customHeight="1" s="311"/>
    <row r="3345" hidden="1" ht="18.75" customFormat="1" customHeight="1" s="311"/>
    <row r="3346" hidden="1" ht="18.75" customFormat="1" customHeight="1" s="311"/>
    <row r="3347" hidden="1" ht="18.75" customFormat="1" customHeight="1" s="311"/>
    <row r="3348" hidden="1" ht="18.75" customFormat="1" customHeight="1" s="311"/>
    <row r="3349" hidden="1" ht="18.75" customFormat="1" customHeight="1" s="311"/>
    <row r="3350" hidden="1" ht="18.75" customFormat="1" customHeight="1" s="311"/>
    <row r="3351" hidden="1" ht="18.75" customFormat="1" customHeight="1" s="311"/>
    <row r="3352" hidden="1" ht="18.75" customFormat="1" customHeight="1" s="311"/>
    <row r="3353" hidden="1" ht="18.75" customFormat="1" customHeight="1" s="311"/>
    <row r="3354" hidden="1" ht="15" customFormat="1" customHeight="1" s="311"/>
    <row r="3355" hidden="1" ht="18.75" customFormat="1" customHeight="1" s="311"/>
    <row r="3356" hidden="1" ht="18.75" customFormat="1" customHeight="1" s="311"/>
    <row r="3357" hidden="1" ht="18.75" customFormat="1" customHeight="1" s="311"/>
    <row r="3358" hidden="1" ht="18.75" customFormat="1" customHeight="1" s="311"/>
    <row r="3359" hidden="1" ht="18.75" customFormat="1" customHeight="1" s="311"/>
    <row r="3360" hidden="1" ht="18.75" customFormat="1" customHeight="1" s="311"/>
    <row r="3361" hidden="1" ht="18.75" customFormat="1" customHeight="1" s="311"/>
    <row r="3362" hidden="1" ht="18.75" customFormat="1" customHeight="1" s="311"/>
    <row r="3363" hidden="1" ht="18.75" customFormat="1" customHeight="1" s="311"/>
    <row r="3364" hidden="1" ht="18.75" customFormat="1" customHeight="1" s="311"/>
    <row r="3365" hidden="1" ht="18.75" customFormat="1" customHeight="1" s="311"/>
    <row r="3366" hidden="1" ht="18.75" customFormat="1" customHeight="1" s="311"/>
    <row r="3367" hidden="1" ht="18.75" customFormat="1" customHeight="1" s="311"/>
    <row r="3368" hidden="1" ht="18.75" customFormat="1" customHeight="1" s="311"/>
    <row r="3369" hidden="1" ht="18.75" customFormat="1" customHeight="1" s="311"/>
    <row r="3370" hidden="1" ht="18.75" customFormat="1" customHeight="1" s="311"/>
    <row r="3371" hidden="1" ht="18.75" customFormat="1" customHeight="1" s="311"/>
    <row r="3372" hidden="1" ht="18.75" customFormat="1" customHeight="1" s="311"/>
    <row r="3373" hidden="1" ht="18.75" customFormat="1" customHeight="1" s="311"/>
    <row r="3374" hidden="1" ht="18.75" customFormat="1" customHeight="1" s="311"/>
    <row r="3375" hidden="1" ht="18.75" customFormat="1" customHeight="1" s="311"/>
    <row r="3376" hidden="1" ht="18.75" customFormat="1" customHeight="1" s="311"/>
    <row r="3377" hidden="1" ht="18.75" customFormat="1" customHeight="1" s="311"/>
    <row r="3378" hidden="1" ht="18.75" customFormat="1" customHeight="1" s="311"/>
    <row r="3379" hidden="1" ht="18.75" customFormat="1" customHeight="1" s="311"/>
    <row r="3380" hidden="1" ht="18.75" customFormat="1" customHeight="1" s="311"/>
    <row r="3381" hidden="1" ht="18.75" customFormat="1" customHeight="1" s="311"/>
    <row r="3382" hidden="1" ht="18.75" customFormat="1" customHeight="1" s="311"/>
    <row r="3383" hidden="1" ht="18.75" customFormat="1" customHeight="1" s="311"/>
    <row r="3384" hidden="1" ht="18.75" customFormat="1" customHeight="1" s="311"/>
    <row r="3385" hidden="1" ht="18.75" customFormat="1" customHeight="1" s="311"/>
    <row r="3386" hidden="1" ht="18.75" customFormat="1" customHeight="1" s="311"/>
    <row r="3387" hidden="1" ht="18.75" customFormat="1" customHeight="1" s="311"/>
    <row r="3388" hidden="1" ht="18.75" customFormat="1" customHeight="1" s="311"/>
    <row r="3389" hidden="1" ht="18.75" customFormat="1" customHeight="1" s="311"/>
    <row r="3390" hidden="1" ht="18.75" customFormat="1" customHeight="1" s="311"/>
    <row r="3391" hidden="1" ht="18.75" customFormat="1" customHeight="1" s="311"/>
    <row r="3392" hidden="1" ht="18.75" customFormat="1" customHeight="1" s="311"/>
    <row r="3393" hidden="1" ht="18.75" customFormat="1" customHeight="1" s="311"/>
    <row r="3394" hidden="1" ht="18.75" customFormat="1" customHeight="1" s="311"/>
    <row r="3395" hidden="1" ht="18.75" customFormat="1" customHeight="1" s="311"/>
    <row r="3396" hidden="1" ht="18.75" customFormat="1" customHeight="1" s="311"/>
    <row r="3397" hidden="1" ht="18.75" customFormat="1" customHeight="1" s="311"/>
    <row r="3398" hidden="1" ht="18.75" customFormat="1" customHeight="1" s="311"/>
    <row r="3399" hidden="1" ht="18.75" customFormat="1" customHeight="1" s="311"/>
    <row r="3400" hidden="1" ht="18.75" customFormat="1" customHeight="1" s="311"/>
    <row r="3401" hidden="1" ht="18.75" customFormat="1" customHeight="1" s="311"/>
    <row r="3402" hidden="1" ht="18.75" customFormat="1" customHeight="1" s="311"/>
    <row r="3403" hidden="1" ht="18.75" customFormat="1" customHeight="1" s="311"/>
    <row r="3404" hidden="1" ht="18.75" customFormat="1" customHeight="1" s="311"/>
    <row r="3405" hidden="1" ht="18.75" customFormat="1" customHeight="1" s="311"/>
    <row r="3406" hidden="1" ht="18.75" customFormat="1" customHeight="1" s="311"/>
    <row r="3407" hidden="1" ht="18.75" customFormat="1" customHeight="1" s="311"/>
    <row r="3408" hidden="1" ht="18.75" customFormat="1" customHeight="1" s="311"/>
    <row r="3409" hidden="1" ht="18.75" customFormat="1" customHeight="1" s="311"/>
    <row r="3410" hidden="1" ht="18.75" customFormat="1" customHeight="1" s="311"/>
    <row r="3411" hidden="1" ht="18.75" customFormat="1" customHeight="1" s="311"/>
    <row r="3412" hidden="1" ht="18.75" customFormat="1" customHeight="1" s="311"/>
    <row r="3413" hidden="1" ht="18.75" customFormat="1" customHeight="1" s="311"/>
    <row r="3414" hidden="1" ht="18.75" customFormat="1" customHeight="1" s="311"/>
    <row r="3415" hidden="1" ht="18.75" customFormat="1" customHeight="1" s="311"/>
    <row r="3416" hidden="1" ht="18.75" customFormat="1" customHeight="1" s="311"/>
    <row r="3417" hidden="1" ht="18.75" customFormat="1" customHeight="1" s="311"/>
    <row r="3418" hidden="1" ht="18.75" customFormat="1" customHeight="1" s="311"/>
    <row r="3419" hidden="1" ht="18.75" customFormat="1" customHeight="1" s="311"/>
    <row r="3420" hidden="1" ht="18.75" customFormat="1" customHeight="1" s="311"/>
    <row r="3421" hidden="1" ht="18.75" customFormat="1" customHeight="1" s="311"/>
    <row r="3422" hidden="1" ht="18.75" customFormat="1" customHeight="1" s="311"/>
    <row r="3423" hidden="1" ht="18.75" customFormat="1" customHeight="1" s="311"/>
    <row r="3424" hidden="1" ht="18.75" customFormat="1" customHeight="1" s="311"/>
    <row r="3425" hidden="1" ht="18.75" customFormat="1" customHeight="1" s="311"/>
    <row r="3426" hidden="1" ht="18.75" customFormat="1" customHeight="1" s="311"/>
    <row r="3427" hidden="1" ht="18.75" customFormat="1" customHeight="1" s="311"/>
    <row r="3428" hidden="1" ht="18.75" customFormat="1" customHeight="1" s="311"/>
    <row r="3429" hidden="1" ht="18.75" customFormat="1" customHeight="1" s="311"/>
    <row r="3430" hidden="1" ht="18.75" customFormat="1" customHeight="1" s="311"/>
    <row r="3431" hidden="1" ht="18.75" customFormat="1" customHeight="1" s="311"/>
    <row r="3432" hidden="1" ht="18.75" customFormat="1" customHeight="1" s="311"/>
    <row r="3433" hidden="1" ht="18.75" customFormat="1" customHeight="1" s="311"/>
    <row r="3434" hidden="1" ht="18.75" customFormat="1" customHeight="1" s="311"/>
    <row r="3435" hidden="1" ht="18.75" customFormat="1" customHeight="1" s="311"/>
    <row r="3436" hidden="1" ht="18.75" customFormat="1" customHeight="1" s="311"/>
    <row r="3437" hidden="1" ht="18.75" customFormat="1" customHeight="1" s="311"/>
    <row r="3438" hidden="1" ht="18.75" customFormat="1" customHeight="1" s="311"/>
    <row r="3439" hidden="1" ht="18.75" customFormat="1" customHeight="1" s="311"/>
    <row r="3440" hidden="1" ht="18.75" customFormat="1" customHeight="1" s="311"/>
    <row r="3441" hidden="1" ht="18.75" customFormat="1" customHeight="1" s="311"/>
    <row r="3442" hidden="1" ht="18.75" customFormat="1" customHeight="1" s="311"/>
    <row r="3443" hidden="1" ht="18.75" customFormat="1" customHeight="1" s="311"/>
    <row r="3444" hidden="1" ht="18.75" customFormat="1" customHeight="1" s="311"/>
    <row r="3445" hidden="1" ht="18.75" customFormat="1" customHeight="1" s="311"/>
    <row r="3446" hidden="1" ht="18.75" customFormat="1" customHeight="1" s="311"/>
    <row r="3447" hidden="1" ht="18.75" customFormat="1" customHeight="1" s="311"/>
    <row r="3448" hidden="1" ht="18.75" customFormat="1" customHeight="1" s="311"/>
    <row r="3449" hidden="1" ht="18.75" customFormat="1" customHeight="1" s="311"/>
    <row r="3450" hidden="1" ht="18.75" customFormat="1" customHeight="1" s="311"/>
    <row r="3451" hidden="1" ht="18.75" customFormat="1" customHeight="1" s="311"/>
    <row r="3452" hidden="1" ht="18.75" customFormat="1" customHeight="1" s="311"/>
    <row r="3453" hidden="1" ht="18.75" customFormat="1" customHeight="1" s="311"/>
    <row r="3454" hidden="1" ht="18.75" customFormat="1" customHeight="1" s="311"/>
    <row r="3455" hidden="1" ht="18.75" customFormat="1" customHeight="1" s="311"/>
    <row r="3456" hidden="1" ht="18.75" customFormat="1" customHeight="1" s="311"/>
    <row r="3457" hidden="1" ht="18.75" customFormat="1" customHeight="1" s="311"/>
    <row r="3458" hidden="1" ht="18.75" customFormat="1" customHeight="1" s="311"/>
    <row r="3459" hidden="1" ht="18.75" customFormat="1" customHeight="1" s="311"/>
    <row r="3460" hidden="1" ht="18.75" customFormat="1" customHeight="1" s="311"/>
    <row r="3461" hidden="1" ht="18.75" customFormat="1" customHeight="1" s="311"/>
    <row r="3462" hidden="1" ht="18.75" customFormat="1" customHeight="1" s="311"/>
    <row r="3463" hidden="1" ht="18.75" customFormat="1" customHeight="1" s="311"/>
    <row r="3464" hidden="1" ht="18.75" customFormat="1" customHeight="1" s="311"/>
    <row r="3465" hidden="1" ht="18.75" customFormat="1" customHeight="1" s="311"/>
    <row r="3466" hidden="1" ht="18.75" customFormat="1" customHeight="1" s="311"/>
    <row r="3467" hidden="1" ht="18.75" customFormat="1" customHeight="1" s="311"/>
    <row r="3468" hidden="1" ht="18.75" customFormat="1" customHeight="1" s="311"/>
    <row r="3469" hidden="1" ht="18.75" customFormat="1" customHeight="1" s="311"/>
    <row r="3470" hidden="1" ht="18.75" customFormat="1" customHeight="1" s="311"/>
    <row r="3471" hidden="1" ht="18.75" customFormat="1" customHeight="1" s="311"/>
    <row r="3472" hidden="1" ht="18.75" customFormat="1" customHeight="1" s="311"/>
    <row r="3473" hidden="1" ht="18.75" customFormat="1" customHeight="1" s="311"/>
    <row r="3474" hidden="1" ht="18.75" customFormat="1" customHeight="1" s="311"/>
    <row r="3475" hidden="1" ht="18.75" customFormat="1" customHeight="1" s="311"/>
    <row r="3476" hidden="1" ht="18.75" customFormat="1" customHeight="1" s="311"/>
    <row r="3477" hidden="1" ht="18.75" customFormat="1" customHeight="1" s="311"/>
    <row r="3478" hidden="1" ht="18.75" customFormat="1" customHeight="1" s="311"/>
    <row r="3479" hidden="1" ht="18.75" customFormat="1" customHeight="1" s="311"/>
    <row r="3480" hidden="1" ht="18.75" customFormat="1" customHeight="1" s="311"/>
    <row r="3481" hidden="1" ht="18.75" customFormat="1" customHeight="1" s="311"/>
    <row r="3482" hidden="1" ht="18.75" customFormat="1" customHeight="1" s="311"/>
    <row r="3483" hidden="1" ht="18.75" customFormat="1" customHeight="1" s="311"/>
    <row r="3484" hidden="1" ht="18.75" customFormat="1" customHeight="1" s="311"/>
    <row r="3485" hidden="1" ht="18.75" customFormat="1" customHeight="1" s="311"/>
    <row r="3486" hidden="1" ht="18.75" customFormat="1" customHeight="1" s="311"/>
    <row r="3487" hidden="1" ht="18.75" customFormat="1" customHeight="1" s="311"/>
    <row r="3488" hidden="1" ht="18.75" customFormat="1" customHeight="1" s="311"/>
    <row r="3489" hidden="1" ht="18.75" customFormat="1" customHeight="1" s="311"/>
    <row r="3490" hidden="1" ht="18.75" customFormat="1" customHeight="1" s="311"/>
    <row r="3491" hidden="1" ht="18.75" customFormat="1" customHeight="1" s="311"/>
    <row r="3492" hidden="1" ht="18.75" customFormat="1" customHeight="1" s="311"/>
    <row r="3493" hidden="1" ht="18.75" customFormat="1" customHeight="1" s="311"/>
    <row r="3494" hidden="1" ht="18.75" customFormat="1" customHeight="1" s="311"/>
    <row r="3495" hidden="1" ht="18.75" customFormat="1" customHeight="1" s="311"/>
    <row r="3496" hidden="1" ht="18.75" customFormat="1" customHeight="1" s="311"/>
    <row r="3497" hidden="1" ht="18.75" customFormat="1" customHeight="1" s="311"/>
    <row r="3498" hidden="1" ht="18.75" customFormat="1" customHeight="1" s="311"/>
    <row r="3499" hidden="1" ht="18.75" customFormat="1" customHeight="1" s="311"/>
    <row r="3500" hidden="1" ht="18.75" customFormat="1" customHeight="1" s="311"/>
    <row r="3501" hidden="1" ht="18.75" customFormat="1" customHeight="1" s="311"/>
    <row r="3502" hidden="1" ht="18.75" customFormat="1" customHeight="1" s="311"/>
    <row r="3503" hidden="1" ht="18.75" customFormat="1" customHeight="1" s="311"/>
    <row r="3504" hidden="1" ht="18.75" customFormat="1" customHeight="1" s="311"/>
    <row r="3505" hidden="1" ht="18.75" customFormat="1" customHeight="1" s="311"/>
    <row r="3506" hidden="1" ht="18.75" customFormat="1" customHeight="1" s="311"/>
    <row r="3507" hidden="1" ht="18.75" customFormat="1" customHeight="1" s="311"/>
    <row r="3508" hidden="1" ht="18.75" customFormat="1" customHeight="1" s="311"/>
    <row r="3509" hidden="1" ht="18.75" customFormat="1" customHeight="1" s="311"/>
    <row r="3510" hidden="1" ht="18.75" customFormat="1" customHeight="1" s="311"/>
    <row r="3511" hidden="1" ht="18.75" customFormat="1" customHeight="1" s="311"/>
    <row r="3512" hidden="1" ht="18.75" customFormat="1" customHeight="1" s="311"/>
    <row r="3513" hidden="1" ht="18.75" customFormat="1" customHeight="1" s="311"/>
    <row r="3514" hidden="1" ht="18.75" customFormat="1" customHeight="1" s="311"/>
    <row r="3515" hidden="1" ht="18.75" customFormat="1" customHeight="1" s="311"/>
    <row r="3516" hidden="1" ht="18.75" customFormat="1" customHeight="1" s="311"/>
    <row r="3517" hidden="1" ht="18.75" customFormat="1" customHeight="1" s="311"/>
    <row r="3518" hidden="1" ht="18.75" customFormat="1" customHeight="1" s="311"/>
    <row r="3519" hidden="1" ht="18.75" customFormat="1" customHeight="1" s="311"/>
    <row r="3520" hidden="1" ht="18.75" customFormat="1" customHeight="1" s="311"/>
    <row r="3521" hidden="1" ht="18.75" customFormat="1" customHeight="1" s="311"/>
    <row r="3522" hidden="1" ht="18.75" customFormat="1" customHeight="1" s="311"/>
    <row r="3523" hidden="1" ht="18.75" customFormat="1" customHeight="1" s="311"/>
    <row r="3524" hidden="1" ht="18.75" customFormat="1" customHeight="1" s="311"/>
    <row r="3525" hidden="1" ht="18.75" customFormat="1" customHeight="1" s="311"/>
    <row r="3526" hidden="1" ht="18.75" customFormat="1" customHeight="1" s="311"/>
    <row r="3527" hidden="1" ht="18.75" customFormat="1" customHeight="1" s="311"/>
    <row r="3528" hidden="1" ht="18.75" customFormat="1" customHeight="1" s="311"/>
    <row r="3529" hidden="1" ht="18.75" customFormat="1" customHeight="1" s="311"/>
    <row r="3530" hidden="1" ht="18.75" customFormat="1" customHeight="1" s="311"/>
    <row r="3531" hidden="1" ht="18.75" customFormat="1" customHeight="1" s="311"/>
    <row r="3532" hidden="1" ht="18.75" customFormat="1" customHeight="1" s="311"/>
    <row r="3533" hidden="1" ht="18.75" customFormat="1" customHeight="1" s="311"/>
    <row r="3534" hidden="1" ht="18.75" customFormat="1" customHeight="1" s="311"/>
    <row r="3535" hidden="1" ht="18.75" customFormat="1" customHeight="1" s="311"/>
    <row r="3536" hidden="1" ht="18.75" customFormat="1" customHeight="1" s="311"/>
    <row r="3537" hidden="1" ht="18.75" customFormat="1" customHeight="1" s="311"/>
    <row r="3538" hidden="1" ht="18.75" customFormat="1" customHeight="1" s="311"/>
    <row r="3539" hidden="1" ht="18.75" customFormat="1" customHeight="1" s="311"/>
    <row r="3540" hidden="1" ht="18.75" customFormat="1" customHeight="1" s="311"/>
    <row r="3541" hidden="1" ht="18.75" customFormat="1" customHeight="1" s="311"/>
    <row r="3542" hidden="1" ht="18.75" customFormat="1" customHeight="1" s="311"/>
    <row r="3543" hidden="1" ht="18.75" customFormat="1" customHeight="1" s="311"/>
    <row r="3544" hidden="1" ht="18.75" customFormat="1" customHeight="1" s="311"/>
    <row r="3545" hidden="1" ht="18.75" customFormat="1" customHeight="1" s="311"/>
    <row r="3546" hidden="1" ht="18.75" customFormat="1" customHeight="1" s="311"/>
    <row r="3547" hidden="1" ht="18.75" customFormat="1" customHeight="1" s="311"/>
    <row r="3548" hidden="1" ht="18.75" customFormat="1" customHeight="1" s="311"/>
    <row r="3549" hidden="1" ht="18.75" customFormat="1" customHeight="1" s="311"/>
    <row r="3550" hidden="1" ht="18.75" customFormat="1" customHeight="1" s="311"/>
    <row r="3551" hidden="1" ht="18.75" customFormat="1" customHeight="1" s="311"/>
    <row r="3552" hidden="1" ht="18.75" customFormat="1" customHeight="1" s="311"/>
    <row r="3553" hidden="1" ht="18.75" customFormat="1" customHeight="1" s="311"/>
    <row r="3554" hidden="1" ht="18.75" customFormat="1" customHeight="1" s="311"/>
    <row r="3555" hidden="1" ht="18.75" customFormat="1" customHeight="1" s="311"/>
    <row r="3556" hidden="1" ht="18.75" customFormat="1" customHeight="1" s="311"/>
    <row r="3557" hidden="1" ht="18.75" customFormat="1" customHeight="1" s="311"/>
    <row r="3558" hidden="1" ht="18.75" customFormat="1" customHeight="1" s="311"/>
    <row r="3559" hidden="1" ht="18.75" customFormat="1" customHeight="1" s="311"/>
    <row r="3560" hidden="1" ht="18.75" customFormat="1" customHeight="1" s="311"/>
    <row r="3561" hidden="1" ht="18.75" customFormat="1" customHeight="1" s="311"/>
    <row r="3562" hidden="1" ht="18.75" customFormat="1" customHeight="1" s="311"/>
    <row r="3563" hidden="1" ht="18.75" customFormat="1" customHeight="1" s="311"/>
    <row r="3564" hidden="1" ht="18.75" customFormat="1" customHeight="1" s="311"/>
    <row r="3565" hidden="1" ht="18.75" customFormat="1" customHeight="1" s="311"/>
    <row r="3566" hidden="1" ht="18.75" customFormat="1" customHeight="1" s="311"/>
    <row r="3567" hidden="1" ht="18.75" customFormat="1" customHeight="1" s="311"/>
    <row r="3568" hidden="1" ht="18.75" customFormat="1" customHeight="1" s="311"/>
    <row r="3569" hidden="1" ht="18.75" customFormat="1" customHeight="1" s="311"/>
    <row r="3570" hidden="1" ht="18.75" customFormat="1" customHeight="1" s="311"/>
    <row r="3571" hidden="1" ht="18.75" customFormat="1" customHeight="1" s="311"/>
    <row r="3572" hidden="1" ht="18.75" customFormat="1" customHeight="1" s="311"/>
    <row r="3573" hidden="1" ht="18.75" customFormat="1" customHeight="1" s="311"/>
    <row r="3574" hidden="1" ht="18.75" customFormat="1" customHeight="1" s="311"/>
    <row r="3575" hidden="1" ht="18.75" customFormat="1" customHeight="1" s="311"/>
    <row r="3576" hidden="1" ht="18.75" customFormat="1" customHeight="1" s="311"/>
    <row r="3577" hidden="1" ht="18.75" customFormat="1" customHeight="1" s="311"/>
    <row r="3578" hidden="1" ht="18.75" customFormat="1" customHeight="1" s="311"/>
    <row r="3579" hidden="1" ht="18.75" customFormat="1" customHeight="1" s="311"/>
    <row r="3580" hidden="1" ht="18.75" customFormat="1" customHeight="1" s="311"/>
    <row r="3581" hidden="1" ht="18.75" customFormat="1" customHeight="1" s="311"/>
    <row r="3582" hidden="1" ht="18.75" customFormat="1" customHeight="1" s="311"/>
    <row r="3583" hidden="1" ht="18.75" customFormat="1" customHeight="1" s="311"/>
    <row r="3584" hidden="1" ht="18.75" customFormat="1" customHeight="1" s="311"/>
    <row r="3585" hidden="1" ht="18.75" customFormat="1" customHeight="1" s="311"/>
    <row r="3586" hidden="1" ht="18.75" customFormat="1" customHeight="1" s="311"/>
    <row r="3587" hidden="1" ht="18.75" customFormat="1" customHeight="1" s="311"/>
    <row r="3588" hidden="1" ht="18.75" customFormat="1" customHeight="1" s="311"/>
    <row r="3589" hidden="1" ht="18.75" customFormat="1" customHeight="1" s="311"/>
    <row r="3590" hidden="1" ht="18.75" customFormat="1" customHeight="1" s="311"/>
    <row r="3591" hidden="1" ht="18.75" customFormat="1" customHeight="1" s="311"/>
    <row r="3592" hidden="1" ht="18.75" customFormat="1" customHeight="1" s="311"/>
    <row r="3593" hidden="1" ht="18.75" customFormat="1" customHeight="1" s="311"/>
    <row r="3594" hidden="1" ht="18.75" customFormat="1" customHeight="1" s="311"/>
    <row r="3595" hidden="1" ht="18.75" customFormat="1" customHeight="1" s="311"/>
    <row r="3596" hidden="1" ht="18.75" customFormat="1" customHeight="1" s="311"/>
    <row r="3597" hidden="1" ht="18.75" customFormat="1" customHeight="1" s="311"/>
    <row r="3598" hidden="1" ht="18.75" customFormat="1" customHeight="1" s="311"/>
    <row r="3599" hidden="1" ht="18.75" customFormat="1" customHeight="1" s="311"/>
    <row r="3600" hidden="1" ht="18.75" customFormat="1" customHeight="1" s="311"/>
    <row r="3601" hidden="1" ht="18.75" customFormat="1" customHeight="1" s="311"/>
    <row r="3602" hidden="1" ht="18.75" customFormat="1" customHeight="1" s="311"/>
    <row r="3603" hidden="1" ht="18.75" customFormat="1" customHeight="1" s="311"/>
    <row r="3604" hidden="1" ht="18.75" customFormat="1" customHeight="1" s="311"/>
    <row r="3605" hidden="1" ht="18.75" customFormat="1" customHeight="1" s="311"/>
    <row r="3606" hidden="1" ht="18.75" customFormat="1" customHeight="1" s="311"/>
    <row r="3607" hidden="1" ht="18.75" customFormat="1" customHeight="1" s="311"/>
    <row r="3608" hidden="1" ht="18.75" customFormat="1" customHeight="1" s="311"/>
    <row r="3609" hidden="1" ht="18.75" customFormat="1" customHeight="1" s="311"/>
    <row r="3610" hidden="1" ht="18.75" customFormat="1" customHeight="1" s="311"/>
    <row r="3611" hidden="1" ht="18.75" customFormat="1" customHeight="1" s="311"/>
    <row r="3612" hidden="1" ht="18.75" customFormat="1" customHeight="1" s="311"/>
    <row r="3613" hidden="1" ht="18.75" customFormat="1" customHeight="1" s="311"/>
    <row r="3614" hidden="1" ht="18.75" customFormat="1" customHeight="1" s="311"/>
    <row r="3615" hidden="1" ht="18.75" customFormat="1" customHeight="1" s="311"/>
    <row r="3616" hidden="1" ht="18.75" customFormat="1" customHeight="1" s="311"/>
    <row r="3617" hidden="1" ht="18.75" customFormat="1" customHeight="1" s="311"/>
    <row r="3618" hidden="1" ht="18.75" customFormat="1" customHeight="1" s="311"/>
    <row r="3619" hidden="1" ht="18.75" customFormat="1" customHeight="1" s="311"/>
    <row r="3620" hidden="1" ht="18.75" customFormat="1" customHeight="1" s="311"/>
    <row r="3621" hidden="1" ht="18.75" customFormat="1" customHeight="1" s="311"/>
    <row r="3622" hidden="1" ht="18.75" customFormat="1" customHeight="1" s="311"/>
    <row r="3623" hidden="1" ht="18.75" customFormat="1" customHeight="1" s="311"/>
    <row r="3624" hidden="1" ht="18.75" customFormat="1" customHeight="1" s="311"/>
    <row r="3625" hidden="1" ht="18.75" customFormat="1" customHeight="1" s="311"/>
    <row r="3626" hidden="1" ht="18.75" customFormat="1" customHeight="1" s="311"/>
    <row r="3627" hidden="1" ht="18.75" customFormat="1" customHeight="1" s="311"/>
    <row r="3628" hidden="1" ht="18.75" customFormat="1" customHeight="1" s="311"/>
    <row r="3629" hidden="1" ht="18.75" customFormat="1" customHeight="1" s="311"/>
    <row r="3630" hidden="1" ht="18.75" customFormat="1" customHeight="1" s="311"/>
    <row r="3631" hidden="1" ht="18.75" customFormat="1" customHeight="1" s="311"/>
    <row r="3632" hidden="1" ht="18.75" customFormat="1" customHeight="1" s="311"/>
    <row r="3633" hidden="1" ht="18.75" customFormat="1" customHeight="1" s="311"/>
    <row r="3634" hidden="1" ht="18.75" customFormat="1" customHeight="1" s="311"/>
    <row r="3635" hidden="1" ht="18.75" customFormat="1" customHeight="1" s="311"/>
    <row r="3636" hidden="1" ht="18.75" customFormat="1" customHeight="1" s="311"/>
    <row r="3637" hidden="1" ht="18.75" customFormat="1" customHeight="1" s="311"/>
    <row r="3638" hidden="1" ht="18.75" customFormat="1" customHeight="1" s="311"/>
    <row r="3639" hidden="1" ht="18.75" customFormat="1" customHeight="1" s="311"/>
    <row r="3640" hidden="1" ht="18.75" customFormat="1" customHeight="1" s="311"/>
    <row r="3641" hidden="1" ht="18.75" customFormat="1" customHeight="1" s="311"/>
    <row r="3642" hidden="1" ht="18.75" customFormat="1" customHeight="1" s="311"/>
    <row r="3643" hidden="1" ht="18.75" customFormat="1" customHeight="1" s="311"/>
    <row r="3644" hidden="1" ht="18.75" customFormat="1" customHeight="1" s="311"/>
    <row r="3645" hidden="1" ht="18.75" customFormat="1" customHeight="1" s="311"/>
    <row r="3646" hidden="1" ht="18.75" customFormat="1" customHeight="1" s="311"/>
    <row r="3647" hidden="1" ht="18.75" customFormat="1" customHeight="1" s="311"/>
    <row r="3648" hidden="1" ht="18.75" customFormat="1" customHeight="1" s="311"/>
    <row r="3649" hidden="1" ht="18.75" customFormat="1" customHeight="1" s="311"/>
    <row r="3650" hidden="1" ht="18.75" customFormat="1" customHeight="1" s="311"/>
    <row r="3651" hidden="1" ht="18.75" customFormat="1" customHeight="1" s="311"/>
    <row r="3652" hidden="1" ht="18.75" customFormat="1" customHeight="1" s="311"/>
    <row r="3653" hidden="1" ht="18.75" customFormat="1" customHeight="1" s="311"/>
    <row r="3654" hidden="1" ht="18.75" customFormat="1" customHeight="1" s="311"/>
    <row r="3655" hidden="1" ht="18.75" customFormat="1" customHeight="1" s="311"/>
    <row r="3656" hidden="1" ht="18.75" customFormat="1" customHeight="1" s="311"/>
    <row r="3657" hidden="1" ht="18.75" customFormat="1" customHeight="1" s="311"/>
    <row r="3658" hidden="1" ht="18.75" customFormat="1" customHeight="1" s="311"/>
    <row r="3659" hidden="1" ht="18.75" customFormat="1" customHeight="1" s="311"/>
    <row r="3660" hidden="1" ht="18.75" customFormat="1" customHeight="1" s="311"/>
    <row r="3661" hidden="1" ht="18.75" customFormat="1" customHeight="1" s="311"/>
    <row r="3662" hidden="1" ht="18.75" customFormat="1" customHeight="1" s="311"/>
    <row r="3663" hidden="1" ht="18.75" customFormat="1" customHeight="1" s="311"/>
    <row r="3664" hidden="1" ht="18.75" customFormat="1" customHeight="1" s="311"/>
    <row r="3665" hidden="1" ht="18.75" customFormat="1" customHeight="1" s="311"/>
    <row r="3666" hidden="1" ht="18.75" customFormat="1" customHeight="1" s="311"/>
    <row r="3667" hidden="1" ht="18.75" customFormat="1" customHeight="1" s="311"/>
    <row r="3668" hidden="1" ht="18.75" customFormat="1" customHeight="1" s="311"/>
    <row r="3669" hidden="1" ht="18.75" customFormat="1" customHeight="1" s="311"/>
    <row r="3670" hidden="1" ht="18.75" customFormat="1" customHeight="1" s="311"/>
    <row r="3671" hidden="1" ht="18.75" customFormat="1" customHeight="1" s="311"/>
    <row r="3672" hidden="1" ht="18.75" customFormat="1" customHeight="1" s="311"/>
    <row r="3673" hidden="1" ht="18.75" customFormat="1" customHeight="1" s="311"/>
    <row r="3674" hidden="1" ht="18.75" customFormat="1" customHeight="1" s="311"/>
    <row r="3675" hidden="1" ht="18.75" customFormat="1" customHeight="1" s="311"/>
    <row r="3676" hidden="1" ht="18.75" customFormat="1" customHeight="1" s="311"/>
    <row r="3677" hidden="1" ht="18.75" customFormat="1" customHeight="1" s="311"/>
    <row r="3678" hidden="1" ht="18.75" customFormat="1" customHeight="1" s="311"/>
    <row r="3679" hidden="1" ht="18.75" customFormat="1" customHeight="1" s="311"/>
    <row r="3680" hidden="1" ht="18.75" customFormat="1" customHeight="1" s="311"/>
    <row r="3681" hidden="1" ht="18.75" customFormat="1" customHeight="1" s="311"/>
    <row r="3682" hidden="1" ht="18.75" customFormat="1" customHeight="1" s="311"/>
    <row r="3683" hidden="1" ht="18.75" customFormat="1" customHeight="1" s="311"/>
    <row r="3684" hidden="1" ht="18.75" customFormat="1" customHeight="1" s="311"/>
    <row r="3685" hidden="1" ht="18.75" customFormat="1" customHeight="1" s="311"/>
    <row r="3686" hidden="1" ht="18.75" customFormat="1" customHeight="1" s="311"/>
    <row r="3687" hidden="1" ht="18.75" customFormat="1" customHeight="1" s="311"/>
    <row r="3688" hidden="1" ht="18.75" customFormat="1" customHeight="1" s="311"/>
    <row r="3689" hidden="1" ht="18.75" customFormat="1" customHeight="1" s="311"/>
    <row r="3690" hidden="1" ht="18.75" customFormat="1" customHeight="1" s="311"/>
    <row r="3691" hidden="1" ht="18.75" customFormat="1" customHeight="1" s="311"/>
    <row r="3692" hidden="1" ht="18.75" customFormat="1" customHeight="1" s="311"/>
    <row r="3693" hidden="1" ht="18.75" customFormat="1" customHeight="1" s="311"/>
    <row r="3694" hidden="1" ht="18.75" customFormat="1" customHeight="1" s="311"/>
    <row r="3695" hidden="1" ht="18.75" customFormat="1" customHeight="1" s="311"/>
    <row r="3696" hidden="1" ht="18.75" customFormat="1" customHeight="1" s="311"/>
    <row r="3697" hidden="1" ht="18.75" customFormat="1" customHeight="1" s="311"/>
    <row r="3698" hidden="1" ht="18.75" customFormat="1" customHeight="1" s="311"/>
    <row r="3699" hidden="1" ht="18.75" customFormat="1" customHeight="1" s="311"/>
    <row r="3700" hidden="1" ht="18.75" customFormat="1" customHeight="1" s="311"/>
    <row r="3701" hidden="1" ht="18.75" customFormat="1" customHeight="1" s="311"/>
    <row r="3702" hidden="1" ht="18.75" customFormat="1" customHeight="1" s="311"/>
    <row r="3703" hidden="1" ht="18.75" customFormat="1" customHeight="1" s="311"/>
    <row r="3704" hidden="1" ht="18.75" customFormat="1" customHeight="1" s="311"/>
    <row r="3705" hidden="1" ht="18.75" customFormat="1" customHeight="1" s="311"/>
    <row r="3706" hidden="1" ht="18.75" customFormat="1" customHeight="1" s="311"/>
    <row r="3707" hidden="1" ht="18.75" customFormat="1" customHeight="1" s="311"/>
    <row r="3708" hidden="1" ht="18.75" customFormat="1" customHeight="1" s="311"/>
    <row r="3709" hidden="1" ht="18.75" customFormat="1" customHeight="1" s="311"/>
    <row r="3710" hidden="1" ht="18.75" customFormat="1" customHeight="1" s="311"/>
    <row r="3711" hidden="1" ht="18.75" customFormat="1" customHeight="1" s="311"/>
    <row r="3712" hidden="1" ht="18.75" customFormat="1" customHeight="1" s="311"/>
    <row r="3713" hidden="1" ht="18.75" customFormat="1" customHeight="1" s="311"/>
    <row r="3714" hidden="1" ht="18.75" customFormat="1" customHeight="1" s="311"/>
    <row r="3715" hidden="1" ht="18.75" customFormat="1" customHeight="1" s="311"/>
    <row r="3716" hidden="1" ht="18.75" customFormat="1" customHeight="1" s="311"/>
    <row r="3717" hidden="1" ht="18.75" customFormat="1" customHeight="1" s="311"/>
    <row r="3718" hidden="1" ht="18.75" customFormat="1" customHeight="1" s="311"/>
    <row r="3719" hidden="1" ht="18.75" customFormat="1" customHeight="1" s="311"/>
    <row r="3720" hidden="1" ht="18.75" customFormat="1" customHeight="1" s="311"/>
    <row r="3721" hidden="1" ht="18.75" customFormat="1" customHeight="1" s="311"/>
    <row r="3722" hidden="1" ht="18.75" customFormat="1" customHeight="1" s="311"/>
    <row r="3723" hidden="1" ht="18.75" customFormat="1" customHeight="1" s="311"/>
    <row r="3724" hidden="1" ht="18.75" customFormat="1" customHeight="1" s="311"/>
    <row r="3725" hidden="1" ht="18.75" customFormat="1" customHeight="1" s="311"/>
    <row r="3726" hidden="1" ht="18.75" customFormat="1" customHeight="1" s="311"/>
    <row r="3727" hidden="1" ht="18.75" customFormat="1" customHeight="1" s="311"/>
    <row r="3728" hidden="1" ht="18.75" customFormat="1" customHeight="1" s="311"/>
    <row r="3729" hidden="1" ht="18.75" customFormat="1" customHeight="1" s="311"/>
    <row r="3730" hidden="1" ht="18.75" customFormat="1" customHeight="1" s="311"/>
    <row r="3731" hidden="1" ht="18.75" customFormat="1" customHeight="1" s="311"/>
    <row r="3732" hidden="1" ht="18.75" customFormat="1" customHeight="1" s="311"/>
    <row r="3733" hidden="1" ht="18.75" customFormat="1" customHeight="1" s="311"/>
    <row r="3734" hidden="1" ht="18.75" customFormat="1" customHeight="1" s="311"/>
    <row r="3735" hidden="1" ht="18.75" customFormat="1" customHeight="1" s="311"/>
    <row r="3736" hidden="1" ht="18.75" customFormat="1" customHeight="1" s="311"/>
    <row r="3737" hidden="1" ht="18.75" customFormat="1" customHeight="1" s="311"/>
    <row r="3738" hidden="1" ht="18.75" customFormat="1" customHeight="1" s="311"/>
    <row r="3739" hidden="1" ht="18.75" customFormat="1" customHeight="1" s="311"/>
    <row r="3740" hidden="1" ht="18.75" customFormat="1" customHeight="1" s="311"/>
    <row r="3741" hidden="1" ht="18.75" customFormat="1" customHeight="1" s="311"/>
    <row r="3742" hidden="1" ht="18.75" customFormat="1" customHeight="1" s="311"/>
    <row r="3743" hidden="1" ht="18.75" customFormat="1" customHeight="1" s="311"/>
    <row r="3744" hidden="1" ht="18.75" customFormat="1" customHeight="1" s="311"/>
    <row r="3745" hidden="1" ht="18.75" customFormat="1" customHeight="1" s="311"/>
    <row r="3746" hidden="1" ht="18.75" customFormat="1" customHeight="1" s="311"/>
    <row r="3747" hidden="1" ht="18.75" customFormat="1" customHeight="1" s="311"/>
    <row r="3748" hidden="1" ht="18.75" customFormat="1" customHeight="1" s="311"/>
    <row r="3749" hidden="1" ht="18.75" customFormat="1" customHeight="1" s="311"/>
    <row r="3750" hidden="1" ht="18.75" customFormat="1" customHeight="1" s="311"/>
    <row r="3751" hidden="1" ht="18.75" customFormat="1" customHeight="1" s="311"/>
    <row r="3752" hidden="1" ht="18.75" customFormat="1" customHeight="1" s="311"/>
    <row r="3753" hidden="1" ht="18.75" customFormat="1" customHeight="1" s="311"/>
    <row r="3754" hidden="1" ht="18.75" customFormat="1" customHeight="1" s="311"/>
    <row r="3755" hidden="1" ht="18.75" customFormat="1" customHeight="1" s="311"/>
    <row r="3756" hidden="1" ht="18.75" customFormat="1" customHeight="1" s="311"/>
    <row r="3757" hidden="1" ht="18.75" customFormat="1" customHeight="1" s="311"/>
    <row r="3758" hidden="1" ht="18.75" customFormat="1" customHeight="1" s="311"/>
    <row r="3759" hidden="1" ht="18.75" customFormat="1" customHeight="1" s="311"/>
    <row r="3760" hidden="1" ht="18.75" customFormat="1" customHeight="1" s="311"/>
    <row r="3761" hidden="1" ht="18.75" customFormat="1" customHeight="1" s="311"/>
    <row r="3762" hidden="1" ht="18.75" customFormat="1" customHeight="1" s="311"/>
    <row r="3763" hidden="1" ht="18.75" customFormat="1" customHeight="1" s="311"/>
    <row r="3764" hidden="1" ht="18.75" customFormat="1" customHeight="1" s="311"/>
    <row r="3765" hidden="1" ht="18.75" customFormat="1" customHeight="1" s="311"/>
    <row r="3766" hidden="1" ht="18.75" customFormat="1" customHeight="1" s="311"/>
    <row r="3767" hidden="1" ht="18.75" customFormat="1" customHeight="1" s="311"/>
    <row r="3768" hidden="1" ht="18.75" customFormat="1" customHeight="1" s="311"/>
    <row r="3769" hidden="1" ht="18.75" customFormat="1" customHeight="1" s="311"/>
    <row r="3770" hidden="1" ht="18.75" customFormat="1" customHeight="1" s="311"/>
    <row r="3771" hidden="1" ht="18.75" customFormat="1" customHeight="1" s="311"/>
    <row r="3772" hidden="1" ht="18.75" customFormat="1" customHeight="1" s="311"/>
    <row r="3773" hidden="1" ht="18.75" customFormat="1" customHeight="1" s="311"/>
    <row r="3774" hidden="1" ht="18.75" customFormat="1" customHeight="1" s="311"/>
    <row r="3775" hidden="1" ht="18.75" customFormat="1" customHeight="1" s="311"/>
    <row r="3776" hidden="1" ht="18.75" customFormat="1" customHeight="1" s="311"/>
    <row r="3777" hidden="1" ht="18.75" customFormat="1" customHeight="1" s="311"/>
    <row r="3778" hidden="1" ht="18.75" customFormat="1" customHeight="1" s="311"/>
    <row r="3779" hidden="1" ht="18.75" customFormat="1" customHeight="1" s="311"/>
    <row r="3780" hidden="1" ht="18.75" customFormat="1" customHeight="1" s="311"/>
    <row r="3781" hidden="1" ht="18.75" customFormat="1" customHeight="1" s="311"/>
    <row r="3782" hidden="1" ht="18.75" customFormat="1" customHeight="1" s="311"/>
    <row r="3783" hidden="1" ht="18.75" customFormat="1" customHeight="1" s="311"/>
    <row r="3784" hidden="1" ht="18.75" customFormat="1" customHeight="1" s="311"/>
    <row r="3785" hidden="1" ht="18.75" customFormat="1" customHeight="1" s="311"/>
    <row r="3786" hidden="1" ht="18.75" customFormat="1" customHeight="1" s="311"/>
    <row r="3787" hidden="1" ht="18.75" customFormat="1" customHeight="1" s="311"/>
    <row r="3788" hidden="1" ht="18.75" customFormat="1" customHeight="1" s="311"/>
    <row r="3789" hidden="1" ht="18.75" customFormat="1" customHeight="1" s="311"/>
    <row r="3790" hidden="1" ht="18.75" customFormat="1" customHeight="1" s="311"/>
    <row r="3791" hidden="1" ht="18.75" customFormat="1" customHeight="1" s="311"/>
    <row r="3792" hidden="1" ht="18.75" customFormat="1" customHeight="1" s="311"/>
    <row r="3793" hidden="1" ht="18.75" customFormat="1" customHeight="1" s="311"/>
    <row r="3794" hidden="1" ht="18.75" customFormat="1" customHeight="1" s="311"/>
    <row r="3795" hidden="1" ht="18.75" customFormat="1" customHeight="1" s="311"/>
    <row r="3796" hidden="1" ht="18.75" customFormat="1" customHeight="1" s="311"/>
    <row r="3797" hidden="1" ht="18.75" customFormat="1" customHeight="1" s="311"/>
    <row r="3798" hidden="1" ht="18.75" customFormat="1" customHeight="1" s="311"/>
    <row r="3799" hidden="1" ht="18.75" customFormat="1" customHeight="1" s="311"/>
    <row r="3800" hidden="1" ht="18.75" customFormat="1" customHeight="1" s="311"/>
    <row r="3801" hidden="1" ht="18.75" customFormat="1" customHeight="1" s="311"/>
    <row r="3802" hidden="1" ht="18.75" customFormat="1" customHeight="1" s="311"/>
    <row r="3803" hidden="1" ht="18.75" customFormat="1" customHeight="1" s="311"/>
    <row r="3804" hidden="1" ht="18.75" customFormat="1" customHeight="1" s="311"/>
    <row r="3805" hidden="1" ht="18.75" customFormat="1" customHeight="1" s="311"/>
    <row r="3806" hidden="1" ht="18.75" customFormat="1" customHeight="1" s="311"/>
    <row r="3807" hidden="1" ht="18.75" customFormat="1" customHeight="1" s="311"/>
    <row r="3808" hidden="1" ht="18.75" customFormat="1" customHeight="1" s="311"/>
    <row r="3809" hidden="1" ht="18.75" customFormat="1" customHeight="1" s="311"/>
    <row r="3810" hidden="1" ht="18.75" customFormat="1" customHeight="1" s="311"/>
    <row r="3811" hidden="1" ht="18.75" customFormat="1" customHeight="1" s="311"/>
    <row r="3812" hidden="1" ht="18.75" customFormat="1" customHeight="1" s="311"/>
    <row r="3813" hidden="1" ht="18.75" customFormat="1" customHeight="1" s="311"/>
    <row r="3814" hidden="1" ht="18.75" customFormat="1" customHeight="1" s="311"/>
    <row r="3815" hidden="1" ht="18.75" customFormat="1" customHeight="1" s="311"/>
    <row r="3816" hidden="1" ht="18.75" customFormat="1" customHeight="1" s="311"/>
    <row r="3817" hidden="1" ht="18.75" customFormat="1" customHeight="1" s="311"/>
    <row r="3818" hidden="1" ht="18.75" customFormat="1" customHeight="1" s="311"/>
    <row r="3819" hidden="1" ht="18.75" customFormat="1" customHeight="1" s="311"/>
    <row r="3820" hidden="1" ht="18.75" customFormat="1" customHeight="1" s="311"/>
    <row r="3821" hidden="1" ht="18.75" customFormat="1" customHeight="1" s="311"/>
    <row r="3822" hidden="1" ht="18.75" customFormat="1" customHeight="1" s="311"/>
    <row r="3823" hidden="1" ht="18.75" customFormat="1" customHeight="1" s="311"/>
    <row r="3824" hidden="1" ht="18.75" customFormat="1" customHeight="1" s="311"/>
    <row r="3825" hidden="1" ht="18.75" customFormat="1" customHeight="1" s="311"/>
    <row r="3826" hidden="1" ht="18.75" customFormat="1" customHeight="1" s="311"/>
    <row r="3827" hidden="1" ht="18.75" customFormat="1" customHeight="1" s="311"/>
    <row r="3828" hidden="1" ht="18.75" customFormat="1" customHeight="1" s="311"/>
    <row r="3829" hidden="1" ht="18.75" customFormat="1" customHeight="1" s="311"/>
    <row r="3830" hidden="1" ht="18.75" customFormat="1" customHeight="1" s="311"/>
    <row r="3831" hidden="1" ht="18.75" customFormat="1" customHeight="1" s="311"/>
    <row r="3832" hidden="1" ht="18.75" customFormat="1" customHeight="1" s="311"/>
    <row r="3833" hidden="1" ht="18.75" customFormat="1" customHeight="1" s="311"/>
    <row r="3834" hidden="1" ht="18.75" customFormat="1" customHeight="1" s="311"/>
    <row r="3835" hidden="1" ht="18.75" customFormat="1" customHeight="1" s="311"/>
    <row r="3836" hidden="1" ht="18.75" customFormat="1" customHeight="1" s="311"/>
    <row r="3837" hidden="1" ht="18.75" customFormat="1" customHeight="1" s="311"/>
    <row r="3838" hidden="1" ht="18.75" customFormat="1" customHeight="1" s="311"/>
    <row r="3839" hidden="1" ht="18.75" customFormat="1" customHeight="1" s="311"/>
    <row r="3840" hidden="1" ht="18.75" customFormat="1" customHeight="1" s="311"/>
    <row r="3841" hidden="1" ht="18.75" customFormat="1" customHeight="1" s="311"/>
    <row r="3842" hidden="1" ht="18.75" customFormat="1" customHeight="1" s="311"/>
    <row r="3843" hidden="1" ht="18.75" customFormat="1" customHeight="1" s="311"/>
    <row r="3844" hidden="1" ht="18.75" customFormat="1" customHeight="1" s="311"/>
    <row r="3845" hidden="1" ht="18.75" customFormat="1" customHeight="1" s="311"/>
    <row r="3846" hidden="1" ht="18.75" customFormat="1" customHeight="1" s="311"/>
    <row r="3847" hidden="1" ht="18.75" customFormat="1" customHeight="1" s="311"/>
    <row r="3848" hidden="1" ht="18.75" customFormat="1" customHeight="1" s="311"/>
    <row r="3849" hidden="1" ht="18.75" customFormat="1" customHeight="1" s="311"/>
    <row r="3850" hidden="1" ht="18.75" customFormat="1" customHeight="1" s="311"/>
    <row r="3851" hidden="1" ht="18.75" customFormat="1" customHeight="1" s="311"/>
    <row r="3852" hidden="1" ht="18.75" customFormat="1" customHeight="1" s="311"/>
    <row r="3853" hidden="1" ht="18.75" customFormat="1" customHeight="1" s="311"/>
    <row r="3854" hidden="1" ht="18.75" customFormat="1" customHeight="1" s="311"/>
    <row r="3855" hidden="1" ht="18.75" customFormat="1" customHeight="1" s="311"/>
    <row r="3856" hidden="1" ht="18.75" customFormat="1" customHeight="1" s="311"/>
    <row r="3857" hidden="1" ht="18.75" customFormat="1" customHeight="1" s="311"/>
    <row r="3858" hidden="1" ht="18.75" customFormat="1" customHeight="1" s="311"/>
    <row r="3859" hidden="1" ht="18.75" customFormat="1" customHeight="1" s="311"/>
    <row r="3860" hidden="1" ht="18.75" customFormat="1" customHeight="1" s="311"/>
    <row r="3861" hidden="1" ht="18.75" customFormat="1" customHeight="1" s="311"/>
    <row r="3862" hidden="1" ht="18.75" customFormat="1" customHeight="1" s="311"/>
    <row r="3863" hidden="1" ht="18.75" customFormat="1" customHeight="1" s="311"/>
    <row r="3864" hidden="1" ht="18.75" customFormat="1" customHeight="1" s="311"/>
    <row r="3865" hidden="1" ht="18.75" customFormat="1" customHeight="1" s="311"/>
    <row r="3866" hidden="1" ht="18.75" customFormat="1" customHeight="1" s="311"/>
    <row r="3867" hidden="1" ht="18.75" customFormat="1" customHeight="1" s="311"/>
    <row r="3868" hidden="1" ht="18.75" customFormat="1" customHeight="1" s="311"/>
    <row r="3869" hidden="1" ht="18.75" customFormat="1" customHeight="1" s="311"/>
    <row r="3870" hidden="1" ht="18.75" customFormat="1" customHeight="1" s="311"/>
    <row r="3871" hidden="1" ht="18.75" customFormat="1" customHeight="1" s="311"/>
    <row r="3872" hidden="1" ht="18.75" customFormat="1" customHeight="1" s="311"/>
    <row r="3873" hidden="1" ht="18.75" customFormat="1" customHeight="1" s="311"/>
    <row r="3874" hidden="1" ht="18.75" customFormat="1" customHeight="1" s="311"/>
    <row r="3875" hidden="1" ht="18.75" customFormat="1" customHeight="1" s="311"/>
    <row r="3876" hidden="1" ht="18.75" customFormat="1" customHeight="1" s="311"/>
    <row r="3877" hidden="1" ht="18.75" customFormat="1" customHeight="1" s="311"/>
    <row r="3878" hidden="1" ht="18.75" customFormat="1" customHeight="1" s="311"/>
    <row r="3879" hidden="1" ht="18.75" customFormat="1" customHeight="1" s="311"/>
    <row r="3880" hidden="1" ht="18.75" customFormat="1" customHeight="1" s="311"/>
    <row r="3881" hidden="1" ht="18.75" customFormat="1" customHeight="1" s="311"/>
    <row r="3882" hidden="1" ht="18.75" customFormat="1" customHeight="1" s="311"/>
    <row r="3883" hidden="1" ht="18.75" customFormat="1" customHeight="1" s="311"/>
    <row r="3884" hidden="1" ht="18.75" customFormat="1" customHeight="1" s="311"/>
    <row r="3885" hidden="1" ht="18.75" customFormat="1" customHeight="1" s="311"/>
    <row r="3886" hidden="1" ht="18.75" customFormat="1" customHeight="1" s="311"/>
    <row r="3887" hidden="1" ht="18.75" customFormat="1" customHeight="1" s="311"/>
    <row r="3888" hidden="1" ht="18.75" customFormat="1" customHeight="1" s="311"/>
    <row r="3889" hidden="1" ht="18.75" customFormat="1" customHeight="1" s="311"/>
    <row r="3890" hidden="1" ht="18.75" customFormat="1" customHeight="1" s="311"/>
    <row r="3891" hidden="1" ht="18.75" customFormat="1" customHeight="1" s="311"/>
    <row r="3892" hidden="1" ht="18.75" customFormat="1" customHeight="1" s="311"/>
    <row r="3893" hidden="1" ht="18.75" customFormat="1" customHeight="1" s="311"/>
    <row r="3894" hidden="1" ht="18.75" customFormat="1" customHeight="1" s="311"/>
    <row r="3895" hidden="1" ht="18.75" customFormat="1" customHeight="1" s="311"/>
    <row r="3896" hidden="1" ht="18.75" customFormat="1" customHeight="1" s="311"/>
    <row r="3897" hidden="1" ht="18.75" customFormat="1" customHeight="1" s="311"/>
    <row r="3898" hidden="1" ht="18.75" customFormat="1" customHeight="1" s="311"/>
    <row r="3899" hidden="1" ht="18.75" customFormat="1" customHeight="1" s="311"/>
    <row r="3900" hidden="1" ht="18.75" customFormat="1" customHeight="1" s="311"/>
    <row r="3901" hidden="1" ht="18.75" customFormat="1" customHeight="1" s="311"/>
    <row r="3902" hidden="1" ht="18.75" customFormat="1" customHeight="1" s="311"/>
    <row r="3903" hidden="1" ht="18.75" customFormat="1" customHeight="1" s="311"/>
    <row r="3904" hidden="1" ht="18.75" customFormat="1" customHeight="1" s="311"/>
    <row r="3905" hidden="1" ht="18.75" customFormat="1" customHeight="1" s="311"/>
    <row r="3906" hidden="1" ht="18.75" customFormat="1" customHeight="1" s="311"/>
    <row r="3907" hidden="1" ht="18.75" customFormat="1" customHeight="1" s="311"/>
    <row r="3908" hidden="1" ht="18.75" customFormat="1" customHeight="1" s="311"/>
    <row r="3909" hidden="1" ht="18.75" customFormat="1" customHeight="1" s="311"/>
    <row r="3910" hidden="1" ht="18.75" customFormat="1" customHeight="1" s="311"/>
    <row r="3911" hidden="1" ht="18.75" customFormat="1" customHeight="1" s="311"/>
    <row r="3912" hidden="1" ht="18.75" customFormat="1" customHeight="1" s="311"/>
    <row r="3913" hidden="1" ht="18.75" customFormat="1" customHeight="1" s="311"/>
    <row r="3914" hidden="1" ht="18.75" customFormat="1" customHeight="1" s="311"/>
    <row r="3915" hidden="1" ht="18.75" customFormat="1" customHeight="1" s="311"/>
    <row r="3916" hidden="1" ht="18.75" customFormat="1" customHeight="1" s="311"/>
    <row r="3917" hidden="1" ht="18.75" customFormat="1" customHeight="1" s="311"/>
    <row r="3918" hidden="1" ht="18.75" customFormat="1" customHeight="1" s="311"/>
    <row r="3919" hidden="1" ht="18.75" customFormat="1" customHeight="1" s="311"/>
    <row r="3920" hidden="1" ht="18.75" customFormat="1" customHeight="1" s="311"/>
    <row r="3921" hidden="1" ht="18.75" customFormat="1" customHeight="1" s="311"/>
    <row r="3922" hidden="1" ht="18.75" customFormat="1" customHeight="1" s="311"/>
    <row r="3923" hidden="1" ht="18.75" customFormat="1" customHeight="1" s="311"/>
    <row r="3924" hidden="1" ht="18.75" customFormat="1" customHeight="1" s="311"/>
    <row r="3925" hidden="1" ht="18.75" customFormat="1" customHeight="1" s="311"/>
    <row r="3926" hidden="1" ht="18.75" customFormat="1" customHeight="1" s="311"/>
    <row r="3927" hidden="1" ht="18.75" customFormat="1" customHeight="1" s="311"/>
    <row r="3928" hidden="1" ht="18.75" customFormat="1" customHeight="1" s="311"/>
    <row r="3929" hidden="1" ht="18.75" customFormat="1" customHeight="1" s="311"/>
    <row r="3930" hidden="1" ht="18.75" customFormat="1" customHeight="1" s="311"/>
    <row r="3931" hidden="1" ht="18.75" customFormat="1" customHeight="1" s="311"/>
    <row r="3932" hidden="1" ht="18.75" customFormat="1" customHeight="1" s="311"/>
    <row r="3933" hidden="1" ht="18.75" customFormat="1" customHeight="1" s="311"/>
    <row r="3934" hidden="1" ht="18.75" customFormat="1" customHeight="1" s="311"/>
    <row r="3935" hidden="1" ht="18.75" customFormat="1" customHeight="1" s="311"/>
    <row r="3936" hidden="1" ht="18.75" customFormat="1" customHeight="1" s="311"/>
    <row r="3937" hidden="1" ht="18.75" customFormat="1" customHeight="1" s="311"/>
    <row r="3938" hidden="1" ht="18.75" customFormat="1" customHeight="1" s="311"/>
    <row r="3939" hidden="1" ht="18.75" customFormat="1" customHeight="1" s="311"/>
    <row r="3940" hidden="1" ht="18.75" customFormat="1" customHeight="1" s="311"/>
    <row r="3941" hidden="1" ht="18.75" customFormat="1" customHeight="1" s="311"/>
    <row r="3942" hidden="1" ht="18.75" customFormat="1" customHeight="1" s="311"/>
    <row r="3943" hidden="1" ht="18.75" customFormat="1" customHeight="1" s="311"/>
    <row r="3944" hidden="1" ht="18.75" customFormat="1" customHeight="1" s="311"/>
    <row r="3945" hidden="1" ht="18.75" customFormat="1" customHeight="1" s="311"/>
    <row r="3946" hidden="1" ht="18.75" customFormat="1" customHeight="1" s="311"/>
    <row r="3947" hidden="1" ht="18.75" customFormat="1" customHeight="1" s="311"/>
    <row r="3948" hidden="1" ht="18.75" customFormat="1" customHeight="1" s="311"/>
    <row r="3949" hidden="1" ht="18.75" customFormat="1" customHeight="1" s="311"/>
    <row r="3950" hidden="1" ht="18.75" customFormat="1" customHeight="1" s="311"/>
    <row r="3951" hidden="1" ht="18.75" customFormat="1" customHeight="1" s="311"/>
    <row r="3952" hidden="1" ht="18.75" customFormat="1" customHeight="1" s="311"/>
    <row r="3953" hidden="1" ht="18.75" customFormat="1" customHeight="1" s="311"/>
    <row r="3954" hidden="1" ht="18.75" customFormat="1" customHeight="1" s="311"/>
    <row r="3955" hidden="1" ht="18.75" customFormat="1" customHeight="1" s="311"/>
    <row r="3956" hidden="1" ht="18.75" customFormat="1" customHeight="1" s="311"/>
    <row r="3957" hidden="1" ht="18.75" customFormat="1" customHeight="1" s="311"/>
    <row r="3958" hidden="1" ht="18.75" customFormat="1" customHeight="1" s="311"/>
    <row r="3959" hidden="1" ht="18.75" customFormat="1" customHeight="1" s="311"/>
    <row r="3960" hidden="1" ht="18.75" customFormat="1" customHeight="1" s="311"/>
    <row r="3961" hidden="1" ht="18.75" customFormat="1" customHeight="1" s="311"/>
    <row r="3962" hidden="1" ht="18.75" customFormat="1" customHeight="1" s="311"/>
    <row r="3963" hidden="1" ht="18.75" customFormat="1" customHeight="1" s="311"/>
    <row r="3964" hidden="1" ht="18.75" customFormat="1" customHeight="1" s="311"/>
    <row r="3965" hidden="1" ht="18.75" customFormat="1" customHeight="1" s="311"/>
    <row r="3966" hidden="1" ht="18.75" customFormat="1" customHeight="1" s="311"/>
    <row r="3967" hidden="1" ht="18.75" customFormat="1" customHeight="1" s="311"/>
    <row r="3968" hidden="1" ht="18.75" customFormat="1" customHeight="1" s="311"/>
    <row r="3969" hidden="1" ht="18.75" customFormat="1" customHeight="1" s="311"/>
    <row r="3970" hidden="1" ht="18.75" customFormat="1" customHeight="1" s="311"/>
    <row r="3971" hidden="1" ht="18.75" customFormat="1" customHeight="1" s="311"/>
    <row r="3972" hidden="1" ht="18.75" customFormat="1" customHeight="1" s="311"/>
    <row r="3973" hidden="1" ht="18.75" customFormat="1" customHeight="1" s="311"/>
    <row r="3974" hidden="1" ht="18.75" customFormat="1" customHeight="1" s="311"/>
    <row r="3975" hidden="1" ht="18.75" customFormat="1" customHeight="1" s="311"/>
    <row r="3976" hidden="1" ht="18.75" customFormat="1" customHeight="1" s="311"/>
    <row r="3977" hidden="1" ht="18.75" customFormat="1" customHeight="1" s="311"/>
    <row r="3978" hidden="1" ht="18.75" customFormat="1" customHeight="1" s="311"/>
    <row r="3979" hidden="1" ht="18.75" customFormat="1" customHeight="1" s="311"/>
    <row r="3980" hidden="1" ht="18.75" customFormat="1" customHeight="1" s="311"/>
    <row r="3981" hidden="1" ht="18.75" customFormat="1" customHeight="1" s="311"/>
    <row r="3982" hidden="1" ht="18.75" customFormat="1" customHeight="1" s="311"/>
    <row r="3983" hidden="1" ht="18.75" customFormat="1" customHeight="1" s="311"/>
    <row r="3984" hidden="1" ht="18.75" customFormat="1" customHeight="1" s="311"/>
    <row r="3985" hidden="1" ht="18.75" customFormat="1" customHeight="1" s="311"/>
    <row r="3986" hidden="1" ht="18.75" customFormat="1" customHeight="1" s="311"/>
    <row r="3987" hidden="1" ht="18.75" customFormat="1" customHeight="1" s="311"/>
    <row r="3988" hidden="1" ht="18.75" customFormat="1" customHeight="1" s="311"/>
    <row r="3989" hidden="1" ht="18.75" customFormat="1" customHeight="1" s="311"/>
    <row r="3990" hidden="1" ht="18.75" customFormat="1" customHeight="1" s="311"/>
    <row r="3991" hidden="1" ht="18.75" customFormat="1" customHeight="1" s="311"/>
    <row r="3992" hidden="1" ht="18.75" customFormat="1" customHeight="1" s="311"/>
    <row r="3993" hidden="1" ht="18.75" customFormat="1" customHeight="1" s="311"/>
    <row r="3994" hidden="1" ht="18.75" customFormat="1" customHeight="1" s="311"/>
    <row r="3995" hidden="1" ht="18.75" customFormat="1" customHeight="1" s="311"/>
    <row r="3996" hidden="1" ht="18.75" customFormat="1" customHeight="1" s="311"/>
    <row r="3997" hidden="1" ht="18.75" customFormat="1" customHeight="1" s="311"/>
    <row r="3998" hidden="1" ht="18.75" customFormat="1" customHeight="1" s="311"/>
    <row r="3999" hidden="1" ht="18.75" customFormat="1" customHeight="1" s="311"/>
    <row r="4000" hidden="1" ht="18.75" customFormat="1" customHeight="1" s="311"/>
    <row r="4001" hidden="1" ht="18.75" customFormat="1" customHeight="1" s="311"/>
    <row r="4002" hidden="1" ht="18.75" customFormat="1" customHeight="1" s="311"/>
    <row r="4003" hidden="1" ht="18.75" customFormat="1" customHeight="1" s="311"/>
    <row r="4004" hidden="1" ht="18.75" customFormat="1" customHeight="1" s="311"/>
    <row r="4005" hidden="1" ht="18.75" customFormat="1" customHeight="1" s="311"/>
    <row r="4006" hidden="1" ht="18.75" customFormat="1" customHeight="1" s="311"/>
    <row r="4007" hidden="1" ht="18.75" customFormat="1" customHeight="1" s="311"/>
    <row r="4008" hidden="1" ht="18.75" customFormat="1" customHeight="1" s="311"/>
    <row r="4009" hidden="1" ht="18.75" customFormat="1" customHeight="1" s="311"/>
    <row r="4010" hidden="1" ht="18.75" customFormat="1" customHeight="1" s="311"/>
    <row r="4011" hidden="1" ht="18.75" customFormat="1" customHeight="1" s="311"/>
    <row r="4012" hidden="1" ht="18.75" customFormat="1" customHeight="1" s="311"/>
    <row r="4013" hidden="1" ht="18.75" customFormat="1" customHeight="1" s="311"/>
    <row r="4014" hidden="1" ht="18.75" customFormat="1" customHeight="1" s="311"/>
    <row r="4015" hidden="1" ht="18.75" customFormat="1" customHeight="1" s="311"/>
    <row r="4016" hidden="1" ht="18.75" customFormat="1" customHeight="1" s="311"/>
    <row r="4017" hidden="1" ht="18.75" customFormat="1" customHeight="1" s="311"/>
    <row r="4018" hidden="1" ht="18.75" customFormat="1" customHeight="1" s="311"/>
    <row r="4019" hidden="1" ht="18.75" customFormat="1" customHeight="1" s="311"/>
    <row r="4020" hidden="1" ht="18.75" customFormat="1" customHeight="1" s="311"/>
    <row r="4021" hidden="1" ht="18.75" customFormat="1" customHeight="1" s="311"/>
    <row r="4022" hidden="1" ht="18.75" customFormat="1" customHeight="1" s="311"/>
    <row r="4023" hidden="1" ht="18.75" customFormat="1" customHeight="1" s="311"/>
    <row r="4024" hidden="1" ht="18.75" customFormat="1" customHeight="1" s="311"/>
    <row r="4025" hidden="1" ht="18.75" customFormat="1" customHeight="1" s="311"/>
    <row r="4026" hidden="1" ht="18.75" customFormat="1" customHeight="1" s="311"/>
    <row r="4027" hidden="1" ht="18.75" customFormat="1" customHeight="1" s="311"/>
    <row r="4028" hidden="1" ht="18.75" customFormat="1" customHeight="1" s="311"/>
    <row r="4029" hidden="1" ht="18.75" customFormat="1" customHeight="1" s="311"/>
    <row r="4030" hidden="1" ht="18.75" customFormat="1" customHeight="1" s="311"/>
    <row r="4031" hidden="1" ht="18.75" customFormat="1" customHeight="1" s="311"/>
    <row r="4032" hidden="1" ht="18.75" customFormat="1" customHeight="1" s="311"/>
    <row r="4033" hidden="1" ht="18.75" customFormat="1" customHeight="1" s="311"/>
    <row r="4034" hidden="1" ht="18.75" customFormat="1" customHeight="1" s="311"/>
    <row r="4035" hidden="1" ht="18.75" customFormat="1" customHeight="1" s="311"/>
    <row r="4036" hidden="1" ht="18.75" customFormat="1" customHeight="1" s="311"/>
    <row r="4037" hidden="1" ht="18.75" customFormat="1" customHeight="1" s="311"/>
    <row r="4038" hidden="1" ht="18.75" customFormat="1" customHeight="1" s="311"/>
    <row r="4039" hidden="1" ht="18.75" customFormat="1" customHeight="1" s="311"/>
    <row r="4040" hidden="1" ht="18.75" customFormat="1" customHeight="1" s="311"/>
    <row r="4041" hidden="1" ht="18.75" customFormat="1" customHeight="1" s="311"/>
    <row r="4042" hidden="1" ht="18.75" customFormat="1" customHeight="1" s="311"/>
    <row r="4043" hidden="1" ht="18.75" customFormat="1" customHeight="1" s="311"/>
    <row r="4044" hidden="1" ht="18.75" customFormat="1" customHeight="1" s="311"/>
    <row r="4045" hidden="1" ht="18.75" customFormat="1" customHeight="1" s="311"/>
    <row r="4046" hidden="1" ht="18.75" customFormat="1" customHeight="1" s="311"/>
    <row r="4047" hidden="1" ht="18.75" customFormat="1" customHeight="1" s="311"/>
    <row r="4048" hidden="1" ht="18.75" customFormat="1" customHeight="1" s="311"/>
    <row r="4049" hidden="1" ht="18.75" customFormat="1" customHeight="1" s="311"/>
    <row r="4050" hidden="1" ht="18.75" customFormat="1" customHeight="1" s="311"/>
    <row r="4051" hidden="1" ht="18.75" customFormat="1" customHeight="1" s="311"/>
    <row r="4052" hidden="1" ht="18.75" customFormat="1" customHeight="1" s="311"/>
    <row r="4053" hidden="1" ht="18.75" customFormat="1" customHeight="1" s="311"/>
    <row r="4054" hidden="1" ht="18.75" customFormat="1" customHeight="1" s="311"/>
    <row r="4055" hidden="1" ht="18.75" customFormat="1" customHeight="1" s="311"/>
    <row r="4056" hidden="1" ht="18.75" customFormat="1" customHeight="1" s="311"/>
    <row r="4057" hidden="1" ht="18.75" customFormat="1" customHeight="1" s="311"/>
    <row r="4058" hidden="1" ht="18.75" customFormat="1" customHeight="1" s="311"/>
    <row r="4059" hidden="1" ht="18.75" customFormat="1" customHeight="1" s="311"/>
    <row r="4060" hidden="1" ht="18.75" customFormat="1" customHeight="1" s="311"/>
    <row r="4061" hidden="1" ht="18.75" customFormat="1" customHeight="1" s="311"/>
    <row r="4062" hidden="1" ht="18.75" customFormat="1" customHeight="1" s="311"/>
    <row r="4063" hidden="1" ht="18.75" customFormat="1" customHeight="1" s="311"/>
    <row r="4064" hidden="1" ht="18.75" customFormat="1" customHeight="1" s="311"/>
    <row r="4065" hidden="1" ht="18.75" customFormat="1" customHeight="1" s="311"/>
    <row r="4066" hidden="1" ht="18.75" customFormat="1" customHeight="1" s="311"/>
    <row r="4067" hidden="1" ht="18.75" customFormat="1" customHeight="1" s="311"/>
    <row r="4068" hidden="1" ht="18.75" customFormat="1" customHeight="1" s="311"/>
    <row r="4069" hidden="1" ht="18.75" customFormat="1" customHeight="1" s="311"/>
    <row r="4070" hidden="1" ht="18.75" customFormat="1" customHeight="1" s="311"/>
    <row r="4071" hidden="1" ht="18.75" customFormat="1" customHeight="1" s="311"/>
    <row r="4072" hidden="1" ht="18.75" customFormat="1" customHeight="1" s="311"/>
    <row r="4073" hidden="1" ht="18.75" customFormat="1" customHeight="1" s="311"/>
    <row r="4074" hidden="1" ht="18.75" customFormat="1" customHeight="1" s="311"/>
    <row r="4075" hidden="1" ht="18.75" customFormat="1" customHeight="1" s="311"/>
    <row r="4076" hidden="1" ht="18.75" customFormat="1" customHeight="1" s="311"/>
    <row r="4077" hidden="1" ht="18.75" customFormat="1" customHeight="1" s="311"/>
    <row r="4078" hidden="1" ht="18.75" customFormat="1" customHeight="1" s="311"/>
    <row r="4079" hidden="1" ht="18.75" customFormat="1" customHeight="1" s="311"/>
    <row r="4080" hidden="1" ht="18.75" customFormat="1" customHeight="1" s="311"/>
    <row r="4081" hidden="1" ht="18.75" customFormat="1" customHeight="1" s="311"/>
    <row r="4082" hidden="1" ht="18.75" customFormat="1" customHeight="1" s="311"/>
    <row r="4083" hidden="1" ht="18.75" customFormat="1" customHeight="1" s="311"/>
    <row r="4084" hidden="1" ht="18.75" customFormat="1" customHeight="1" s="311"/>
    <row r="4085" hidden="1" ht="18.75" customFormat="1" customHeight="1" s="311"/>
    <row r="4086" hidden="1" ht="18.75" customFormat="1" customHeight="1" s="311"/>
    <row r="4087" hidden="1" ht="18.75" customFormat="1" customHeight="1" s="311"/>
    <row r="4088" hidden="1" ht="18.75" customFormat="1" customHeight="1" s="311"/>
    <row r="4089" hidden="1" ht="18.75" customFormat="1" customHeight="1" s="311"/>
    <row r="4090" hidden="1" ht="18.75" customFormat="1" customHeight="1" s="311"/>
    <row r="4091" hidden="1" ht="18.75" customFormat="1" customHeight="1" s="311"/>
    <row r="4092" hidden="1" ht="18.75" customFormat="1" customHeight="1" s="311"/>
    <row r="4093" hidden="1" ht="18.75" customFormat="1" customHeight="1" s="311"/>
    <row r="4094" hidden="1" ht="18.75" customFormat="1" customHeight="1" s="311"/>
    <row r="4095" hidden="1" ht="18.75" customFormat="1" customHeight="1" s="311"/>
    <row r="4096" hidden="1" ht="18.75" customFormat="1" customHeight="1" s="311"/>
    <row r="4097" hidden="1" ht="18.75" customFormat="1" customHeight="1" s="311"/>
    <row r="4098" hidden="1" ht="18.75" customFormat="1" customHeight="1" s="311"/>
    <row r="4099" hidden="1" ht="18.75" customFormat="1" customHeight="1" s="311"/>
    <row r="4100" hidden="1" ht="18.75" customFormat="1" customHeight="1" s="311"/>
    <row r="4101" hidden="1" ht="18.75" customFormat="1" customHeight="1" s="311"/>
    <row r="4102" hidden="1" ht="18.75" customFormat="1" customHeight="1" s="311"/>
    <row r="4103" hidden="1" ht="18.75" customFormat="1" customHeight="1" s="311"/>
    <row r="4104" hidden="1" ht="18.75" customFormat="1" customHeight="1" s="311"/>
    <row r="4105" hidden="1" ht="18.75" customFormat="1" customHeight="1" s="311"/>
    <row r="4106" hidden="1" ht="18.75" customFormat="1" customHeight="1" s="311"/>
    <row r="4107" hidden="1" ht="18.75" customFormat="1" customHeight="1" s="311"/>
    <row r="4108" hidden="1" ht="18.75" customFormat="1" customHeight="1" s="311"/>
    <row r="4109" hidden="1" ht="18.75" customFormat="1" customHeight="1" s="311"/>
    <row r="4110" hidden="1" ht="18.75" customFormat="1" customHeight="1" s="311"/>
    <row r="4111" hidden="1" ht="18.75" customFormat="1" customHeight="1" s="311"/>
    <row r="4112" hidden="1" ht="18.75" customFormat="1" customHeight="1" s="311"/>
    <row r="4113" hidden="1" ht="18.75" customFormat="1" customHeight="1" s="311"/>
    <row r="4114" hidden="1" ht="18.75" customFormat="1" customHeight="1" s="311"/>
    <row r="4115" hidden="1" ht="18.75" customFormat="1" customHeight="1" s="311"/>
    <row r="4116" hidden="1" ht="18.75" customFormat="1" customHeight="1" s="311"/>
    <row r="4117" hidden="1" ht="18.75" customFormat="1" customHeight="1" s="311"/>
    <row r="4118" hidden="1" ht="18.75" customFormat="1" customHeight="1" s="311"/>
    <row r="4119" hidden="1" ht="18.75" customFormat="1" customHeight="1" s="311"/>
    <row r="4120" hidden="1" ht="18.75" customFormat="1" customHeight="1" s="311"/>
    <row r="4121" hidden="1" ht="18.75" customFormat="1" customHeight="1" s="311"/>
    <row r="4122" hidden="1" ht="18.75" customFormat="1" customHeight="1" s="311"/>
    <row r="4123" hidden="1" ht="18.75" customFormat="1" customHeight="1" s="311"/>
    <row r="4124" hidden="1" ht="18.75" customFormat="1" customHeight="1" s="311"/>
    <row r="4125" hidden="1" ht="18.75" customFormat="1" customHeight="1" s="311"/>
    <row r="4126" hidden="1" ht="18.75" customFormat="1" customHeight="1" s="311"/>
    <row r="4127" hidden="1" ht="18.75" customFormat="1" customHeight="1" s="311"/>
    <row r="4128" hidden="1" ht="18.75" customFormat="1" customHeight="1" s="311"/>
    <row r="4129" hidden="1" ht="18.75" customFormat="1" customHeight="1" s="311"/>
    <row r="4130" hidden="1" ht="18.75" customFormat="1" customHeight="1" s="311"/>
    <row r="4131" hidden="1" ht="18.75" customFormat="1" customHeight="1" s="311"/>
    <row r="4132" hidden="1" ht="18.75" customFormat="1" customHeight="1" s="311"/>
    <row r="4133" hidden="1" ht="18.75" customFormat="1" customHeight="1" s="311"/>
    <row r="4134" hidden="1" ht="18.75" customFormat="1" customHeight="1" s="311"/>
    <row r="4135" hidden="1" ht="18.75" customFormat="1" customHeight="1" s="311"/>
    <row r="4136" hidden="1" ht="18.75" customFormat="1" customHeight="1" s="311"/>
    <row r="4137" hidden="1" ht="18.75" customFormat="1" customHeight="1" s="311"/>
    <row r="4138" hidden="1" ht="18.75" customFormat="1" customHeight="1" s="311"/>
    <row r="4139" hidden="1" ht="18.75" customFormat="1" customHeight="1" s="311"/>
    <row r="4140" hidden="1" ht="18.75" customFormat="1" customHeight="1" s="311"/>
    <row r="4141" hidden="1" ht="18.75" customFormat="1" customHeight="1" s="311"/>
    <row r="4142" hidden="1" ht="18.75" customFormat="1" customHeight="1" s="311"/>
    <row r="4143" hidden="1" ht="18.75" customFormat="1" customHeight="1" s="311"/>
    <row r="4144" hidden="1" ht="18.75" customFormat="1" customHeight="1" s="311"/>
    <row r="4145" hidden="1" ht="18.75" customFormat="1" customHeight="1" s="311"/>
    <row r="4146" hidden="1" ht="18.75" customFormat="1" customHeight="1" s="311"/>
    <row r="4147" hidden="1" ht="18.75" customFormat="1" customHeight="1" s="311"/>
    <row r="4148" hidden="1" ht="18.75" customFormat="1" customHeight="1" s="311"/>
    <row r="4149" hidden="1" ht="18.75" customFormat="1" customHeight="1" s="311"/>
    <row r="4150" hidden="1" ht="18.75" customFormat="1" customHeight="1" s="311"/>
    <row r="4151" hidden="1" ht="18.75" customFormat="1" customHeight="1" s="311"/>
    <row r="4152" hidden="1" ht="18.75" customFormat="1" customHeight="1" s="311"/>
    <row r="4153" hidden="1" ht="18.75" customFormat="1" customHeight="1" s="311"/>
    <row r="4154" hidden="1" ht="18.75" customFormat="1" customHeight="1" s="311"/>
    <row r="4155" hidden="1" ht="18.75" customFormat="1" customHeight="1" s="311"/>
    <row r="4156" hidden="1" ht="18.75" customFormat="1" customHeight="1" s="311"/>
    <row r="4157" hidden="1" ht="18.75" customFormat="1" customHeight="1" s="311"/>
    <row r="4158" hidden="1" ht="18.75" customFormat="1" customHeight="1" s="311"/>
    <row r="4159" hidden="1" ht="18.75" customFormat="1" customHeight="1" s="311"/>
    <row r="4160" hidden="1" ht="18.75" customFormat="1" customHeight="1" s="311"/>
    <row r="4161" hidden="1" ht="18.75" customFormat="1" customHeight="1" s="311"/>
    <row r="4162" hidden="1" ht="18.75" customFormat="1" customHeight="1" s="311"/>
    <row r="4163" hidden="1" ht="18.75" customFormat="1" customHeight="1" s="311"/>
    <row r="4164" hidden="1" ht="18.75" customFormat="1" customHeight="1" s="311"/>
    <row r="4165" hidden="1" ht="18.75" customFormat="1" customHeight="1" s="311"/>
    <row r="4166" hidden="1" ht="18.75" customFormat="1" customHeight="1" s="311"/>
    <row r="4167" hidden="1" ht="18.75" customFormat="1" customHeight="1" s="311"/>
    <row r="4168" hidden="1" ht="18.75" customFormat="1" customHeight="1" s="311"/>
    <row r="4169" hidden="1" ht="18.75" customFormat="1" customHeight="1" s="311"/>
    <row r="4170" hidden="1" ht="18.75" customFormat="1" customHeight="1" s="311"/>
    <row r="4171" hidden="1" ht="18.75" customFormat="1" customHeight="1" s="311"/>
    <row r="4172" hidden="1" ht="18.75" customFormat="1" customHeight="1" s="311"/>
    <row r="4173" hidden="1" ht="18.75" customFormat="1" customHeight="1" s="311"/>
    <row r="4174" hidden="1" ht="18.75" customFormat="1" customHeight="1" s="311"/>
    <row r="4175" hidden="1" ht="18.75" customFormat="1" customHeight="1" s="311"/>
    <row r="4176" hidden="1" ht="18.75" customFormat="1" customHeight="1" s="311"/>
    <row r="4177" hidden="1" ht="18.75" customFormat="1" customHeight="1" s="311"/>
    <row r="4178" hidden="1" ht="18.75" customFormat="1" customHeight="1" s="311"/>
    <row r="4179" hidden="1" ht="18.75" customFormat="1" customHeight="1" s="311"/>
    <row r="4180" hidden="1" ht="18.75" customFormat="1" customHeight="1" s="311"/>
    <row r="4181" hidden="1" ht="18.75" customFormat="1" customHeight="1" s="311"/>
    <row r="4182" hidden="1" ht="18.75" customFormat="1" customHeight="1" s="311"/>
    <row r="4183" hidden="1" ht="18.75" customFormat="1" customHeight="1" s="311"/>
    <row r="4184" hidden="1" ht="18.75" customFormat="1" customHeight="1" s="311"/>
    <row r="4185" hidden="1" ht="18.75" customFormat="1" customHeight="1" s="311"/>
    <row r="4186" hidden="1" ht="18.75" customFormat="1" customHeight="1" s="311"/>
    <row r="4187" hidden="1" ht="18.75" customFormat="1" customHeight="1" s="311"/>
    <row r="4188" hidden="1" ht="18.75" customFormat="1" customHeight="1" s="311"/>
    <row r="4189" hidden="1" ht="18.75" customFormat="1" customHeight="1" s="311"/>
    <row r="4190" hidden="1" ht="18.75" customFormat="1" customHeight="1" s="311"/>
    <row r="4191" hidden="1" ht="18.75" customFormat="1" customHeight="1" s="311"/>
    <row r="4192" hidden="1" ht="18.75" customFormat="1" customHeight="1" s="311"/>
    <row r="4193" hidden="1" ht="18.75" customFormat="1" customHeight="1" s="311"/>
    <row r="4194" hidden="1" ht="18.75" customFormat="1" customHeight="1" s="311"/>
    <row r="4195" hidden="1" ht="18.75" customFormat="1" customHeight="1" s="311"/>
    <row r="4196" hidden="1" ht="18.75" customFormat="1" customHeight="1" s="311"/>
    <row r="4197" hidden="1" ht="18.75" customFormat="1" customHeight="1" s="311"/>
    <row r="4198" hidden="1" ht="18.75" customFormat="1" customHeight="1" s="311"/>
    <row r="4199" hidden="1" ht="18.75" customFormat="1" customHeight="1" s="311"/>
    <row r="4200" hidden="1" ht="18.75" customFormat="1" customHeight="1" s="311"/>
    <row r="4201" hidden="1" ht="18.75" customFormat="1" customHeight="1" s="311"/>
    <row r="4202" hidden="1" ht="18.75" customFormat="1" customHeight="1" s="311"/>
    <row r="4203" hidden="1" ht="18.75" customFormat="1" customHeight="1" s="311"/>
    <row r="4204" hidden="1" ht="18.75" customFormat="1" customHeight="1" s="311"/>
    <row r="4205" hidden="1" ht="18.75" customFormat="1" customHeight="1" s="311"/>
    <row r="4206" hidden="1" ht="18.75" customFormat="1" customHeight="1" s="311"/>
    <row r="4207" hidden="1" ht="18.75" customFormat="1" customHeight="1" s="311"/>
    <row r="4208" hidden="1" ht="18.75" customFormat="1" customHeight="1" s="311"/>
    <row r="4209" hidden="1" ht="18.75" customFormat="1" customHeight="1" s="311"/>
    <row r="4210" hidden="1" ht="18.75" customFormat="1" customHeight="1" s="311"/>
    <row r="4211" hidden="1" ht="18.75" customFormat="1" customHeight="1" s="311"/>
    <row r="4212" hidden="1" ht="18.75" customFormat="1" customHeight="1" s="311"/>
    <row r="4213" hidden="1" ht="18.75" customFormat="1" customHeight="1" s="311"/>
    <row r="4214" hidden="1" ht="18.75" customFormat="1" customHeight="1" s="311"/>
    <row r="4215" hidden="1" ht="18.75" customFormat="1" customHeight="1" s="311"/>
    <row r="4216" hidden="1" ht="18.75" customFormat="1" customHeight="1" s="311"/>
    <row r="4217" hidden="1" ht="18.75" customFormat="1" customHeight="1" s="311"/>
    <row r="4218" hidden="1" ht="18.75" customFormat="1" customHeight="1" s="311"/>
    <row r="4219" hidden="1" ht="18.75" customFormat="1" customHeight="1" s="311"/>
    <row r="4220" hidden="1" ht="18.75" customFormat="1" customHeight="1" s="311"/>
    <row r="4221" hidden="1" ht="18.75" customFormat="1" customHeight="1" s="311"/>
    <row r="4222" hidden="1" ht="18.75" customFormat="1" customHeight="1" s="311"/>
    <row r="4223" hidden="1" ht="18.75" customFormat="1" customHeight="1" s="311"/>
    <row r="4224" hidden="1" ht="18.75" customFormat="1" customHeight="1" s="311"/>
    <row r="4225" hidden="1" ht="18.75" customFormat="1" customHeight="1" s="311"/>
    <row r="4226" hidden="1" ht="18.75" customFormat="1" customHeight="1" s="311"/>
    <row r="4227" hidden="1" ht="18.75" customFormat="1" customHeight="1" s="311"/>
    <row r="4228" hidden="1" ht="18.75" customFormat="1" customHeight="1" s="311"/>
    <row r="4229" hidden="1" ht="18.75" customFormat="1" customHeight="1" s="311"/>
    <row r="4230" hidden="1" ht="18.75" customFormat="1" customHeight="1" s="311"/>
    <row r="4231" hidden="1" ht="18.75" customFormat="1" customHeight="1" s="311"/>
    <row r="4232" hidden="1" ht="18.75" customFormat="1" customHeight="1" s="311"/>
    <row r="4233" hidden="1" ht="18.75" customFormat="1" customHeight="1" s="311"/>
    <row r="4234" hidden="1" ht="18.75" customFormat="1" customHeight="1" s="311"/>
    <row r="4235" hidden="1" ht="18.75" customFormat="1" customHeight="1" s="311"/>
    <row r="4236" hidden="1" ht="18.75" customFormat="1" customHeight="1" s="311"/>
    <row r="4237" hidden="1" ht="18.75" customFormat="1" customHeight="1" s="311"/>
    <row r="4238" hidden="1" ht="18.75" customFormat="1" customHeight="1" s="311"/>
    <row r="4239" hidden="1" ht="18.75" customFormat="1" customHeight="1" s="311"/>
    <row r="4240" hidden="1" ht="18.75" customFormat="1" customHeight="1" s="311"/>
    <row r="4241" hidden="1" ht="18.75" customFormat="1" customHeight="1" s="311"/>
    <row r="4242" hidden="1" ht="18.75" customFormat="1" customHeight="1" s="311"/>
    <row r="4243" hidden="1" ht="18.75" customFormat="1" customHeight="1" s="311"/>
    <row r="4244" hidden="1" ht="18.75" customFormat="1" customHeight="1" s="311"/>
    <row r="4245" hidden="1" ht="18.75" customFormat="1" customHeight="1" s="311"/>
    <row r="4246" hidden="1" ht="18.75" customFormat="1" customHeight="1" s="311"/>
    <row r="4247" hidden="1" ht="18.75" customFormat="1" customHeight="1" s="311"/>
    <row r="4248" hidden="1" ht="18.75" customFormat="1" customHeight="1" s="311"/>
    <row r="4249" hidden="1" ht="18.75" customFormat="1" customHeight="1" s="311"/>
    <row r="4250" hidden="1" ht="18.75" customFormat="1" customHeight="1" s="311"/>
    <row r="4251" hidden="1" ht="18.75" customFormat="1" customHeight="1" s="311"/>
    <row r="4252" hidden="1" ht="18.75" customFormat="1" customHeight="1" s="311"/>
    <row r="4253" hidden="1" ht="18.75" customFormat="1" customHeight="1" s="311"/>
    <row r="4254" hidden="1" ht="18.75" customFormat="1" customHeight="1" s="311"/>
    <row r="4255" hidden="1" ht="18.75" customFormat="1" customHeight="1" s="311"/>
    <row r="4256" hidden="1" ht="18.75" customFormat="1" customHeight="1" s="311"/>
    <row r="4257" hidden="1" ht="18.75" customFormat="1" customHeight="1" s="311"/>
    <row r="4258" hidden="1" ht="18.75" customFormat="1" customHeight="1" s="311"/>
    <row r="4259" hidden="1" ht="18.75" customFormat="1" customHeight="1" s="311"/>
    <row r="4260" hidden="1" ht="18.75" customFormat="1" customHeight="1" s="311"/>
    <row r="4261" hidden="1" ht="18.75" customFormat="1" customHeight="1" s="311"/>
    <row r="4262" hidden="1" ht="18.75" customFormat="1" customHeight="1" s="311"/>
    <row r="4263" hidden="1" ht="18.75" customFormat="1" customHeight="1" s="311"/>
    <row r="4264" hidden="1" ht="18.75" customFormat="1" customHeight="1" s="311"/>
    <row r="4265" hidden="1" ht="18.75" customFormat="1" customHeight="1" s="311"/>
    <row r="4266" hidden="1" ht="18.75" customFormat="1" customHeight="1" s="311"/>
    <row r="4267" hidden="1" ht="18.75" customFormat="1" customHeight="1" s="311"/>
    <row r="4268" hidden="1" ht="18.75" customFormat="1" customHeight="1" s="311"/>
    <row r="4269" hidden="1" ht="18.75" customFormat="1" customHeight="1" s="311"/>
    <row r="4270" hidden="1" ht="18.75" customFormat="1" customHeight="1" s="311"/>
    <row r="4271" hidden="1" ht="18.75" customFormat="1" customHeight="1" s="311"/>
    <row r="4272" hidden="1" ht="18.75" customFormat="1" customHeight="1" s="311"/>
    <row r="4273" hidden="1" ht="18.75" customFormat="1" customHeight="1" s="311"/>
    <row r="4274" hidden="1" ht="18.75" customFormat="1" customHeight="1" s="311"/>
    <row r="4275" hidden="1" ht="18.75" customFormat="1" customHeight="1" s="311"/>
    <row r="4276" hidden="1" ht="18.75" customFormat="1" customHeight="1" s="311"/>
    <row r="4277" hidden="1" ht="18.75" customFormat="1" customHeight="1" s="311"/>
    <row r="4278" hidden="1" ht="18.75" customFormat="1" customHeight="1" s="311"/>
    <row r="4279" hidden="1" ht="18.75" customFormat="1" customHeight="1" s="311"/>
    <row r="4280" hidden="1" ht="18.75" customFormat="1" customHeight="1" s="311"/>
    <row r="4281" hidden="1" ht="18.75" customFormat="1" customHeight="1" s="311"/>
    <row r="4282" hidden="1" ht="18.75" customFormat="1" customHeight="1" s="311"/>
    <row r="4283" hidden="1" ht="18.75" customFormat="1" customHeight="1" s="311"/>
    <row r="4284" hidden="1" ht="18.75" customFormat="1" customHeight="1" s="311"/>
    <row r="4285" hidden="1" ht="18.75" customFormat="1" customHeight="1" s="311"/>
    <row r="4286" hidden="1" ht="18.75" customFormat="1" customHeight="1" s="311"/>
    <row r="4287" hidden="1" ht="18.75" customFormat="1" customHeight="1" s="311"/>
    <row r="4288" hidden="1" ht="18.75" customFormat="1" customHeight="1" s="311"/>
    <row r="4289" hidden="1" ht="18.75" customFormat="1" customHeight="1" s="311"/>
    <row r="4290" hidden="1" ht="18.75" customFormat="1" customHeight="1" s="311"/>
    <row r="4291" hidden="1" ht="18.75" customFormat="1" customHeight="1" s="311"/>
    <row r="4292" hidden="1" ht="18.75" customFormat="1" customHeight="1" s="311"/>
    <row r="4293" hidden="1" ht="18.75" customFormat="1" customHeight="1" s="311"/>
    <row r="4294" hidden="1" ht="18.75" customFormat="1" customHeight="1" s="311"/>
    <row r="4295" hidden="1" ht="18.75" customFormat="1" customHeight="1" s="311"/>
    <row r="4296" hidden="1" ht="18.75" customFormat="1" customHeight="1" s="311"/>
    <row r="4297" hidden="1" ht="18.75" customFormat="1" customHeight="1" s="311"/>
    <row r="4298" hidden="1" ht="18.75" customFormat="1" customHeight="1" s="311"/>
    <row r="4299" hidden="1" ht="18.75" customFormat="1" customHeight="1" s="311"/>
    <row r="4300" hidden="1" ht="18.75" customFormat="1" customHeight="1" s="311"/>
    <row r="4301" hidden="1" ht="18.75" customFormat="1" customHeight="1" s="311"/>
    <row r="4302" hidden="1" ht="18.75" customFormat="1" customHeight="1" s="311"/>
    <row r="4303" hidden="1" ht="18.75" customFormat="1" customHeight="1" s="311"/>
    <row r="4304" hidden="1" ht="18.75" customFormat="1" customHeight="1" s="311"/>
    <row r="4305" hidden="1" ht="18.75" customFormat="1" customHeight="1" s="311"/>
    <row r="4306" hidden="1" ht="18.75" customFormat="1" customHeight="1" s="311"/>
    <row r="4307" hidden="1" ht="18.75" customFormat="1" customHeight="1" s="311"/>
    <row r="4308" hidden="1" ht="18.75" customFormat="1" customHeight="1" s="311"/>
    <row r="4309" hidden="1" ht="18.75" customFormat="1" customHeight="1" s="311"/>
    <row r="4310" hidden="1" ht="18.75" customFormat="1" customHeight="1" s="311"/>
    <row r="4311" hidden="1" ht="18.75" customFormat="1" customHeight="1" s="311"/>
    <row r="4312" hidden="1" ht="18.75" customFormat="1" customHeight="1" s="311"/>
    <row r="4313" hidden="1" ht="18.75" customFormat="1" customHeight="1" s="311"/>
    <row r="4314" hidden="1" ht="18.75" customFormat="1" customHeight="1" s="311"/>
    <row r="4315" hidden="1" ht="18.75" customFormat="1" customHeight="1" s="311"/>
    <row r="4316" hidden="1" ht="18.75" customFormat="1" customHeight="1" s="311"/>
    <row r="4317" hidden="1" ht="18.75" customFormat="1" customHeight="1" s="311"/>
    <row r="4318" hidden="1" ht="18.75" customFormat="1" customHeight="1" s="311"/>
    <row r="4319" hidden="1" ht="18.75" customFormat="1" customHeight="1" s="311"/>
    <row r="4320" hidden="1" ht="18.75" customFormat="1" customHeight="1" s="311"/>
    <row r="4321" hidden="1" ht="18.75" customFormat="1" customHeight="1" s="311"/>
    <row r="4322" hidden="1" ht="18.75" customFormat="1" customHeight="1" s="311"/>
    <row r="4323" hidden="1" ht="18.75" customFormat="1" customHeight="1" s="311"/>
    <row r="4324" hidden="1" ht="18.75" customFormat="1" customHeight="1" s="311"/>
    <row r="4325" hidden="1" ht="18.75" customFormat="1" customHeight="1" s="311"/>
    <row r="4326" hidden="1" ht="18.75" customFormat="1" customHeight="1" s="311"/>
    <row r="4327" hidden="1" ht="18.75" customFormat="1" customHeight="1" s="311"/>
    <row r="4328" hidden="1" ht="18.75" customFormat="1" customHeight="1" s="311"/>
    <row r="4329" hidden="1" ht="18.75" customFormat="1" customHeight="1" s="311"/>
    <row r="4330" hidden="1" ht="18.75" customFormat="1" customHeight="1" s="311"/>
    <row r="4331" hidden="1" ht="18.75" customFormat="1" customHeight="1" s="311"/>
    <row r="4332" hidden="1" ht="18.75" customFormat="1" customHeight="1" s="311"/>
    <row r="4333" hidden="1" ht="18.75" customFormat="1" customHeight="1" s="311"/>
    <row r="4334" hidden="1" ht="18.75" customFormat="1" customHeight="1" s="311"/>
    <row r="4335" hidden="1" ht="18.75" customFormat="1" customHeight="1" s="311"/>
    <row r="4336" hidden="1" ht="18.75" customFormat="1" customHeight="1" s="311"/>
    <row r="4337" hidden="1" ht="18.75" customFormat="1" customHeight="1" s="311"/>
    <row r="4338" hidden="1" ht="18.75" customFormat="1" customHeight="1" s="311"/>
    <row r="4339" hidden="1" ht="18.75" customFormat="1" customHeight="1" s="311"/>
    <row r="4340" hidden="1" ht="18.75" customFormat="1" customHeight="1" s="311"/>
    <row r="4341" hidden="1" ht="18.75" customFormat="1" customHeight="1" s="311"/>
    <row r="4342" hidden="1" ht="18.75" customFormat="1" customHeight="1" s="311"/>
    <row r="4343" hidden="1" ht="18.75" customFormat="1" customHeight="1" s="311"/>
    <row r="4344" hidden="1" ht="18.75" customFormat="1" customHeight="1" s="311"/>
    <row r="4345" hidden="1" ht="18.75" customFormat="1" customHeight="1" s="311"/>
    <row r="4346" hidden="1" ht="18.75" customFormat="1" customHeight="1" s="311"/>
    <row r="4347" hidden="1" ht="18.75" customFormat="1" customHeight="1" s="311"/>
    <row r="4348" hidden="1" ht="18.75" customFormat="1" customHeight="1" s="311"/>
    <row r="4349" hidden="1" ht="18.75" customFormat="1" customHeight="1" s="311"/>
    <row r="4350" hidden="1" ht="18.75" customFormat="1" customHeight="1" s="311"/>
    <row r="4351" hidden="1" ht="18.75" customFormat="1" customHeight="1" s="311"/>
    <row r="4352" hidden="1" ht="18.75" customFormat="1" customHeight="1" s="311"/>
    <row r="4353" hidden="1" ht="18.75" customFormat="1" customHeight="1" s="311"/>
    <row r="4354" hidden="1" ht="18.75" customFormat="1" customHeight="1" s="311"/>
    <row r="4355" hidden="1" ht="18.75" customFormat="1" customHeight="1" s="311"/>
    <row r="4356" hidden="1" ht="18.75" customFormat="1" customHeight="1" s="311"/>
    <row r="4357" hidden="1" ht="18.75" customFormat="1" customHeight="1" s="311"/>
    <row r="4358" hidden="1" ht="18.75" customFormat="1" customHeight="1" s="311"/>
    <row r="4359" hidden="1" ht="18.75" customFormat="1" customHeight="1" s="311"/>
    <row r="4360" hidden="1" ht="18.75" customFormat="1" customHeight="1" s="311"/>
    <row r="4361" hidden="1" ht="18.75" customFormat="1" customHeight="1" s="311"/>
    <row r="4362" hidden="1" ht="18.75" customFormat="1" customHeight="1" s="311"/>
    <row r="4363" hidden="1" ht="18.75" customFormat="1" customHeight="1" s="311"/>
    <row r="4364" hidden="1" ht="18.75" customFormat="1" customHeight="1" s="311"/>
    <row r="4365" hidden="1" ht="18.75" customFormat="1" customHeight="1" s="311"/>
    <row r="4366" hidden="1" ht="18.75" customFormat="1" customHeight="1" s="311"/>
    <row r="4367" hidden="1" ht="18.75" customFormat="1" customHeight="1" s="311"/>
    <row r="4368" hidden="1" ht="18.75" customFormat="1" customHeight="1" s="311"/>
    <row r="4369" hidden="1" ht="18.75" customFormat="1" customHeight="1" s="311"/>
    <row r="4370" hidden="1" ht="18.75" customFormat="1" customHeight="1" s="311"/>
    <row r="4371" hidden="1" ht="18.75" customFormat="1" customHeight="1" s="311"/>
    <row r="4372" hidden="1" ht="18.75" customFormat="1" customHeight="1" s="311"/>
    <row r="4373" hidden="1" ht="18.75" customFormat="1" customHeight="1" s="311"/>
    <row r="4374" hidden="1" ht="18.75" customFormat="1" customHeight="1" s="311"/>
    <row r="4375" hidden="1" ht="18.75" customFormat="1" customHeight="1" s="311"/>
    <row r="4376" hidden="1" ht="18.75" customFormat="1" customHeight="1" s="311"/>
    <row r="4377" hidden="1" ht="18.75" customFormat="1" customHeight="1" s="311"/>
    <row r="4378" hidden="1" ht="18.75" customFormat="1" customHeight="1" s="311"/>
    <row r="4379" hidden="1" ht="18.75" customFormat="1" customHeight="1" s="311"/>
    <row r="4380" hidden="1" ht="18.75" customFormat="1" customHeight="1" s="311"/>
    <row r="4381" hidden="1" ht="18.75" customFormat="1" customHeight="1" s="311"/>
    <row r="4382" hidden="1" ht="18.75" customFormat="1" customHeight="1" s="311"/>
    <row r="4383" hidden="1" ht="18.75" customFormat="1" customHeight="1" s="311"/>
    <row r="4384" hidden="1" ht="18.75" customFormat="1" customHeight="1" s="311"/>
    <row r="4385" hidden="1" ht="18.75" customFormat="1" customHeight="1" s="311"/>
    <row r="4386" hidden="1" ht="18.75" customFormat="1" customHeight="1" s="311"/>
    <row r="4387" hidden="1" ht="18.75" customFormat="1" customHeight="1" s="311"/>
    <row r="4388" hidden="1" ht="18.75" customFormat="1" customHeight="1" s="311"/>
    <row r="4389" hidden="1" ht="18.75" customFormat="1" customHeight="1" s="311"/>
    <row r="4390" hidden="1" ht="18.75" customFormat="1" customHeight="1" s="311"/>
    <row r="4391" hidden="1" ht="18.75" customFormat="1" customHeight="1" s="311"/>
    <row r="4392" hidden="1" ht="18.75" customFormat="1" customHeight="1" s="311"/>
    <row r="4393" hidden="1" ht="18.75" customFormat="1" customHeight="1" s="311"/>
    <row r="4394" hidden="1" ht="18.75" customFormat="1" customHeight="1" s="311"/>
    <row r="4395" hidden="1" ht="18.75" customFormat="1" customHeight="1" s="311"/>
    <row r="4396" hidden="1" ht="18.75" customFormat="1" customHeight="1" s="311"/>
    <row r="4397" hidden="1" ht="18.75" customFormat="1" customHeight="1" s="311"/>
    <row r="4398" hidden="1" ht="18.75" customFormat="1" customHeight="1" s="311"/>
    <row r="4399" hidden="1" ht="18.75" customFormat="1" customHeight="1" s="311"/>
    <row r="4400" hidden="1" ht="18.75" customFormat="1" customHeight="1" s="311"/>
    <row r="4401" hidden="1" ht="18.75" customFormat="1" customHeight="1" s="311"/>
    <row r="4402" hidden="1" ht="18.75" customFormat="1" customHeight="1" s="311"/>
    <row r="4403" hidden="1" ht="18.75" customFormat="1" customHeight="1" s="311"/>
    <row r="4404" hidden="1" ht="18.75" customFormat="1" customHeight="1" s="311"/>
    <row r="4405" hidden="1" ht="18.75" customFormat="1" customHeight="1" s="311"/>
    <row r="4406" hidden="1" ht="18.75" customFormat="1" customHeight="1" s="311"/>
    <row r="4407" hidden="1" ht="18.75" customFormat="1" customHeight="1" s="311"/>
    <row r="4408" hidden="1" ht="18.75" customFormat="1" customHeight="1" s="311"/>
    <row r="4409" hidden="1" ht="18.75" customFormat="1" customHeight="1" s="311"/>
    <row r="4410" hidden="1" ht="18.75" customFormat="1" customHeight="1" s="311"/>
    <row r="4411" hidden="1" ht="18.75" customFormat="1" customHeight="1" s="311"/>
    <row r="4412" hidden="1" ht="18.75" customFormat="1" customHeight="1" s="311"/>
    <row r="4413" hidden="1" ht="18.75" customFormat="1" customHeight="1" s="311"/>
    <row r="4414" hidden="1" ht="18.75" customFormat="1" customHeight="1" s="311"/>
    <row r="4415" hidden="1" ht="18.75" customFormat="1" customHeight="1" s="311"/>
    <row r="4416" hidden="1" ht="18.75" customFormat="1" customHeight="1" s="311"/>
    <row r="4417" hidden="1" ht="18.75" customFormat="1" customHeight="1" s="311"/>
    <row r="4418" hidden="1" ht="18.75" customFormat="1" customHeight="1" s="311"/>
    <row r="4419" hidden="1" ht="18.75" customFormat="1" customHeight="1" s="311"/>
    <row r="4420" hidden="1" ht="18.75" customFormat="1" customHeight="1" s="311"/>
    <row r="4421" hidden="1" ht="18.75" customFormat="1" customHeight="1" s="311"/>
    <row r="4422" hidden="1" ht="18.75" customFormat="1" customHeight="1" s="311"/>
    <row r="4423" hidden="1" ht="18.75" customFormat="1" customHeight="1" s="311"/>
    <row r="4424" hidden="1" ht="18.75" customFormat="1" customHeight="1" s="311"/>
    <row r="4425" hidden="1" ht="18.75" customFormat="1" customHeight="1" s="311"/>
    <row r="4426" hidden="1" ht="18.75" customFormat="1" customHeight="1" s="311"/>
    <row r="4427" hidden="1" ht="18.75" customFormat="1" customHeight="1" s="311"/>
    <row r="4428" hidden="1" ht="18.75" customFormat="1" customHeight="1" s="311"/>
    <row r="4429" hidden="1" ht="18.75" customFormat="1" customHeight="1" s="311"/>
    <row r="4430" hidden="1" ht="18.75" customFormat="1" customHeight="1" s="311"/>
    <row r="4431" hidden="1" ht="18.75" customFormat="1" customHeight="1" s="311"/>
    <row r="4432" hidden="1" ht="18.75" customFormat="1" customHeight="1" s="311"/>
    <row r="4433" hidden="1" ht="18.75" customFormat="1" customHeight="1" s="311"/>
    <row r="4434" hidden="1" ht="18.75" customFormat="1" customHeight="1" s="311"/>
    <row r="4435" hidden="1" ht="18.75" customFormat="1" customHeight="1" s="311"/>
    <row r="4436" hidden="1" ht="18.75" customFormat="1" customHeight="1" s="311"/>
    <row r="4437" hidden="1" ht="18.75" customFormat="1" customHeight="1" s="311"/>
    <row r="4438" hidden="1" ht="18.75" customFormat="1" customHeight="1" s="311"/>
    <row r="4439" hidden="1" ht="18.75" customFormat="1" customHeight="1" s="311"/>
    <row r="4440" hidden="1" ht="18.75" customFormat="1" customHeight="1" s="311"/>
    <row r="4441" hidden="1" ht="18.75" customFormat="1" customHeight="1" s="311"/>
    <row r="4442" hidden="1" ht="18.75" customFormat="1" customHeight="1" s="311"/>
    <row r="4443" hidden="1" ht="18.75" customFormat="1" customHeight="1" s="311"/>
    <row r="4444" hidden="1" ht="18.75" customFormat="1" customHeight="1" s="311"/>
    <row r="4445" hidden="1" ht="18.75" customFormat="1" customHeight="1" s="311"/>
    <row r="4446" hidden="1" ht="18.75" customFormat="1" customHeight="1" s="311"/>
    <row r="4447" hidden="1" ht="18.75" customFormat="1" customHeight="1" s="311"/>
    <row r="4448" hidden="1" ht="18.75" customFormat="1" customHeight="1" s="311"/>
    <row r="4449" hidden="1" ht="18.75" customFormat="1" customHeight="1" s="311"/>
    <row r="4450" hidden="1" ht="18.75" customFormat="1" customHeight="1" s="311"/>
    <row r="4451" hidden="1" ht="18.75" customFormat="1" customHeight="1" s="311"/>
    <row r="4452" hidden="1" ht="18.75" customFormat="1" customHeight="1" s="311"/>
    <row r="4453" hidden="1" ht="18.75" customFormat="1" customHeight="1" s="311"/>
    <row r="4454" hidden="1" ht="18.75" customFormat="1" customHeight="1" s="311"/>
    <row r="4455" hidden="1" ht="18.75" customFormat="1" customHeight="1" s="311"/>
    <row r="4456" hidden="1" ht="18.75" customFormat="1" customHeight="1" s="311"/>
    <row r="4457" hidden="1" ht="18.75" customFormat="1" customHeight="1" s="311"/>
    <row r="4458" hidden="1" ht="18.75" customFormat="1" customHeight="1" s="311"/>
    <row r="4459" hidden="1" ht="18.75" customFormat="1" customHeight="1" s="311"/>
    <row r="4460" hidden="1" ht="18.75" customFormat="1" customHeight="1" s="311"/>
    <row r="4461" hidden="1" ht="18.75" customFormat="1" customHeight="1" s="311"/>
    <row r="4462" hidden="1" ht="18.75" customFormat="1" customHeight="1" s="311"/>
    <row r="4463" hidden="1" ht="18.75" customFormat="1" customHeight="1" s="311"/>
    <row r="4464" hidden="1" ht="18.75" customFormat="1" customHeight="1" s="311"/>
    <row r="4465" hidden="1" ht="18.75" customFormat="1" customHeight="1" s="311"/>
    <row r="4466" hidden="1" ht="18.75" customFormat="1" customHeight="1" s="311"/>
    <row r="4467" hidden="1" ht="18.75" customFormat="1" customHeight="1" s="311"/>
    <row r="4468" hidden="1" ht="18.75" customFormat="1" customHeight="1" s="311"/>
    <row r="4469" hidden="1" ht="18.75" customFormat="1" customHeight="1" s="311"/>
    <row r="4470" hidden="1" ht="18.75" customFormat="1" customHeight="1" s="311"/>
    <row r="4471" hidden="1" ht="18.75" customFormat="1" customHeight="1" s="311"/>
    <row r="4472" hidden="1" ht="18.75" customFormat="1" customHeight="1" s="311"/>
    <row r="4473" hidden="1" ht="18.75" customFormat="1" customHeight="1" s="311"/>
    <row r="4474" hidden="1" ht="18.75" customFormat="1" customHeight="1" s="311"/>
    <row r="4475" hidden="1" ht="18.75" customFormat="1" customHeight="1" s="311"/>
    <row r="4476" hidden="1" ht="18.75" customFormat="1" customHeight="1" s="311"/>
    <row r="4477" hidden="1" ht="18.75" customFormat="1" customHeight="1" s="311"/>
    <row r="4478" hidden="1" ht="18.75" customFormat="1" customHeight="1" s="311"/>
    <row r="4479" hidden="1" ht="18.75" customFormat="1" customHeight="1" s="311"/>
    <row r="4480" hidden="1" ht="18.75" customFormat="1" customHeight="1" s="311"/>
    <row r="4481" hidden="1" ht="18.75" customFormat="1" customHeight="1" s="311"/>
    <row r="4482" hidden="1" ht="18.75" customFormat="1" customHeight="1" s="311"/>
    <row r="4483" hidden="1" ht="18.75" customFormat="1" customHeight="1" s="311"/>
    <row r="4484" hidden="1" ht="18.75" customFormat="1" customHeight="1" s="311"/>
    <row r="4485" hidden="1" ht="18.75" customFormat="1" customHeight="1" s="311"/>
    <row r="4486" hidden="1" ht="18.75" customFormat="1" customHeight="1" s="311"/>
    <row r="4487" hidden="1" ht="18.75" customFormat="1" customHeight="1" s="311"/>
    <row r="4488" hidden="1" ht="18.75" customFormat="1" customHeight="1" s="311"/>
    <row r="4489" hidden="1" ht="18.75" customFormat="1" customHeight="1" s="311"/>
    <row r="4490" hidden="1" ht="18.75" customFormat="1" customHeight="1" s="311"/>
    <row r="4491" hidden="1" ht="18.75" customFormat="1" customHeight="1" s="311"/>
    <row r="4492" hidden="1" ht="18.75" customFormat="1" customHeight="1" s="311"/>
    <row r="4493" hidden="1" ht="18.75" customFormat="1" customHeight="1" s="311"/>
    <row r="4494" hidden="1" ht="18.75" customFormat="1" customHeight="1" s="311"/>
    <row r="4495" hidden="1" ht="18.75" customFormat="1" customHeight="1" s="311"/>
    <row r="4496" hidden="1" ht="18.75" customFormat="1" customHeight="1" s="311"/>
    <row r="4497" hidden="1" ht="18.75" customFormat="1" customHeight="1" s="311"/>
    <row r="4498" hidden="1" ht="18.75" customFormat="1" customHeight="1" s="311"/>
    <row r="4499" hidden="1" ht="18.75" customFormat="1" customHeight="1" s="311"/>
    <row r="4500" hidden="1" ht="18.75" customFormat="1" customHeight="1" s="311"/>
    <row r="4501" hidden="1" ht="18.75" customFormat="1" customHeight="1" s="311"/>
    <row r="4502" hidden="1" ht="18.75" customFormat="1" customHeight="1" s="311"/>
    <row r="4503" hidden="1" ht="18.75" customFormat="1" customHeight="1" s="311"/>
    <row r="4504" hidden="1" ht="18.75" customFormat="1" customHeight="1" s="311"/>
    <row r="4505" hidden="1" ht="18.75" customFormat="1" customHeight="1" s="311"/>
    <row r="4506" hidden="1" ht="18.75" customFormat="1" customHeight="1" s="311"/>
    <row r="4507" hidden="1" ht="18.75" customFormat="1" customHeight="1" s="311"/>
    <row r="4508" hidden="1" ht="18.75" customFormat="1" customHeight="1" s="311"/>
    <row r="4509" hidden="1" ht="18.75" customFormat="1" customHeight="1" s="311"/>
    <row r="4510" hidden="1" ht="18.75" customFormat="1" customHeight="1" s="311"/>
    <row r="4511" hidden="1" ht="18.75" customFormat="1" customHeight="1" s="311"/>
    <row r="4512" hidden="1" ht="18.75" customFormat="1" customHeight="1" s="311"/>
    <row r="4513" hidden="1" ht="18.75" customFormat="1" customHeight="1" s="311"/>
    <row r="4514" hidden="1" ht="18.75" customFormat="1" customHeight="1" s="311"/>
    <row r="4515" hidden="1" ht="18.75" customFormat="1" customHeight="1" s="311"/>
    <row r="4516" hidden="1" ht="18.75" customFormat="1" customHeight="1" s="311"/>
    <row r="4517" hidden="1" ht="18.75" customFormat="1" customHeight="1" s="311"/>
    <row r="4518" hidden="1" ht="18.75" customFormat="1" customHeight="1" s="311"/>
    <row r="4519" hidden="1" ht="18.75" customFormat="1" customHeight="1" s="311"/>
    <row r="4520" hidden="1" ht="18.75" customFormat="1" customHeight="1" s="311"/>
    <row r="4521" hidden="1" ht="18.75" customFormat="1" customHeight="1" s="311"/>
    <row r="4522" hidden="1" ht="18.75" customFormat="1" customHeight="1" s="311"/>
    <row r="4523" hidden="1" ht="18.75" customFormat="1" customHeight="1" s="311"/>
    <row r="4524" hidden="1" ht="18.75" customFormat="1" customHeight="1" s="311"/>
    <row r="4525" hidden="1" ht="18.75" customFormat="1" customHeight="1" s="311"/>
    <row r="4526" hidden="1" ht="18.75" customFormat="1" customHeight="1" s="311"/>
    <row r="4527" hidden="1" ht="18.75" customFormat="1" customHeight="1" s="311"/>
    <row r="4528" hidden="1" ht="18.75" customFormat="1" customHeight="1" s="311"/>
    <row r="4529" hidden="1" ht="18.75" customFormat="1" customHeight="1" s="311"/>
    <row r="4530" hidden="1" ht="18.75" customFormat="1" customHeight="1" s="311"/>
    <row r="4531" hidden="1" ht="18.75" customFormat="1" customHeight="1" s="311"/>
    <row r="4532" hidden="1" ht="18.75" customFormat="1" customHeight="1" s="311"/>
    <row r="4533" hidden="1" ht="18.75" customFormat="1" customHeight="1" s="311"/>
    <row r="4534" hidden="1" ht="18.75" customFormat="1" customHeight="1" s="311"/>
    <row r="4535" hidden="1" ht="18.75" customFormat="1" customHeight="1" s="311"/>
    <row r="4536" hidden="1" ht="18.75" customFormat="1" customHeight="1" s="311"/>
    <row r="4537" hidden="1" ht="18.75" customFormat="1" customHeight="1" s="311"/>
    <row r="4538" hidden="1" ht="18.75" customFormat="1" customHeight="1" s="311"/>
    <row r="4539" hidden="1" ht="18.75" customFormat="1" customHeight="1" s="311"/>
    <row r="4540" hidden="1" ht="18.75" customFormat="1" customHeight="1" s="311"/>
    <row r="4541" hidden="1" ht="18.75" customFormat="1" customHeight="1" s="311"/>
    <row r="4542" hidden="1" ht="18.75" customFormat="1" customHeight="1" s="311"/>
    <row r="4543" hidden="1" ht="18.75" customFormat="1" customHeight="1" s="311"/>
    <row r="4544" hidden="1" ht="18.75" customFormat="1" customHeight="1" s="311"/>
    <row r="4545" hidden="1" ht="18.75" customFormat="1" customHeight="1" s="311"/>
    <row r="4546" hidden="1" ht="18.75" customFormat="1" customHeight="1" s="311"/>
    <row r="4547" hidden="1" ht="18.75" customFormat="1" customHeight="1" s="311"/>
    <row r="4548" hidden="1" ht="18.75" customFormat="1" customHeight="1" s="311"/>
    <row r="4549" hidden="1" ht="18.75" customFormat="1" customHeight="1" s="311"/>
    <row r="4550" hidden="1" ht="18.75" customFormat="1" customHeight="1" s="311"/>
    <row r="4551" hidden="1" ht="18.75" customFormat="1" customHeight="1" s="311"/>
    <row r="4552" hidden="1" ht="18.75" customFormat="1" customHeight="1" s="311"/>
    <row r="4553" hidden="1" ht="18.75" customFormat="1" customHeight="1" s="311"/>
    <row r="4554" hidden="1" ht="18.75" customFormat="1" customHeight="1" s="311"/>
    <row r="4555" hidden="1" ht="18.75" customFormat="1" customHeight="1" s="311"/>
    <row r="4556" hidden="1" ht="18.75" customFormat="1" customHeight="1" s="311"/>
    <row r="4557" hidden="1" ht="18.75" customFormat="1" customHeight="1" s="311"/>
    <row r="4558" hidden="1" ht="18.75" customFormat="1" customHeight="1" s="311"/>
    <row r="4559" hidden="1" ht="18.75" customFormat="1" customHeight="1" s="311"/>
    <row r="4560" hidden="1" ht="18.75" customFormat="1" customHeight="1" s="311"/>
    <row r="4561" hidden="1" ht="18.75" customFormat="1" customHeight="1" s="311"/>
    <row r="4562" hidden="1" ht="18.75" customFormat="1" customHeight="1" s="311"/>
    <row r="4563" hidden="1" ht="18.75" customFormat="1" customHeight="1" s="311"/>
    <row r="4564" hidden="1" ht="18.75" customFormat="1" customHeight="1" s="311"/>
    <row r="4565" hidden="1" ht="18.75" customFormat="1" customHeight="1" s="311"/>
    <row r="4566" hidden="1" ht="18.75" customFormat="1" customHeight="1" s="311"/>
    <row r="4567" hidden="1" ht="18.75" customFormat="1" customHeight="1" s="311"/>
    <row r="4568" hidden="1" ht="18.75" customFormat="1" customHeight="1" s="311"/>
    <row r="4569" hidden="1" ht="18.75" customFormat="1" customHeight="1" s="311"/>
    <row r="4570" hidden="1" ht="18.75" customFormat="1" customHeight="1" s="311"/>
    <row r="4571" hidden="1" ht="18.75" customFormat="1" customHeight="1" s="311"/>
    <row r="4572" hidden="1" ht="18.75" customFormat="1" customHeight="1" s="311"/>
    <row r="4573" hidden="1" ht="18.75" customFormat="1" customHeight="1" s="311"/>
    <row r="4574" hidden="1" ht="18.75" customFormat="1" customHeight="1" s="311"/>
    <row r="4575" hidden="1" ht="18.75" customFormat="1" customHeight="1" s="311"/>
    <row r="4576" hidden="1" ht="18.75" customFormat="1" customHeight="1" s="311"/>
    <row r="4577" hidden="1" ht="18.75" customFormat="1" customHeight="1" s="311"/>
    <row r="4578" hidden="1" ht="18.75" customFormat="1" customHeight="1" s="311"/>
    <row r="4579" hidden="1" ht="18.75" customFormat="1" customHeight="1" s="311"/>
    <row r="4580" hidden="1" ht="18.75" customFormat="1" customHeight="1" s="311"/>
    <row r="4581" hidden="1" ht="18.75" customFormat="1" customHeight="1" s="311"/>
    <row r="4582" hidden="1" ht="18.75" customFormat="1" customHeight="1" s="311"/>
    <row r="4583" hidden="1" ht="18.75" customFormat="1" customHeight="1" s="311"/>
    <row r="4584" hidden="1" ht="18.75" customFormat="1" customHeight="1" s="311"/>
    <row r="4585" hidden="1" ht="18.75" customFormat="1" customHeight="1" s="311"/>
    <row r="4586" hidden="1" ht="18.75" customFormat="1" customHeight="1" s="311"/>
    <row r="4587" hidden="1" ht="18.75" customFormat="1" customHeight="1" s="311"/>
    <row r="4588" hidden="1" ht="18.75" customFormat="1" customHeight="1" s="311"/>
    <row r="4589" hidden="1" ht="18.75" customFormat="1" customHeight="1" s="311"/>
    <row r="4590" hidden="1" ht="18.75" customFormat="1" customHeight="1" s="311"/>
    <row r="4591" hidden="1" ht="18.75" customFormat="1" customHeight="1" s="311"/>
    <row r="4592" hidden="1" ht="18.75" customFormat="1" customHeight="1" s="311"/>
    <row r="4593" hidden="1" ht="18.75" customFormat="1" customHeight="1" s="311"/>
    <row r="4594" hidden="1" ht="18.75" customFormat="1" customHeight="1" s="311"/>
    <row r="4595" hidden="1" ht="18.75" customFormat="1" customHeight="1" s="311"/>
    <row r="4596" hidden="1" ht="18.75" customFormat="1" customHeight="1" s="311"/>
    <row r="4597" hidden="1" ht="18.75" customFormat="1" customHeight="1" s="311"/>
    <row r="4598" hidden="1" ht="18.75" customFormat="1" customHeight="1" s="311"/>
    <row r="4599" hidden="1" ht="18.75" customFormat="1" customHeight="1" s="311"/>
    <row r="4600" hidden="1" ht="18.75" customFormat="1" customHeight="1" s="311"/>
    <row r="4601" hidden="1" ht="18.75" customFormat="1" customHeight="1" s="311"/>
    <row r="4602" hidden="1" ht="18.75" customFormat="1" customHeight="1" s="311"/>
    <row r="4603" hidden="1" ht="18.75" customFormat="1" customHeight="1" s="311"/>
    <row r="4604" hidden="1" ht="18.75" customFormat="1" customHeight="1" s="311"/>
    <row r="4605" hidden="1" ht="18.75" customFormat="1" customHeight="1" s="311"/>
    <row r="4606" hidden="1" ht="18.75" customFormat="1" customHeight="1" s="311"/>
    <row r="4607" hidden="1" ht="18.75" customFormat="1" customHeight="1" s="311"/>
    <row r="4608" hidden="1" ht="18.75" customFormat="1" customHeight="1" s="311"/>
    <row r="4609" hidden="1" ht="18.75" customFormat="1" customHeight="1" s="311"/>
    <row r="4610" hidden="1" ht="18.75" customFormat="1" customHeight="1" s="311"/>
    <row r="4611" hidden="1" ht="18.75" customFormat="1" customHeight="1" s="311"/>
    <row r="4612" hidden="1" ht="18.75" customFormat="1" customHeight="1" s="311"/>
    <row r="4613" hidden="1" ht="18.75" customFormat="1" customHeight="1" s="311"/>
    <row r="4614" hidden="1" ht="18.75" customFormat="1" customHeight="1" s="311"/>
    <row r="4615" hidden="1" ht="18.75" customFormat="1" customHeight="1" s="311"/>
    <row r="4616" hidden="1" ht="18.75" customFormat="1" customHeight="1" s="311"/>
    <row r="4617" hidden="1" ht="18.75" customFormat="1" customHeight="1" s="311"/>
    <row r="4618" hidden="1" ht="18.75" customFormat="1" customHeight="1" s="311"/>
    <row r="4619" hidden="1" ht="18.75" customFormat="1" customHeight="1" s="311"/>
    <row r="4620" hidden="1" ht="18.75" customFormat="1" customHeight="1" s="311"/>
    <row r="4621" hidden="1" ht="18.75" customFormat="1" customHeight="1" s="311"/>
    <row r="4622" hidden="1" ht="18.75" customFormat="1" customHeight="1" s="311"/>
    <row r="4623" hidden="1" ht="18.75" customFormat="1" customHeight="1" s="311"/>
    <row r="4624" hidden="1" ht="18.75" customFormat="1" customHeight="1" s="311"/>
    <row r="4625" hidden="1" ht="18.75" customFormat="1" customHeight="1" s="311"/>
    <row r="4626" hidden="1" ht="18.75" customFormat="1" customHeight="1" s="311"/>
    <row r="4627" hidden="1" ht="18.75" customFormat="1" customHeight="1" s="311"/>
    <row r="4628" hidden="1" ht="18.75" customFormat="1" customHeight="1" s="311"/>
    <row r="4629" hidden="1" ht="18.75" customFormat="1" customHeight="1" s="311"/>
    <row r="4630" hidden="1" ht="18.75" customFormat="1" customHeight="1" s="311"/>
    <row r="4631" hidden="1" ht="18.75" customFormat="1" customHeight="1" s="311"/>
    <row r="4632" hidden="1" ht="18.75" customFormat="1" customHeight="1" s="311"/>
    <row r="4633" hidden="1" ht="18.75" customFormat="1" customHeight="1" s="311"/>
    <row r="4634" hidden="1" ht="18.75" customFormat="1" customHeight="1" s="311"/>
    <row r="4635" hidden="1" ht="18.75" customFormat="1" customHeight="1" s="311"/>
    <row r="4636" hidden="1" ht="18.75" customFormat="1" customHeight="1" s="311"/>
    <row r="4637" hidden="1" ht="18.75" customFormat="1" customHeight="1" s="311"/>
    <row r="4638" hidden="1" ht="18.75" customFormat="1" customHeight="1" s="311"/>
    <row r="4639" hidden="1" ht="18.75" customFormat="1" customHeight="1" s="311"/>
    <row r="4640" hidden="1" ht="18.75" customFormat="1" customHeight="1" s="311"/>
    <row r="4641" hidden="1" ht="18.75" customFormat="1" customHeight="1" s="311"/>
    <row r="4642" hidden="1" ht="18.75" customFormat="1" customHeight="1" s="311"/>
    <row r="4643" hidden="1" ht="18.75" customFormat="1" customHeight="1" s="311"/>
    <row r="4644" hidden="1" ht="18.75" customFormat="1" customHeight="1" s="311"/>
    <row r="4645" hidden="1" ht="18.75" customFormat="1" customHeight="1" s="311"/>
    <row r="4646" hidden="1" ht="18.75" customFormat="1" customHeight="1" s="311"/>
    <row r="4647" hidden="1" ht="18.75" customFormat="1" customHeight="1" s="311"/>
    <row r="4648" hidden="1" ht="18.75" customFormat="1" customHeight="1" s="311"/>
    <row r="4649" hidden="1" ht="18.75" customFormat="1" customHeight="1" s="311"/>
    <row r="4650" hidden="1" ht="18.75" customFormat="1" customHeight="1" s="311"/>
    <row r="4651" hidden="1" ht="18.75" customFormat="1" customHeight="1" s="311"/>
    <row r="4652" hidden="1" ht="18.75" customFormat="1" customHeight="1" s="311"/>
    <row r="4653" hidden="1" ht="18.75" customFormat="1" customHeight="1" s="311"/>
    <row r="4654" hidden="1" ht="18.75" customFormat="1" customHeight="1" s="311"/>
    <row r="4655" hidden="1" ht="18.75" customFormat="1" customHeight="1" s="311"/>
    <row r="4656" hidden="1" ht="18.75" customFormat="1" customHeight="1" s="311"/>
    <row r="4657" hidden="1" ht="18.75" customFormat="1" customHeight="1" s="311"/>
    <row r="4658" hidden="1" ht="18.75" customFormat="1" customHeight="1" s="311"/>
    <row r="4659" hidden="1" ht="18.75" customFormat="1" customHeight="1" s="311"/>
    <row r="4660" hidden="1" ht="18.75" customFormat="1" customHeight="1" s="311"/>
    <row r="4661" hidden="1" ht="18.75" customFormat="1" customHeight="1" s="311"/>
    <row r="4662" hidden="1" ht="18.75" customFormat="1" customHeight="1" s="311"/>
    <row r="4663" hidden="1" ht="18.75" customFormat="1" customHeight="1" s="311"/>
    <row r="4664" hidden="1" ht="18.75" customFormat="1" customHeight="1" s="311"/>
    <row r="4665" hidden="1" ht="18.75" customFormat="1" customHeight="1" s="311"/>
    <row r="4666" hidden="1" ht="18.75" customFormat="1" customHeight="1" s="311"/>
    <row r="4667" hidden="1" ht="18.75" customFormat="1" customHeight="1" s="311"/>
    <row r="4668" hidden="1" ht="18.75" customFormat="1" customHeight="1" s="311"/>
    <row r="4669" hidden="1" ht="18.75" customFormat="1" customHeight="1" s="311"/>
    <row r="4670" hidden="1" ht="18.75" customFormat="1" customHeight="1" s="311"/>
    <row r="4671" hidden="1" ht="18.75" customFormat="1" customHeight="1" s="311"/>
    <row r="4672" hidden="1" ht="18.75" customFormat="1" customHeight="1" s="311"/>
    <row r="4673" hidden="1" ht="18.75" customFormat="1" customHeight="1" s="311"/>
    <row r="4674" hidden="1" ht="18.75" customFormat="1" customHeight="1" s="311"/>
    <row r="4675" hidden="1" ht="18.75" customFormat="1" customHeight="1" s="311"/>
    <row r="4676" hidden="1" ht="18.75" customFormat="1" customHeight="1" s="311"/>
    <row r="4677" hidden="1" ht="18.75" customFormat="1" customHeight="1" s="311"/>
    <row r="4678" hidden="1" ht="18.75" customFormat="1" customHeight="1" s="311"/>
    <row r="4679" hidden="1" ht="18.75" customFormat="1" customHeight="1" s="311"/>
    <row r="4680" hidden="1" ht="18.75" customFormat="1" customHeight="1" s="311"/>
    <row r="4681" hidden="1" ht="18.75" customFormat="1" customHeight="1" s="311"/>
    <row r="4682" hidden="1" ht="18.75" customFormat="1" customHeight="1" s="311"/>
    <row r="4683" hidden="1" ht="18.75" customFormat="1" customHeight="1" s="311"/>
    <row r="4684" hidden="1" ht="18.75" customFormat="1" customHeight="1" s="311"/>
    <row r="4685" hidden="1" ht="18.75" customFormat="1" customHeight="1" s="311"/>
    <row r="4686" hidden="1" ht="18.75" customFormat="1" customHeight="1" s="311"/>
    <row r="4687" hidden="1" ht="18.75" customFormat="1" customHeight="1" s="311"/>
    <row r="4688" hidden="1" ht="18.75" customFormat="1" customHeight="1" s="311"/>
    <row r="4689" hidden="1" ht="18.75" customFormat="1" customHeight="1" s="311"/>
    <row r="4690" hidden="1" ht="18.75" customFormat="1" customHeight="1" s="311"/>
    <row r="4691" hidden="1" ht="18.75" customFormat="1" customHeight="1" s="311"/>
    <row r="4692" hidden="1" ht="18.75" customFormat="1" customHeight="1" s="311"/>
    <row r="4693" hidden="1" ht="18.75" customFormat="1" customHeight="1" s="311"/>
    <row r="4694" hidden="1" ht="18.75" customFormat="1" customHeight="1" s="311"/>
    <row r="4695" hidden="1" ht="18.75" customFormat="1" customHeight="1" s="311"/>
    <row r="4696" hidden="1" ht="18.75" customFormat="1" customHeight="1" s="311"/>
    <row r="4697" hidden="1" ht="18.75" customFormat="1" customHeight="1" s="311"/>
    <row r="4698" hidden="1" ht="18.75" customFormat="1" customHeight="1" s="311"/>
    <row r="4699" hidden="1" ht="18.75" customFormat="1" customHeight="1" s="311"/>
    <row r="4700" hidden="1" ht="18.75" customFormat="1" customHeight="1" s="311"/>
    <row r="4701" hidden="1" ht="18.75" customFormat="1" customHeight="1" s="311"/>
    <row r="4702" hidden="1" ht="18.75" customFormat="1" customHeight="1" s="311"/>
    <row r="4703" hidden="1" ht="18.75" customFormat="1" customHeight="1" s="311"/>
    <row r="4704" hidden="1" ht="18.75" customFormat="1" customHeight="1" s="311"/>
    <row r="4705" hidden="1" ht="18.75" customFormat="1" customHeight="1" s="311"/>
    <row r="4706" hidden="1" ht="18.75" customFormat="1" customHeight="1" s="311"/>
    <row r="4707" hidden="1" ht="18.75" customFormat="1" customHeight="1" s="311"/>
    <row r="4708" hidden="1" ht="18.75" customFormat="1" customHeight="1" s="311"/>
    <row r="4709" hidden="1" ht="18.75" customFormat="1" customHeight="1" s="311"/>
    <row r="4710" hidden="1" ht="18.75" customFormat="1" customHeight="1" s="311"/>
    <row r="4711" hidden="1" ht="18.75" customFormat="1" customHeight="1" s="311"/>
    <row r="4712" hidden="1" ht="18.75" customFormat="1" customHeight="1" s="311"/>
    <row r="4713" hidden="1" ht="18.75" customFormat="1" customHeight="1" s="311"/>
    <row r="4714" hidden="1" ht="18.75" customFormat="1" customHeight="1" s="311"/>
    <row r="4715" hidden="1" ht="18.75" customFormat="1" customHeight="1" s="311"/>
    <row r="4716" hidden="1" ht="18.75" customFormat="1" customHeight="1" s="311"/>
    <row r="4717" hidden="1" ht="18.75" customFormat="1" customHeight="1" s="311"/>
    <row r="4718" hidden="1" ht="18.75" customFormat="1" customHeight="1" s="311"/>
    <row r="4719" hidden="1" ht="18.75" customFormat="1" customHeight="1" s="311"/>
    <row r="4720" hidden="1" ht="18.75" customFormat="1" customHeight="1" s="311"/>
    <row r="4721" hidden="1" ht="18.75" customFormat="1" customHeight="1" s="311"/>
    <row r="4722" hidden="1" ht="18.75" customFormat="1" customHeight="1" s="311"/>
    <row r="4723" hidden="1" ht="18.75" customFormat="1" customHeight="1" s="311"/>
    <row r="4724" hidden="1" ht="18.75" customFormat="1" customHeight="1" s="311"/>
    <row r="4725" hidden="1" ht="18.75" customFormat="1" customHeight="1" s="311"/>
    <row r="4726" hidden="1" ht="18.75" customFormat="1" customHeight="1" s="311"/>
    <row r="4727" hidden="1" ht="18.75" customFormat="1" customHeight="1" s="311"/>
    <row r="4728" hidden="1" ht="18.75" customFormat="1" customHeight="1" s="311"/>
    <row r="4729" hidden="1" ht="18.75" customFormat="1" customHeight="1" s="311"/>
    <row r="4730" hidden="1" ht="18.75" customFormat="1" customHeight="1" s="311"/>
    <row r="4731" hidden="1" ht="18.75" customFormat="1" customHeight="1" s="311"/>
    <row r="4732" hidden="1" ht="18.75" customFormat="1" customHeight="1" s="311"/>
    <row r="4733" hidden="1" ht="18.75" customFormat="1" customHeight="1" s="311"/>
    <row r="4734" hidden="1" ht="18.75" customFormat="1" customHeight="1" s="311"/>
    <row r="4735" hidden="1" ht="18.75" customFormat="1" customHeight="1" s="311"/>
    <row r="4736" hidden="1" ht="18.75" customFormat="1" customHeight="1" s="311"/>
    <row r="4737" hidden="1" ht="18.75" customFormat="1" customHeight="1" s="311"/>
    <row r="4738" hidden="1" ht="18.75" customFormat="1" customHeight="1" s="311"/>
    <row r="4739" hidden="1" ht="18.75" customFormat="1" customHeight="1" s="311"/>
    <row r="4740" hidden="1" ht="18.75" customFormat="1" customHeight="1" s="311"/>
    <row r="4741" hidden="1" ht="18.75" customFormat="1" customHeight="1" s="311"/>
    <row r="4742" hidden="1" ht="18.75" customFormat="1" customHeight="1" s="311"/>
    <row r="4743" hidden="1" ht="18.75" customFormat="1" customHeight="1" s="311"/>
    <row r="4744" hidden="1" ht="18.75" customFormat="1" customHeight="1" s="311"/>
    <row r="4745" hidden="1" ht="18.75" customFormat="1" customHeight="1" s="311"/>
    <row r="4746" hidden="1" ht="18.75" customFormat="1" customHeight="1" s="311"/>
    <row r="4747" hidden="1" ht="18.75" customFormat="1" customHeight="1" s="311"/>
    <row r="4748" hidden="1" ht="18.75" customFormat="1" customHeight="1" s="311"/>
    <row r="4749" hidden="1" ht="18.75" customFormat="1" customHeight="1" s="311"/>
    <row r="4750" hidden="1" ht="18.75" customFormat="1" customHeight="1" s="311"/>
    <row r="4751" hidden="1" ht="18.75" customFormat="1" customHeight="1" s="311"/>
    <row r="4752" hidden="1" ht="18.75" customFormat="1" customHeight="1" s="311"/>
    <row r="4753" hidden="1" ht="18.75" customFormat="1" customHeight="1" s="311"/>
    <row r="4754" hidden="1" ht="18.75" customFormat="1" customHeight="1" s="311"/>
    <row r="4755" hidden="1" ht="18.75" customFormat="1" customHeight="1" s="311"/>
    <row r="4756" hidden="1" ht="18.75" customFormat="1" customHeight="1" s="311"/>
    <row r="4757" hidden="1" ht="18.75" customFormat="1" customHeight="1" s="311"/>
    <row r="4758" hidden="1" ht="18.75" customFormat="1" customHeight="1" s="311"/>
    <row r="4759" hidden="1" ht="18.75" customFormat="1" customHeight="1" s="311"/>
    <row r="4760" hidden="1" ht="18.75" customFormat="1" customHeight="1" s="311"/>
    <row r="4761" hidden="1" ht="18.75" customFormat="1" customHeight="1" s="311"/>
    <row r="4762" hidden="1" ht="18.75" customFormat="1" customHeight="1" s="311"/>
    <row r="4763" hidden="1" ht="18.75" customFormat="1" customHeight="1" s="311"/>
    <row r="4764" hidden="1" ht="18.75" customFormat="1" customHeight="1" s="311"/>
    <row r="4765" hidden="1" ht="18.75" customFormat="1" customHeight="1" s="311"/>
    <row r="4766" hidden="1" ht="18.75" customFormat="1" customHeight="1" s="311"/>
    <row r="4767" hidden="1" ht="18.75" customFormat="1" customHeight="1" s="311"/>
    <row r="4768" hidden="1" ht="18.75" customFormat="1" customHeight="1" s="311"/>
    <row r="4769" hidden="1" ht="18.75" customFormat="1" customHeight="1" s="311"/>
    <row r="4770" hidden="1" ht="18.75" customFormat="1" customHeight="1" s="311"/>
    <row r="4771" hidden="1" ht="18.75" customFormat="1" customHeight="1" s="311"/>
    <row r="4772" hidden="1" ht="18.75" customFormat="1" customHeight="1" s="311"/>
    <row r="4773" hidden="1" ht="18.75" customFormat="1" customHeight="1" s="311"/>
    <row r="4774" hidden="1" ht="18.75" customFormat="1" customHeight="1" s="311"/>
    <row r="4775" hidden="1" ht="18.75" customFormat="1" customHeight="1" s="311"/>
    <row r="4776" hidden="1" ht="18.75" customFormat="1" customHeight="1" s="311"/>
    <row r="4777" hidden="1" ht="18.75" customFormat="1" customHeight="1" s="311"/>
    <row r="4778" hidden="1" ht="18.75" customFormat="1" customHeight="1" s="311"/>
    <row r="4779" hidden="1" ht="18.75" customFormat="1" customHeight="1" s="311"/>
    <row r="4780" hidden="1" ht="18.75" customFormat="1" customHeight="1" s="311"/>
    <row r="4781" hidden="1" ht="18.75" customFormat="1" customHeight="1" s="311"/>
    <row r="4782" hidden="1" ht="18.75" customFormat="1" customHeight="1" s="311"/>
    <row r="4783" hidden="1" ht="18.75" customFormat="1" customHeight="1" s="311"/>
    <row r="4784" hidden="1" ht="18.75" customFormat="1" customHeight="1" s="311"/>
    <row r="4785" hidden="1" ht="18.75" customFormat="1" customHeight="1" s="311"/>
    <row r="4786" hidden="1" ht="18.75" customFormat="1" customHeight="1" s="311"/>
    <row r="4787" hidden="1" ht="18.75" customFormat="1" customHeight="1" s="311"/>
    <row r="4788" hidden="1" ht="18.75" customFormat="1" customHeight="1" s="311"/>
    <row r="4789" hidden="1" ht="18.75" customFormat="1" customHeight="1" s="311"/>
    <row r="4790" hidden="1" ht="18.75" customFormat="1" customHeight="1" s="311"/>
    <row r="4791" hidden="1" ht="18.75" customFormat="1" customHeight="1" s="311"/>
    <row r="4792" hidden="1" ht="18.75" customFormat="1" customHeight="1" s="311"/>
    <row r="4793" hidden="1" ht="18.75" customFormat="1" customHeight="1" s="311"/>
    <row r="4794" hidden="1" ht="18.75" customFormat="1" customHeight="1" s="311"/>
    <row r="4795" hidden="1" ht="18.75" customFormat="1" customHeight="1" s="311"/>
    <row r="4796" hidden="1" ht="18.75" customFormat="1" customHeight="1" s="311"/>
    <row r="4797" hidden="1" ht="18.75" customFormat="1" customHeight="1" s="311"/>
    <row r="4798" hidden="1" ht="18.75" customFormat="1" customHeight="1" s="311"/>
    <row r="4799" hidden="1" ht="18.75" customFormat="1" customHeight="1" s="311"/>
    <row r="4800" hidden="1" ht="18.75" customFormat="1" customHeight="1" s="311"/>
    <row r="4801" hidden="1" ht="18.75" customFormat="1" customHeight="1" s="311"/>
    <row r="4802" hidden="1" ht="18.75" customFormat="1" customHeight="1" s="311"/>
    <row r="4803" hidden="1" ht="18.75" customFormat="1" customHeight="1" s="311"/>
    <row r="4804" hidden="1" ht="18.75" customFormat="1" customHeight="1" s="311"/>
    <row r="4805" hidden="1" ht="18.75" customFormat="1" customHeight="1" s="311"/>
    <row r="4806" hidden="1" ht="18.75" customFormat="1" customHeight="1" s="311"/>
    <row r="4807" hidden="1" ht="18.75" customFormat="1" customHeight="1" s="311"/>
    <row r="4808" hidden="1" ht="18.75" customFormat="1" customHeight="1" s="311"/>
    <row r="4809" hidden="1" ht="18.75" customFormat="1" customHeight="1" s="311"/>
    <row r="4810" hidden="1" ht="18.75" customFormat="1" customHeight="1" s="311"/>
    <row r="4811" hidden="1" ht="18.75" customFormat="1" customHeight="1" s="311"/>
    <row r="4812" hidden="1" ht="18.75" customFormat="1" customHeight="1" s="311"/>
    <row r="4813" hidden="1" ht="18.75" customFormat="1" customHeight="1" s="311"/>
    <row r="4814" hidden="1" ht="18.75" customFormat="1" customHeight="1" s="311"/>
    <row r="4815" hidden="1" ht="18.75" customFormat="1" customHeight="1" s="311"/>
    <row r="4816" hidden="1" ht="18.75" customFormat="1" customHeight="1" s="311"/>
    <row r="4817" hidden="1" ht="18.75" customFormat="1" customHeight="1" s="311"/>
    <row r="4818" hidden="1" ht="18.75" customFormat="1" customHeight="1" s="311"/>
    <row r="4819" hidden="1" ht="18.75" customFormat="1" customHeight="1" s="311"/>
    <row r="4820" hidden="1" ht="18.75" customFormat="1" customHeight="1" s="311"/>
    <row r="4821" hidden="1" ht="18.75" customFormat="1" customHeight="1" s="311"/>
    <row r="4822" hidden="1" ht="18.75" customFormat="1" customHeight="1" s="311"/>
    <row r="4823" hidden="1" ht="18.75" customFormat="1" customHeight="1" s="311"/>
    <row r="4824" hidden="1" ht="18.75" customFormat="1" customHeight="1" s="311"/>
    <row r="4825" hidden="1" ht="18.75" customFormat="1" customHeight="1" s="311"/>
    <row r="4826" hidden="1" ht="18.75" customFormat="1" customHeight="1" s="311"/>
    <row r="4827" hidden="1" ht="18.75" customFormat="1" customHeight="1" s="311"/>
    <row r="4828" hidden="1" ht="18.75" customFormat="1" customHeight="1" s="311"/>
    <row r="4829" hidden="1" ht="18.75" customFormat="1" customHeight="1" s="311"/>
    <row r="4830" hidden="1" ht="18.75" customFormat="1" customHeight="1" s="311"/>
    <row r="4831" hidden="1" ht="18.75" customFormat="1" customHeight="1" s="311"/>
    <row r="4832" hidden="1" ht="18.75" customFormat="1" customHeight="1" s="311"/>
    <row r="4833" hidden="1" ht="18.75" customFormat="1" customHeight="1" s="311"/>
    <row r="4834" hidden="1" ht="18.75" customFormat="1" customHeight="1" s="311"/>
    <row r="4835" hidden="1" ht="18.75" customFormat="1" customHeight="1" s="311"/>
    <row r="4836" hidden="1" ht="18.75" customFormat="1" customHeight="1" s="311"/>
    <row r="4837" hidden="1" ht="18.75" customFormat="1" customHeight="1" s="311"/>
    <row r="4838" hidden="1" ht="18.75" customFormat="1" customHeight="1" s="311"/>
    <row r="4839" hidden="1" ht="18.75" customFormat="1" customHeight="1" s="311"/>
    <row r="4840" hidden="1" ht="18.75" customFormat="1" customHeight="1" s="311"/>
    <row r="4841" hidden="1" ht="18.75" customFormat="1" customHeight="1" s="311"/>
    <row r="4842" hidden="1" ht="18.75" customFormat="1" customHeight="1" s="311"/>
    <row r="4843" hidden="1" ht="18.75" customFormat="1" customHeight="1" s="311"/>
    <row r="4844" hidden="1" ht="18.75" customFormat="1" customHeight="1" s="311"/>
    <row r="4845" hidden="1" ht="18.75" customFormat="1" customHeight="1" s="311"/>
    <row r="4846" hidden="1" ht="18.75" customFormat="1" customHeight="1" s="311"/>
    <row r="4847" hidden="1" ht="18.75" customFormat="1" customHeight="1" s="311"/>
    <row r="4848" hidden="1" ht="18.75" customFormat="1" customHeight="1" s="311"/>
    <row r="4849" hidden="1" ht="18.75" customFormat="1" customHeight="1" s="311"/>
    <row r="4850" hidden="1" ht="18.75" customFormat="1" customHeight="1" s="311"/>
    <row r="4851" hidden="1" ht="18.75" customFormat="1" customHeight="1" s="311"/>
    <row r="4852" hidden="1" ht="18.75" customFormat="1" customHeight="1" s="311"/>
    <row r="4853" hidden="1" ht="18.75" customFormat="1" customHeight="1" s="311"/>
    <row r="4854" hidden="1" ht="18.75" customFormat="1" customHeight="1" s="311"/>
    <row r="4855" hidden="1" ht="18.75" customFormat="1" customHeight="1" s="311"/>
    <row r="4856" hidden="1" ht="18.75" customFormat="1" customHeight="1" s="311"/>
    <row r="4857" hidden="1" ht="18.75" customFormat="1" customHeight="1" s="311"/>
    <row r="4858" hidden="1" ht="18.75" customFormat="1" customHeight="1" s="311"/>
    <row r="4859" hidden="1" ht="18.75" customFormat="1" customHeight="1" s="311"/>
    <row r="4860" hidden="1" ht="18.75" customFormat="1" customHeight="1" s="311"/>
    <row r="4861" hidden="1" ht="18.75" customFormat="1" customHeight="1" s="311"/>
    <row r="4862" hidden="1" ht="18.75" customFormat="1" customHeight="1" s="311"/>
    <row r="4863" hidden="1" ht="18.75" customFormat="1" customHeight="1" s="311"/>
    <row r="4864" hidden="1" ht="18.75" customFormat="1" customHeight="1" s="311"/>
    <row r="4865" hidden="1" ht="18.75" customFormat="1" customHeight="1" s="311"/>
    <row r="4866" hidden="1" ht="18.75" customFormat="1" customHeight="1" s="311"/>
    <row r="4867" hidden="1" ht="18.75" customFormat="1" customHeight="1" s="311"/>
    <row r="4868" hidden="1" ht="18.75" customFormat="1" customHeight="1" s="311"/>
    <row r="4869" hidden="1" ht="18.75" customFormat="1" customHeight="1" s="311"/>
    <row r="4870" hidden="1" ht="18.75" customFormat="1" customHeight="1" s="311"/>
    <row r="4871" hidden="1" ht="18.75" customFormat="1" customHeight="1" s="311"/>
    <row r="4872" hidden="1" ht="18.75" customFormat="1" customHeight="1" s="311"/>
    <row r="4873" hidden="1" ht="18.75" customFormat="1" customHeight="1" s="311"/>
    <row r="4874" hidden="1" ht="18.75" customFormat="1" customHeight="1" s="311"/>
    <row r="4875" hidden="1" ht="18.75" customFormat="1" customHeight="1" s="311"/>
    <row r="4876" hidden="1" ht="18.75" customFormat="1" customHeight="1" s="311"/>
    <row r="4877" hidden="1" ht="18.75" customFormat="1" customHeight="1" s="311"/>
    <row r="4878" hidden="1" ht="18.75" customFormat="1" customHeight="1" s="311"/>
    <row r="4879" hidden="1" ht="18.75" customFormat="1" customHeight="1" s="311"/>
    <row r="4880" hidden="1" ht="18.75" customFormat="1" customHeight="1" s="311"/>
    <row r="4881" hidden="1" ht="18.75" customFormat="1" customHeight="1" s="311"/>
    <row r="4882" hidden="1" ht="18.75" customFormat="1" customHeight="1" s="311"/>
    <row r="4883" hidden="1" ht="18.75" customFormat="1" customHeight="1" s="311"/>
    <row r="4884" hidden="1" ht="18.75" customFormat="1" customHeight="1" s="311"/>
    <row r="4885" hidden="1" ht="18.75" customFormat="1" customHeight="1" s="311"/>
    <row r="4886" hidden="1" ht="18.75" customFormat="1" customHeight="1" s="311"/>
    <row r="4887" hidden="1" ht="18.75" customFormat="1" customHeight="1" s="311"/>
    <row r="4888" hidden="1" ht="18.75" customFormat="1" customHeight="1" s="311"/>
    <row r="4889" hidden="1" ht="18.75" customFormat="1" customHeight="1" s="311"/>
    <row r="4890" hidden="1" ht="18.75" customFormat="1" customHeight="1" s="311"/>
    <row r="4891" hidden="1" ht="18.75" customFormat="1" customHeight="1" s="311"/>
    <row r="4892" hidden="1" ht="18.75" customFormat="1" customHeight="1" s="311"/>
    <row r="4893" hidden="1" ht="18.75" customFormat="1" customHeight="1" s="311"/>
    <row r="4894" hidden="1" ht="18.75" customFormat="1" customHeight="1" s="311"/>
    <row r="4895" hidden="1" ht="18.75" customFormat="1" customHeight="1" s="311"/>
    <row r="4896" hidden="1" ht="18.75" customFormat="1" customHeight="1" s="311"/>
    <row r="4897" hidden="1" ht="18.75" customFormat="1" customHeight="1" s="311"/>
    <row r="4898" hidden="1" ht="18.75" customFormat="1" customHeight="1" s="311"/>
    <row r="4899" hidden="1" ht="18.75" customFormat="1" customHeight="1" s="311"/>
    <row r="4900" hidden="1" ht="18.75" customFormat="1" customHeight="1" s="311"/>
    <row r="4901" hidden="1" ht="18.75" customFormat="1" customHeight="1" s="311"/>
    <row r="4902" hidden="1" ht="18.75" customFormat="1" customHeight="1" s="311"/>
    <row r="4903" hidden="1" ht="18.75" customFormat="1" customHeight="1" s="311"/>
    <row r="4904" hidden="1" ht="18.75" customFormat="1" customHeight="1" s="311"/>
    <row r="4905" hidden="1" ht="18.75" customFormat="1" customHeight="1" s="311"/>
    <row r="4906" hidden="1" ht="18.75" customFormat="1" customHeight="1" s="311"/>
    <row r="4907" hidden="1" ht="18.75" customFormat="1" customHeight="1" s="311"/>
    <row r="4908" hidden="1" ht="18.75" customFormat="1" customHeight="1" s="311"/>
    <row r="4909" hidden="1" ht="18.75" customFormat="1" customHeight="1" s="311"/>
    <row r="4910" hidden="1" ht="18.75" customFormat="1" customHeight="1" s="311"/>
    <row r="4911" hidden="1" ht="18.75" customFormat="1" customHeight="1" s="311"/>
    <row r="4912" hidden="1" ht="18.75" customFormat="1" customHeight="1" s="311"/>
    <row r="4913" hidden="1" ht="18.75" customFormat="1" customHeight="1" s="311"/>
    <row r="4914" hidden="1" ht="18.75" customFormat="1" customHeight="1" s="311"/>
    <row r="4915" hidden="1" ht="18.75" customFormat="1" customHeight="1" s="311"/>
    <row r="4916" hidden="1" ht="18.75" customFormat="1" customHeight="1" s="311"/>
    <row r="4917" hidden="1" ht="18.75" customFormat="1" customHeight="1" s="311"/>
    <row r="4918" hidden="1" ht="18.75" customFormat="1" customHeight="1" s="311"/>
    <row r="4919" hidden="1" ht="18.75" customFormat="1" customHeight="1" s="311"/>
    <row r="4920" hidden="1" ht="18.75" customFormat="1" customHeight="1" s="311"/>
    <row r="4921" hidden="1" ht="18.75" customFormat="1" customHeight="1" s="311"/>
    <row r="4922" hidden="1" ht="18.75" customFormat="1" customHeight="1" s="311"/>
    <row r="4923" hidden="1" ht="18.75" customFormat="1" customHeight="1" s="311"/>
    <row r="4924" hidden="1" ht="18.75" customFormat="1" customHeight="1" s="311"/>
    <row r="4925" hidden="1" ht="18.75" customFormat="1" customHeight="1" s="311"/>
    <row r="4926" hidden="1" ht="18.75" customFormat="1" customHeight="1" s="311"/>
    <row r="4927" hidden="1" ht="18.75" customFormat="1" customHeight="1" s="311"/>
    <row r="4928" hidden="1" ht="18.75" customFormat="1" customHeight="1" s="311"/>
    <row r="4929" hidden="1" ht="18.75" customFormat="1" customHeight="1" s="311"/>
    <row r="4930" hidden="1" ht="18.75" customFormat="1" customHeight="1" s="311"/>
    <row r="4931" hidden="1" ht="18.75" customFormat="1" customHeight="1" s="311"/>
    <row r="4932" hidden="1" ht="18.75" customFormat="1" customHeight="1" s="311"/>
    <row r="4933" hidden="1" ht="18.75" customFormat="1" customHeight="1" s="311"/>
    <row r="4934" hidden="1" ht="18.75" customFormat="1" customHeight="1" s="311"/>
    <row r="4935" hidden="1" ht="18.75" customFormat="1" customHeight="1" s="311"/>
    <row r="4936" hidden="1" ht="18.75" customFormat="1" customHeight="1" s="311"/>
    <row r="4937" hidden="1" ht="18.75" customFormat="1" customHeight="1" s="311"/>
    <row r="4938" hidden="1" ht="18.75" customFormat="1" customHeight="1" s="311"/>
    <row r="4939" hidden="1" ht="18.75" customFormat="1" customHeight="1" s="311"/>
    <row r="4940" hidden="1" ht="18.75" customFormat="1" customHeight="1" s="311"/>
    <row r="4941" hidden="1" ht="18.75" customFormat="1" customHeight="1" s="311"/>
    <row r="4942" hidden="1" ht="18.75" customFormat="1" customHeight="1" s="311"/>
    <row r="4943" hidden="1" ht="18.75" customFormat="1" customHeight="1" s="311"/>
    <row r="4944" hidden="1" ht="18.75" customFormat="1" customHeight="1" s="311"/>
    <row r="4945" hidden="1" ht="18.75" customFormat="1" customHeight="1" s="311"/>
    <row r="4946" hidden="1" ht="18.75" customFormat="1" customHeight="1" s="311"/>
    <row r="4947" hidden="1" ht="18.75" customFormat="1" customHeight="1" s="311"/>
    <row r="4948" hidden="1" ht="18.75" customFormat="1" customHeight="1" s="311"/>
    <row r="4949" hidden="1" ht="18.75" customFormat="1" customHeight="1" s="311"/>
    <row r="4950" hidden="1" ht="18.75" customFormat="1" customHeight="1" s="311"/>
    <row r="4951" hidden="1" ht="18.75" customFormat="1" customHeight="1" s="311"/>
    <row r="4952" hidden="1" ht="18.75" customFormat="1" customHeight="1" s="311"/>
    <row r="4953" hidden="1" ht="18.75" customFormat="1" customHeight="1" s="311"/>
    <row r="4954" hidden="1" ht="18.75" customFormat="1" customHeight="1" s="311"/>
    <row r="4955" hidden="1" ht="18.75" customFormat="1" customHeight="1" s="311"/>
    <row r="4956" hidden="1" ht="18.75" customFormat="1" customHeight="1" s="311"/>
    <row r="4957" hidden="1" ht="18.75" customFormat="1" customHeight="1" s="311"/>
    <row r="4958" hidden="1" ht="18.75" customFormat="1" customHeight="1" s="311"/>
    <row r="4959" hidden="1" ht="18.75" customFormat="1" customHeight="1" s="311"/>
    <row r="4960" hidden="1" ht="18.75" customFormat="1" customHeight="1" s="311"/>
    <row r="4961" hidden="1" ht="18.75" customFormat="1" customHeight="1" s="311"/>
    <row r="4962" hidden="1" ht="18.75" customFormat="1" customHeight="1" s="311"/>
    <row r="4963" hidden="1" ht="18.75" customFormat="1" customHeight="1" s="311"/>
    <row r="4964" hidden="1" ht="18.75" customFormat="1" customHeight="1" s="311"/>
    <row r="4965" hidden="1" ht="18.75" customFormat="1" customHeight="1" s="311"/>
    <row r="4966" hidden="1" ht="18.75" customFormat="1" customHeight="1" s="311"/>
    <row r="4967" hidden="1" ht="18.75" customFormat="1" customHeight="1" s="311"/>
    <row r="4968" hidden="1" ht="18.75" customFormat="1" customHeight="1" s="311"/>
    <row r="4969" hidden="1" ht="18.75" customFormat="1" customHeight="1" s="311"/>
    <row r="4970" hidden="1" ht="18.75" customFormat="1" customHeight="1" s="311"/>
    <row r="4971" hidden="1" ht="18.75" customFormat="1" customHeight="1" s="311"/>
    <row r="4972" hidden="1" ht="18.75" customFormat="1" customHeight="1" s="311"/>
    <row r="4973" hidden="1" ht="18.75" customFormat="1" customHeight="1" s="311"/>
    <row r="4974" hidden="1" ht="18.75" customFormat="1" customHeight="1" s="311"/>
    <row r="4975" hidden="1" ht="18.75" customFormat="1" customHeight="1" s="311"/>
    <row r="4976" hidden="1" ht="18.75" customFormat="1" customHeight="1" s="311"/>
    <row r="4977" hidden="1" ht="18.75" customFormat="1" customHeight="1" s="311"/>
    <row r="4978" hidden="1" ht="18.75" customFormat="1" customHeight="1" s="311"/>
    <row r="4979" hidden="1" ht="18.75" customFormat="1" customHeight="1" s="311"/>
    <row r="4980" hidden="1" ht="18.75" customFormat="1" customHeight="1" s="311"/>
    <row r="4981" hidden="1" ht="18.75" customFormat="1" customHeight="1" s="311"/>
    <row r="4982" hidden="1" ht="18.75" customFormat="1" customHeight="1" s="311"/>
    <row r="4983" hidden="1" ht="18.75" customFormat="1" customHeight="1" s="311"/>
    <row r="4984" hidden="1" ht="18.75" customFormat="1" customHeight="1" s="311"/>
    <row r="4985" hidden="1" ht="18.75" customFormat="1" customHeight="1" s="311"/>
    <row r="4986" hidden="1" ht="18.75" customFormat="1" customHeight="1" s="311"/>
    <row r="4987" hidden="1" ht="18.75" customFormat="1" customHeight="1" s="311"/>
    <row r="4988" hidden="1" ht="18.75" customFormat="1" customHeight="1" s="311"/>
    <row r="4989" hidden="1" ht="18.75" customFormat="1" customHeight="1" s="311"/>
    <row r="4990" hidden="1" ht="18.75" customFormat="1" customHeight="1" s="311"/>
    <row r="4991" hidden="1" ht="18.75" customFormat="1" customHeight="1" s="311"/>
    <row r="4992" hidden="1" ht="18.75" customFormat="1" customHeight="1" s="311"/>
    <row r="4993" hidden="1" ht="18.75" customFormat="1" customHeight="1" s="311"/>
    <row r="4994" hidden="1" ht="18.75" customFormat="1" customHeight="1" s="311"/>
    <row r="4995" hidden="1" ht="18.75" customFormat="1" customHeight="1" s="311"/>
    <row r="4996" hidden="1" ht="18.75" customFormat="1" customHeight="1" s="311"/>
    <row r="4997" hidden="1" ht="18.75" customFormat="1" customHeight="1" s="311"/>
    <row r="4998" hidden="1" ht="18.75" customFormat="1" customHeight="1" s="311"/>
    <row r="4999" hidden="1" ht="18.75" customFormat="1" customHeight="1" s="311"/>
    <row r="5000" hidden="1" ht="18.75" customFormat="1" customHeight="1" s="311"/>
    <row r="5001" hidden="1" ht="18.75" customFormat="1" customHeight="1" s="311"/>
    <row r="5002" hidden="1" ht="18.75" customFormat="1" customHeight="1" s="311"/>
    <row r="5003" hidden="1" ht="18.75" customFormat="1" customHeight="1" s="311"/>
    <row r="5004" hidden="1" ht="18.75" customFormat="1" customHeight="1" s="311"/>
    <row r="5005" hidden="1" ht="18.75" customFormat="1" customHeight="1" s="311"/>
    <row r="5006" hidden="1" ht="18.75" customFormat="1" customHeight="1" s="311"/>
    <row r="5007" hidden="1" ht="18.75" customFormat="1" customHeight="1" s="311"/>
    <row r="5008" hidden="1" ht="18.75" customFormat="1" customHeight="1" s="311"/>
    <row r="5009" hidden="1" ht="18.75" customFormat="1" customHeight="1" s="311"/>
    <row r="5010" hidden="1" ht="18.75" customFormat="1" customHeight="1" s="311"/>
    <row r="5011" hidden="1" ht="18.75" customFormat="1" customHeight="1" s="311"/>
    <row r="5012" hidden="1" ht="18.75" customFormat="1" customHeight="1" s="311"/>
    <row r="5013" hidden="1" ht="18.75" customFormat="1" customHeight="1" s="311"/>
    <row r="5014" hidden="1" ht="18.75" customFormat="1" customHeight="1" s="311"/>
    <row r="5015" hidden="1" ht="18.75" customFormat="1" customHeight="1" s="311"/>
    <row r="5016" hidden="1" ht="18.75" customFormat="1" customHeight="1" s="311"/>
    <row r="5017" hidden="1" ht="18.75" customFormat="1" customHeight="1" s="311"/>
    <row r="5018" hidden="1" ht="18.75" customFormat="1" customHeight="1" s="311"/>
    <row r="5019" hidden="1" ht="18.75" customFormat="1" customHeight="1" s="311"/>
    <row r="5020" hidden="1" ht="18.75" customFormat="1" customHeight="1" s="311"/>
    <row r="5021" hidden="1" ht="18.75" customFormat="1" customHeight="1" s="311"/>
    <row r="5022" hidden="1" ht="18.75" customFormat="1" customHeight="1" s="311"/>
    <row r="5023" hidden="1" ht="18.75" customFormat="1" customHeight="1" s="311"/>
    <row r="5024" hidden="1" ht="18.75" customFormat="1" customHeight="1" s="311"/>
    <row r="5025" hidden="1" ht="18.75" customFormat="1" customHeight="1" s="311"/>
    <row r="5026" hidden="1" ht="18.75" customFormat="1" customHeight="1" s="311"/>
    <row r="5027" hidden="1" ht="18.75" customFormat="1" customHeight="1" s="311"/>
    <row r="5028" hidden="1" ht="18.75" customFormat="1" customHeight="1" s="311"/>
    <row r="5029" hidden="1" ht="18.75" customFormat="1" customHeight="1" s="311"/>
    <row r="5030" hidden="1" ht="18.75" customFormat="1" customHeight="1" s="311"/>
    <row r="5031" hidden="1" ht="18.75" customFormat="1" customHeight="1" s="311"/>
    <row r="5032" hidden="1" ht="18.75" customFormat="1" customHeight="1" s="311"/>
    <row r="5033" hidden="1" ht="18.75" customFormat="1" customHeight="1" s="311"/>
    <row r="5034" hidden="1" ht="18.75" customFormat="1" customHeight="1" s="311"/>
    <row r="5035" hidden="1" ht="18.75" customFormat="1" customHeight="1" s="311"/>
    <row r="5036" hidden="1" ht="18.75" customFormat="1" customHeight="1" s="311"/>
    <row r="5037" hidden="1" ht="18.75" customFormat="1" customHeight="1" s="311"/>
    <row r="5038" hidden="1" ht="18.75" customFormat="1" customHeight="1" s="311"/>
    <row r="5039" hidden="1" ht="18.75" customFormat="1" customHeight="1" s="311"/>
    <row r="5040" hidden="1" ht="18.75" customFormat="1" customHeight="1" s="311"/>
    <row r="5041" hidden="1" ht="18.75" customFormat="1" customHeight="1" s="311"/>
    <row r="5042" hidden="1" ht="18.75" customFormat="1" customHeight="1" s="311"/>
    <row r="5043" hidden="1" ht="18.75" customFormat="1" customHeight="1" s="311"/>
    <row r="5044" hidden="1" ht="18.75" customFormat="1" customHeight="1" s="311"/>
    <row r="5045" hidden="1" ht="18.75" customFormat="1" customHeight="1" s="311"/>
    <row r="5046" hidden="1" ht="18.75" customFormat="1" customHeight="1" s="311"/>
    <row r="5047" hidden="1" ht="18.75" customFormat="1" customHeight="1" s="311"/>
    <row r="5048" hidden="1" ht="18.75" customFormat="1" customHeight="1" s="311"/>
    <row r="5049" hidden="1" ht="18.75" customFormat="1" customHeight="1" s="311"/>
    <row r="5050" hidden="1" ht="18.75" customFormat="1" customHeight="1" s="311"/>
    <row r="5051" hidden="1" ht="18.75" customFormat="1" customHeight="1" s="311"/>
    <row r="5052" hidden="1" ht="18.75" customFormat="1" customHeight="1" s="311"/>
    <row r="5053" hidden="1" ht="18.75" customFormat="1" customHeight="1" s="311"/>
    <row r="5054" hidden="1" ht="18.75" customFormat="1" customHeight="1" s="311"/>
    <row r="5055" hidden="1" ht="18.75" customFormat="1" customHeight="1" s="311"/>
    <row r="5056" hidden="1" ht="18.75" customFormat="1" customHeight="1" s="311"/>
    <row r="5057" hidden="1" ht="18.75" customFormat="1" customHeight="1" s="311"/>
    <row r="5058" hidden="1" ht="18.75" customFormat="1" customHeight="1" s="311"/>
    <row r="5059" hidden="1" ht="18.75" customFormat="1" customHeight="1" s="311"/>
    <row r="5060" hidden="1" ht="18.75" customFormat="1" customHeight="1" s="311"/>
    <row r="5061" hidden="1" ht="18.75" customFormat="1" customHeight="1" s="311"/>
    <row r="5062" hidden="1" ht="18.75" customFormat="1" customHeight="1" s="311"/>
    <row r="5063" hidden="1" ht="18.75" customFormat="1" customHeight="1" s="311"/>
    <row r="5064" hidden="1" ht="18.75" customFormat="1" customHeight="1" s="311"/>
    <row r="5065" hidden="1" ht="18.75" customFormat="1" customHeight="1" s="311"/>
    <row r="5066" hidden="1" ht="18.75" customFormat="1" customHeight="1" s="311"/>
    <row r="5067" hidden="1" ht="18.75" customFormat="1" customHeight="1" s="311"/>
    <row r="5068" hidden="1" ht="18.75" customFormat="1" customHeight="1" s="311"/>
    <row r="5069" hidden="1" ht="18.75" customFormat="1" customHeight="1" s="311"/>
    <row r="5070" hidden="1" ht="18.75" customFormat="1" customHeight="1" s="311"/>
    <row r="5071" hidden="1" ht="18.75" customFormat="1" customHeight="1" s="311"/>
    <row r="5072" hidden="1" ht="18.75" customFormat="1" customHeight="1" s="311"/>
    <row r="5073" hidden="1" ht="18.75" customFormat="1" customHeight="1" s="311"/>
    <row r="5074" hidden="1" ht="18.75" customFormat="1" customHeight="1" s="311"/>
    <row r="5075" hidden="1" ht="18.75" customFormat="1" customHeight="1" s="311"/>
    <row r="5076" hidden="1" ht="18.75" customFormat="1" customHeight="1" s="311"/>
    <row r="5077" hidden="1" ht="18.75" customFormat="1" customHeight="1" s="311"/>
    <row r="5078" hidden="1" ht="18.75" customFormat="1" customHeight="1" s="311"/>
    <row r="5079" hidden="1" ht="18.75" customFormat="1" customHeight="1" s="311"/>
    <row r="5080" hidden="1" ht="18.75" customFormat="1" customHeight="1" s="311"/>
    <row r="5081" hidden="1" ht="18.75" customFormat="1" customHeight="1" s="311"/>
    <row r="5082" hidden="1" ht="18.75" customFormat="1" customHeight="1" s="311"/>
    <row r="5083" hidden="1" ht="18.75" customFormat="1" customHeight="1" s="311"/>
    <row r="5084" hidden="1" ht="18.75" customFormat="1" customHeight="1" s="311"/>
    <row r="5085" hidden="1" ht="18.75" customFormat="1" customHeight="1" s="311"/>
    <row r="5086" hidden="1" ht="18.75" customFormat="1" customHeight="1" s="311"/>
    <row r="5087" hidden="1" ht="18.75" customFormat="1" customHeight="1" s="311"/>
    <row r="5088" hidden="1" ht="18.75" customFormat="1" customHeight="1" s="311"/>
    <row r="5089" hidden="1" ht="18.75" customFormat="1" customHeight="1" s="311"/>
    <row r="5090" hidden="1" ht="18.75" customFormat="1" customHeight="1" s="311"/>
    <row r="5091" hidden="1" ht="18.75" customFormat="1" customHeight="1" s="311"/>
    <row r="5092" hidden="1" ht="18.75" customFormat="1" customHeight="1" s="311"/>
    <row r="5093" hidden="1" ht="18.75" customFormat="1" customHeight="1" s="311"/>
    <row r="5094" hidden="1" ht="18.75" customFormat="1" customHeight="1" s="311"/>
    <row r="5095" hidden="1" ht="18.75" customFormat="1" customHeight="1" s="311"/>
    <row r="5096" hidden="1" ht="18.75" customFormat="1" customHeight="1" s="311"/>
    <row r="5097" hidden="1" ht="18.75" customFormat="1" customHeight="1" s="311"/>
    <row r="5098" hidden="1" ht="18.75" customFormat="1" customHeight="1" s="311"/>
    <row r="5099" hidden="1" ht="18.75" customFormat="1" customHeight="1" s="311"/>
    <row r="5100" hidden="1" ht="18.75" customFormat="1" customHeight="1" s="311"/>
    <row r="5101" hidden="1" ht="18.75" customFormat="1" customHeight="1" s="311"/>
    <row r="5102" hidden="1" ht="18.75" customFormat="1" customHeight="1" s="311"/>
    <row r="5103" hidden="1" ht="18.75" customFormat="1" customHeight="1" s="311"/>
    <row r="5104" hidden="1" ht="18.75" customFormat="1" customHeight="1" s="311"/>
    <row r="5105" hidden="1" ht="18.75" customFormat="1" customHeight="1" s="311"/>
    <row r="5106" hidden="1" ht="18.75" customFormat="1" customHeight="1" s="311"/>
    <row r="5107" hidden="1" ht="18.75" customFormat="1" customHeight="1" s="311"/>
    <row r="5108" hidden="1" ht="18.75" customFormat="1" customHeight="1" s="311"/>
    <row r="5109" hidden="1" ht="18.75" customFormat="1" customHeight="1" s="311"/>
    <row r="5110" hidden="1" ht="18.75" customFormat="1" customHeight="1" s="311"/>
    <row r="5111" hidden="1" ht="18.75" customFormat="1" customHeight="1" s="311"/>
    <row r="5112" hidden="1" ht="18.75" customFormat="1" customHeight="1" s="311"/>
    <row r="5113" hidden="1" ht="18.75" customFormat="1" customHeight="1" s="311"/>
    <row r="5114" hidden="1" ht="18.75" customFormat="1" customHeight="1" s="311"/>
    <row r="5115" hidden="1" ht="18.75" customFormat="1" customHeight="1" s="311"/>
    <row r="5116" hidden="1" ht="18.75" customFormat="1" customHeight="1" s="311"/>
    <row r="5117" hidden="1" ht="18.75" customFormat="1" customHeight="1" s="311"/>
    <row r="5118" hidden="1" ht="18.75" customFormat="1" customHeight="1" s="311"/>
    <row r="5119" hidden="1" ht="18.75" customFormat="1" customHeight="1" s="311"/>
    <row r="5120" hidden="1" ht="18.75" customFormat="1" customHeight="1" s="311"/>
    <row r="5121" hidden="1" ht="18.75" customFormat="1" customHeight="1" s="311"/>
    <row r="5122" hidden="1" ht="18.75" customFormat="1" customHeight="1" s="311"/>
    <row r="5123" hidden="1" ht="18.75" customFormat="1" customHeight="1" s="311"/>
    <row r="5124" hidden="1" ht="18.75" customFormat="1" customHeight="1" s="311"/>
    <row r="5125" hidden="1" ht="18.75" customFormat="1" customHeight="1" s="311"/>
    <row r="5126" hidden="1" ht="18.75" customFormat="1" customHeight="1" s="311"/>
    <row r="5127" hidden="1" ht="18.75" customFormat="1" customHeight="1" s="311"/>
    <row r="5128" hidden="1" ht="18.75" customFormat="1" customHeight="1" s="311"/>
    <row r="5129" hidden="1" ht="18.75" customFormat="1" customHeight="1" s="311"/>
    <row r="5130" hidden="1" ht="18.75" customFormat="1" customHeight="1" s="311"/>
    <row r="5131" hidden="1" ht="18.75" customFormat="1" customHeight="1" s="311"/>
    <row r="5132" hidden="1" ht="18.75" customFormat="1" customHeight="1" s="311"/>
    <row r="5133" hidden="1" ht="18.75" customFormat="1" customHeight="1" s="311"/>
    <row r="5134" hidden="1" ht="18.75" customFormat="1" customHeight="1" s="311"/>
    <row r="5135" hidden="1" ht="18.75" customFormat="1" customHeight="1" s="311"/>
    <row r="5136" hidden="1" ht="18.75" customFormat="1" customHeight="1" s="311"/>
    <row r="5137" hidden="1" ht="18.75" customFormat="1" customHeight="1" s="311"/>
    <row r="5138" hidden="1" ht="18.75" customFormat="1" customHeight="1" s="311"/>
    <row r="5139" hidden="1" ht="18.75" customFormat="1" customHeight="1" s="311"/>
    <row r="5140" hidden="1" ht="18.75" customFormat="1" customHeight="1" s="311"/>
    <row r="5141" hidden="1" ht="18.75" customFormat="1" customHeight="1" s="311"/>
    <row r="5142" hidden="1" ht="18.75" customFormat="1" customHeight="1" s="311"/>
    <row r="5143" hidden="1" ht="18.75" customFormat="1" customHeight="1" s="311"/>
    <row r="5144" hidden="1" ht="18.75" customFormat="1" customHeight="1" s="311"/>
    <row r="5145" hidden="1" ht="18.75" customFormat="1" customHeight="1" s="311"/>
    <row r="5146" hidden="1" ht="18.75" customFormat="1" customHeight="1" s="311"/>
    <row r="5147" hidden="1" ht="18.75" customFormat="1" customHeight="1" s="311"/>
    <row r="5148" hidden="1" ht="18.75" customFormat="1" customHeight="1" s="311"/>
    <row r="5149" hidden="1" ht="18.75" customFormat="1" customHeight="1" s="311"/>
    <row r="5150" hidden="1" ht="18.75" customFormat="1" customHeight="1" s="311"/>
    <row r="5151" hidden="1" ht="18.75" customFormat="1" customHeight="1" s="311"/>
    <row r="5152" hidden="1" ht="18.75" customFormat="1" customHeight="1" s="311"/>
    <row r="5153" hidden="1" ht="18.75" customFormat="1" customHeight="1" s="311"/>
    <row r="5154" hidden="1" ht="18.75" customFormat="1" customHeight="1" s="311"/>
    <row r="5155" hidden="1" ht="18.75" customFormat="1" customHeight="1" s="311"/>
    <row r="5156" hidden="1" ht="18.75" customFormat="1" customHeight="1" s="311"/>
    <row r="5157" hidden="1" ht="18.75" customFormat="1" customHeight="1" s="311"/>
    <row r="5158" hidden="1" ht="18.75" customFormat="1" customHeight="1" s="311"/>
    <row r="5159" hidden="1" ht="18.75" customFormat="1" customHeight="1" s="311"/>
    <row r="5160" hidden="1" ht="18.75" customFormat="1" customHeight="1" s="311"/>
    <row r="5161" hidden="1" ht="18.75" customFormat="1" customHeight="1" s="311"/>
    <row r="5162" hidden="1" ht="18.75" customFormat="1" customHeight="1" s="311"/>
    <row r="5163" hidden="1" ht="18.75" customFormat="1" customHeight="1" s="311"/>
    <row r="5164" hidden="1" ht="18.75" customFormat="1" customHeight="1" s="311"/>
    <row r="5165" hidden="1" ht="18.75" customFormat="1" customHeight="1" s="311"/>
    <row r="5166" hidden="1" ht="18.75" customFormat="1" customHeight="1" s="311"/>
    <row r="5167" hidden="1" ht="18.75" customFormat="1" customHeight="1" s="311"/>
    <row r="5168" hidden="1" ht="18.75" customFormat="1" customHeight="1" s="311"/>
    <row r="5169" hidden="1" ht="18.75" customFormat="1" customHeight="1" s="311"/>
    <row r="5170" hidden="1" ht="18.75" customFormat="1" customHeight="1" s="311"/>
    <row r="5171" hidden="1" ht="18.75" customFormat="1" customHeight="1" s="311"/>
    <row r="5172" hidden="1" ht="18.75" customFormat="1" customHeight="1" s="311"/>
    <row r="5173" hidden="1" ht="18.75" customFormat="1" customHeight="1" s="311"/>
    <row r="5174" hidden="1" ht="18.75" customFormat="1" customHeight="1" s="311"/>
    <row r="5175" hidden="1" ht="18.75" customFormat="1" customHeight="1" s="311"/>
    <row r="5176" hidden="1" ht="18.75" customFormat="1" customHeight="1" s="311"/>
    <row r="5177" hidden="1" ht="18.75" customFormat="1" customHeight="1" s="311"/>
    <row r="5178" hidden="1" ht="18.75" customFormat="1" customHeight="1" s="311"/>
    <row r="5179" hidden="1" ht="18.75" customFormat="1" customHeight="1" s="311"/>
    <row r="5180" hidden="1" ht="18.75" customFormat="1" customHeight="1" s="311"/>
    <row r="5181" hidden="1" ht="18.75" customFormat="1" customHeight="1" s="311"/>
    <row r="5182" hidden="1" ht="18.75" customFormat="1" customHeight="1" s="311"/>
    <row r="5183" hidden="1" ht="18.75" customFormat="1" customHeight="1" s="311"/>
    <row r="5184" hidden="1" ht="18.75" customFormat="1" customHeight="1" s="311"/>
    <row r="5185" hidden="1" ht="18.75" customFormat="1" customHeight="1" s="311"/>
    <row r="5186" hidden="1" ht="18.75" customFormat="1" customHeight="1" s="311"/>
    <row r="5187" hidden="1" ht="18.75" customFormat="1" customHeight="1" s="311"/>
    <row r="5188" hidden="1" ht="18.75" customFormat="1" customHeight="1" s="311"/>
    <row r="5189" hidden="1" ht="18.75" customFormat="1" customHeight="1" s="311"/>
    <row r="5190" hidden="1" ht="18.75" customFormat="1" customHeight="1" s="311"/>
    <row r="5191" hidden="1" ht="18.75" customFormat="1" customHeight="1" s="311"/>
    <row r="5192" hidden="1" ht="18.75" customFormat="1" customHeight="1" s="311"/>
    <row r="5193" hidden="1" ht="18.75" customFormat="1" customHeight="1" s="311"/>
    <row r="5194" hidden="1" ht="18.75" customFormat="1" customHeight="1" s="311"/>
    <row r="5195" hidden="1" ht="18.75" customFormat="1" customHeight="1" s="311"/>
    <row r="5196" hidden="1" ht="18.75" customFormat="1" customHeight="1" s="311"/>
    <row r="5197" hidden="1" ht="18.75" customFormat="1" customHeight="1" s="311"/>
    <row r="5198" hidden="1" ht="18.75" customFormat="1" customHeight="1" s="311"/>
    <row r="5199" hidden="1" ht="18.75" customFormat="1" customHeight="1" s="311"/>
    <row r="5200" hidden="1" ht="18.75" customFormat="1" customHeight="1" s="311"/>
    <row r="5201" hidden="1" ht="18.75" customFormat="1" customHeight="1" s="311"/>
    <row r="5202" hidden="1" ht="18.75" customFormat="1" customHeight="1" s="311"/>
    <row r="5203" hidden="1" ht="18.75" customFormat="1" customHeight="1" s="311"/>
    <row r="5204" hidden="1" ht="18.75" customFormat="1" customHeight="1" s="311"/>
    <row r="5205" hidden="1" ht="18.75" customFormat="1" customHeight="1" s="311"/>
    <row r="5206" hidden="1" ht="18.75" customFormat="1" customHeight="1" s="311"/>
    <row r="5207" hidden="1" ht="18.75" customFormat="1" customHeight="1" s="311"/>
    <row r="5208" hidden="1" ht="18.75" customFormat="1" customHeight="1" s="311"/>
    <row r="5209" hidden="1" ht="18.75" customFormat="1" customHeight="1" s="311"/>
    <row r="5210" hidden="1" ht="18.75" customFormat="1" customHeight="1" s="311"/>
    <row r="5211" hidden="1" ht="18.75" customFormat="1" customHeight="1" s="311"/>
    <row r="5212" hidden="1" ht="18.75" customFormat="1" customHeight="1" s="311"/>
    <row r="5213" hidden="1" ht="18.75" customFormat="1" customHeight="1" s="311"/>
    <row r="5214" hidden="1" ht="18.75" customFormat="1" customHeight="1" s="311"/>
    <row r="5215" hidden="1" ht="18.75" customFormat="1" customHeight="1" s="311"/>
    <row r="5216" hidden="1" ht="18.75" customFormat="1" customHeight="1" s="311"/>
    <row r="5217" hidden="1" ht="18.75" customFormat="1" customHeight="1" s="311"/>
    <row r="5218" hidden="1" ht="18.75" customFormat="1" customHeight="1" s="311"/>
    <row r="5219" hidden="1" ht="18.75" customFormat="1" customHeight="1" s="311"/>
    <row r="5220" hidden="1" ht="18.75" customFormat="1" customHeight="1" s="311"/>
    <row r="5221" hidden="1" ht="18.75" customFormat="1" customHeight="1" s="311"/>
    <row r="5222" hidden="1" ht="18.75" customFormat="1" customHeight="1" s="311"/>
    <row r="5223" hidden="1" ht="18.75" customFormat="1" customHeight="1" s="311"/>
    <row r="5224" hidden="1" ht="18.75" customFormat="1" customHeight="1" s="311"/>
    <row r="5225" hidden="1" ht="18.75" customFormat="1" customHeight="1" s="311"/>
    <row r="5226" hidden="1" ht="18.75" customFormat="1" customHeight="1" s="311"/>
    <row r="5227" hidden="1" ht="18.75" customFormat="1" customHeight="1" s="311"/>
    <row r="5228" hidden="1" ht="18.75" customFormat="1" customHeight="1" s="311"/>
    <row r="5229" hidden="1" ht="18.75" customFormat="1" customHeight="1" s="311"/>
    <row r="5230" hidden="1" ht="18.75" customFormat="1" customHeight="1" s="311"/>
    <row r="5231" hidden="1" ht="18.75" customFormat="1" customHeight="1" s="311"/>
    <row r="5232" hidden="1" ht="18.75" customFormat="1" customHeight="1" s="311"/>
    <row r="5233" hidden="1" ht="18.75" customFormat="1" customHeight="1" s="311"/>
    <row r="5234" hidden="1" ht="18.75" customFormat="1" customHeight="1" s="311"/>
    <row r="5235" hidden="1" ht="18.75" customFormat="1" customHeight="1" s="311"/>
    <row r="5236" hidden="1" ht="18.75" customFormat="1" customHeight="1" s="311"/>
    <row r="5237" hidden="1" ht="18.75" customFormat="1" customHeight="1" s="311"/>
    <row r="5238" hidden="1" ht="18.75" customFormat="1" customHeight="1" s="311"/>
    <row r="5239" hidden="1" ht="18.75" customFormat="1" customHeight="1" s="311"/>
    <row r="5240" hidden="1" ht="18.75" customFormat="1" customHeight="1" s="311"/>
    <row r="5241" hidden="1" ht="18.75" customFormat="1" customHeight="1" s="311"/>
    <row r="5242" hidden="1" ht="18.75" customFormat="1" customHeight="1" s="311"/>
    <row r="5243" hidden="1" ht="18.75" customFormat="1" customHeight="1" s="311"/>
    <row r="5244" hidden="1" ht="18.75" customFormat="1" customHeight="1" s="311"/>
    <row r="5245" hidden="1" ht="18.75" customFormat="1" customHeight="1" s="311"/>
    <row r="5246" hidden="1" ht="18.75" customFormat="1" customHeight="1" s="311"/>
    <row r="5247" hidden="1" ht="18.75" customFormat="1" customHeight="1" s="311"/>
    <row r="5248" hidden="1" ht="18.75" customFormat="1" customHeight="1" s="311"/>
    <row r="5249" hidden="1" ht="18.75" customFormat="1" customHeight="1" s="311"/>
    <row r="5250" hidden="1" ht="18.75" customFormat="1" customHeight="1" s="311"/>
    <row r="5251" hidden="1" ht="18.75" customFormat="1" customHeight="1" s="311"/>
    <row r="5252" hidden="1" ht="18.75" customFormat="1" customHeight="1" s="311"/>
    <row r="5253" hidden="1" ht="18.75" customFormat="1" customHeight="1" s="311"/>
    <row r="5254" hidden="1" ht="18.75" customFormat="1" customHeight="1" s="311"/>
    <row r="5255" hidden="1" ht="18.75" customFormat="1" customHeight="1" s="311"/>
    <row r="5256" hidden="1" ht="18.75" customFormat="1" customHeight="1" s="311"/>
    <row r="5257" hidden="1" ht="18.75" customFormat="1" customHeight="1" s="311"/>
    <row r="5258" hidden="1" ht="18.75" customFormat="1" customHeight="1" s="311"/>
    <row r="5259" hidden="1" ht="18.75" customFormat="1" customHeight="1" s="311"/>
    <row r="5260" hidden="1" ht="18.75" customFormat="1" customHeight="1" s="311"/>
    <row r="5261" hidden="1" ht="18.75" customFormat="1" customHeight="1" s="311"/>
    <row r="5262" hidden="1" ht="18.75" customFormat="1" customHeight="1" s="311"/>
    <row r="5263" hidden="1" ht="18.75" customFormat="1" customHeight="1" s="311"/>
    <row r="5264" hidden="1" ht="18.75" customFormat="1" customHeight="1" s="311"/>
    <row r="5265" hidden="1" ht="18.75" customFormat="1" customHeight="1" s="311"/>
    <row r="5266" hidden="1" ht="18.75" customFormat="1" customHeight="1" s="311"/>
    <row r="5267" hidden="1" ht="18.75" customFormat="1" customHeight="1" s="311"/>
    <row r="5268" hidden="1" ht="18.75" customFormat="1" customHeight="1" s="311"/>
    <row r="5269" hidden="1" ht="18.75" customFormat="1" customHeight="1" s="311"/>
    <row r="5270" hidden="1" ht="18.75" customFormat="1" customHeight="1" s="311"/>
    <row r="5271" hidden="1" ht="18.75" customFormat="1" customHeight="1" s="311"/>
    <row r="5272" hidden="1" ht="18.75" customFormat="1" customHeight="1" s="311"/>
    <row r="5273" hidden="1" ht="18.75" customFormat="1" customHeight="1" s="311"/>
    <row r="5274" hidden="1" ht="18.75" customFormat="1" customHeight="1" s="311"/>
    <row r="5275" hidden="1" ht="18.75" customFormat="1" customHeight="1" s="311"/>
    <row r="5276" hidden="1" ht="18.75" customFormat="1" customHeight="1" s="311"/>
    <row r="5277" hidden="1" ht="18.75" customFormat="1" customHeight="1" s="311"/>
    <row r="5278" hidden="1" ht="18.75" customFormat="1" customHeight="1" s="311"/>
    <row r="5279" hidden="1" ht="18.75" customFormat="1" customHeight="1" s="311"/>
    <row r="5280" hidden="1" ht="18.75" customFormat="1" customHeight="1" s="311"/>
    <row r="5281" hidden="1" ht="18.75" customFormat="1" customHeight="1" s="311"/>
    <row r="5282" hidden="1" ht="18.75" customFormat="1" customHeight="1" s="311"/>
    <row r="5283" hidden="1" ht="18.75" customFormat="1" customHeight="1" s="311"/>
    <row r="5284" hidden="1" ht="18.75" customFormat="1" customHeight="1" s="311"/>
    <row r="5285" hidden="1" ht="18.75" customFormat="1" customHeight="1" s="311"/>
    <row r="5286" hidden="1" ht="18.75" customFormat="1" customHeight="1" s="311"/>
    <row r="5287" hidden="1" ht="18.75" customFormat="1" customHeight="1" s="311"/>
    <row r="5288" hidden="1" ht="18.75" customFormat="1" customHeight="1" s="311"/>
    <row r="5289" hidden="1" ht="18.75" customFormat="1" customHeight="1" s="311"/>
    <row r="5290" hidden="1" ht="18.75" customFormat="1" customHeight="1" s="311"/>
    <row r="5291" hidden="1" ht="18.75" customFormat="1" customHeight="1" s="311"/>
    <row r="5292" hidden="1" ht="18.75" customFormat="1" customHeight="1" s="311"/>
    <row r="5293" hidden="1" ht="18.75" customFormat="1" customHeight="1" s="311"/>
    <row r="5294" hidden="1" ht="18.75" customFormat="1" customHeight="1" s="311"/>
    <row r="5295" hidden="1" ht="18.75" customFormat="1" customHeight="1" s="311"/>
    <row r="5296" hidden="1" ht="18.75" customFormat="1" customHeight="1" s="311"/>
    <row r="5297" hidden="1" ht="18.75" customFormat="1" customHeight="1" s="311"/>
    <row r="5298" hidden="1" ht="18.75" customFormat="1" customHeight="1" s="311"/>
    <row r="5299" hidden="1" ht="18.75" customFormat="1" customHeight="1" s="311"/>
    <row r="5300" hidden="1" ht="18.75" customFormat="1" customHeight="1" s="311"/>
    <row r="5301" hidden="1" ht="18.75" customFormat="1" customHeight="1" s="311"/>
    <row r="5302" hidden="1" ht="18.75" customFormat="1" customHeight="1" s="311"/>
    <row r="5303" hidden="1" ht="18.75" customFormat="1" customHeight="1" s="311"/>
    <row r="5304" hidden="1" ht="18.75" customFormat="1" customHeight="1" s="311"/>
    <row r="5305" hidden="1" ht="18.75" customFormat="1" customHeight="1" s="311"/>
    <row r="5306" hidden="1" ht="18.75" customFormat="1" customHeight="1" s="311"/>
    <row r="5307" hidden="1" ht="18.75" customFormat="1" customHeight="1" s="311"/>
    <row r="5308" hidden="1" ht="18.75" customFormat="1" customHeight="1" s="311"/>
    <row r="5309" hidden="1" ht="18.75" customFormat="1" customHeight="1" s="311"/>
    <row r="5310" hidden="1" ht="18.75" customFormat="1" customHeight="1" s="311"/>
    <row r="5311" hidden="1" ht="18.75" customFormat="1" customHeight="1" s="311"/>
    <row r="5312" hidden="1" ht="18.75" customFormat="1" customHeight="1" s="311"/>
    <row r="5313" hidden="1" ht="18.75" customFormat="1" customHeight="1" s="311"/>
    <row r="5314" hidden="1" ht="18.75" customFormat="1" customHeight="1" s="311"/>
    <row r="5315" hidden="1" ht="18.75" customFormat="1" customHeight="1" s="311"/>
    <row r="5316" hidden="1" ht="18.75" customFormat="1" customHeight="1" s="311"/>
    <row r="5317" hidden="1" ht="18.75" customFormat="1" customHeight="1" s="311"/>
    <row r="5318" hidden="1" ht="18.75" customFormat="1" customHeight="1" s="311"/>
    <row r="5319" hidden="1" ht="18.75" customFormat="1" customHeight="1" s="311"/>
    <row r="5320" hidden="1" ht="18.75" customFormat="1" customHeight="1" s="311"/>
    <row r="5321" hidden="1" ht="18.75" customFormat="1" customHeight="1" s="311"/>
    <row r="5322" hidden="1" ht="18.75" customFormat="1" customHeight="1" s="311"/>
    <row r="5323" hidden="1" ht="18.75" customFormat="1" customHeight="1" s="311"/>
    <row r="5324" hidden="1" ht="18.75" customFormat="1" customHeight="1" s="311"/>
    <row r="5325" hidden="1" ht="18.75" customFormat="1" customHeight="1" s="311"/>
    <row r="5326" hidden="1" ht="18.75" customFormat="1" customHeight="1" s="311"/>
    <row r="5327" hidden="1" ht="18.75" customFormat="1" customHeight="1" s="311"/>
    <row r="5328" hidden="1" ht="18.75" customFormat="1" customHeight="1" s="311"/>
    <row r="5329" hidden="1" ht="18.75" customFormat="1" customHeight="1" s="311"/>
    <row r="5330" hidden="1" ht="18.75" customFormat="1" customHeight="1" s="311"/>
    <row r="5331" hidden="1" ht="18.75" customFormat="1" customHeight="1" s="311"/>
    <row r="5332" hidden="1" ht="18.75" customFormat="1" customHeight="1" s="311"/>
    <row r="5333" hidden="1" ht="18.75" customFormat="1" customHeight="1" s="311"/>
    <row r="5334" hidden="1" ht="18.75" customFormat="1" customHeight="1" s="311"/>
    <row r="5335" hidden="1" ht="18.75" customFormat="1" customHeight="1" s="311"/>
    <row r="5336" hidden="1" ht="18.75" customFormat="1" customHeight="1" s="311"/>
    <row r="5337" hidden="1" ht="18.75" customFormat="1" customHeight="1" s="311"/>
    <row r="5338" hidden="1" ht="18.75" customFormat="1" customHeight="1" s="311"/>
    <row r="5339" hidden="1" ht="18.75" customFormat="1" customHeight="1" s="311"/>
    <row r="5340" hidden="1" ht="18.75" customFormat="1" customHeight="1" s="311"/>
    <row r="5341" hidden="1" ht="18.75" customFormat="1" customHeight="1" s="311"/>
    <row r="5342" hidden="1" ht="18.75" customFormat="1" customHeight="1" s="311"/>
    <row r="5343" hidden="1" ht="18.75" customFormat="1" customHeight="1" s="311"/>
    <row r="5344" hidden="1" ht="18.75" customFormat="1" customHeight="1" s="311"/>
    <row r="5345" hidden="1" ht="18.75" customFormat="1" customHeight="1" s="311"/>
    <row r="5346" hidden="1" ht="18.75" customFormat="1" customHeight="1" s="311"/>
    <row r="5347" hidden="1" ht="18.75" customFormat="1" customHeight="1" s="311"/>
    <row r="5348" hidden="1" ht="18.75" customFormat="1" customHeight="1" s="311"/>
    <row r="5349" hidden="1" ht="18.75" customFormat="1" customHeight="1" s="311"/>
    <row r="5350" hidden="1" ht="18.75" customFormat="1" customHeight="1" s="311"/>
    <row r="5351" hidden="1" ht="18.75" customFormat="1" customHeight="1" s="311"/>
    <row r="5352" hidden="1" ht="18.75" customFormat="1" customHeight="1" s="311"/>
    <row r="5353" hidden="1" ht="18.75" customFormat="1" customHeight="1" s="311"/>
    <row r="5354" hidden="1" ht="18.75" customFormat="1" customHeight="1" s="311"/>
    <row r="5355" hidden="1" ht="18.75" customFormat="1" customHeight="1" s="311"/>
    <row r="5356" hidden="1" ht="18.75" customFormat="1" customHeight="1" s="311"/>
    <row r="5357" hidden="1" ht="18.75" customFormat="1" customHeight="1" s="311"/>
    <row r="5358" hidden="1" ht="18.75" customFormat="1" customHeight="1" s="311"/>
    <row r="5359" hidden="1" ht="18.75" customFormat="1" customHeight="1" s="311"/>
    <row r="5360" hidden="1" ht="18.75" customFormat="1" customHeight="1" s="311"/>
    <row r="5361" hidden="1" ht="18.75" customFormat="1" customHeight="1" s="311"/>
    <row r="5362" hidden="1" ht="18.75" customFormat="1" customHeight="1" s="311"/>
    <row r="5363" hidden="1" ht="18.75" customFormat="1" customHeight="1" s="311"/>
    <row r="5364" hidden="1" ht="18.75" customFormat="1" customHeight="1" s="311"/>
    <row r="5365" hidden="1" ht="18.75" customFormat="1" customHeight="1" s="311"/>
    <row r="5366" hidden="1" ht="18.75" customFormat="1" customHeight="1" s="311"/>
    <row r="5367" hidden="1" ht="18.75" customFormat="1" customHeight="1" s="311"/>
    <row r="5368" hidden="1" ht="18.75" customFormat="1" customHeight="1" s="311"/>
    <row r="5369" hidden="1" ht="18.75" customFormat="1" customHeight="1" s="311"/>
    <row r="5370" hidden="1" ht="18.75" customFormat="1" customHeight="1" s="311"/>
    <row r="5371" hidden="1" ht="18.75" customFormat="1" customHeight="1" s="311"/>
    <row r="5372" hidden="1" ht="18.75" customFormat="1" customHeight="1" s="311"/>
    <row r="5373" hidden="1" ht="18.75" customFormat="1" customHeight="1" s="311"/>
    <row r="5374" hidden="1" ht="18.75" customFormat="1" customHeight="1" s="311"/>
    <row r="5375" hidden="1" ht="18.75" customFormat="1" customHeight="1" s="311"/>
    <row r="5376" hidden="1" ht="18.75" customFormat="1" customHeight="1" s="311"/>
    <row r="5377" hidden="1" ht="18.75" customFormat="1" customHeight="1" s="311"/>
    <row r="5378" hidden="1" ht="18.75" customFormat="1" customHeight="1" s="311"/>
    <row r="5379" hidden="1" ht="18.75" customFormat="1" customHeight="1" s="311"/>
    <row r="5380" hidden="1" ht="18.75" customFormat="1" customHeight="1" s="311"/>
    <row r="5381" hidden="1" ht="18.75" customFormat="1" customHeight="1" s="311"/>
    <row r="5382" hidden="1" ht="18.75" customFormat="1" customHeight="1" s="311"/>
    <row r="5383" hidden="1" ht="18.75" customFormat="1" customHeight="1" s="311"/>
    <row r="5384" hidden="1" ht="18.75" customFormat="1" customHeight="1" s="311"/>
    <row r="5385" hidden="1" ht="18.75" customFormat="1" customHeight="1" s="311"/>
    <row r="5386" hidden="1" ht="18.75" customFormat="1" customHeight="1" s="311"/>
    <row r="5387" hidden="1" ht="18.75" customFormat="1" customHeight="1" s="311"/>
    <row r="5388" hidden="1" ht="18.75" customFormat="1" customHeight="1" s="311"/>
    <row r="5389" hidden="1" ht="18.75" customFormat="1" customHeight="1" s="311"/>
    <row r="5390" hidden="1" ht="18.75" customFormat="1" customHeight="1" s="311"/>
    <row r="5391" hidden="1" ht="18.75" customFormat="1" customHeight="1" s="311"/>
    <row r="5392" hidden="1" ht="18.75" customFormat="1" customHeight="1" s="311"/>
    <row r="5393" hidden="1" ht="18.75" customFormat="1" customHeight="1" s="311"/>
    <row r="5394" hidden="1" ht="18.75" customFormat="1" customHeight="1" s="311"/>
    <row r="5395" hidden="1" ht="18.75" customFormat="1" customHeight="1" s="311"/>
    <row r="5396" hidden="1" ht="18.75" customFormat="1" customHeight="1" s="311"/>
    <row r="5397" hidden="1" ht="18.75" customFormat="1" customHeight="1" s="311"/>
    <row r="5398" hidden="1" ht="18.75" customFormat="1" customHeight="1" s="311"/>
    <row r="5399" hidden="1" ht="18.75" customFormat="1" customHeight="1" s="311"/>
    <row r="5400" hidden="1" ht="18.75" customFormat="1" customHeight="1" s="311"/>
    <row r="5401" hidden="1" ht="18.75" customFormat="1" customHeight="1" s="311"/>
    <row r="5402" hidden="1" ht="18.75" customFormat="1" customHeight="1" s="311"/>
    <row r="5403" hidden="1" ht="18.75" customFormat="1" customHeight="1" s="311"/>
    <row r="5404" hidden="1" ht="18.75" customFormat="1" customHeight="1" s="311"/>
    <row r="5405" hidden="1" ht="18.75" customFormat="1" customHeight="1" s="311"/>
    <row r="5406" hidden="1" ht="18.75" customFormat="1" customHeight="1" s="311"/>
    <row r="5407" hidden="1" ht="18.75" customFormat="1" customHeight="1" s="311"/>
    <row r="5408" hidden="1" ht="18.75" customFormat="1" customHeight="1" s="311"/>
    <row r="5409" hidden="1" ht="18.75" customFormat="1" customHeight="1" s="311"/>
    <row r="5410" hidden="1" ht="18.75" customFormat="1" customHeight="1" s="311"/>
    <row r="5411" hidden="1" ht="18.75" customFormat="1" customHeight="1" s="311"/>
    <row r="5412" hidden="1" ht="18.75" customFormat="1" customHeight="1" s="311"/>
    <row r="5413" hidden="1" ht="18.75" customFormat="1" customHeight="1" s="311"/>
    <row r="5414" hidden="1" ht="18.75" customFormat="1" customHeight="1" s="311"/>
    <row r="5415" hidden="1" ht="18.75" customFormat="1" customHeight="1" s="311"/>
    <row r="5416" hidden="1" ht="18.75" customFormat="1" customHeight="1" s="311"/>
    <row r="5417" hidden="1" ht="18.75" customFormat="1" customHeight="1" s="311"/>
    <row r="5418" hidden="1" ht="18.75" customFormat="1" customHeight="1" s="311"/>
    <row r="5419" hidden="1" ht="18.75" customFormat="1" customHeight="1" s="311"/>
    <row r="5420" hidden="1" ht="18.75" customFormat="1" customHeight="1" s="311"/>
    <row r="5421" hidden="1" ht="18.75" customFormat="1" customHeight="1" s="311"/>
    <row r="5422" hidden="1" ht="18.75" customFormat="1" customHeight="1" s="311"/>
    <row r="5423" hidden="1" ht="18.75" customFormat="1" customHeight="1" s="311"/>
    <row r="5424" hidden="1" ht="18.75" customFormat="1" customHeight="1" s="311"/>
    <row r="5425" hidden="1" ht="18.75" customFormat="1" customHeight="1" s="311"/>
    <row r="5426" hidden="1" ht="18.75" customFormat="1" customHeight="1" s="311"/>
    <row r="5427" hidden="1" ht="18.75" customFormat="1" customHeight="1" s="311"/>
    <row r="5428" hidden="1" ht="18.75" customFormat="1" customHeight="1" s="311"/>
    <row r="5429" hidden="1" ht="18.75" customFormat="1" customHeight="1" s="311"/>
    <row r="5430" hidden="1" ht="18.75" customFormat="1" customHeight="1" s="311"/>
    <row r="5431" hidden="1" ht="18.75" customFormat="1" customHeight="1" s="311"/>
    <row r="5432" hidden="1" ht="18.75" customFormat="1" customHeight="1" s="311"/>
    <row r="5433" hidden="1" ht="18.75" customFormat="1" customHeight="1" s="311"/>
    <row r="5434" hidden="1" ht="18.75" customFormat="1" customHeight="1" s="311"/>
    <row r="5435" hidden="1" ht="18.75" customFormat="1" customHeight="1" s="311"/>
    <row r="5436" hidden="1" ht="18.75" customFormat="1" customHeight="1" s="311"/>
    <row r="5437" hidden="1" ht="18.75" customFormat="1" customHeight="1" s="311"/>
    <row r="5438" hidden="1" ht="18.75" customFormat="1" customHeight="1" s="311"/>
    <row r="5439" hidden="1" ht="18.75" customFormat="1" customHeight="1" s="311"/>
    <row r="5440" hidden="1" ht="18.75" customFormat="1" customHeight="1" s="311"/>
    <row r="5441" hidden="1" ht="18.75" customFormat="1" customHeight="1" s="311"/>
    <row r="5442" hidden="1" ht="18.75" customFormat="1" customHeight="1" s="311"/>
    <row r="5443" hidden="1" ht="18.75" customFormat="1" customHeight="1" s="311"/>
    <row r="5444" hidden="1" ht="18.75" customFormat="1" customHeight="1" s="311"/>
    <row r="5445" hidden="1" ht="18.75" customFormat="1" customHeight="1" s="311"/>
    <row r="5446" hidden="1" ht="18.75" customFormat="1" customHeight="1" s="311"/>
    <row r="5447" hidden="1" ht="18.75" customFormat="1" customHeight="1" s="311"/>
    <row r="5448" hidden="1" ht="18.75" customFormat="1" customHeight="1" s="311"/>
    <row r="5449" hidden="1" ht="18.75" customFormat="1" customHeight="1" s="311"/>
    <row r="5450" hidden="1" ht="18.75" customFormat="1" customHeight="1" s="311"/>
    <row r="5451" hidden="1" ht="18.75" customFormat="1" customHeight="1" s="311"/>
    <row r="5452" hidden="1" ht="18.75" customFormat="1" customHeight="1" s="311"/>
    <row r="5453" hidden="1" ht="18.75" customFormat="1" customHeight="1" s="311"/>
    <row r="5454" hidden="1" ht="18.75" customFormat="1" customHeight="1" s="311"/>
    <row r="5455" hidden="1" ht="18.75" customFormat="1" customHeight="1" s="311"/>
    <row r="5456" hidden="1" ht="18.75" customFormat="1" customHeight="1" s="311"/>
    <row r="5457" hidden="1" ht="18.75" customFormat="1" customHeight="1" s="311"/>
    <row r="5458" hidden="1" ht="18.75" customFormat="1" customHeight="1" s="311"/>
    <row r="5459" hidden="1" ht="18.75" customFormat="1" customHeight="1" s="311"/>
    <row r="5460" hidden="1" ht="18.75" customFormat="1" customHeight="1" s="311"/>
    <row r="5461" hidden="1" ht="18.75" customFormat="1" customHeight="1" s="311"/>
    <row r="5462" hidden="1" ht="18.75" customFormat="1" customHeight="1" s="311"/>
    <row r="5463" hidden="1" ht="18.75" customFormat="1" customHeight="1" s="311"/>
    <row r="5464" hidden="1" ht="18.75" customFormat="1" customHeight="1" s="311"/>
    <row r="5465" hidden="1" ht="18.75" customFormat="1" customHeight="1" s="311"/>
    <row r="5466" hidden="1" ht="18.75" customFormat="1" customHeight="1" s="311"/>
    <row r="5467" hidden="1" ht="18.75" customFormat="1" customHeight="1" s="311"/>
    <row r="5468" hidden="1" ht="18.75" customFormat="1" customHeight="1" s="311"/>
    <row r="5469" hidden="1" ht="18.75" customFormat="1" customHeight="1" s="311"/>
    <row r="5470" hidden="1" ht="18.75" customFormat="1" customHeight="1" s="311"/>
    <row r="5471" hidden="1" ht="18.75" customFormat="1" customHeight="1" s="311"/>
    <row r="5472" hidden="1" ht="18.75" customFormat="1" customHeight="1" s="311"/>
    <row r="5473" hidden="1" ht="18.75" customFormat="1" customHeight="1" s="311"/>
    <row r="5474" hidden="1" ht="18.75" customFormat="1" customHeight="1" s="311"/>
    <row r="5475" hidden="1" ht="18.75" customFormat="1" customHeight="1" s="311"/>
    <row r="5476" hidden="1" ht="18.75" customFormat="1" customHeight="1" s="311"/>
    <row r="5477" hidden="1" ht="18.75" customFormat="1" customHeight="1" s="311"/>
    <row r="5478" hidden="1" ht="18.75" customFormat="1" customHeight="1" s="311"/>
    <row r="5479" hidden="1" ht="18.75" customFormat="1" customHeight="1" s="311"/>
    <row r="5480" hidden="1" ht="18.75" customFormat="1" customHeight="1" s="311"/>
    <row r="5481" hidden="1" ht="18.75" customFormat="1" customHeight="1" s="311"/>
    <row r="5482" hidden="1" ht="18.75" customFormat="1" customHeight="1" s="311"/>
    <row r="5483" hidden="1" ht="18.75" customFormat="1" customHeight="1" s="311"/>
    <row r="5484" hidden="1" ht="18.75" customFormat="1" customHeight="1" s="311"/>
    <row r="5485" hidden="1" ht="18.75" customFormat="1" customHeight="1" s="311"/>
    <row r="5486" hidden="1" ht="18.75" customFormat="1" customHeight="1" s="311"/>
    <row r="5487" hidden="1" ht="18.75" customFormat="1" customHeight="1" s="311"/>
    <row r="5488" hidden="1" ht="18.75" customFormat="1" customHeight="1" s="311"/>
    <row r="5489" hidden="1" ht="18.75" customFormat="1" customHeight="1" s="311"/>
    <row r="5490" hidden="1" ht="18.75" customFormat="1" customHeight="1" s="311"/>
    <row r="5491" hidden="1" ht="18.75" customFormat="1" customHeight="1" s="311"/>
    <row r="5492" hidden="1" ht="18.75" customFormat="1" customHeight="1" s="311"/>
    <row r="5493" hidden="1" ht="18.75" customFormat="1" customHeight="1" s="311"/>
    <row r="5494" hidden="1" ht="18.75" customFormat="1" customHeight="1" s="311"/>
    <row r="5495" hidden="1" ht="18.75" customFormat="1" customHeight="1" s="311"/>
    <row r="5496" hidden="1" ht="18.75" customFormat="1" customHeight="1" s="311"/>
    <row r="5497" hidden="1" ht="18.75" customFormat="1" customHeight="1" s="311"/>
    <row r="5498" hidden="1" ht="18.75" customFormat="1" customHeight="1" s="311"/>
    <row r="5499" hidden="1" ht="18.75" customFormat="1" customHeight="1" s="311"/>
    <row r="5500" hidden="1" ht="18.75" customFormat="1" customHeight="1" s="311"/>
    <row r="5501" hidden="1" ht="18.75" customFormat="1" customHeight="1" s="311"/>
    <row r="5502" hidden="1" ht="18.75" customFormat="1" customHeight="1" s="311"/>
    <row r="5503" hidden="1" ht="18.75" customFormat="1" customHeight="1" s="311"/>
    <row r="5504" hidden="1" ht="18.75" customFormat="1" customHeight="1" s="311"/>
    <row r="5505" hidden="1" ht="18.75" customFormat="1" customHeight="1" s="311"/>
    <row r="5506" hidden="1" ht="18.75" customFormat="1" customHeight="1" s="311"/>
    <row r="5507" hidden="1" ht="18.75" customFormat="1" customHeight="1" s="311"/>
    <row r="5508" hidden="1" ht="18.75" customFormat="1" customHeight="1" s="311"/>
    <row r="5509" hidden="1" ht="18.75" customFormat="1" customHeight="1" s="311"/>
    <row r="5510" hidden="1" ht="18.75" customFormat="1" customHeight="1" s="311"/>
    <row r="5511" hidden="1" ht="18.75" customFormat="1" customHeight="1" s="311"/>
    <row r="5512" hidden="1" ht="18.75" customFormat="1" customHeight="1" s="311"/>
    <row r="5513" hidden="1" ht="18.75" customFormat="1" customHeight="1" s="311"/>
    <row r="5514" hidden="1" ht="18.75" customFormat="1" customHeight="1" s="311"/>
    <row r="5515" hidden="1" ht="18.75" customFormat="1" customHeight="1" s="311"/>
    <row r="5516" hidden="1" ht="18.75" customFormat="1" customHeight="1" s="311"/>
    <row r="5517" hidden="1" ht="18.75" customFormat="1" customHeight="1" s="311"/>
    <row r="5518" hidden="1" ht="18.75" customFormat="1" customHeight="1" s="311"/>
    <row r="5519" hidden="1" ht="18.75" customFormat="1" customHeight="1" s="311"/>
    <row r="5520" hidden="1" ht="18.75" customFormat="1" customHeight="1" s="311"/>
    <row r="5521" hidden="1" ht="18.75" customFormat="1" customHeight="1" s="311"/>
    <row r="5522" hidden="1" ht="18.75" customFormat="1" customHeight="1" s="311"/>
    <row r="5523" hidden="1" ht="18.75" customFormat="1" customHeight="1" s="311"/>
    <row r="5524" hidden="1" ht="18.75" customFormat="1" customHeight="1" s="311"/>
    <row r="5525" hidden="1" ht="18.75" customFormat="1" customHeight="1" s="311"/>
    <row r="5526" hidden="1" ht="18.75" customFormat="1" customHeight="1" s="311"/>
    <row r="5527" hidden="1" ht="18.75" customFormat="1" customHeight="1" s="311"/>
    <row r="5528" hidden="1" ht="18.75" customFormat="1" customHeight="1" s="311"/>
    <row r="5529" hidden="1" ht="18.75" customFormat="1" customHeight="1" s="311"/>
    <row r="5530" hidden="1" ht="18.75" customFormat="1" customHeight="1" s="311"/>
    <row r="5531" hidden="1" ht="18.75" customFormat="1" customHeight="1" s="311"/>
    <row r="5532" hidden="1" ht="18.75" customFormat="1" customHeight="1" s="311"/>
    <row r="5533" hidden="1" ht="18.75" customFormat="1" customHeight="1" s="311"/>
    <row r="5534" hidden="1" ht="18.75" customFormat="1" customHeight="1" s="311"/>
    <row r="5535" hidden="1" ht="18.75" customFormat="1" customHeight="1" s="311"/>
    <row r="5536" hidden="1" ht="18.75" customFormat="1" customHeight="1" s="311"/>
    <row r="5537" hidden="1" ht="18.75" customFormat="1" customHeight="1" s="311"/>
    <row r="5538" hidden="1" ht="18.75" customFormat="1" customHeight="1" s="311"/>
    <row r="5539" hidden="1" ht="18.75" customFormat="1" customHeight="1" s="311"/>
    <row r="5540" hidden="1" ht="18.75" customFormat="1" customHeight="1" s="311"/>
    <row r="5541" hidden="1" ht="18.75" customFormat="1" customHeight="1" s="311"/>
    <row r="5542" hidden="1" ht="18.75" customFormat="1" customHeight="1" s="311"/>
    <row r="5543" hidden="1" ht="18.75" customFormat="1" customHeight="1" s="311"/>
    <row r="5544" hidden="1" ht="18.75" customFormat="1" customHeight="1" s="311"/>
    <row r="5545" hidden="1" ht="18.75" customFormat="1" customHeight="1" s="311"/>
    <row r="5546" hidden="1" ht="18.75" customFormat="1" customHeight="1" s="311"/>
    <row r="5547" hidden="1" ht="18.75" customFormat="1" customHeight="1" s="311"/>
    <row r="5548" hidden="1" ht="18.75" customFormat="1" customHeight="1" s="311"/>
    <row r="5549" hidden="1" ht="18.75" customFormat="1" customHeight="1" s="311"/>
    <row r="5550" hidden="1" ht="18.75" customFormat="1" customHeight="1" s="311"/>
    <row r="5551" hidden="1" ht="18.75" customFormat="1" customHeight="1" s="311"/>
    <row r="5552" hidden="1" ht="18.75" customFormat="1" customHeight="1" s="311"/>
    <row r="5553" hidden="1" ht="18.75" customFormat="1" customHeight="1" s="311"/>
    <row r="5554" hidden="1" ht="18.75" customFormat="1" customHeight="1" s="311"/>
    <row r="5555" hidden="1" ht="18.75" customFormat="1" customHeight="1" s="311"/>
    <row r="5556" hidden="1" ht="18.75" customFormat="1" customHeight="1" s="311"/>
    <row r="5557" hidden="1" ht="18.75" customFormat="1" customHeight="1" s="311"/>
    <row r="5558" hidden="1" ht="18.75" customFormat="1" customHeight="1" s="311"/>
    <row r="5559" hidden="1" ht="18.75" customFormat="1" customHeight="1" s="311"/>
    <row r="5560" hidden="1" ht="18.75" customFormat="1" customHeight="1" s="311"/>
    <row r="5561" hidden="1" ht="18.75" customFormat="1" customHeight="1" s="311"/>
    <row r="5562" hidden="1" ht="18.75" customFormat="1" customHeight="1" s="311"/>
    <row r="5563" hidden="1" ht="18.75" customFormat="1" customHeight="1" s="311"/>
    <row r="5564" hidden="1" ht="18.75" customFormat="1" customHeight="1" s="311"/>
    <row r="5565" hidden="1" ht="18.75" customFormat="1" customHeight="1" s="311"/>
    <row r="5566" hidden="1" ht="18.75" customFormat="1" customHeight="1" s="311"/>
    <row r="5567" hidden="1" ht="18.75" customFormat="1" customHeight="1" s="311"/>
    <row r="5568" hidden="1" ht="18.75" customFormat="1" customHeight="1" s="311"/>
    <row r="5569" hidden="1" ht="18.75" customFormat="1" customHeight="1" s="311"/>
    <row r="5570" hidden="1" ht="18.75" customFormat="1" customHeight="1" s="311"/>
    <row r="5571" hidden="1" ht="18.75" customFormat="1" customHeight="1" s="311"/>
    <row r="5572" hidden="1" ht="18.75" customFormat="1" customHeight="1" s="311"/>
    <row r="5573" hidden="1" ht="18.75" customFormat="1" customHeight="1" s="311"/>
    <row r="5574" hidden="1" ht="18.75" customFormat="1" customHeight="1" s="311"/>
    <row r="5575" hidden="1" ht="18.75" customFormat="1" customHeight="1" s="311"/>
    <row r="5576" hidden="1" ht="18.75" customFormat="1" customHeight="1" s="311"/>
    <row r="5577" hidden="1" ht="18.75" customFormat="1" customHeight="1" s="311"/>
    <row r="5578" hidden="1" ht="18.75" customFormat="1" customHeight="1" s="311"/>
    <row r="5579" hidden="1" ht="18.75" customFormat="1" customHeight="1" s="311"/>
    <row r="5580" hidden="1" ht="18.75" customFormat="1" customHeight="1" s="311"/>
    <row r="5581" hidden="1" ht="18.75" customFormat="1" customHeight="1" s="311"/>
    <row r="5582" hidden="1" ht="18.75" customFormat="1" customHeight="1" s="311"/>
    <row r="5583" hidden="1" ht="18.75" customFormat="1" customHeight="1" s="311"/>
    <row r="5584" hidden="1" ht="18.75" customFormat="1" customHeight="1" s="311"/>
    <row r="5585" hidden="1" ht="18.75" customFormat="1" customHeight="1" s="311"/>
    <row r="5586" hidden="1" ht="18.75" customFormat="1" customHeight="1" s="311"/>
    <row r="5587" hidden="1" ht="18.75" customFormat="1" customHeight="1" s="311"/>
    <row r="5588" hidden="1" ht="18.75" customFormat="1" customHeight="1" s="311"/>
    <row r="5589" hidden="1" ht="18.75" customFormat="1" customHeight="1" s="311"/>
    <row r="5590" hidden="1" ht="18.75" customFormat="1" customHeight="1" s="311"/>
    <row r="5591" hidden="1" ht="18.75" customFormat="1" customHeight="1" s="311"/>
    <row r="5592" hidden="1" ht="18.75" customFormat="1" customHeight="1" s="311"/>
    <row r="5593" hidden="1" ht="18.75" customFormat="1" customHeight="1" s="311"/>
    <row r="5594" hidden="1" ht="18.75" customFormat="1" customHeight="1" s="311"/>
    <row r="5595" hidden="1" ht="18.75" customFormat="1" customHeight="1" s="311"/>
    <row r="5596" hidden="1" ht="18.75" customFormat="1" customHeight="1" s="311"/>
    <row r="5597" hidden="1" ht="18.75" customFormat="1" customHeight="1" s="311"/>
    <row r="5598" hidden="1" ht="18.75" customFormat="1" customHeight="1" s="311"/>
    <row r="5599" hidden="1" ht="18.75" customFormat="1" customHeight="1" s="311"/>
    <row r="5600" hidden="1" ht="18.75" customFormat="1" customHeight="1" s="311"/>
    <row r="5601" hidden="1" ht="18.75" customFormat="1" customHeight="1" s="311"/>
    <row r="5602" hidden="1" ht="18.75" customFormat="1" customHeight="1" s="311"/>
    <row r="5603" hidden="1" ht="18.75" customFormat="1" customHeight="1" s="311"/>
    <row r="5604" hidden="1" ht="18.75" customFormat="1" customHeight="1" s="311"/>
    <row r="5605" hidden="1" ht="18.75" customFormat="1" customHeight="1" s="311"/>
    <row r="5606" hidden="1" ht="18.75" customFormat="1" customHeight="1" s="311"/>
    <row r="5607" hidden="1" ht="18.75" customFormat="1" customHeight="1" s="311"/>
    <row r="5608" hidden="1" ht="18.75" customFormat="1" customHeight="1" s="311"/>
    <row r="5609" hidden="1" ht="18.75" customFormat="1" customHeight="1" s="311"/>
    <row r="5610" hidden="1" ht="18.75" customFormat="1" customHeight="1" s="311"/>
    <row r="5611" hidden="1" ht="18.75" customFormat="1" customHeight="1" s="311"/>
    <row r="5612" hidden="1" ht="18.75" customFormat="1" customHeight="1" s="311"/>
    <row r="5613" hidden="1" ht="18.75" customFormat="1" customHeight="1" s="311"/>
    <row r="5614" hidden="1" ht="18.75" customFormat="1" customHeight="1" s="311"/>
    <row r="5615" hidden="1" ht="18.75" customFormat="1" customHeight="1" s="311"/>
    <row r="5616" hidden="1" ht="18.75" customFormat="1" customHeight="1" s="311"/>
    <row r="5617" hidden="1" ht="18.75" customFormat="1" customHeight="1" s="311"/>
    <row r="5618" hidden="1" ht="18.75" customFormat="1" customHeight="1" s="311"/>
    <row r="5619" hidden="1" ht="18.75" customFormat="1" customHeight="1" s="311"/>
    <row r="5620" hidden="1" ht="18.75" customFormat="1" customHeight="1" s="311"/>
    <row r="5621" hidden="1" ht="18.75" customFormat="1" customHeight="1" s="311"/>
    <row r="5622" hidden="1" ht="18.75" customFormat="1" customHeight="1" s="311"/>
    <row r="5623" hidden="1" ht="18.75" customFormat="1" customHeight="1" s="311"/>
    <row r="5624" hidden="1" ht="18.75" customFormat="1" customHeight="1" s="311"/>
    <row r="5625" hidden="1" ht="18.75" customFormat="1" customHeight="1" s="311"/>
    <row r="5626" hidden="1" ht="18.75" customFormat="1" customHeight="1" s="311"/>
    <row r="5627" hidden="1" ht="18.75" customFormat="1" customHeight="1" s="311"/>
    <row r="5628" hidden="1" ht="18.75" customFormat="1" customHeight="1" s="311"/>
    <row r="5629" hidden="1" ht="18.75" customFormat="1" customHeight="1" s="311"/>
    <row r="5630" hidden="1" ht="18.75" customFormat="1" customHeight="1" s="311"/>
    <row r="5631" hidden="1" ht="18.75" customFormat="1" customHeight="1" s="311"/>
    <row r="5632" hidden="1" ht="18.75" customFormat="1" customHeight="1" s="311"/>
    <row r="5633" hidden="1" ht="18.75" customFormat="1" customHeight="1" s="311"/>
    <row r="5634" hidden="1" ht="18.75" customFormat="1" customHeight="1" s="311"/>
    <row r="5635" hidden="1" ht="18.75" customFormat="1" customHeight="1" s="311"/>
    <row r="5636" hidden="1" ht="18.75" customFormat="1" customHeight="1" s="311"/>
    <row r="5637" hidden="1" ht="18.75" customFormat="1" customHeight="1" s="311"/>
    <row r="5638" hidden="1" ht="18.75" customFormat="1" customHeight="1" s="311"/>
    <row r="5639" hidden="1" ht="18.75" customFormat="1" customHeight="1" s="311"/>
    <row r="5640" hidden="1" ht="18.75" customFormat="1" customHeight="1" s="311"/>
    <row r="5641" hidden="1" ht="18.75" customFormat="1" customHeight="1" s="311"/>
    <row r="5642" hidden="1" ht="18.75" customFormat="1" customHeight="1" s="311"/>
    <row r="5643" hidden="1" ht="18.75" customFormat="1" customHeight="1" s="311"/>
    <row r="5644" hidden="1" ht="18.75" customFormat="1" customHeight="1" s="311"/>
    <row r="5645" hidden="1" ht="18.75" customFormat="1" customHeight="1" s="311"/>
    <row r="5646" hidden="1" ht="18.75" customFormat="1" customHeight="1" s="311"/>
    <row r="5647" hidden="1" ht="18.75" customFormat="1" customHeight="1" s="311"/>
    <row r="5648" hidden="1" ht="18.75" customFormat="1" customHeight="1" s="311"/>
    <row r="5649" hidden="1" ht="18.75" customFormat="1" customHeight="1" s="311"/>
    <row r="5650" hidden="1" ht="18.75" customFormat="1" customHeight="1" s="311"/>
    <row r="5651" hidden="1" ht="18.75" customFormat="1" customHeight="1" s="311"/>
    <row r="5652" hidden="1" ht="18.75" customFormat="1" customHeight="1" s="311"/>
    <row r="5653" hidden="1" ht="18.75" customFormat="1" customHeight="1" s="311"/>
    <row r="5654" hidden="1" ht="18.75" customFormat="1" customHeight="1" s="311"/>
    <row r="5655" hidden="1" ht="18.75" customFormat="1" customHeight="1" s="311"/>
    <row r="5656" hidden="1" ht="18.75" customFormat="1" customHeight="1" s="311"/>
    <row r="5657" hidden="1" ht="18.75" customFormat="1" customHeight="1" s="311"/>
    <row r="5658" hidden="1" ht="18.75" customFormat="1" customHeight="1" s="311"/>
    <row r="5659" hidden="1" ht="18.75" customFormat="1" customHeight="1" s="311"/>
    <row r="5660" hidden="1" ht="18.75" customFormat="1" customHeight="1" s="311"/>
    <row r="5661" hidden="1" ht="18.75" customFormat="1" customHeight="1" s="311"/>
    <row r="5662" hidden="1" ht="18.75" customFormat="1" customHeight="1" s="311"/>
    <row r="5663" hidden="1" ht="18.75" customFormat="1" customHeight="1" s="311"/>
    <row r="5664" hidden="1" ht="18.75" customFormat="1" customHeight="1" s="311"/>
    <row r="5665" hidden="1" ht="18.75" customFormat="1" customHeight="1" s="311"/>
    <row r="5666" hidden="1" ht="18.75" customFormat="1" customHeight="1" s="311"/>
    <row r="5667" hidden="1" ht="18.75" customFormat="1" customHeight="1" s="311"/>
    <row r="5668" hidden="1" ht="18.75" customFormat="1" customHeight="1" s="311"/>
    <row r="5669" hidden="1" ht="18.75" customFormat="1" customHeight="1" s="311"/>
    <row r="5670" hidden="1" ht="18.75" customFormat="1" customHeight="1" s="311"/>
    <row r="5671" hidden="1" ht="18.75" customFormat="1" customHeight="1" s="311"/>
    <row r="5672" hidden="1" ht="18.75" customFormat="1" customHeight="1" s="311"/>
    <row r="5673" hidden="1" ht="18.75" customFormat="1" customHeight="1" s="311"/>
    <row r="5674" hidden="1" ht="18.75" customFormat="1" customHeight="1" s="311"/>
    <row r="5675" hidden="1" ht="18.75" customFormat="1" customHeight="1" s="311"/>
    <row r="5676" hidden="1" ht="18.75" customFormat="1" customHeight="1" s="311"/>
    <row r="5677" hidden="1" ht="18.75" customFormat="1" customHeight="1" s="311"/>
    <row r="5678" hidden="1" ht="18.75" customFormat="1" customHeight="1" s="311"/>
    <row r="5679" hidden="1" ht="18.75" customFormat="1" customHeight="1" s="311"/>
    <row r="5680" hidden="1" ht="18.75" customFormat="1" customHeight="1" s="311"/>
    <row r="5681" hidden="1" ht="18.75" customFormat="1" customHeight="1" s="311"/>
    <row r="5682" hidden="1" ht="18.75" customFormat="1" customHeight="1" s="311"/>
    <row r="5683" hidden="1" ht="18.75" customFormat="1" customHeight="1" s="311"/>
    <row r="5684" hidden="1" ht="18.75" customFormat="1" customHeight="1" s="311"/>
    <row r="5685" hidden="1" ht="18.75" customFormat="1" customHeight="1" s="311"/>
    <row r="5686" hidden="1" ht="18.75" customFormat="1" customHeight="1" s="311"/>
    <row r="5687" hidden="1" ht="18.75" customFormat="1" customHeight="1" s="311"/>
    <row r="5688" hidden="1" ht="18.75" customFormat="1" customHeight="1" s="311"/>
    <row r="5689" hidden="1" ht="18.75" customFormat="1" customHeight="1" s="311"/>
    <row r="5690" hidden="1" ht="18.75" customFormat="1" customHeight="1" s="311"/>
    <row r="5691" hidden="1" ht="18.75" customFormat="1" customHeight="1" s="311"/>
    <row r="5692" hidden="1" ht="18.75" customFormat="1" customHeight="1" s="311"/>
    <row r="5693" hidden="1" ht="18.75" customFormat="1" customHeight="1" s="311"/>
    <row r="5694" hidden="1" ht="18.75" customFormat="1" customHeight="1" s="311"/>
    <row r="5695" hidden="1" ht="18.75" customFormat="1" customHeight="1" s="311"/>
    <row r="5696" hidden="1" ht="18.75" customFormat="1" customHeight="1" s="311"/>
    <row r="5697" hidden="1" ht="18.75" customFormat="1" customHeight="1" s="311"/>
    <row r="5698" hidden="1" ht="18.75" customFormat="1" customHeight="1" s="311"/>
    <row r="5699" hidden="1" ht="18.75" customFormat="1" customHeight="1" s="311"/>
    <row r="5700" hidden="1" ht="18.75" customFormat="1" customHeight="1" s="311"/>
    <row r="5701" hidden="1" ht="18.75" customFormat="1" customHeight="1" s="311"/>
    <row r="5702" hidden="1" ht="18.75" customFormat="1" customHeight="1" s="311"/>
    <row r="5703" hidden="1" ht="18.75" customFormat="1" customHeight="1" s="311"/>
    <row r="5704" hidden="1" ht="18.75" customFormat="1" customHeight="1" s="311"/>
    <row r="5705" hidden="1" ht="18.75" customFormat="1" customHeight="1" s="311"/>
    <row r="5706" hidden="1" ht="18.75" customFormat="1" customHeight="1" s="311"/>
    <row r="5707" hidden="1" ht="18.75" customFormat="1" customHeight="1" s="311"/>
    <row r="5708" hidden="1" ht="18.75" customFormat="1" customHeight="1" s="311"/>
    <row r="5709" hidden="1" ht="18.75" customFormat="1" customHeight="1" s="311"/>
    <row r="5710" hidden="1" ht="18.75" customFormat="1" customHeight="1" s="311"/>
    <row r="5711" hidden="1" ht="18.75" customFormat="1" customHeight="1" s="311"/>
    <row r="5712" hidden="1" ht="18.75" customFormat="1" customHeight="1" s="311"/>
    <row r="5713" hidden="1" ht="18.75" customFormat="1" customHeight="1" s="311"/>
    <row r="5714" hidden="1" ht="18.75" customFormat="1" customHeight="1" s="311"/>
    <row r="5715" hidden="1" ht="18.75" customFormat="1" customHeight="1" s="311"/>
    <row r="5716" hidden="1" ht="18.75" customFormat="1" customHeight="1" s="311"/>
    <row r="5717" hidden="1" ht="18.75" customFormat="1" customHeight="1" s="311"/>
    <row r="5718" hidden="1" ht="18.75" customFormat="1" customHeight="1" s="311"/>
    <row r="5719" hidden="1" ht="18.75" customFormat="1" customHeight="1" s="311"/>
    <row r="5720" hidden="1" ht="18.75" customFormat="1" customHeight="1" s="311"/>
    <row r="5721" hidden="1" ht="18.75" customFormat="1" customHeight="1" s="311"/>
    <row r="5722" hidden="1" ht="18.75" customFormat="1" customHeight="1" s="311"/>
    <row r="5723" hidden="1" ht="18.75" customFormat="1" customHeight="1" s="311"/>
    <row r="5724" hidden="1" ht="18.75" customFormat="1" customHeight="1" s="311"/>
    <row r="5725" hidden="1" ht="18.75" customFormat="1" customHeight="1" s="311"/>
    <row r="5726" hidden="1" ht="18.75" customFormat="1" customHeight="1" s="311"/>
    <row r="5727" hidden="1" ht="18.75" customFormat="1" customHeight="1" s="311"/>
    <row r="5728" hidden="1" ht="18.75" customFormat="1" customHeight="1" s="311"/>
    <row r="5729" hidden="1" ht="18.75" customFormat="1" customHeight="1" s="311"/>
    <row r="5730" hidden="1" ht="18.75" customFormat="1" customHeight="1" s="311"/>
    <row r="5731" hidden="1" ht="18.75" customFormat="1" customHeight="1" s="311"/>
    <row r="5732" hidden="1" ht="18.75" customFormat="1" customHeight="1" s="311"/>
    <row r="5733" hidden="1" ht="18.75" customFormat="1" customHeight="1" s="311"/>
    <row r="5734" hidden="1" ht="18.75" customFormat="1" customHeight="1" s="311"/>
    <row r="5735" hidden="1" ht="18.75" customFormat="1" customHeight="1" s="311"/>
    <row r="5736" hidden="1" ht="18.75" customFormat="1" customHeight="1" s="311"/>
    <row r="5737" hidden="1" ht="18.75" customFormat="1" customHeight="1" s="311"/>
    <row r="5738" hidden="1" ht="18.75" customFormat="1" customHeight="1" s="311"/>
    <row r="5739" hidden="1" ht="18.75" customFormat="1" customHeight="1" s="311"/>
    <row r="5740" hidden="1" ht="18.75" customFormat="1" customHeight="1" s="311"/>
    <row r="5741" hidden="1" ht="18.75" customFormat="1" customHeight="1" s="311"/>
    <row r="5742" hidden="1" ht="18.75" customFormat="1" customHeight="1" s="311"/>
    <row r="5743" hidden="1" ht="18.75" customFormat="1" customHeight="1" s="311"/>
    <row r="5744" hidden="1" ht="18.75" customFormat="1" customHeight="1" s="311"/>
    <row r="5745" hidden="1" ht="18.75" customFormat="1" customHeight="1" s="311"/>
    <row r="5746" hidden="1" ht="18.75" customFormat="1" customHeight="1" s="311"/>
    <row r="5747" hidden="1" ht="18.75" customFormat="1" customHeight="1" s="311"/>
    <row r="5748" hidden="1" ht="18.75" customFormat="1" customHeight="1" s="311"/>
    <row r="5749" hidden="1" ht="18.75" customFormat="1" customHeight="1" s="311"/>
    <row r="5750" hidden="1" ht="18.75" customFormat="1" customHeight="1" s="311"/>
    <row r="5751" hidden="1" ht="18.75" customFormat="1" customHeight="1" s="311"/>
    <row r="5752" hidden="1" ht="18.75" customFormat="1" customHeight="1" s="311"/>
    <row r="5753" hidden="1" ht="18.75" customFormat="1" customHeight="1" s="311"/>
    <row r="5754" hidden="1" ht="18.75" customFormat="1" customHeight="1" s="311"/>
    <row r="5755" hidden="1" ht="18.75" customFormat="1" customHeight="1" s="311"/>
    <row r="5756" hidden="1" ht="18.75" customFormat="1" customHeight="1" s="311"/>
    <row r="5757" hidden="1" ht="18.75" customFormat="1" customHeight="1" s="311"/>
    <row r="5758" hidden="1" ht="18.75" customFormat="1" customHeight="1" s="311"/>
    <row r="5759" hidden="1" ht="18.75" customFormat="1" customHeight="1" s="311"/>
    <row r="5760" hidden="1" ht="18.75" customFormat="1" customHeight="1" s="311"/>
    <row r="5761" hidden="1" ht="18.75" customFormat="1" customHeight="1" s="311"/>
    <row r="5762" hidden="1" ht="18.75" customFormat="1" customHeight="1" s="311"/>
    <row r="5763" hidden="1" ht="18.75" customFormat="1" customHeight="1" s="311"/>
    <row r="5764" hidden="1" ht="18.75" customFormat="1" customHeight="1" s="311"/>
    <row r="5765" hidden="1" ht="18.75" customFormat="1" customHeight="1" s="311"/>
    <row r="5766" hidden="1" ht="18.75" customFormat="1" customHeight="1" s="311"/>
    <row r="5767" hidden="1" ht="18.75" customFormat="1" customHeight="1" s="311"/>
    <row r="5768" hidden="1" ht="18.75" customFormat="1" customHeight="1" s="311"/>
    <row r="5769" hidden="1" ht="18.75" customFormat="1" customHeight="1" s="311"/>
    <row r="5770" hidden="1" ht="18.75" customFormat="1" customHeight="1" s="311"/>
    <row r="5771" hidden="1" ht="18.75" customFormat="1" customHeight="1" s="311"/>
    <row r="5772" hidden="1" ht="18.75" customFormat="1" customHeight="1" s="311"/>
    <row r="5773" hidden="1" ht="18.75" customFormat="1" customHeight="1" s="311"/>
    <row r="5774" hidden="1" ht="18.75" customFormat="1" customHeight="1" s="311"/>
    <row r="5775" hidden="1" ht="18.75" customFormat="1" customHeight="1" s="311"/>
    <row r="5776" hidden="1" ht="18.75" customFormat="1" customHeight="1" s="311"/>
    <row r="5777" hidden="1" ht="18.75" customFormat="1" customHeight="1" s="311"/>
    <row r="5778" hidden="1" ht="18.75" customFormat="1" customHeight="1" s="311"/>
    <row r="5779" hidden="1" ht="18.75" customFormat="1" customHeight="1" s="311"/>
    <row r="5780" hidden="1" ht="18.75" customFormat="1" customHeight="1" s="311"/>
    <row r="5781" hidden="1" ht="18.75" customFormat="1" customHeight="1" s="311"/>
    <row r="5782" hidden="1" ht="18.75" customFormat="1" customHeight="1" s="311"/>
    <row r="5783" hidden="1" ht="18.75" customFormat="1" customHeight="1" s="311"/>
    <row r="5784" hidden="1" ht="18.75" customFormat="1" customHeight="1" s="311"/>
    <row r="5785" hidden="1" ht="18.75" customFormat="1" customHeight="1" s="311"/>
    <row r="5786" hidden="1" ht="18.75" customFormat="1" customHeight="1" s="311"/>
    <row r="5787" hidden="1" ht="18.75" customFormat="1" customHeight="1" s="311"/>
    <row r="5788" hidden="1" ht="18.75" customFormat="1" customHeight="1" s="311"/>
    <row r="5789" hidden="1" ht="18.75" customFormat="1" customHeight="1" s="311"/>
    <row r="5790" hidden="1" ht="18.75" customFormat="1" customHeight="1" s="311"/>
    <row r="5791" hidden="1" ht="18.75" customFormat="1" customHeight="1" s="311"/>
    <row r="5792" hidden="1" ht="18.75" customFormat="1" customHeight="1" s="311"/>
    <row r="5793" hidden="1" ht="18.75" customFormat="1" customHeight="1" s="311"/>
    <row r="5794" hidden="1" ht="18.75" customFormat="1" customHeight="1" s="311"/>
    <row r="5795" hidden="1" ht="18.75" customFormat="1" customHeight="1" s="311"/>
    <row r="5796" hidden="1" ht="18.75" customFormat="1" customHeight="1" s="311"/>
    <row r="5797" hidden="1" ht="18.75" customFormat="1" customHeight="1" s="311"/>
    <row r="5798" hidden="1" ht="18.75" customFormat="1" customHeight="1" s="311"/>
    <row r="5799" hidden="1" ht="18.75" customFormat="1" customHeight="1" s="311"/>
    <row r="5800" hidden="1" ht="18.75" customFormat="1" customHeight="1" s="311"/>
    <row r="5801" hidden="1" ht="18.75" customFormat="1" customHeight="1" s="311"/>
    <row r="5802" hidden="1" ht="18.75" customFormat="1" customHeight="1" s="311"/>
    <row r="5803" hidden="1" ht="18.75" customFormat="1" customHeight="1" s="311"/>
    <row r="5804" hidden="1" ht="18.75" customFormat="1" customHeight="1" s="311"/>
    <row r="5805" hidden="1" ht="18.75" customFormat="1" customHeight="1" s="311"/>
    <row r="5806" hidden="1" ht="18.75" customFormat="1" customHeight="1" s="311"/>
    <row r="5807" hidden="1" ht="18.75" customFormat="1" customHeight="1" s="311"/>
    <row r="5808" hidden="1" ht="18.75" customFormat="1" customHeight="1" s="311"/>
    <row r="5809" hidden="1" ht="18.75" customFormat="1" customHeight="1" s="311"/>
    <row r="5810" hidden="1" ht="18.75" customFormat="1" customHeight="1" s="311"/>
    <row r="5811" hidden="1" ht="18.75" customFormat="1" customHeight="1" s="311"/>
    <row r="5812" hidden="1" ht="18.75" customFormat="1" customHeight="1" s="311"/>
    <row r="5813" hidden="1" ht="18.75" customFormat="1" customHeight="1" s="311"/>
    <row r="5814" hidden="1" ht="18.75" customFormat="1" customHeight="1" s="311"/>
    <row r="5815" hidden="1" ht="18.75" customFormat="1" customHeight="1" s="311"/>
    <row r="5816" hidden="1" ht="18.75" customFormat="1" customHeight="1" s="311"/>
    <row r="5817" hidden="1" ht="18.75" customFormat="1" customHeight="1" s="311"/>
    <row r="5818" hidden="1" ht="18.75" customFormat="1" customHeight="1" s="311"/>
    <row r="5819" hidden="1" ht="18.75" customFormat="1" customHeight="1" s="311"/>
    <row r="5820" hidden="1" ht="18.75" customFormat="1" customHeight="1" s="311"/>
    <row r="5821" hidden="1" ht="18.75" customFormat="1" customHeight="1" s="311"/>
    <row r="5822" hidden="1" ht="18.75" customFormat="1" customHeight="1" s="311"/>
    <row r="5823" hidden="1" ht="18.75" customFormat="1" customHeight="1" s="311"/>
    <row r="5824" hidden="1" ht="18.75" customFormat="1" customHeight="1" s="311"/>
    <row r="5825" hidden="1" ht="18.75" customFormat="1" customHeight="1" s="311"/>
    <row r="5826" hidden="1" ht="18.75" customFormat="1" customHeight="1" s="311"/>
    <row r="5827" hidden="1" ht="18.75" customFormat="1" customHeight="1" s="311"/>
    <row r="5828" hidden="1" ht="18.75" customFormat="1" customHeight="1" s="311"/>
    <row r="5829" hidden="1" ht="18.75" customFormat="1" customHeight="1" s="311"/>
    <row r="5830" hidden="1" ht="18.75" customFormat="1" customHeight="1" s="311"/>
    <row r="5831" hidden="1" ht="18.75" customFormat="1" customHeight="1" s="311"/>
    <row r="5832" hidden="1" ht="18.75" customFormat="1" customHeight="1" s="311"/>
    <row r="5833" hidden="1" ht="18.75" customFormat="1" customHeight="1" s="311"/>
    <row r="5834" hidden="1" ht="18.75" customFormat="1" customHeight="1" s="311"/>
    <row r="5835" hidden="1" ht="18.75" customFormat="1" customHeight="1" s="311"/>
    <row r="5836" hidden="1" ht="18.75" customFormat="1" customHeight="1" s="311"/>
    <row r="5837" hidden="1" ht="18.75" customFormat="1" customHeight="1" s="311"/>
    <row r="5838" hidden="1" ht="18.75" customFormat="1" customHeight="1" s="311"/>
    <row r="5839" hidden="1" ht="18.75" customFormat="1" customHeight="1" s="311"/>
    <row r="5840" hidden="1" ht="18.75" customFormat="1" customHeight="1" s="311"/>
    <row r="5841" hidden="1" ht="18.75" customFormat="1" customHeight="1" s="311"/>
    <row r="5842" hidden="1" ht="18.75" customFormat="1" customHeight="1" s="311"/>
    <row r="5843" hidden="1" ht="18.75" customFormat="1" customHeight="1" s="311"/>
    <row r="5844" hidden="1" ht="18.75" customFormat="1" customHeight="1" s="311"/>
    <row r="5845" hidden="1" ht="18.75" customFormat="1" customHeight="1" s="311"/>
    <row r="5846" hidden="1" ht="18.75" customFormat="1" customHeight="1" s="311"/>
    <row r="5847" hidden="1" ht="18.75" customFormat="1" customHeight="1" s="311"/>
    <row r="5848" hidden="1" ht="18.75" customFormat="1" customHeight="1" s="311"/>
    <row r="5849" hidden="1" ht="18.75" customFormat="1" customHeight="1" s="311"/>
    <row r="5850" hidden="1" ht="18.75" customFormat="1" customHeight="1" s="311"/>
    <row r="5851" hidden="1" ht="18.75" customFormat="1" customHeight="1" s="311"/>
    <row r="5852" hidden="1" ht="18.75" customFormat="1" customHeight="1" s="311"/>
    <row r="5853" hidden="1" ht="18.75" customFormat="1" customHeight="1" s="311"/>
    <row r="5854" hidden="1" ht="18.75" customFormat="1" customHeight="1" s="311"/>
    <row r="5855" hidden="1" ht="18.75" customFormat="1" customHeight="1" s="311"/>
    <row r="5856" hidden="1" ht="18.75" customFormat="1" customHeight="1" s="311"/>
    <row r="5857" hidden="1" ht="18.75" customFormat="1" customHeight="1" s="311"/>
    <row r="5858" hidden="1" ht="18.75" customFormat="1" customHeight="1" s="311"/>
    <row r="5859" hidden="1" ht="18.75" customFormat="1" customHeight="1" s="311"/>
    <row r="5860" hidden="1" ht="18.75" customFormat="1" customHeight="1" s="311"/>
    <row r="5861" hidden="1" ht="18.75" customFormat="1" customHeight="1" s="311"/>
    <row r="5862" hidden="1" ht="18.75" customFormat="1" customHeight="1" s="311"/>
    <row r="5863" hidden="1" ht="18.75" customFormat="1" customHeight="1" s="311"/>
    <row r="5864" hidden="1" ht="18.75" customFormat="1" customHeight="1" s="311"/>
    <row r="5865" hidden="1" ht="18.75" customFormat="1" customHeight="1" s="311"/>
    <row r="5866" hidden="1" ht="18.75" customFormat="1" customHeight="1" s="311"/>
    <row r="5867" hidden="1" ht="18.75" customFormat="1" customHeight="1" s="311"/>
    <row r="5868" hidden="1" ht="18.75" customFormat="1" customHeight="1" s="311"/>
    <row r="5869" hidden="1" ht="18.75" customFormat="1" customHeight="1" s="311"/>
    <row r="5870" hidden="1" ht="18.75" customFormat="1" customHeight="1" s="311"/>
    <row r="5871" hidden="1" ht="18.75" customFormat="1" customHeight="1" s="311"/>
    <row r="5872" hidden="1" ht="18.75" customFormat="1" customHeight="1" s="311"/>
    <row r="5873" hidden="1" ht="18.75" customFormat="1" customHeight="1" s="311"/>
    <row r="5874" hidden="1" ht="18.75" customFormat="1" customHeight="1" s="311"/>
    <row r="5875" hidden="1" ht="18.75" customFormat="1" customHeight="1" s="311"/>
    <row r="5876" hidden="1" ht="18.75" customFormat="1" customHeight="1" s="311"/>
    <row r="5877" hidden="1" ht="18.75" customFormat="1" customHeight="1" s="311"/>
    <row r="5878" hidden="1" ht="18.75" customFormat="1" customHeight="1" s="311"/>
    <row r="5879" hidden="1" ht="18.75" customFormat="1" customHeight="1" s="311"/>
    <row r="5880" hidden="1" ht="18.75" customFormat="1" customHeight="1" s="311"/>
    <row r="5881" hidden="1" ht="18.75" customFormat="1" customHeight="1" s="311"/>
    <row r="5882" hidden="1" ht="18.75" customFormat="1" customHeight="1" s="311"/>
    <row r="5883" hidden="1" ht="18.75" customFormat="1" customHeight="1" s="311"/>
    <row r="5884" hidden="1" ht="18.75" customFormat="1" customHeight="1" s="311"/>
    <row r="5885" hidden="1" ht="18.75" customFormat="1" customHeight="1" s="311"/>
    <row r="5886" hidden="1" ht="18.75" customFormat="1" customHeight="1" s="311"/>
    <row r="5887" hidden="1" ht="18.75" customFormat="1" customHeight="1" s="311"/>
    <row r="5888" hidden="1" ht="18.75" customFormat="1" customHeight="1" s="311"/>
    <row r="5889" hidden="1" ht="18.75" customFormat="1" customHeight="1" s="311"/>
    <row r="5890" hidden="1" ht="18.75" customFormat="1" customHeight="1" s="311"/>
    <row r="5891" hidden="1" ht="18.75" customFormat="1" customHeight="1" s="311"/>
    <row r="5892" hidden="1" ht="18.75" customFormat="1" customHeight="1" s="311"/>
    <row r="5893" hidden="1" ht="18.75" customFormat="1" customHeight="1" s="311"/>
    <row r="5894" hidden="1" ht="18.75" customFormat="1" customHeight="1" s="311"/>
    <row r="5895" hidden="1" ht="18.75" customFormat="1" customHeight="1" s="311"/>
    <row r="5896" hidden="1" ht="18.75" customFormat="1" customHeight="1" s="311"/>
    <row r="5897" hidden="1" ht="18.75" customFormat="1" customHeight="1" s="311"/>
    <row r="5898" hidden="1" ht="18.75" customFormat="1" customHeight="1" s="311"/>
    <row r="5899" hidden="1" ht="18.75" customFormat="1" customHeight="1" s="311"/>
    <row r="5900" hidden="1" ht="18.75" customFormat="1" customHeight="1" s="311"/>
    <row r="5901" hidden="1" ht="18.75" customFormat="1" customHeight="1" s="311"/>
    <row r="5902" hidden="1" ht="18.75" customFormat="1" customHeight="1" s="311"/>
    <row r="5903" hidden="1" ht="18.75" customFormat="1" customHeight="1" s="311"/>
    <row r="5904" hidden="1" ht="18.75" customFormat="1" customHeight="1" s="311"/>
    <row r="5905" hidden="1" ht="18.75" customFormat="1" customHeight="1" s="311"/>
    <row r="5906" hidden="1" ht="18.75" customFormat="1" customHeight="1" s="311"/>
    <row r="5907" hidden="1" ht="18.75" customFormat="1" customHeight="1" s="311"/>
    <row r="5908" hidden="1" ht="18.75" customFormat="1" customHeight="1" s="311"/>
    <row r="5909" hidden="1" ht="18.75" customFormat="1" customHeight="1" s="311"/>
    <row r="5910" hidden="1" ht="18.75" customFormat="1" customHeight="1" s="311"/>
    <row r="5911" hidden="1" ht="18.75" customFormat="1" customHeight="1" s="311"/>
    <row r="5912" hidden="1" ht="18.75" customFormat="1" customHeight="1" s="311"/>
    <row r="5913" hidden="1" ht="18.75" customFormat="1" customHeight="1" s="311"/>
    <row r="5914" hidden="1" ht="18.75" customFormat="1" customHeight="1" s="311"/>
    <row r="5915" hidden="1" ht="18.75" customFormat="1" customHeight="1" s="311"/>
    <row r="5916" hidden="1" ht="18.75" customFormat="1" customHeight="1" s="311"/>
    <row r="5917" hidden="1" ht="18.75" customFormat="1" customHeight="1" s="311"/>
    <row r="5918" hidden="1" ht="18.75" customFormat="1" customHeight="1" s="311"/>
    <row r="5919" hidden="1" ht="18.75" customFormat="1" customHeight="1" s="311"/>
    <row r="5920" hidden="1" ht="18.75" customFormat="1" customHeight="1" s="311"/>
    <row r="5921" hidden="1" ht="18.75" customFormat="1" customHeight="1" s="311"/>
    <row r="5922" hidden="1" ht="18.75" customFormat="1" customHeight="1" s="311"/>
    <row r="5923" hidden="1" ht="18.75" customFormat="1" customHeight="1" s="311"/>
    <row r="5924" hidden="1" ht="18.75" customFormat="1" customHeight="1" s="311"/>
    <row r="5925" hidden="1" ht="18.75" customFormat="1" customHeight="1" s="311"/>
    <row r="5926" hidden="1" ht="18.75" customFormat="1" customHeight="1" s="311"/>
    <row r="5927" hidden="1" ht="18.75" customFormat="1" customHeight="1" s="311"/>
    <row r="5928" hidden="1" ht="18.75" customFormat="1" customHeight="1" s="311"/>
    <row r="5929" hidden="1" ht="18.75" customFormat="1" customHeight="1" s="311"/>
    <row r="5930" hidden="1" ht="18.75" customFormat="1" customHeight="1" s="311"/>
    <row r="5931" hidden="1" ht="18.75" customFormat="1" customHeight="1" s="311"/>
    <row r="5932" hidden="1" ht="18.75" customFormat="1" customHeight="1" s="311"/>
    <row r="5933" hidden="1" ht="18.75" customFormat="1" customHeight="1" s="311"/>
    <row r="5934" hidden="1" ht="18.75" customFormat="1" customHeight="1" s="311"/>
    <row r="5935" hidden="1" ht="18.75" customFormat="1" customHeight="1" s="311"/>
    <row r="5936" hidden="1" ht="18.75" customFormat="1" customHeight="1" s="311"/>
    <row r="5937" hidden="1" ht="18.75" customFormat="1" customHeight="1" s="311"/>
    <row r="5938" hidden="1" ht="18.75" customFormat="1" customHeight="1" s="311"/>
    <row r="5939" hidden="1" ht="18.75" customFormat="1" customHeight="1" s="311"/>
    <row r="5940" hidden="1" ht="18.75" customFormat="1" customHeight="1" s="311"/>
    <row r="5941" hidden="1" ht="18.75" customFormat="1" customHeight="1" s="311"/>
    <row r="5942" hidden="1" ht="18.75" customFormat="1" customHeight="1" s="311"/>
    <row r="5943" hidden="1" ht="18.75" customFormat="1" customHeight="1" s="311"/>
    <row r="5944" hidden="1" ht="18.75" customFormat="1" customHeight="1" s="311"/>
    <row r="5945" hidden="1" ht="18.75" customFormat="1" customHeight="1" s="311"/>
    <row r="5946" hidden="1" ht="18.75" customFormat="1" customHeight="1" s="311"/>
    <row r="5947" hidden="1" ht="18.75" customFormat="1" customHeight="1" s="311"/>
    <row r="5948" hidden="1" ht="18.75" customFormat="1" customHeight="1" s="311"/>
    <row r="5949" hidden="1" ht="18.75" customFormat="1" customHeight="1" s="311"/>
    <row r="5950" hidden="1" ht="18.75" customFormat="1" customHeight="1" s="311"/>
    <row r="5951" hidden="1" ht="18.75" customFormat="1" customHeight="1" s="311"/>
    <row r="5952" hidden="1" ht="18.75" customFormat="1" customHeight="1" s="311"/>
    <row r="5953" hidden="1" ht="18.75" customFormat="1" customHeight="1" s="311"/>
    <row r="5954" hidden="1" ht="18.75" customFormat="1" customHeight="1" s="311"/>
    <row r="5955" hidden="1" ht="18.75" customFormat="1" customHeight="1" s="311"/>
    <row r="5956" hidden="1" ht="18.75" customFormat="1" customHeight="1" s="311"/>
    <row r="5957" hidden="1" ht="18.75" customFormat="1" customHeight="1" s="311"/>
    <row r="5958" hidden="1" ht="18.75" customFormat="1" customHeight="1" s="311"/>
    <row r="5959" hidden="1" ht="18.75" customFormat="1" customHeight="1" s="311"/>
    <row r="5960" hidden="1" ht="18.75" customFormat="1" customHeight="1" s="311"/>
    <row r="5961" hidden="1" ht="18.75" customFormat="1" customHeight="1" s="311"/>
    <row r="5962" hidden="1" ht="18.75" customFormat="1" customHeight="1" s="311"/>
    <row r="5963" hidden="1" ht="18.75" customFormat="1" customHeight="1" s="311"/>
    <row r="5964" hidden="1" ht="18.75" customFormat="1" customHeight="1" s="311"/>
    <row r="5965" hidden="1" ht="18.75" customFormat="1" customHeight="1" s="311"/>
    <row r="5966" hidden="1" ht="18.75" customFormat="1" customHeight="1" s="311"/>
    <row r="5967" hidden="1" ht="18.75" customFormat="1" customHeight="1" s="311"/>
    <row r="5968" hidden="1" ht="18.75" customFormat="1" customHeight="1" s="311"/>
    <row r="5969" hidden="1" ht="18.75" customFormat="1" customHeight="1" s="311"/>
    <row r="5970" hidden="1" ht="18.75" customFormat="1" customHeight="1" s="311"/>
    <row r="5971" hidden="1" ht="18.75" customFormat="1" customHeight="1" s="311"/>
    <row r="5972" hidden="1" ht="18.75" customFormat="1" customHeight="1" s="311"/>
    <row r="5973" hidden="1" ht="18.75" customFormat="1" customHeight="1" s="311"/>
    <row r="5974" hidden="1" ht="18.75" customFormat="1" customHeight="1" s="311"/>
    <row r="5975" hidden="1" ht="18.75" customFormat="1" customHeight="1" s="311"/>
    <row r="5976" hidden="1" ht="18.75" customFormat="1" customHeight="1" s="311"/>
    <row r="5977" hidden="1" ht="18.75" customFormat="1" customHeight="1" s="311"/>
    <row r="5978" hidden="1" ht="18.75" customFormat="1" customHeight="1" s="311"/>
    <row r="5979" hidden="1" ht="18.75" customFormat="1" customHeight="1" s="311"/>
    <row r="5980" hidden="1" ht="18.75" customFormat="1" customHeight="1" s="311"/>
    <row r="5981" hidden="1" ht="18.75" customFormat="1" customHeight="1" s="311"/>
    <row r="5982" hidden="1" ht="18.75" customFormat="1" customHeight="1" s="311"/>
    <row r="5983" hidden="1" ht="18.75" customFormat="1" customHeight="1" s="311"/>
    <row r="5984" hidden="1" ht="18.75" customFormat="1" customHeight="1" s="311"/>
    <row r="5985" hidden="1" ht="18.75" customFormat="1" customHeight="1" s="311"/>
    <row r="5986" hidden="1" ht="18.75" customFormat="1" customHeight="1" s="311"/>
    <row r="5987" hidden="1" ht="18.75" customFormat="1" customHeight="1" s="311"/>
    <row r="5988" hidden="1" ht="18.75" customFormat="1" customHeight="1" s="311"/>
    <row r="5989" hidden="1" ht="18.75" customFormat="1" customHeight="1" s="311"/>
    <row r="5990" hidden="1" ht="18.75" customFormat="1" customHeight="1" s="311"/>
    <row r="5991" hidden="1" ht="18.75" customFormat="1" customHeight="1" s="311"/>
    <row r="5992" hidden="1" ht="18.75" customFormat="1" customHeight="1" s="311"/>
    <row r="5993" hidden="1" ht="18.75" customFormat="1" customHeight="1" s="311"/>
    <row r="5994" hidden="1" ht="18.75" customFormat="1" customHeight="1" s="311"/>
    <row r="5995" hidden="1" ht="18.75" customFormat="1" customHeight="1" s="311"/>
    <row r="5996" hidden="1" ht="18.75" customFormat="1" customHeight="1" s="311"/>
    <row r="5997" hidden="1" ht="18.75" customFormat="1" customHeight="1" s="311"/>
    <row r="5998" hidden="1" ht="18.75" customFormat="1" customHeight="1" s="311"/>
    <row r="5999" hidden="1" ht="18.75" customFormat="1" customHeight="1" s="311"/>
    <row r="6000" hidden="1" ht="18.75" customFormat="1" customHeight="1" s="311"/>
    <row r="6001" hidden="1" ht="18.75" customFormat="1" customHeight="1" s="311"/>
    <row r="6002" hidden="1" ht="18.75" customFormat="1" customHeight="1" s="311"/>
    <row r="6003" hidden="1" ht="18.75" customFormat="1" customHeight="1" s="311"/>
    <row r="6004" hidden="1" ht="18.75" customFormat="1" customHeight="1" s="311"/>
    <row r="6005" hidden="1" ht="18.75" customFormat="1" customHeight="1" s="311"/>
    <row r="6006" hidden="1" ht="18.75" customFormat="1" customHeight="1" s="311"/>
    <row r="6007" hidden="1" ht="18.75" customFormat="1" customHeight="1" s="311"/>
    <row r="6008" hidden="1" ht="18.75" customFormat="1" customHeight="1" s="311"/>
    <row r="6009" hidden="1" ht="18.75" customFormat="1" customHeight="1" s="311"/>
    <row r="6010" hidden="1" ht="18.75" customFormat="1" customHeight="1" s="311"/>
    <row r="6011" hidden="1" ht="18.75" customFormat="1" customHeight="1" s="311"/>
    <row r="6012" hidden="1" ht="18.75" customFormat="1" customHeight="1" s="311"/>
    <row r="6013" hidden="1" ht="18.75" customFormat="1" customHeight="1" s="311"/>
    <row r="6014" hidden="1" ht="18.75" customFormat="1" customHeight="1" s="311"/>
    <row r="6015" hidden="1" ht="18.75" customFormat="1" customHeight="1" s="311"/>
    <row r="6016" hidden="1" ht="18.75" customFormat="1" customHeight="1" s="311"/>
    <row r="6017" hidden="1" ht="18.75" customFormat="1" customHeight="1" s="311"/>
    <row r="6018" hidden="1" ht="18.75" customFormat="1" customHeight="1" s="311"/>
    <row r="6019" hidden="1" ht="18.75" customFormat="1" customHeight="1" s="311"/>
    <row r="6020" hidden="1" ht="18.75" customFormat="1" customHeight="1" s="311"/>
    <row r="6021" hidden="1" ht="18.75" customFormat="1" customHeight="1" s="311"/>
    <row r="6022" hidden="1" ht="18.75" customFormat="1" customHeight="1" s="311"/>
    <row r="6023" hidden="1" ht="18.75" customFormat="1" customHeight="1" s="311"/>
    <row r="6024" hidden="1" ht="18.75" customFormat="1" customHeight="1" s="311"/>
    <row r="6025" hidden="1" ht="18.75" customFormat="1" customHeight="1" s="311"/>
    <row r="6026" hidden="1" ht="18.75" customFormat="1" customHeight="1" s="311"/>
    <row r="6027" hidden="1" ht="18.75" customFormat="1" customHeight="1" s="311"/>
    <row r="6028" hidden="1" ht="18.75" customFormat="1" customHeight="1" s="311"/>
    <row r="6029" hidden="1" ht="18.75" customFormat="1" customHeight="1" s="311"/>
    <row r="6030" hidden="1" ht="18.75" customFormat="1" customHeight="1" s="311"/>
    <row r="6031" hidden="1" ht="18.75" customFormat="1" customHeight="1" s="311"/>
    <row r="6032" hidden="1" ht="18.75" customFormat="1" customHeight="1" s="311"/>
    <row r="6033" hidden="1" ht="18.75" customFormat="1" customHeight="1" s="311"/>
    <row r="6034" hidden="1" ht="18.75" customFormat="1" customHeight="1" s="311"/>
    <row r="6035" hidden="1" ht="18.75" customFormat="1" customHeight="1" s="311"/>
    <row r="6036" hidden="1" ht="18.75" customFormat="1" customHeight="1" s="311"/>
    <row r="6037" hidden="1" ht="18.75" customFormat="1" customHeight="1" s="311"/>
    <row r="6038" hidden="1" ht="18.75" customFormat="1" customHeight="1" s="311"/>
    <row r="6039" hidden="1" ht="18.75" customFormat="1" customHeight="1" s="311"/>
    <row r="6040" hidden="1" ht="18.75" customFormat="1" customHeight="1" s="311"/>
    <row r="6041" hidden="1" ht="18.75" customFormat="1" customHeight="1" s="311"/>
    <row r="6042" hidden="1" ht="18.75" customFormat="1" customHeight="1" s="311"/>
    <row r="6043" hidden="1" ht="18.75" customFormat="1" customHeight="1" s="311"/>
    <row r="6044" hidden="1" ht="18.75" customFormat="1" customHeight="1" s="311"/>
    <row r="6045" hidden="1" ht="18.75" customFormat="1" customHeight="1" s="311"/>
    <row r="6046" hidden="1" ht="18.75" customFormat="1" customHeight="1" s="311"/>
    <row r="6047" hidden="1" ht="18.75" customFormat="1" customHeight="1" s="311"/>
    <row r="6048" hidden="1" ht="18.75" customFormat="1" customHeight="1" s="311"/>
    <row r="6049" hidden="1" ht="18.75" customFormat="1" customHeight="1" s="311"/>
    <row r="6050" hidden="1" ht="18.75" customFormat="1" customHeight="1" s="311"/>
    <row r="6051" hidden="1" ht="18.75" customFormat="1" customHeight="1" s="311"/>
    <row r="6052" hidden="1" ht="18.75" customFormat="1" customHeight="1" s="311"/>
    <row r="6053" hidden="1" ht="18.75" customFormat="1" customHeight="1" s="311"/>
    <row r="6054" hidden="1" ht="18.75" customFormat="1" customHeight="1" s="311"/>
    <row r="6055" hidden="1" ht="18.75" customFormat="1" customHeight="1" s="311"/>
    <row r="6056" hidden="1" ht="18.75" customFormat="1" customHeight="1" s="311"/>
    <row r="6057" hidden="1" ht="18.75" customFormat="1" customHeight="1" s="311"/>
    <row r="6058" hidden="1" ht="18.75" customFormat="1" customHeight="1" s="311"/>
    <row r="6059" hidden="1" ht="18.75" customFormat="1" customHeight="1" s="311"/>
    <row r="6060" hidden="1" ht="18.75" customFormat="1" customHeight="1" s="311"/>
    <row r="6061" hidden="1" ht="18.75" customFormat="1" customHeight="1" s="311"/>
    <row r="6062" hidden="1" ht="18.75" customFormat="1" customHeight="1" s="311"/>
    <row r="6063" hidden="1" ht="18.75" customFormat="1" customHeight="1" s="311"/>
    <row r="6064" hidden="1" ht="18.75" customFormat="1" customHeight="1" s="311"/>
    <row r="6065" hidden="1" ht="18.75" customFormat="1" customHeight="1" s="311"/>
    <row r="6066" hidden="1" ht="18.75" customFormat="1" customHeight="1" s="311"/>
    <row r="6067" hidden="1" ht="18.75" customFormat="1" customHeight="1" s="311"/>
    <row r="6068" hidden="1" ht="18.75" customFormat="1" customHeight="1" s="311"/>
    <row r="6069" hidden="1" ht="18.75" customFormat="1" customHeight="1" s="311"/>
    <row r="6070" hidden="1" ht="18.75" customFormat="1" customHeight="1" s="311"/>
    <row r="6071" hidden="1" ht="18.75" customFormat="1" customHeight="1" s="311"/>
    <row r="6072" hidden="1" ht="18.75" customFormat="1" customHeight="1" s="311"/>
    <row r="6073" hidden="1" ht="18.75" customFormat="1" customHeight="1" s="311"/>
    <row r="6074" hidden="1" ht="18.75" customFormat="1" customHeight="1" s="311"/>
    <row r="6075" hidden="1" ht="18.75" customFormat="1" customHeight="1" s="311"/>
    <row r="6076" hidden="1" ht="18.75" customFormat="1" customHeight="1" s="311"/>
    <row r="6077" hidden="1" ht="18.75" customFormat="1" customHeight="1" s="311"/>
    <row r="6078" hidden="1" ht="18.75" customFormat="1" customHeight="1" s="311"/>
    <row r="6079" hidden="1" ht="18.75" customFormat="1" customHeight="1" s="311"/>
    <row r="6080" hidden="1" ht="18.75" customFormat="1" customHeight="1" s="311"/>
    <row r="6081" hidden="1" ht="18.75" customFormat="1" customHeight="1" s="311"/>
    <row r="6082" hidden="1" ht="18.75" customFormat="1" customHeight="1" s="311"/>
    <row r="6083" hidden="1" ht="18.75" customFormat="1" customHeight="1" s="311"/>
    <row r="6084" hidden="1" ht="18.75" customFormat="1" customHeight="1" s="311"/>
    <row r="6085" hidden="1" ht="18.75" customFormat="1" customHeight="1" s="311"/>
    <row r="6086" hidden="1" ht="18.75" customFormat="1" customHeight="1" s="311"/>
    <row r="6087" hidden="1" ht="18.75" customFormat="1" customHeight="1" s="311"/>
    <row r="6088" hidden="1" ht="18.75" customFormat="1" customHeight="1" s="311"/>
    <row r="6089" hidden="1" ht="18.75" customFormat="1" customHeight="1" s="311"/>
    <row r="6090" hidden="1" ht="18.75" customFormat="1" customHeight="1" s="311"/>
    <row r="6091" hidden="1" ht="18.75" customFormat="1" customHeight="1" s="311"/>
    <row r="6092" hidden="1" ht="18.75" customFormat="1" customHeight="1" s="311"/>
    <row r="6093" hidden="1" ht="18.75" customFormat="1" customHeight="1" s="311"/>
    <row r="6094" hidden="1" ht="18.75" customFormat="1" customHeight="1" s="311"/>
    <row r="6095" hidden="1" ht="18.75" customFormat="1" customHeight="1" s="311"/>
    <row r="6096" hidden="1" ht="18.75" customFormat="1" customHeight="1" s="311"/>
    <row r="6097" hidden="1" ht="18.75" customFormat="1" customHeight="1" s="311"/>
    <row r="6098" hidden="1" ht="18.75" customFormat="1" customHeight="1" s="311"/>
    <row r="6099" hidden="1" ht="18.75" customFormat="1" customHeight="1" s="311"/>
    <row r="6100" hidden="1" ht="18.75" customFormat="1" customHeight="1" s="311"/>
    <row r="6101" hidden="1" ht="18.75" customFormat="1" customHeight="1" s="311"/>
    <row r="6102" hidden="1" ht="18.75" customFormat="1" customHeight="1" s="311"/>
    <row r="6103" hidden="1" ht="18.75" customFormat="1" customHeight="1" s="311"/>
    <row r="6104" hidden="1" ht="18.75" customFormat="1" customHeight="1" s="311"/>
    <row r="6105" hidden="1" ht="18.75" customFormat="1" customHeight="1" s="311"/>
    <row r="6106" hidden="1" ht="18.75" customFormat="1" customHeight="1" s="311"/>
    <row r="6107" hidden="1" ht="18.75" customFormat="1" customHeight="1" s="311"/>
    <row r="6108" hidden="1" ht="18.75" customFormat="1" customHeight="1" s="311"/>
    <row r="6109" hidden="1" ht="18.75" customFormat="1" customHeight="1" s="311"/>
    <row r="6110" hidden="1" ht="18.75" customFormat="1" customHeight="1" s="311"/>
    <row r="6111" hidden="1" ht="18.75" customFormat="1" customHeight="1" s="311"/>
    <row r="6112" hidden="1" ht="18.75" customFormat="1" customHeight="1" s="311"/>
    <row r="6113" hidden="1" ht="18.75" customFormat="1" customHeight="1" s="311"/>
    <row r="6114" hidden="1" ht="18.75" customFormat="1" customHeight="1" s="311"/>
    <row r="6115" hidden="1" ht="18.75" customFormat="1" customHeight="1" s="311"/>
    <row r="6116" hidden="1" ht="18.75" customFormat="1" customHeight="1" s="311"/>
    <row r="6117" hidden="1" ht="18.75" customFormat="1" customHeight="1" s="311"/>
    <row r="6118" hidden="1" ht="18.75" customFormat="1" customHeight="1" s="311"/>
    <row r="6119" hidden="1" ht="18.75" customFormat="1" customHeight="1" s="311"/>
    <row r="6120" hidden="1" ht="18.75" customFormat="1" customHeight="1" s="311"/>
    <row r="6121" hidden="1" ht="18.75" customFormat="1" customHeight="1" s="311"/>
    <row r="6122" hidden="1" ht="18.75" customFormat="1" customHeight="1" s="311"/>
    <row r="6123" hidden="1" ht="18.75" customFormat="1" customHeight="1" s="311"/>
    <row r="6124" hidden="1" ht="18.75" customFormat="1" customHeight="1" s="311"/>
    <row r="6125" hidden="1" ht="18.75" customFormat="1" customHeight="1" s="311"/>
    <row r="6126" hidden="1" ht="18.75" customFormat="1" customHeight="1" s="311"/>
    <row r="6127" hidden="1" ht="18.75" customFormat="1" customHeight="1" s="311"/>
    <row r="6128" hidden="1" ht="18.75" customFormat="1" customHeight="1" s="311"/>
    <row r="6129" hidden="1" ht="18.75" customFormat="1" customHeight="1" s="311"/>
    <row r="6130" hidden="1" ht="18.75" customFormat="1" customHeight="1" s="311"/>
    <row r="6131" hidden="1" ht="18.75" customFormat="1" customHeight="1" s="311"/>
    <row r="6132" hidden="1" ht="18.75" customFormat="1" customHeight="1" s="311"/>
    <row r="6133" hidden="1" ht="18.75" customFormat="1" customHeight="1" s="311"/>
    <row r="6134" hidden="1" ht="18.75" customFormat="1" customHeight="1" s="311"/>
    <row r="6135" hidden="1" ht="18.75" customFormat="1" customHeight="1" s="311"/>
    <row r="6136" hidden="1" ht="18.75" customFormat="1" customHeight="1" s="311"/>
    <row r="6137" hidden="1" ht="18.75" customFormat="1" customHeight="1" s="311"/>
    <row r="6138" hidden="1" ht="18.75" customFormat="1" customHeight="1" s="311"/>
    <row r="6139" hidden="1" ht="18.75" customFormat="1" customHeight="1" s="311"/>
    <row r="6140" hidden="1" ht="18.75" customFormat="1" customHeight="1" s="311"/>
    <row r="6141" hidden="1" ht="18.75" customFormat="1" customHeight="1" s="311"/>
    <row r="6142" hidden="1" ht="18.75" customFormat="1" customHeight="1" s="311"/>
    <row r="6143" hidden="1" ht="18.75" customFormat="1" customHeight="1" s="311"/>
    <row r="6144" hidden="1" ht="18.75" customFormat="1" customHeight="1" s="311"/>
    <row r="6145" hidden="1" ht="18.75" customFormat="1" customHeight="1" s="311"/>
    <row r="6146" hidden="1" ht="18.75" customFormat="1" customHeight="1" s="311"/>
    <row r="6147" hidden="1" ht="18.75" customFormat="1" customHeight="1" s="311"/>
    <row r="6148" hidden="1" ht="18.75" customFormat="1" customHeight="1" s="311"/>
    <row r="6149" hidden="1" ht="18.75" customFormat="1" customHeight="1" s="311"/>
    <row r="6150" hidden="1" ht="18.75" customFormat="1" customHeight="1" s="311"/>
    <row r="6151" hidden="1" ht="18.75" customFormat="1" customHeight="1" s="311"/>
    <row r="6152" hidden="1" ht="18.75" customFormat="1" customHeight="1" s="311"/>
    <row r="6153" hidden="1" ht="18.75" customFormat="1" customHeight="1" s="311"/>
    <row r="6154" hidden="1" ht="18.75" customFormat="1" customHeight="1" s="311"/>
    <row r="6155" hidden="1" ht="18.75" customFormat="1" customHeight="1" s="311"/>
    <row r="6156" hidden="1" ht="18.75" customFormat="1" customHeight="1" s="311"/>
    <row r="6157" hidden="1" ht="18.75" customFormat="1" customHeight="1" s="311"/>
    <row r="6158" hidden="1" ht="18.75" customFormat="1" customHeight="1" s="311"/>
    <row r="6159" hidden="1" ht="18.75" customFormat="1" customHeight="1" s="311"/>
    <row r="6160" hidden="1" ht="18.75" customFormat="1" customHeight="1" s="311"/>
    <row r="6161" hidden="1" ht="18.75" customFormat="1" customHeight="1" s="311"/>
    <row r="6162" hidden="1" ht="18.75" customFormat="1" customHeight="1" s="311"/>
    <row r="6163" hidden="1" ht="18.75" customFormat="1" customHeight="1" s="311"/>
    <row r="6164" hidden="1" ht="18.75" customFormat="1" customHeight="1" s="311"/>
    <row r="6165" hidden="1" ht="18.75" customFormat="1" customHeight="1" s="311"/>
    <row r="6166" hidden="1" ht="18.75" customFormat="1" customHeight="1" s="311"/>
    <row r="6167" hidden="1" ht="18.75" customFormat="1" customHeight="1" s="311"/>
    <row r="6168" hidden="1" ht="18.75" customFormat="1" customHeight="1" s="311"/>
    <row r="6169" hidden="1" ht="18.75" customFormat="1" customHeight="1" s="311"/>
    <row r="6170" hidden="1" ht="18.75" customFormat="1" customHeight="1" s="311"/>
    <row r="6171" hidden="1" ht="18.75" customFormat="1" customHeight="1" s="311"/>
    <row r="6172" hidden="1" ht="18.75" customFormat="1" customHeight="1" s="311"/>
    <row r="6173" hidden="1" ht="18.75" customFormat="1" customHeight="1" s="311"/>
    <row r="6174" hidden="1" ht="18.75" customFormat="1" customHeight="1" s="311"/>
    <row r="6175" hidden="1" ht="18.75" customFormat="1" customHeight="1" s="311"/>
    <row r="6176" hidden="1" ht="18.75" customFormat="1" customHeight="1" s="311"/>
    <row r="6177" hidden="1" ht="18.75" customFormat="1" customHeight="1" s="311"/>
    <row r="6178" hidden="1" ht="18.75" customFormat="1" customHeight="1" s="311"/>
    <row r="6179" hidden="1" ht="18.75" customFormat="1" customHeight="1" s="311"/>
    <row r="6180" hidden="1" ht="18.75" customFormat="1" customHeight="1" s="311"/>
    <row r="6181" hidden="1" ht="18.75" customFormat="1" customHeight="1" s="311"/>
    <row r="6182" hidden="1" ht="18.75" customFormat="1" customHeight="1" s="311"/>
    <row r="6183" hidden="1" ht="18.75" customFormat="1" customHeight="1" s="311"/>
    <row r="6184" hidden="1" ht="18.75" customFormat="1" customHeight="1" s="311"/>
    <row r="6185" hidden="1" ht="18.75" customFormat="1" customHeight="1" s="311"/>
    <row r="6186" hidden="1" ht="18.75" customFormat="1" customHeight="1" s="311"/>
    <row r="6187" hidden="1" ht="18.75" customFormat="1" customHeight="1" s="311"/>
    <row r="6188" hidden="1" ht="18.75" customFormat="1" customHeight="1" s="311"/>
    <row r="6189" hidden="1" ht="18.75" customFormat="1" customHeight="1" s="311"/>
    <row r="6190" hidden="1" ht="18.75" customFormat="1" customHeight="1" s="311"/>
    <row r="6191" hidden="1" ht="18.75" customFormat="1" customHeight="1" s="311"/>
    <row r="6192" hidden="1" ht="18.75" customFormat="1" customHeight="1" s="311"/>
    <row r="6193" hidden="1" ht="18.75" customFormat="1" customHeight="1" s="311"/>
    <row r="6194" hidden="1" ht="18.75" customFormat="1" customHeight="1" s="311"/>
    <row r="6195" hidden="1" ht="18.75" customFormat="1" customHeight="1" s="311"/>
    <row r="6196" hidden="1" ht="18.75" customFormat="1" customHeight="1" s="311"/>
    <row r="6197" hidden="1" ht="18.75" customFormat="1" customHeight="1" s="311"/>
    <row r="6198" hidden="1" ht="18.75" customFormat="1" customHeight="1" s="311"/>
    <row r="6199" hidden="1" ht="18.75" customFormat="1" customHeight="1" s="311"/>
    <row r="6200" hidden="1" ht="18.75" customFormat="1" customHeight="1" s="311"/>
    <row r="6201" hidden="1" ht="18.75" customFormat="1" customHeight="1" s="311"/>
    <row r="6202" hidden="1" ht="18.75" customFormat="1" customHeight="1" s="311"/>
    <row r="6203" hidden="1" ht="18.75" customFormat="1" customHeight="1" s="311"/>
    <row r="6204" hidden="1" ht="18.75" customFormat="1" customHeight="1" s="311"/>
    <row r="6205" hidden="1" ht="18.75" customFormat="1" customHeight="1" s="311"/>
    <row r="6206" hidden="1" ht="18.75" customFormat="1" customHeight="1" s="311"/>
    <row r="6207" hidden="1" ht="18.75" customFormat="1" customHeight="1" s="311"/>
    <row r="6208" hidden="1" ht="18.75" customFormat="1" customHeight="1" s="311"/>
    <row r="6209" hidden="1" ht="18.75" customFormat="1" customHeight="1" s="311"/>
    <row r="6210" hidden="1" ht="18.75" customFormat="1" customHeight="1" s="311"/>
    <row r="6211" hidden="1" ht="18.75" customFormat="1" customHeight="1" s="311"/>
    <row r="6212" hidden="1" ht="18.75" customFormat="1" customHeight="1" s="311"/>
    <row r="6213" hidden="1" ht="18.75" customFormat="1" customHeight="1" s="311"/>
    <row r="6214" hidden="1" ht="18.75" customFormat="1" customHeight="1" s="311"/>
    <row r="6215" hidden="1" ht="18.75" customFormat="1" customHeight="1" s="311"/>
    <row r="6216" hidden="1" ht="18.75" customFormat="1" customHeight="1" s="311"/>
    <row r="6217" hidden="1" ht="18.75" customFormat="1" customHeight="1" s="311"/>
    <row r="6218" hidden="1" ht="18.75" customFormat="1" customHeight="1" s="311"/>
    <row r="6219" hidden="1" ht="18.75" customFormat="1" customHeight="1" s="311"/>
    <row r="6220" hidden="1" ht="18.75" customFormat="1" customHeight="1" s="311"/>
    <row r="6221" hidden="1" ht="18.75" customFormat="1" customHeight="1" s="311"/>
    <row r="6222" hidden="1" ht="18.75" customFormat="1" customHeight="1" s="311"/>
    <row r="6223" hidden="1" ht="18.75" customFormat="1" customHeight="1" s="311"/>
    <row r="6224" hidden="1" ht="18.75" customFormat="1" customHeight="1" s="311"/>
    <row r="6225" hidden="1" ht="18.75" customFormat="1" customHeight="1" s="311"/>
    <row r="6226" hidden="1" ht="18.75" customFormat="1" customHeight="1" s="311"/>
    <row r="6227" hidden="1" ht="18.75" customFormat="1" customHeight="1" s="311"/>
    <row r="6228" hidden="1" ht="18.75" customFormat="1" customHeight="1" s="311"/>
    <row r="6229" hidden="1" ht="18.75" customFormat="1" customHeight="1" s="311"/>
    <row r="6230" hidden="1" ht="18.75" customFormat="1" customHeight="1" s="311"/>
    <row r="6231" hidden="1" ht="18.75" customFormat="1" customHeight="1" s="311"/>
    <row r="6232" hidden="1" ht="18.75" customFormat="1" customHeight="1" s="311"/>
    <row r="6233" hidden="1" ht="18.75" customFormat="1" customHeight="1" s="311"/>
    <row r="6234" hidden="1" ht="18.75" customFormat="1" customHeight="1" s="311"/>
    <row r="6235" hidden="1" ht="18.75" customFormat="1" customHeight="1" s="311"/>
    <row r="6236" hidden="1" ht="18.75" customFormat="1" customHeight="1" s="311"/>
    <row r="6237" hidden="1" ht="18.75" customFormat="1" customHeight="1" s="311"/>
    <row r="6238" hidden="1" ht="18.75" customFormat="1" customHeight="1" s="311"/>
    <row r="6239" hidden="1" ht="18.75" customFormat="1" customHeight="1" s="311"/>
    <row r="6240" hidden="1" ht="18.75" customFormat="1" customHeight="1" s="311"/>
    <row r="6241" hidden="1" ht="18.75" customFormat="1" customHeight="1" s="311"/>
    <row r="6242" hidden="1" ht="18.75" customFormat="1" customHeight="1" s="311"/>
    <row r="6243" hidden="1" ht="18.75" customFormat="1" customHeight="1" s="311"/>
    <row r="6244" hidden="1" ht="18.75" customFormat="1" customHeight="1" s="311"/>
    <row r="6245" hidden="1" ht="18.75" customFormat="1" customHeight="1" s="311"/>
    <row r="6246" hidden="1" ht="18.75" customFormat="1" customHeight="1" s="311"/>
    <row r="6247" hidden="1" ht="18.75" customFormat="1" customHeight="1" s="311"/>
    <row r="6248" hidden="1" ht="18.75" customFormat="1" customHeight="1" s="311"/>
    <row r="6249" hidden="1" ht="18.75" customFormat="1" customHeight="1" s="311"/>
    <row r="6250" hidden="1" ht="18.75" customFormat="1" customHeight="1" s="311"/>
    <row r="6251" hidden="1" ht="18.75" customFormat="1" customHeight="1" s="311"/>
    <row r="6252" hidden="1" ht="18.75" customFormat="1" customHeight="1" s="311"/>
    <row r="6253" hidden="1" ht="18.75" customFormat="1" customHeight="1" s="311"/>
    <row r="6254" hidden="1" ht="18.75" customFormat="1" customHeight="1" s="311"/>
    <row r="6255" hidden="1" ht="18.75" customFormat="1" customHeight="1" s="311"/>
    <row r="6256" hidden="1" ht="18.75" customFormat="1" customHeight="1" s="311"/>
    <row r="6257" hidden="1" ht="18.75" customFormat="1" customHeight="1" s="311"/>
    <row r="6258" hidden="1" ht="18.75" customFormat="1" customHeight="1" s="311"/>
    <row r="6259" hidden="1" ht="18.75" customFormat="1" customHeight="1" s="311"/>
    <row r="6260" hidden="1" ht="18.75" customFormat="1" customHeight="1" s="311"/>
    <row r="6261" hidden="1" ht="18.75" customFormat="1" customHeight="1" s="311"/>
    <row r="6262" hidden="1" ht="18.75" customFormat="1" customHeight="1" s="311"/>
    <row r="6263" hidden="1" ht="18.75" customFormat="1" customHeight="1" s="311"/>
    <row r="6264" hidden="1" ht="18.75" customFormat="1" customHeight="1" s="311"/>
    <row r="6265" hidden="1" ht="18.75" customFormat="1" customHeight="1" s="311"/>
    <row r="6266" hidden="1" ht="18.75" customFormat="1" customHeight="1" s="311"/>
    <row r="6267" hidden="1" ht="18.75" customFormat="1" customHeight="1" s="311"/>
    <row r="6268" hidden="1" ht="18.75" customFormat="1" customHeight="1" s="311"/>
    <row r="6269" hidden="1" ht="18.75" customFormat="1" customHeight="1" s="311"/>
    <row r="6270" hidden="1" ht="18.75" customFormat="1" customHeight="1" s="311"/>
    <row r="6271" hidden="1" ht="18.75" customFormat="1" customHeight="1" s="311"/>
    <row r="6272" hidden="1" ht="18.75" customFormat="1" customHeight="1" s="311"/>
    <row r="6273" hidden="1" ht="18.75" customFormat="1" customHeight="1" s="311"/>
    <row r="6274" hidden="1" ht="18.75" customFormat="1" customHeight="1" s="311"/>
    <row r="6275" hidden="1" ht="18.75" customFormat="1" customHeight="1" s="311"/>
    <row r="6276" hidden="1" ht="18.75" customFormat="1" customHeight="1" s="311"/>
    <row r="6277" hidden="1" ht="18.75" customFormat="1" customHeight="1" s="311"/>
    <row r="6278" hidden="1" ht="18.75" customFormat="1" customHeight="1" s="311"/>
    <row r="6279" hidden="1" ht="18.75" customFormat="1" customHeight="1" s="311"/>
    <row r="6280" hidden="1" ht="18.75" customFormat="1" customHeight="1" s="311"/>
    <row r="6281" hidden="1" ht="18.75" customFormat="1" customHeight="1" s="311"/>
    <row r="6282" hidden="1" ht="18.75" customFormat="1" customHeight="1" s="311"/>
    <row r="6283" hidden="1" ht="18.75" customFormat="1" customHeight="1" s="311"/>
    <row r="6284" hidden="1" ht="18.75" customFormat="1" customHeight="1" s="311"/>
    <row r="6285" hidden="1" ht="18.75" customFormat="1" customHeight="1" s="311"/>
    <row r="6286" hidden="1" ht="18.75" customFormat="1" customHeight="1" s="311"/>
    <row r="6287" hidden="1" ht="18.75" customFormat="1" customHeight="1" s="311"/>
    <row r="6288" hidden="1" ht="18.75" customFormat="1" customHeight="1" s="311"/>
    <row r="6289" hidden="1" ht="18.75" customFormat="1" customHeight="1" s="311"/>
    <row r="6290" hidden="1" ht="18.75" customFormat="1" customHeight="1" s="311"/>
    <row r="6291" hidden="1" ht="18.75" customFormat="1" customHeight="1" s="311"/>
    <row r="6292" hidden="1" ht="18.75" customFormat="1" customHeight="1" s="311"/>
    <row r="6293" hidden="1" ht="18.75" customFormat="1" customHeight="1" s="311"/>
    <row r="6294" hidden="1" ht="18.75" customFormat="1" customHeight="1" s="311"/>
    <row r="6295" hidden="1" ht="18.75" customFormat="1" customHeight="1" s="311"/>
    <row r="6296" hidden="1" ht="18.75" customFormat="1" customHeight="1" s="311"/>
    <row r="6297" hidden="1" ht="18.75" customFormat="1" customHeight="1" s="311"/>
    <row r="6298" hidden="1" ht="18.75" customFormat="1" customHeight="1" s="311"/>
    <row r="6299" hidden="1" ht="18.75" customFormat="1" customHeight="1" s="311"/>
    <row r="6300" hidden="1" ht="18.75" customFormat="1" customHeight="1" s="311"/>
    <row r="6301" hidden="1" ht="18.75" customFormat="1" customHeight="1" s="311"/>
    <row r="6302" hidden="1" ht="18.75" customFormat="1" customHeight="1" s="311"/>
    <row r="6303" hidden="1" ht="18.75" customFormat="1" customHeight="1" s="311"/>
    <row r="6304" hidden="1" ht="18.75" customFormat="1" customHeight="1" s="311"/>
    <row r="6305" hidden="1" ht="18.75" customFormat="1" customHeight="1" s="311"/>
    <row r="6306" hidden="1" ht="18.75" customFormat="1" customHeight="1" s="311"/>
    <row r="6307" hidden="1" ht="18.75" customFormat="1" customHeight="1" s="311"/>
    <row r="6308" hidden="1" ht="18.75" customFormat="1" customHeight="1" s="311"/>
    <row r="6309" hidden="1" ht="18.75" customFormat="1" customHeight="1" s="311"/>
    <row r="6310" hidden="1" ht="18.75" customFormat="1" customHeight="1" s="311"/>
    <row r="6311" hidden="1" ht="18.75" customFormat="1" customHeight="1" s="311"/>
    <row r="6312" hidden="1" ht="18.75" customFormat="1" customHeight="1" s="311"/>
    <row r="6313" hidden="1" ht="18.75" customFormat="1" customHeight="1" s="311"/>
    <row r="6314" hidden="1" ht="18.75" customFormat="1" customHeight="1" s="311"/>
    <row r="6315" hidden="1" ht="18.75" customFormat="1" customHeight="1" s="311"/>
    <row r="6316" hidden="1" ht="18.75" customFormat="1" customHeight="1" s="311"/>
    <row r="6317" hidden="1" ht="18.75" customFormat="1" customHeight="1" s="311"/>
    <row r="6318" hidden="1" ht="18.75" customFormat="1" customHeight="1" s="311"/>
    <row r="6319" hidden="1" ht="18.75" customFormat="1" customHeight="1" s="311"/>
    <row r="6320" hidden="1" ht="18.75" customFormat="1" customHeight="1" s="311"/>
    <row r="6321" hidden="1" ht="18.75" customFormat="1" customHeight="1" s="311"/>
    <row r="6322" hidden="1" ht="18.75" customFormat="1" customHeight="1" s="311"/>
    <row r="6323" hidden="1" ht="18.75" customFormat="1" customHeight="1" s="311"/>
    <row r="6324" hidden="1" ht="18.75" customFormat="1" customHeight="1" s="311"/>
    <row r="6325" hidden="1" ht="18.75" customFormat="1" customHeight="1" s="311"/>
    <row r="6326" hidden="1" ht="18.75" customFormat="1" customHeight="1" s="311"/>
    <row r="6327" hidden="1" ht="18.75" customFormat="1" customHeight="1" s="311"/>
    <row r="6328" hidden="1" ht="18.75" customFormat="1" customHeight="1" s="311"/>
    <row r="6329" hidden="1" ht="18.75" customFormat="1" customHeight="1" s="311"/>
    <row r="6330" hidden="1" ht="18.75" customFormat="1" customHeight="1" s="311"/>
    <row r="6331" hidden="1" ht="18.75" customFormat="1" customHeight="1" s="311"/>
    <row r="6332" hidden="1" ht="18.75" customFormat="1" customHeight="1" s="311"/>
    <row r="6333" hidden="1" ht="18.75" customFormat="1" customHeight="1" s="311"/>
    <row r="6334" hidden="1" ht="18.75" customFormat="1" customHeight="1" s="311"/>
    <row r="6335" hidden="1" ht="18.75" customFormat="1" customHeight="1" s="311"/>
    <row r="6336" hidden="1" ht="18.75" customFormat="1" customHeight="1" s="311"/>
    <row r="6337" hidden="1" ht="18.75" customFormat="1" customHeight="1" s="311"/>
    <row r="6338" hidden="1" ht="18.75" customFormat="1" customHeight="1" s="311"/>
    <row r="6339" hidden="1" ht="18.75" customFormat="1" customHeight="1" s="311"/>
    <row r="6340" hidden="1" ht="18.75" customFormat="1" customHeight="1" s="311"/>
    <row r="6341" hidden="1" ht="18.75" customFormat="1" customHeight="1" s="311"/>
    <row r="6342" hidden="1" ht="18.75" customFormat="1" customHeight="1" s="311"/>
    <row r="6343" hidden="1" ht="18.75" customFormat="1" customHeight="1" s="311"/>
    <row r="6344" hidden="1" ht="18.75" customFormat="1" customHeight="1" s="311"/>
    <row r="6345" hidden="1" ht="18.75" customFormat="1" customHeight="1" s="311"/>
    <row r="6346" hidden="1" ht="18.75" customFormat="1" customHeight="1" s="311"/>
    <row r="6347" hidden="1" ht="18.75" customFormat="1" customHeight="1" s="311"/>
    <row r="6348" hidden="1" ht="18.75" customFormat="1" customHeight="1" s="311"/>
    <row r="6349" hidden="1" ht="18.75" customFormat="1" customHeight="1" s="311"/>
    <row r="6350" hidden="1" ht="18.75" customFormat="1" customHeight="1" s="311"/>
    <row r="6351" hidden="1" ht="18.75" customFormat="1" customHeight="1" s="311"/>
    <row r="6352" hidden="1" ht="18.75" customFormat="1" customHeight="1" s="311"/>
    <row r="6353" hidden="1" ht="18.75" customFormat="1" customHeight="1" s="311"/>
    <row r="6354" hidden="1" ht="18.75" customFormat="1" customHeight="1" s="311"/>
    <row r="6355" hidden="1" ht="18.75" customFormat="1" customHeight="1" s="311"/>
    <row r="6356" hidden="1" ht="18.75" customFormat="1" customHeight="1" s="311"/>
    <row r="6357" hidden="1" ht="18.75" customFormat="1" customHeight="1" s="311"/>
    <row r="6358" hidden="1" ht="18.75" customFormat="1" customHeight="1" s="311"/>
    <row r="6359" hidden="1" ht="18.75" customFormat="1" customHeight="1" s="311"/>
    <row r="6360" hidden="1" ht="18.75" customFormat="1" customHeight="1" s="311"/>
    <row r="6361" hidden="1" ht="18.75" customFormat="1" customHeight="1" s="311"/>
    <row r="6362" hidden="1" ht="18.75" customFormat="1" customHeight="1" s="311"/>
    <row r="6363" hidden="1" ht="18.75" customFormat="1" customHeight="1" s="311"/>
    <row r="6364" hidden="1" ht="18.75" customFormat="1" customHeight="1" s="311"/>
    <row r="6365" hidden="1" ht="18.75" customFormat="1" customHeight="1" s="311"/>
    <row r="6366" hidden="1" ht="18.75" customFormat="1" customHeight="1" s="311"/>
    <row r="6367" hidden="1" ht="18.75" customFormat="1" customHeight="1" s="311"/>
    <row r="6368" hidden="1" ht="18.75" customFormat="1" customHeight="1" s="311"/>
    <row r="6369" hidden="1" ht="18.75" customFormat="1" customHeight="1" s="311"/>
    <row r="6370" hidden="1" ht="18.75" customFormat="1" customHeight="1" s="311"/>
    <row r="6371" hidden="1" ht="18.75" customFormat="1" customHeight="1" s="311"/>
    <row r="6372" hidden="1" ht="18.75" customFormat="1" customHeight="1" s="311"/>
    <row r="6373" hidden="1" ht="18.75" customFormat="1" customHeight="1" s="311"/>
    <row r="6374" hidden="1" ht="18.75" customFormat="1" customHeight="1" s="311"/>
    <row r="6375" hidden="1" ht="18.75" customFormat="1" customHeight="1" s="311"/>
    <row r="6376" hidden="1" ht="18.75" customFormat="1" customHeight="1" s="311"/>
    <row r="6377" hidden="1" ht="18.75" customFormat="1" customHeight="1" s="311"/>
    <row r="6378" hidden="1" ht="18.75" customFormat="1" customHeight="1" s="311"/>
    <row r="6379" hidden="1" ht="18.75" customFormat="1" customHeight="1" s="311"/>
    <row r="6380" hidden="1" ht="18.75" customFormat="1" customHeight="1" s="311"/>
    <row r="6381" hidden="1" ht="18.75" customFormat="1" customHeight="1" s="311"/>
    <row r="6382" hidden="1" ht="18.75" customFormat="1" customHeight="1" s="311"/>
    <row r="6383" hidden="1" ht="18.75" customFormat="1" customHeight="1" s="311"/>
    <row r="6384" hidden="1" ht="18.75" customFormat="1" customHeight="1" s="311"/>
    <row r="6385" hidden="1" ht="18.75" customFormat="1" customHeight="1" s="311"/>
    <row r="6386" hidden="1" ht="18.75" customFormat="1" customHeight="1" s="311"/>
    <row r="6387" hidden="1" ht="18.75" customFormat="1" customHeight="1" s="311"/>
    <row r="6388" hidden="1" ht="18.75" customFormat="1" customHeight="1" s="311"/>
    <row r="6389" hidden="1" ht="18.75" customFormat="1" customHeight="1" s="311"/>
    <row r="6390" hidden="1" ht="18.75" customFormat="1" customHeight="1" s="311"/>
    <row r="6391" hidden="1" ht="18.75" customFormat="1" customHeight="1" s="311"/>
    <row r="6392" hidden="1" ht="18.75" customFormat="1" customHeight="1" s="311"/>
    <row r="6393" hidden="1" ht="18.75" customFormat="1" customHeight="1" s="311"/>
    <row r="6394" hidden="1" ht="18.75" customFormat="1" customHeight="1" s="311"/>
    <row r="6395" hidden="1" ht="18.75" customFormat="1" customHeight="1" s="311"/>
    <row r="6396" hidden="1" ht="18.75" customFormat="1" customHeight="1" s="311"/>
    <row r="6397" hidden="1" ht="18.75" customFormat="1" customHeight="1" s="311"/>
    <row r="6398" hidden="1" ht="18.75" customFormat="1" customHeight="1" s="311"/>
    <row r="6399" hidden="1" ht="18.75" customFormat="1" customHeight="1" s="311"/>
    <row r="6400" hidden="1" ht="18.75" customFormat="1" customHeight="1" s="311"/>
    <row r="6401" hidden="1" ht="18.75" customFormat="1" customHeight="1" s="311"/>
    <row r="6402" hidden="1" ht="18.75" customFormat="1" customHeight="1" s="311"/>
    <row r="6403" hidden="1" ht="18.75" customFormat="1" customHeight="1" s="311"/>
    <row r="6404" hidden="1" ht="18.75" customFormat="1" customHeight="1" s="311"/>
    <row r="6405" hidden="1" ht="18.75" customFormat="1" customHeight="1" s="311"/>
    <row r="6406" hidden="1" ht="18.75" customFormat="1" customHeight="1" s="311"/>
    <row r="6407" hidden="1" ht="18.75" customFormat="1" customHeight="1" s="311"/>
    <row r="6408" hidden="1" ht="18.75" customFormat="1" customHeight="1" s="311"/>
    <row r="6409" hidden="1" ht="18.75" customFormat="1" customHeight="1" s="311"/>
    <row r="6410" hidden="1" ht="18.75" customFormat="1" customHeight="1" s="311"/>
    <row r="6411" hidden="1" ht="18.75" customFormat="1" customHeight="1" s="311"/>
    <row r="6412" hidden="1" ht="18.75" customFormat="1" customHeight="1" s="311"/>
    <row r="6413" hidden="1" ht="18.75" customFormat="1" customHeight="1" s="311"/>
    <row r="6414" hidden="1" ht="18.75" customFormat="1" customHeight="1" s="311"/>
    <row r="6415" hidden="1" ht="18.75" customFormat="1" customHeight="1" s="311"/>
    <row r="6416" hidden="1" ht="18.75" customFormat="1" customHeight="1" s="311"/>
    <row r="6417" hidden="1" ht="18.75" customFormat="1" customHeight="1" s="311"/>
    <row r="6418" hidden="1" ht="18.75" customFormat="1" customHeight="1" s="311"/>
    <row r="6419" hidden="1" ht="18.75" customFormat="1" customHeight="1" s="311"/>
    <row r="6420" hidden="1" ht="18.75" customFormat="1" customHeight="1" s="311"/>
    <row r="6421" hidden="1" ht="18.75" customFormat="1" customHeight="1" s="311"/>
    <row r="6422" hidden="1" ht="18.75" customFormat="1" customHeight="1" s="311"/>
    <row r="6423" hidden="1" ht="18.75" customFormat="1" customHeight="1" s="311"/>
    <row r="6424" hidden="1" ht="18.75" customFormat="1" customHeight="1" s="311"/>
    <row r="6425" hidden="1" ht="18.75" customFormat="1" customHeight="1" s="311"/>
    <row r="6426" hidden="1" ht="18.75" customFormat="1" customHeight="1" s="311"/>
    <row r="6427" hidden="1" ht="18.75" customFormat="1" customHeight="1" s="311"/>
    <row r="6428" hidden="1" ht="18.75" customFormat="1" customHeight="1" s="311"/>
    <row r="6429" hidden="1" ht="18.75" customFormat="1" customHeight="1" s="311"/>
    <row r="6430" hidden="1" ht="18.75" customFormat="1" customHeight="1" s="311"/>
    <row r="6431" hidden="1" ht="18.75" customFormat="1" customHeight="1" s="311"/>
    <row r="6432" hidden="1" ht="18.75" customFormat="1" customHeight="1" s="311"/>
    <row r="6433" hidden="1" ht="18.75" customFormat="1" customHeight="1" s="311"/>
    <row r="6434" hidden="1" ht="18.75" customFormat="1" customHeight="1" s="311"/>
    <row r="6435" hidden="1" ht="18.75" customFormat="1" customHeight="1" s="311"/>
    <row r="6436" hidden="1" ht="18.75" customFormat="1" customHeight="1" s="311"/>
    <row r="6437" hidden="1" ht="18.75" customFormat="1" customHeight="1" s="311"/>
    <row r="6438" hidden="1" ht="18.75" customFormat="1" customHeight="1" s="311"/>
    <row r="6439" hidden="1" ht="18.75" customFormat="1" customHeight="1" s="311"/>
    <row r="6440" hidden="1" ht="18.75" customFormat="1" customHeight="1" s="311"/>
    <row r="6441" hidden="1" ht="18.75" customFormat="1" customHeight="1" s="311"/>
    <row r="6442" hidden="1" ht="18.75" customFormat="1" customHeight="1" s="311"/>
    <row r="6443" hidden="1" ht="18.75" customFormat="1" customHeight="1" s="311"/>
    <row r="6444" hidden="1" ht="18.75" customFormat="1" customHeight="1" s="311"/>
    <row r="6445" hidden="1" ht="18.75" customFormat="1" customHeight="1" s="311"/>
    <row r="6446" hidden="1" ht="18.75" customFormat="1" customHeight="1" s="311"/>
    <row r="6447" hidden="1" ht="18.75" customFormat="1" customHeight="1" s="311"/>
    <row r="6448" hidden="1" ht="18.75" customFormat="1" customHeight="1" s="311"/>
    <row r="6449" hidden="1" ht="18.75" customFormat="1" customHeight="1" s="311"/>
    <row r="6450" hidden="1" ht="18.75" customFormat="1" customHeight="1" s="311"/>
    <row r="6451" hidden="1" ht="18.75" customFormat="1" customHeight="1" s="311"/>
    <row r="6452" hidden="1" ht="18.75" customFormat="1" customHeight="1" s="311"/>
    <row r="6453" hidden="1" ht="18.75" customFormat="1" customHeight="1" s="311"/>
    <row r="6454" hidden="1" ht="18.75" customFormat="1" customHeight="1" s="311"/>
    <row r="6455" hidden="1" ht="18.75" customFormat="1" customHeight="1" s="311"/>
    <row r="6456" hidden="1" ht="18.75" customFormat="1" customHeight="1" s="311"/>
    <row r="6457" hidden="1" ht="18.75" customFormat="1" customHeight="1" s="311"/>
    <row r="6458" hidden="1" ht="18.75" customFormat="1" customHeight="1" s="311"/>
    <row r="6459" hidden="1" ht="18.75" customFormat="1" customHeight="1" s="311"/>
    <row r="6460" hidden="1" ht="18.75" customFormat="1" customHeight="1" s="311"/>
    <row r="6461" hidden="1" ht="18.75" customFormat="1" customHeight="1" s="311"/>
    <row r="6462" hidden="1" ht="18.75" customFormat="1" customHeight="1" s="311"/>
    <row r="6463" hidden="1" ht="18.75" customFormat="1" customHeight="1" s="311"/>
    <row r="6464" hidden="1" ht="18.75" customFormat="1" customHeight="1" s="311"/>
    <row r="6465" hidden="1" ht="18.75" customFormat="1" customHeight="1" s="311"/>
    <row r="6466" hidden="1" ht="18.75" customFormat="1" customHeight="1" s="311"/>
    <row r="6467" hidden="1" ht="18.75" customFormat="1" customHeight="1" s="311"/>
    <row r="6468" hidden="1" ht="18.75" customFormat="1" customHeight="1" s="311"/>
    <row r="6469" hidden="1" ht="18.75" customFormat="1" customHeight="1" s="311"/>
    <row r="6470" hidden="1" ht="18.75" customFormat="1" customHeight="1" s="311"/>
    <row r="6471" hidden="1" ht="18.75" customFormat="1" customHeight="1" s="311"/>
    <row r="6472" hidden="1" ht="18.75" customFormat="1" customHeight="1" s="311"/>
    <row r="6473" hidden="1" ht="18.75" customFormat="1" customHeight="1" s="311"/>
    <row r="6474" hidden="1" ht="18.75" customFormat="1" customHeight="1" s="311"/>
    <row r="6475" hidden="1" ht="18.75" customFormat="1" customHeight="1" s="311"/>
    <row r="6476" hidden="1" ht="18.75" customFormat="1" customHeight="1" s="311"/>
    <row r="6477" hidden="1" ht="18.75" customFormat="1" customHeight="1" s="311"/>
    <row r="6478" hidden="1" ht="18.75" customFormat="1" customHeight="1" s="311"/>
    <row r="6479" hidden="1" ht="18.75" customFormat="1" customHeight="1" s="311"/>
    <row r="6480" hidden="1" ht="18.75" customFormat="1" customHeight="1" s="311"/>
    <row r="6481" hidden="1" ht="18.75" customFormat="1" customHeight="1" s="311"/>
    <row r="6482" hidden="1" ht="18.75" customFormat="1" customHeight="1" s="311"/>
    <row r="6483" hidden="1" ht="18.75" customFormat="1" customHeight="1" s="311"/>
    <row r="6484" hidden="1" ht="18.75" customFormat="1" customHeight="1" s="311"/>
    <row r="6485" hidden="1" ht="18.75" customFormat="1" customHeight="1" s="311"/>
    <row r="6486" hidden="1" ht="18.75" customFormat="1" customHeight="1" s="311"/>
    <row r="6487" hidden="1" ht="18.75" customFormat="1" customHeight="1" s="311"/>
    <row r="6488" hidden="1" ht="18.75" customFormat="1" customHeight="1" s="311"/>
    <row r="6489" hidden="1" ht="18.75" customFormat="1" customHeight="1" s="311"/>
    <row r="6490" hidden="1" ht="18.75" customFormat="1" customHeight="1" s="311"/>
    <row r="6491" hidden="1" ht="18.75" customFormat="1" customHeight="1" s="311"/>
    <row r="6492" hidden="1" ht="18.75" customFormat="1" customHeight="1" s="311"/>
    <row r="6493" hidden="1" ht="18.75" customFormat="1" customHeight="1" s="311"/>
    <row r="6494" hidden="1" ht="18.75" customFormat="1" customHeight="1" s="311"/>
    <row r="6495" hidden="1" ht="18.75" customFormat="1" customHeight="1" s="311"/>
    <row r="6496" hidden="1" ht="18.75" customFormat="1" customHeight="1" s="311"/>
    <row r="6497" hidden="1" ht="18.75" customFormat="1" customHeight="1" s="311"/>
    <row r="6498" hidden="1" ht="18.75" customFormat="1" customHeight="1" s="311"/>
    <row r="6499" hidden="1" ht="18.75" customFormat="1" customHeight="1" s="311"/>
    <row r="6500" hidden="1" ht="18.75" customFormat="1" customHeight="1" s="311"/>
    <row r="6501" hidden="1" ht="18.75" customFormat="1" customHeight="1" s="311"/>
    <row r="6502" hidden="1" ht="18.75" customFormat="1" customHeight="1" s="311"/>
    <row r="6503" hidden="1" ht="18.75" customFormat="1" customHeight="1" s="311"/>
    <row r="6504" hidden="1" ht="18.75" customFormat="1" customHeight="1" s="311"/>
    <row r="6505" hidden="1" ht="18.75" customFormat="1" customHeight="1" s="311"/>
    <row r="6506" hidden="1" ht="18.75" customFormat="1" customHeight="1" s="311"/>
    <row r="6507" hidden="1" ht="18.75" customFormat="1" customHeight="1" s="311"/>
    <row r="6508" hidden="1" ht="18.75" customFormat="1" customHeight="1" s="311"/>
    <row r="6509" hidden="1" ht="18.75" customFormat="1" customHeight="1" s="311"/>
    <row r="6510" hidden="1" ht="18.75" customFormat="1" customHeight="1" s="311"/>
    <row r="6511" hidden="1" ht="18.75" customFormat="1" customHeight="1" s="311"/>
    <row r="6512" hidden="1" ht="18.75" customFormat="1" customHeight="1" s="311"/>
    <row r="6513" hidden="1" ht="18.75" customFormat="1" customHeight="1" s="311"/>
    <row r="6514" hidden="1" ht="18.75" customFormat="1" customHeight="1" s="311"/>
    <row r="6515" hidden="1" ht="18.75" customFormat="1" customHeight="1" s="311"/>
    <row r="6516" hidden="1" ht="18.75" customFormat="1" customHeight="1" s="311"/>
    <row r="6517" hidden="1" ht="18.75" customFormat="1" customHeight="1" s="311"/>
    <row r="6518" hidden="1" ht="18.75" customFormat="1" customHeight="1" s="311"/>
    <row r="6519" hidden="1" ht="18.75" customFormat="1" customHeight="1" s="311"/>
    <row r="6520" hidden="1" ht="18.75" customFormat="1" customHeight="1" s="311"/>
    <row r="6521" hidden="1" ht="18.75" customFormat="1" customHeight="1" s="311"/>
    <row r="6522" hidden="1" ht="18.75" customFormat="1" customHeight="1" s="311"/>
    <row r="6523" hidden="1" ht="18.75" customFormat="1" customHeight="1" s="311"/>
    <row r="6524" hidden="1" ht="18.75" customFormat="1" customHeight="1" s="311"/>
    <row r="6525" hidden="1" ht="18.75" customFormat="1" customHeight="1" s="311"/>
    <row r="6526" hidden="1" ht="18.75" customFormat="1" customHeight="1" s="311"/>
    <row r="6527" hidden="1" ht="18.75" customFormat="1" customHeight="1" s="311"/>
    <row r="6528" hidden="1" ht="18.75" customFormat="1" customHeight="1" s="311"/>
    <row r="6529" hidden="1" ht="18.75" customFormat="1" customHeight="1" s="311"/>
    <row r="6530" hidden="1" ht="18.75" customFormat="1" customHeight="1" s="311"/>
    <row r="6531" hidden="1" ht="18.75" customFormat="1" customHeight="1" s="311"/>
    <row r="6532" hidden="1" ht="18.75" customFormat="1" customHeight="1" s="311"/>
    <row r="6533" hidden="1" ht="18.75" customFormat="1" customHeight="1" s="311"/>
    <row r="6534" hidden="1" ht="18.75" customFormat="1" customHeight="1" s="311"/>
    <row r="6535" hidden="1" ht="18.75" customFormat="1" customHeight="1" s="311"/>
    <row r="6536" hidden="1" ht="18.75" customFormat="1" customHeight="1" s="311"/>
    <row r="6537" hidden="1" ht="18.75" customFormat="1" customHeight="1" s="311"/>
    <row r="6538" hidden="1" ht="18.75" customFormat="1" customHeight="1" s="311"/>
    <row r="6539" hidden="1" ht="18.75" customFormat="1" customHeight="1" s="311"/>
    <row r="6540" hidden="1" ht="18.75" customFormat="1" customHeight="1" s="311"/>
    <row r="6541" hidden="1" ht="18.75" customFormat="1" customHeight="1" s="311"/>
    <row r="6542" hidden="1" ht="18.75" customFormat="1" customHeight="1" s="311"/>
    <row r="6543" hidden="1" ht="18.75" customFormat="1" customHeight="1" s="311"/>
    <row r="6544" hidden="1" ht="18.75" customFormat="1" customHeight="1" s="311"/>
    <row r="6545" hidden="1" ht="18.75" customFormat="1" customHeight="1" s="311"/>
    <row r="6546" hidden="1" ht="18.75" customFormat="1" customHeight="1" s="311"/>
    <row r="6547" hidden="1" ht="18.75" customFormat="1" customHeight="1" s="311"/>
    <row r="6548" hidden="1" ht="18.75" customFormat="1" customHeight="1" s="311"/>
    <row r="6549" hidden="1" ht="18.75" customFormat="1" customHeight="1" s="311"/>
    <row r="6550" hidden="1" ht="18.75" customFormat="1" customHeight="1" s="311"/>
    <row r="6551" hidden="1" ht="18.75" customFormat="1" customHeight="1" s="311"/>
    <row r="6552" hidden="1" ht="18.75" customFormat="1" customHeight="1" s="311"/>
    <row r="6553" hidden="1" ht="18.75" customFormat="1" customHeight="1" s="311"/>
    <row r="6554" hidden="1" ht="18.75" customFormat="1" customHeight="1" s="311"/>
    <row r="6555" hidden="1" ht="18.75" customFormat="1" customHeight="1" s="311"/>
    <row r="6556" hidden="1" ht="18.75" customFormat="1" customHeight="1" s="311"/>
    <row r="6557" hidden="1" ht="18.75" customFormat="1" customHeight="1" s="311"/>
    <row r="6558" hidden="1" ht="18.75" customFormat="1" customHeight="1" s="311"/>
    <row r="6559" hidden="1" ht="18.75" customFormat="1" customHeight="1" s="311"/>
    <row r="6560" hidden="1" ht="18.75" customFormat="1" customHeight="1" s="311"/>
    <row r="6561" hidden="1" ht="18.75" customFormat="1" customHeight="1" s="311"/>
    <row r="6562" hidden="1" ht="18.75" customFormat="1" customHeight="1" s="311"/>
    <row r="6563" hidden="1" ht="18.75" customFormat="1" customHeight="1" s="311"/>
    <row r="6564" hidden="1" ht="18.75" customFormat="1" customHeight="1" s="311"/>
    <row r="6565" hidden="1" ht="18.75" customFormat="1" customHeight="1" s="311"/>
    <row r="6566" hidden="1" ht="18.75" customFormat="1" customHeight="1" s="311"/>
    <row r="6567" hidden="1" ht="18.75" customFormat="1" customHeight="1" s="311"/>
    <row r="6568" hidden="1" ht="18.75" customFormat="1" customHeight="1" s="311"/>
    <row r="6569" hidden="1" ht="18.75" customFormat="1" customHeight="1" s="311"/>
    <row r="6570" hidden="1" ht="18.75" customFormat="1" customHeight="1" s="311"/>
    <row r="6571" hidden="1" ht="18.75" customFormat="1" customHeight="1" s="311"/>
    <row r="6572" hidden="1" ht="18.75" customFormat="1" customHeight="1" s="311"/>
    <row r="6573" hidden="1" ht="18.75" customFormat="1" customHeight="1" s="311"/>
    <row r="6574" hidden="1" ht="18.75" customFormat="1" customHeight="1" s="311"/>
    <row r="6575" hidden="1" ht="18.75" customFormat="1" customHeight="1" s="311"/>
    <row r="6576" hidden="1" ht="18.75" customFormat="1" customHeight="1" s="311"/>
    <row r="6577" hidden="1" ht="18.75" customFormat="1" customHeight="1" s="311"/>
    <row r="6578" hidden="1" ht="18.75" customFormat="1" customHeight="1" s="311"/>
    <row r="6579" hidden="1" ht="18.75" customFormat="1" customHeight="1" s="311"/>
    <row r="6580" hidden="1" ht="18.75" customFormat="1" customHeight="1" s="311"/>
    <row r="6581" hidden="1" ht="18.75" customFormat="1" customHeight="1" s="311"/>
    <row r="6582" hidden="1" ht="18.75" customFormat="1" customHeight="1" s="311"/>
    <row r="6583" hidden="1" ht="18.75" customFormat="1" customHeight="1" s="311"/>
    <row r="6584" hidden="1" ht="18.75" customFormat="1" customHeight="1" s="311"/>
    <row r="6585" hidden="1" ht="18.75" customFormat="1" customHeight="1" s="311"/>
    <row r="6586" hidden="1" ht="18.75" customFormat="1" customHeight="1" s="311"/>
    <row r="6587" hidden="1" ht="18.75" customFormat="1" customHeight="1" s="311"/>
    <row r="6588" hidden="1" ht="18.75" customFormat="1" customHeight="1" s="311"/>
    <row r="6589" hidden="1" ht="18.75" customFormat="1" customHeight="1" s="311"/>
    <row r="6590" hidden="1" ht="18.75" customFormat="1" customHeight="1" s="311"/>
    <row r="6591" hidden="1" ht="18.75" customFormat="1" customHeight="1" s="311"/>
    <row r="6592" hidden="1" ht="18.75" customFormat="1" customHeight="1" s="311"/>
    <row r="6593" hidden="1" ht="18.75" customFormat="1" customHeight="1" s="311"/>
    <row r="6594" hidden="1" ht="18.75" customFormat="1" customHeight="1" s="311"/>
    <row r="6595" hidden="1" ht="18.75" customFormat="1" customHeight="1" s="311"/>
    <row r="6596" hidden="1" ht="18.75" customFormat="1" customHeight="1" s="311"/>
    <row r="6597" hidden="1" ht="18.75" customFormat="1" customHeight="1" s="311"/>
    <row r="6598" hidden="1" ht="18.75" customFormat="1" customHeight="1" s="311"/>
    <row r="6599" hidden="1" ht="18.75" customFormat="1" customHeight="1" s="311"/>
    <row r="6600" hidden="1" ht="18.75" customFormat="1" customHeight="1" s="311"/>
    <row r="6601" hidden="1" ht="18.75" customFormat="1" customHeight="1" s="311"/>
    <row r="6602" hidden="1" ht="18.75" customFormat="1" customHeight="1" s="311"/>
    <row r="6603" hidden="1" ht="18.75" customFormat="1" customHeight="1" s="311"/>
    <row r="6604" hidden="1" ht="18.75" customFormat="1" customHeight="1" s="311"/>
    <row r="6605" hidden="1" ht="18.75" customFormat="1" customHeight="1" s="311"/>
    <row r="6606" hidden="1" ht="18.75" customFormat="1" customHeight="1" s="311"/>
    <row r="6607" hidden="1" ht="18.75" customFormat="1" customHeight="1" s="311"/>
    <row r="6608" hidden="1" ht="18.75" customFormat="1" customHeight="1" s="311"/>
    <row r="6609" hidden="1" ht="18.75" customFormat="1" customHeight="1" s="311"/>
    <row r="6610" hidden="1" ht="18.75" customFormat="1" customHeight="1" s="311"/>
    <row r="6611" hidden="1" ht="18.75" customFormat="1" customHeight="1" s="311"/>
    <row r="6612" hidden="1" ht="18.75" customFormat="1" customHeight="1" s="311"/>
    <row r="6613" hidden="1" ht="18.75" customFormat="1" customHeight="1" s="311"/>
    <row r="6614" hidden="1" ht="18.75" customFormat="1" customHeight="1" s="311"/>
    <row r="6615" hidden="1" ht="18.75" customFormat="1" customHeight="1" s="311"/>
    <row r="6616" hidden="1" ht="18.75" customFormat="1" customHeight="1" s="311"/>
    <row r="6617" hidden="1" ht="18.75" customFormat="1" customHeight="1" s="311"/>
    <row r="6618" hidden="1" ht="18.75" customFormat="1" customHeight="1" s="311"/>
    <row r="6619" hidden="1" ht="18.75" customFormat="1" customHeight="1" s="311"/>
    <row r="6620" hidden="1" ht="18.75" customFormat="1" customHeight="1" s="311"/>
    <row r="6621" hidden="1" ht="18.75" customFormat="1" customHeight="1" s="311"/>
    <row r="6622" hidden="1" ht="18.75" customFormat="1" customHeight="1" s="311"/>
    <row r="6623" hidden="1" ht="18.75" customFormat="1" customHeight="1" s="311"/>
    <row r="6624" hidden="1" ht="18.75" customFormat="1" customHeight="1" s="311"/>
    <row r="6625" hidden="1" ht="18.75" customFormat="1" customHeight="1" s="311"/>
    <row r="6626" hidden="1" ht="18.75" customFormat="1" customHeight="1" s="311"/>
    <row r="6627" hidden="1" ht="18.75" customFormat="1" customHeight="1" s="311"/>
    <row r="6628" hidden="1" ht="18.75" customFormat="1" customHeight="1" s="311"/>
    <row r="6629" hidden="1" ht="18.75" customFormat="1" customHeight="1" s="311"/>
    <row r="6630" hidden="1" ht="18.75" customFormat="1" customHeight="1" s="311"/>
    <row r="6631" hidden="1" ht="18.75" customFormat="1" customHeight="1" s="311"/>
    <row r="6632" hidden="1" ht="18.75" customFormat="1" customHeight="1" s="311"/>
    <row r="6633" hidden="1" ht="18.75" customFormat="1" customHeight="1" s="311"/>
    <row r="6634" hidden="1" ht="18.75" customFormat="1" customHeight="1" s="311"/>
    <row r="6635" hidden="1" ht="18.75" customFormat="1" customHeight="1" s="311"/>
    <row r="6636" hidden="1" ht="18.75" customFormat="1" customHeight="1" s="311"/>
    <row r="6637" hidden="1" ht="18.75" customFormat="1" customHeight="1" s="311"/>
    <row r="6638" hidden="1" ht="18.75" customFormat="1" customHeight="1" s="311"/>
    <row r="6639" hidden="1" ht="18.75" customFormat="1" customHeight="1" s="311"/>
    <row r="6640" hidden="1" ht="18.75" customFormat="1" customHeight="1" s="311"/>
    <row r="6641" hidden="1" ht="18.75" customFormat="1" customHeight="1" s="311"/>
    <row r="6642" hidden="1" ht="18.75" customFormat="1" customHeight="1" s="311"/>
    <row r="6643" hidden="1" ht="18.75" customFormat="1" customHeight="1" s="311"/>
    <row r="6644" hidden="1" ht="18.75" customFormat="1" customHeight="1" s="311"/>
    <row r="6645" hidden="1" ht="18.75" customFormat="1" customHeight="1" s="311"/>
    <row r="6646" hidden="1" ht="18.75" customFormat="1" customHeight="1" s="311"/>
    <row r="6647" hidden="1" ht="18.75" customFormat="1" customHeight="1" s="311"/>
    <row r="6648" hidden="1" ht="18.75" customFormat="1" customHeight="1" s="311"/>
    <row r="6649" hidden="1" ht="18.75" customFormat="1" customHeight="1" s="311"/>
    <row r="6650" hidden="1" ht="18.75" customFormat="1" customHeight="1" s="311"/>
    <row r="6651" hidden="1" ht="18.75" customFormat="1" customHeight="1" s="311"/>
    <row r="6652" hidden="1" ht="18.75" customFormat="1" customHeight="1" s="311"/>
    <row r="6653" hidden="1" ht="18.75" customFormat="1" customHeight="1" s="311"/>
    <row r="6654" hidden="1" ht="18.75" customFormat="1" customHeight="1" s="311"/>
    <row r="6655" hidden="1" ht="18.75" customFormat="1" customHeight="1" s="311"/>
    <row r="6656" hidden="1" ht="18.75" customFormat="1" customHeight="1" s="311"/>
    <row r="6657" hidden="1" ht="18.75" customFormat="1" customHeight="1" s="311"/>
    <row r="6658" hidden="1" ht="18.75" customFormat="1" customHeight="1" s="311"/>
    <row r="6659" hidden="1" ht="18.75" customFormat="1" customHeight="1" s="311"/>
    <row r="6660" hidden="1" ht="18.75" customFormat="1" customHeight="1" s="311"/>
    <row r="6661" hidden="1" ht="18.75" customFormat="1" customHeight="1" s="311"/>
    <row r="6662" hidden="1" ht="18.75" customFormat="1" customHeight="1" s="311"/>
    <row r="6663" hidden="1" ht="18.75" customFormat="1" customHeight="1" s="311"/>
    <row r="6664" hidden="1" ht="18.75" customFormat="1" customHeight="1" s="311"/>
    <row r="6665" hidden="1" ht="18.75" customFormat="1" customHeight="1" s="311"/>
    <row r="6666" hidden="1" ht="18.75" customFormat="1" customHeight="1" s="311"/>
    <row r="6667" hidden="1" ht="18.75" customFormat="1" customHeight="1" s="311"/>
    <row r="6668" hidden="1" ht="18.75" customFormat="1" customHeight="1" s="311"/>
    <row r="6669" hidden="1" ht="18.75" customFormat="1" customHeight="1" s="311"/>
    <row r="6670" hidden="1" ht="18.75" customFormat="1" customHeight="1" s="311"/>
    <row r="6671" hidden="1" ht="18.75" customFormat="1" customHeight="1" s="311"/>
    <row r="6672" hidden="1" ht="18.75" customFormat="1" customHeight="1" s="311"/>
    <row r="6673" hidden="1" ht="18.75" customFormat="1" customHeight="1" s="311"/>
    <row r="6674" hidden="1" ht="18.75" customFormat="1" customHeight="1" s="311"/>
    <row r="6675" hidden="1" ht="18.75" customFormat="1" customHeight="1" s="311"/>
    <row r="6676" hidden="1" ht="18.75" customFormat="1" customHeight="1" s="311"/>
    <row r="6677" hidden="1" ht="18.75" customFormat="1" customHeight="1" s="311"/>
    <row r="6678" hidden="1" ht="18.75" customFormat="1" customHeight="1" s="311"/>
    <row r="6679" hidden="1" ht="18.75" customFormat="1" customHeight="1" s="311"/>
    <row r="6680" hidden="1" ht="18.75" customFormat="1" customHeight="1" s="311"/>
    <row r="6681" hidden="1" ht="18.75" customFormat="1" customHeight="1" s="311"/>
    <row r="6682" hidden="1" ht="18.75" customFormat="1" customHeight="1" s="311"/>
    <row r="6683" hidden="1" ht="18.75" customFormat="1" customHeight="1" s="311"/>
    <row r="6684" hidden="1" ht="18.75" customFormat="1" customHeight="1" s="311"/>
    <row r="6685" hidden="1" ht="18.75" customFormat="1" customHeight="1" s="311"/>
    <row r="6686" hidden="1" ht="18.75" customFormat="1" customHeight="1" s="311"/>
    <row r="6687" hidden="1" ht="18.75" customFormat="1" customHeight="1" s="311"/>
    <row r="6688" hidden="1" ht="18.75" customFormat="1" customHeight="1" s="311"/>
    <row r="6689" hidden="1" ht="18.75" customFormat="1" customHeight="1" s="311"/>
    <row r="6690" hidden="1" ht="18.75" customFormat="1" customHeight="1" s="311"/>
    <row r="6691" hidden="1" ht="18.75" customFormat="1" customHeight="1" s="311"/>
    <row r="6692" hidden="1" ht="18.75" customFormat="1" customHeight="1" s="311"/>
    <row r="6693" hidden="1" ht="18.75" customFormat="1" customHeight="1" s="311"/>
    <row r="6694" hidden="1" ht="18.75" customFormat="1" customHeight="1" s="311"/>
    <row r="6695" hidden="1" ht="18.75" customFormat="1" customHeight="1" s="311"/>
    <row r="6696" hidden="1" ht="18.75" customFormat="1" customHeight="1" s="311"/>
    <row r="6697" hidden="1" ht="18.75" customFormat="1" customHeight="1" s="311"/>
    <row r="6698" hidden="1" ht="18.75" customFormat="1" customHeight="1" s="311"/>
    <row r="6699" hidden="1" ht="18.75" customFormat="1" customHeight="1" s="311"/>
    <row r="6700" hidden="1" ht="18.75" customFormat="1" customHeight="1" s="311"/>
    <row r="6701" hidden="1" ht="18.75" customFormat="1" customHeight="1" s="311"/>
    <row r="6702" hidden="1" ht="18.75" customFormat="1" customHeight="1" s="311"/>
    <row r="6703" hidden="1" ht="18.75" customFormat="1" customHeight="1" s="311"/>
    <row r="6704" hidden="1" ht="18.75" customFormat="1" customHeight="1" s="311"/>
    <row r="6705" hidden="1" ht="18.75" customFormat="1" customHeight="1" s="311"/>
    <row r="6706" hidden="1" ht="18.75" customFormat="1" customHeight="1" s="311"/>
    <row r="6707" hidden="1" ht="18.75" customFormat="1" customHeight="1" s="311"/>
    <row r="6708" hidden="1" ht="18.75" customFormat="1" customHeight="1" s="311"/>
    <row r="6709" hidden="1" ht="18.75" customFormat="1" customHeight="1" s="311"/>
    <row r="6710" hidden="1" ht="18.75" customFormat="1" customHeight="1" s="311"/>
    <row r="6711" hidden="1" ht="18.75" customFormat="1" customHeight="1" s="311"/>
    <row r="6712" hidden="1" ht="18.75" customFormat="1" customHeight="1" s="311"/>
    <row r="6713" hidden="1" ht="18.75" customFormat="1" customHeight="1" s="311"/>
    <row r="6714" hidden="1" ht="18.75" customFormat="1" customHeight="1" s="311"/>
    <row r="6715" hidden="1" ht="18.75" customFormat="1" customHeight="1" s="311"/>
    <row r="6716" hidden="1" ht="18.75" customFormat="1" customHeight="1" s="311"/>
    <row r="6717" hidden="1" ht="18.75" customFormat="1" customHeight="1" s="311"/>
    <row r="6718" hidden="1" ht="18.75" customFormat="1" customHeight="1" s="311"/>
    <row r="6719" hidden="1" ht="18.75" customFormat="1" customHeight="1" s="311"/>
    <row r="6720" hidden="1" ht="18.75" customFormat="1" customHeight="1" s="311"/>
    <row r="6721" hidden="1" ht="18.75" customFormat="1" customHeight="1" s="311"/>
    <row r="6722" hidden="1" ht="18.75" customFormat="1" customHeight="1" s="311"/>
    <row r="6723" hidden="1" ht="18.75" customFormat="1" customHeight="1" s="311"/>
    <row r="6724" hidden="1" ht="18.75" customFormat="1" customHeight="1" s="311"/>
    <row r="6725" hidden="1" ht="18.75" customFormat="1" customHeight="1" s="311"/>
    <row r="6726" hidden="1" ht="18.75" customFormat="1" customHeight="1" s="311"/>
    <row r="6727" hidden="1" ht="18.75" customFormat="1" customHeight="1" s="311"/>
    <row r="6728" hidden="1" ht="18.75" customFormat="1" customHeight="1" s="311"/>
    <row r="6729" hidden="1" ht="18.75" customFormat="1" customHeight="1" s="311"/>
    <row r="6730" hidden="1" ht="18.75" customFormat="1" customHeight="1" s="311"/>
    <row r="6731" hidden="1" ht="18.75" customFormat="1" customHeight="1" s="311"/>
    <row r="6732" hidden="1" ht="18.75" customFormat="1" customHeight="1" s="311"/>
    <row r="6733" hidden="1" ht="18.75" customFormat="1" customHeight="1" s="311"/>
    <row r="6734" hidden="1" ht="18.75" customFormat="1" customHeight="1" s="311"/>
    <row r="6735" hidden="1" ht="18.75" customFormat="1" customHeight="1" s="311"/>
    <row r="6736" hidden="1" ht="18.75" customFormat="1" customHeight="1" s="311"/>
    <row r="6737" hidden="1" ht="18.75" customFormat="1" customHeight="1" s="311"/>
    <row r="6738" hidden="1" ht="18.75" customFormat="1" customHeight="1" s="311"/>
    <row r="6739" hidden="1" ht="18.75" customFormat="1" customHeight="1" s="311"/>
    <row r="6740" hidden="1" ht="18.75" customFormat="1" customHeight="1" s="311"/>
    <row r="6741" hidden="1" ht="18.75" customFormat="1" customHeight="1" s="311"/>
    <row r="6742" hidden="1" ht="18.75" customFormat="1" customHeight="1" s="311"/>
    <row r="6743" hidden="1" ht="18.75" customFormat="1" customHeight="1" s="311"/>
    <row r="6744" hidden="1" ht="18.75" customFormat="1" customHeight="1" s="311"/>
    <row r="6745" hidden="1" ht="18.75" customFormat="1" customHeight="1" s="311"/>
    <row r="6746" hidden="1" ht="18.75" customFormat="1" customHeight="1" s="311"/>
    <row r="6747" hidden="1" ht="18.75" customFormat="1" customHeight="1" s="311"/>
    <row r="6748" hidden="1" ht="18.75" customFormat="1" customHeight="1" s="311"/>
    <row r="6749" hidden="1" ht="18.75" customFormat="1" customHeight="1" s="311"/>
    <row r="6750" hidden="1" ht="18.75" customFormat="1" customHeight="1" s="311"/>
    <row r="6751" hidden="1" ht="18.75" customFormat="1" customHeight="1" s="311"/>
    <row r="6752" hidden="1" ht="18.75" customFormat="1" customHeight="1" s="311"/>
    <row r="6753" hidden="1" ht="18.75" customFormat="1" customHeight="1" s="311"/>
    <row r="6754" hidden="1" ht="18.75" customFormat="1" customHeight="1" s="311"/>
    <row r="6755" hidden="1" ht="18.75" customFormat="1" customHeight="1" s="311"/>
    <row r="6756" hidden="1" ht="18.75" customFormat="1" customHeight="1" s="311"/>
    <row r="6757" hidden="1" ht="18.75" customFormat="1" customHeight="1" s="311"/>
    <row r="6758" hidden="1" ht="18.75" customFormat="1" customHeight="1" s="311"/>
    <row r="6759" hidden="1" ht="18.75" customFormat="1" customHeight="1" s="311"/>
    <row r="6760" hidden="1" ht="18.75" customFormat="1" customHeight="1" s="311"/>
    <row r="6761" hidden="1" ht="18.75" customFormat="1" customHeight="1" s="311"/>
    <row r="6762" hidden="1" ht="18.75" customFormat="1" customHeight="1" s="311"/>
    <row r="6763" hidden="1" ht="18.75" customFormat="1" customHeight="1" s="311"/>
    <row r="6764" hidden="1" ht="18.75" customFormat="1" customHeight="1" s="311"/>
    <row r="6765" hidden="1" ht="18.75" customFormat="1" customHeight="1" s="311"/>
    <row r="6766" hidden="1" ht="18.75" customFormat="1" customHeight="1" s="311"/>
    <row r="6767" hidden="1" ht="18.75" customFormat="1" customHeight="1" s="311"/>
    <row r="6768" hidden="1" ht="18.75" customFormat="1" customHeight="1" s="311"/>
    <row r="6769" hidden="1" ht="18.75" customFormat="1" customHeight="1" s="311"/>
    <row r="6770" hidden="1" ht="18.75" customFormat="1" customHeight="1" s="311"/>
    <row r="6771" hidden="1" ht="18.75" customFormat="1" customHeight="1" s="311"/>
    <row r="6772" hidden="1" ht="18.75" customFormat="1" customHeight="1" s="311"/>
    <row r="6773" hidden="1" ht="18.75" customFormat="1" customHeight="1" s="311"/>
    <row r="6774" hidden="1" ht="18.75" customFormat="1" customHeight="1" s="311"/>
    <row r="6775" hidden="1" ht="18.75" customFormat="1" customHeight="1" s="311"/>
    <row r="6776" hidden="1" ht="18.75" customFormat="1" customHeight="1" s="311"/>
    <row r="6777" hidden="1" ht="18.75" customFormat="1" customHeight="1" s="311"/>
    <row r="6778" hidden="1" ht="18.75" customFormat="1" customHeight="1" s="311"/>
    <row r="6779" hidden="1" ht="18.75" customFormat="1" customHeight="1" s="311"/>
    <row r="6780" hidden="1" ht="18.75" customFormat="1" customHeight="1" s="311"/>
    <row r="6781" hidden="1" ht="18.75" customFormat="1" customHeight="1" s="311"/>
    <row r="6782" hidden="1" ht="18.75" customFormat="1" customHeight="1" s="311"/>
    <row r="6783" hidden="1" ht="18.75" customFormat="1" customHeight="1" s="311"/>
    <row r="6784" hidden="1" ht="18.75" customFormat="1" customHeight="1" s="311"/>
    <row r="6785" hidden="1" ht="18.75" customFormat="1" customHeight="1" s="311"/>
    <row r="6786" hidden="1" ht="18.75" customFormat="1" customHeight="1" s="311"/>
    <row r="6787" hidden="1" ht="18.75" customFormat="1" customHeight="1" s="311"/>
    <row r="6788" hidden="1" ht="18.75" customFormat="1" customHeight="1" s="311"/>
    <row r="6789" hidden="1" ht="18.75" customFormat="1" customHeight="1" s="311"/>
    <row r="6790" hidden="1" ht="18.75" customFormat="1" customHeight="1" s="311"/>
    <row r="6791" hidden="1" ht="18.75" customFormat="1" customHeight="1" s="311"/>
    <row r="6792" hidden="1" ht="18.75" customFormat="1" customHeight="1" s="311"/>
    <row r="6793" hidden="1" ht="18.75" customFormat="1" customHeight="1" s="311"/>
    <row r="6794" hidden="1" ht="18.75" customFormat="1" customHeight="1" s="311"/>
    <row r="6795" hidden="1" ht="18.75" customFormat="1" customHeight="1" s="311"/>
    <row r="6796" hidden="1" ht="18.75" customFormat="1" customHeight="1" s="311"/>
    <row r="6797" hidden="1" ht="18.75" customFormat="1" customHeight="1" s="311"/>
    <row r="6798" hidden="1" ht="18.75" customFormat="1" customHeight="1" s="311"/>
    <row r="6799" hidden="1" ht="18.75" customFormat="1" customHeight="1" s="311"/>
    <row r="6800" hidden="1" ht="18.75" customFormat="1" customHeight="1" s="311"/>
    <row r="6801" hidden="1" ht="18.75" customFormat="1" customHeight="1" s="311"/>
    <row r="6802" hidden="1" ht="18.75" customFormat="1" customHeight="1" s="311"/>
    <row r="6803" hidden="1" ht="18.75" customFormat="1" customHeight="1" s="311"/>
    <row r="6804" hidden="1" ht="18.75" customFormat="1" customHeight="1" s="311"/>
    <row r="6805" hidden="1" ht="18.75" customFormat="1" customHeight="1" s="311"/>
    <row r="6806" hidden="1" ht="18.75" customFormat="1" customHeight="1" s="311"/>
    <row r="6807" hidden="1" ht="18.75" customFormat="1" customHeight="1" s="311"/>
    <row r="6808" hidden="1" ht="18.75" customFormat="1" customHeight="1" s="311"/>
    <row r="6809" hidden="1" ht="18.75" customFormat="1" customHeight="1" s="311"/>
    <row r="6810" hidden="1" ht="18.75" customFormat="1" customHeight="1" s="311"/>
    <row r="6811" hidden="1" ht="18.75" customFormat="1" customHeight="1" s="311"/>
    <row r="6812" hidden="1" ht="18.75" customFormat="1" customHeight="1" s="311"/>
    <row r="6813" hidden="1" ht="18.75" customFormat="1" customHeight="1" s="311"/>
    <row r="6814" hidden="1" ht="18.75" customFormat="1" customHeight="1" s="311"/>
    <row r="6815" hidden="1" ht="18.75" customFormat="1" customHeight="1" s="311"/>
    <row r="6816" hidden="1" ht="18.75" customFormat="1" customHeight="1" s="311"/>
    <row r="6817" hidden="1" ht="18.75" customFormat="1" customHeight="1" s="311"/>
    <row r="6818" hidden="1" ht="18.75" customFormat="1" customHeight="1" s="311"/>
    <row r="6819" hidden="1" ht="18.75" customFormat="1" customHeight="1" s="311"/>
    <row r="6820" hidden="1" ht="18.75" customFormat="1" customHeight="1" s="311"/>
    <row r="6821" hidden="1" ht="18.75" customFormat="1" customHeight="1" s="311"/>
    <row r="6822" hidden="1" ht="18.75" customFormat="1" customHeight="1" s="311"/>
    <row r="6823" hidden="1" ht="18.75" customFormat="1" customHeight="1" s="311"/>
    <row r="6824" hidden="1" ht="18.75" customFormat="1" customHeight="1" s="311"/>
    <row r="6825" hidden="1" ht="18.75" customFormat="1" customHeight="1" s="311"/>
    <row r="6826" hidden="1" ht="18.75" customFormat="1" customHeight="1" s="311"/>
    <row r="6827" hidden="1" ht="18.75" customFormat="1" customHeight="1" s="311"/>
    <row r="6828" hidden="1" ht="18.75" customFormat="1" customHeight="1" s="311"/>
    <row r="6829" hidden="1" ht="18.75" customFormat="1" customHeight="1" s="311"/>
    <row r="6830" hidden="1" ht="18.75" customFormat="1" customHeight="1" s="311"/>
    <row r="6831" hidden="1" ht="18.75" customFormat="1" customHeight="1" s="311"/>
    <row r="6832" hidden="1" ht="18.75" customFormat="1" customHeight="1" s="311"/>
    <row r="6833" hidden="1" ht="18.75" customFormat="1" customHeight="1" s="311"/>
    <row r="6834" hidden="1" ht="18.75" customFormat="1" customHeight="1" s="311"/>
    <row r="6835" hidden="1" ht="18.75" customFormat="1" customHeight="1" s="311"/>
    <row r="6836" hidden="1" ht="18.75" customFormat="1" customHeight="1" s="311"/>
    <row r="6837" hidden="1" ht="18.75" customFormat="1" customHeight="1" s="311"/>
    <row r="6838" hidden="1" ht="18.75" customFormat="1" customHeight="1" s="311"/>
    <row r="6839" hidden="1" ht="18.75" customFormat="1" customHeight="1" s="311"/>
    <row r="6840" hidden="1" ht="18.75" customFormat="1" customHeight="1" s="311"/>
    <row r="6841" hidden="1" ht="18.75" customFormat="1" customHeight="1" s="311"/>
    <row r="6842" hidden="1" ht="18.75" customFormat="1" customHeight="1" s="311"/>
    <row r="6843" hidden="1" ht="18.75" customFormat="1" customHeight="1" s="311"/>
    <row r="6844" hidden="1" ht="18.75" customFormat="1" customHeight="1" s="311"/>
    <row r="6845" hidden="1" ht="18.75" customFormat="1" customHeight="1" s="311"/>
    <row r="6846" hidden="1" ht="18.75" customFormat="1" customHeight="1" s="311"/>
    <row r="6847" hidden="1" ht="18.75" customFormat="1" customHeight="1" s="311"/>
    <row r="6848" hidden="1" ht="18.75" customFormat="1" customHeight="1" s="311"/>
    <row r="6849" hidden="1" ht="18.75" customFormat="1" customHeight="1" s="311"/>
    <row r="6850" hidden="1" ht="18.75" customFormat="1" customHeight="1" s="311"/>
    <row r="6851" hidden="1" ht="18.75" customFormat="1" customHeight="1" s="311"/>
    <row r="6852" hidden="1" ht="18.75" customFormat="1" customHeight="1" s="311"/>
    <row r="6853" hidden="1" ht="18.75" customFormat="1" customHeight="1" s="311"/>
    <row r="6854" hidden="1" ht="18.75" customFormat="1" customHeight="1" s="311"/>
    <row r="6855" hidden="1" ht="18.75" customFormat="1" customHeight="1" s="311"/>
    <row r="6856" hidden="1" ht="18.75" customFormat="1" customHeight="1" s="311"/>
    <row r="6857" hidden="1" ht="18.75" customFormat="1" customHeight="1" s="311"/>
    <row r="6858" hidden="1" ht="18.75" customFormat="1" customHeight="1" s="311"/>
    <row r="6859" hidden="1" ht="18.75" customFormat="1" customHeight="1" s="311"/>
    <row r="6860" hidden="1" ht="18.75" customFormat="1" customHeight="1" s="311"/>
    <row r="6861" hidden="1" ht="18.75" customFormat="1" customHeight="1" s="311"/>
    <row r="6862" hidden="1" ht="18.75" customFormat="1" customHeight="1" s="311"/>
    <row r="6863" hidden="1" ht="18.75" customFormat="1" customHeight="1" s="311"/>
    <row r="6864" hidden="1" ht="18.75" customFormat="1" customHeight="1" s="311"/>
    <row r="6865" hidden="1" ht="18.75" customFormat="1" customHeight="1" s="311"/>
    <row r="6866" hidden="1" ht="18.75" customFormat="1" customHeight="1" s="311"/>
    <row r="6867" hidden="1" ht="18.75" customFormat="1" customHeight="1" s="311"/>
    <row r="6868" hidden="1" ht="18.75" customFormat="1" customHeight="1" s="311"/>
    <row r="6869" hidden="1" ht="18.75" customFormat="1" customHeight="1" s="311"/>
    <row r="6870" hidden="1" ht="18.75" customFormat="1" customHeight="1" s="311"/>
    <row r="6871" hidden="1" ht="18.75" customFormat="1" customHeight="1" s="311"/>
    <row r="6872" hidden="1" ht="18.75" customFormat="1" customHeight="1" s="311"/>
    <row r="6873" hidden="1" ht="18.75" customFormat="1" customHeight="1" s="311"/>
    <row r="6874" hidden="1" ht="18.75" customFormat="1" customHeight="1" s="311"/>
    <row r="6875" hidden="1" ht="18.75" customFormat="1" customHeight="1" s="311"/>
    <row r="6876" hidden="1" ht="18.75" customFormat="1" customHeight="1" s="311"/>
    <row r="6877" hidden="1" ht="18.75" customFormat="1" customHeight="1" s="311"/>
    <row r="6878" hidden="1" ht="18.75" customFormat="1" customHeight="1" s="311"/>
    <row r="6879" hidden="1" ht="18.75" customFormat="1" customHeight="1" s="311"/>
    <row r="6880" hidden="1" ht="18.75" customFormat="1" customHeight="1" s="311"/>
    <row r="6881" hidden="1" ht="18.75" customFormat="1" customHeight="1" s="311"/>
    <row r="6882" hidden="1" ht="18.75" customFormat="1" customHeight="1" s="311"/>
    <row r="6883" hidden="1" ht="18.75" customFormat="1" customHeight="1" s="311"/>
    <row r="6884" hidden="1" ht="18.75" customFormat="1" customHeight="1" s="311"/>
    <row r="6885" hidden="1" ht="18.75" customFormat="1" customHeight="1" s="311"/>
    <row r="6886" hidden="1" ht="18.75" customFormat="1" customHeight="1" s="311"/>
    <row r="6887" hidden="1" ht="18.75" customFormat="1" customHeight="1" s="311"/>
    <row r="6888" hidden="1" ht="18.75" customFormat="1" customHeight="1" s="311"/>
    <row r="6889" hidden="1" ht="18.75" customFormat="1" customHeight="1" s="311"/>
    <row r="6890" hidden="1" ht="18.75" customFormat="1" customHeight="1" s="311"/>
    <row r="6891" hidden="1" ht="18.75" customFormat="1" customHeight="1" s="311"/>
    <row r="6892" hidden="1" ht="18.75" customFormat="1" customHeight="1" s="311"/>
    <row r="6893" hidden="1" ht="18.75" customFormat="1" customHeight="1" s="311"/>
    <row r="6894" hidden="1" ht="18.75" customFormat="1" customHeight="1" s="311"/>
    <row r="6895" hidden="1" ht="18.75" customFormat="1" customHeight="1" s="311"/>
    <row r="6896" hidden="1" ht="18.75" customFormat="1" customHeight="1" s="311"/>
    <row r="6897" hidden="1" ht="18.75" customFormat="1" customHeight="1" s="311"/>
    <row r="6898" hidden="1" ht="18.75" customFormat="1" customHeight="1" s="311"/>
    <row r="6899" hidden="1" ht="18.75" customFormat="1" customHeight="1" s="311"/>
    <row r="6900" hidden="1" ht="18.75" customFormat="1" customHeight="1" s="311"/>
    <row r="6901" hidden="1" ht="18.75" customFormat="1" customHeight="1" s="311"/>
    <row r="6902" hidden="1" ht="18.75" customFormat="1" customHeight="1" s="311"/>
    <row r="6903" hidden="1" ht="18.75" customFormat="1" customHeight="1" s="311"/>
    <row r="6904" hidden="1" ht="18.75" customFormat="1" customHeight="1" s="311"/>
    <row r="6905" hidden="1" ht="18.75" customFormat="1" customHeight="1" s="311"/>
    <row r="6906" hidden="1" ht="18.75" customFormat="1" customHeight="1" s="311"/>
    <row r="6907" hidden="1" ht="18.75" customFormat="1" customHeight="1" s="311"/>
    <row r="6908" hidden="1" ht="18.75" customFormat="1" customHeight="1" s="311"/>
    <row r="6909" hidden="1" ht="18.75" customFormat="1" customHeight="1" s="311"/>
    <row r="6910" hidden="1" ht="18.75" customFormat="1" customHeight="1" s="311"/>
    <row r="6911" hidden="1" ht="18.75" customFormat="1" customHeight="1" s="311"/>
    <row r="6912" hidden="1" ht="18.75" customFormat="1" customHeight="1" s="311"/>
    <row r="6913" hidden="1" ht="18.75" customFormat="1" customHeight="1" s="311"/>
    <row r="6914" hidden="1" ht="18.75" customFormat="1" customHeight="1" s="311"/>
    <row r="6915" hidden="1" ht="18.75" customFormat="1" customHeight="1" s="311"/>
    <row r="6916" hidden="1" ht="18.75" customFormat="1" customHeight="1" s="311"/>
    <row r="6917" hidden="1" ht="18.75" customFormat="1" customHeight="1" s="311"/>
    <row r="6918" hidden="1" ht="18.75" customFormat="1" customHeight="1" s="311"/>
    <row r="6919" hidden="1" ht="18.75" customFormat="1" customHeight="1" s="311"/>
    <row r="6920" hidden="1" ht="18.75" customFormat="1" customHeight="1" s="311"/>
    <row r="6921" hidden="1" ht="18.75" customFormat="1" customHeight="1" s="311"/>
    <row r="6922" hidden="1" ht="18.75" customFormat="1" customHeight="1" s="311"/>
    <row r="6923" hidden="1" ht="18.75" customFormat="1" customHeight="1" s="311"/>
    <row r="6924" hidden="1" ht="18.75" customFormat="1" customHeight="1" s="311"/>
    <row r="6925" hidden="1" ht="18.75" customFormat="1" customHeight="1" s="311"/>
    <row r="6926" hidden="1" ht="18.75" customFormat="1" customHeight="1" s="311"/>
    <row r="6927" hidden="1" ht="18.75" customFormat="1" customHeight="1" s="311"/>
    <row r="6928" hidden="1" ht="18.75" customFormat="1" customHeight="1" s="311"/>
    <row r="6929" hidden="1" ht="18.75" customFormat="1" customHeight="1" s="311"/>
    <row r="6930" hidden="1" ht="18.75" customFormat="1" customHeight="1" s="311"/>
    <row r="6931" hidden="1" ht="18.75" customFormat="1" customHeight="1" s="311"/>
    <row r="6932" hidden="1" ht="18.75" customFormat="1" customHeight="1" s="311"/>
    <row r="6933" hidden="1" ht="18.75" customFormat="1" customHeight="1" s="311"/>
    <row r="6934" hidden="1" ht="18.75" customFormat="1" customHeight="1" s="311"/>
    <row r="6935" hidden="1" ht="18.75" customFormat="1" customHeight="1" s="311"/>
    <row r="6936" hidden="1" ht="18.75" customFormat="1" customHeight="1" s="311"/>
    <row r="6937" hidden="1" ht="18.75" customFormat="1" customHeight="1" s="311"/>
    <row r="6938" hidden="1" ht="18.75" customFormat="1" customHeight="1" s="311"/>
    <row r="6939" hidden="1" ht="18.75" customFormat="1" customHeight="1" s="311"/>
    <row r="6940" hidden="1" ht="18.75" customFormat="1" customHeight="1" s="311"/>
    <row r="6941" hidden="1" ht="18.75" customFormat="1" customHeight="1" s="311"/>
    <row r="6942" hidden="1" ht="18.75" customFormat="1" customHeight="1" s="311"/>
    <row r="6943" hidden="1" ht="18.75" customFormat="1" customHeight="1" s="311"/>
    <row r="6944" hidden="1" ht="18.75" customFormat="1" customHeight="1" s="311"/>
    <row r="6945" hidden="1" ht="18.75" customFormat="1" customHeight="1" s="311"/>
    <row r="6946" hidden="1" ht="18.75" customFormat="1" customHeight="1" s="311"/>
    <row r="6947" hidden="1" ht="18.75" customFormat="1" customHeight="1" s="311"/>
    <row r="6948" hidden="1" ht="18.75" customFormat="1" customHeight="1" s="311"/>
    <row r="6949" hidden="1" ht="18.75" customFormat="1" customHeight="1" s="311"/>
    <row r="6950" hidden="1" ht="18.75" customFormat="1" customHeight="1" s="311"/>
    <row r="6951" hidden="1" ht="18.75" customFormat="1" customHeight="1" s="311"/>
    <row r="6952" hidden="1" ht="18.75" customFormat="1" customHeight="1" s="311"/>
    <row r="6953" hidden="1" ht="18.75" customFormat="1" customHeight="1" s="311"/>
    <row r="6954" hidden="1" ht="18.75" customFormat="1" customHeight="1" s="311"/>
    <row r="6955" hidden="1" ht="18.75" customFormat="1" customHeight="1" s="311"/>
    <row r="6956" hidden="1" ht="18.75" customFormat="1" customHeight="1" s="311"/>
    <row r="6957" hidden="1" ht="18.75" customFormat="1" customHeight="1" s="311"/>
    <row r="6958" hidden="1" ht="18.75" customFormat="1" customHeight="1" s="311"/>
    <row r="6959" hidden="1" ht="18.75" customFormat="1" customHeight="1" s="311"/>
    <row r="6960" hidden="1" ht="18.75" customFormat="1" customHeight="1" s="311"/>
    <row r="6961" hidden="1" ht="18.75" customFormat="1" customHeight="1" s="311"/>
    <row r="6962" hidden="1" ht="18.75" customFormat="1" customHeight="1" s="311"/>
    <row r="6963" hidden="1" ht="18.75" customFormat="1" customHeight="1" s="311"/>
    <row r="6964" hidden="1" ht="18.75" customFormat="1" customHeight="1" s="311"/>
    <row r="6965" hidden="1" ht="18.75" customFormat="1" customHeight="1" s="311"/>
    <row r="6966" hidden="1" ht="18.75" customFormat="1" customHeight="1" s="311"/>
    <row r="6967" hidden="1" ht="18.75" customFormat="1" customHeight="1" s="311"/>
    <row r="6968" hidden="1" ht="18.75" customFormat="1" customHeight="1" s="311"/>
    <row r="6969" hidden="1" ht="18.75" customFormat="1" customHeight="1" s="311"/>
    <row r="6970" hidden="1" ht="18.75" customFormat="1" customHeight="1" s="311"/>
    <row r="6971" hidden="1" ht="18.75" customFormat="1" customHeight="1" s="311"/>
    <row r="6972" hidden="1" ht="18.75" customFormat="1" customHeight="1" s="311"/>
    <row r="6973" hidden="1" ht="18.75" customFormat="1" customHeight="1" s="311"/>
    <row r="6974" hidden="1" ht="18.75" customFormat="1" customHeight="1" s="311"/>
    <row r="6975" hidden="1" ht="18.75" customFormat="1" customHeight="1" s="311"/>
    <row r="6976" hidden="1" ht="18.75" customFormat="1" customHeight="1" s="311"/>
    <row r="6977" hidden="1" ht="18.75" customFormat="1" customHeight="1" s="311"/>
    <row r="6978" hidden="1" ht="18.75" customFormat="1" customHeight="1" s="311"/>
    <row r="6979" hidden="1" ht="18.75" customFormat="1" customHeight="1" s="311"/>
    <row r="6980" hidden="1" ht="18.75" customFormat="1" customHeight="1" s="311"/>
    <row r="6981" hidden="1" ht="18.75" customFormat="1" customHeight="1" s="311"/>
    <row r="6982" hidden="1" ht="18.75" customFormat="1" customHeight="1" s="311"/>
    <row r="6983" hidden="1" ht="18.75" customFormat="1" customHeight="1" s="311"/>
    <row r="6984" hidden="1" ht="18.75" customFormat="1" customHeight="1" s="311"/>
    <row r="6985" hidden="1" ht="18.75" customFormat="1" customHeight="1" s="311"/>
    <row r="6986" hidden="1" ht="18.75" customFormat="1" customHeight="1" s="311"/>
    <row r="6987" hidden="1" ht="18.75" customFormat="1" customHeight="1" s="311"/>
    <row r="6988" hidden="1" ht="18.75" customFormat="1" customHeight="1" s="311"/>
    <row r="6989" hidden="1" ht="18.75" customFormat="1" customHeight="1" s="311"/>
    <row r="6990" hidden="1" ht="18.75" customFormat="1" customHeight="1" s="311"/>
    <row r="6991" hidden="1" ht="18.75" customFormat="1" customHeight="1" s="311"/>
    <row r="6992" hidden="1" ht="18.75" customFormat="1" customHeight="1" s="311"/>
    <row r="6993" hidden="1" ht="18.75" customFormat="1" customHeight="1" s="311"/>
    <row r="6994" hidden="1" ht="18.75" customFormat="1" customHeight="1" s="311"/>
    <row r="6995" hidden="1" ht="18.75" customFormat="1" customHeight="1" s="311"/>
    <row r="6996" hidden="1" ht="18.75" customFormat="1" customHeight="1" s="311"/>
    <row r="6997" hidden="1" ht="18.75" customFormat="1" customHeight="1" s="311"/>
    <row r="6998" hidden="1" ht="18.75" customFormat="1" customHeight="1" s="311"/>
    <row r="6999" hidden="1" ht="18.75" customFormat="1" customHeight="1" s="311"/>
    <row r="7000" hidden="1" ht="18.75" customFormat="1" customHeight="1" s="311"/>
    <row r="7001" hidden="1" ht="18.75" customFormat="1" customHeight="1" s="311"/>
    <row r="7002" hidden="1" ht="18.75" customFormat="1" customHeight="1" s="311"/>
    <row r="7003" hidden="1" ht="18.75" customFormat="1" customHeight="1" s="311"/>
    <row r="7004" hidden="1" ht="18.75" customFormat="1" customHeight="1" s="311"/>
    <row r="7005" hidden="1" ht="18.75" customFormat="1" customHeight="1" s="311"/>
    <row r="7006" hidden="1" ht="18.75" customFormat="1" customHeight="1" s="311"/>
    <row r="7007" hidden="1" ht="18.75" customFormat="1" customHeight="1" s="311"/>
    <row r="7008" hidden="1" ht="18.75" customFormat="1" customHeight="1" s="311"/>
    <row r="7009" hidden="1" ht="18.75" customFormat="1" customHeight="1" s="311"/>
    <row r="7010" hidden="1" ht="18.75" customFormat="1" customHeight="1" s="311"/>
    <row r="7011" hidden="1" ht="18.75" customFormat="1" customHeight="1" s="311"/>
    <row r="7012" hidden="1" ht="18.75" customFormat="1" customHeight="1" s="311"/>
    <row r="7013" hidden="1" ht="18.75" customFormat="1" customHeight="1" s="311"/>
    <row r="7014" hidden="1" ht="18.75" customFormat="1" customHeight="1" s="311"/>
    <row r="7015" hidden="1" ht="18.75" customFormat="1" customHeight="1" s="311"/>
    <row r="7016" hidden="1" ht="18.75" customFormat="1" customHeight="1" s="311"/>
    <row r="7017" hidden="1" ht="18.75" customFormat="1" customHeight="1" s="311"/>
    <row r="7018" hidden="1" ht="18.75" customFormat="1" customHeight="1" s="311"/>
    <row r="7019" hidden="1" ht="18.75" customFormat="1" customHeight="1" s="311"/>
    <row r="7020" hidden="1" ht="18.75" customFormat="1" customHeight="1" s="311"/>
    <row r="7021" hidden="1" ht="18.75" customFormat="1" customHeight="1" s="311"/>
    <row r="7022" hidden="1" ht="18.75" customFormat="1" customHeight="1" s="311"/>
    <row r="7023" hidden="1" ht="18.75" customFormat="1" customHeight="1" s="311"/>
    <row r="7024" hidden="1" ht="18.75" customFormat="1" customHeight="1" s="311"/>
    <row r="7025" hidden="1" ht="18.75" customFormat="1" customHeight="1" s="311"/>
    <row r="7026" hidden="1" ht="18.75" customFormat="1" customHeight="1" s="311"/>
    <row r="7027" hidden="1" ht="18.75" customFormat="1" customHeight="1" s="311"/>
    <row r="7028" hidden="1" ht="18.75" customFormat="1" customHeight="1" s="311"/>
    <row r="7029" hidden="1" ht="18.75" customFormat="1" customHeight="1" s="311"/>
    <row r="7030" hidden="1" ht="18.75" customFormat="1" customHeight="1" s="311"/>
    <row r="7031" hidden="1" ht="18.75" customFormat="1" customHeight="1" s="311"/>
    <row r="7032" hidden="1" ht="18.75" customFormat="1" customHeight="1" s="311"/>
    <row r="7033" hidden="1" ht="18.75" customFormat="1" customHeight="1" s="311"/>
    <row r="7034" hidden="1" ht="18.75" customFormat="1" customHeight="1" s="311"/>
    <row r="7035" hidden="1" ht="18.75" customFormat="1" customHeight="1" s="311"/>
    <row r="7036" hidden="1" ht="18.75" customFormat="1" customHeight="1" s="311"/>
    <row r="7037" hidden="1" ht="18.75" customFormat="1" customHeight="1" s="311"/>
    <row r="7038" hidden="1" ht="18.75" customFormat="1" customHeight="1" s="311"/>
    <row r="7039" hidden="1" ht="18.75" customFormat="1" customHeight="1" s="311"/>
    <row r="7040" hidden="1" ht="18.75" customFormat="1" customHeight="1" s="311"/>
    <row r="7041" hidden="1" ht="18.75" customFormat="1" customHeight="1" s="311"/>
    <row r="7042" hidden="1" ht="18.75" customFormat="1" customHeight="1" s="311"/>
    <row r="7043" hidden="1" ht="18.75" customFormat="1" customHeight="1" s="311"/>
    <row r="7044" hidden="1" ht="18.75" customFormat="1" customHeight="1" s="311"/>
    <row r="7045" hidden="1" ht="18.75" customFormat="1" customHeight="1" s="311"/>
    <row r="7046" hidden="1" ht="18.75" customFormat="1" customHeight="1" s="311"/>
    <row r="7047" hidden="1" ht="18.75" customFormat="1" customHeight="1" s="311"/>
    <row r="7048" hidden="1" ht="18.75" customFormat="1" customHeight="1" s="311"/>
    <row r="7049" hidden="1" ht="18.75" customFormat="1" customHeight="1" s="311"/>
    <row r="7050" hidden="1" ht="18.75" customFormat="1" customHeight="1" s="311"/>
    <row r="7051" hidden="1" ht="18.75" customFormat="1" customHeight="1" s="311"/>
    <row r="7052" hidden="1" ht="18.75" customFormat="1" customHeight="1" s="311"/>
    <row r="7053" hidden="1" ht="18.75" customFormat="1" customHeight="1" s="311"/>
    <row r="7054" hidden="1" ht="18.75" customFormat="1" customHeight="1" s="311"/>
    <row r="7055" hidden="1" ht="18.75" customFormat="1" customHeight="1" s="311"/>
    <row r="7056" hidden="1" ht="18.75" customFormat="1" customHeight="1" s="311"/>
    <row r="7057" hidden="1" ht="18.75" customFormat="1" customHeight="1" s="311"/>
    <row r="7058" hidden="1" ht="18.75" customFormat="1" customHeight="1" s="311"/>
    <row r="7059" hidden="1" ht="18.75" customFormat="1" customHeight="1" s="311"/>
    <row r="7060" hidden="1" ht="18.75" customFormat="1" customHeight="1" s="311"/>
    <row r="7061" hidden="1" ht="18.75" customFormat="1" customHeight="1" s="311"/>
    <row r="7062" hidden="1" ht="18.75" customFormat="1" customHeight="1" s="311"/>
    <row r="7063" hidden="1" ht="18.75" customFormat="1" customHeight="1" s="311"/>
    <row r="7064" hidden="1" ht="18.75" customFormat="1" customHeight="1" s="311"/>
    <row r="7065" hidden="1" ht="18.75" customFormat="1" customHeight="1" s="311"/>
    <row r="7066" hidden="1" ht="18.75" customFormat="1" customHeight="1" s="311"/>
    <row r="7067" hidden="1" ht="18.75" customFormat="1" customHeight="1" s="311"/>
    <row r="7068" hidden="1" ht="18.75" customFormat="1" customHeight="1" s="311"/>
    <row r="7069" hidden="1" ht="18.75" customFormat="1" customHeight="1" s="311"/>
    <row r="7070" hidden="1" ht="18.75" customFormat="1" customHeight="1" s="311"/>
    <row r="7071" hidden="1" ht="18.75" customFormat="1" customHeight="1" s="311"/>
    <row r="7072" hidden="1" ht="18.75" customFormat="1" customHeight="1" s="311"/>
    <row r="7073" hidden="1" ht="18.75" customFormat="1" customHeight="1" s="311"/>
    <row r="7074" hidden="1" ht="18.75" customFormat="1" customHeight="1" s="311"/>
    <row r="7075" hidden="1" ht="18.75" customFormat="1" customHeight="1" s="311"/>
    <row r="7076" hidden="1" ht="18.75" customFormat="1" customHeight="1" s="311"/>
    <row r="7077" hidden="1" ht="18.75" customFormat="1" customHeight="1" s="311"/>
    <row r="7078" hidden="1" ht="18.75" customFormat="1" customHeight="1" s="311"/>
    <row r="7079" hidden="1" ht="18.75" customFormat="1" customHeight="1" s="311"/>
    <row r="7080" hidden="1" ht="18.75" customFormat="1" customHeight="1" s="311"/>
    <row r="7081" hidden="1" ht="18.75" customFormat="1" customHeight="1" s="311"/>
    <row r="7082" hidden="1" ht="18.75" customFormat="1" customHeight="1" s="311"/>
    <row r="7083" hidden="1" ht="18.75" customFormat="1" customHeight="1" s="311"/>
    <row r="7084" hidden="1" ht="18.75" customFormat="1" customHeight="1" s="311"/>
    <row r="7085" hidden="1" ht="18.75" customFormat="1" customHeight="1" s="311"/>
    <row r="7086" hidden="1" ht="18.75" customFormat="1" customHeight="1" s="311"/>
    <row r="7087" hidden="1" ht="18.75" customFormat="1" customHeight="1" s="311"/>
    <row r="7088" hidden="1" ht="18.75" customFormat="1" customHeight="1" s="311"/>
    <row r="7089" hidden="1" ht="18.75" customFormat="1" customHeight="1" s="311"/>
    <row r="7090" hidden="1" ht="18.75" customFormat="1" customHeight="1" s="311"/>
    <row r="7091" hidden="1" ht="18.75" customFormat="1" customHeight="1" s="311"/>
    <row r="7092" hidden="1" ht="18.75" customFormat="1" customHeight="1" s="311"/>
    <row r="7093" hidden="1" ht="18.75" customFormat="1" customHeight="1" s="311"/>
    <row r="7094" hidden="1" ht="18.75" customFormat="1" customHeight="1" s="311"/>
    <row r="7095" hidden="1" ht="18.75" customFormat="1" customHeight="1" s="311"/>
    <row r="7096" hidden="1" ht="18.75" customFormat="1" customHeight="1" s="311"/>
    <row r="7097" hidden="1" ht="18.75" customFormat="1" customHeight="1" s="311"/>
    <row r="7098" hidden="1" ht="18.75" customFormat="1" customHeight="1" s="311"/>
    <row r="7099" hidden="1" ht="18.75" customFormat="1" customHeight="1" s="311"/>
    <row r="7100" hidden="1" ht="18.75" customFormat="1" customHeight="1" s="311"/>
    <row r="7101" hidden="1" ht="18.75" customFormat="1" customHeight="1" s="311"/>
    <row r="7102" hidden="1" ht="18.75" customFormat="1" customHeight="1" s="311"/>
    <row r="7103" hidden="1" ht="18.75" customFormat="1" customHeight="1" s="311"/>
    <row r="7104" hidden="1" ht="18.75" customFormat="1" customHeight="1" s="311"/>
    <row r="7105" hidden="1" ht="18.75" customFormat="1" customHeight="1" s="311"/>
    <row r="7106" hidden="1" ht="18.75" customFormat="1" customHeight="1" s="311"/>
    <row r="7107" hidden="1" ht="18.75" customFormat="1" customHeight="1" s="311"/>
    <row r="7108" hidden="1" ht="18.75" customFormat="1" customHeight="1" s="311"/>
    <row r="7109" hidden="1" ht="18.75" customFormat="1" customHeight="1" s="311"/>
    <row r="7110" hidden="1" ht="18.75" customFormat="1" customHeight="1" s="311"/>
    <row r="7111" hidden="1" ht="18.75" customFormat="1" customHeight="1" s="311"/>
    <row r="7112" hidden="1" ht="18.75" customFormat="1" customHeight="1" s="311"/>
    <row r="7113" hidden="1" ht="18.75" customFormat="1" customHeight="1" s="311"/>
    <row r="7114" hidden="1" ht="18.75" customFormat="1" customHeight="1" s="311"/>
    <row r="7115" hidden="1" ht="18.75" customFormat="1" customHeight="1" s="311"/>
    <row r="7116" hidden="1" ht="18.75" customFormat="1" customHeight="1" s="311"/>
    <row r="7117" hidden="1" ht="18.75" customFormat="1" customHeight="1" s="311"/>
    <row r="7118" hidden="1" ht="18.75" customFormat="1" customHeight="1" s="311"/>
    <row r="7119" hidden="1" ht="18.75" customFormat="1" customHeight="1" s="311"/>
    <row r="7120" hidden="1" ht="18.75" customFormat="1" customHeight="1" s="311"/>
    <row r="7121" hidden="1" ht="18.75" customFormat="1" customHeight="1" s="311"/>
    <row r="7122" hidden="1" ht="18.75" customFormat="1" customHeight="1" s="311"/>
    <row r="7123" hidden="1" ht="18.75" customFormat="1" customHeight="1" s="311"/>
    <row r="7124" hidden="1" ht="18.75" customFormat="1" customHeight="1" s="311"/>
    <row r="7125" hidden="1" ht="18.75" customFormat="1" customHeight="1" s="311"/>
    <row r="7126" hidden="1" ht="18.75" customFormat="1" customHeight="1" s="311"/>
    <row r="7127" hidden="1" ht="18.75" customFormat="1" customHeight="1" s="311"/>
    <row r="7128" hidden="1" ht="18.75" customFormat="1" customHeight="1" s="311"/>
    <row r="7129" hidden="1" ht="18.75" customFormat="1" customHeight="1" s="311"/>
    <row r="7130" hidden="1" ht="18.75" customFormat="1" customHeight="1" s="311"/>
    <row r="7131" hidden="1" ht="18.75" customFormat="1" customHeight="1" s="311"/>
    <row r="7132" hidden="1" ht="18.75" customFormat="1" customHeight="1" s="311"/>
    <row r="7133" hidden="1" ht="18.75" customFormat="1" customHeight="1" s="311"/>
    <row r="7134" hidden="1" ht="18.75" customFormat="1" customHeight="1" s="311"/>
    <row r="7135" hidden="1" ht="18.75" customFormat="1" customHeight="1" s="311"/>
    <row r="7136" hidden="1" ht="18.75" customFormat="1" customHeight="1" s="311"/>
    <row r="7137" hidden="1" ht="18.75" customFormat="1" customHeight="1" s="311"/>
    <row r="7138" hidden="1" ht="18.75" customFormat="1" customHeight="1" s="311"/>
    <row r="7139" hidden="1" ht="18.75" customFormat="1" customHeight="1" s="311"/>
    <row r="7140" hidden="1" ht="18.75" customFormat="1" customHeight="1" s="311"/>
    <row r="7141" hidden="1" ht="18.75" customFormat="1" customHeight="1" s="311"/>
    <row r="7142" hidden="1" ht="18.75" customFormat="1" customHeight="1" s="311"/>
    <row r="7143" hidden="1" ht="18.75" customFormat="1" customHeight="1" s="311"/>
    <row r="7144" hidden="1" ht="18.75" customFormat="1" customHeight="1" s="311"/>
    <row r="7145" hidden="1" ht="18.75" customFormat="1" customHeight="1" s="311"/>
    <row r="7146" hidden="1" ht="18.75" customFormat="1" customHeight="1" s="311"/>
    <row r="7147" hidden="1" ht="18.75" customFormat="1" customHeight="1" s="311"/>
    <row r="7148" hidden="1" ht="18.75" customFormat="1" customHeight="1" s="311"/>
    <row r="7149" hidden="1" ht="18.75" customFormat="1" customHeight="1" s="311"/>
    <row r="7150" hidden="1" ht="18.75" customFormat="1" customHeight="1" s="311"/>
    <row r="7151" hidden="1" ht="18.75" customFormat="1" customHeight="1" s="311"/>
    <row r="7152" hidden="1" ht="18.75" customFormat="1" customHeight="1" s="311"/>
    <row r="7153" hidden="1" ht="18.75" customFormat="1" customHeight="1" s="311"/>
    <row r="7154" hidden="1" ht="18.75" customFormat="1" customHeight="1" s="311"/>
    <row r="7155" hidden="1" ht="18.75" customFormat="1" customHeight="1" s="311"/>
    <row r="7156" hidden="1" ht="18.75" customFormat="1" customHeight="1" s="311"/>
    <row r="7157" hidden="1" ht="18.75" customFormat="1" customHeight="1" s="311"/>
    <row r="7158" hidden="1" ht="18.75" customFormat="1" customHeight="1" s="311"/>
    <row r="7159" hidden="1" ht="18.75" customFormat="1" customHeight="1" s="311"/>
    <row r="7160" hidden="1" ht="18.75" customFormat="1" customHeight="1" s="311"/>
    <row r="7161" hidden="1" ht="18.75" customFormat="1" customHeight="1" s="311"/>
    <row r="7162" hidden="1" ht="18.75" customFormat="1" customHeight="1" s="311"/>
    <row r="7163" hidden="1" ht="18.75" customFormat="1" customHeight="1" s="311"/>
    <row r="7164" hidden="1" ht="18.75" customFormat="1" customHeight="1" s="311"/>
    <row r="7165" hidden="1" ht="18.75" customFormat="1" customHeight="1" s="311"/>
    <row r="7166" hidden="1" ht="18.75" customFormat="1" customHeight="1" s="311"/>
    <row r="7167" hidden="1" ht="18.75" customFormat="1" customHeight="1" s="311"/>
    <row r="7168" hidden="1" ht="18.75" customFormat="1" customHeight="1" s="311"/>
    <row r="7169" hidden="1" ht="18.75" customFormat="1" customHeight="1" s="311"/>
    <row r="7170" hidden="1" ht="18.75" customFormat="1" customHeight="1" s="311"/>
    <row r="7171" hidden="1" ht="18.75" customFormat="1" customHeight="1" s="311"/>
    <row r="7172" hidden="1" ht="18.75" customFormat="1" customHeight="1" s="311"/>
    <row r="7173" hidden="1" ht="18.75" customFormat="1" customHeight="1" s="311"/>
    <row r="7174" hidden="1" ht="18.75" customFormat="1" customHeight="1" s="311"/>
    <row r="7175" hidden="1" ht="18.75" customFormat="1" customHeight="1" s="311"/>
    <row r="7176" hidden="1" ht="18.75" customFormat="1" customHeight="1" s="311"/>
    <row r="7177" hidden="1" ht="18.75" customFormat="1" customHeight="1" s="311"/>
    <row r="7178" hidden="1" ht="18.75" customFormat="1" customHeight="1" s="311"/>
    <row r="7179" hidden="1" ht="18.75" customFormat="1" customHeight="1" s="311"/>
    <row r="7180" hidden="1" ht="18.75" customFormat="1" customHeight="1" s="311"/>
    <row r="7181" hidden="1" ht="18.75" customFormat="1" customHeight="1" s="311"/>
    <row r="7182" hidden="1" ht="18.75" customFormat="1" customHeight="1" s="311"/>
    <row r="7183" hidden="1" ht="18.75" customFormat="1" customHeight="1" s="311"/>
    <row r="7184" hidden="1" ht="18.75" customFormat="1" customHeight="1" s="311"/>
    <row r="7185" hidden="1" ht="18.75" customFormat="1" customHeight="1" s="311"/>
    <row r="7186" hidden="1" ht="18.75" customFormat="1" customHeight="1" s="311"/>
    <row r="7187" hidden="1" ht="18.75" customFormat="1" customHeight="1" s="311"/>
    <row r="7188" hidden="1" ht="18.75" customFormat="1" customHeight="1" s="311"/>
    <row r="7189" hidden="1" ht="18.75" customFormat="1" customHeight="1" s="311"/>
    <row r="7190" hidden="1" ht="18.75" customFormat="1" customHeight="1" s="311"/>
    <row r="7191" hidden="1" ht="18.75" customFormat="1" customHeight="1" s="311"/>
    <row r="7192" hidden="1" ht="18.75" customFormat="1" customHeight="1" s="311"/>
    <row r="7193" hidden="1" ht="18.75" customFormat="1" customHeight="1" s="311"/>
    <row r="7194" hidden="1" ht="18.75" customFormat="1" customHeight="1" s="311"/>
    <row r="7195" hidden="1" ht="18.75" customFormat="1" customHeight="1" s="311"/>
    <row r="7196" hidden="1" ht="18.75" customFormat="1" customHeight="1" s="311"/>
    <row r="7197" hidden="1" ht="18.75" customFormat="1" customHeight="1" s="311"/>
    <row r="7198" hidden="1" ht="18.75" customFormat="1" customHeight="1" s="311"/>
    <row r="7199" hidden="1" ht="18.75" customFormat="1" customHeight="1" s="311"/>
    <row r="7200" hidden="1" ht="18.75" customFormat="1" customHeight="1" s="311"/>
    <row r="7201" hidden="1" ht="18.75" customFormat="1" customHeight="1" s="311"/>
    <row r="7202" hidden="1" ht="18.75" customFormat="1" customHeight="1" s="311"/>
    <row r="7203" hidden="1" ht="18.75" customFormat="1" customHeight="1" s="311"/>
    <row r="7204" hidden="1" ht="18.75" customFormat="1" customHeight="1" s="311"/>
    <row r="7205" hidden="1" ht="18.75" customFormat="1" customHeight="1" s="311"/>
    <row r="7206" hidden="1" ht="18.75" customFormat="1" customHeight="1" s="311"/>
    <row r="7207" hidden="1" ht="18.75" customFormat="1" customHeight="1" s="311"/>
    <row r="7208" hidden="1" ht="18.75" customFormat="1" customHeight="1" s="311"/>
    <row r="7209" hidden="1" ht="18.75" customFormat="1" customHeight="1" s="311"/>
    <row r="7210" hidden="1" ht="18.75" customFormat="1" customHeight="1" s="311"/>
    <row r="7211" hidden="1" ht="18.75" customFormat="1" customHeight="1" s="311"/>
    <row r="7212" hidden="1" ht="18.75" customFormat="1" customHeight="1" s="311"/>
    <row r="7213" hidden="1" ht="18.75" customFormat="1" customHeight="1" s="311"/>
    <row r="7214" hidden="1" ht="18.75" customFormat="1" customHeight="1" s="311"/>
    <row r="7215" hidden="1" ht="18.75" customFormat="1" customHeight="1" s="311"/>
    <row r="7216" hidden="1" ht="18.75" customFormat="1" customHeight="1" s="311"/>
    <row r="7217" hidden="1" ht="18.75" customFormat="1" customHeight="1" s="311"/>
    <row r="7218" hidden="1" ht="18.75" customFormat="1" customHeight="1" s="311"/>
    <row r="7219" hidden="1" ht="18.75" customFormat="1" customHeight="1" s="311"/>
    <row r="7220" hidden="1" ht="18.75" customFormat="1" customHeight="1" s="311"/>
    <row r="7221" hidden="1" ht="18.75" customFormat="1" customHeight="1" s="311"/>
    <row r="7222" hidden="1" ht="18.75" customFormat="1" customHeight="1" s="311"/>
    <row r="7223" hidden="1" ht="18.75" customFormat="1" customHeight="1" s="311"/>
    <row r="7224" hidden="1" ht="18.75" customFormat="1" customHeight="1" s="311"/>
    <row r="7225" hidden="1" ht="18.75" customFormat="1" customHeight="1" s="311"/>
    <row r="7226" hidden="1" ht="18.75" customFormat="1" customHeight="1" s="311"/>
    <row r="7227" hidden="1" ht="18.75" customFormat="1" customHeight="1" s="311"/>
    <row r="7228" hidden="1" ht="18.75" customFormat="1" customHeight="1" s="311"/>
    <row r="7229" hidden="1" ht="18.75" customFormat="1" customHeight="1" s="311"/>
    <row r="7230" hidden="1" ht="18.75" customFormat="1" customHeight="1" s="311"/>
    <row r="7231" hidden="1" ht="18.75" customFormat="1" customHeight="1" s="311"/>
    <row r="7232" hidden="1" ht="18.75" customFormat="1" customHeight="1" s="311"/>
    <row r="7233" hidden="1" ht="18.75" customFormat="1" customHeight="1" s="311"/>
    <row r="7234" hidden="1" ht="18.75" customFormat="1" customHeight="1" s="311"/>
    <row r="7235" hidden="1" ht="18.75" customFormat="1" customHeight="1" s="311"/>
    <row r="7236" hidden="1" ht="18.75" customFormat="1" customHeight="1" s="311"/>
    <row r="7237" hidden="1" ht="18.75" customFormat="1" customHeight="1" s="311"/>
    <row r="7238" hidden="1" ht="18.75" customFormat="1" customHeight="1" s="311"/>
    <row r="7239" hidden="1" ht="18.75" customFormat="1" customHeight="1" s="311"/>
    <row r="7240" hidden="1" ht="18.75" customFormat="1" customHeight="1" s="311"/>
    <row r="7241" hidden="1" ht="18.75" customFormat="1" customHeight="1" s="311"/>
    <row r="7242" hidden="1" ht="18.75" customFormat="1" customHeight="1" s="311"/>
    <row r="7243" hidden="1" ht="18.75" customFormat="1" customHeight="1" s="311"/>
    <row r="7244" hidden="1" ht="18.75" customFormat="1" customHeight="1" s="311"/>
    <row r="7245" hidden="1" ht="18.75" customFormat="1" customHeight="1" s="311"/>
    <row r="7246" hidden="1" ht="18.75" customFormat="1" customHeight="1" s="311"/>
    <row r="7247" hidden="1" ht="18.75" customFormat="1" customHeight="1" s="311"/>
    <row r="7248" hidden="1" ht="18.75" customFormat="1" customHeight="1" s="311"/>
    <row r="7249" hidden="1" ht="18.75" customFormat="1" customHeight="1" s="311"/>
    <row r="7250" hidden="1" ht="18.75" customFormat="1" customHeight="1" s="311"/>
    <row r="7251" hidden="1" ht="18.75" customFormat="1" customHeight="1" s="311"/>
    <row r="7252" hidden="1" ht="18.75" customFormat="1" customHeight="1" s="311"/>
    <row r="7253" hidden="1" ht="18.75" customFormat="1" customHeight="1" s="311"/>
    <row r="7254" hidden="1" ht="18.75" customFormat="1" customHeight="1" s="311"/>
    <row r="7255" hidden="1" ht="18.75" customFormat="1" customHeight="1" s="311"/>
    <row r="7256" hidden="1" ht="18.75" customFormat="1" customHeight="1" s="311"/>
    <row r="7257" hidden="1" ht="18.75" customFormat="1" customHeight="1" s="311"/>
    <row r="7258" hidden="1" ht="18.75" customFormat="1" customHeight="1" s="311"/>
    <row r="7259" hidden="1" ht="18.75" customFormat="1" customHeight="1" s="311"/>
    <row r="7260" hidden="1" ht="18.75" customFormat="1" customHeight="1" s="311"/>
    <row r="7261" hidden="1" ht="18.75" customFormat="1" customHeight="1" s="311"/>
    <row r="7262" hidden="1" ht="18.75" customFormat="1" customHeight="1" s="311"/>
    <row r="7263" hidden="1" ht="18.75" customFormat="1" customHeight="1" s="311"/>
    <row r="7264" hidden="1" ht="18.75" customFormat="1" customHeight="1" s="311"/>
    <row r="7265" hidden="1" ht="18.75" customFormat="1" customHeight="1" s="311"/>
    <row r="7266" hidden="1" ht="18.75" customFormat="1" customHeight="1" s="311"/>
    <row r="7267" hidden="1" ht="18.75" customFormat="1" customHeight="1" s="311"/>
    <row r="7268" hidden="1" ht="18.75" customFormat="1" customHeight="1" s="311"/>
    <row r="7269" hidden="1" ht="18.75" customFormat="1" customHeight="1" s="311"/>
    <row r="7270" hidden="1" ht="18.75" customFormat="1" customHeight="1" s="311"/>
    <row r="7271" hidden="1" ht="18.75" customFormat="1" customHeight="1" s="311"/>
    <row r="7272" hidden="1" ht="18.75" customFormat="1" customHeight="1" s="311"/>
    <row r="7273" hidden="1" ht="18.75" customFormat="1" customHeight="1" s="311"/>
    <row r="7274" hidden="1" ht="18.75" customFormat="1" customHeight="1" s="311"/>
    <row r="7275" hidden="1" ht="18.75" customFormat="1" customHeight="1" s="311"/>
    <row r="7276" hidden="1" ht="18.75" customFormat="1" customHeight="1" s="311"/>
    <row r="7277" hidden="1" ht="18.75" customFormat="1" customHeight="1" s="311"/>
    <row r="7278" hidden="1" ht="18.75" customFormat="1" customHeight="1" s="311"/>
    <row r="7279" hidden="1" ht="18.75" customFormat="1" customHeight="1" s="311"/>
    <row r="7280" hidden="1" ht="18.75" customFormat="1" customHeight="1" s="311"/>
    <row r="7281" hidden="1" ht="18.75" customFormat="1" customHeight="1" s="311"/>
    <row r="7282" hidden="1" ht="18.75" customFormat="1" customHeight="1" s="311"/>
    <row r="7283" hidden="1" ht="18.75" customFormat="1" customHeight="1" s="311"/>
    <row r="7284" hidden="1" ht="18.75" customFormat="1" customHeight="1" s="311"/>
    <row r="7285" hidden="1" ht="18.75" customFormat="1" customHeight="1" s="311"/>
    <row r="7286" hidden="1" ht="18.75" customFormat="1" customHeight="1" s="311"/>
    <row r="7287" hidden="1" ht="18.75" customFormat="1" customHeight="1" s="311"/>
    <row r="7288" hidden="1" ht="18.75" customFormat="1" customHeight="1" s="311"/>
    <row r="7289" hidden="1" ht="18.75" customFormat="1" customHeight="1" s="311"/>
    <row r="7290" hidden="1" ht="18.75" customFormat="1" customHeight="1" s="311"/>
    <row r="7291" hidden="1" ht="18.75" customFormat="1" customHeight="1" s="311"/>
    <row r="7292" hidden="1" ht="18.75" customFormat="1" customHeight="1" s="311"/>
    <row r="7293" hidden="1" ht="18.75" customFormat="1" customHeight="1" s="311"/>
    <row r="7294" hidden="1" ht="18.75" customFormat="1" customHeight="1" s="311"/>
    <row r="7295" hidden="1" ht="18.75" customFormat="1" customHeight="1" s="311"/>
    <row r="7296" hidden="1" ht="18.75" customFormat="1" customHeight="1" s="311"/>
    <row r="7297" hidden="1" ht="18.75" customFormat="1" customHeight="1" s="311"/>
    <row r="7298" hidden="1" ht="18.75" customFormat="1" customHeight="1" s="311"/>
    <row r="7299" hidden="1" ht="18.75" customFormat="1" customHeight="1" s="311"/>
    <row r="7300" hidden="1" ht="18.75" customFormat="1" customHeight="1" s="311"/>
    <row r="7301" hidden="1" ht="18.75" customFormat="1" customHeight="1" s="311"/>
    <row r="7302" hidden="1" ht="18.75" customFormat="1" customHeight="1" s="311"/>
    <row r="7303" hidden="1" ht="18.75" customFormat="1" customHeight="1" s="311"/>
    <row r="7304" hidden="1" ht="18.75" customFormat="1" customHeight="1" s="311"/>
    <row r="7305" hidden="1" ht="18.75" customFormat="1" customHeight="1" s="311"/>
    <row r="7306" hidden="1" ht="18.75" customFormat="1" customHeight="1" s="311"/>
    <row r="7307" hidden="1" ht="18.75" customFormat="1" customHeight="1" s="311"/>
    <row r="7308" hidden="1" ht="18.75" customFormat="1" customHeight="1" s="311"/>
    <row r="7309" hidden="1" ht="18.75" customFormat="1" customHeight="1" s="311"/>
    <row r="7310" hidden="1" ht="18.75" customFormat="1" customHeight="1" s="311"/>
    <row r="7311" hidden="1" ht="18.75" customFormat="1" customHeight="1" s="311"/>
    <row r="7312" hidden="1" ht="18.75" customFormat="1" customHeight="1" s="311"/>
    <row r="7313" hidden="1" ht="18.75" customFormat="1" customHeight="1" s="311"/>
    <row r="7314" hidden="1" ht="18.75" customFormat="1" customHeight="1" s="311"/>
    <row r="7315" hidden="1" ht="18.75" customFormat="1" customHeight="1" s="311"/>
    <row r="7316" hidden="1" ht="18.75" customFormat="1" customHeight="1" s="311"/>
    <row r="7317" hidden="1" ht="18.75" customFormat="1" customHeight="1" s="311"/>
    <row r="7318" hidden="1" ht="18.75" customFormat="1" customHeight="1" s="311"/>
    <row r="7319" hidden="1" ht="18.75" customFormat="1" customHeight="1" s="311"/>
    <row r="7320" hidden="1" ht="18.75" customFormat="1" customHeight="1" s="311"/>
    <row r="7321" hidden="1" ht="18.75" customFormat="1" customHeight="1" s="311"/>
    <row r="7322" hidden="1" ht="18.75" customFormat="1" customHeight="1" s="311"/>
    <row r="7323" hidden="1" ht="18.75" customFormat="1" customHeight="1" s="311"/>
    <row r="7324" hidden="1" ht="18.75" customFormat="1" customHeight="1" s="311"/>
    <row r="7325" hidden="1" ht="18.75" customFormat="1" customHeight="1" s="311"/>
    <row r="7326" hidden="1" ht="18.75" customFormat="1" customHeight="1" s="311"/>
    <row r="7327" hidden="1" ht="18.75" customFormat="1" customHeight="1" s="311"/>
    <row r="7328" hidden="1" ht="18.75" customFormat="1" customHeight="1" s="311"/>
    <row r="7329" hidden="1" ht="18.75" customFormat="1" customHeight="1" s="311"/>
    <row r="7330" hidden="1" ht="18.75" customFormat="1" customHeight="1" s="311"/>
    <row r="7331" hidden="1" ht="18.75" customFormat="1" customHeight="1" s="311"/>
    <row r="7332" hidden="1" ht="18.75" customFormat="1" customHeight="1" s="311"/>
    <row r="7333" hidden="1" ht="18.75" customFormat="1" customHeight="1" s="311"/>
    <row r="7334" hidden="1" ht="18.75" customFormat="1" customHeight="1" s="311"/>
    <row r="7335" hidden="1" ht="18.75" customFormat="1" customHeight="1" s="311"/>
    <row r="7336" hidden="1" ht="18.75" customFormat="1" customHeight="1" s="311"/>
    <row r="7337" hidden="1" ht="18.75" customFormat="1" customHeight="1" s="311"/>
    <row r="7338" hidden="1" ht="18.75" customFormat="1" customHeight="1" s="311"/>
    <row r="7339" hidden="1" ht="18.75" customFormat="1" customHeight="1" s="311"/>
    <row r="7340" hidden="1" ht="18.75" customFormat="1" customHeight="1" s="311"/>
    <row r="7341" hidden="1" ht="18.75" customFormat="1" customHeight="1" s="311"/>
    <row r="7342" hidden="1" ht="18.75" customFormat="1" customHeight="1" s="311"/>
    <row r="7343" hidden="1" ht="18.75" customFormat="1" customHeight="1" s="311"/>
    <row r="7344" hidden="1" ht="18.75" customFormat="1" customHeight="1" s="311"/>
    <row r="7345" hidden="1" ht="18.75" customFormat="1" customHeight="1" s="311"/>
    <row r="7346" hidden="1" ht="18.75" customFormat="1" customHeight="1" s="311"/>
    <row r="7347" hidden="1" ht="18.75" customFormat="1" customHeight="1" s="311"/>
    <row r="7348" hidden="1" ht="18.75" customFormat="1" customHeight="1" s="311"/>
    <row r="7349" hidden="1" ht="18.75" customFormat="1" customHeight="1" s="311"/>
    <row r="7350" hidden="1" ht="18.75" customFormat="1" customHeight="1" s="311"/>
    <row r="7351" hidden="1" ht="18.75" customFormat="1" customHeight="1" s="311"/>
    <row r="7352" hidden="1" ht="18.75" customFormat="1" customHeight="1" s="311"/>
    <row r="7353" hidden="1" ht="18.75" customFormat="1" customHeight="1" s="311"/>
    <row r="7354" hidden="1" ht="18.75" customFormat="1" customHeight="1" s="311"/>
    <row r="7355" hidden="1" ht="18.75" customFormat="1" customHeight="1" s="311"/>
    <row r="7356" hidden="1" ht="18.75" customFormat="1" customHeight="1" s="311"/>
    <row r="7357" hidden="1" ht="18.75" customFormat="1" customHeight="1" s="311"/>
    <row r="7358" hidden="1" ht="18.75" customFormat="1" customHeight="1" s="311"/>
    <row r="7359" hidden="1" ht="18.75" customFormat="1" customHeight="1" s="311"/>
    <row r="7360" hidden="1" ht="18.75" customFormat="1" customHeight="1" s="311"/>
    <row r="7361" hidden="1" ht="18.75" customFormat="1" customHeight="1" s="311"/>
    <row r="7362" hidden="1" ht="18.75" customFormat="1" customHeight="1" s="311"/>
    <row r="7363" hidden="1" ht="18.75" customFormat="1" customHeight="1" s="311"/>
    <row r="7364" hidden="1" ht="18.75" customFormat="1" customHeight="1" s="311"/>
    <row r="7365" hidden="1" ht="18.75" customFormat="1" customHeight="1" s="311"/>
    <row r="7366" hidden="1" ht="18.75" customFormat="1" customHeight="1" s="311"/>
    <row r="7367" hidden="1" ht="18.75" customFormat="1" customHeight="1" s="311"/>
    <row r="7368" hidden="1" ht="18.75" customFormat="1" customHeight="1" s="311"/>
    <row r="7369" hidden="1" ht="18.75" customFormat="1" customHeight="1" s="311"/>
    <row r="7370" hidden="1" ht="18.75" customFormat="1" customHeight="1" s="311"/>
    <row r="7371" hidden="1" ht="18.75" customFormat="1" customHeight="1" s="311"/>
    <row r="7372" hidden="1" ht="18.75" customFormat="1" customHeight="1" s="311"/>
    <row r="7373" hidden="1" ht="18.75" customFormat="1" customHeight="1" s="311"/>
    <row r="7374" hidden="1" ht="18.75" customFormat="1" customHeight="1" s="311"/>
    <row r="7375" hidden="1" ht="18.75" customFormat="1" customHeight="1" s="311"/>
    <row r="7376" hidden="1" ht="18.75" customFormat="1" customHeight="1" s="311"/>
    <row r="7377" hidden="1" ht="18.75" customFormat="1" customHeight="1" s="311"/>
    <row r="7378" hidden="1" ht="18.75" customFormat="1" customHeight="1" s="311"/>
    <row r="7379" hidden="1" ht="18.75" customFormat="1" customHeight="1" s="311"/>
    <row r="7380" hidden="1" ht="18.75" customFormat="1" customHeight="1" s="311"/>
    <row r="7381" hidden="1" ht="18.75" customFormat="1" customHeight="1" s="311"/>
    <row r="7382" hidden="1" ht="18.75" customFormat="1" customHeight="1" s="311"/>
    <row r="7383" hidden="1" ht="18.75" customFormat="1" customHeight="1" s="311"/>
    <row r="7384" hidden="1" ht="18.75" customFormat="1" customHeight="1" s="311"/>
    <row r="7385" hidden="1" ht="18.75" customFormat="1" customHeight="1" s="311"/>
    <row r="7386" hidden="1" ht="18.75" customFormat="1" customHeight="1" s="311"/>
    <row r="7387" hidden="1" ht="18.75" customFormat="1" customHeight="1" s="311"/>
    <row r="7388" hidden="1" ht="18.75" customFormat="1" customHeight="1" s="311"/>
    <row r="7389" hidden="1" ht="18.75" customFormat="1" customHeight="1" s="311"/>
    <row r="7390" hidden="1" ht="18.75" customFormat="1" customHeight="1" s="311"/>
    <row r="7391" hidden="1" ht="18.75" customFormat="1" customHeight="1" s="311"/>
    <row r="7392" hidden="1" ht="18.75" customFormat="1" customHeight="1" s="311"/>
    <row r="7393" hidden="1" ht="18.75" customFormat="1" customHeight="1" s="311"/>
    <row r="7394" hidden="1" ht="18.75" customFormat="1" customHeight="1" s="311"/>
    <row r="7395" hidden="1" ht="18.75" customFormat="1" customHeight="1" s="311"/>
    <row r="7396" hidden="1" ht="18.75" customFormat="1" customHeight="1" s="311"/>
    <row r="7397" hidden="1" ht="18.75" customFormat="1" customHeight="1" s="311"/>
    <row r="7398" hidden="1" ht="18.75" customFormat="1" customHeight="1" s="311"/>
    <row r="7399" hidden="1" ht="18.75" customFormat="1" customHeight="1" s="311"/>
    <row r="7400" hidden="1" ht="18.75" customFormat="1" customHeight="1" s="311"/>
    <row r="7401" hidden="1" ht="18.75" customFormat="1" customHeight="1" s="311"/>
    <row r="7402" hidden="1" ht="18.75" customFormat="1" customHeight="1" s="311"/>
    <row r="7403" hidden="1" ht="18.75" customFormat="1" customHeight="1" s="311"/>
    <row r="7404" hidden="1" ht="18.75" customFormat="1" customHeight="1" s="311"/>
    <row r="7405" hidden="1" ht="18.75" customFormat="1" customHeight="1" s="311"/>
    <row r="7406" hidden="1" ht="18.75" customFormat="1" customHeight="1" s="311"/>
    <row r="7407" hidden="1" ht="18.75" customFormat="1" customHeight="1" s="311"/>
    <row r="7408" hidden="1" ht="18.75" customFormat="1" customHeight="1" s="311"/>
    <row r="7409" hidden="1" ht="18.75" customFormat="1" customHeight="1" s="311"/>
    <row r="7410" hidden="1" ht="18.75" customFormat="1" customHeight="1" s="311"/>
    <row r="7411" hidden="1" ht="18.75" customFormat="1" customHeight="1" s="311"/>
    <row r="7412" hidden="1" ht="18.75" customFormat="1" customHeight="1" s="311"/>
    <row r="7413" hidden="1" ht="18.75" customFormat="1" customHeight="1" s="311"/>
    <row r="7414" hidden="1" ht="18.75" customFormat="1" customHeight="1" s="311"/>
    <row r="7415" hidden="1" ht="18.75" customFormat="1" customHeight="1" s="311"/>
    <row r="7416" hidden="1" ht="18.75" customFormat="1" customHeight="1" s="311"/>
    <row r="7417" hidden="1" ht="18.75" customFormat="1" customHeight="1" s="311"/>
    <row r="7418" hidden="1" ht="18.75" customFormat="1" customHeight="1" s="311"/>
    <row r="7419" hidden="1" ht="18.75" customFormat="1" customHeight="1" s="311"/>
    <row r="7420" hidden="1" ht="18.75" customFormat="1" customHeight="1" s="311"/>
    <row r="7421" hidden="1" ht="18.75" customFormat="1" customHeight="1" s="311"/>
    <row r="7422" hidden="1" ht="18.75" customFormat="1" customHeight="1" s="311"/>
    <row r="7423" hidden="1" ht="18.75" customFormat="1" customHeight="1" s="311"/>
    <row r="7424" hidden="1" ht="18.75" customFormat="1" customHeight="1" s="311"/>
    <row r="7425" hidden="1" ht="18.75" customFormat="1" customHeight="1" s="311"/>
    <row r="7426" hidden="1" ht="18.75" customFormat="1" customHeight="1" s="311"/>
    <row r="7427" hidden="1" ht="18.75" customFormat="1" customHeight="1" s="311"/>
    <row r="7428" hidden="1" ht="18.75" customFormat="1" customHeight="1" s="311"/>
    <row r="7429" hidden="1" ht="18.75" customFormat="1" customHeight="1" s="311"/>
    <row r="7430" hidden="1" ht="18.75" customFormat="1" customHeight="1" s="311"/>
    <row r="7431" hidden="1" ht="18.75" customFormat="1" customHeight="1" s="311"/>
    <row r="7432" hidden="1" ht="18.75" customFormat="1" customHeight="1" s="311"/>
    <row r="7433" hidden="1" ht="18.75" customFormat="1" customHeight="1" s="311"/>
    <row r="7434" hidden="1" ht="18.75" customFormat="1" customHeight="1" s="311"/>
    <row r="7435" hidden="1" ht="18.75" customFormat="1" customHeight="1" s="311"/>
    <row r="7436" hidden="1" ht="18.75" customFormat="1" customHeight="1" s="311"/>
    <row r="7437" hidden="1" ht="18.75" customFormat="1" customHeight="1" s="311"/>
    <row r="7438" hidden="1" ht="18.75" customFormat="1" customHeight="1" s="311"/>
    <row r="7439" hidden="1" ht="18.75" customFormat="1" customHeight="1" s="311"/>
    <row r="7440" hidden="1" ht="18.75" customFormat="1" customHeight="1" s="311"/>
    <row r="7441" hidden="1" ht="18.75" customFormat="1" customHeight="1" s="311"/>
    <row r="7442" hidden="1" ht="18.75" customFormat="1" customHeight="1" s="311"/>
    <row r="7443" hidden="1" ht="18.75" customFormat="1" customHeight="1" s="311"/>
    <row r="7444" hidden="1" ht="18.75" customFormat="1" customHeight="1" s="311"/>
    <row r="7445" hidden="1" ht="18.75" customFormat="1" customHeight="1" s="311"/>
    <row r="7446" hidden="1" ht="18.75" customFormat="1" customHeight="1" s="311"/>
    <row r="7447" hidden="1" ht="18.75" customFormat="1" customHeight="1" s="311"/>
    <row r="7448" hidden="1" ht="18.75" customFormat="1" customHeight="1" s="311"/>
    <row r="7449" hidden="1" ht="18.75" customFormat="1" customHeight="1" s="311"/>
    <row r="7450" hidden="1" ht="18.75" customFormat="1" customHeight="1" s="311"/>
    <row r="7451" hidden="1" ht="18.75" customFormat="1" customHeight="1" s="311"/>
    <row r="7452" hidden="1" ht="18.75" customFormat="1" customHeight="1" s="311"/>
    <row r="7453" hidden="1" ht="18.75" customFormat="1" customHeight="1" s="311"/>
    <row r="7454" hidden="1" ht="18.75" customFormat="1" customHeight="1" s="311"/>
    <row r="7455" hidden="1" ht="18.75" customFormat="1" customHeight="1" s="311"/>
    <row r="7456" hidden="1" ht="18.75" customFormat="1" customHeight="1" s="311"/>
    <row r="7457" hidden="1" ht="18.75" customFormat="1" customHeight="1" s="311"/>
    <row r="7458" hidden="1" ht="18.75" customFormat="1" customHeight="1" s="311"/>
    <row r="7459" hidden="1" ht="18.75" customFormat="1" customHeight="1" s="311"/>
    <row r="7460" hidden="1" ht="18.75" customFormat="1" customHeight="1" s="311"/>
    <row r="7461" hidden="1" ht="18.75" customFormat="1" customHeight="1" s="311"/>
    <row r="7462" hidden="1" ht="18.75" customFormat="1" customHeight="1" s="311"/>
    <row r="7463" hidden="1" ht="18.75" customFormat="1" customHeight="1" s="311"/>
    <row r="7464" hidden="1" ht="18.75" customFormat="1" customHeight="1" s="311"/>
    <row r="7465" hidden="1" ht="18.75" customFormat="1" customHeight="1" s="311"/>
    <row r="7466" hidden="1" ht="18.75" customFormat="1" customHeight="1" s="311"/>
    <row r="7467" hidden="1" ht="18.75" customFormat="1" customHeight="1" s="311"/>
    <row r="7468" hidden="1" ht="18.75" customFormat="1" customHeight="1" s="311"/>
    <row r="7469" hidden="1" ht="18.75" customFormat="1" customHeight="1" s="311"/>
    <row r="7470" hidden="1" ht="18.75" customFormat="1" customHeight="1" s="311"/>
    <row r="7471" hidden="1" ht="18.75" customFormat="1" customHeight="1" s="311"/>
    <row r="7472" hidden="1" ht="18.75" customFormat="1" customHeight="1" s="311"/>
    <row r="7473" hidden="1" ht="18.75" customFormat="1" customHeight="1" s="311"/>
    <row r="7474" hidden="1" ht="18.75" customFormat="1" customHeight="1" s="311"/>
    <row r="7475" hidden="1" ht="18.75" customFormat="1" customHeight="1" s="311"/>
    <row r="7476" hidden="1" ht="18.75" customFormat="1" customHeight="1" s="311"/>
    <row r="7477" hidden="1" ht="18.75" customFormat="1" customHeight="1" s="311"/>
    <row r="7478" hidden="1" ht="18.75" customFormat="1" customHeight="1" s="311"/>
    <row r="7479" hidden="1" ht="18.75" customFormat="1" customHeight="1" s="311"/>
    <row r="7480" hidden="1" ht="18.75" customFormat="1" customHeight="1" s="311"/>
    <row r="7481" hidden="1" ht="18.75" customFormat="1" customHeight="1" s="311"/>
    <row r="7482" hidden="1" ht="18.75" customFormat="1" customHeight="1" s="311"/>
    <row r="7483" hidden="1" ht="18.75" customFormat="1" customHeight="1" s="311"/>
    <row r="7484" hidden="1" ht="18.75" customFormat="1" customHeight="1" s="311"/>
    <row r="7485" hidden="1" ht="18.75" customFormat="1" customHeight="1" s="311"/>
    <row r="7486" hidden="1" ht="18.75" customFormat="1" customHeight="1" s="311"/>
    <row r="7487" hidden="1" ht="18.75" customFormat="1" customHeight="1" s="311"/>
    <row r="7488" hidden="1" ht="18.75" customFormat="1" customHeight="1" s="311"/>
    <row r="7489" hidden="1" ht="18.75" customFormat="1" customHeight="1" s="311"/>
    <row r="7490" hidden="1" ht="18.75" customFormat="1" customHeight="1" s="311"/>
    <row r="7491" hidden="1" ht="18.75" customFormat="1" customHeight="1" s="311"/>
    <row r="7492" hidden="1" ht="18.75" customFormat="1" customHeight="1" s="311"/>
    <row r="7493" hidden="1" ht="18.75" customFormat="1" customHeight="1" s="311"/>
    <row r="7494" hidden="1" ht="18.75" customFormat="1" customHeight="1" s="311"/>
    <row r="7495" hidden="1" ht="18.75" customFormat="1" customHeight="1" s="311"/>
    <row r="7496" hidden="1" ht="18.75" customFormat="1" customHeight="1" s="311"/>
    <row r="7497" hidden="1" ht="18.75" customFormat="1" customHeight="1" s="311"/>
    <row r="7498" hidden="1" ht="18.75" customFormat="1" customHeight="1" s="311"/>
    <row r="7499" hidden="1" ht="18.75" customFormat="1" customHeight="1" s="311"/>
    <row r="7500" hidden="1" ht="18.75" customFormat="1" customHeight="1" s="311"/>
    <row r="7501" hidden="1" ht="18.75" customFormat="1" customHeight="1" s="311"/>
    <row r="7502" hidden="1" ht="18.75" customFormat="1" customHeight="1" s="311"/>
    <row r="7503" hidden="1" ht="18.75" customFormat="1" customHeight="1" s="311"/>
    <row r="7504" hidden="1" ht="18.75" customFormat="1" customHeight="1" s="311"/>
    <row r="7505" hidden="1" ht="18.75" customFormat="1" customHeight="1" s="311"/>
    <row r="7506" hidden="1" ht="18.75" customFormat="1" customHeight="1" s="311"/>
    <row r="7507" hidden="1" ht="18.75" customFormat="1" customHeight="1" s="311"/>
    <row r="7508" hidden="1" ht="18.75" customFormat="1" customHeight="1" s="311"/>
    <row r="7509" hidden="1" ht="18.75" customFormat="1" customHeight="1" s="311"/>
    <row r="7510" hidden="1" ht="18.75" customFormat="1" customHeight="1" s="311"/>
    <row r="7511" hidden="1" ht="18.75" customFormat="1" customHeight="1" s="311"/>
    <row r="7512" hidden="1" ht="18.75" customFormat="1" customHeight="1" s="311"/>
    <row r="7513" hidden="1" ht="18.75" customFormat="1" customHeight="1" s="311"/>
    <row r="7514" hidden="1" ht="18.75" customFormat="1" customHeight="1" s="311"/>
    <row r="7515" hidden="1" ht="18.75" customFormat="1" customHeight="1" s="311"/>
    <row r="7516" hidden="1" ht="18.75" customFormat="1" customHeight="1" s="311"/>
    <row r="7517" hidden="1" ht="18.75" customFormat="1" customHeight="1" s="311"/>
    <row r="7518" hidden="1" ht="18.75" customFormat="1" customHeight="1" s="311"/>
    <row r="7519" hidden="1" ht="18.75" customFormat="1" customHeight="1" s="311"/>
    <row r="7520" hidden="1" ht="18.75" customFormat="1" customHeight="1" s="311"/>
    <row r="7521" hidden="1" ht="18.75" customFormat="1" customHeight="1" s="311"/>
    <row r="7522" hidden="1" ht="18.75" customFormat="1" customHeight="1" s="311"/>
    <row r="7523" hidden="1" ht="18.75" customFormat="1" customHeight="1" s="311"/>
    <row r="7524" hidden="1" ht="18.75" customFormat="1" customHeight="1" s="311"/>
    <row r="7525" hidden="1" ht="18.75" customFormat="1" customHeight="1" s="311"/>
    <row r="7526" hidden="1" ht="18.75" customFormat="1" customHeight="1" s="311"/>
    <row r="7527" hidden="1" ht="18.75" customFormat="1" customHeight="1" s="311"/>
    <row r="7528" hidden="1" ht="18.75" customFormat="1" customHeight="1" s="311"/>
    <row r="7529" hidden="1" ht="18.75" customFormat="1" customHeight="1" s="311"/>
    <row r="7530" hidden="1" ht="18.75" customFormat="1" customHeight="1" s="311"/>
    <row r="7531" hidden="1" ht="18.75" customFormat="1" customHeight="1" s="311"/>
    <row r="7532" hidden="1" ht="18.75" customFormat="1" customHeight="1" s="311"/>
    <row r="7533" hidden="1" ht="18.75" customFormat="1" customHeight="1" s="311"/>
    <row r="7534" hidden="1" ht="18.75" customFormat="1" customHeight="1" s="311"/>
    <row r="7535" hidden="1" ht="18.75" customFormat="1" customHeight="1" s="311"/>
    <row r="7536" hidden="1" ht="18.75" customFormat="1" customHeight="1" s="311"/>
    <row r="7537" hidden="1" ht="18.75" customFormat="1" customHeight="1" s="311"/>
    <row r="7538" hidden="1" ht="18.75" customFormat="1" customHeight="1" s="311"/>
    <row r="7539" hidden="1" ht="18.75" customFormat="1" customHeight="1" s="311"/>
    <row r="7540" hidden="1" ht="18.75" customFormat="1" customHeight="1" s="311"/>
    <row r="7541" hidden="1" ht="18.75" customFormat="1" customHeight="1" s="311"/>
    <row r="7542" hidden="1" ht="18.75" customFormat="1" customHeight="1" s="311"/>
    <row r="7543" hidden="1" ht="18.75" customFormat="1" customHeight="1" s="311"/>
    <row r="7544" hidden="1" ht="18.75" customFormat="1" customHeight="1" s="311"/>
    <row r="7545" hidden="1" ht="18.75" customFormat="1" customHeight="1" s="311"/>
    <row r="7546" hidden="1" ht="18.75" customFormat="1" customHeight="1" s="311"/>
    <row r="7547" hidden="1" ht="18.75" customFormat="1" customHeight="1" s="311"/>
    <row r="7548" hidden="1" ht="18.75" customFormat="1" customHeight="1" s="311"/>
    <row r="7549" hidden="1" ht="18.75" customFormat="1" customHeight="1" s="311"/>
    <row r="7550" hidden="1" ht="18.75" customFormat="1" customHeight="1" s="311"/>
    <row r="7551" hidden="1" ht="18.75" customFormat="1" customHeight="1" s="311"/>
    <row r="7552" hidden="1" ht="18.75" customFormat="1" customHeight="1" s="311"/>
    <row r="7553" hidden="1" ht="18.75" customFormat="1" customHeight="1" s="311"/>
    <row r="7554" hidden="1" ht="18.75" customFormat="1" customHeight="1" s="311"/>
    <row r="7555" hidden="1" ht="18.75" customFormat="1" customHeight="1" s="311"/>
    <row r="7556" hidden="1" ht="18.75" customFormat="1" customHeight="1" s="311"/>
    <row r="7557" hidden="1" ht="18.75" customFormat="1" customHeight="1" s="311"/>
    <row r="7558" hidden="1" ht="18.75" customFormat="1" customHeight="1" s="311"/>
    <row r="7559" hidden="1" ht="18.75" customFormat="1" customHeight="1" s="311"/>
    <row r="7560" hidden="1" ht="18.75" customFormat="1" customHeight="1" s="311"/>
    <row r="7561" hidden="1" ht="18.75" customFormat="1" customHeight="1" s="311"/>
    <row r="7562" hidden="1" ht="18.75" customFormat="1" customHeight="1" s="311"/>
    <row r="7563" hidden="1" ht="18.75" customFormat="1" customHeight="1" s="311"/>
    <row r="7564" hidden="1" ht="18.75" customFormat="1" customHeight="1" s="311"/>
    <row r="7565" hidden="1" ht="18.75" customFormat="1" customHeight="1" s="311"/>
    <row r="7566" hidden="1" ht="18.75" customFormat="1" customHeight="1" s="311"/>
    <row r="7567" hidden="1" ht="18.75" customFormat="1" customHeight="1" s="311"/>
    <row r="7568" hidden="1" ht="18.75" customFormat="1" customHeight="1" s="311"/>
    <row r="7569" hidden="1" ht="18.75" customFormat="1" customHeight="1" s="311"/>
    <row r="7570" hidden="1" ht="18.75" customFormat="1" customHeight="1" s="311"/>
    <row r="7571" hidden="1" ht="18.75" customFormat="1" customHeight="1" s="311"/>
    <row r="7572" hidden="1" ht="18.75" customFormat="1" customHeight="1" s="311"/>
    <row r="7573" hidden="1" ht="18.75" customFormat="1" customHeight="1" s="311"/>
    <row r="7574" hidden="1" ht="18.75" customFormat="1" customHeight="1" s="311"/>
    <row r="7575" hidden="1" ht="18.75" customFormat="1" customHeight="1" s="311"/>
    <row r="7576" hidden="1" ht="18.75" customFormat="1" customHeight="1" s="311"/>
    <row r="7577" hidden="1" ht="18.75" customFormat="1" customHeight="1" s="311"/>
    <row r="7578" hidden="1" ht="18.75" customFormat="1" customHeight="1" s="311"/>
    <row r="7579" hidden="1" ht="18.75" customFormat="1" customHeight="1" s="311"/>
    <row r="7580" hidden="1" ht="18.75" customFormat="1" customHeight="1" s="311"/>
    <row r="7581" hidden="1" ht="18.75" customFormat="1" customHeight="1" s="311"/>
    <row r="7582" hidden="1" ht="18.75" customFormat="1" customHeight="1" s="311"/>
    <row r="7583" hidden="1" ht="18.75" customFormat="1" customHeight="1" s="311"/>
    <row r="7584" hidden="1" ht="18.75" customFormat="1" customHeight="1" s="311"/>
    <row r="7585" hidden="1" ht="18.75" customFormat="1" customHeight="1" s="311"/>
    <row r="7586" hidden="1" ht="18.75" customFormat="1" customHeight="1" s="311"/>
    <row r="7587" hidden="1" ht="18.75" customFormat="1" customHeight="1" s="311"/>
    <row r="7588" hidden="1" ht="18.75" customFormat="1" customHeight="1" s="311"/>
    <row r="7589" hidden="1" ht="18.75" customFormat="1" customHeight="1" s="311"/>
    <row r="7590" hidden="1" ht="18.75" customFormat="1" customHeight="1" s="311"/>
    <row r="7591" hidden="1" ht="18.75" customFormat="1" customHeight="1" s="311"/>
    <row r="7592" hidden="1" ht="18.75" customFormat="1" customHeight="1" s="311"/>
    <row r="7593" hidden="1" ht="18.75" customFormat="1" customHeight="1" s="311"/>
    <row r="7594" hidden="1" ht="18.75" customFormat="1" customHeight="1" s="311"/>
    <row r="7595" hidden="1" ht="18.75" customFormat="1" customHeight="1" s="311"/>
    <row r="7596" hidden="1" ht="18.75" customFormat="1" customHeight="1" s="311"/>
    <row r="7597" hidden="1" ht="18.75" customFormat="1" customHeight="1" s="311"/>
    <row r="7598" hidden="1" ht="18.75" customFormat="1" customHeight="1" s="311"/>
    <row r="7599" hidden="1" ht="18.75" customFormat="1" customHeight="1" s="311"/>
    <row r="7600" hidden="1" ht="18.75" customFormat="1" customHeight="1" s="311"/>
    <row r="7601" hidden="1" ht="18.75" customFormat="1" customHeight="1" s="311"/>
    <row r="7602" hidden="1" ht="18.75" customFormat="1" customHeight="1" s="311"/>
    <row r="7603" hidden="1" ht="18.75" customFormat="1" customHeight="1" s="311"/>
    <row r="7604" hidden="1" ht="18.75" customFormat="1" customHeight="1" s="311"/>
    <row r="7605" hidden="1" ht="18.75" customFormat="1" customHeight="1" s="311"/>
    <row r="7606" hidden="1" ht="18.75" customFormat="1" customHeight="1" s="311"/>
    <row r="7607" hidden="1" ht="18.75" customFormat="1" customHeight="1" s="311"/>
    <row r="7608" hidden="1" ht="18.75" customFormat="1" customHeight="1" s="311"/>
    <row r="7609" hidden="1" ht="18.75" customFormat="1" customHeight="1" s="311"/>
    <row r="7610" hidden="1" ht="18.75" customFormat="1" customHeight="1" s="311"/>
    <row r="7611" hidden="1" ht="18.75" customFormat="1" customHeight="1" s="311"/>
    <row r="7612" hidden="1" ht="18.75" customFormat="1" customHeight="1" s="311"/>
    <row r="7613" hidden="1" ht="18.75" customFormat="1" customHeight="1" s="311"/>
    <row r="7614" hidden="1" ht="18.75" customFormat="1" customHeight="1" s="311"/>
    <row r="7615" hidden="1" ht="18.75" customFormat="1" customHeight="1" s="311"/>
    <row r="7616" hidden="1" ht="18.75" customFormat="1" customHeight="1" s="311"/>
    <row r="7617" hidden="1" ht="18.75" customFormat="1" customHeight="1" s="311"/>
    <row r="7618" hidden="1" ht="18.75" customFormat="1" customHeight="1" s="311"/>
    <row r="7619" hidden="1" ht="18.75" customFormat="1" customHeight="1" s="311"/>
    <row r="7620" hidden="1" ht="18.75" customFormat="1" customHeight="1" s="311"/>
    <row r="7621" hidden="1" ht="18.75" customFormat="1" customHeight="1" s="311"/>
    <row r="7622" hidden="1" ht="18.75" customFormat="1" customHeight="1" s="311"/>
    <row r="7623" hidden="1" ht="18.75" customFormat="1" customHeight="1" s="311"/>
    <row r="7624" hidden="1" ht="18.75" customFormat="1" customHeight="1" s="311"/>
    <row r="7625" hidden="1" ht="18.75" customFormat="1" customHeight="1" s="311"/>
    <row r="7626" hidden="1" ht="18.75" customFormat="1" customHeight="1" s="311"/>
    <row r="7627" hidden="1" ht="18.75" customFormat="1" customHeight="1" s="311"/>
    <row r="7628" hidden="1" ht="18.75" customFormat="1" customHeight="1" s="311"/>
    <row r="7629" hidden="1" ht="18.75" customFormat="1" customHeight="1" s="311"/>
    <row r="7630" hidden="1" ht="18.75" customFormat="1" customHeight="1" s="311"/>
    <row r="7631" hidden="1" ht="18.75" customFormat="1" customHeight="1" s="311"/>
    <row r="7632" hidden="1" ht="18.75" customFormat="1" customHeight="1" s="311"/>
    <row r="7633" hidden="1" ht="18.75" customFormat="1" customHeight="1" s="311"/>
    <row r="7634" hidden="1" ht="18.75" customFormat="1" customHeight="1" s="311"/>
    <row r="7635" hidden="1" ht="18.75" customFormat="1" customHeight="1" s="311"/>
    <row r="7636" hidden="1" ht="18.75" customFormat="1" customHeight="1" s="311"/>
    <row r="7637" hidden="1" ht="18.75" customFormat="1" customHeight="1" s="311"/>
    <row r="7638" hidden="1" ht="18.75" customFormat="1" customHeight="1" s="311"/>
    <row r="7639" hidden="1" ht="18.75" customFormat="1" customHeight="1" s="311"/>
    <row r="7640" hidden="1" ht="18.75" customFormat="1" customHeight="1" s="311"/>
    <row r="7641" hidden="1" ht="18.75" customFormat="1" customHeight="1" s="311"/>
    <row r="7642" hidden="1" ht="18.75" customFormat="1" customHeight="1" s="311"/>
    <row r="7643" hidden="1" ht="18.75" customFormat="1" customHeight="1" s="311"/>
    <row r="7644" hidden="1" ht="18.75" customFormat="1" customHeight="1" s="311"/>
    <row r="7645" hidden="1" ht="18.75" customFormat="1" customHeight="1" s="311"/>
    <row r="7646" hidden="1" ht="18.75" customFormat="1" customHeight="1" s="311"/>
    <row r="7647" hidden="1" ht="18.75" customFormat="1" customHeight="1" s="311"/>
    <row r="7648" hidden="1" ht="18.75" customFormat="1" customHeight="1" s="311"/>
    <row r="7649" hidden="1" ht="18.75" customFormat="1" customHeight="1" s="311"/>
    <row r="7650" hidden="1" ht="18.75" customFormat="1" customHeight="1" s="311"/>
    <row r="7651" hidden="1" ht="18.75" customFormat="1" customHeight="1" s="311"/>
    <row r="7652" hidden="1" ht="18.75" customFormat="1" customHeight="1" s="311"/>
    <row r="7653" hidden="1" ht="18.75" customFormat="1" customHeight="1" s="311"/>
    <row r="7654" hidden="1" ht="18.75" customFormat="1" customHeight="1" s="311"/>
    <row r="7655" hidden="1" ht="18.75" customFormat="1" customHeight="1" s="311"/>
    <row r="7656" hidden="1" ht="18.75" customFormat="1" customHeight="1" s="311"/>
    <row r="7657" hidden="1" ht="18.75" customFormat="1" customHeight="1" s="311"/>
    <row r="7658" hidden="1" ht="18.75" customFormat="1" customHeight="1" s="311"/>
    <row r="7659" hidden="1" ht="18.75" customFormat="1" customHeight="1" s="311"/>
    <row r="7660" hidden="1" ht="18.75" customFormat="1" customHeight="1" s="311"/>
    <row r="7661" hidden="1" ht="18.75" customFormat="1" customHeight="1" s="311"/>
    <row r="7662" hidden="1" ht="18.75" customFormat="1" customHeight="1" s="311"/>
    <row r="7663" hidden="1" ht="18.75" customFormat="1" customHeight="1" s="311"/>
    <row r="7664" hidden="1" ht="18.75" customFormat="1" customHeight="1" s="311"/>
    <row r="7665" hidden="1" ht="18.75" customFormat="1" customHeight="1" s="311"/>
    <row r="7666" hidden="1" ht="18.75" customFormat="1" customHeight="1" s="311"/>
    <row r="7667" hidden="1" ht="18.75" customFormat="1" customHeight="1" s="311"/>
    <row r="7668" hidden="1" ht="18.75" customFormat="1" customHeight="1" s="311"/>
    <row r="7669" hidden="1" ht="18.75" customFormat="1" customHeight="1" s="311"/>
    <row r="7670" hidden="1" ht="18.75" customFormat="1" customHeight="1" s="311"/>
    <row r="7671" hidden="1" ht="18.75" customFormat="1" customHeight="1" s="311"/>
    <row r="7672" hidden="1" ht="18.75" customFormat="1" customHeight="1" s="311"/>
    <row r="7673" hidden="1" ht="18.75" customFormat="1" customHeight="1" s="311"/>
    <row r="7674" hidden="1" ht="18.75" customFormat="1" customHeight="1" s="311"/>
    <row r="7675" hidden="1" ht="18.75" customFormat="1" customHeight="1" s="311"/>
    <row r="7676" hidden="1" ht="18.75" customFormat="1" customHeight="1" s="311"/>
    <row r="7677" hidden="1" ht="18.75" customFormat="1" customHeight="1" s="311"/>
    <row r="7678" hidden="1" ht="18.75" customFormat="1" customHeight="1" s="311"/>
    <row r="7679" hidden="1" ht="18.75" customFormat="1" customHeight="1" s="311"/>
    <row r="7680" hidden="1" ht="18.75" customFormat="1" customHeight="1" s="311"/>
    <row r="7681" hidden="1" ht="18.75" customFormat="1" customHeight="1" s="311"/>
    <row r="7682" hidden="1" ht="18.75" customFormat="1" customHeight="1" s="311"/>
    <row r="7683" hidden="1" ht="18.75" customFormat="1" customHeight="1" s="311"/>
    <row r="7684" hidden="1" ht="18.75" customFormat="1" customHeight="1" s="311"/>
    <row r="7685" hidden="1" ht="18.75" customFormat="1" customHeight="1" s="311"/>
    <row r="7686" hidden="1" ht="18.75" customFormat="1" customHeight="1" s="311"/>
    <row r="7687" hidden="1" ht="18.75" customFormat="1" customHeight="1" s="311"/>
    <row r="7688" hidden="1" ht="18.75" customFormat="1" customHeight="1" s="311"/>
    <row r="7689" hidden="1" ht="18.75" customFormat="1" customHeight="1" s="311"/>
    <row r="7690" hidden="1" ht="18.75" customFormat="1" customHeight="1" s="311"/>
    <row r="7691" hidden="1" ht="18.75" customFormat="1" customHeight="1" s="311"/>
    <row r="7692" hidden="1" ht="18.75" customFormat="1" customHeight="1" s="311"/>
    <row r="7693" hidden="1" ht="18.75" customFormat="1" customHeight="1" s="311"/>
    <row r="7694" hidden="1" ht="18.75" customFormat="1" customHeight="1" s="311"/>
    <row r="7695" hidden="1" ht="18.75" customFormat="1" customHeight="1" s="311"/>
    <row r="7696" hidden="1" ht="18.75" customFormat="1" customHeight="1" s="311"/>
    <row r="7697" hidden="1" ht="18.75" customFormat="1" customHeight="1" s="311"/>
    <row r="7698" hidden="1" ht="18.75" customFormat="1" customHeight="1" s="311"/>
    <row r="7699" hidden="1" ht="18.75" customFormat="1" customHeight="1" s="311"/>
    <row r="7700" hidden="1" ht="18.75" customFormat="1" customHeight="1" s="311"/>
    <row r="7701" hidden="1" ht="18.75" customFormat="1" customHeight="1" s="311"/>
    <row r="7702" hidden="1" ht="18.75" customFormat="1" customHeight="1" s="311"/>
    <row r="7703" hidden="1" ht="18.75" customFormat="1" customHeight="1" s="311"/>
    <row r="7704" hidden="1" ht="18.75" customFormat="1" customHeight="1" s="311"/>
    <row r="7705" hidden="1" ht="18.75" customFormat="1" customHeight="1" s="311"/>
    <row r="7706" hidden="1" ht="18.75" customFormat="1" customHeight="1" s="311"/>
    <row r="7707" hidden="1" ht="18.75" customFormat="1" customHeight="1" s="311"/>
    <row r="7708" hidden="1" ht="18.75" customFormat="1" customHeight="1" s="311"/>
    <row r="7709" hidden="1" ht="18.75" customFormat="1" customHeight="1" s="311"/>
    <row r="7710" hidden="1" ht="18.75" customFormat="1" customHeight="1" s="311"/>
    <row r="7711" hidden="1" ht="18.75" customFormat="1" customHeight="1" s="311"/>
    <row r="7712" hidden="1" ht="18.75" customFormat="1" customHeight="1" s="311"/>
    <row r="7713" hidden="1" ht="18.75" customFormat="1" customHeight="1" s="311"/>
    <row r="7714" hidden="1" ht="18.75" customFormat="1" customHeight="1" s="311"/>
    <row r="7715" hidden="1" ht="18.75" customFormat="1" customHeight="1" s="311"/>
    <row r="7716" hidden="1" ht="18.75" customFormat="1" customHeight="1" s="311"/>
    <row r="7717" hidden="1" ht="18.75" customFormat="1" customHeight="1" s="311"/>
    <row r="7718" hidden="1" ht="18.75" customFormat="1" customHeight="1" s="311"/>
    <row r="7719" hidden="1" ht="18.75" customFormat="1" customHeight="1" s="311"/>
    <row r="7720" hidden="1" ht="18.75" customFormat="1" customHeight="1" s="311"/>
    <row r="7721" hidden="1" ht="18.75" customFormat="1" customHeight="1" s="311"/>
    <row r="7722" hidden="1" ht="18.75" customFormat="1" customHeight="1" s="311"/>
    <row r="7723" hidden="1" ht="18.75" customFormat="1" customHeight="1" s="311"/>
    <row r="7724" hidden="1" ht="18.75" customFormat="1" customHeight="1" s="311"/>
    <row r="7725" hidden="1" ht="18.75" customFormat="1" customHeight="1" s="311"/>
    <row r="7726" hidden="1" ht="18.75" customFormat="1" customHeight="1" s="311"/>
    <row r="7727" hidden="1" ht="18.75" customFormat="1" customHeight="1" s="311"/>
    <row r="7728" hidden="1" ht="18.75" customFormat="1" customHeight="1" s="311"/>
    <row r="7729" hidden="1" ht="18.75" customFormat="1" customHeight="1" s="311"/>
    <row r="7730" hidden="1" ht="18.75" customFormat="1" customHeight="1" s="311"/>
    <row r="7731" hidden="1" ht="18.75" customFormat="1" customHeight="1" s="311"/>
    <row r="7732" hidden="1" ht="18.75" customFormat="1" customHeight="1" s="311"/>
    <row r="7733" hidden="1" ht="18.75" customFormat="1" customHeight="1" s="311"/>
    <row r="7734" hidden="1" ht="18.75" customFormat="1" customHeight="1" s="311"/>
    <row r="7735" hidden="1" ht="18.75" customFormat="1" customHeight="1" s="311"/>
    <row r="7736" hidden="1" ht="18.75" customFormat="1" customHeight="1" s="311"/>
    <row r="7737" hidden="1" ht="18.75" customFormat="1" customHeight="1" s="311"/>
    <row r="7738" hidden="1" ht="18.75" customFormat="1" customHeight="1" s="311"/>
    <row r="7739" hidden="1" ht="18.75" customFormat="1" customHeight="1" s="311"/>
    <row r="7740" hidden="1" ht="18.75" customFormat="1" customHeight="1" s="311"/>
    <row r="7741" hidden="1" ht="18.75" customFormat="1" customHeight="1" s="311"/>
    <row r="7742" hidden="1" ht="18.75" customFormat="1" customHeight="1" s="311"/>
    <row r="7743" hidden="1" ht="18.75" customFormat="1" customHeight="1" s="311"/>
    <row r="7744" hidden="1" ht="18.75" customFormat="1" customHeight="1" s="311"/>
    <row r="7745" hidden="1" ht="18.75" customFormat="1" customHeight="1" s="311"/>
    <row r="7746" hidden="1" ht="18.75" customFormat="1" customHeight="1" s="311"/>
    <row r="7747" hidden="1" ht="18.75" customFormat="1" customHeight="1" s="311"/>
    <row r="7748" hidden="1" ht="18.75" customFormat="1" customHeight="1" s="311"/>
    <row r="7749" hidden="1" ht="18.75" customFormat="1" customHeight="1" s="311"/>
    <row r="7750" hidden="1" ht="18.75" customFormat="1" customHeight="1" s="311"/>
    <row r="7751" hidden="1" ht="18.75" customFormat="1" customHeight="1" s="311"/>
    <row r="7752" hidden="1" ht="18.75" customFormat="1" customHeight="1" s="311"/>
    <row r="7753" hidden="1" ht="18.75" customFormat="1" customHeight="1" s="311"/>
    <row r="7754" hidden="1" ht="18.75" customFormat="1" customHeight="1" s="311"/>
    <row r="7755" hidden="1" ht="18.75" customFormat="1" customHeight="1" s="311"/>
    <row r="7756" hidden="1" ht="18.75" customFormat="1" customHeight="1" s="311"/>
    <row r="7757" hidden="1" ht="18.75" customFormat="1" customHeight="1" s="311"/>
    <row r="7758" hidden="1" ht="18.75" customFormat="1" customHeight="1" s="311"/>
    <row r="7759" hidden="1" ht="18.75" customFormat="1" customHeight="1" s="311"/>
    <row r="7760" hidden="1" ht="18.75" customFormat="1" customHeight="1" s="311"/>
    <row r="7761" hidden="1" ht="18.75" customFormat="1" customHeight="1" s="311"/>
    <row r="7762" hidden="1" ht="18.75" customFormat="1" customHeight="1" s="311"/>
    <row r="7763" hidden="1" ht="18.75" customFormat="1" customHeight="1" s="311"/>
    <row r="7764" hidden="1" ht="18.75" customFormat="1" customHeight="1" s="311"/>
    <row r="7765" hidden="1" ht="18.75" customFormat="1" customHeight="1" s="311"/>
    <row r="7766" hidden="1" ht="18.75" customFormat="1" customHeight="1" s="311"/>
    <row r="7767" hidden="1" ht="18.75" customFormat="1" customHeight="1" s="311"/>
    <row r="7768" hidden="1" ht="18.75" customFormat="1" customHeight="1" s="311"/>
    <row r="7769" hidden="1" ht="18.75" customFormat="1" customHeight="1" s="311"/>
    <row r="7770" hidden="1" ht="18.75" customFormat="1" customHeight="1" s="311"/>
    <row r="7771" hidden="1" ht="18.75" customFormat="1" customHeight="1" s="311"/>
    <row r="7772" hidden="1" ht="18.75" customFormat="1" customHeight="1" s="311"/>
    <row r="7773" hidden="1" ht="18.75" customFormat="1" customHeight="1" s="311"/>
    <row r="7774" hidden="1" ht="18.75" customFormat="1" customHeight="1" s="311"/>
    <row r="7775" hidden="1" ht="18.75" customFormat="1" customHeight="1" s="311"/>
    <row r="7776" hidden="1" ht="18.75" customFormat="1" customHeight="1" s="311"/>
    <row r="7777" hidden="1" ht="18.75" customFormat="1" customHeight="1" s="311"/>
    <row r="7778" hidden="1" ht="18.75" customFormat="1" customHeight="1" s="311"/>
    <row r="7779" hidden="1" ht="18.75" customFormat="1" customHeight="1" s="311"/>
    <row r="7780" hidden="1" ht="18.75" customFormat="1" customHeight="1" s="311"/>
    <row r="7781" hidden="1" ht="18.75" customFormat="1" customHeight="1" s="311"/>
    <row r="7782" hidden="1" ht="18.75" customFormat="1" customHeight="1" s="311"/>
    <row r="7783" hidden="1" ht="18.75" customFormat="1" customHeight="1" s="311"/>
    <row r="7784" hidden="1" ht="18.75" customFormat="1" customHeight="1" s="311"/>
    <row r="7785" hidden="1" ht="18.75" customFormat="1" customHeight="1" s="311"/>
    <row r="7786" hidden="1" ht="18.75" customFormat="1" customHeight="1" s="311"/>
    <row r="7787" hidden="1" ht="18.75" customFormat="1" customHeight="1" s="311"/>
    <row r="7788" hidden="1" ht="18.75" customFormat="1" customHeight="1" s="311"/>
    <row r="7789" hidden="1" ht="18.75" customFormat="1" customHeight="1" s="311"/>
    <row r="7790" hidden="1" ht="18.75" customFormat="1" customHeight="1" s="311"/>
    <row r="7791" hidden="1" ht="18.75" customFormat="1" customHeight="1" s="311"/>
    <row r="7792" hidden="1" ht="18.75" customFormat="1" customHeight="1" s="311"/>
    <row r="7793" hidden="1" ht="18.75" customFormat="1" customHeight="1" s="311"/>
    <row r="7794" hidden="1" ht="18.75" customFormat="1" customHeight="1" s="311"/>
    <row r="7795" hidden="1" ht="18.75" customFormat="1" customHeight="1" s="311"/>
    <row r="7796" hidden="1" ht="18.75" customFormat="1" customHeight="1" s="311"/>
    <row r="7797" hidden="1" ht="18.75" customFormat="1" customHeight="1" s="311"/>
    <row r="7798" hidden="1" ht="18.75" customFormat="1" customHeight="1" s="311"/>
    <row r="7799" hidden="1" ht="18.75" customFormat="1" customHeight="1" s="311"/>
    <row r="7800" hidden="1" ht="18.75" customFormat="1" customHeight="1" s="311"/>
    <row r="7801" hidden="1" ht="18.75" customFormat="1" customHeight="1" s="311"/>
    <row r="7802" hidden="1" ht="18.75" customFormat="1" customHeight="1" s="311"/>
    <row r="7803" hidden="1" ht="18.75" customFormat="1" customHeight="1" s="311"/>
    <row r="7804" hidden="1" ht="18.75" customFormat="1" customHeight="1" s="311"/>
    <row r="7805" hidden="1" ht="18.75" customFormat="1" customHeight="1" s="311"/>
    <row r="7806" hidden="1" ht="18.75" customFormat="1" customHeight="1" s="311"/>
    <row r="7807" hidden="1" ht="18.75" customFormat="1" customHeight="1" s="311"/>
    <row r="7808" hidden="1" ht="18.75" customFormat="1" customHeight="1" s="311"/>
    <row r="7809" hidden="1" ht="18.75" customFormat="1" customHeight="1" s="311"/>
    <row r="7810" hidden="1" ht="18.75" customFormat="1" customHeight="1" s="311"/>
    <row r="7811" hidden="1" ht="18.75" customFormat="1" customHeight="1" s="311"/>
    <row r="7812" hidden="1" ht="18.75" customFormat="1" customHeight="1" s="311"/>
    <row r="7813" hidden="1" ht="18.75" customFormat="1" customHeight="1" s="311"/>
    <row r="7814" hidden="1" ht="18.75" customFormat="1" customHeight="1" s="311"/>
    <row r="7815" hidden="1" ht="18.75" customFormat="1" customHeight="1" s="311"/>
    <row r="7816" hidden="1" ht="18.75" customFormat="1" customHeight="1" s="311"/>
    <row r="7817" hidden="1" ht="18.75" customFormat="1" customHeight="1" s="311"/>
    <row r="7818" hidden="1" ht="18.75" customFormat="1" customHeight="1" s="311"/>
    <row r="7819" hidden="1" ht="18.75" customFormat="1" customHeight="1" s="311"/>
    <row r="7820" hidden="1" ht="18.75" customFormat="1" customHeight="1" s="311"/>
    <row r="7821" hidden="1" ht="18.75" customFormat="1" customHeight="1" s="311"/>
    <row r="7822" hidden="1" ht="18.75" customFormat="1" customHeight="1" s="311"/>
    <row r="7823" hidden="1" ht="18.75" customFormat="1" customHeight="1" s="311"/>
    <row r="7824" hidden="1" ht="18.75" customFormat="1" customHeight="1" s="311"/>
    <row r="7825" hidden="1" ht="18.75" customFormat="1" customHeight="1" s="311"/>
    <row r="7826" hidden="1" ht="18.75" customFormat="1" customHeight="1" s="311"/>
    <row r="7827" hidden="1" ht="18.75" customFormat="1" customHeight="1" s="311"/>
    <row r="7828" hidden="1" ht="18.75" customFormat="1" customHeight="1" s="311"/>
    <row r="7829" hidden="1" ht="18.75" customFormat="1" customHeight="1" s="311"/>
    <row r="7830" hidden="1" ht="18.75" customFormat="1" customHeight="1" s="311"/>
    <row r="7831" hidden="1" ht="18.75" customFormat="1" customHeight="1" s="311"/>
    <row r="7832" hidden="1" ht="18.75" customFormat="1" customHeight="1" s="311"/>
    <row r="7833" hidden="1" ht="18.75" customFormat="1" customHeight="1" s="311"/>
    <row r="7834" hidden="1" ht="18.75" customFormat="1" customHeight="1" s="311"/>
    <row r="7835" hidden="1" ht="18.75" customFormat="1" customHeight="1" s="311"/>
    <row r="7836" hidden="1" ht="18.75" customFormat="1" customHeight="1" s="311"/>
    <row r="7837" hidden="1" ht="18.75" customFormat="1" customHeight="1" s="311"/>
    <row r="7838" hidden="1" ht="18.75" customFormat="1" customHeight="1" s="311"/>
    <row r="7839" hidden="1" ht="18.75" customFormat="1" customHeight="1" s="311"/>
    <row r="7840" hidden="1" ht="18.75" customFormat="1" customHeight="1" s="311"/>
    <row r="7841" hidden="1" ht="18.75" customFormat="1" customHeight="1" s="311"/>
    <row r="7842" hidden="1" ht="18.75" customFormat="1" customHeight="1" s="311"/>
    <row r="7843" hidden="1" ht="18.75" customFormat="1" customHeight="1" s="311"/>
    <row r="7844" hidden="1" ht="18.75" customFormat="1" customHeight="1" s="311"/>
    <row r="7845" hidden="1" ht="18.75" customFormat="1" customHeight="1" s="311"/>
    <row r="7846" hidden="1" ht="18.75" customFormat="1" customHeight="1" s="311"/>
    <row r="7847" hidden="1" ht="18.75" customFormat="1" customHeight="1" s="311"/>
    <row r="7848" hidden="1" ht="18.75" customFormat="1" customHeight="1" s="311"/>
    <row r="7849" hidden="1" ht="18.75" customFormat="1" customHeight="1" s="311"/>
    <row r="7850" hidden="1" ht="18.75" customFormat="1" customHeight="1" s="311"/>
    <row r="7851" hidden="1" ht="18.75" customFormat="1" customHeight="1" s="311"/>
    <row r="7852" hidden="1" ht="18.75" customFormat="1" customHeight="1" s="311"/>
    <row r="7853" hidden="1" ht="18.75" customFormat="1" customHeight="1" s="311"/>
    <row r="7854" hidden="1" ht="18.75" customFormat="1" customHeight="1" s="311"/>
    <row r="7855" hidden="1" ht="18.75" customFormat="1" customHeight="1" s="311"/>
    <row r="7856" hidden="1" ht="18.75" customFormat="1" customHeight="1" s="311"/>
    <row r="7857" hidden="1" ht="18.75" customFormat="1" customHeight="1" s="311"/>
    <row r="7858" hidden="1" ht="18.75" customFormat="1" customHeight="1" s="311"/>
    <row r="7859" hidden="1" ht="18.75" customFormat="1" customHeight="1" s="311"/>
    <row r="7860" hidden="1" ht="18.75" customFormat="1" customHeight="1" s="311"/>
    <row r="7861" hidden="1" ht="18.75" customFormat="1" customHeight="1" s="311"/>
    <row r="7862" hidden="1" ht="18.75" customFormat="1" customHeight="1" s="311"/>
    <row r="7863" hidden="1" ht="18.75" customFormat="1" customHeight="1" s="311"/>
    <row r="7864" hidden="1" ht="18.75" customFormat="1" customHeight="1" s="311"/>
    <row r="7865" hidden="1" ht="18.75" customFormat="1" customHeight="1" s="311"/>
    <row r="7866" hidden="1" ht="18.75" customFormat="1" customHeight="1" s="311"/>
    <row r="7867" hidden="1" ht="18.75" customFormat="1" customHeight="1" s="311"/>
    <row r="7868" hidden="1" ht="18.75" customFormat="1" customHeight="1" s="311"/>
    <row r="7869" hidden="1" ht="18.75" customFormat="1" customHeight="1" s="311"/>
    <row r="7870" hidden="1" ht="18.75" customFormat="1" customHeight="1" s="311"/>
    <row r="7871" hidden="1" ht="18.75" customFormat="1" customHeight="1" s="311"/>
    <row r="7872" hidden="1" ht="18.75" customFormat="1" customHeight="1" s="311"/>
    <row r="7873" hidden="1" ht="18.75" customFormat="1" customHeight="1" s="311"/>
    <row r="7874" hidden="1" ht="18.75" customFormat="1" customHeight="1" s="311"/>
    <row r="7875" hidden="1" ht="18.75" customFormat="1" customHeight="1" s="311"/>
    <row r="7876" hidden="1" ht="18.75" customFormat="1" customHeight="1" s="311"/>
    <row r="7877" hidden="1" ht="18.75" customFormat="1" customHeight="1" s="311"/>
    <row r="7878" hidden="1" ht="18.75" customFormat="1" customHeight="1" s="311"/>
    <row r="7879" hidden="1" ht="18.75" customFormat="1" customHeight="1" s="311"/>
    <row r="7880" hidden="1" ht="18.75" customFormat="1" customHeight="1" s="311"/>
    <row r="7881" hidden="1" ht="18.75" customFormat="1" customHeight="1" s="311"/>
    <row r="7882" hidden="1" ht="18.75" customFormat="1" customHeight="1" s="311"/>
    <row r="7883" hidden="1" ht="18.75" customFormat="1" customHeight="1" s="311"/>
    <row r="7884" hidden="1" ht="18.75" customFormat="1" customHeight="1" s="311"/>
    <row r="7885" hidden="1" ht="18.75" customFormat="1" customHeight="1" s="311"/>
    <row r="7886" hidden="1" ht="18.75" customFormat="1" customHeight="1" s="311"/>
    <row r="7887" hidden="1" ht="18.75" customFormat="1" customHeight="1" s="311"/>
    <row r="7888" hidden="1" ht="18.75" customFormat="1" customHeight="1" s="311"/>
    <row r="7889" hidden="1" ht="18.75" customFormat="1" customHeight="1" s="311"/>
    <row r="7890" hidden="1" ht="18.75" customFormat="1" customHeight="1" s="311"/>
    <row r="7891" hidden="1" ht="18.75" customFormat="1" customHeight="1" s="311"/>
    <row r="7892" hidden="1" ht="18.75" customFormat="1" customHeight="1" s="311"/>
    <row r="7893" hidden="1" ht="18.75" customFormat="1" customHeight="1" s="311"/>
    <row r="7894" hidden="1" ht="18.75" customFormat="1" customHeight="1" s="311"/>
    <row r="7895" hidden="1" ht="18.75" customFormat="1" customHeight="1" s="311"/>
    <row r="7896" hidden="1" ht="18.75" customFormat="1" customHeight="1" s="311"/>
    <row r="7897" hidden="1" ht="18.75" customFormat="1" customHeight="1" s="311"/>
    <row r="7898" hidden="1" ht="18.75" customFormat="1" customHeight="1" s="311"/>
    <row r="7899" hidden="1" ht="18.75" customFormat="1" customHeight="1" s="311"/>
    <row r="7900" hidden="1" ht="18.75" customFormat="1" customHeight="1" s="311"/>
    <row r="7901" hidden="1" ht="18.75" customFormat="1" customHeight="1" s="311"/>
    <row r="7902" hidden="1" ht="18.75" customFormat="1" customHeight="1" s="311"/>
    <row r="7903" hidden="1" ht="18.75" customFormat="1" customHeight="1" s="311"/>
    <row r="7904" hidden="1" ht="18.75" customFormat="1" customHeight="1" s="311"/>
    <row r="7905" hidden="1" ht="18.75" customFormat="1" customHeight="1" s="311"/>
    <row r="7906" hidden="1" ht="18.75" customFormat="1" customHeight="1" s="311"/>
    <row r="7907" hidden="1" ht="18.75" customFormat="1" customHeight="1" s="311"/>
    <row r="7908" hidden="1" ht="18.75" customFormat="1" customHeight="1" s="311"/>
    <row r="7909" hidden="1" ht="18.75" customFormat="1" customHeight="1" s="311"/>
    <row r="7910" hidden="1" ht="18.75" customFormat="1" customHeight="1" s="311"/>
    <row r="7911" hidden="1" ht="18.75" customFormat="1" customHeight="1" s="311"/>
    <row r="7912" hidden="1" ht="18.75" customFormat="1" customHeight="1" s="311"/>
    <row r="7913" hidden="1" ht="18.75" customFormat="1" customHeight="1" s="311"/>
    <row r="7914" hidden="1" ht="18.75" customFormat="1" customHeight="1" s="311"/>
    <row r="7915" hidden="1" ht="18.75" customFormat="1" customHeight="1" s="311"/>
    <row r="7916" hidden="1" ht="18.75" customFormat="1" customHeight="1" s="311"/>
    <row r="7917" hidden="1" ht="18.75" customFormat="1" customHeight="1" s="311"/>
    <row r="7918" hidden="1" ht="18.75" customFormat="1" customHeight="1" s="311"/>
    <row r="7919" hidden="1" ht="18.75" customFormat="1" customHeight="1" s="311"/>
    <row r="7920" hidden="1" ht="18.75" customFormat="1" customHeight="1" s="311"/>
    <row r="7921" hidden="1" ht="18.75" customFormat="1" customHeight="1" s="311"/>
    <row r="7922" hidden="1" ht="18.75" customFormat="1" customHeight="1" s="311"/>
    <row r="7923" hidden="1" ht="18.75" customFormat="1" customHeight="1" s="311"/>
    <row r="7924" hidden="1" ht="18.75" customFormat="1" customHeight="1" s="311"/>
    <row r="7925" hidden="1" ht="18.75" customFormat="1" customHeight="1" s="311"/>
    <row r="7926" hidden="1" ht="18.75" customFormat="1" customHeight="1" s="311"/>
    <row r="7927" hidden="1" ht="18.75" customFormat="1" customHeight="1" s="311"/>
    <row r="7928" hidden="1" ht="18.75" customFormat="1" customHeight="1" s="311"/>
    <row r="7929" hidden="1" ht="18.75" customFormat="1" customHeight="1" s="311"/>
    <row r="7930" hidden="1" ht="18.75" customFormat="1" customHeight="1" s="311"/>
    <row r="7931" hidden="1" ht="18.75" customFormat="1" customHeight="1" s="311"/>
    <row r="7932" hidden="1" ht="18.75" customFormat="1" customHeight="1" s="311"/>
    <row r="7933" hidden="1" ht="18.75" customFormat="1" customHeight="1" s="311"/>
    <row r="7934" hidden="1" ht="18.75" customFormat="1" customHeight="1" s="311"/>
    <row r="7935" hidden="1" ht="18.75" customFormat="1" customHeight="1" s="311"/>
    <row r="7936" hidden="1" ht="18.75" customFormat="1" customHeight="1" s="311"/>
    <row r="7937" hidden="1" ht="18.75" customFormat="1" customHeight="1" s="311"/>
    <row r="7938" hidden="1" ht="18.75" customFormat="1" customHeight="1" s="311"/>
    <row r="7939" hidden="1" ht="18.75" customFormat="1" customHeight="1" s="311"/>
    <row r="7940" hidden="1" ht="18.75" customFormat="1" customHeight="1" s="311"/>
    <row r="7941" hidden="1" ht="18.75" customFormat="1" customHeight="1" s="311"/>
    <row r="7942" hidden="1" ht="18.75" customFormat="1" customHeight="1" s="311"/>
    <row r="7943" hidden="1" ht="18.75" customFormat="1" customHeight="1" s="311"/>
    <row r="7944" hidden="1" ht="18.75" customFormat="1" customHeight="1" s="311"/>
    <row r="7945" hidden="1" ht="18.75" customFormat="1" customHeight="1" s="311"/>
    <row r="7946" hidden="1" ht="18.75" customFormat="1" customHeight="1" s="311"/>
    <row r="7947" hidden="1" ht="18.75" customFormat="1" customHeight="1" s="311"/>
    <row r="7948" hidden="1" ht="18.75" customFormat="1" customHeight="1" s="311"/>
    <row r="7949" hidden="1" ht="18.75" customFormat="1" customHeight="1" s="311"/>
    <row r="7950" hidden="1" ht="18.75" customFormat="1" customHeight="1" s="311"/>
    <row r="7951" hidden="1" ht="18.75" customFormat="1" customHeight="1" s="311"/>
    <row r="7952" hidden="1" ht="18.75" customFormat="1" customHeight="1" s="311"/>
    <row r="7953" hidden="1" ht="18.75" customFormat="1" customHeight="1" s="311"/>
    <row r="7954" hidden="1" ht="18.75" customFormat="1" customHeight="1" s="311"/>
    <row r="7955" hidden="1" ht="18.75" customFormat="1" customHeight="1" s="311"/>
    <row r="7956" hidden="1" ht="18.75" customFormat="1" customHeight="1" s="311"/>
    <row r="7957" hidden="1" ht="18.75" customFormat="1" customHeight="1" s="311"/>
    <row r="7958" hidden="1" ht="18.75" customFormat="1" customHeight="1" s="311"/>
    <row r="7959" hidden="1" ht="18.75" customFormat="1" customHeight="1" s="311"/>
    <row r="7960" hidden="1" ht="18.75" customFormat="1" customHeight="1" s="311"/>
    <row r="7961" hidden="1" ht="18.75" customFormat="1" customHeight="1" s="311"/>
    <row r="7962" hidden="1" ht="18.75" customFormat="1" customHeight="1" s="311"/>
    <row r="7963" hidden="1" ht="18.75" customFormat="1" customHeight="1" s="311"/>
    <row r="7964" hidden="1" ht="18.75" customFormat="1" customHeight="1" s="311"/>
    <row r="7965" hidden="1" ht="18.75" customFormat="1" customHeight="1" s="311"/>
    <row r="7966" hidden="1" ht="18.75" customFormat="1" customHeight="1" s="311"/>
    <row r="7967" hidden="1" ht="18.75" customFormat="1" customHeight="1" s="311"/>
    <row r="7968" hidden="1" ht="18.75" customFormat="1" customHeight="1" s="311"/>
    <row r="7969" hidden="1" ht="18.75" customFormat="1" customHeight="1" s="311"/>
    <row r="7970" hidden="1" ht="18.75" customFormat="1" customHeight="1" s="311"/>
    <row r="7971" hidden="1" ht="18.75" customFormat="1" customHeight="1" s="311"/>
    <row r="7972" hidden="1" ht="18.75" customFormat="1" customHeight="1" s="311"/>
    <row r="7973" hidden="1" ht="18.75" customFormat="1" customHeight="1" s="311"/>
    <row r="7974" hidden="1" ht="18.75" customFormat="1" customHeight="1" s="311"/>
    <row r="7975" hidden="1" ht="18.75" customFormat="1" customHeight="1" s="311"/>
    <row r="7976" hidden="1" ht="18.75" customFormat="1" customHeight="1" s="311"/>
    <row r="7977" hidden="1" ht="18.75" customFormat="1" customHeight="1" s="311"/>
    <row r="7978" hidden="1" ht="18.75" customFormat="1" customHeight="1" s="311"/>
    <row r="7979" hidden="1" ht="18.75" customFormat="1" customHeight="1" s="311"/>
    <row r="7980" hidden="1" ht="18.75" customFormat="1" customHeight="1" s="311"/>
    <row r="7981" hidden="1" ht="18.75" customFormat="1" customHeight="1" s="311"/>
    <row r="7982" hidden="1" ht="18.75" customFormat="1" customHeight="1" s="311"/>
    <row r="7983" hidden="1" ht="18.75" customFormat="1" customHeight="1" s="311"/>
    <row r="7984" hidden="1" ht="18.75" customFormat="1" customHeight="1" s="311"/>
    <row r="7985" hidden="1" ht="18.75" customFormat="1" customHeight="1" s="311"/>
    <row r="7986" hidden="1" ht="18.75" customFormat="1" customHeight="1" s="311"/>
    <row r="7987" hidden="1" ht="18.75" customFormat="1" customHeight="1" s="311"/>
    <row r="7988" hidden="1" ht="18.75" customFormat="1" customHeight="1" s="311"/>
    <row r="7989" hidden="1" ht="18.75" customFormat="1" customHeight="1" s="311"/>
    <row r="7990" hidden="1" ht="18.75" customFormat="1" customHeight="1" s="311"/>
    <row r="7991" hidden="1" ht="18.75" customFormat="1" customHeight="1" s="311"/>
    <row r="7992" hidden="1" ht="18.75" customFormat="1" customHeight="1" s="311"/>
    <row r="7993" hidden="1" ht="18.75" customFormat="1" customHeight="1" s="311"/>
    <row r="7994" hidden="1" ht="18.75" customFormat="1" customHeight="1" s="311"/>
    <row r="7995" hidden="1" ht="18.75" customFormat="1" customHeight="1" s="311"/>
    <row r="7996" hidden="1" ht="18.75" customFormat="1" customHeight="1" s="311"/>
    <row r="7997" hidden="1" ht="18.75" customFormat="1" customHeight="1" s="311"/>
    <row r="7998" hidden="1" ht="18.75" customFormat="1" customHeight="1" s="311"/>
    <row r="7999" hidden="1" ht="18.75" customFormat="1" customHeight="1" s="311"/>
    <row r="8000" hidden="1" ht="18.75" customFormat="1" customHeight="1" s="311"/>
    <row r="8001" hidden="1" ht="18.75" customFormat="1" customHeight="1" s="311"/>
    <row r="8002" hidden="1" ht="18.75" customFormat="1" customHeight="1" s="311"/>
    <row r="8003" hidden="1" ht="18.75" customFormat="1" customHeight="1" s="311"/>
    <row r="8004" hidden="1" ht="18.75" customFormat="1" customHeight="1" s="311"/>
    <row r="8005" hidden="1" ht="18.75" customFormat="1" customHeight="1" s="311"/>
    <row r="8006" hidden="1" ht="18.75" customFormat="1" customHeight="1" s="311"/>
    <row r="8007" hidden="1" ht="18.75" customFormat="1" customHeight="1" s="311"/>
    <row r="8008" hidden="1" ht="18.75" customFormat="1" customHeight="1" s="311"/>
    <row r="8009" hidden="1" ht="18.75" customFormat="1" customHeight="1" s="311"/>
    <row r="8010" hidden="1" ht="18.75" customFormat="1" customHeight="1" s="311"/>
    <row r="8011" hidden="1" ht="18.75" customFormat="1" customHeight="1" s="311"/>
    <row r="8012" hidden="1" ht="18.75" customFormat="1" customHeight="1" s="311"/>
    <row r="8013" hidden="1" ht="18.75" customFormat="1" customHeight="1" s="311"/>
    <row r="8014" hidden="1" ht="18.75" customFormat="1" customHeight="1" s="311"/>
    <row r="8015" hidden="1" ht="18.75" customFormat="1" customHeight="1" s="311"/>
    <row r="8016" hidden="1" ht="18.75" customFormat="1" customHeight="1" s="311"/>
    <row r="8017" hidden="1" ht="18.75" customFormat="1" customHeight="1" s="311"/>
    <row r="8018" hidden="1" ht="18.75" customFormat="1" customHeight="1" s="311"/>
    <row r="8019" hidden="1" ht="18.75" customFormat="1" customHeight="1" s="311"/>
    <row r="8020" hidden="1" ht="18.75" customFormat="1" customHeight="1" s="311"/>
    <row r="8021" hidden="1" ht="18.75" customFormat="1" customHeight="1" s="311"/>
    <row r="8022" hidden="1" ht="18.75" customFormat="1" customHeight="1" s="311"/>
    <row r="8023" hidden="1" ht="18.75" customFormat="1" customHeight="1" s="311"/>
    <row r="8024" hidden="1" ht="18.75" customFormat="1" customHeight="1" s="311"/>
    <row r="8025" hidden="1" ht="18.75" customFormat="1" customHeight="1" s="311"/>
    <row r="8026" hidden="1" ht="18.75" customFormat="1" customHeight="1" s="311"/>
    <row r="8027" hidden="1" ht="18.75" customFormat="1" customHeight="1" s="311"/>
    <row r="8028" hidden="1" ht="18.75" customFormat="1" customHeight="1" s="311"/>
    <row r="8029" hidden="1" ht="18.75" customFormat="1" customHeight="1" s="311"/>
    <row r="8030" hidden="1" ht="18.75" customFormat="1" customHeight="1" s="311"/>
    <row r="8031" hidden="1" ht="18.75" customFormat="1" customHeight="1" s="311"/>
    <row r="8032" hidden="1" ht="18.75" customFormat="1" customHeight="1" s="311"/>
    <row r="8033" hidden="1" ht="18.75" customFormat="1" customHeight="1" s="311"/>
    <row r="8034" hidden="1" ht="18.75" customFormat="1" customHeight="1" s="311"/>
    <row r="8035" hidden="1" ht="18.75" customFormat="1" customHeight="1" s="311"/>
    <row r="8036" hidden="1" ht="18.75" customFormat="1" customHeight="1" s="311"/>
    <row r="8037" hidden="1" ht="18.75" customFormat="1" customHeight="1" s="311"/>
    <row r="8038" hidden="1" ht="18.75" customFormat="1" customHeight="1" s="311"/>
    <row r="8039" hidden="1" ht="18.75" customFormat="1" customHeight="1" s="311"/>
    <row r="8040" hidden="1" ht="18.75" customFormat="1" customHeight="1" s="311"/>
    <row r="8041" hidden="1" ht="18.75" customFormat="1" customHeight="1" s="311"/>
    <row r="8042" hidden="1" ht="18.75" customFormat="1" customHeight="1" s="311"/>
    <row r="8043" hidden="1" ht="18.75" customFormat="1" customHeight="1" s="311"/>
    <row r="8044" hidden="1" ht="18.75" customFormat="1" customHeight="1" s="311"/>
    <row r="8045" hidden="1" ht="18.75" customFormat="1" customHeight="1" s="311"/>
    <row r="8046" hidden="1" ht="18.75" customFormat="1" customHeight="1" s="311"/>
    <row r="8047" hidden="1" ht="18.75" customFormat="1" customHeight="1" s="311"/>
    <row r="8048" hidden="1" ht="18.75" customFormat="1" customHeight="1" s="311"/>
    <row r="8049" hidden="1" ht="18.75" customFormat="1" customHeight="1" s="311"/>
    <row r="8050" hidden="1" ht="18.75" customFormat="1" customHeight="1" s="311"/>
    <row r="8051" hidden="1" ht="18.75" customFormat="1" customHeight="1" s="311"/>
    <row r="8052" hidden="1" ht="18.75" customFormat="1" customHeight="1" s="311"/>
    <row r="8053" hidden="1" ht="18.75" customFormat="1" customHeight="1" s="311"/>
    <row r="8054" hidden="1" ht="18.75" customFormat="1" customHeight="1" s="311"/>
    <row r="8055" hidden="1" ht="18.75" customFormat="1" customHeight="1" s="311"/>
    <row r="8056" hidden="1" ht="18.75" customFormat="1" customHeight="1" s="311"/>
    <row r="8057" hidden="1" ht="18.75" customFormat="1" customHeight="1" s="311"/>
    <row r="8058" hidden="1" ht="18.75" customFormat="1" customHeight="1" s="311"/>
    <row r="8059" hidden="1" ht="18.75" customFormat="1" customHeight="1" s="311"/>
    <row r="8060" hidden="1" ht="18.75" customFormat="1" customHeight="1" s="311"/>
    <row r="8061" hidden="1" ht="18.75" customFormat="1" customHeight="1" s="311"/>
    <row r="8062" hidden="1" ht="18.75" customFormat="1" customHeight="1" s="311"/>
    <row r="8063" hidden="1" ht="18.75" customFormat="1" customHeight="1" s="311"/>
    <row r="8064" hidden="1" ht="18.75" customFormat="1" customHeight="1" s="311"/>
    <row r="8065" hidden="1" ht="18.75" customFormat="1" customHeight="1" s="311"/>
    <row r="8066" hidden="1" ht="18.75" customFormat="1" customHeight="1" s="311"/>
    <row r="8067" hidden="1" ht="18.75" customFormat="1" customHeight="1" s="311"/>
    <row r="8068" hidden="1" ht="18.75" customFormat="1" customHeight="1" s="311"/>
    <row r="8069" hidden="1" ht="18.75" customFormat="1" customHeight="1" s="311"/>
    <row r="8070" hidden="1" ht="18.75" customFormat="1" customHeight="1" s="311"/>
    <row r="8071" hidden="1" ht="18.75" customFormat="1" customHeight="1" s="311"/>
    <row r="8072" hidden="1" ht="18.75" customFormat="1" customHeight="1" s="311"/>
    <row r="8073" hidden="1" ht="18.75" customFormat="1" customHeight="1" s="311"/>
    <row r="8074" hidden="1" ht="18.75" customFormat="1" customHeight="1" s="311"/>
    <row r="8075" hidden="1" ht="18.75" customFormat="1" customHeight="1" s="311"/>
    <row r="8076" hidden="1" ht="18.75" customFormat="1" customHeight="1" s="311"/>
    <row r="8077" hidden="1" ht="18.75" customFormat="1" customHeight="1" s="311"/>
    <row r="8078" hidden="1" ht="18.75" customFormat="1" customHeight="1" s="311"/>
    <row r="8079" hidden="1" ht="18.75" customFormat="1" customHeight="1" s="311"/>
    <row r="8080" hidden="1" ht="18.75" customFormat="1" customHeight="1" s="311"/>
    <row r="8081" hidden="1" ht="18.75" customFormat="1" customHeight="1" s="311"/>
    <row r="8082" hidden="1" ht="18.75" customFormat="1" customHeight="1" s="311"/>
    <row r="8083" hidden="1" ht="18.75" customFormat="1" customHeight="1" s="311"/>
    <row r="8084" hidden="1" ht="18.75" customFormat="1" customHeight="1" s="311"/>
    <row r="8085" hidden="1" ht="18.75" customFormat="1" customHeight="1" s="311"/>
    <row r="8086" hidden="1" ht="18.75" customFormat="1" customHeight="1" s="311"/>
    <row r="8087" hidden="1" ht="18.75" customFormat="1" customHeight="1" s="311"/>
    <row r="8088" hidden="1" ht="18.75" customFormat="1" customHeight="1" s="311"/>
    <row r="8089" hidden="1" ht="18.75" customFormat="1" customHeight="1" s="311"/>
    <row r="8090" hidden="1" ht="18.75" customFormat="1" customHeight="1" s="311"/>
    <row r="8091" hidden="1" ht="18.75" customFormat="1" customHeight="1" s="311"/>
    <row r="8092" hidden="1" ht="18.75" customFormat="1" customHeight="1" s="311"/>
    <row r="8093" hidden="1" ht="18.75" customFormat="1" customHeight="1" s="311"/>
    <row r="8094" hidden="1" ht="18.75" customFormat="1" customHeight="1" s="311"/>
    <row r="8095" hidden="1" ht="18.75" customFormat="1" customHeight="1" s="311"/>
    <row r="8096" hidden="1" ht="18.75" customFormat="1" customHeight="1" s="311"/>
    <row r="8097" hidden="1" ht="18.75" customFormat="1" customHeight="1" s="311"/>
    <row r="8098" hidden="1" ht="18.75" customFormat="1" customHeight="1" s="311"/>
    <row r="8099" hidden="1" ht="18.75" customFormat="1" customHeight="1" s="311"/>
    <row r="8100" hidden="1" ht="18.75" customFormat="1" customHeight="1" s="311"/>
    <row r="8101" hidden="1" ht="18.75" customFormat="1" customHeight="1" s="311"/>
    <row r="8102" hidden="1" ht="18.75" customFormat="1" customHeight="1" s="311"/>
    <row r="8103" hidden="1" ht="18.75" customFormat="1" customHeight="1" s="311"/>
    <row r="8104" hidden="1" ht="18.75" customFormat="1" customHeight="1" s="311"/>
    <row r="8105" hidden="1" ht="18.75" customFormat="1" customHeight="1" s="311"/>
    <row r="8106" hidden="1" ht="18.75" customFormat="1" customHeight="1" s="311"/>
    <row r="8107" hidden="1" ht="18.75" customFormat="1" customHeight="1" s="311"/>
    <row r="8108" hidden="1" ht="18.75" customFormat="1" customHeight="1" s="311"/>
    <row r="8109" hidden="1" ht="18.75" customFormat="1" customHeight="1" s="311"/>
    <row r="8110" hidden="1" ht="18.75" customFormat="1" customHeight="1" s="311"/>
    <row r="8111" hidden="1" ht="18.75" customFormat="1" customHeight="1" s="311"/>
    <row r="8112" hidden="1" ht="18.75" customFormat="1" customHeight="1" s="311"/>
    <row r="8113" hidden="1" ht="18.75" customFormat="1" customHeight="1" s="311"/>
    <row r="8114" hidden="1" ht="18.75" customFormat="1" customHeight="1" s="311"/>
    <row r="8115" hidden="1" ht="18.75" customFormat="1" customHeight="1" s="311"/>
    <row r="8116" hidden="1" ht="18.75" customFormat="1" customHeight="1" s="311"/>
    <row r="8117" hidden="1" ht="18.75" customFormat="1" customHeight="1" s="311"/>
    <row r="8118" hidden="1" ht="18.75" customFormat="1" customHeight="1" s="311"/>
    <row r="8119" hidden="1" ht="18.75" customFormat="1" customHeight="1" s="311"/>
    <row r="8120" hidden="1" ht="18.75" customFormat="1" customHeight="1" s="311"/>
    <row r="8121" hidden="1" ht="18.75" customFormat="1" customHeight="1" s="311"/>
    <row r="8122" hidden="1" ht="18.75" customFormat="1" customHeight="1" s="311"/>
    <row r="8123" hidden="1" ht="18.75" customFormat="1" customHeight="1" s="311"/>
    <row r="8124" hidden="1" ht="18.75" customFormat="1" customHeight="1" s="311"/>
    <row r="8125" hidden="1" ht="18.75" customFormat="1" customHeight="1" s="311"/>
    <row r="8126" hidden="1" ht="18.75" customFormat="1" customHeight="1" s="311"/>
    <row r="8127" hidden="1" ht="18.75" customFormat="1" customHeight="1" s="311"/>
    <row r="8128" hidden="1" ht="18.75" customFormat="1" customHeight="1" s="311"/>
    <row r="8129" hidden="1" ht="18.75" customFormat="1" customHeight="1" s="311"/>
    <row r="8130" hidden="1" ht="18.75" customFormat="1" customHeight="1" s="311"/>
    <row r="8131" hidden="1" ht="18.75" customFormat="1" customHeight="1" s="311"/>
    <row r="8132" hidden="1" ht="18.75" customFormat="1" customHeight="1" s="311"/>
    <row r="8133" hidden="1" ht="18.75" customFormat="1" customHeight="1" s="311"/>
    <row r="8134" hidden="1" ht="18.75" customFormat="1" customHeight="1" s="311"/>
    <row r="8135" hidden="1" ht="18.75" customFormat="1" customHeight="1" s="311"/>
    <row r="8136" hidden="1" ht="18.75" customFormat="1" customHeight="1" s="311"/>
    <row r="8137" hidden="1" ht="18.75" customFormat="1" customHeight="1" s="311"/>
    <row r="8138" hidden="1" ht="18.75" customFormat="1" customHeight="1" s="311"/>
    <row r="8139" hidden="1" ht="18.75" customFormat="1" customHeight="1" s="311"/>
    <row r="8140" hidden="1" ht="18.75" customFormat="1" customHeight="1" s="311"/>
    <row r="8141" hidden="1" ht="18.75" customFormat="1" customHeight="1" s="311"/>
    <row r="8142" hidden="1" ht="18.75" customFormat="1" customHeight="1" s="311"/>
    <row r="8143" hidden="1" ht="18.75" customFormat="1" customHeight="1" s="311"/>
    <row r="8144" hidden="1" ht="18.75" customFormat="1" customHeight="1" s="311"/>
    <row r="8145" hidden="1" ht="18.75" customFormat="1" customHeight="1" s="311"/>
    <row r="8146" hidden="1" ht="18.75" customFormat="1" customHeight="1" s="311"/>
    <row r="8147" hidden="1" ht="18.75" customFormat="1" customHeight="1" s="311"/>
    <row r="8148" hidden="1" ht="18.75" customFormat="1" customHeight="1" s="311"/>
    <row r="8149" hidden="1" ht="18.75" customFormat="1" customHeight="1" s="311"/>
    <row r="8150" hidden="1" ht="18.75" customFormat="1" customHeight="1" s="311"/>
    <row r="8151" hidden="1" ht="18.75" customFormat="1" customHeight="1" s="311"/>
    <row r="8152" hidden="1" ht="18.75" customFormat="1" customHeight="1" s="311"/>
    <row r="8153" hidden="1" ht="18.75" customFormat="1" customHeight="1" s="311"/>
    <row r="8154" hidden="1" ht="18.75" customFormat="1" customHeight="1" s="311"/>
    <row r="8155" hidden="1" ht="18.75" customFormat="1" customHeight="1" s="311"/>
    <row r="8156" hidden="1" ht="18.75" customFormat="1" customHeight="1" s="311"/>
    <row r="8157" hidden="1" ht="18.75" customFormat="1" customHeight="1" s="311"/>
    <row r="8158" hidden="1" ht="18.75" customFormat="1" customHeight="1" s="311"/>
    <row r="8159" hidden="1" ht="18.75" customFormat="1" customHeight="1" s="311"/>
    <row r="8160" hidden="1" ht="18.75" customFormat="1" customHeight="1" s="311"/>
    <row r="8161" hidden="1" ht="18.75" customFormat="1" customHeight="1" s="311"/>
    <row r="8162" hidden="1" ht="18.75" customFormat="1" customHeight="1" s="311"/>
    <row r="8163" hidden="1" ht="18.75" customFormat="1" customHeight="1" s="311"/>
    <row r="8164" hidden="1" ht="18.75" customFormat="1" customHeight="1" s="311"/>
    <row r="8165" hidden="1" ht="18.75" customFormat="1" customHeight="1" s="311"/>
    <row r="8166" hidden="1" ht="18.75" customFormat="1" customHeight="1" s="311"/>
    <row r="8167" hidden="1" ht="18.75" customFormat="1" customHeight="1" s="311"/>
    <row r="8168" hidden="1" ht="18.75" customFormat="1" customHeight="1" s="311"/>
    <row r="8169" hidden="1" ht="18.75" customFormat="1" customHeight="1" s="311"/>
    <row r="8170" hidden="1" ht="18.75" customFormat="1" customHeight="1" s="311"/>
    <row r="8171" hidden="1" ht="18.75" customFormat="1" customHeight="1" s="311"/>
    <row r="8172" hidden="1" ht="18.75" customFormat="1" customHeight="1" s="311"/>
    <row r="8173" hidden="1" ht="18.75" customFormat="1" customHeight="1" s="311"/>
    <row r="8174" hidden="1" ht="18.75" customFormat="1" customHeight="1" s="311"/>
    <row r="8175" hidden="1" ht="18.75" customFormat="1" customHeight="1" s="311"/>
    <row r="8176" hidden="1" ht="18.75" customFormat="1" customHeight="1" s="311"/>
    <row r="8177" hidden="1" ht="18.75" customFormat="1" customHeight="1" s="311"/>
    <row r="8178" hidden="1" ht="18.75" customFormat="1" customHeight="1" s="311"/>
    <row r="8179" hidden="1" ht="18.75" customFormat="1" customHeight="1" s="311"/>
    <row r="8180" hidden="1" ht="18.75" customFormat="1" customHeight="1" s="311"/>
    <row r="8181" hidden="1" ht="18.75" customFormat="1" customHeight="1" s="311"/>
    <row r="8182" hidden="1" ht="18.75" customFormat="1" customHeight="1" s="311"/>
    <row r="8183" hidden="1" ht="18.75" customFormat="1" customHeight="1" s="311"/>
    <row r="8184" hidden="1" ht="18.75" customFormat="1" customHeight="1" s="311"/>
    <row r="8185" hidden="1" ht="18.75" customFormat="1" customHeight="1" s="311"/>
    <row r="8186" hidden="1" ht="18.75" customFormat="1" customHeight="1" s="311"/>
    <row r="8187" hidden="1" ht="18.75" customFormat="1" customHeight="1" s="311"/>
    <row r="8188" hidden="1" ht="18.75" customFormat="1" customHeight="1" s="311"/>
    <row r="8189" hidden="1" ht="18.75" customFormat="1" customHeight="1" s="311"/>
    <row r="8190" hidden="1" ht="18.75" customFormat="1" customHeight="1" s="311"/>
    <row r="8191" hidden="1" ht="18.75" customFormat="1" customHeight="1" s="311"/>
    <row r="8192" hidden="1" ht="18.75" customFormat="1" customHeight="1" s="311"/>
    <row r="8193" hidden="1" ht="18.75" customFormat="1" customHeight="1" s="311"/>
    <row r="8194" hidden="1" ht="18.75" customFormat="1" customHeight="1" s="311"/>
    <row r="8195" hidden="1" ht="18.75" customFormat="1" customHeight="1" s="311"/>
    <row r="8196" hidden="1" ht="18.75" customFormat="1" customHeight="1" s="311"/>
    <row r="8197" hidden="1" ht="18.75" customFormat="1" customHeight="1" s="311"/>
    <row r="8198" hidden="1" ht="18.75" customFormat="1" customHeight="1" s="311"/>
    <row r="8199" hidden="1" ht="18.75" customFormat="1" customHeight="1" s="311"/>
    <row r="8200" hidden="1" ht="18.75" customFormat="1" customHeight="1" s="311"/>
    <row r="8201" hidden="1" ht="18.75" customFormat="1" customHeight="1" s="311"/>
    <row r="8202" hidden="1" ht="18.75" customFormat="1" customHeight="1" s="311"/>
    <row r="8203" hidden="1" ht="18.75" customFormat="1" customHeight="1" s="311"/>
    <row r="8204" hidden="1" ht="18.75" customFormat="1" customHeight="1" s="311"/>
    <row r="8205" hidden="1" ht="18.75" customFormat="1" customHeight="1" s="311"/>
    <row r="8206" hidden="1" ht="18.75" customFormat="1" customHeight="1" s="311"/>
    <row r="8207" hidden="1" ht="18.75" customFormat="1" customHeight="1" s="311"/>
    <row r="8208" hidden="1" ht="18.75" customFormat="1" customHeight="1" s="311"/>
    <row r="8209" hidden="1" ht="18.75" customFormat="1" customHeight="1" s="311"/>
    <row r="8210" hidden="1" ht="18.75" customFormat="1" customHeight="1" s="311"/>
    <row r="8211" hidden="1" ht="18.75" customFormat="1" customHeight="1" s="311"/>
    <row r="8212" hidden="1" ht="18.75" customFormat="1" customHeight="1" s="311"/>
    <row r="8213" hidden="1" ht="18.75" customFormat="1" customHeight="1" s="311"/>
    <row r="8214" hidden="1" ht="18.75" customFormat="1" customHeight="1" s="311"/>
    <row r="8215" hidden="1" ht="18.75" customFormat="1" customHeight="1" s="311"/>
    <row r="8216" hidden="1" ht="18.75" customFormat="1" customHeight="1" s="311"/>
    <row r="8217" hidden="1" ht="18.75" customFormat="1" customHeight="1" s="311"/>
    <row r="8218" hidden="1" ht="18.75" customFormat="1" customHeight="1" s="311"/>
    <row r="8219" hidden="1" ht="18.75" customFormat="1" customHeight="1" s="311"/>
    <row r="8220" hidden="1" ht="18.75" customFormat="1" customHeight="1" s="311"/>
    <row r="8221" hidden="1" ht="18.75" customFormat="1" customHeight="1" s="311"/>
    <row r="8222" hidden="1" ht="18.75" customFormat="1" customHeight="1" s="311"/>
    <row r="8223" hidden="1" ht="18.75" customFormat="1" customHeight="1" s="311"/>
    <row r="8224" hidden="1" ht="18.75" customFormat="1" customHeight="1" s="311"/>
    <row r="8225" hidden="1" ht="18.75" customFormat="1" customHeight="1" s="311"/>
    <row r="8226" hidden="1" ht="18.75" customFormat="1" customHeight="1" s="311"/>
    <row r="8227" hidden="1" ht="18.75" customFormat="1" customHeight="1" s="311"/>
    <row r="8228" hidden="1" ht="18.75" customFormat="1" customHeight="1" s="311"/>
    <row r="8229" hidden="1" ht="18.75" customFormat="1" customHeight="1" s="311"/>
    <row r="8230" hidden="1" ht="18.75" customFormat="1" customHeight="1" s="311"/>
    <row r="8231" hidden="1" ht="18.75" customFormat="1" customHeight="1" s="311"/>
    <row r="8232" hidden="1" ht="18.75" customFormat="1" customHeight="1" s="311"/>
    <row r="8233" hidden="1" ht="18.75" customFormat="1" customHeight="1" s="311"/>
    <row r="8234" hidden="1" ht="18.75" customFormat="1" customHeight="1" s="311"/>
    <row r="8235" hidden="1" ht="18.75" customFormat="1" customHeight="1" s="311"/>
    <row r="8236" hidden="1" ht="18.75" customFormat="1" customHeight="1" s="311"/>
    <row r="8237" hidden="1" ht="18.75" customFormat="1" customHeight="1" s="311"/>
    <row r="8238" hidden="1" ht="18.75" customFormat="1" customHeight="1" s="311"/>
    <row r="8239" hidden="1" ht="18.75" customFormat="1" customHeight="1" s="311"/>
    <row r="8240" hidden="1" ht="18.75" customFormat="1" customHeight="1" s="311"/>
    <row r="8241" hidden="1" ht="18.75" customFormat="1" customHeight="1" s="311"/>
    <row r="8242" hidden="1" ht="18.75" customFormat="1" customHeight="1" s="311"/>
    <row r="8243" hidden="1" ht="18.75" customFormat="1" customHeight="1" s="311"/>
    <row r="8244" hidden="1" ht="18.75" customFormat="1" customHeight="1" s="311"/>
    <row r="8245" hidden="1" ht="18.75" customFormat="1" customHeight="1" s="311"/>
    <row r="8246" hidden="1" ht="18.75" customFormat="1" customHeight="1" s="311"/>
    <row r="8247" hidden="1" ht="18.75" customFormat="1" customHeight="1" s="311"/>
    <row r="8248" hidden="1" ht="18.75" customFormat="1" customHeight="1" s="311"/>
    <row r="8249" hidden="1" ht="18.75" customFormat="1" customHeight="1" s="311"/>
    <row r="8250" hidden="1" ht="18.75" customFormat="1" customHeight="1" s="311"/>
    <row r="8251" hidden="1" ht="18.75" customFormat="1" customHeight="1" s="311"/>
    <row r="8252" hidden="1" ht="18.75" customFormat="1" customHeight="1" s="311"/>
    <row r="8253" hidden="1" ht="18.75" customFormat="1" customHeight="1" s="311"/>
    <row r="8254" hidden="1" ht="18.75" customFormat="1" customHeight="1" s="311"/>
    <row r="8255" hidden="1" ht="18.75" customFormat="1" customHeight="1" s="311"/>
    <row r="8256" hidden="1" ht="18.75" customFormat="1" customHeight="1" s="311"/>
    <row r="8257" hidden="1" ht="18.75" customFormat="1" customHeight="1" s="311"/>
    <row r="8258" hidden="1" ht="18.75" customFormat="1" customHeight="1" s="311"/>
    <row r="8259" hidden="1" ht="18.75" customFormat="1" customHeight="1" s="311"/>
    <row r="8260" hidden="1" ht="18.75" customFormat="1" customHeight="1" s="311"/>
    <row r="8261" hidden="1" ht="18.75" customFormat="1" customHeight="1" s="311"/>
    <row r="8262" hidden="1" ht="18.75" customFormat="1" customHeight="1" s="311"/>
    <row r="8263" hidden="1" ht="18.75" customFormat="1" customHeight="1" s="311"/>
    <row r="8264" hidden="1" ht="18.75" customFormat="1" customHeight="1" s="311"/>
    <row r="8265" hidden="1" ht="18.75" customFormat="1" customHeight="1" s="311"/>
    <row r="8266" hidden="1" ht="18.75" customFormat="1" customHeight="1" s="311"/>
    <row r="8267" hidden="1" ht="18.75" customFormat="1" customHeight="1" s="311"/>
    <row r="8268" hidden="1" ht="18.75" customFormat="1" customHeight="1" s="311"/>
    <row r="8269" hidden="1" ht="18.75" customFormat="1" customHeight="1" s="311"/>
    <row r="8270" hidden="1" ht="18.75" customFormat="1" customHeight="1" s="311"/>
    <row r="8271" hidden="1" ht="18.75" customFormat="1" customHeight="1" s="311"/>
    <row r="8272" hidden="1" ht="18.75" customFormat="1" customHeight="1" s="311"/>
    <row r="8273" hidden="1" ht="18.75" customFormat="1" customHeight="1" s="311"/>
    <row r="8274" hidden="1" ht="18.75" customFormat="1" customHeight="1" s="311"/>
    <row r="8275" hidden="1" ht="18.75" customFormat="1" customHeight="1" s="311"/>
    <row r="8276" hidden="1" ht="18.75" customFormat="1" customHeight="1" s="311"/>
    <row r="8277" hidden="1" ht="18.75" customFormat="1" customHeight="1" s="311"/>
    <row r="8278" hidden="1" ht="18.75" customFormat="1" customHeight="1" s="311"/>
    <row r="8279" hidden="1" ht="18.75" customFormat="1" customHeight="1" s="311"/>
    <row r="8280" hidden="1" ht="18.75" customFormat="1" customHeight="1" s="311"/>
    <row r="8281" hidden="1" ht="18.75" customFormat="1" customHeight="1" s="311"/>
    <row r="8282" hidden="1" ht="18.75" customFormat="1" customHeight="1" s="311"/>
    <row r="8283" hidden="1" ht="18.75" customFormat="1" customHeight="1" s="311"/>
    <row r="8284" hidden="1" ht="18.75" customFormat="1" customHeight="1" s="311"/>
    <row r="8285" hidden="1" ht="18.75" customFormat="1" customHeight="1" s="311"/>
    <row r="8286" hidden="1" ht="18.75" customFormat="1" customHeight="1" s="311"/>
    <row r="8287" hidden="1" ht="18.75" customFormat="1" customHeight="1" s="311"/>
    <row r="8288" hidden="1" ht="18.75" customFormat="1" customHeight="1" s="311"/>
    <row r="8289" hidden="1" ht="18.75" customFormat="1" customHeight="1" s="311"/>
    <row r="8290" hidden="1" ht="18.75" customFormat="1" customHeight="1" s="311"/>
    <row r="8291" hidden="1" ht="18.75" customFormat="1" customHeight="1" s="311"/>
    <row r="8292" hidden="1" ht="18.75" customFormat="1" customHeight="1" s="311"/>
    <row r="8293" hidden="1" ht="18.75" customFormat="1" customHeight="1" s="311"/>
    <row r="8294" hidden="1" ht="18.75" customFormat="1" customHeight="1" s="311"/>
    <row r="8295" hidden="1" ht="18.75" customFormat="1" customHeight="1" s="311"/>
    <row r="8296" hidden="1" ht="18.75" customFormat="1" customHeight="1" s="311"/>
    <row r="8297" hidden="1" ht="18.75" customFormat="1" customHeight="1" s="311"/>
    <row r="8298" hidden="1" ht="18.75" customFormat="1" customHeight="1" s="311"/>
    <row r="8299" hidden="1" ht="18.75" customFormat="1" customHeight="1" s="311"/>
    <row r="8300" hidden="1" ht="18.75" customFormat="1" customHeight="1" s="311"/>
    <row r="8301" hidden="1" ht="18.75" customFormat="1" customHeight="1" s="311"/>
    <row r="8302" hidden="1" ht="18.75" customFormat="1" customHeight="1" s="311"/>
    <row r="8303" hidden="1" ht="18.75" customFormat="1" customHeight="1" s="311"/>
    <row r="8304" hidden="1" ht="18.75" customFormat="1" customHeight="1" s="311"/>
    <row r="8305" hidden="1" ht="18.75" customFormat="1" customHeight="1" s="311"/>
    <row r="8306" hidden="1" ht="18.75" customFormat="1" customHeight="1" s="311"/>
    <row r="8307" hidden="1" ht="18.75" customFormat="1" customHeight="1" s="311"/>
    <row r="8308" hidden="1" ht="18.75" customFormat="1" customHeight="1" s="311"/>
    <row r="8309" hidden="1" ht="18.75" customFormat="1" customHeight="1" s="311"/>
    <row r="8310" hidden="1" ht="18.75" customFormat="1" customHeight="1" s="311"/>
    <row r="8311" hidden="1" ht="18.75" customFormat="1" customHeight="1" s="311"/>
    <row r="8312" hidden="1" ht="18.75" customFormat="1" customHeight="1" s="311"/>
    <row r="8313" hidden="1" ht="18.75" customFormat="1" customHeight="1" s="311"/>
    <row r="8314" hidden="1" ht="18.75" customFormat="1" customHeight="1" s="311"/>
    <row r="8315" hidden="1" ht="18.75" customFormat="1" customHeight="1" s="311"/>
    <row r="8316" hidden="1" ht="18.75" customFormat="1" customHeight="1" s="311"/>
    <row r="8317" hidden="1" ht="18.75" customFormat="1" customHeight="1" s="311"/>
    <row r="8318" hidden="1" ht="18.75" customFormat="1" customHeight="1" s="311"/>
    <row r="8319" hidden="1" ht="18.75" customFormat="1" customHeight="1" s="311"/>
    <row r="8320" hidden="1" ht="18.75" customFormat="1" customHeight="1" s="311"/>
    <row r="8321" hidden="1" ht="18.75" customFormat="1" customHeight="1" s="311"/>
    <row r="8322" hidden="1" ht="18.75" customFormat="1" customHeight="1" s="311"/>
    <row r="8323" hidden="1" ht="18.75" customFormat="1" customHeight="1" s="311"/>
    <row r="8324" hidden="1" ht="18.75" customFormat="1" customHeight="1" s="311"/>
    <row r="8325" hidden="1" ht="18.75" customFormat="1" customHeight="1" s="311"/>
    <row r="8326" hidden="1" ht="18.75" customFormat="1" customHeight="1" s="311"/>
    <row r="8327" hidden="1" ht="18.75" customFormat="1" customHeight="1" s="311"/>
    <row r="8328" hidden="1" ht="18.75" customFormat="1" customHeight="1" s="311"/>
    <row r="8329" hidden="1" ht="18.75" customFormat="1" customHeight="1" s="311"/>
    <row r="8330" hidden="1" ht="18.75" customFormat="1" customHeight="1" s="311"/>
    <row r="8331" hidden="1" ht="18.75" customFormat="1" customHeight="1" s="311"/>
    <row r="8332" hidden="1" ht="18.75" customFormat="1" customHeight="1" s="311"/>
    <row r="8333" hidden="1" ht="18.75" customFormat="1" customHeight="1" s="311"/>
    <row r="8334" hidden="1" ht="18.75" customFormat="1" customHeight="1" s="311"/>
    <row r="8335" hidden="1" ht="18.75" customFormat="1" customHeight="1" s="311"/>
    <row r="8336" hidden="1" ht="18.75" customFormat="1" customHeight="1" s="311"/>
    <row r="8337" hidden="1" ht="18.75" customFormat="1" customHeight="1" s="311"/>
    <row r="8338" hidden="1" ht="18.75" customFormat="1" customHeight="1" s="311"/>
    <row r="8339" hidden="1" ht="18.75" customFormat="1" customHeight="1" s="311"/>
    <row r="8340" hidden="1" ht="18.75" customFormat="1" customHeight="1" s="311"/>
    <row r="8341" hidden="1" ht="18.75" customFormat="1" customHeight="1" s="311"/>
    <row r="8342" hidden="1" ht="18.75" customFormat="1" customHeight="1" s="311"/>
    <row r="8343" hidden="1" ht="18.75" customFormat="1" customHeight="1" s="311"/>
    <row r="8344" hidden="1" ht="18.75" customFormat="1" customHeight="1" s="311"/>
    <row r="8345" hidden="1" ht="18.75" customFormat="1" customHeight="1" s="311"/>
    <row r="8346" hidden="1" ht="18.75" customFormat="1" customHeight="1" s="311"/>
    <row r="8347" hidden="1" ht="18.75" customFormat="1" customHeight="1" s="311"/>
    <row r="8348" hidden="1" ht="18.75" customFormat="1" customHeight="1" s="311"/>
    <row r="8349" hidden="1" ht="18.75" customFormat="1" customHeight="1" s="311"/>
    <row r="8350" hidden="1" ht="18.75" customFormat="1" customHeight="1" s="311"/>
    <row r="8351" hidden="1" ht="18.75" customFormat="1" customHeight="1" s="311"/>
    <row r="8352" hidden="1" ht="18.75" customFormat="1" customHeight="1" s="311"/>
    <row r="8353" hidden="1" ht="18.75" customFormat="1" customHeight="1" s="311"/>
    <row r="8354" hidden="1" ht="18.75" customFormat="1" customHeight="1" s="311"/>
    <row r="8355" hidden="1" ht="18.75" customFormat="1" customHeight="1" s="311"/>
    <row r="8356" hidden="1" ht="18.75" customFormat="1" customHeight="1" s="311"/>
    <row r="8357" hidden="1" ht="18.75" customFormat="1" customHeight="1" s="311"/>
    <row r="8358" hidden="1" ht="18.75" customFormat="1" customHeight="1" s="311"/>
    <row r="8359" hidden="1" ht="18.75" customFormat="1" customHeight="1" s="311"/>
    <row r="8360" hidden="1" ht="18.75" customFormat="1" customHeight="1" s="311"/>
    <row r="8361" hidden="1" ht="18.75" customFormat="1" customHeight="1" s="311"/>
    <row r="8362" hidden="1" ht="18.75" customFormat="1" customHeight="1" s="311"/>
    <row r="8363" hidden="1" ht="18.75" customFormat="1" customHeight="1" s="311"/>
    <row r="8364" hidden="1" ht="18.75" customFormat="1" customHeight="1" s="311"/>
    <row r="8365" hidden="1" ht="18.75" customFormat="1" customHeight="1" s="311"/>
    <row r="8366" hidden="1" ht="18.75" customFormat="1" customHeight="1" s="311"/>
    <row r="8367" hidden="1" ht="18.75" customFormat="1" customHeight="1" s="311"/>
    <row r="8368" hidden="1" ht="18.75" customFormat="1" customHeight="1" s="311"/>
    <row r="8369" hidden="1" ht="18.75" customFormat="1" customHeight="1" s="311"/>
    <row r="8370" hidden="1" ht="18.75" customFormat="1" customHeight="1" s="311"/>
    <row r="8371" hidden="1" ht="18.75" customFormat="1" customHeight="1" s="311"/>
    <row r="8372" hidden="1" ht="18.75" customFormat="1" customHeight="1" s="311"/>
    <row r="8373" hidden="1" ht="18.75" customFormat="1" customHeight="1" s="311"/>
    <row r="8374" hidden="1" ht="18.75" customFormat="1" customHeight="1" s="311"/>
    <row r="8375" hidden="1" ht="18.75" customFormat="1" customHeight="1" s="311"/>
    <row r="8376" hidden="1" ht="18.75" customFormat="1" customHeight="1" s="311"/>
    <row r="8377" hidden="1" ht="18.75" customFormat="1" customHeight="1" s="311"/>
    <row r="8378" hidden="1" ht="18.75" customFormat="1" customHeight="1" s="311"/>
    <row r="8379" hidden="1" ht="18.75" customFormat="1" customHeight="1" s="311"/>
    <row r="8380" hidden="1" ht="18.75" customFormat="1" customHeight="1" s="311"/>
    <row r="8381" hidden="1" ht="18.75" customFormat="1" customHeight="1" s="311"/>
    <row r="8382" hidden="1" ht="18.75" customFormat="1" customHeight="1" s="311"/>
    <row r="8383" hidden="1" ht="18.75" customFormat="1" customHeight="1" s="311"/>
    <row r="8384" hidden="1" ht="18.75" customFormat="1" customHeight="1" s="311"/>
    <row r="8385" hidden="1" ht="18.75" customFormat="1" customHeight="1" s="311"/>
    <row r="8386" hidden="1" ht="18.75" customFormat="1" customHeight="1" s="311"/>
    <row r="8387" hidden="1" ht="18.75" customFormat="1" customHeight="1" s="311"/>
    <row r="8388" hidden="1" ht="18.75" customFormat="1" customHeight="1" s="311"/>
    <row r="8389" hidden="1" ht="18.75" customFormat="1" customHeight="1" s="311"/>
    <row r="8390" hidden="1" ht="18.75" customFormat="1" customHeight="1" s="311"/>
    <row r="8391" hidden="1" ht="18.75" customFormat="1" customHeight="1" s="311"/>
    <row r="8392" hidden="1" ht="18.75" customFormat="1" customHeight="1" s="311"/>
    <row r="8393" hidden="1" ht="18.75" customFormat="1" customHeight="1" s="311"/>
    <row r="8394" hidden="1" ht="18.75" customFormat="1" customHeight="1" s="311"/>
    <row r="8395" hidden="1" ht="18.75" customFormat="1" customHeight="1" s="311"/>
    <row r="8396" hidden="1" ht="18.75" customFormat="1" customHeight="1" s="311"/>
    <row r="8397" hidden="1" ht="18.75" customFormat="1" customHeight="1" s="311"/>
    <row r="8398" hidden="1" ht="18.75" customFormat="1" customHeight="1" s="311"/>
    <row r="8399" hidden="1" ht="18.75" customFormat="1" customHeight="1" s="311"/>
    <row r="8400" hidden="1" ht="18.75" customFormat="1" customHeight="1" s="311"/>
    <row r="8401" hidden="1" ht="18.75" customFormat="1" customHeight="1" s="311"/>
    <row r="8402" hidden="1" ht="18.75" customFormat="1" customHeight="1" s="311"/>
    <row r="8403" hidden="1" ht="18.75" customFormat="1" customHeight="1" s="311"/>
    <row r="8404" hidden="1" ht="18.75" customFormat="1" customHeight="1" s="311"/>
    <row r="8405" hidden="1" ht="18.75" customFormat="1" customHeight="1" s="311"/>
    <row r="8406" hidden="1" ht="18.75" customFormat="1" customHeight="1" s="311"/>
    <row r="8407" hidden="1" ht="18.75" customFormat="1" customHeight="1" s="311"/>
    <row r="8408" hidden="1" ht="18.75" customFormat="1" customHeight="1" s="311"/>
    <row r="8409" hidden="1" ht="18.75" customFormat="1" customHeight="1" s="311"/>
    <row r="8410" hidden="1" ht="18.75" customFormat="1" customHeight="1" s="311"/>
    <row r="8411" hidden="1" ht="18.75" customFormat="1" customHeight="1" s="311"/>
    <row r="8412" hidden="1" ht="18.75" customFormat="1" customHeight="1" s="311"/>
    <row r="8413" hidden="1" ht="18.75" customFormat="1" customHeight="1" s="311"/>
    <row r="8414" hidden="1" ht="18.75" customFormat="1" customHeight="1" s="311"/>
    <row r="8415" hidden="1" ht="18.75" customFormat="1" customHeight="1" s="311"/>
    <row r="8416" hidden="1" ht="18.75" customFormat="1" customHeight="1" s="311"/>
    <row r="8417" hidden="1" ht="18.75" customFormat="1" customHeight="1" s="311"/>
    <row r="8418" hidden="1" ht="18.75" customFormat="1" customHeight="1" s="311"/>
    <row r="8419" hidden="1" ht="18.75" customFormat="1" customHeight="1" s="311"/>
    <row r="8420" hidden="1" ht="18.75" customFormat="1" customHeight="1" s="311"/>
    <row r="8421" hidden="1" ht="18.75" customFormat="1" customHeight="1" s="311"/>
    <row r="8422" hidden="1" ht="18.75" customFormat="1" customHeight="1" s="311"/>
    <row r="8423" hidden="1" ht="18.75" customFormat="1" customHeight="1" s="311"/>
    <row r="8424" hidden="1" ht="18.75" customFormat="1" customHeight="1" s="311"/>
    <row r="8425" hidden="1" ht="18.75" customFormat="1" customHeight="1" s="311"/>
    <row r="8426" hidden="1" ht="18.75" customFormat="1" customHeight="1" s="311"/>
    <row r="8427" hidden="1" ht="18.75" customFormat="1" customHeight="1" s="311"/>
    <row r="8428" hidden="1" ht="18.75" customFormat="1" customHeight="1" s="311"/>
    <row r="8429" hidden="1" ht="18.75" customFormat="1" customHeight="1" s="311"/>
    <row r="8430" hidden="1" ht="18.75" customFormat="1" customHeight="1" s="311"/>
    <row r="8431" hidden="1" ht="18.75" customFormat="1" customHeight="1" s="311"/>
    <row r="8432" hidden="1" ht="18.75" customFormat="1" customHeight="1" s="311"/>
    <row r="8433" hidden="1" ht="18.75" customFormat="1" customHeight="1" s="311"/>
    <row r="8434" hidden="1" ht="18.75" customFormat="1" customHeight="1" s="311"/>
    <row r="8435" hidden="1" ht="18.75" customFormat="1" customHeight="1" s="311"/>
    <row r="8436" hidden="1" ht="18.75" customFormat="1" customHeight="1" s="311"/>
    <row r="8437" hidden="1" ht="18.75" customFormat="1" customHeight="1" s="311"/>
    <row r="8438" hidden="1" ht="18.75" customFormat="1" customHeight="1" s="311"/>
    <row r="8439" hidden="1" ht="18.75" customFormat="1" customHeight="1" s="311"/>
    <row r="8440" hidden="1" ht="18.75" customFormat="1" customHeight="1" s="311"/>
    <row r="8441" hidden="1" ht="18.75" customFormat="1" customHeight="1" s="311"/>
    <row r="8442" hidden="1" ht="18.75" customFormat="1" customHeight="1" s="311"/>
    <row r="8443" hidden="1" ht="18.75" customFormat="1" customHeight="1" s="311"/>
    <row r="8444" hidden="1" ht="18.75" customFormat="1" customHeight="1" s="311"/>
    <row r="8445" hidden="1" ht="18.75" customFormat="1" customHeight="1" s="311"/>
    <row r="8446" hidden="1" ht="18.75" customFormat="1" customHeight="1" s="311"/>
    <row r="8447" hidden="1" ht="18.75" customFormat="1" customHeight="1" s="311"/>
    <row r="8448" hidden="1" ht="18.75" customFormat="1" customHeight="1" s="311"/>
    <row r="8449" hidden="1" ht="18.75" customFormat="1" customHeight="1" s="311"/>
    <row r="8450" hidden="1" ht="18.75" customFormat="1" customHeight="1" s="311"/>
    <row r="8451" hidden="1" ht="18.75" customFormat="1" customHeight="1" s="311"/>
    <row r="8452" hidden="1" ht="18.75" customFormat="1" customHeight="1" s="311"/>
    <row r="8453" hidden="1" ht="18.75" customFormat="1" customHeight="1" s="311"/>
    <row r="8454" hidden="1" ht="18.75" customFormat="1" customHeight="1" s="311"/>
    <row r="8455" hidden="1" ht="18.75" customFormat="1" customHeight="1" s="311"/>
    <row r="8456" hidden="1" ht="18.75" customFormat="1" customHeight="1" s="311"/>
    <row r="8457" hidden="1" ht="18.75" customFormat="1" customHeight="1" s="311"/>
    <row r="8458" hidden="1" ht="18.75" customFormat="1" customHeight="1" s="311"/>
    <row r="8459" hidden="1" ht="18.75" customFormat="1" customHeight="1" s="311"/>
    <row r="8460" hidden="1" ht="18.75" customFormat="1" customHeight="1" s="311"/>
    <row r="8461" hidden="1" ht="18.75" customFormat="1" customHeight="1" s="311"/>
    <row r="8462" hidden="1" ht="18.75" customFormat="1" customHeight="1" s="311"/>
    <row r="8463" hidden="1" ht="18.75" customFormat="1" customHeight="1" s="311"/>
    <row r="8464" hidden="1" ht="18.75" customFormat="1" customHeight="1" s="311"/>
    <row r="8465" hidden="1" ht="18.75" customFormat="1" customHeight="1" s="311"/>
    <row r="8466" hidden="1" ht="18.75" customFormat="1" customHeight="1" s="311"/>
    <row r="8467" hidden="1" ht="18.75" customFormat="1" customHeight="1" s="311"/>
    <row r="8468" hidden="1" ht="18.75" customFormat="1" customHeight="1" s="311"/>
    <row r="8469" hidden="1" ht="18.75" customFormat="1" customHeight="1" s="311"/>
    <row r="8470" hidden="1" ht="18.75" customFormat="1" customHeight="1" s="311"/>
    <row r="8471" hidden="1" ht="18.75" customFormat="1" customHeight="1" s="311"/>
    <row r="8472" hidden="1" ht="18.75" customFormat="1" customHeight="1" s="311"/>
    <row r="8473" hidden="1" ht="18.75" customFormat="1" customHeight="1" s="311"/>
    <row r="8474" hidden="1" ht="18.75" customFormat="1" customHeight="1" s="311"/>
    <row r="8475" hidden="1" ht="18.75" customFormat="1" customHeight="1" s="311"/>
    <row r="8476" hidden="1" ht="18.75" customFormat="1" customHeight="1" s="311"/>
    <row r="8477" hidden="1" ht="18.75" customFormat="1" customHeight="1" s="311"/>
    <row r="8478" hidden="1" ht="18.75" customFormat="1" customHeight="1" s="311"/>
    <row r="8479" hidden="1" ht="18.75" customFormat="1" customHeight="1" s="311"/>
    <row r="8480" hidden="1" ht="18.75" customFormat="1" customHeight="1" s="311"/>
    <row r="8481" hidden="1" ht="18.75" customFormat="1" customHeight="1" s="311"/>
    <row r="8482" hidden="1" ht="18.75" customFormat="1" customHeight="1" s="311"/>
    <row r="8483" hidden="1" ht="18.75" customFormat="1" customHeight="1" s="311"/>
    <row r="8484" hidden="1" ht="18.75" customFormat="1" customHeight="1" s="311"/>
    <row r="8485" hidden="1" ht="18.75" customFormat="1" customHeight="1" s="311"/>
    <row r="8486" hidden="1" ht="18.75" customFormat="1" customHeight="1" s="311"/>
    <row r="8487" hidden="1" ht="18.75" customFormat="1" customHeight="1" s="311"/>
    <row r="8488" hidden="1" ht="18.75" customFormat="1" customHeight="1" s="311"/>
    <row r="8489" hidden="1" ht="18.75" customFormat="1" customHeight="1" s="311"/>
    <row r="8490" hidden="1" ht="18.75" customFormat="1" customHeight="1" s="311"/>
    <row r="8491" hidden="1" ht="18.75" customFormat="1" customHeight="1" s="311"/>
    <row r="8492" hidden="1" ht="18.75" customFormat="1" customHeight="1" s="311"/>
    <row r="8493" hidden="1" ht="18.75" customFormat="1" customHeight="1" s="311"/>
    <row r="8494" hidden="1" ht="18.75" customFormat="1" customHeight="1" s="311"/>
    <row r="8495" hidden="1" ht="18.75" customFormat="1" customHeight="1" s="311"/>
    <row r="8496" hidden="1" ht="18.75" customFormat="1" customHeight="1" s="311"/>
    <row r="8497" hidden="1" ht="18.75" customFormat="1" customHeight="1" s="311"/>
    <row r="8498" hidden="1" ht="18.75" customFormat="1" customHeight="1" s="311"/>
    <row r="8499" hidden="1" ht="18.75" customFormat="1" customHeight="1" s="311"/>
    <row r="8500" hidden="1" ht="18.75" customFormat="1" customHeight="1" s="311"/>
    <row r="8501" hidden="1" ht="18.75" customFormat="1" customHeight="1" s="311"/>
    <row r="8502" hidden="1" ht="18.75" customFormat="1" customHeight="1" s="311"/>
    <row r="8503" hidden="1" ht="18.75" customFormat="1" customHeight="1" s="311"/>
    <row r="8504" hidden="1" ht="18.75" customFormat="1" customHeight="1" s="311"/>
    <row r="8505" hidden="1" ht="18.75" customFormat="1" customHeight="1" s="311"/>
    <row r="8506" hidden="1" ht="18.75" customFormat="1" customHeight="1" s="311"/>
    <row r="8507" hidden="1" ht="18.75" customFormat="1" customHeight="1" s="311"/>
    <row r="8508" hidden="1" ht="18.75" customFormat="1" customHeight="1" s="311"/>
    <row r="8509" hidden="1" ht="18.75" customFormat="1" customHeight="1" s="311"/>
    <row r="8510" hidden="1" ht="18.75" customFormat="1" customHeight="1" s="311"/>
    <row r="8511" hidden="1" ht="18.75" customFormat="1" customHeight="1" s="311"/>
    <row r="8512" hidden="1" ht="18.75" customFormat="1" customHeight="1" s="311"/>
    <row r="8513" hidden="1" ht="18.75" customFormat="1" customHeight="1" s="311"/>
    <row r="8514" hidden="1" ht="18.75" customFormat="1" customHeight="1" s="311"/>
    <row r="8515" hidden="1" ht="18.75" customFormat="1" customHeight="1" s="311"/>
    <row r="8516" hidden="1" ht="18.75" customFormat="1" customHeight="1" s="311"/>
    <row r="8517" hidden="1" ht="18.75" customFormat="1" customHeight="1" s="311"/>
    <row r="8518" hidden="1" ht="18.75" customFormat="1" customHeight="1" s="311"/>
    <row r="8519" hidden="1" ht="18.75" customFormat="1" customHeight="1" s="311"/>
    <row r="8520" hidden="1" ht="18.75" customFormat="1" customHeight="1" s="311"/>
    <row r="8521" hidden="1" ht="18.75" customFormat="1" customHeight="1" s="311"/>
    <row r="8522" hidden="1" ht="18.75" customFormat="1" customHeight="1" s="311"/>
    <row r="8523" hidden="1" ht="18.75" customFormat="1" customHeight="1" s="311"/>
    <row r="8524" hidden="1" ht="18.75" customFormat="1" customHeight="1" s="311"/>
    <row r="8525" hidden="1" ht="18.75" customFormat="1" customHeight="1" s="311"/>
    <row r="8526" hidden="1" ht="18.75" customFormat="1" customHeight="1" s="311"/>
    <row r="8527" hidden="1" ht="18.75" customFormat="1" customHeight="1" s="311"/>
    <row r="8528" hidden="1" ht="18.75" customFormat="1" customHeight="1" s="311"/>
    <row r="8529" hidden="1" ht="18.75" customFormat="1" customHeight="1" s="311"/>
    <row r="8530" hidden="1" ht="18.75" customFormat="1" customHeight="1" s="311"/>
    <row r="8531" hidden="1" ht="18.75" customFormat="1" customHeight="1" s="311"/>
    <row r="8532" hidden="1" ht="18.75" customFormat="1" customHeight="1" s="311"/>
    <row r="8533" hidden="1" ht="18.75" customFormat="1" customHeight="1" s="311"/>
    <row r="8534" hidden="1" ht="18.75" customFormat="1" customHeight="1" s="311"/>
    <row r="8535" hidden="1" ht="18.75" customFormat="1" customHeight="1" s="311"/>
    <row r="8536" hidden="1" ht="18.75" customFormat="1" customHeight="1" s="311"/>
    <row r="8537" hidden="1" ht="18.75" customFormat="1" customHeight="1" s="311"/>
    <row r="8538" hidden="1" ht="18.75" customFormat="1" customHeight="1" s="311"/>
    <row r="8539" hidden="1" ht="18.75" customFormat="1" customHeight="1" s="311"/>
    <row r="8540" hidden="1" ht="18.75" customFormat="1" customHeight="1" s="311"/>
    <row r="8541" hidden="1" ht="18.75" customFormat="1" customHeight="1" s="311"/>
    <row r="8542" hidden="1" ht="18.75" customFormat="1" customHeight="1" s="311"/>
    <row r="8543" hidden="1" ht="18.75" customFormat="1" customHeight="1" s="311"/>
    <row r="8544" hidden="1" ht="18.75" customFormat="1" customHeight="1" s="311"/>
    <row r="8545" hidden="1" ht="18.75" customFormat="1" customHeight="1" s="311"/>
    <row r="8546" hidden="1" ht="18.75" customFormat="1" customHeight="1" s="311"/>
    <row r="8547" hidden="1" ht="18.75" customFormat="1" customHeight="1" s="311"/>
    <row r="8548" hidden="1" ht="18.75" customFormat="1" customHeight="1" s="311"/>
    <row r="8549" hidden="1" ht="18.75" customFormat="1" customHeight="1" s="311"/>
    <row r="8550" hidden="1" ht="18.75" customFormat="1" customHeight="1" s="311"/>
    <row r="8551" hidden="1" ht="18.75" customFormat="1" customHeight="1" s="311"/>
    <row r="8552" hidden="1" ht="18.75" customFormat="1" customHeight="1" s="311"/>
    <row r="8553" hidden="1" ht="18.75" customFormat="1" customHeight="1" s="311"/>
    <row r="8554" hidden="1" ht="18.75" customFormat="1" customHeight="1" s="311"/>
    <row r="8555" hidden="1" ht="18.75" customFormat="1" customHeight="1" s="311"/>
    <row r="8556" hidden="1" ht="18.75" customFormat="1" customHeight="1" s="311"/>
    <row r="8557" hidden="1" ht="18.75" customFormat="1" customHeight="1" s="311"/>
    <row r="8558" hidden="1" ht="18.75" customFormat="1" customHeight="1" s="311"/>
    <row r="8559" hidden="1" ht="18.75" customFormat="1" customHeight="1" s="311"/>
    <row r="8560" hidden="1" ht="18.75" customFormat="1" customHeight="1" s="311"/>
    <row r="8561" hidden="1" ht="18.75" customFormat="1" customHeight="1" s="311"/>
    <row r="8562" hidden="1" ht="18.75" customFormat="1" customHeight="1" s="311"/>
    <row r="8563" hidden="1" ht="18.75" customFormat="1" customHeight="1" s="311"/>
    <row r="8564" hidden="1" ht="18.75" customFormat="1" customHeight="1" s="311"/>
    <row r="8565" hidden="1" ht="18.75" customFormat="1" customHeight="1" s="311"/>
    <row r="8566" hidden="1" ht="18.75" customFormat="1" customHeight="1" s="311"/>
    <row r="8567" hidden="1" ht="18.75" customFormat="1" customHeight="1" s="311"/>
    <row r="8568" hidden="1" ht="18.75" customFormat="1" customHeight="1" s="311"/>
    <row r="8569" hidden="1" ht="18.75" customFormat="1" customHeight="1" s="311"/>
    <row r="8570" hidden="1" ht="18.75" customFormat="1" customHeight="1" s="311"/>
    <row r="8571" hidden="1" ht="18.75" customFormat="1" customHeight="1" s="311"/>
    <row r="8572" hidden="1" ht="18.75" customFormat="1" customHeight="1" s="311"/>
    <row r="8573" hidden="1" ht="18.75" customFormat="1" customHeight="1" s="311"/>
    <row r="8574" hidden="1" ht="18.75" customFormat="1" customHeight="1" s="311"/>
    <row r="8575" hidden="1" ht="18.75" customFormat="1" customHeight="1" s="311"/>
    <row r="8576" hidden="1" ht="18.75" customFormat="1" customHeight="1" s="311"/>
    <row r="8577" hidden="1" ht="18.75" customFormat="1" customHeight="1" s="311"/>
    <row r="8578" hidden="1" ht="18.75" customFormat="1" customHeight="1" s="311"/>
    <row r="8579" hidden="1" ht="18.75" customFormat="1" customHeight="1" s="311"/>
    <row r="8580" hidden="1" ht="18.75" customFormat="1" customHeight="1" s="311"/>
    <row r="8581" hidden="1" ht="18.75" customFormat="1" customHeight="1" s="311"/>
    <row r="8582" hidden="1" ht="18.75" customFormat="1" customHeight="1" s="311"/>
    <row r="8583" hidden="1" ht="18.75" customFormat="1" customHeight="1" s="311"/>
    <row r="8584" hidden="1" ht="18.75" customFormat="1" customHeight="1" s="311"/>
    <row r="8585" hidden="1" ht="18.75" customFormat="1" customHeight="1" s="311"/>
    <row r="8586" hidden="1" ht="18.75" customFormat="1" customHeight="1" s="311"/>
    <row r="8587" hidden="1" ht="18.75" customFormat="1" customHeight="1" s="311"/>
    <row r="8588" hidden="1" ht="18.75" customFormat="1" customHeight="1" s="311"/>
    <row r="8589" hidden="1" ht="18.75" customFormat="1" customHeight="1" s="311"/>
    <row r="8590" hidden="1" ht="18.75" customFormat="1" customHeight="1" s="311"/>
    <row r="8591" hidden="1" ht="18.75" customFormat="1" customHeight="1" s="311"/>
    <row r="8592" hidden="1" ht="18.75" customFormat="1" customHeight="1" s="311"/>
    <row r="8593" hidden="1" ht="18.75" customFormat="1" customHeight="1" s="311"/>
    <row r="8594" hidden="1" ht="18.75" customFormat="1" customHeight="1" s="311"/>
    <row r="8595" hidden="1" ht="18.75" customFormat="1" customHeight="1" s="311"/>
    <row r="8596" hidden="1" ht="18.75" customFormat="1" customHeight="1" s="311"/>
    <row r="8597" hidden="1" ht="18.75" customFormat="1" customHeight="1" s="311"/>
    <row r="8598" hidden="1" ht="18.75" customFormat="1" customHeight="1" s="311"/>
    <row r="8599" hidden="1" ht="18.75" customFormat="1" customHeight="1" s="311"/>
    <row r="8600" hidden="1" ht="18.75" customFormat="1" customHeight="1" s="311"/>
    <row r="8601" hidden="1" ht="18.75" customFormat="1" customHeight="1" s="311"/>
    <row r="8602" hidden="1" ht="18.75" customFormat="1" customHeight="1" s="311"/>
    <row r="8603" hidden="1" ht="18.75" customFormat="1" customHeight="1" s="311"/>
    <row r="8604" hidden="1" ht="18.75" customFormat="1" customHeight="1" s="311"/>
    <row r="8605" hidden="1" ht="18.75" customFormat="1" customHeight="1" s="311"/>
    <row r="8606" hidden="1" ht="18.75" customFormat="1" customHeight="1" s="311"/>
    <row r="8607" hidden="1" ht="18.75" customFormat="1" customHeight="1" s="311"/>
    <row r="8608" hidden="1" ht="18.75" customFormat="1" customHeight="1" s="311"/>
    <row r="8609" hidden="1" ht="18.75" customFormat="1" customHeight="1" s="311"/>
    <row r="8610" hidden="1" ht="18.75" customFormat="1" customHeight="1" s="311"/>
    <row r="8611" hidden="1" ht="18.75" customFormat="1" customHeight="1" s="311"/>
    <row r="8612" hidden="1" ht="18.75" customFormat="1" customHeight="1" s="311"/>
    <row r="8613" hidden="1" ht="18.75" customFormat="1" customHeight="1" s="311"/>
    <row r="8614" hidden="1" ht="18.75" customFormat="1" customHeight="1" s="311"/>
    <row r="8615" hidden="1" ht="18.75" customFormat="1" customHeight="1" s="311"/>
    <row r="8616" hidden="1" ht="18.75" customFormat="1" customHeight="1" s="311"/>
    <row r="8617" hidden="1" ht="18.75" customFormat="1" customHeight="1" s="311"/>
    <row r="8618" hidden="1" ht="18.75" customFormat="1" customHeight="1" s="311"/>
    <row r="8619" hidden="1" ht="18.75" customFormat="1" customHeight="1" s="311"/>
    <row r="8620" hidden="1" ht="18.75" customFormat="1" customHeight="1" s="311"/>
    <row r="8621" hidden="1" ht="18.75" customFormat="1" customHeight="1" s="311"/>
    <row r="8622" hidden="1" ht="18.75" customFormat="1" customHeight="1" s="311"/>
    <row r="8623" hidden="1" ht="18.75" customFormat="1" customHeight="1" s="311"/>
    <row r="8624" hidden="1" ht="18.75" customFormat="1" customHeight="1" s="311"/>
    <row r="8625" hidden="1" ht="18.75" customFormat="1" customHeight="1" s="311"/>
    <row r="8626" hidden="1" ht="18.75" customFormat="1" customHeight="1" s="311"/>
    <row r="8627" hidden="1" ht="18.75" customFormat="1" customHeight="1" s="311"/>
    <row r="8628" hidden="1" ht="18.75" customFormat="1" customHeight="1" s="311"/>
    <row r="8629" hidden="1" ht="18.75" customFormat="1" customHeight="1" s="311"/>
    <row r="8630" hidden="1" ht="18.75" customFormat="1" customHeight="1" s="311"/>
    <row r="8631" hidden="1" ht="18.75" customFormat="1" customHeight="1" s="311"/>
    <row r="8632" hidden="1" ht="18.75" customFormat="1" customHeight="1" s="311"/>
    <row r="8633" hidden="1" ht="18.75" customFormat="1" customHeight="1" s="311"/>
    <row r="8634" hidden="1" ht="18.75" customFormat="1" customHeight="1" s="311"/>
    <row r="8635" hidden="1" ht="18.75" customFormat="1" customHeight="1" s="311"/>
    <row r="8636" hidden="1" ht="18.75" customFormat="1" customHeight="1" s="311"/>
    <row r="8637" hidden="1" ht="18.75" customFormat="1" customHeight="1" s="311"/>
    <row r="8638" hidden="1" ht="18.75" customFormat="1" customHeight="1" s="311"/>
    <row r="8639" hidden="1" ht="18.75" customFormat="1" customHeight="1" s="311"/>
    <row r="8640" hidden="1" ht="18.75" customFormat="1" customHeight="1" s="311"/>
    <row r="8641" hidden="1" ht="18.75" customFormat="1" customHeight="1" s="311"/>
    <row r="8642" hidden="1" ht="18.75" customFormat="1" customHeight="1" s="311"/>
    <row r="8643" hidden="1" ht="18.75" customFormat="1" customHeight="1" s="311"/>
    <row r="8644" hidden="1" ht="18.75" customFormat="1" customHeight="1" s="311"/>
    <row r="8645" hidden="1" ht="18.75" customFormat="1" customHeight="1" s="311"/>
    <row r="8646" hidden="1" ht="18.75" customFormat="1" customHeight="1" s="311"/>
    <row r="8647" hidden="1" ht="18.75" customFormat="1" customHeight="1" s="311"/>
    <row r="8648" hidden="1" ht="18.75" customFormat="1" customHeight="1" s="311"/>
    <row r="8649" hidden="1" ht="18.75" customFormat="1" customHeight="1" s="311"/>
    <row r="8650" hidden="1" ht="18.75" customFormat="1" customHeight="1" s="311"/>
    <row r="8651" hidden="1" ht="18.75" customFormat="1" customHeight="1" s="311"/>
    <row r="8652" hidden="1" ht="18.75" customFormat="1" customHeight="1" s="311"/>
    <row r="8653" hidden="1" ht="18.75" customFormat="1" customHeight="1" s="311"/>
    <row r="8654" hidden="1" ht="18.75" customFormat="1" customHeight="1" s="311"/>
    <row r="8655" hidden="1" ht="18.75" customFormat="1" customHeight="1" s="311"/>
    <row r="8656" hidden="1" ht="18.75" customFormat="1" customHeight="1" s="311"/>
    <row r="8657" hidden="1" ht="18.75" customFormat="1" customHeight="1" s="311"/>
    <row r="8658" hidden="1" ht="18.75" customFormat="1" customHeight="1" s="311"/>
    <row r="8659" hidden="1" ht="18.75" customFormat="1" customHeight="1" s="311"/>
    <row r="8660" hidden="1" ht="18.75" customFormat="1" customHeight="1" s="311"/>
    <row r="8661" hidden="1" ht="18.75" customFormat="1" customHeight="1" s="311"/>
    <row r="8662" hidden="1" ht="18.75" customFormat="1" customHeight="1" s="311"/>
    <row r="8663" hidden="1" ht="18.75" customFormat="1" customHeight="1" s="311"/>
    <row r="8664" hidden="1" ht="18.75" customFormat="1" customHeight="1" s="311"/>
    <row r="8665" hidden="1" ht="18.75" customFormat="1" customHeight="1" s="311"/>
    <row r="8666" hidden="1" ht="18.75" customFormat="1" customHeight="1" s="311"/>
    <row r="8667" hidden="1" ht="18.75" customFormat="1" customHeight="1" s="311"/>
    <row r="8668" hidden="1" ht="18.75" customFormat="1" customHeight="1" s="311"/>
    <row r="8669" hidden="1" ht="18.75" customFormat="1" customHeight="1" s="311"/>
    <row r="8670" hidden="1" ht="18.75" customFormat="1" customHeight="1" s="311"/>
    <row r="8671" hidden="1" ht="18.75" customFormat="1" customHeight="1" s="311"/>
    <row r="8672" hidden="1" ht="18.75" customFormat="1" customHeight="1" s="311"/>
    <row r="8673" hidden="1" ht="18.75" customFormat="1" customHeight="1" s="311"/>
    <row r="8674" hidden="1" ht="18.75" customFormat="1" customHeight="1" s="311"/>
    <row r="8675" hidden="1" ht="18.75" customFormat="1" customHeight="1" s="311"/>
    <row r="8676" hidden="1" ht="18.75" customFormat="1" customHeight="1" s="311"/>
    <row r="8677" hidden="1" ht="18.75" customFormat="1" customHeight="1" s="311"/>
    <row r="8678" hidden="1" ht="18.75" customFormat="1" customHeight="1" s="311"/>
    <row r="8679" hidden="1" ht="18.75" customFormat="1" customHeight="1" s="311"/>
    <row r="8680" hidden="1" ht="18.75" customFormat="1" customHeight="1" s="311"/>
    <row r="8681" hidden="1" ht="18.75" customFormat="1" customHeight="1" s="311"/>
    <row r="8682" hidden="1" ht="18.75" customFormat="1" customHeight="1" s="311"/>
    <row r="8683" hidden="1" ht="18.75" customFormat="1" customHeight="1" s="311"/>
    <row r="8684" hidden="1" ht="18.75" customFormat="1" customHeight="1" s="311"/>
    <row r="8685" hidden="1" ht="18.75" customFormat="1" customHeight="1" s="311"/>
    <row r="8686" hidden="1" ht="18.75" customFormat="1" customHeight="1" s="311"/>
    <row r="8687" hidden="1" ht="18.75" customFormat="1" customHeight="1" s="311"/>
    <row r="8688" hidden="1" ht="18.75" customFormat="1" customHeight="1" s="311"/>
    <row r="8689" hidden="1" ht="18.75" customFormat="1" customHeight="1" s="311"/>
    <row r="8690" hidden="1" ht="18.75" customFormat="1" customHeight="1" s="311"/>
    <row r="8691" hidden="1" ht="18.75" customFormat="1" customHeight="1" s="311"/>
    <row r="8692" hidden="1" ht="18.75" customFormat="1" customHeight="1" s="311"/>
    <row r="8693" hidden="1" ht="18.75" customFormat="1" customHeight="1" s="311"/>
    <row r="8694" hidden="1" ht="18.75" customFormat="1" customHeight="1" s="311"/>
    <row r="8695" hidden="1" ht="18.75" customFormat="1" customHeight="1" s="311"/>
    <row r="8696" hidden="1" ht="18.75" customFormat="1" customHeight="1" s="311"/>
    <row r="8697" hidden="1" ht="18.75" customFormat="1" customHeight="1" s="311"/>
    <row r="8698" hidden="1" ht="18.75" customFormat="1" customHeight="1" s="311"/>
    <row r="8699" hidden="1" ht="18.75" customFormat="1" customHeight="1" s="311"/>
    <row r="8700" hidden="1" ht="18.75" customFormat="1" customHeight="1" s="311"/>
    <row r="8701" hidden="1" ht="18.75" customFormat="1" customHeight="1" s="311"/>
    <row r="8702" hidden="1" ht="18.75" customFormat="1" customHeight="1" s="311"/>
    <row r="8703" hidden="1" ht="18.75" customFormat="1" customHeight="1" s="311"/>
    <row r="8704" hidden="1" ht="18.75" customFormat="1" customHeight="1" s="311"/>
    <row r="8705" hidden="1" ht="18.75" customFormat="1" customHeight="1" s="311"/>
    <row r="8706" hidden="1" ht="18.75" customFormat="1" customHeight="1" s="311"/>
    <row r="8707" hidden="1" ht="18.75" customFormat="1" customHeight="1" s="311"/>
    <row r="8708" hidden="1" ht="18.75" customFormat="1" customHeight="1" s="311"/>
    <row r="8709" hidden="1" ht="18.75" customFormat="1" customHeight="1" s="311"/>
    <row r="8710" hidden="1" ht="18.75" customFormat="1" customHeight="1" s="311"/>
    <row r="8711" hidden="1" ht="18.75" customFormat="1" customHeight="1" s="311"/>
    <row r="8712" hidden="1" ht="18.75" customFormat="1" customHeight="1" s="311"/>
    <row r="8713" hidden="1" ht="18.75" customFormat="1" customHeight="1" s="311"/>
    <row r="8714" hidden="1" ht="18.75" customFormat="1" customHeight="1" s="311"/>
    <row r="8715" hidden="1" ht="18.75" customFormat="1" customHeight="1" s="311"/>
    <row r="8716" hidden="1" ht="18.75" customFormat="1" customHeight="1" s="311"/>
    <row r="8717" hidden="1" ht="18.75" customFormat="1" customHeight="1" s="311"/>
    <row r="8718" hidden="1" ht="18.75" customFormat="1" customHeight="1" s="311"/>
    <row r="8719" hidden="1" ht="18.75" customFormat="1" customHeight="1" s="311"/>
    <row r="8720" hidden="1" ht="18.75" customFormat="1" customHeight="1" s="311"/>
    <row r="8721" hidden="1" ht="18.75" customFormat="1" customHeight="1" s="311"/>
    <row r="8722" hidden="1" ht="18.75" customFormat="1" customHeight="1" s="311"/>
    <row r="8723" hidden="1" ht="18.75" customFormat="1" customHeight="1" s="311"/>
    <row r="8724" hidden="1" ht="18.75" customFormat="1" customHeight="1" s="311"/>
    <row r="8725" hidden="1" ht="18.75" customFormat="1" customHeight="1" s="311"/>
    <row r="8726" hidden="1" ht="18.75" customFormat="1" customHeight="1" s="311"/>
    <row r="8727" hidden="1" ht="18.75" customFormat="1" customHeight="1" s="311"/>
    <row r="8728" hidden="1" ht="18.75" customFormat="1" customHeight="1" s="311"/>
    <row r="8729" hidden="1" ht="18.75" customFormat="1" customHeight="1" s="311"/>
    <row r="8730" hidden="1" ht="18.75" customFormat="1" customHeight="1" s="311"/>
    <row r="8731" hidden="1" ht="18.75" customFormat="1" customHeight="1" s="311"/>
    <row r="8732" hidden="1" ht="18.75" customFormat="1" customHeight="1" s="311"/>
    <row r="8733" hidden="1" ht="18.75" customFormat="1" customHeight="1" s="311"/>
    <row r="8734" hidden="1" ht="18.75" customFormat="1" customHeight="1" s="311"/>
    <row r="8735" hidden="1" ht="18.75" customFormat="1" customHeight="1" s="311"/>
    <row r="8736" hidden="1" ht="18.75" customFormat="1" customHeight="1" s="311"/>
    <row r="8737" hidden="1" ht="18.75" customFormat="1" customHeight="1" s="311"/>
    <row r="8738" hidden="1" ht="18.75" customFormat="1" customHeight="1" s="311"/>
    <row r="8739" hidden="1" ht="18.75" customFormat="1" customHeight="1" s="311"/>
    <row r="8740" hidden="1" ht="18.75" customFormat="1" customHeight="1" s="311"/>
    <row r="8741" hidden="1" ht="18.75" customFormat="1" customHeight="1" s="311"/>
    <row r="8742" hidden="1" ht="18.75" customFormat="1" customHeight="1" s="311"/>
    <row r="8743" hidden="1" ht="18.75" customFormat="1" customHeight="1" s="311"/>
    <row r="8744" hidden="1" ht="18.75" customFormat="1" customHeight="1" s="311"/>
    <row r="8745" hidden="1" ht="18.75" customFormat="1" customHeight="1" s="311"/>
    <row r="8746" hidden="1" ht="18.75" customFormat="1" customHeight="1" s="311"/>
    <row r="8747" hidden="1" ht="18.75" customFormat="1" customHeight="1" s="311"/>
    <row r="8748" hidden="1" ht="18.75" customFormat="1" customHeight="1" s="311"/>
    <row r="8749" hidden="1" ht="18.75" customFormat="1" customHeight="1" s="311"/>
    <row r="8750" hidden="1" ht="18.75" customFormat="1" customHeight="1" s="311"/>
    <row r="8751" hidden="1" ht="18.75" customFormat="1" customHeight="1" s="311"/>
    <row r="8752" hidden="1" ht="18.75" customFormat="1" customHeight="1" s="311"/>
    <row r="8753" hidden="1" ht="18.75" customFormat="1" customHeight="1" s="311"/>
    <row r="8754" hidden="1" ht="18.75" customFormat="1" customHeight="1" s="311"/>
    <row r="8755" hidden="1" ht="18.75" customFormat="1" customHeight="1" s="311"/>
    <row r="8756" hidden="1" ht="18.75" customFormat="1" customHeight="1" s="311"/>
    <row r="8757" hidden="1" ht="18.75" customFormat="1" customHeight="1" s="311"/>
    <row r="8758" hidden="1" ht="18.75" customFormat="1" customHeight="1" s="311"/>
    <row r="8759" hidden="1" ht="18.75" customFormat="1" customHeight="1" s="311"/>
    <row r="8760" hidden="1" ht="18.75" customFormat="1" customHeight="1" s="311"/>
    <row r="8761" hidden="1" ht="18.75" customFormat="1" customHeight="1" s="311"/>
    <row r="8762" hidden="1" ht="18.75" customFormat="1" customHeight="1" s="311"/>
    <row r="8763" hidden="1" ht="18.75" customFormat="1" customHeight="1" s="311"/>
    <row r="8764" hidden="1" ht="18.75" customFormat="1" customHeight="1" s="311"/>
    <row r="8765" hidden="1" ht="18.75" customFormat="1" customHeight="1" s="311"/>
    <row r="8766" hidden="1" ht="18.75" customFormat="1" customHeight="1" s="311"/>
    <row r="8767" hidden="1" ht="18.75" customFormat="1" customHeight="1" s="311"/>
    <row r="8768" hidden="1" ht="18.75" customFormat="1" customHeight="1" s="311"/>
    <row r="8769" hidden="1" ht="18.75" customFormat="1" customHeight="1" s="311"/>
    <row r="8770" hidden="1" ht="18.75" customFormat="1" customHeight="1" s="311"/>
    <row r="8771" hidden="1" ht="18.75" customFormat="1" customHeight="1" s="311"/>
    <row r="8772" hidden="1" ht="18.75" customFormat="1" customHeight="1" s="311"/>
    <row r="8773" hidden="1" ht="18.75" customFormat="1" customHeight="1" s="311"/>
    <row r="8774" hidden="1" ht="18.75" customFormat="1" customHeight="1" s="311"/>
    <row r="8775" hidden="1" ht="18.75" customFormat="1" customHeight="1" s="311"/>
    <row r="8776" hidden="1" ht="18.75" customFormat="1" customHeight="1" s="311"/>
    <row r="8777" hidden="1" ht="18.75" customFormat="1" customHeight="1" s="311"/>
    <row r="8778" hidden="1" ht="18.75" customFormat="1" customHeight="1" s="311"/>
    <row r="8779" hidden="1" ht="18.75" customFormat="1" customHeight="1" s="311"/>
    <row r="8780" hidden="1" ht="18.75" customFormat="1" customHeight="1" s="311"/>
    <row r="8781" hidden="1" ht="18.75" customFormat="1" customHeight="1" s="311"/>
    <row r="8782" hidden="1" ht="18.75" customFormat="1" customHeight="1" s="311"/>
    <row r="8783" hidden="1" ht="18.75" customFormat="1" customHeight="1" s="311"/>
    <row r="8784" hidden="1" ht="18.75" customFormat="1" customHeight="1" s="311"/>
    <row r="8785" hidden="1" ht="18.75" customFormat="1" customHeight="1" s="311"/>
    <row r="8786" hidden="1" ht="18.75" customFormat="1" customHeight="1" s="311"/>
    <row r="8787" hidden="1" ht="18.75" customFormat="1" customHeight="1" s="311"/>
    <row r="8788" hidden="1" ht="18.75" customFormat="1" customHeight="1" s="311"/>
    <row r="8789" hidden="1" ht="18.75" customFormat="1" customHeight="1" s="311"/>
    <row r="8790" hidden="1" ht="18.75" customFormat="1" customHeight="1" s="311"/>
    <row r="8791" hidden="1" ht="18.75" customFormat="1" customHeight="1" s="311"/>
    <row r="8792" hidden="1" ht="18.75" customFormat="1" customHeight="1" s="311"/>
    <row r="8793" hidden="1" ht="18.75" customFormat="1" customHeight="1" s="311"/>
    <row r="8794" hidden="1" ht="18.75" customFormat="1" customHeight="1" s="311"/>
    <row r="8795" hidden="1" ht="18.75" customFormat="1" customHeight="1" s="311"/>
    <row r="8796" hidden="1" ht="18.75" customFormat="1" customHeight="1" s="311"/>
    <row r="8797" hidden="1" ht="18.75" customFormat="1" customHeight="1" s="311"/>
    <row r="8798" hidden="1" ht="18.75" customFormat="1" customHeight="1" s="311"/>
    <row r="8799" hidden="1" ht="18.75" customFormat="1" customHeight="1" s="311"/>
    <row r="8800" hidden="1" ht="18.75" customFormat="1" customHeight="1" s="311"/>
    <row r="8801" hidden="1" ht="18.75" customFormat="1" customHeight="1" s="311"/>
    <row r="8802" hidden="1" ht="18.75" customFormat="1" customHeight="1" s="311"/>
    <row r="8803" hidden="1" ht="18.75" customFormat="1" customHeight="1" s="311"/>
    <row r="8804" hidden="1" ht="18.75" customFormat="1" customHeight="1" s="311"/>
    <row r="8805" hidden="1" ht="18.75" customFormat="1" customHeight="1" s="311"/>
    <row r="8806" hidden="1" ht="18.75" customFormat="1" customHeight="1" s="311"/>
    <row r="8807" hidden="1" ht="18.75" customFormat="1" customHeight="1" s="311"/>
    <row r="8808" hidden="1" ht="18.75" customFormat="1" customHeight="1" s="311"/>
    <row r="8809" hidden="1" ht="18.75" customFormat="1" customHeight="1" s="311"/>
    <row r="8810" hidden="1" ht="18.75" customFormat="1" customHeight="1" s="311"/>
    <row r="8811" hidden="1" ht="18.75" customFormat="1" customHeight="1" s="311"/>
    <row r="8812" hidden="1" ht="18.75" customFormat="1" customHeight="1" s="311"/>
    <row r="8813" hidden="1" ht="18.75" customFormat="1" customHeight="1" s="311"/>
    <row r="8814" hidden="1" ht="18.75" customFormat="1" customHeight="1" s="311"/>
    <row r="8815" hidden="1" ht="18.75" customFormat="1" customHeight="1" s="311"/>
    <row r="8816" hidden="1" ht="18.75" customFormat="1" customHeight="1" s="311"/>
    <row r="8817" hidden="1" ht="18.75" customFormat="1" customHeight="1" s="311"/>
    <row r="8818" hidden="1" ht="18.75" customFormat="1" customHeight="1" s="311"/>
    <row r="8819" hidden="1" ht="18.75" customFormat="1" customHeight="1" s="311"/>
    <row r="8820" hidden="1" ht="18.75" customFormat="1" customHeight="1" s="311"/>
    <row r="8821" hidden="1" ht="18.75" customFormat="1" customHeight="1" s="311"/>
    <row r="8822" hidden="1" ht="18.75" customFormat="1" customHeight="1" s="311"/>
    <row r="8823" hidden="1" ht="18.75" customFormat="1" customHeight="1" s="311"/>
    <row r="8824" hidden="1" ht="18.75" customFormat="1" customHeight="1" s="311"/>
    <row r="8825" hidden="1" ht="18.75" customFormat="1" customHeight="1" s="311"/>
    <row r="8826" hidden="1" ht="18.75" customFormat="1" customHeight="1" s="311"/>
    <row r="8827" hidden="1" ht="18.75" customFormat="1" customHeight="1" s="311"/>
    <row r="8828" hidden="1" ht="18.75" customFormat="1" customHeight="1" s="311"/>
    <row r="8829" hidden="1" ht="18.75" customFormat="1" customHeight="1" s="311"/>
    <row r="8830" hidden="1" ht="18.75" customFormat="1" customHeight="1" s="311"/>
    <row r="8831" hidden="1" ht="18.75" customFormat="1" customHeight="1" s="311"/>
    <row r="8832" hidden="1" ht="18.75" customFormat="1" customHeight="1" s="311"/>
    <row r="8833" hidden="1" ht="18.75" customFormat="1" customHeight="1" s="311"/>
    <row r="8834" hidden="1" ht="18.75" customFormat="1" customHeight="1" s="311"/>
    <row r="8835" hidden="1" ht="18.75" customFormat="1" customHeight="1" s="311"/>
    <row r="8836" hidden="1" ht="18.75" customFormat="1" customHeight="1" s="311"/>
    <row r="8837" hidden="1" ht="18.75" customFormat="1" customHeight="1" s="311"/>
    <row r="8838" hidden="1" ht="18.75" customFormat="1" customHeight="1" s="311"/>
    <row r="8839" hidden="1" ht="18.75" customFormat="1" customHeight="1" s="311"/>
    <row r="8840" hidden="1" ht="18.75" customFormat="1" customHeight="1" s="311"/>
    <row r="8841" hidden="1" ht="18.75" customFormat="1" customHeight="1" s="311"/>
    <row r="8842" hidden="1" ht="18.75" customFormat="1" customHeight="1" s="311"/>
    <row r="8843" hidden="1" ht="18.75" customFormat="1" customHeight="1" s="311"/>
    <row r="8844" hidden="1" ht="18.75" customFormat="1" customHeight="1" s="311"/>
    <row r="8845" hidden="1" ht="18.75" customFormat="1" customHeight="1" s="311"/>
    <row r="8846" hidden="1" ht="18.75" customFormat="1" customHeight="1" s="311"/>
    <row r="8847" hidden="1" ht="18.75" customFormat="1" customHeight="1" s="311"/>
    <row r="8848" hidden="1" ht="18.75" customFormat="1" customHeight="1" s="311"/>
    <row r="8849" hidden="1" ht="18.75" customFormat="1" customHeight="1" s="311"/>
    <row r="8850" hidden="1" ht="18.75" customFormat="1" customHeight="1" s="311"/>
    <row r="8851" hidden="1" ht="18.75" customFormat="1" customHeight="1" s="311"/>
    <row r="8852" hidden="1" ht="18.75" customFormat="1" customHeight="1" s="311"/>
    <row r="8853" hidden="1" ht="18.75" customFormat="1" customHeight="1" s="311"/>
    <row r="8854" hidden="1" ht="18.75" customFormat="1" customHeight="1" s="311"/>
    <row r="8855" hidden="1" ht="18.75" customFormat="1" customHeight="1" s="311"/>
    <row r="8856" hidden="1" ht="18.75" customFormat="1" customHeight="1" s="311"/>
    <row r="8857" hidden="1" ht="18.75" customFormat="1" customHeight="1" s="311"/>
    <row r="8858" hidden="1" ht="18.75" customFormat="1" customHeight="1" s="311"/>
    <row r="8859" hidden="1" ht="18.75" customFormat="1" customHeight="1" s="311"/>
    <row r="8860" hidden="1" ht="18.75" customFormat="1" customHeight="1" s="311"/>
    <row r="8861" hidden="1" ht="18.75" customFormat="1" customHeight="1" s="311"/>
    <row r="8862" hidden="1" ht="18.75" customFormat="1" customHeight="1" s="311"/>
    <row r="8863" hidden="1" ht="18.75" customFormat="1" customHeight="1" s="311"/>
    <row r="8864" hidden="1" ht="18.75" customFormat="1" customHeight="1" s="311"/>
    <row r="8865" hidden="1" ht="18.75" customFormat="1" customHeight="1" s="311"/>
    <row r="8866" hidden="1" ht="18.75" customFormat="1" customHeight="1" s="311"/>
    <row r="8867" hidden="1" ht="18.75" customFormat="1" customHeight="1" s="311"/>
    <row r="8868" hidden="1" ht="18.75" customFormat="1" customHeight="1" s="311"/>
    <row r="8869" hidden="1" ht="18.75" customFormat="1" customHeight="1" s="311"/>
    <row r="8870" hidden="1" ht="18.75" customFormat="1" customHeight="1" s="311"/>
    <row r="8871" hidden="1" ht="18.75" customFormat="1" customHeight="1" s="311"/>
    <row r="8872" hidden="1" ht="18.75" customFormat="1" customHeight="1" s="311"/>
    <row r="8873" hidden="1" ht="18.75" customFormat="1" customHeight="1" s="311"/>
    <row r="8874" hidden="1" ht="18.75" customFormat="1" customHeight="1" s="311"/>
    <row r="8875" hidden="1" ht="18.75" customFormat="1" customHeight="1" s="311"/>
    <row r="8876" hidden="1" ht="18.75" customFormat="1" customHeight="1" s="311"/>
    <row r="8877" hidden="1" ht="18.75" customFormat="1" customHeight="1" s="311"/>
    <row r="8878" hidden="1" ht="18.75" customFormat="1" customHeight="1" s="311"/>
    <row r="8879" hidden="1" ht="18.75" customFormat="1" customHeight="1" s="311"/>
    <row r="8880" hidden="1" ht="18.75" customFormat="1" customHeight="1" s="311"/>
    <row r="8881" hidden="1" ht="18.75" customFormat="1" customHeight="1" s="311"/>
    <row r="8882" hidden="1" ht="18.75" customFormat="1" customHeight="1" s="311"/>
    <row r="8883" hidden="1" ht="18.75" customFormat="1" customHeight="1" s="311"/>
    <row r="8884" hidden="1" ht="18.75" customFormat="1" customHeight="1" s="311"/>
    <row r="8885" hidden="1" ht="18.75" customFormat="1" customHeight="1" s="311"/>
    <row r="8886" hidden="1" ht="18.75" customFormat="1" customHeight="1" s="311"/>
    <row r="8887" hidden="1" ht="18.75" customFormat="1" customHeight="1" s="311"/>
    <row r="8888" hidden="1" ht="18.75" customFormat="1" customHeight="1" s="311"/>
    <row r="8889" hidden="1" ht="18.75" customFormat="1" customHeight="1" s="311"/>
    <row r="8890" hidden="1" ht="18.75" customFormat="1" customHeight="1" s="311"/>
    <row r="8891" hidden="1" ht="18.75" customFormat="1" customHeight="1" s="311"/>
    <row r="8892" hidden="1" ht="18.75" customFormat="1" customHeight="1" s="311"/>
    <row r="8893" hidden="1" ht="18.75" customFormat="1" customHeight="1" s="311"/>
    <row r="8894" hidden="1" ht="18.75" customFormat="1" customHeight="1" s="311"/>
    <row r="8895" hidden="1" ht="18.75" customFormat="1" customHeight="1" s="311"/>
    <row r="8896" hidden="1" ht="18.75" customFormat="1" customHeight="1" s="311"/>
    <row r="8897" hidden="1" ht="18.75" customFormat="1" customHeight="1" s="311"/>
    <row r="8898" hidden="1" ht="18.75" customFormat="1" customHeight="1" s="311"/>
    <row r="8899" hidden="1" ht="18.75" customFormat="1" customHeight="1" s="311"/>
    <row r="8900" hidden="1" ht="18.75" customFormat="1" customHeight="1" s="311"/>
    <row r="8901" hidden="1" ht="18.75" customFormat="1" customHeight="1" s="311"/>
    <row r="8902" hidden="1" ht="18.75" customFormat="1" customHeight="1" s="311"/>
    <row r="8903" hidden="1" ht="18.75" customFormat="1" customHeight="1" s="311"/>
    <row r="8904" hidden="1" ht="18.75" customFormat="1" customHeight="1" s="311"/>
    <row r="8905" hidden="1" ht="18.75" customFormat="1" customHeight="1" s="311"/>
    <row r="8906" hidden="1" ht="18.75" customFormat="1" customHeight="1" s="311"/>
    <row r="8907" hidden="1" ht="18.75" customFormat="1" customHeight="1" s="311"/>
    <row r="8908" hidden="1" ht="18.75" customFormat="1" customHeight="1" s="311"/>
    <row r="8909" hidden="1" ht="18.75" customFormat="1" customHeight="1" s="311"/>
    <row r="8910" hidden="1" ht="18.75" customFormat="1" customHeight="1" s="311"/>
    <row r="8911" hidden="1" ht="18.75" customFormat="1" customHeight="1" s="311"/>
    <row r="8912" hidden="1" ht="18.75" customFormat="1" customHeight="1" s="311"/>
    <row r="8913" hidden="1" ht="18.75" customFormat="1" customHeight="1" s="311"/>
    <row r="8914" hidden="1" ht="18.75" customFormat="1" customHeight="1" s="311"/>
    <row r="8915" hidden="1" ht="18.75" customFormat="1" customHeight="1" s="311"/>
    <row r="8916" hidden="1" ht="18.75" customFormat="1" customHeight="1" s="311"/>
    <row r="8917" hidden="1" ht="18.75" customFormat="1" customHeight="1" s="311"/>
    <row r="8918" hidden="1" ht="18.75" customFormat="1" customHeight="1" s="311"/>
    <row r="8919" hidden="1" ht="18.75" customFormat="1" customHeight="1" s="311"/>
    <row r="8920" hidden="1" ht="18.75" customFormat="1" customHeight="1" s="311"/>
    <row r="8921" hidden="1" ht="18.75" customFormat="1" customHeight="1" s="311"/>
    <row r="8922" hidden="1" ht="18.75" customFormat="1" customHeight="1" s="311"/>
    <row r="8923" hidden="1" ht="18.75" customFormat="1" customHeight="1" s="311"/>
    <row r="8924" hidden="1" ht="18.75" customFormat="1" customHeight="1" s="311"/>
    <row r="8925" hidden="1" ht="18.75" customFormat="1" customHeight="1" s="311"/>
    <row r="8926" hidden="1" ht="18.75" customFormat="1" customHeight="1" s="311"/>
    <row r="8927" hidden="1" ht="18.75" customFormat="1" customHeight="1" s="311"/>
    <row r="8928" hidden="1" ht="18.75" customFormat="1" customHeight="1" s="311"/>
    <row r="8929" hidden="1" ht="18.75" customFormat="1" customHeight="1" s="311"/>
    <row r="8930" hidden="1" ht="18.75" customFormat="1" customHeight="1" s="311"/>
    <row r="8931" hidden="1" ht="18.75" customFormat="1" customHeight="1" s="311"/>
    <row r="8932" hidden="1" ht="18.75" customFormat="1" customHeight="1" s="311"/>
    <row r="8933" hidden="1" ht="18.75" customFormat="1" customHeight="1" s="311"/>
    <row r="8934" hidden="1" ht="18.75" customFormat="1" customHeight="1" s="311"/>
    <row r="8935" hidden="1" ht="18.75" customFormat="1" customHeight="1" s="311"/>
    <row r="8936" hidden="1" ht="18.75" customFormat="1" customHeight="1" s="311"/>
    <row r="8937" hidden="1" ht="18.75" customFormat="1" customHeight="1" s="311"/>
    <row r="8938" hidden="1" ht="18.75" customFormat="1" customHeight="1" s="311"/>
    <row r="8939" hidden="1" ht="18.75" customFormat="1" customHeight="1" s="311"/>
    <row r="8940" hidden="1" ht="18.75" customFormat="1" customHeight="1" s="311"/>
    <row r="8941" hidden="1" ht="18.75" customFormat="1" customHeight="1" s="311"/>
    <row r="8942" hidden="1" ht="18.75" customFormat="1" customHeight="1" s="311"/>
    <row r="8943" hidden="1" ht="18.75" customFormat="1" customHeight="1" s="311"/>
    <row r="8944" hidden="1" ht="18.75" customFormat="1" customHeight="1" s="311"/>
    <row r="8945" hidden="1" ht="18.75" customFormat="1" customHeight="1" s="311"/>
    <row r="8946" hidden="1" ht="18.75" customFormat="1" customHeight="1" s="311"/>
    <row r="8947" hidden="1" ht="18.75" customFormat="1" customHeight="1" s="311"/>
    <row r="8948" hidden="1" ht="18.75" customFormat="1" customHeight="1" s="311"/>
    <row r="8949" hidden="1" ht="18.75" customFormat="1" customHeight="1" s="311"/>
    <row r="8950" hidden="1" ht="18.75" customFormat="1" customHeight="1" s="311"/>
    <row r="8951" hidden="1" ht="18.75" customFormat="1" customHeight="1" s="311"/>
    <row r="8952" hidden="1" ht="18.75" customFormat="1" customHeight="1" s="311"/>
    <row r="8953" hidden="1" ht="18.75" customFormat="1" customHeight="1" s="311"/>
    <row r="8954" hidden="1" ht="18.75" customFormat="1" customHeight="1" s="311"/>
    <row r="8955" hidden="1" ht="18.75" customFormat="1" customHeight="1" s="311"/>
    <row r="8956" hidden="1" ht="18.75" customFormat="1" customHeight="1" s="311"/>
    <row r="8957" hidden="1" ht="18.75" customFormat="1" customHeight="1" s="311"/>
    <row r="8958" hidden="1" ht="18.75" customFormat="1" customHeight="1" s="311"/>
    <row r="8959" hidden="1" ht="18.75" customFormat="1" customHeight="1" s="311"/>
    <row r="8960" hidden="1" ht="18.75" customFormat="1" customHeight="1" s="311"/>
    <row r="8961" hidden="1" ht="18.75" customFormat="1" customHeight="1" s="311"/>
    <row r="8962" hidden="1" ht="18.75" customFormat="1" customHeight="1" s="311"/>
    <row r="8963" hidden="1" ht="18.75" customFormat="1" customHeight="1" s="311"/>
    <row r="8964" hidden="1" ht="18.75" customFormat="1" customHeight="1" s="311"/>
    <row r="8965" hidden="1" ht="18.75" customFormat="1" customHeight="1" s="311"/>
    <row r="8966" hidden="1" ht="18.75" customFormat="1" customHeight="1" s="311"/>
    <row r="8967" hidden="1" ht="18.75" customFormat="1" customHeight="1" s="311"/>
    <row r="8968" hidden="1" ht="18.75" customFormat="1" customHeight="1" s="311"/>
    <row r="8969" hidden="1" ht="18.75" customFormat="1" customHeight="1" s="311"/>
    <row r="8970" hidden="1" ht="18.75" customFormat="1" customHeight="1" s="311"/>
    <row r="8971" hidden="1" ht="18.75" customFormat="1" customHeight="1" s="311"/>
    <row r="8972" hidden="1" ht="18.75" customFormat="1" customHeight="1" s="311"/>
    <row r="8973" hidden="1" ht="18.75" customFormat="1" customHeight="1" s="311"/>
    <row r="8974" hidden="1" ht="18.75" customFormat="1" customHeight="1" s="311"/>
    <row r="8975" hidden="1" ht="18.75" customFormat="1" customHeight="1" s="311"/>
    <row r="8976" hidden="1" ht="18.75" customFormat="1" customHeight="1" s="311"/>
    <row r="8977" hidden="1" ht="18.75" customFormat="1" customHeight="1" s="311"/>
    <row r="8978" hidden="1" ht="18.75" customFormat="1" customHeight="1" s="311"/>
    <row r="8979" hidden="1" ht="18.75" customFormat="1" customHeight="1" s="311"/>
    <row r="8980" hidden="1" ht="18.75" customFormat="1" customHeight="1" s="311"/>
    <row r="8981" hidden="1" ht="18.75" customFormat="1" customHeight="1" s="311"/>
    <row r="8982" hidden="1" ht="18.75" customFormat="1" customHeight="1" s="311"/>
    <row r="8983" hidden="1" ht="18.75" customFormat="1" customHeight="1" s="311"/>
    <row r="8984" hidden="1" ht="18.75" customFormat="1" customHeight="1" s="311"/>
    <row r="8985" hidden="1" ht="18.75" customFormat="1" customHeight="1" s="311"/>
    <row r="8986" hidden="1" ht="18.75" customFormat="1" customHeight="1" s="311"/>
    <row r="8987" hidden="1" ht="18.75" customFormat="1" customHeight="1" s="311"/>
    <row r="8988" hidden="1" ht="18.75" customFormat="1" customHeight="1" s="311"/>
    <row r="8989" hidden="1" ht="18.75" customFormat="1" customHeight="1" s="311"/>
    <row r="8990" hidden="1" ht="18.75" customFormat="1" customHeight="1" s="311"/>
    <row r="8991" hidden="1" ht="18.75" customFormat="1" customHeight="1" s="311"/>
    <row r="8992" hidden="1" ht="18.75" customFormat="1" customHeight="1" s="311"/>
    <row r="8993" hidden="1" ht="18.75" customFormat="1" customHeight="1" s="311"/>
    <row r="8994" hidden="1" ht="18.75" customFormat="1" customHeight="1" s="311"/>
    <row r="8995" hidden="1" ht="18.75" customFormat="1" customHeight="1" s="311"/>
    <row r="8996" hidden="1" ht="18.75" customFormat="1" customHeight="1" s="311"/>
    <row r="8997" hidden="1" ht="18.75" customFormat="1" customHeight="1" s="311"/>
    <row r="8998" hidden="1" ht="18.75" customFormat="1" customHeight="1" s="311"/>
    <row r="8999" hidden="1" ht="18.75" customFormat="1" customHeight="1" s="311"/>
    <row r="9000" hidden="1" ht="18.75" customFormat="1" customHeight="1" s="311"/>
    <row r="9001" hidden="1" ht="18.75" customFormat="1" customHeight="1" s="311"/>
    <row r="9002" hidden="1" ht="18.75" customFormat="1" customHeight="1" s="311"/>
    <row r="9003" hidden="1" ht="18.75" customFormat="1" customHeight="1" s="311"/>
    <row r="9004" hidden="1" ht="18.75" customFormat="1" customHeight="1" s="311"/>
    <row r="9005" hidden="1" ht="18.75" customFormat="1" customHeight="1" s="311"/>
    <row r="9006" hidden="1" ht="18.75" customFormat="1" customHeight="1" s="311"/>
    <row r="9007" hidden="1" ht="18.75" customFormat="1" customHeight="1" s="311"/>
    <row r="9008" hidden="1" ht="18.75" customFormat="1" customHeight="1" s="311"/>
    <row r="9009" hidden="1" ht="18.75" customFormat="1" customHeight="1" s="311"/>
    <row r="9010" hidden="1" ht="18.75" customFormat="1" customHeight="1" s="311"/>
    <row r="9011" hidden="1" ht="18.75" customFormat="1" customHeight="1" s="311"/>
    <row r="9012" hidden="1" ht="18.75" customFormat="1" customHeight="1" s="311"/>
    <row r="9013" hidden="1" ht="18.75" customFormat="1" customHeight="1" s="311"/>
    <row r="9014" hidden="1" ht="18.75" customFormat="1" customHeight="1" s="311"/>
    <row r="9015" hidden="1" ht="18.75" customFormat="1" customHeight="1" s="311"/>
    <row r="9016" hidden="1" ht="18.75" customFormat="1" customHeight="1" s="311"/>
    <row r="9017" hidden="1" ht="18.75" customFormat="1" customHeight="1" s="311"/>
    <row r="9018" hidden="1" ht="18.75" customFormat="1" customHeight="1" s="311"/>
    <row r="9019" hidden="1" ht="18.75" customFormat="1" customHeight="1" s="311"/>
    <row r="9020" hidden="1" ht="18.75" customFormat="1" customHeight="1" s="311"/>
    <row r="9021" hidden="1" ht="18.75" customFormat="1" customHeight="1" s="311"/>
    <row r="9022" hidden="1" ht="18.75" customFormat="1" customHeight="1" s="311"/>
    <row r="9023" hidden="1" ht="18.75" customFormat="1" customHeight="1" s="311"/>
    <row r="9024" hidden="1" ht="18.75" customFormat="1" customHeight="1" s="311"/>
    <row r="9025" hidden="1" ht="18.75" customFormat="1" customHeight="1" s="311"/>
    <row r="9026" hidden="1" ht="18.75" customFormat="1" customHeight="1" s="311"/>
    <row r="9027" hidden="1" ht="18.75" customFormat="1" customHeight="1" s="311"/>
    <row r="9028" hidden="1" ht="18.75" customFormat="1" customHeight="1" s="311"/>
    <row r="9029" hidden="1" ht="18.75" customFormat="1" customHeight="1" s="311"/>
    <row r="9030" hidden="1" ht="18.75" customFormat="1" customHeight="1" s="311"/>
    <row r="9031" hidden="1" ht="18.75" customFormat="1" customHeight="1" s="311"/>
    <row r="9032" hidden="1" ht="18.75" customFormat="1" customHeight="1" s="311"/>
    <row r="9033" hidden="1" ht="18.75" customFormat="1" customHeight="1" s="311"/>
    <row r="9034" hidden="1" ht="18.75" customFormat="1" customHeight="1" s="311"/>
    <row r="9035" hidden="1" ht="18.75" customFormat="1" customHeight="1" s="311"/>
    <row r="9036" hidden="1" ht="18.75" customFormat="1" customHeight="1" s="311"/>
    <row r="9037" hidden="1" ht="18.75" customFormat="1" customHeight="1" s="311"/>
    <row r="9038" hidden="1" ht="18.75" customFormat="1" customHeight="1" s="311"/>
    <row r="9039" hidden="1" ht="18.75" customFormat="1" customHeight="1" s="311"/>
    <row r="9040" hidden="1" ht="18.75" customFormat="1" customHeight="1" s="311"/>
    <row r="9041" hidden="1" ht="18.75" customFormat="1" customHeight="1" s="311"/>
    <row r="9042" hidden="1" ht="18.75" customFormat="1" customHeight="1" s="311"/>
    <row r="9043" hidden="1" ht="18.75" customFormat="1" customHeight="1" s="311"/>
    <row r="9044" hidden="1" ht="18.75" customFormat="1" customHeight="1" s="311"/>
    <row r="9045" hidden="1" ht="18.75" customFormat="1" customHeight="1" s="311"/>
    <row r="9046" hidden="1" ht="18.75" customFormat="1" customHeight="1" s="311"/>
    <row r="9047" hidden="1" ht="18.75" customFormat="1" customHeight="1" s="311"/>
    <row r="9048" hidden="1" ht="18.75" customFormat="1" customHeight="1" s="311"/>
    <row r="9049" hidden="1" ht="18.75" customFormat="1" customHeight="1" s="311"/>
    <row r="9050" hidden="1" ht="18.75" customFormat="1" customHeight="1" s="311"/>
    <row r="9051" hidden="1" ht="18.75" customFormat="1" customHeight="1" s="311"/>
    <row r="9052" hidden="1" ht="18.75" customFormat="1" customHeight="1" s="311"/>
    <row r="9053" hidden="1" ht="18.75" customFormat="1" customHeight="1" s="311"/>
    <row r="9054" hidden="1" ht="18.75" customFormat="1" customHeight="1" s="311"/>
    <row r="9055" hidden="1" ht="18.75" customFormat="1" customHeight="1" s="311"/>
    <row r="9056" hidden="1" ht="18.75" customFormat="1" customHeight="1" s="311"/>
    <row r="9057" hidden="1" ht="18.75" customFormat="1" customHeight="1" s="311"/>
    <row r="9058" hidden="1" ht="18.75" customFormat="1" customHeight="1" s="311"/>
    <row r="9059" hidden="1" ht="18.75" customFormat="1" customHeight="1" s="311"/>
    <row r="9060" hidden="1" ht="18.75" customFormat="1" customHeight="1" s="311"/>
    <row r="9061" hidden="1" ht="18.75" customFormat="1" customHeight="1" s="311"/>
    <row r="9062" hidden="1" ht="18.75" customFormat="1" customHeight="1" s="311"/>
    <row r="9063" hidden="1" ht="18.75" customFormat="1" customHeight="1" s="311"/>
    <row r="9064" hidden="1" ht="18.75" customFormat="1" customHeight="1" s="311"/>
    <row r="9065" hidden="1" ht="18.75" customFormat="1" customHeight="1" s="311"/>
    <row r="9066" hidden="1" ht="18.75" customFormat="1" customHeight="1" s="311"/>
    <row r="9067" hidden="1" ht="18.75" customFormat="1" customHeight="1" s="311"/>
    <row r="9068" hidden="1" ht="18.75" customFormat="1" customHeight="1" s="311"/>
    <row r="9069" hidden="1" ht="18.75" customFormat="1" customHeight="1" s="311"/>
    <row r="9070" hidden="1" ht="18.75" customFormat="1" customHeight="1" s="311"/>
    <row r="9071" hidden="1" ht="18.75" customFormat="1" customHeight="1" s="311"/>
    <row r="9072" hidden="1" ht="18.75" customFormat="1" customHeight="1" s="311"/>
    <row r="9073" hidden="1" ht="18.75" customFormat="1" customHeight="1" s="311"/>
    <row r="9074" hidden="1" ht="18.75" customFormat="1" customHeight="1" s="311"/>
    <row r="9075" hidden="1" ht="18.75" customFormat="1" customHeight="1" s="311"/>
    <row r="9076" hidden="1" ht="18.75" customFormat="1" customHeight="1" s="311"/>
    <row r="9077" hidden="1" ht="18.75" customFormat="1" customHeight="1" s="311"/>
    <row r="9078" hidden="1" ht="18.75" customFormat="1" customHeight="1" s="311"/>
    <row r="9079" hidden="1" ht="18.75" customFormat="1" customHeight="1" s="311"/>
    <row r="9080" hidden="1" ht="18.75" customFormat="1" customHeight="1" s="311"/>
    <row r="9081" hidden="1" ht="18.75" customFormat="1" customHeight="1" s="311"/>
    <row r="9082" hidden="1" ht="18.75" customFormat="1" customHeight="1" s="311"/>
    <row r="9083" hidden="1" ht="18.75" customFormat="1" customHeight="1" s="311"/>
    <row r="9084" hidden="1" ht="18.75" customFormat="1" customHeight="1" s="311"/>
    <row r="9085" hidden="1" ht="18.75" customFormat="1" customHeight="1" s="311"/>
    <row r="9086" hidden="1" ht="18.75" customFormat="1" customHeight="1" s="311"/>
    <row r="9087" hidden="1" ht="18.75" customFormat="1" customHeight="1" s="311"/>
    <row r="9088" hidden="1" ht="18.75" customFormat="1" customHeight="1" s="311"/>
    <row r="9089" hidden="1" ht="18.75" customFormat="1" customHeight="1" s="311"/>
    <row r="9090" hidden="1" ht="18.75" customFormat="1" customHeight="1" s="311"/>
    <row r="9091" hidden="1" ht="18.75" customFormat="1" customHeight="1" s="311"/>
    <row r="9092" hidden="1" ht="18.75" customFormat="1" customHeight="1" s="311"/>
    <row r="9093" hidden="1" ht="18.75" customFormat="1" customHeight="1" s="311"/>
    <row r="9094" hidden="1" ht="18.75" customFormat="1" customHeight="1" s="311"/>
    <row r="9095" hidden="1" ht="18.75" customFormat="1" customHeight="1" s="311"/>
    <row r="9096" hidden="1" ht="18.75" customFormat="1" customHeight="1" s="311"/>
    <row r="9097" hidden="1" ht="18.75" customFormat="1" customHeight="1" s="311"/>
    <row r="9098" hidden="1" ht="18.75" customFormat="1" customHeight="1" s="311"/>
    <row r="9099" hidden="1" ht="18.75" customFormat="1" customHeight="1" s="311"/>
    <row r="9100" hidden="1" ht="18.75" customFormat="1" customHeight="1" s="311"/>
    <row r="9101" hidden="1" ht="18.75" customFormat="1" customHeight="1" s="311"/>
    <row r="9102" hidden="1" ht="18.75" customFormat="1" customHeight="1" s="311"/>
    <row r="9103" hidden="1" ht="18.75" customFormat="1" customHeight="1" s="311"/>
    <row r="9104" hidden="1" ht="18.75" customFormat="1" customHeight="1" s="311"/>
    <row r="9105" hidden="1" ht="18.75" customFormat="1" customHeight="1" s="311"/>
    <row r="9106" hidden="1" ht="18.75" customFormat="1" customHeight="1" s="311"/>
    <row r="9107" hidden="1" ht="18.75" customFormat="1" customHeight="1" s="311"/>
    <row r="9108" hidden="1" ht="18.75" customFormat="1" customHeight="1" s="311"/>
    <row r="9109" hidden="1" ht="18.75" customFormat="1" customHeight="1" s="311"/>
    <row r="9110" hidden="1" ht="18.75" customFormat="1" customHeight="1" s="311"/>
    <row r="9111" hidden="1" ht="18.75" customFormat="1" customHeight="1" s="311"/>
    <row r="9112" hidden="1" ht="18.75" customFormat="1" customHeight="1" s="311"/>
    <row r="9113" hidden="1" ht="18.75" customFormat="1" customHeight="1" s="311"/>
    <row r="9114" hidden="1" ht="18.75" customFormat="1" customHeight="1" s="311"/>
    <row r="9115" hidden="1" ht="18.75" customFormat="1" customHeight="1" s="311"/>
    <row r="9116" hidden="1" ht="18.75" customFormat="1" customHeight="1" s="311"/>
    <row r="9117" hidden="1" ht="18.75" customFormat="1" customHeight="1" s="311"/>
    <row r="9118" hidden="1" ht="18.75" customFormat="1" customHeight="1" s="311"/>
    <row r="9119" hidden="1" ht="18.75" customFormat="1" customHeight="1" s="311"/>
    <row r="9120" hidden="1" ht="18.75" customFormat="1" customHeight="1" s="311"/>
    <row r="9121" hidden="1" ht="18.75" customFormat="1" customHeight="1" s="311"/>
    <row r="9122" hidden="1" ht="18.75" customFormat="1" customHeight="1" s="311"/>
    <row r="9123" hidden="1" ht="18.75" customFormat="1" customHeight="1" s="311"/>
    <row r="9124" hidden="1" ht="18.75" customFormat="1" customHeight="1" s="311"/>
    <row r="9125" hidden="1" ht="18.75" customFormat="1" customHeight="1" s="311"/>
    <row r="9126" hidden="1" ht="18.75" customFormat="1" customHeight="1" s="311"/>
    <row r="9127" hidden="1" ht="18.75" customFormat="1" customHeight="1" s="311"/>
    <row r="9128" hidden="1" ht="18.75" customFormat="1" customHeight="1" s="311"/>
    <row r="9129" hidden="1" ht="18.75" customFormat="1" customHeight="1" s="311"/>
    <row r="9130" hidden="1" ht="18.75" customFormat="1" customHeight="1" s="311"/>
    <row r="9131" hidden="1" ht="18.75" customFormat="1" customHeight="1" s="311"/>
    <row r="9132" hidden="1" ht="18.75" customFormat="1" customHeight="1" s="311"/>
    <row r="9133" hidden="1" ht="18.75" customFormat="1" customHeight="1" s="311"/>
    <row r="9134" hidden="1" ht="18.75" customFormat="1" customHeight="1" s="311"/>
    <row r="9135" hidden="1" ht="18.75" customFormat="1" customHeight="1" s="311"/>
    <row r="9136" hidden="1" ht="18.75" customFormat="1" customHeight="1" s="311"/>
    <row r="9137" hidden="1" ht="18.75" customFormat="1" customHeight="1" s="311"/>
    <row r="9138" hidden="1" ht="18.75" customFormat="1" customHeight="1" s="311"/>
    <row r="9139" hidden="1" ht="18.75" customFormat="1" customHeight="1" s="311"/>
    <row r="9140" hidden="1" ht="18.75" customFormat="1" customHeight="1" s="311"/>
    <row r="9141" hidden="1" ht="18.75" customFormat="1" customHeight="1" s="311"/>
    <row r="9142" hidden="1" ht="18.75" customFormat="1" customHeight="1" s="311"/>
    <row r="9143" hidden="1" ht="18.75" customFormat="1" customHeight="1" s="311"/>
    <row r="9144" hidden="1" ht="18.75" customFormat="1" customHeight="1" s="311"/>
    <row r="9145" hidden="1" ht="18.75" customFormat="1" customHeight="1" s="311"/>
    <row r="9146" hidden="1" ht="18.75" customFormat="1" customHeight="1" s="311"/>
    <row r="9147" hidden="1" ht="18.75" customFormat="1" customHeight="1" s="311"/>
    <row r="9148" hidden="1" ht="18.75" customFormat="1" customHeight="1" s="311"/>
    <row r="9149" hidden="1" ht="18.75" customFormat="1" customHeight="1" s="311"/>
    <row r="9150" hidden="1" ht="18.75" customFormat="1" customHeight="1" s="311"/>
    <row r="9151" hidden="1" ht="18.75" customFormat="1" customHeight="1" s="311"/>
    <row r="9152" hidden="1" ht="18.75" customFormat="1" customHeight="1" s="311"/>
    <row r="9153" hidden="1" ht="18.75" customFormat="1" customHeight="1" s="311"/>
    <row r="9154" hidden="1" ht="18.75" customFormat="1" customHeight="1" s="311"/>
    <row r="9155" hidden="1" ht="18.75" customFormat="1" customHeight="1" s="311"/>
    <row r="9156" hidden="1" ht="18.75" customFormat="1" customHeight="1" s="311"/>
    <row r="9157" hidden="1" ht="18.75" customFormat="1" customHeight="1" s="311"/>
    <row r="9158" hidden="1" ht="18.75" customFormat="1" customHeight="1" s="311"/>
    <row r="9159" hidden="1" ht="18.75" customFormat="1" customHeight="1" s="311"/>
    <row r="9160" hidden="1" ht="18.75" customFormat="1" customHeight="1" s="311"/>
    <row r="9161" hidden="1" ht="18.75" customFormat="1" customHeight="1" s="311"/>
    <row r="9162" hidden="1" ht="18.75" customFormat="1" customHeight="1" s="311"/>
    <row r="9163" hidden="1" ht="18.75" customFormat="1" customHeight="1" s="311"/>
    <row r="9164" hidden="1" ht="18.75" customFormat="1" customHeight="1" s="311"/>
    <row r="9165" hidden="1" ht="18.75" customFormat="1" customHeight="1" s="311"/>
    <row r="9166" hidden="1" ht="18.75" customFormat="1" customHeight="1" s="311"/>
    <row r="9167" hidden="1" ht="18.75" customFormat="1" customHeight="1" s="311"/>
    <row r="9168" hidden="1" ht="18.75" customFormat="1" customHeight="1" s="311"/>
    <row r="9169" hidden="1" ht="18.75" customFormat="1" customHeight="1" s="311"/>
    <row r="9170" hidden="1" ht="18.75" customFormat="1" customHeight="1" s="311"/>
    <row r="9171" hidden="1" ht="18.75" customFormat="1" customHeight="1" s="311"/>
    <row r="9172" hidden="1" ht="18.75" customFormat="1" customHeight="1" s="311"/>
    <row r="9173" hidden="1" ht="18.75" customFormat="1" customHeight="1" s="311"/>
    <row r="9174" hidden="1" ht="18.75" customFormat="1" customHeight="1" s="311"/>
    <row r="9175" hidden="1" ht="18.75" customFormat="1" customHeight="1" s="311"/>
    <row r="9176" hidden="1" ht="18.75" customFormat="1" customHeight="1" s="311"/>
    <row r="9177" hidden="1" ht="18.75" customFormat="1" customHeight="1" s="311"/>
    <row r="9178" hidden="1" ht="18.75" customFormat="1" customHeight="1" s="311"/>
    <row r="9179" hidden="1" ht="18.75" customFormat="1" customHeight="1" s="311"/>
    <row r="9180" hidden="1" ht="18.75" customFormat="1" customHeight="1" s="311"/>
    <row r="9181" hidden="1" ht="18.75" customFormat="1" customHeight="1" s="311"/>
    <row r="9182" hidden="1" ht="18.75" customFormat="1" customHeight="1" s="311"/>
    <row r="9183" hidden="1" ht="18.75" customFormat="1" customHeight="1" s="311"/>
    <row r="9184" hidden="1" ht="18.75" customFormat="1" customHeight="1" s="311"/>
    <row r="9185" hidden="1" ht="18.75" customFormat="1" customHeight="1" s="311"/>
    <row r="9186" hidden="1" ht="18.75" customFormat="1" customHeight="1" s="311"/>
    <row r="9187" hidden="1" ht="18.75" customFormat="1" customHeight="1" s="311"/>
    <row r="9188" hidden="1" ht="18.75" customFormat="1" customHeight="1" s="311"/>
    <row r="9189" hidden="1" ht="18.75" customFormat="1" customHeight="1" s="311"/>
    <row r="9190" hidden="1" ht="18.75" customFormat="1" customHeight="1" s="311"/>
    <row r="9191" hidden="1" ht="18.75" customFormat="1" customHeight="1" s="311"/>
    <row r="9192" hidden="1" ht="18.75" customFormat="1" customHeight="1" s="311"/>
    <row r="9193" hidden="1" ht="18.75" customFormat="1" customHeight="1" s="311"/>
    <row r="9194" hidden="1" ht="18.75" customFormat="1" customHeight="1" s="311"/>
    <row r="9195" hidden="1" ht="18.75" customFormat="1" customHeight="1" s="311"/>
    <row r="9196" hidden="1" ht="18.75" customFormat="1" customHeight="1" s="311"/>
    <row r="9197" hidden="1" ht="18.75" customFormat="1" customHeight="1" s="311"/>
    <row r="9198" hidden="1" ht="18.75" customFormat="1" customHeight="1" s="311"/>
    <row r="9199" hidden="1" ht="18.75" customFormat="1" customHeight="1" s="311"/>
    <row r="9200" hidden="1" ht="18.75" customFormat="1" customHeight="1" s="311"/>
    <row r="9201" hidden="1" ht="18.75" customFormat="1" customHeight="1" s="311"/>
    <row r="9202" hidden="1" ht="18.75" customFormat="1" customHeight="1" s="311"/>
    <row r="9203" hidden="1" ht="18.75" customFormat="1" customHeight="1" s="311"/>
    <row r="9204" hidden="1" ht="18.75" customFormat="1" customHeight="1" s="311"/>
    <row r="9205" hidden="1" ht="18.75" customFormat="1" customHeight="1" s="311"/>
    <row r="9206" hidden="1" ht="18.75" customFormat="1" customHeight="1" s="311"/>
    <row r="9207" hidden="1" ht="18.75" customFormat="1" customHeight="1" s="311"/>
    <row r="9208" hidden="1" ht="18.75" customFormat="1" customHeight="1" s="311"/>
    <row r="9209" hidden="1" ht="18.75" customFormat="1" customHeight="1" s="311"/>
    <row r="9210" hidden="1" ht="18.75" customFormat="1" customHeight="1" s="311"/>
    <row r="9211" hidden="1" ht="18.75" customFormat="1" customHeight="1" s="311"/>
    <row r="9212" hidden="1" ht="18.75" customFormat="1" customHeight="1" s="311"/>
    <row r="9213" hidden="1" ht="18.75" customFormat="1" customHeight="1" s="311"/>
    <row r="9214" hidden="1" ht="18.75" customFormat="1" customHeight="1" s="311"/>
    <row r="9215" hidden="1" ht="18.75" customFormat="1" customHeight="1" s="311"/>
    <row r="9216" hidden="1" ht="18.75" customFormat="1" customHeight="1" s="311"/>
    <row r="9217" hidden="1" ht="18.75" customFormat="1" customHeight="1" s="311"/>
    <row r="9218" hidden="1" ht="18.75" customFormat="1" customHeight="1" s="311"/>
    <row r="9219" hidden="1" ht="18.75" customFormat="1" customHeight="1" s="311"/>
    <row r="9220" hidden="1" ht="18.75" customFormat="1" customHeight="1" s="311"/>
    <row r="9221" hidden="1" ht="18.75" customFormat="1" customHeight="1" s="311"/>
    <row r="9222" hidden="1" ht="18.75" customFormat="1" customHeight="1" s="311"/>
    <row r="9223" hidden="1" ht="18.75" customFormat="1" customHeight="1" s="311"/>
    <row r="9224" hidden="1" ht="18.75" customFormat="1" customHeight="1" s="311"/>
    <row r="9225" hidden="1" ht="18.75" customFormat="1" customHeight="1" s="311"/>
    <row r="9226" hidden="1" ht="18.75" customFormat="1" customHeight="1" s="311"/>
    <row r="9227" hidden="1" ht="18.75" customFormat="1" customHeight="1" s="311"/>
    <row r="9228" hidden="1" ht="18.75" customFormat="1" customHeight="1" s="311"/>
    <row r="9229" hidden="1" ht="18.75" customFormat="1" customHeight="1" s="311"/>
    <row r="9230" hidden="1" ht="18.75" customFormat="1" customHeight="1" s="311"/>
    <row r="9231" hidden="1" ht="18.75" customFormat="1" customHeight="1" s="311"/>
    <row r="9232" hidden="1" ht="18.75" customFormat="1" customHeight="1" s="311"/>
    <row r="9233" hidden="1" ht="18.75" customFormat="1" customHeight="1" s="311"/>
    <row r="9234" hidden="1" ht="18.75" customFormat="1" customHeight="1" s="311"/>
    <row r="9235" hidden="1" ht="18.75" customFormat="1" customHeight="1" s="311"/>
    <row r="9236" hidden="1" ht="18.75" customFormat="1" customHeight="1" s="311"/>
    <row r="9237" hidden="1" ht="18.75" customFormat="1" customHeight="1" s="311"/>
    <row r="9238" hidden="1" ht="18.75" customFormat="1" customHeight="1" s="311"/>
    <row r="9239" hidden="1" ht="18.75" customFormat="1" customHeight="1" s="311"/>
    <row r="9240" hidden="1" ht="18.75" customFormat="1" customHeight="1" s="311"/>
    <row r="9241" hidden="1" ht="18.75" customFormat="1" customHeight="1" s="311"/>
    <row r="9242" hidden="1" ht="18.75" customFormat="1" customHeight="1" s="311"/>
    <row r="9243" hidden="1" ht="18.75" customFormat="1" customHeight="1" s="311"/>
    <row r="9244" hidden="1" ht="18.75" customFormat="1" customHeight="1" s="311"/>
    <row r="9245" hidden="1" ht="18.75" customFormat="1" customHeight="1" s="311"/>
    <row r="9246" hidden="1" ht="18.75" customFormat="1" customHeight="1" s="311"/>
    <row r="9247" hidden="1" ht="18.75" customFormat="1" customHeight="1" s="311"/>
    <row r="9248" hidden="1" ht="18.75" customFormat="1" customHeight="1" s="311"/>
    <row r="9249" hidden="1" ht="18.75" customFormat="1" customHeight="1" s="311"/>
    <row r="9250" hidden="1" ht="18.75" customFormat="1" customHeight="1" s="311"/>
    <row r="9251" hidden="1" ht="18.75" customFormat="1" customHeight="1" s="311"/>
    <row r="9252" hidden="1" ht="18.75" customFormat="1" customHeight="1" s="311"/>
    <row r="9253" hidden="1" ht="18.75" customFormat="1" customHeight="1" s="311"/>
    <row r="9254" hidden="1" ht="18.75" customFormat="1" customHeight="1" s="311"/>
    <row r="9255" hidden="1" ht="18.75" customFormat="1" customHeight="1" s="311"/>
    <row r="9256" hidden="1" ht="18.75" customFormat="1" customHeight="1" s="311"/>
    <row r="9257" hidden="1" ht="18.75" customFormat="1" customHeight="1" s="311"/>
    <row r="9258" hidden="1" ht="18.75" customFormat="1" customHeight="1" s="311"/>
    <row r="9259" hidden="1" ht="18.75" customFormat="1" customHeight="1" s="311"/>
    <row r="9260" hidden="1" ht="18.75" customFormat="1" customHeight="1" s="311"/>
    <row r="9261" hidden="1" ht="18.75" customFormat="1" customHeight="1" s="311"/>
    <row r="9262" hidden="1" ht="18.75" customFormat="1" customHeight="1" s="311"/>
    <row r="9263" hidden="1" ht="18.75" customFormat="1" customHeight="1" s="311"/>
    <row r="9264" hidden="1" ht="18.75" customFormat="1" customHeight="1" s="311"/>
    <row r="9265" hidden="1" ht="18.75" customFormat="1" customHeight="1" s="311"/>
    <row r="9266" hidden="1" ht="18.75" customFormat="1" customHeight="1" s="311"/>
    <row r="9267" hidden="1" ht="18.75" customFormat="1" customHeight="1" s="311"/>
    <row r="9268" hidden="1" ht="18.75" customFormat="1" customHeight="1" s="311"/>
    <row r="9269" hidden="1" ht="18.75" customFormat="1" customHeight="1" s="311"/>
    <row r="9270" hidden="1" ht="18.75" customFormat="1" customHeight="1" s="311"/>
    <row r="9271" hidden="1" ht="18.75" customFormat="1" customHeight="1" s="311"/>
    <row r="9272" hidden="1" ht="18.75" customFormat="1" customHeight="1" s="311"/>
    <row r="9273" hidden="1" ht="18.75" customFormat="1" customHeight="1" s="311"/>
    <row r="9274" hidden="1" ht="18.75" customFormat="1" customHeight="1" s="311"/>
    <row r="9275" hidden="1" ht="18.75" customFormat="1" customHeight="1" s="311"/>
    <row r="9276" hidden="1" ht="18.75" customFormat="1" customHeight="1" s="311"/>
    <row r="9277" hidden="1" ht="18.75" customFormat="1" customHeight="1" s="311"/>
    <row r="9278" hidden="1" ht="18.75" customFormat="1" customHeight="1" s="311"/>
    <row r="9279" hidden="1" ht="18.75" customFormat="1" customHeight="1" s="311"/>
    <row r="9280" hidden="1" ht="18.75" customFormat="1" customHeight="1" s="311"/>
    <row r="9281" hidden="1" ht="18.75" customFormat="1" customHeight="1" s="311"/>
    <row r="9282" hidden="1" ht="18.75" customFormat="1" customHeight="1" s="311"/>
    <row r="9283" hidden="1" ht="18.75" customFormat="1" customHeight="1" s="311"/>
    <row r="9284" hidden="1" ht="18.75" customFormat="1" customHeight="1" s="311"/>
    <row r="9285" hidden="1" ht="18.75" customFormat="1" customHeight="1" s="311"/>
    <row r="9286" hidden="1" ht="18.75" customFormat="1" customHeight="1" s="311"/>
    <row r="9287" hidden="1" ht="18.75" customFormat="1" customHeight="1" s="311"/>
    <row r="9288" hidden="1" ht="18.75" customFormat="1" customHeight="1" s="311"/>
    <row r="9289" hidden="1" ht="18.75" customFormat="1" customHeight="1" s="311"/>
    <row r="9290" hidden="1" ht="18.75" customFormat="1" customHeight="1" s="311"/>
    <row r="9291" hidden="1" ht="18.75" customFormat="1" customHeight="1" s="311"/>
    <row r="9292" hidden="1" ht="18.75" customFormat="1" customHeight="1" s="311"/>
    <row r="9293" hidden="1" ht="18.75" customFormat="1" customHeight="1" s="311"/>
    <row r="9294" hidden="1" ht="18.75" customFormat="1" customHeight="1" s="311"/>
    <row r="9295" hidden="1" ht="18.75" customFormat="1" customHeight="1" s="311"/>
    <row r="9296" hidden="1" ht="18.75" customFormat="1" customHeight="1" s="311"/>
    <row r="9297" hidden="1" ht="18.75" customFormat="1" customHeight="1" s="311"/>
    <row r="9298" hidden="1" ht="18.75" customFormat="1" customHeight="1" s="311"/>
    <row r="9299" hidden="1" ht="18.75" customFormat="1" customHeight="1" s="311"/>
    <row r="9300" hidden="1" ht="18.75" customFormat="1" customHeight="1" s="311"/>
    <row r="9301" hidden="1" ht="18.75" customFormat="1" customHeight="1" s="311"/>
    <row r="9302" hidden="1" ht="18.75" customFormat="1" customHeight="1" s="311"/>
    <row r="9303" hidden="1" ht="18.75" customFormat="1" customHeight="1" s="311"/>
    <row r="9304" hidden="1" ht="18.75" customFormat="1" customHeight="1" s="311"/>
    <row r="9305" hidden="1" ht="18.75" customFormat="1" customHeight="1" s="311"/>
    <row r="9306" hidden="1" ht="18.75" customFormat="1" customHeight="1" s="311"/>
    <row r="9307" hidden="1" ht="18.75" customFormat="1" customHeight="1" s="311"/>
    <row r="9308" hidden="1" ht="18.75" customFormat="1" customHeight="1" s="311"/>
    <row r="9309" hidden="1" ht="18.75" customFormat="1" customHeight="1" s="311"/>
    <row r="9310" hidden="1" ht="18.75" customFormat="1" customHeight="1" s="311"/>
    <row r="9311" hidden="1" ht="18.75" customFormat="1" customHeight="1" s="311"/>
    <row r="9312" hidden="1" ht="18.75" customFormat="1" customHeight="1" s="311"/>
    <row r="9313" hidden="1" ht="18.75" customFormat="1" customHeight="1" s="311"/>
    <row r="9314" hidden="1" ht="18.75" customFormat="1" customHeight="1" s="311"/>
    <row r="9315" hidden="1" ht="18.75" customFormat="1" customHeight="1" s="311"/>
    <row r="9316" hidden="1" ht="18.75" customFormat="1" customHeight="1" s="311"/>
    <row r="9317" hidden="1" ht="18.75" customFormat="1" customHeight="1" s="311"/>
    <row r="9318" hidden="1" ht="18.75" customFormat="1" customHeight="1" s="311"/>
    <row r="9319" hidden="1" ht="18.75" customFormat="1" customHeight="1" s="311"/>
    <row r="9320" hidden="1" ht="18.75" customFormat="1" customHeight="1" s="311"/>
    <row r="9321" hidden="1" ht="18.75" customFormat="1" customHeight="1" s="311"/>
    <row r="9322" hidden="1" ht="18.75" customFormat="1" customHeight="1" s="311"/>
    <row r="9323" hidden="1" ht="18.75" customFormat="1" customHeight="1" s="311"/>
    <row r="9324" hidden="1" ht="18.75" customFormat="1" customHeight="1" s="311"/>
    <row r="9325" hidden="1" ht="18.75" customFormat="1" customHeight="1" s="311"/>
    <row r="9326" hidden="1" ht="18.75" customFormat="1" customHeight="1" s="311"/>
    <row r="9327" hidden="1" ht="18.75" customFormat="1" customHeight="1" s="311"/>
    <row r="9328" hidden="1" ht="18.75" customFormat="1" customHeight="1" s="311"/>
    <row r="9329" hidden="1" ht="18.75" customFormat="1" customHeight="1" s="311"/>
    <row r="9330" hidden="1" ht="18.75" customFormat="1" customHeight="1" s="311"/>
    <row r="9331" hidden="1" ht="18.75" customFormat="1" customHeight="1" s="311"/>
    <row r="9332" hidden="1" ht="18.75" customFormat="1" customHeight="1" s="311"/>
    <row r="9333" hidden="1" ht="18.75" customFormat="1" customHeight="1" s="311"/>
    <row r="9334" hidden="1" ht="18.75" customFormat="1" customHeight="1" s="311"/>
    <row r="9335" hidden="1" ht="18.75" customFormat="1" customHeight="1" s="311"/>
    <row r="9336" hidden="1" ht="18.75" customFormat="1" customHeight="1" s="311"/>
    <row r="9337" hidden="1" ht="18.75" customFormat="1" customHeight="1" s="311"/>
    <row r="9338" hidden="1" ht="18.75" customFormat="1" customHeight="1" s="311"/>
    <row r="9339" hidden="1" ht="18.75" customFormat="1" customHeight="1" s="311"/>
    <row r="9340" hidden="1" ht="18.75" customFormat="1" customHeight="1" s="311"/>
    <row r="9341" hidden="1" ht="18.75" customFormat="1" customHeight="1" s="311"/>
    <row r="9342" hidden="1" ht="18.75" customFormat="1" customHeight="1" s="311"/>
    <row r="9343" hidden="1" ht="18.75" customFormat="1" customHeight="1" s="311"/>
    <row r="9344" hidden="1" ht="18.75" customFormat="1" customHeight="1" s="311"/>
    <row r="9345" hidden="1" ht="18.75" customFormat="1" customHeight="1" s="311"/>
    <row r="9346" hidden="1" ht="18.75" customFormat="1" customHeight="1" s="311"/>
    <row r="9347" hidden="1" ht="18.75" customFormat="1" customHeight="1" s="311"/>
    <row r="9348" hidden="1" ht="18.75" customFormat="1" customHeight="1" s="311"/>
    <row r="9349" hidden="1" ht="18.75" customFormat="1" customHeight="1" s="311"/>
    <row r="9350" hidden="1" ht="18.75" customFormat="1" customHeight="1" s="311"/>
    <row r="9351" hidden="1" ht="18.75" customFormat="1" customHeight="1" s="311"/>
    <row r="9352" hidden="1" ht="18.75" customFormat="1" customHeight="1" s="311"/>
    <row r="9353" hidden="1" ht="18.75" customFormat="1" customHeight="1" s="311"/>
    <row r="9354" hidden="1" ht="18.75" customFormat="1" customHeight="1" s="311"/>
    <row r="9355" hidden="1" ht="18.75" customFormat="1" customHeight="1" s="311"/>
    <row r="9356" hidden="1" ht="18.75" customFormat="1" customHeight="1" s="311"/>
    <row r="9357" hidden="1" ht="18.75" customFormat="1" customHeight="1" s="311"/>
    <row r="9358" hidden="1" ht="18.75" customFormat="1" customHeight="1" s="311"/>
    <row r="9359" hidden="1" ht="18.75" customFormat="1" customHeight="1" s="311"/>
    <row r="9360" hidden="1" ht="18.75" customFormat="1" customHeight="1" s="311"/>
    <row r="9361" hidden="1" ht="18.75" customFormat="1" customHeight="1" s="311"/>
    <row r="9362" hidden="1" ht="18.75" customFormat="1" customHeight="1" s="311"/>
    <row r="9363" hidden="1" ht="18.75" customFormat="1" customHeight="1" s="311"/>
    <row r="9364" hidden="1" ht="18.75" customFormat="1" customHeight="1" s="311"/>
    <row r="9365" hidden="1" ht="18.75" customFormat="1" customHeight="1" s="311"/>
    <row r="9366" hidden="1" ht="18.75" customFormat="1" customHeight="1" s="311"/>
    <row r="9367" hidden="1" ht="18.75" customFormat="1" customHeight="1" s="311"/>
    <row r="9368" hidden="1" ht="18.75" customFormat="1" customHeight="1" s="311"/>
    <row r="9369" hidden="1" ht="18.75" customFormat="1" customHeight="1" s="311"/>
    <row r="9370" hidden="1" ht="18.75" customFormat="1" customHeight="1" s="311"/>
    <row r="9371" hidden="1" ht="18.75" customFormat="1" customHeight="1" s="311"/>
    <row r="9372" hidden="1" ht="18.75" customFormat="1" customHeight="1" s="311"/>
    <row r="9373" hidden="1" ht="18.75" customFormat="1" customHeight="1" s="311"/>
    <row r="9374" hidden="1" ht="18.75" customFormat="1" customHeight="1" s="311"/>
    <row r="9375" hidden="1" ht="18.75" customFormat="1" customHeight="1" s="311"/>
    <row r="9376" hidden="1" ht="18.75" customFormat="1" customHeight="1" s="311"/>
    <row r="9377" hidden="1" ht="18.75" customFormat="1" customHeight="1" s="311"/>
    <row r="9378" hidden="1" ht="18.75" customFormat="1" customHeight="1" s="311"/>
    <row r="9379" hidden="1" ht="18.75" customFormat="1" customHeight="1" s="311"/>
    <row r="9380" hidden="1" ht="18.75" customFormat="1" customHeight="1" s="311"/>
    <row r="9381" hidden="1" ht="18.75" customFormat="1" customHeight="1" s="311"/>
    <row r="9382" hidden="1" ht="18.75" customFormat="1" customHeight="1" s="311"/>
    <row r="9383" hidden="1" ht="18.75" customFormat="1" customHeight="1" s="311"/>
    <row r="9384" hidden="1" ht="18.75" customFormat="1" customHeight="1" s="311"/>
    <row r="9385" hidden="1" ht="18.75" customFormat="1" customHeight="1" s="311"/>
    <row r="9386" hidden="1" ht="18.75" customFormat="1" customHeight="1" s="311"/>
    <row r="9387" hidden="1" ht="18.75" customFormat="1" customHeight="1" s="311"/>
    <row r="9388" hidden="1" ht="18.75" customFormat="1" customHeight="1" s="311"/>
    <row r="9389" hidden="1" ht="18.75" customFormat="1" customHeight="1" s="311"/>
    <row r="9390" hidden="1" ht="18.75" customFormat="1" customHeight="1" s="311"/>
    <row r="9391" hidden="1" ht="18.75" customFormat="1" customHeight="1" s="311"/>
    <row r="9392" hidden="1" ht="18.75" customFormat="1" customHeight="1" s="311"/>
    <row r="9393" hidden="1" ht="18.75" customFormat="1" customHeight="1" s="311"/>
    <row r="9394" hidden="1" ht="18.75" customFormat="1" customHeight="1" s="311"/>
    <row r="9395" hidden="1" ht="18.75" customFormat="1" customHeight="1" s="311"/>
    <row r="9396" hidden="1" ht="18.75" customFormat="1" customHeight="1" s="311"/>
    <row r="9397" hidden="1" ht="18.75" customFormat="1" customHeight="1" s="311"/>
    <row r="9398" hidden="1" ht="18.75" customFormat="1" customHeight="1" s="311"/>
    <row r="9399" hidden="1" ht="18.75" customFormat="1" customHeight="1" s="311"/>
    <row r="9400" hidden="1" ht="18.75" customFormat="1" customHeight="1" s="311"/>
    <row r="9401" hidden="1" ht="18.75" customFormat="1" customHeight="1" s="311"/>
    <row r="9402" hidden="1" ht="18.75" customFormat="1" customHeight="1" s="311"/>
    <row r="9403" hidden="1" ht="18.75" customFormat="1" customHeight="1" s="311"/>
    <row r="9404" hidden="1" ht="18.75" customFormat="1" customHeight="1" s="311"/>
    <row r="9405" hidden="1" ht="18.75" customFormat="1" customHeight="1" s="311"/>
    <row r="9406" hidden="1" ht="18.75" customFormat="1" customHeight="1" s="311"/>
    <row r="9407" hidden="1" ht="18.75" customFormat="1" customHeight="1" s="311"/>
    <row r="9408" hidden="1" ht="18.75" customFormat="1" customHeight="1" s="311"/>
    <row r="9409" hidden="1" ht="18.75" customFormat="1" customHeight="1" s="311"/>
    <row r="9410" hidden="1" ht="18.75" customFormat="1" customHeight="1" s="311"/>
    <row r="9411" hidden="1" ht="18.75" customFormat="1" customHeight="1" s="311"/>
    <row r="9412" hidden="1" ht="18.75" customFormat="1" customHeight="1" s="311"/>
    <row r="9413" hidden="1" ht="18.75" customFormat="1" customHeight="1" s="311"/>
    <row r="9414" hidden="1" ht="18.75" customFormat="1" customHeight="1" s="311"/>
    <row r="9415" hidden="1" ht="18.75" customFormat="1" customHeight="1" s="311"/>
    <row r="9416" hidden="1" ht="18.75" customFormat="1" customHeight="1" s="311"/>
    <row r="9417" hidden="1" ht="18.75" customFormat="1" customHeight="1" s="311"/>
    <row r="9418" hidden="1" ht="18.75" customFormat="1" customHeight="1" s="311"/>
    <row r="9419" hidden="1" ht="18.75" customFormat="1" customHeight="1" s="311"/>
    <row r="9420" hidden="1" ht="18.75" customFormat="1" customHeight="1" s="311"/>
    <row r="9421" hidden="1" ht="18.75" customFormat="1" customHeight="1" s="311"/>
    <row r="9422" hidden="1" ht="18.75" customFormat="1" customHeight="1" s="311"/>
    <row r="9423" hidden="1" ht="18.75" customFormat="1" customHeight="1" s="311"/>
    <row r="9424" hidden="1" ht="18.75" customFormat="1" customHeight="1" s="311"/>
    <row r="9425" hidden="1" ht="18.75" customFormat="1" customHeight="1" s="311"/>
    <row r="9426" hidden="1" ht="18.75" customFormat="1" customHeight="1" s="311"/>
    <row r="9427" hidden="1" ht="18.75" customFormat="1" customHeight="1" s="311"/>
    <row r="9428" hidden="1" ht="18.75" customFormat="1" customHeight="1" s="311"/>
    <row r="9429" hidden="1" ht="18.75" customFormat="1" customHeight="1" s="311"/>
    <row r="9430" hidden="1" ht="18.75" customFormat="1" customHeight="1" s="311"/>
    <row r="9431" hidden="1" ht="18.75" customFormat="1" customHeight="1" s="311"/>
    <row r="9432" hidden="1" ht="18.75" customFormat="1" customHeight="1" s="311"/>
    <row r="9433" hidden="1" ht="18.75" customFormat="1" customHeight="1" s="311"/>
    <row r="9434" hidden="1" ht="18.75" customFormat="1" customHeight="1" s="311"/>
    <row r="9435" hidden="1" ht="18.75" customFormat="1" customHeight="1" s="311"/>
    <row r="9436" hidden="1" ht="18.75" customFormat="1" customHeight="1" s="311"/>
    <row r="9437" hidden="1" ht="18.75" customFormat="1" customHeight="1" s="311"/>
    <row r="9438" hidden="1" ht="18.75" customFormat="1" customHeight="1" s="311"/>
    <row r="9439" hidden="1" ht="18.75" customFormat="1" customHeight="1" s="311"/>
    <row r="9440" hidden="1" ht="18.75" customFormat="1" customHeight="1" s="311"/>
    <row r="9441" hidden="1" ht="18.75" customFormat="1" customHeight="1" s="311"/>
    <row r="9442" hidden="1" ht="18.75" customFormat="1" customHeight="1" s="311"/>
    <row r="9443" hidden="1" ht="18.75" customFormat="1" customHeight="1" s="311"/>
    <row r="9444" hidden="1" ht="18.75" customFormat="1" customHeight="1" s="311"/>
    <row r="9445" hidden="1" ht="18.75" customFormat="1" customHeight="1" s="311"/>
    <row r="9446" hidden="1" ht="18.75" customFormat="1" customHeight="1" s="311"/>
    <row r="9447" hidden="1" ht="18.75" customFormat="1" customHeight="1" s="311"/>
    <row r="9448" hidden="1" ht="18.75" customFormat="1" customHeight="1" s="311"/>
    <row r="9449" hidden="1" ht="18.75" customFormat="1" customHeight="1" s="311"/>
    <row r="9450" hidden="1" ht="18.75" customFormat="1" customHeight="1" s="311"/>
    <row r="9451" hidden="1" ht="18.75" customFormat="1" customHeight="1" s="311"/>
    <row r="9452" hidden="1" ht="18.75" customFormat="1" customHeight="1" s="311"/>
    <row r="9453" hidden="1" ht="18.75" customFormat="1" customHeight="1" s="311"/>
    <row r="9454" hidden="1" ht="18.75" customFormat="1" customHeight="1" s="311"/>
    <row r="9455" hidden="1" ht="18.75" customFormat="1" customHeight="1" s="311"/>
    <row r="9456" hidden="1" ht="18.75" customFormat="1" customHeight="1" s="311"/>
    <row r="9457" hidden="1" ht="18.75" customFormat="1" customHeight="1" s="311"/>
    <row r="9458" hidden="1" ht="18.75" customFormat="1" customHeight="1" s="311"/>
    <row r="9459" hidden="1" ht="18.75" customFormat="1" customHeight="1" s="311"/>
    <row r="9460" hidden="1" ht="18.75" customFormat="1" customHeight="1" s="311"/>
    <row r="9461" hidden="1" ht="18.75" customFormat="1" customHeight="1" s="311"/>
    <row r="9462" hidden="1" ht="18.75" customFormat="1" customHeight="1" s="311"/>
    <row r="9463" hidden="1" ht="18.75" customFormat="1" customHeight="1" s="311"/>
    <row r="9464" hidden="1" ht="18.75" customFormat="1" customHeight="1" s="311"/>
    <row r="9465" hidden="1" ht="18.75" customFormat="1" customHeight="1" s="311"/>
    <row r="9466" hidden="1" ht="18.75" customFormat="1" customHeight="1" s="311"/>
    <row r="9467" hidden="1" ht="18.75" customFormat="1" customHeight="1" s="311"/>
    <row r="9468" hidden="1" ht="18.75" customFormat="1" customHeight="1" s="311"/>
    <row r="9469" hidden="1" ht="18.75" customFormat="1" customHeight="1" s="311"/>
    <row r="9470" hidden="1" ht="18.75" customFormat="1" customHeight="1" s="311"/>
    <row r="9471" hidden="1" ht="18.75" customFormat="1" customHeight="1" s="311"/>
    <row r="9472" hidden="1" ht="18.75" customFormat="1" customHeight="1" s="311"/>
    <row r="9473" hidden="1" ht="18.75" customFormat="1" customHeight="1" s="311"/>
    <row r="9474" hidden="1" ht="18.75" customFormat="1" customHeight="1" s="311"/>
    <row r="9475" hidden="1" ht="18.75" customFormat="1" customHeight="1" s="311"/>
    <row r="9476" hidden="1" ht="18.75" customFormat="1" customHeight="1" s="311"/>
    <row r="9477" hidden="1" ht="18.75" customFormat="1" customHeight="1" s="311"/>
    <row r="9478" hidden="1" ht="18.75" customFormat="1" customHeight="1" s="311"/>
    <row r="9479" hidden="1" ht="18.75" customFormat="1" customHeight="1" s="311"/>
    <row r="9480" hidden="1" ht="18.75" customFormat="1" customHeight="1" s="311"/>
    <row r="9481" hidden="1" ht="18.75" customFormat="1" customHeight="1" s="311"/>
    <row r="9482" hidden="1" ht="18.75" customFormat="1" customHeight="1" s="311"/>
    <row r="9483" hidden="1" ht="18.75" customFormat="1" customHeight="1" s="311"/>
    <row r="9484" hidden="1" ht="18.75" customFormat="1" customHeight="1" s="311"/>
    <row r="9485" hidden="1" ht="18.75" customFormat="1" customHeight="1" s="311"/>
    <row r="9486" hidden="1" ht="18.75" customFormat="1" customHeight="1" s="311"/>
    <row r="9487" hidden="1" ht="18.75" customFormat="1" customHeight="1" s="311"/>
    <row r="9488" hidden="1" ht="18.75" customFormat="1" customHeight="1" s="311"/>
    <row r="9489" hidden="1" ht="18.75" customFormat="1" customHeight="1" s="311"/>
    <row r="9490" hidden="1" ht="18.75" customFormat="1" customHeight="1" s="311"/>
    <row r="9491" hidden="1" ht="18.75" customFormat="1" customHeight="1" s="311"/>
    <row r="9492" hidden="1" ht="18.75" customFormat="1" customHeight="1" s="311"/>
    <row r="9493" hidden="1" ht="18.75" customFormat="1" customHeight="1" s="311"/>
    <row r="9494" hidden="1" ht="18.75" customFormat="1" customHeight="1" s="311"/>
    <row r="9495" hidden="1" ht="18.75" customFormat="1" customHeight="1" s="311"/>
    <row r="9496" hidden="1" ht="18.75" customFormat="1" customHeight="1" s="311"/>
    <row r="9497" hidden="1" ht="18.75" customFormat="1" customHeight="1" s="311"/>
    <row r="9498" hidden="1" ht="18.75" customFormat="1" customHeight="1" s="311"/>
    <row r="9499" hidden="1" ht="18.75" customFormat="1" customHeight="1" s="311"/>
    <row r="9500" hidden="1" ht="18.75" customFormat="1" customHeight="1" s="311"/>
    <row r="9501" hidden="1" ht="18.75" customFormat="1" customHeight="1" s="311"/>
    <row r="9502" hidden="1" ht="18.75" customFormat="1" customHeight="1" s="311"/>
    <row r="9503" hidden="1" ht="18.75" customFormat="1" customHeight="1" s="311"/>
    <row r="9504" hidden="1" ht="18.75" customFormat="1" customHeight="1" s="311"/>
    <row r="9505" hidden="1" ht="18.75" customFormat="1" customHeight="1" s="311"/>
    <row r="9506" hidden="1" ht="18.75" customFormat="1" customHeight="1" s="311"/>
    <row r="9507" hidden="1" ht="18.75" customFormat="1" customHeight="1" s="311"/>
    <row r="9508" hidden="1" ht="18.75" customFormat="1" customHeight="1" s="311"/>
    <row r="9509" hidden="1" ht="18.75" customFormat="1" customHeight="1" s="311"/>
    <row r="9510" hidden="1" ht="18.75" customFormat="1" customHeight="1" s="311"/>
    <row r="9511" hidden="1" ht="18.75" customFormat="1" customHeight="1" s="311"/>
    <row r="9512" hidden="1" ht="18.75" customFormat="1" customHeight="1" s="311"/>
    <row r="9513" hidden="1" ht="18.75" customFormat="1" customHeight="1" s="311"/>
    <row r="9514" hidden="1" ht="18.75" customFormat="1" customHeight="1" s="311"/>
    <row r="9515" hidden="1" ht="18.75" customFormat="1" customHeight="1" s="311"/>
    <row r="9516" hidden="1" ht="18.75" customFormat="1" customHeight="1" s="311"/>
    <row r="9517" hidden="1" ht="18.75" customFormat="1" customHeight="1" s="311"/>
    <row r="9518" hidden="1" ht="18.75" customFormat="1" customHeight="1" s="311"/>
    <row r="9519" hidden="1" ht="18.75" customFormat="1" customHeight="1" s="311"/>
    <row r="9520" hidden="1" ht="18.75" customFormat="1" customHeight="1" s="311"/>
    <row r="9521" hidden="1" ht="18.75" customFormat="1" customHeight="1" s="311"/>
    <row r="9522" hidden="1" ht="18.75" customFormat="1" customHeight="1" s="311"/>
    <row r="9523" hidden="1" ht="18.75" customFormat="1" customHeight="1" s="311"/>
    <row r="9524" hidden="1" ht="18.75" customFormat="1" customHeight="1" s="311"/>
    <row r="9525" hidden="1" ht="18.75" customFormat="1" customHeight="1" s="311"/>
    <row r="9526" hidden="1" ht="18.75" customFormat="1" customHeight="1" s="311"/>
    <row r="9527" hidden="1" ht="18.75" customFormat="1" customHeight="1" s="311"/>
    <row r="9528" hidden="1" ht="18.75" customFormat="1" customHeight="1" s="311"/>
    <row r="9529" hidden="1" ht="18.75" customFormat="1" customHeight="1" s="311"/>
    <row r="9530" hidden="1" ht="18.75" customFormat="1" customHeight="1" s="311"/>
    <row r="9531" hidden="1" ht="18.75" customFormat="1" customHeight="1" s="311"/>
    <row r="9532" hidden="1" ht="18.75" customFormat="1" customHeight="1" s="311"/>
    <row r="9533" hidden="1" ht="18.75" customFormat="1" customHeight="1" s="311"/>
    <row r="9534" hidden="1" ht="18.75" customFormat="1" customHeight="1" s="311"/>
    <row r="9535" hidden="1" ht="18.75" customFormat="1" customHeight="1" s="311"/>
    <row r="9536" hidden="1" ht="18.75" customFormat="1" customHeight="1" s="311"/>
    <row r="9537" hidden="1" ht="18.75" customFormat="1" customHeight="1" s="311"/>
    <row r="9538" hidden="1" ht="18.75" customFormat="1" customHeight="1" s="311"/>
    <row r="9539" hidden="1" ht="18.75" customFormat="1" customHeight="1" s="311"/>
    <row r="9540" hidden="1" ht="18.75" customFormat="1" customHeight="1" s="311"/>
    <row r="9541" hidden="1" ht="18.75" customFormat="1" customHeight="1" s="311"/>
    <row r="9542" hidden="1" ht="18.75" customFormat="1" customHeight="1" s="311"/>
    <row r="9543" hidden="1" ht="18.75" customFormat="1" customHeight="1" s="311"/>
    <row r="9544" hidden="1" ht="18.75" customFormat="1" customHeight="1" s="311"/>
    <row r="9545" hidden="1" ht="18.75" customFormat="1" customHeight="1" s="311"/>
    <row r="9546" hidden="1" ht="18.75" customFormat="1" customHeight="1" s="311"/>
    <row r="9547" hidden="1" ht="18.75" customFormat="1" customHeight="1" s="311"/>
    <row r="9548" hidden="1" ht="18.75" customFormat="1" customHeight="1" s="311"/>
    <row r="9549" hidden="1" ht="18.75" customFormat="1" customHeight="1" s="311"/>
    <row r="9550" hidden="1" ht="18.75" customFormat="1" customHeight="1" s="311"/>
    <row r="9551" hidden="1" ht="18.75" customFormat="1" customHeight="1" s="311"/>
    <row r="9552" hidden="1" ht="18.75" customFormat="1" customHeight="1" s="311"/>
    <row r="9553" hidden="1" ht="18.75" customFormat="1" customHeight="1" s="311"/>
    <row r="9554" hidden="1" ht="18.75" customFormat="1" customHeight="1" s="311"/>
    <row r="9555" hidden="1" ht="18.75" customFormat="1" customHeight="1" s="311"/>
    <row r="9556" hidden="1" ht="18.75" customFormat="1" customHeight="1" s="311"/>
    <row r="9557" hidden="1" ht="18.75" customFormat="1" customHeight="1" s="311"/>
    <row r="9558" hidden="1" ht="18.75" customFormat="1" customHeight="1" s="311"/>
    <row r="9559" hidden="1" ht="18.75" customFormat="1" customHeight="1" s="311"/>
    <row r="9560" hidden="1" ht="18.75" customFormat="1" customHeight="1" s="311"/>
    <row r="9561" hidden="1" ht="18.75" customFormat="1" customHeight="1" s="311"/>
    <row r="9562" hidden="1" ht="18.75" customFormat="1" customHeight="1" s="311"/>
    <row r="9563" hidden="1" ht="18.75" customFormat="1" customHeight="1" s="311"/>
    <row r="9564" hidden="1" ht="18.75" customFormat="1" customHeight="1" s="311"/>
    <row r="9565" hidden="1" ht="18.75" customFormat="1" customHeight="1" s="311"/>
    <row r="9566" hidden="1" ht="18.75" customFormat="1" customHeight="1" s="311"/>
    <row r="9567" hidden="1" ht="18.75" customFormat="1" customHeight="1" s="311"/>
    <row r="9568" hidden="1" ht="18.75" customFormat="1" customHeight="1" s="311"/>
    <row r="9569" hidden="1" ht="18.75" customFormat="1" customHeight="1" s="311"/>
    <row r="9570" hidden="1" ht="18.75" customFormat="1" customHeight="1" s="311"/>
    <row r="9571" hidden="1" ht="18.75" customFormat="1" customHeight="1" s="311"/>
    <row r="9572" hidden="1" ht="18.75" customFormat="1" customHeight="1" s="311"/>
    <row r="9573" hidden="1" ht="18.75" customFormat="1" customHeight="1" s="311"/>
    <row r="9574" hidden="1" ht="18.75" customFormat="1" customHeight="1" s="311"/>
    <row r="9575" hidden="1" ht="18.75" customFormat="1" customHeight="1" s="311"/>
    <row r="9576" hidden="1" ht="18.75" customFormat="1" customHeight="1" s="311"/>
    <row r="9577" hidden="1" ht="18.75" customFormat="1" customHeight="1" s="311"/>
    <row r="9578" hidden="1" ht="18.75" customFormat="1" customHeight="1" s="311"/>
    <row r="9579" hidden="1" ht="18.75" customFormat="1" customHeight="1" s="311"/>
    <row r="9580" hidden="1" ht="18.75" customFormat="1" customHeight="1" s="311"/>
    <row r="9581" hidden="1" ht="18.75" customFormat="1" customHeight="1" s="311"/>
    <row r="9582" hidden="1" ht="18.75" customFormat="1" customHeight="1" s="311"/>
    <row r="9583" hidden="1" ht="18.75" customFormat="1" customHeight="1" s="311"/>
    <row r="9584" hidden="1" ht="18.75" customFormat="1" customHeight="1" s="311"/>
    <row r="9585" hidden="1" ht="18.75" customFormat="1" customHeight="1" s="311"/>
    <row r="9586" hidden="1" ht="18.75" customFormat="1" customHeight="1" s="311"/>
    <row r="9587" hidden="1" ht="18.75" customFormat="1" customHeight="1" s="311"/>
    <row r="9588" hidden="1" ht="18.75" customFormat="1" customHeight="1" s="311"/>
    <row r="9589" hidden="1" ht="18.75" customFormat="1" customHeight="1" s="311"/>
    <row r="9590" hidden="1" ht="18.75" customFormat="1" customHeight="1" s="311"/>
    <row r="9591" hidden="1" ht="18.75" customFormat="1" customHeight="1" s="311"/>
    <row r="9592" hidden="1" ht="18.75" customFormat="1" customHeight="1" s="311"/>
    <row r="9593" hidden="1" ht="18.75" customFormat="1" customHeight="1" s="311"/>
    <row r="9594" hidden="1" ht="18.75" customFormat="1" customHeight="1" s="311"/>
    <row r="9595" hidden="1" ht="18.75" customFormat="1" customHeight="1" s="311"/>
    <row r="9596" hidden="1" ht="18.75" customFormat="1" customHeight="1" s="311"/>
    <row r="9597" hidden="1" ht="18.75" customFormat="1" customHeight="1" s="311"/>
    <row r="9598" hidden="1" ht="18.75" customFormat="1" customHeight="1" s="311"/>
    <row r="9599" hidden="1" ht="18.75" customFormat="1" customHeight="1" s="311"/>
    <row r="9600" hidden="1" ht="18.75" customFormat="1" customHeight="1" s="311"/>
    <row r="9601" hidden="1" ht="18.75" customFormat="1" customHeight="1" s="311"/>
    <row r="9602" hidden="1" ht="18.75" customFormat="1" customHeight="1" s="311"/>
    <row r="9603" hidden="1" ht="18.75" customFormat="1" customHeight="1" s="311"/>
    <row r="9604" hidden="1" ht="18.75" customFormat="1" customHeight="1" s="311"/>
    <row r="9605" hidden="1" ht="18.75" customFormat="1" customHeight="1" s="311"/>
    <row r="9606" hidden="1" ht="18.75" customFormat="1" customHeight="1" s="311"/>
    <row r="9607" hidden="1" ht="18.75" customFormat="1" customHeight="1" s="311"/>
    <row r="9608" hidden="1" ht="18.75" customFormat="1" customHeight="1" s="311"/>
    <row r="9609" hidden="1" ht="18.75" customFormat="1" customHeight="1" s="311"/>
    <row r="9610" hidden="1" ht="18.75" customFormat="1" customHeight="1" s="311"/>
    <row r="9611" hidden="1" ht="18.75" customFormat="1" customHeight="1" s="311"/>
    <row r="9612" hidden="1" ht="18.75" customFormat="1" customHeight="1" s="311"/>
    <row r="9613" hidden="1" ht="18.75" customFormat="1" customHeight="1" s="311"/>
    <row r="9614" hidden="1" ht="18.75" customFormat="1" customHeight="1" s="311"/>
    <row r="9615" hidden="1" ht="18.75" customFormat="1" customHeight="1" s="311"/>
    <row r="9616" hidden="1" ht="18.75" customFormat="1" customHeight="1" s="311"/>
    <row r="9617" hidden="1" ht="18.75" customFormat="1" customHeight="1" s="311"/>
    <row r="9618" hidden="1" ht="18.75" customFormat="1" customHeight="1" s="311"/>
    <row r="9619" hidden="1" ht="18.75" customFormat="1" customHeight="1" s="311"/>
    <row r="9620" hidden="1" ht="18.75" customFormat="1" customHeight="1" s="311"/>
    <row r="9621" hidden="1" ht="18.75" customFormat="1" customHeight="1" s="311"/>
    <row r="9622" hidden="1" ht="18.75" customFormat="1" customHeight="1" s="311"/>
    <row r="9623" hidden="1" ht="18.75" customFormat="1" customHeight="1" s="311"/>
    <row r="9624" hidden="1" ht="18.75" customFormat="1" customHeight="1" s="311"/>
    <row r="9625" hidden="1" ht="18.75" customFormat="1" customHeight="1" s="311"/>
    <row r="9626" hidden="1" ht="18.75" customFormat="1" customHeight="1" s="311"/>
    <row r="9627" hidden="1" ht="18.75" customFormat="1" customHeight="1" s="311"/>
    <row r="9628" hidden="1" ht="18.75" customFormat="1" customHeight="1" s="311"/>
    <row r="9629" hidden="1" ht="18.75" customFormat="1" customHeight="1" s="311"/>
    <row r="9630" hidden="1" ht="18.75" customFormat="1" customHeight="1" s="311"/>
    <row r="9631" hidden="1" ht="18.75" customFormat="1" customHeight="1" s="311"/>
    <row r="9632" hidden="1" ht="18.75" customFormat="1" customHeight="1" s="311"/>
    <row r="9633" hidden="1" ht="18.75" customFormat="1" customHeight="1" s="311"/>
    <row r="9634" hidden="1" ht="18.75" customFormat="1" customHeight="1" s="311"/>
    <row r="9635" hidden="1" ht="18.75" customFormat="1" customHeight="1" s="311"/>
    <row r="9636" hidden="1" ht="18.75" customFormat="1" customHeight="1" s="311"/>
    <row r="9637" hidden="1" ht="18.75" customFormat="1" customHeight="1" s="311"/>
    <row r="9638" hidden="1" ht="18.75" customFormat="1" customHeight="1" s="311"/>
    <row r="9639" hidden="1" ht="18.75" customFormat="1" customHeight="1" s="311"/>
    <row r="9640" hidden="1" ht="18.75" customFormat="1" customHeight="1" s="311"/>
    <row r="9641" hidden="1" ht="18.75" customFormat="1" customHeight="1" s="311"/>
    <row r="9642" hidden="1" ht="18.75" customFormat="1" customHeight="1" s="311"/>
    <row r="9643" hidden="1" ht="18.75" customFormat="1" customHeight="1" s="311"/>
    <row r="9644" hidden="1" ht="18.75" customFormat="1" customHeight="1" s="311"/>
    <row r="9645" hidden="1" ht="18.75" customFormat="1" customHeight="1" s="311"/>
    <row r="9646" hidden="1" ht="18.75" customFormat="1" customHeight="1" s="311"/>
    <row r="9647" hidden="1" ht="18.75" customFormat="1" customHeight="1" s="311"/>
    <row r="9648" hidden="1" ht="18.75" customFormat="1" customHeight="1" s="311"/>
    <row r="9649" hidden="1" ht="18.75" customFormat="1" customHeight="1" s="311"/>
    <row r="9650" hidden="1" ht="18.75" customFormat="1" customHeight="1" s="311"/>
    <row r="9651" hidden="1" ht="18.75" customFormat="1" customHeight="1" s="311"/>
    <row r="9652" hidden="1" ht="18.75" customFormat="1" customHeight="1" s="311"/>
    <row r="9653" hidden="1" ht="18.75" customFormat="1" customHeight="1" s="311"/>
    <row r="9654" hidden="1" ht="18.75" customFormat="1" customHeight="1" s="311"/>
    <row r="9655" hidden="1" ht="18.75" customFormat="1" customHeight="1" s="311"/>
    <row r="9656" hidden="1" ht="18.75" customFormat="1" customHeight="1" s="311"/>
    <row r="9657" hidden="1" ht="18.75" customFormat="1" customHeight="1" s="311"/>
    <row r="9658" hidden="1" ht="18.75" customFormat="1" customHeight="1" s="311"/>
    <row r="9659" hidden="1" ht="18.75" customFormat="1" customHeight="1" s="311"/>
    <row r="9660" hidden="1" ht="18.75" customFormat="1" customHeight="1" s="311"/>
    <row r="9661" hidden="1" ht="18.75" customFormat="1" customHeight="1" s="311"/>
    <row r="9662" hidden="1" ht="18.75" customFormat="1" customHeight="1" s="311"/>
    <row r="9663" hidden="1" ht="18.75" customFormat="1" customHeight="1" s="311"/>
    <row r="9664" hidden="1" ht="18.75" customFormat="1" customHeight="1" s="311"/>
    <row r="9665" hidden="1" ht="18.75" customFormat="1" customHeight="1" s="311"/>
    <row r="9666" hidden="1" ht="18.75" customFormat="1" customHeight="1" s="311"/>
    <row r="9667" hidden="1" ht="18.75" customFormat="1" customHeight="1" s="311"/>
    <row r="9668" hidden="1" ht="18.75" customFormat="1" customHeight="1" s="311"/>
    <row r="9669" hidden="1" ht="18.75" customFormat="1" customHeight="1" s="311"/>
    <row r="9670" hidden="1" ht="18.75" customFormat="1" customHeight="1" s="311"/>
    <row r="9671" hidden="1" ht="18.75" customFormat="1" customHeight="1" s="311"/>
    <row r="9672" hidden="1" ht="18.75" customFormat="1" customHeight="1" s="311"/>
    <row r="9673" hidden="1" ht="18.75" customFormat="1" customHeight="1" s="311"/>
    <row r="9674" hidden="1" ht="18.75" customFormat="1" customHeight="1" s="311"/>
    <row r="9675" hidden="1" ht="18.75" customFormat="1" customHeight="1" s="311"/>
    <row r="9676" hidden="1" ht="18.75" customFormat="1" customHeight="1" s="311"/>
    <row r="9677" hidden="1" ht="18.75" customFormat="1" customHeight="1" s="311"/>
    <row r="9678" hidden="1" ht="18.75" customFormat="1" customHeight="1" s="311"/>
    <row r="9679" hidden="1" ht="18.75" customFormat="1" customHeight="1" s="311"/>
    <row r="9680" hidden="1" ht="18.75" customFormat="1" customHeight="1" s="311"/>
    <row r="9681" hidden="1" ht="18.75" customFormat="1" customHeight="1" s="311"/>
    <row r="9682" hidden="1" ht="18.75" customFormat="1" customHeight="1" s="311"/>
    <row r="9683" hidden="1" ht="18.75" customFormat="1" customHeight="1" s="311"/>
    <row r="9684" hidden="1" ht="18.75" customFormat="1" customHeight="1" s="311"/>
    <row r="9685" hidden="1" ht="18.75" customFormat="1" customHeight="1" s="311"/>
    <row r="9686" hidden="1" ht="18.75" customFormat="1" customHeight="1" s="311"/>
    <row r="9687" hidden="1" ht="18.75" customFormat="1" customHeight="1" s="311"/>
    <row r="9688" hidden="1" ht="18.75" customFormat="1" customHeight="1" s="311"/>
    <row r="9689" hidden="1" ht="18.75" customFormat="1" customHeight="1" s="311"/>
    <row r="9690" hidden="1" ht="18.75" customFormat="1" customHeight="1" s="311"/>
    <row r="9691" hidden="1" ht="18.75" customFormat="1" customHeight="1" s="311"/>
    <row r="9692" hidden="1" ht="18.75" customFormat="1" customHeight="1" s="311"/>
    <row r="9693" hidden="1" ht="18.75" customFormat="1" customHeight="1" s="311"/>
    <row r="9694" hidden="1" ht="18.75" customFormat="1" customHeight="1" s="311"/>
    <row r="9695" hidden="1" ht="18.75" customFormat="1" customHeight="1" s="311"/>
    <row r="9696" hidden="1" ht="18.75" customFormat="1" customHeight="1" s="311"/>
    <row r="9697" hidden="1" ht="18.75" customFormat="1" customHeight="1" s="311"/>
    <row r="9698" hidden="1" ht="18.75" customFormat="1" customHeight="1" s="311"/>
    <row r="9699" hidden="1" ht="18.75" customFormat="1" customHeight="1" s="311"/>
    <row r="9700" hidden="1" ht="18.75" customFormat="1" customHeight="1" s="311"/>
    <row r="9701" hidden="1" ht="18.75" customFormat="1" customHeight="1" s="311"/>
    <row r="9702" hidden="1" ht="18.75" customFormat="1" customHeight="1" s="311"/>
    <row r="9703" hidden="1" ht="18.75" customFormat="1" customHeight="1" s="311"/>
    <row r="9704" hidden="1" ht="18.75" customFormat="1" customHeight="1" s="311"/>
    <row r="9705" hidden="1" ht="18.75" customFormat="1" customHeight="1" s="311"/>
    <row r="9706" hidden="1" ht="18.75" customFormat="1" customHeight="1" s="311"/>
    <row r="9707" hidden="1" ht="18.75" customFormat="1" customHeight="1" s="311"/>
    <row r="9708" hidden="1" ht="18.75" customFormat="1" customHeight="1" s="311"/>
    <row r="9709" hidden="1" ht="18.75" customFormat="1" customHeight="1" s="311"/>
    <row r="9710" hidden="1" ht="18.75" customFormat="1" customHeight="1" s="311"/>
    <row r="9711" hidden="1" ht="18.75" customFormat="1" customHeight="1" s="311"/>
    <row r="9712" hidden="1" ht="18.75" customFormat="1" customHeight="1" s="311"/>
    <row r="9713" hidden="1" ht="18.75" customFormat="1" customHeight="1" s="311"/>
    <row r="9714" hidden="1" ht="18.75" customFormat="1" customHeight="1" s="311"/>
    <row r="9715" hidden="1" ht="18.75" customFormat="1" customHeight="1" s="311"/>
    <row r="9716" hidden="1" ht="18.75" customFormat="1" customHeight="1" s="311"/>
    <row r="9717" hidden="1" ht="18.75" customFormat="1" customHeight="1" s="311"/>
    <row r="9718" hidden="1" ht="18.75" customFormat="1" customHeight="1" s="311"/>
    <row r="9719" hidden="1" ht="18.75" customFormat="1" customHeight="1" s="311"/>
    <row r="9720" hidden="1" ht="18.75" customFormat="1" customHeight="1" s="311"/>
    <row r="9721" hidden="1" ht="18.75" customFormat="1" customHeight="1" s="311"/>
    <row r="9722" hidden="1" ht="18.75" customFormat="1" customHeight="1" s="311"/>
    <row r="9723" hidden="1" ht="18.75" customFormat="1" customHeight="1" s="311"/>
    <row r="9724" hidden="1" ht="18.75" customFormat="1" customHeight="1" s="311"/>
    <row r="9725" hidden="1" ht="18.75" customFormat="1" customHeight="1" s="311"/>
    <row r="9726" hidden="1" ht="18.75" customFormat="1" customHeight="1" s="311"/>
    <row r="9727" hidden="1" ht="18.75" customFormat="1" customHeight="1" s="311"/>
    <row r="9728" hidden="1" ht="18.75" customFormat="1" customHeight="1" s="311"/>
    <row r="9729" hidden="1" ht="18.75" customFormat="1" customHeight="1" s="311"/>
    <row r="9730" hidden="1" ht="18.75" customFormat="1" customHeight="1" s="311"/>
    <row r="9731" hidden="1" ht="18.75" customFormat="1" customHeight="1" s="311"/>
    <row r="9732" hidden="1" ht="18.75" customFormat="1" customHeight="1" s="311"/>
    <row r="9733" hidden="1" ht="18.75" customFormat="1" customHeight="1" s="311"/>
    <row r="9734" hidden="1" ht="18.75" customFormat="1" customHeight="1" s="311"/>
    <row r="9735" hidden="1" ht="18.75" customFormat="1" customHeight="1" s="311"/>
    <row r="9736" hidden="1" ht="18.75" customFormat="1" customHeight="1" s="311"/>
    <row r="9737" hidden="1" ht="18.75" customFormat="1" customHeight="1" s="311"/>
    <row r="9738" hidden="1" ht="18.75" customFormat="1" customHeight="1" s="311"/>
    <row r="9739" hidden="1" ht="18.75" customFormat="1" customHeight="1" s="311"/>
    <row r="9740" hidden="1" ht="18.75" customFormat="1" customHeight="1" s="311"/>
    <row r="9741" hidden="1" ht="18.75" customFormat="1" customHeight="1" s="311"/>
    <row r="9742" hidden="1" ht="18.75" customFormat="1" customHeight="1" s="311"/>
    <row r="9743" hidden="1" ht="18.75" customFormat="1" customHeight="1" s="311"/>
    <row r="9744" hidden="1" ht="18.75" customFormat="1" customHeight="1" s="311"/>
    <row r="9745" hidden="1" ht="18.75" customFormat="1" customHeight="1" s="311"/>
    <row r="9746" hidden="1" ht="18.75" customFormat="1" customHeight="1" s="311"/>
    <row r="9747" hidden="1" ht="18.75" customFormat="1" customHeight="1" s="311"/>
    <row r="9748" hidden="1" ht="18.75" customFormat="1" customHeight="1" s="311"/>
    <row r="9749" hidden="1" ht="18.75" customFormat="1" customHeight="1" s="311"/>
    <row r="9750" hidden="1" ht="18.75" customFormat="1" customHeight="1" s="311"/>
    <row r="9751" hidden="1" ht="18.75" customFormat="1" customHeight="1" s="311"/>
    <row r="9752" hidden="1" ht="18.75" customFormat="1" customHeight="1" s="311"/>
    <row r="9753" hidden="1" ht="18.75" customFormat="1" customHeight="1" s="311"/>
    <row r="9754" hidden="1" ht="18.75" customFormat="1" customHeight="1" s="311"/>
    <row r="9755" hidden="1" ht="18.75" customFormat="1" customHeight="1" s="311"/>
    <row r="9756" hidden="1" ht="18.75" customFormat="1" customHeight="1" s="311"/>
    <row r="9757" hidden="1" ht="18.75" customFormat="1" customHeight="1" s="311"/>
    <row r="9758" hidden="1" ht="18.75" customFormat="1" customHeight="1" s="311"/>
    <row r="9759" hidden="1" ht="18.75" customFormat="1" customHeight="1" s="311"/>
    <row r="9760" hidden="1" ht="18.75" customFormat="1" customHeight="1" s="311"/>
    <row r="9761" hidden="1" ht="18.75" customFormat="1" customHeight="1" s="311"/>
    <row r="9762" hidden="1" ht="18.75" customFormat="1" customHeight="1" s="311"/>
    <row r="9763" hidden="1" ht="18.75" customFormat="1" customHeight="1" s="311"/>
    <row r="9764" hidden="1" ht="18.75" customFormat="1" customHeight="1" s="311"/>
    <row r="9765" hidden="1" ht="18.75" customFormat="1" customHeight="1" s="311"/>
    <row r="9766" hidden="1" ht="18.75" customFormat="1" customHeight="1" s="311"/>
    <row r="9767" hidden="1" ht="18.75" customFormat="1" customHeight="1" s="311"/>
    <row r="9768" hidden="1" ht="18.75" customFormat="1" customHeight="1" s="311"/>
    <row r="9769" hidden="1" ht="18.75" customFormat="1" customHeight="1" s="311"/>
    <row r="9770" hidden="1" ht="18.75" customFormat="1" customHeight="1" s="311"/>
    <row r="9771" hidden="1" ht="18.75" customFormat="1" customHeight="1" s="311"/>
    <row r="9772" hidden="1" ht="18.75" customFormat="1" customHeight="1" s="311"/>
    <row r="9773" hidden="1" ht="18.75" customFormat="1" customHeight="1" s="311"/>
    <row r="9774" hidden="1" ht="18.75" customFormat="1" customHeight="1" s="311"/>
    <row r="9775" hidden="1" ht="18.75" customFormat="1" customHeight="1" s="311"/>
    <row r="9776" hidden="1" ht="18.75" customFormat="1" customHeight="1" s="311"/>
    <row r="9777" hidden="1" ht="18.75" customFormat="1" customHeight="1" s="311"/>
    <row r="9778" hidden="1" ht="18.75" customFormat="1" customHeight="1" s="311"/>
    <row r="9779" hidden="1" ht="18.75" customFormat="1" customHeight="1" s="311"/>
    <row r="9780" hidden="1" ht="18.75" customFormat="1" customHeight="1" s="311"/>
    <row r="9781" hidden="1" ht="18.75" customFormat="1" customHeight="1" s="311"/>
    <row r="9782" hidden="1" ht="18.75" customFormat="1" customHeight="1" s="311"/>
    <row r="9783" hidden="1" ht="18.75" customFormat="1" customHeight="1" s="311"/>
    <row r="9784" hidden="1" ht="18.75" customFormat="1" customHeight="1" s="311"/>
    <row r="9785" hidden="1" ht="18.75" customFormat="1" customHeight="1" s="311"/>
    <row r="9786" hidden="1" ht="18.75" customFormat="1" customHeight="1" s="311"/>
    <row r="9787" hidden="1" ht="18.75" customFormat="1" customHeight="1" s="311"/>
    <row r="9788" hidden="1" ht="18.75" customFormat="1" customHeight="1" s="311"/>
    <row r="9789" hidden="1" ht="18.75" customFormat="1" customHeight="1" s="311"/>
    <row r="9790" hidden="1" ht="18.75" customFormat="1" customHeight="1" s="311"/>
    <row r="9791" hidden="1" ht="18.75" customFormat="1" customHeight="1" s="311"/>
    <row r="9792" hidden="1" ht="18.75" customFormat="1" customHeight="1" s="311"/>
    <row r="9793" hidden="1" ht="18.75" customFormat="1" customHeight="1" s="311"/>
    <row r="9794" hidden="1" ht="18.75" customFormat="1" customHeight="1" s="311"/>
    <row r="9795" hidden="1" ht="18.75" customFormat="1" customHeight="1" s="311"/>
    <row r="9796" hidden="1" ht="18.75" customFormat="1" customHeight="1" s="311"/>
    <row r="9797" hidden="1" ht="18.75" customFormat="1" customHeight="1" s="311"/>
    <row r="9798" hidden="1" ht="18.75" customFormat="1" customHeight="1" s="311"/>
    <row r="9799" hidden="1" ht="18.75" customFormat="1" customHeight="1" s="311"/>
    <row r="9800" hidden="1" ht="18.75" customFormat="1" customHeight="1" s="311"/>
    <row r="9801" hidden="1" ht="18.75" customFormat="1" customHeight="1" s="311"/>
    <row r="9802" hidden="1" ht="18.75" customFormat="1" customHeight="1" s="311"/>
    <row r="9803" hidden="1" ht="18.75" customFormat="1" customHeight="1" s="311"/>
    <row r="9804" hidden="1" ht="18.75" customFormat="1" customHeight="1" s="311"/>
    <row r="9805" hidden="1" ht="18.75" customFormat="1" customHeight="1" s="311"/>
    <row r="9806" hidden="1" ht="18.75" customFormat="1" customHeight="1" s="311"/>
    <row r="9807" hidden="1" ht="18.75" customFormat="1" customHeight="1" s="311"/>
    <row r="9808" hidden="1" ht="18.75" customFormat="1" customHeight="1" s="311"/>
    <row r="9809" hidden="1" ht="18.75" customFormat="1" customHeight="1" s="311"/>
    <row r="9810" hidden="1" ht="18.75" customFormat="1" customHeight="1" s="311"/>
    <row r="9811" hidden="1" ht="18.75" customFormat="1" customHeight="1" s="311"/>
    <row r="9812" ht="18.75" customFormat="1" customHeight="1" s="311"/>
    <row r="9813" hidden="1" ht="18.75" customFormat="1" customHeight="1" s="311"/>
    <row r="9814" hidden="1" ht="18.75" customFormat="1" customHeight="1" s="311"/>
    <row r="9815" hidden="1" ht="18.75" customFormat="1" customHeight="1" s="311"/>
    <row r="9816" hidden="1" ht="18.75" customFormat="1" customHeight="1" s="311"/>
    <row r="9817" hidden="1" ht="18.75" customFormat="1" customHeight="1" s="311"/>
    <row r="9818" hidden="1" ht="18.75" customFormat="1" customHeight="1" s="311"/>
    <row r="9819" hidden="1" ht="18.75" customFormat="1" customHeight="1" s="311"/>
    <row r="9820" hidden="1" ht="18.75" customFormat="1" customHeight="1" s="311"/>
    <row r="9821" hidden="1" ht="18.75" customFormat="1" customHeight="1" s="311"/>
    <row r="9822" hidden="1" ht="18.75" customFormat="1" customHeight="1" s="311"/>
    <row r="9823" hidden="1" ht="18.75" customFormat="1" customHeight="1" s="311"/>
    <row r="9824" hidden="1" ht="18.75" customFormat="1" customHeight="1" s="311"/>
    <row r="9825" hidden="1" ht="18.75" customFormat="1" customHeight="1" s="311"/>
    <row r="9826" hidden="1" ht="18.75" customFormat="1" customHeight="1" s="311"/>
    <row r="9827" hidden="1" ht="18.75" customFormat="1" customHeight="1" s="311"/>
    <row r="9828" hidden="1" ht="18.75" customFormat="1" customHeight="1" s="311"/>
    <row r="9829" hidden="1" ht="18.75" customFormat="1" customHeight="1" s="311"/>
    <row r="9830" hidden="1" ht="18.75" customFormat="1" customHeight="1" s="311"/>
    <row r="9831" hidden="1" ht="18.75" customFormat="1" customHeight="1" s="311"/>
    <row r="9832" hidden="1" ht="18.75" customFormat="1" customHeight="1" s="311"/>
    <row r="9833" hidden="1" ht="18.75" customFormat="1" customHeight="1" s="311"/>
    <row r="9834" hidden="1" ht="18.75" customFormat="1" customHeight="1" s="311"/>
    <row r="9835" hidden="1" ht="18.75" customFormat="1" customHeight="1" s="311"/>
    <row r="9836" hidden="1" ht="18.75" customFormat="1" customHeight="1" s="311"/>
    <row r="9837" hidden="1" ht="18.75" customFormat="1" customHeight="1" s="311"/>
    <row r="9838" hidden="1" ht="18.75" customFormat="1" customHeight="1" s="311"/>
    <row r="9839" hidden="1" ht="18.75" customFormat="1" customHeight="1" s="311"/>
    <row r="9840" hidden="1" ht="18.75" customFormat="1" customHeight="1" s="311"/>
    <row r="9841" hidden="1" ht="18.75" customFormat="1" customHeight="1" s="311"/>
    <row r="9842" hidden="1" ht="18.75" customFormat="1" customHeight="1" s="311"/>
    <row r="9843" hidden="1" ht="18.75" customFormat="1" customHeight="1" s="311"/>
    <row r="9844" hidden="1" ht="18.75" customFormat="1" customHeight="1" s="311"/>
    <row r="9845" hidden="1" ht="18.75" customFormat="1" customHeight="1" s="311"/>
    <row r="9846" hidden="1" ht="18.75" customFormat="1" customHeight="1" s="311"/>
    <row r="9847" hidden="1" ht="18.75" customFormat="1" customHeight="1" s="311"/>
    <row r="9848" hidden="1" ht="18.75" customFormat="1" customHeight="1" s="311"/>
    <row r="9849" hidden="1" ht="18.75" customFormat="1" customHeight="1" s="311"/>
    <row r="9850" hidden="1" ht="18.75" customFormat="1" customHeight="1" s="311"/>
    <row r="9851" hidden="1" ht="18.75" customFormat="1" customHeight="1" s="311"/>
    <row r="9852" hidden="1" ht="18.75" customFormat="1" customHeight="1" s="311"/>
    <row r="9853" hidden="1" ht="18.75" customFormat="1" customHeight="1" s="311"/>
    <row r="9854" hidden="1" ht="18.75" customFormat="1" customHeight="1" s="311"/>
    <row r="9855" hidden="1" ht="18.75" customFormat="1" customHeight="1" s="311"/>
    <row r="9856" hidden="1" ht="18.75" customFormat="1" customHeight="1" s="311"/>
    <row r="9857" hidden="1" ht="18.75" customFormat="1" customHeight="1" s="311"/>
    <row r="9858" hidden="1" ht="18.75" customFormat="1" customHeight="1" s="311"/>
    <row r="9859" hidden="1" ht="18.75" customFormat="1" customHeight="1" s="311"/>
    <row r="9860" hidden="1" ht="18.75" customFormat="1" customHeight="1" s="311"/>
    <row r="9861" hidden="1" ht="18.75" customFormat="1" customHeight="1" s="311"/>
    <row r="9862" hidden="1" ht="18.75" customFormat="1" customHeight="1" s="311"/>
    <row r="9863" hidden="1" ht="18.75" customFormat="1" customHeight="1" s="311"/>
    <row r="9864" hidden="1" ht="18.75" customFormat="1" customHeight="1" s="311"/>
    <row r="9865" hidden="1" ht="18.75" customFormat="1" customHeight="1" s="311"/>
    <row r="9866" hidden="1" ht="18.75" customFormat="1" customHeight="1" s="311"/>
    <row r="9867" hidden="1" ht="18.75" customFormat="1" customHeight="1" s="311"/>
    <row r="9868" hidden="1" ht="18.75" customFormat="1" customHeight="1" s="311"/>
    <row r="9869" hidden="1" ht="18.75" customFormat="1" customHeight="1" s="311"/>
    <row r="9870" hidden="1" ht="18.75" customFormat="1" customHeight="1" s="311"/>
    <row r="9871" hidden="1" ht="18.75" customFormat="1" customHeight="1" s="311"/>
    <row r="9872" hidden="1" ht="18.75" customFormat="1" customHeight="1" s="311"/>
    <row r="9873" hidden="1" ht="18.75" customFormat="1" customHeight="1" s="311"/>
    <row r="9874" hidden="1" ht="18.75" customFormat="1" customHeight="1" s="311"/>
    <row r="9875" hidden="1" ht="18.75" customFormat="1" customHeight="1" s="311"/>
    <row r="9876" hidden="1" ht="18.75" customFormat="1" customHeight="1" s="311"/>
    <row r="9877" hidden="1" ht="18.75" customFormat="1" customHeight="1" s="311"/>
    <row r="9878" hidden="1" ht="18.75" customFormat="1" customHeight="1" s="311"/>
    <row r="9879" hidden="1" ht="18.75" customFormat="1" customHeight="1" s="311"/>
    <row r="9880" hidden="1" ht="18.75" customFormat="1" customHeight="1" s="311"/>
    <row r="9881" hidden="1" ht="18.75" customFormat="1" customHeight="1" s="311"/>
    <row r="9882" hidden="1" ht="18.75" customFormat="1" customHeight="1" s="311"/>
    <row r="9883" hidden="1" ht="18.75" customFormat="1" customHeight="1" s="311"/>
    <row r="9884" hidden="1" ht="18.75" customFormat="1" customHeight="1" s="311"/>
    <row r="9885" hidden="1" ht="18.75" customFormat="1" customHeight="1" s="311"/>
    <row r="9886" hidden="1" ht="18.75" customFormat="1" customHeight="1" s="311"/>
    <row r="9887" hidden="1" ht="18.75" customFormat="1" customHeight="1" s="311"/>
    <row r="9888" hidden="1" ht="18.75" customFormat="1" customHeight="1" s="311"/>
    <row r="9889" hidden="1" ht="18.75" customFormat="1" customHeight="1" s="311"/>
    <row r="9890" hidden="1" ht="18.75" customFormat="1" customHeight="1" s="311"/>
    <row r="9891" hidden="1" ht="18.75" customFormat="1" customHeight="1" s="311"/>
    <row r="9892" hidden="1" ht="18.75" customFormat="1" customHeight="1" s="311"/>
    <row r="9893" hidden="1" ht="18.75" customFormat="1" customHeight="1" s="311"/>
    <row r="9894" hidden="1" ht="18.75" customFormat="1" customHeight="1" s="311"/>
    <row r="9895" hidden="1" ht="18.75" customFormat="1" customHeight="1" s="311"/>
    <row r="9896" hidden="1" ht="18.75" customFormat="1" customHeight="1" s="311"/>
    <row r="9897" hidden="1" ht="18.75" customFormat="1" customHeight="1" s="311"/>
    <row r="9898" hidden="1" ht="18.75" customFormat="1" customHeight="1" s="311"/>
    <row r="9899" hidden="1" ht="18.75" customFormat="1" customHeight="1" s="311"/>
    <row r="9900" hidden="1" ht="18.75" customFormat="1" customHeight="1" s="311"/>
    <row r="9901" hidden="1" ht="18.75" customFormat="1" customHeight="1" s="311"/>
    <row r="9902" hidden="1" ht="18.75" customFormat="1" customHeight="1" s="311"/>
    <row r="9903" hidden="1" ht="18.75" customFormat="1" customHeight="1" s="311"/>
    <row r="9904" hidden="1" ht="18.75" customFormat="1" customHeight="1" s="311"/>
    <row r="9905" hidden="1" ht="18.75" customFormat="1" customHeight="1" s="311"/>
    <row r="9906" hidden="1" ht="18.75" customFormat="1" customHeight="1" s="311"/>
    <row r="9907" hidden="1" ht="18.75" customFormat="1" customHeight="1" s="311"/>
    <row r="9908" hidden="1" ht="18.75" customFormat="1" customHeight="1" s="311"/>
    <row r="9909" hidden="1" ht="18.75" customFormat="1" customHeight="1" s="311"/>
    <row r="9910" hidden="1" ht="18.75" customFormat="1" customHeight="1" s="311"/>
    <row r="9911" hidden="1" ht="18.75" customFormat="1" customHeight="1" s="311"/>
    <row r="9912" hidden="1" ht="18.75" customFormat="1" customHeight="1" s="311"/>
    <row r="9913" hidden="1" ht="18.75" customFormat="1" customHeight="1" s="311"/>
    <row r="9914" hidden="1" ht="18.75" customFormat="1" customHeight="1" s="311"/>
    <row r="9915" hidden="1" ht="18.75" customFormat="1" customHeight="1" s="311"/>
    <row r="9916" hidden="1" ht="18.75" customFormat="1" customHeight="1" s="311"/>
    <row r="9917" hidden="1" ht="18.75" customFormat="1" customHeight="1" s="311"/>
    <row r="9918" hidden="1" ht="18.75" customFormat="1" customHeight="1" s="311"/>
    <row r="9919" hidden="1" ht="18.75" customFormat="1" customHeight="1" s="311"/>
    <row r="9920" hidden="1" ht="18.75" customFormat="1" customHeight="1" s="311"/>
    <row r="9921" hidden="1" ht="18.75" customFormat="1" customHeight="1" s="311"/>
    <row r="9922" hidden="1" ht="18.75" customFormat="1" customHeight="1" s="311"/>
    <row r="9923" hidden="1" ht="18.75" customFormat="1" customHeight="1" s="311"/>
    <row r="9924" hidden="1" ht="18.75" customFormat="1" customHeight="1" s="311"/>
    <row r="9925" hidden="1" ht="18.75" customFormat="1" customHeight="1" s="311"/>
    <row r="9926" hidden="1" ht="18.75" customFormat="1" customHeight="1" s="311"/>
    <row r="9927" hidden="1" ht="18.75" customFormat="1" customHeight="1" s="311"/>
    <row r="9928" hidden="1" ht="18.75" customFormat="1" customHeight="1" s="311"/>
    <row r="9929" hidden="1" ht="18.75" customFormat="1" customHeight="1" s="311"/>
    <row r="9930" hidden="1" ht="18.75" customFormat="1" customHeight="1" s="311"/>
    <row r="9931" hidden="1" ht="18.75" customFormat="1" customHeight="1" s="311"/>
    <row r="9932" hidden="1" ht="18.75" customFormat="1" customHeight="1" s="311"/>
    <row r="9933" hidden="1" ht="18.75" customFormat="1" customHeight="1" s="311"/>
    <row r="9934" hidden="1" ht="18.75" customFormat="1" customHeight="1" s="311"/>
    <row r="9935" hidden="1" ht="18.75" customFormat="1" customHeight="1" s="311"/>
    <row r="9936" hidden="1" ht="18.75" customFormat="1" customHeight="1" s="311"/>
    <row r="9937" hidden="1" ht="18.75" customFormat="1" customHeight="1" s="311"/>
    <row r="9938" hidden="1" ht="18.75" customFormat="1" customHeight="1" s="311"/>
    <row r="9939" hidden="1" ht="18.75" customFormat="1" customHeight="1" s="311"/>
    <row r="9940" hidden="1" ht="18.75" customFormat="1" customHeight="1" s="311"/>
    <row r="9941" hidden="1" ht="18.75" customFormat="1" customHeight="1" s="311"/>
    <row r="9942" hidden="1" ht="18.75" customFormat="1" customHeight="1" s="311"/>
    <row r="9943" hidden="1" ht="18.75" customFormat="1" customHeight="1" s="311"/>
    <row r="9944" hidden="1" ht="18.75" customFormat="1" customHeight="1" s="311"/>
    <row r="9945" hidden="1" ht="18.75" customFormat="1" customHeight="1" s="311"/>
    <row r="9946" hidden="1" ht="18.75" customFormat="1" customHeight="1" s="311"/>
    <row r="9947" hidden="1" ht="18.75" customFormat="1" customHeight="1" s="311"/>
    <row r="9948" hidden="1" ht="18.75" customFormat="1" customHeight="1" s="311"/>
    <row r="9949" hidden="1" ht="18.75" customFormat="1" customHeight="1" s="311"/>
    <row r="9950" hidden="1" ht="18.75" customFormat="1" customHeight="1" s="311"/>
    <row r="9951" hidden="1" ht="18.75" customFormat="1" customHeight="1" s="311"/>
    <row r="9952" hidden="1" ht="18.75" customFormat="1" customHeight="1" s="311"/>
    <row r="9953" hidden="1" ht="18.75" customFormat="1" customHeight="1" s="311"/>
    <row r="9954" hidden="1" ht="18.75" customFormat="1" customHeight="1" s="311"/>
    <row r="9955" hidden="1" ht="18.75" customFormat="1" customHeight="1" s="311"/>
    <row r="9956" hidden="1" ht="18.75" customFormat="1" customHeight="1" s="311"/>
    <row r="9957" hidden="1" ht="18.75" customFormat="1" customHeight="1" s="311"/>
    <row r="9958" hidden="1" ht="18.75" customFormat="1" customHeight="1" s="311"/>
    <row r="9959" hidden="1" ht="18.75" customFormat="1" customHeight="1" s="311"/>
    <row r="9960" hidden="1" ht="18.75" customFormat="1" customHeight="1" s="311"/>
    <row r="9961" hidden="1" ht="18.75" customFormat="1" customHeight="1" s="311"/>
    <row r="9962" hidden="1" ht="18.75" customFormat="1" customHeight="1" s="311"/>
    <row r="9963" hidden="1" ht="18.75" customFormat="1" customHeight="1" s="311"/>
    <row r="9964" hidden="1" ht="18.75" customFormat="1" customHeight="1" s="311"/>
    <row r="9965" hidden="1" ht="18.75" customFormat="1" customHeight="1" s="311"/>
    <row r="9966" hidden="1" ht="18.75" customFormat="1" customHeight="1" s="311"/>
    <row r="9967" hidden="1" ht="18.75" customFormat="1" customHeight="1" s="311"/>
    <row r="9968" hidden="1" ht="18.75" customFormat="1" customHeight="1" s="311"/>
    <row r="9969" hidden="1" ht="18.75" customFormat="1" customHeight="1" s="311"/>
    <row r="9970" hidden="1" ht="18.75" customFormat="1" customHeight="1" s="311"/>
    <row r="9971" hidden="1" ht="18.75" customFormat="1" customHeight="1" s="311"/>
    <row r="9972" hidden="1" ht="18.75" customFormat="1" customHeight="1" s="311"/>
    <row r="9973" hidden="1" ht="18.75" customFormat="1" customHeight="1" s="311"/>
    <row r="9974" hidden="1" ht="18.75" customFormat="1" customHeight="1" s="311"/>
    <row r="9975" hidden="1" ht="18.75" customFormat="1" customHeight="1" s="311"/>
    <row r="9976" hidden="1" ht="18.75" customFormat="1" customHeight="1" s="311"/>
    <row r="9977" hidden="1" ht="18.75" customFormat="1" customHeight="1" s="311"/>
    <row r="9978" hidden="1" ht="18.75" customFormat="1" customHeight="1" s="311"/>
    <row r="9979" hidden="1" ht="18.75" customFormat="1" customHeight="1" s="311"/>
    <row r="9980" hidden="1" ht="18.75" customFormat="1" customHeight="1" s="311"/>
    <row r="9981" ht="18.75" customFormat="1" customHeight="1" s="311"/>
    <row r="9982" hidden="1" ht="18.75" customFormat="1" customHeight="1" s="311"/>
    <row r="9983" hidden="1" ht="18.75" customFormat="1" customHeight="1" s="311"/>
    <row r="9984" hidden="1" ht="18.75" customFormat="1" customHeight="1" s="311"/>
    <row r="9985" hidden="1" ht="18.75" customFormat="1" customHeight="1" s="311"/>
    <row r="9986" hidden="1" ht="18.75" customFormat="1" customHeight="1" s="311"/>
    <row r="9987" hidden="1" ht="18.75" customFormat="1" customHeight="1" s="311"/>
    <row r="9988" hidden="1" ht="18.75" customFormat="1" customHeight="1" s="311"/>
    <row r="9989" hidden="1" ht="18.75" customFormat="1" customHeight="1" s="311"/>
    <row r="9990" hidden="1" ht="18.75" customFormat="1" customHeight="1" s="311"/>
    <row r="9991" ht="18.75" customFormat="1" customHeight="1" s="311"/>
    <row r="9992" ht="18.75" customFormat="1" customHeight="1" s="311"/>
    <row r="9993" ht="18.75" customFormat="1" customHeight="1" s="311"/>
    <row r="9994" ht="18.75" customFormat="1" customHeight="1" s="311"/>
    <row r="9995" ht="18.75" customFormat="1" customHeight="1" s="311"/>
    <row r="9996" hidden="1" ht="18.75" customFormat="1" customHeight="1" s="311"/>
    <row r="9997" hidden="1" ht="18.75" customFormat="1" customHeight="1" s="311"/>
    <row r="9998" hidden="1" ht="18.75" customFormat="1" customHeight="1" s="311"/>
    <row r="9999" hidden="1" ht="18.75" customFormat="1" customHeight="1" s="311"/>
    <row r="10000" hidden="1" ht="18.75" customFormat="1" customHeight="1" s="311"/>
    <row r="10001" ht="18.75" customFormat="1" customHeight="1" s="311"/>
    <row r="10002" hidden="1" ht="18.75" customFormat="1" customHeight="1" s="311"/>
    <row r="10003" hidden="1" ht="18.75" customFormat="1" customHeight="1" s="311"/>
    <row r="10004" ht="18.75" customFormat="1" customHeight="1" s="311"/>
    <row r="10005" hidden="1" ht="18.75" customFormat="1" customHeight="1" s="311"/>
    <row r="10006" hidden="1" ht="18.75" customFormat="1" customHeight="1" s="311"/>
    <row r="10007" ht="18.75" customFormat="1" customHeight="1" s="311"/>
    <row r="10008" ht="18.75" customFormat="1" customHeight="1" s="311"/>
    <row r="10009" hidden="1" ht="18.75" customFormat="1" customHeight="1" s="311"/>
    <row r="10010" hidden="1" ht="18.75" customFormat="1" customHeight="1" s="311"/>
    <row r="10011" hidden="1" ht="18.75" customFormat="1" customHeight="1" s="311"/>
    <row r="10012" ht="18.75" customFormat="1" customHeight="1" s="311"/>
    <row r="10013" hidden="1" ht="18.75" customFormat="1" customHeight="1" s="311"/>
    <row r="10014" ht="18.75" customFormat="1" customHeight="1" s="311"/>
    <row r="10015" ht="18.75" customFormat="1" customHeight="1" s="311"/>
    <row r="10016" hidden="1" ht="18.75" customFormat="1" customHeight="1" s="311"/>
    <row r="10017" ht="18.75" customFormat="1" customHeight="1" s="311"/>
    <row r="10018" hidden="1" ht="18.75" customFormat="1" customHeight="1" s="311"/>
    <row r="10019" ht="18.75" customFormat="1" customHeight="1" s="311"/>
    <row r="10020" ht="18.75" customFormat="1" customHeight="1" s="311"/>
    <row r="10021" hidden="1" ht="18.75" customFormat="1" customHeight="1" s="311"/>
    <row r="10022" hidden="1" ht="18.75" customFormat="1" customHeight="1" s="311"/>
    <row r="10023" ht="18.75" customFormat="1" customHeight="1" s="311"/>
    <row r="10024" ht="18.75" customFormat="1" customHeight="1" s="311"/>
    <row r="10025" hidden="1" ht="18.75" customFormat="1" customHeight="1" s="311"/>
    <row r="10026" hidden="1" ht="18.75" customFormat="1" customHeight="1" s="311"/>
    <row r="10027" hidden="1" ht="18.75" customFormat="1" customHeight="1" s="311"/>
    <row r="10028" hidden="1" ht="18.75" customFormat="1" customHeight="1" s="311"/>
    <row r="10029" hidden="1" ht="18.75" customFormat="1" customHeight="1" s="311"/>
    <row r="10030" hidden="1" ht="18.75" customFormat="1" customHeight="1" s="311"/>
    <row r="10031" hidden="1" ht="18.75" customFormat="1" customHeight="1" s="311"/>
    <row r="10032" ht="18.75" customFormat="1" customHeight="1" s="311"/>
    <row r="10033" ht="18.75" customFormat="1" customHeight="1" s="311"/>
    <row r="10034" ht="18.75" customFormat="1" customHeight="1" s="311"/>
    <row r="10035" ht="18.75" customFormat="1" customHeight="1" s="311"/>
    <row r="10036" hidden="1" ht="18.75" customFormat="1" customHeight="1" s="311"/>
    <row r="10037" ht="18.75" customFormat="1" customHeight="1" s="311"/>
    <row r="10038" ht="18.75" customFormat="1" customHeight="1" s="311"/>
    <row r="10039" ht="18.75" customFormat="1" customHeight="1" s="311"/>
    <row r="10040" hidden="1" ht="18.75" customFormat="1" customHeight="1" s="311"/>
    <row r="10041" hidden="1" ht="18.75" customFormat="1" customHeight="1" s="311"/>
    <row r="10042" hidden="1" ht="18.75" customFormat="1" customHeight="1" s="311"/>
    <row r="10043" ht="18.75" customFormat="1" customHeight="1" s="311"/>
    <row r="10044" hidden="1" ht="18.75" customFormat="1" customHeight="1" s="311"/>
    <row r="10045" ht="18.75" customFormat="1" customHeight="1" s="311"/>
    <row r="10046" ht="18.75" customFormat="1" customHeight="1" s="311"/>
    <row r="10047" ht="18.75" customFormat="1" customHeight="1" s="311"/>
    <row r="10048" ht="18.75" customFormat="1" customHeight="1" s="311"/>
    <row r="10049" hidden="1" ht="18.75" customFormat="1" customHeight="1" s="311"/>
    <row r="10050" ht="18.75" customFormat="1" customHeight="1" s="311"/>
    <row r="10051" hidden="1" ht="18.75" customFormat="1" customHeight="1" s="311"/>
    <row r="10052" ht="18.75" customFormat="1" customHeight="1" s="311"/>
    <row r="10053" hidden="1" ht="18.75" customFormat="1" customHeight="1" s="311"/>
    <row r="10054" ht="18.75" customFormat="1" customHeight="1" s="311"/>
    <row r="10055" hidden="1" ht="18.75" customFormat="1" customHeight="1" s="311"/>
    <row r="10056" hidden="1" ht="18.75" customFormat="1" customHeight="1" s="311"/>
    <row r="10057" ht="18.75" customFormat="1" customHeight="1" s="311"/>
    <row r="10058" hidden="1" ht="18.75" customFormat="1" customHeight="1" s="311"/>
    <row r="10059" ht="18.75" customFormat="1" customHeight="1" s="311"/>
    <row r="10060" ht="18.75" customFormat="1" customHeight="1" s="311"/>
    <row r="10061" hidden="1" ht="18.75" customFormat="1" customHeight="1" s="311"/>
    <row r="10062" hidden="1" ht="18.75" customFormat="1" customHeight="1" s="311"/>
    <row r="10063" ht="18.75" customFormat="1" customHeight="1" s="311"/>
    <row r="10064" ht="18.75" customFormat="1" customHeight="1" s="311"/>
    <row r="10065" hidden="1" ht="18.75" customFormat="1" customHeight="1" s="311"/>
    <row r="10066" ht="18.75" customFormat="1" customHeight="1" s="311"/>
    <row r="10067" ht="18.75" customFormat="1" customHeight="1" s="311"/>
    <row r="10068" hidden="1" ht="18.75" customFormat="1" customHeight="1" s="311"/>
    <row r="10069" ht="18.75" customFormat="1" customHeight="1" s="311"/>
    <row r="10070" hidden="1" ht="18.75" customFormat="1" customHeight="1" s="311"/>
    <row r="10071" hidden="1" ht="18.75" customFormat="1" customHeight="1" s="311"/>
    <row r="10072" ht="18.75" customFormat="1" customHeight="1" s="311"/>
    <row r="10073" ht="18.75" customFormat="1" customHeight="1" s="311"/>
    <row r="10074" ht="18.75" customFormat="1" customHeight="1" s="311"/>
    <row r="10075" hidden="1" ht="18.75" customFormat="1" customHeight="1" s="311"/>
    <row r="10076" hidden="1" ht="18.75" customFormat="1" customHeight="1" s="311"/>
    <row r="10077" hidden="1" ht="18.75" customFormat="1" customHeight="1" s="311"/>
    <row r="10078" ht="18.75" customFormat="1" customHeight="1" s="311"/>
    <row r="10079" ht="18.75" customFormat="1" customHeight="1" s="311"/>
    <row r="10080" ht="18.75" customFormat="1" customHeight="1" s="311"/>
    <row r="10081" ht="18.75" customFormat="1" customHeight="1" s="311"/>
    <row r="10082" ht="18.75" customFormat="1" customHeight="1" s="311"/>
    <row r="10083" hidden="1" ht="18.75" customFormat="1" customHeight="1" s="311"/>
    <row r="10084" ht="18.75" customFormat="1" customHeight="1" s="311"/>
    <row r="10085" hidden="1" ht="18.75" customFormat="1" customHeight="1" s="311"/>
    <row r="10086" ht="18.75" customFormat="1" customHeight="1" s="311"/>
    <row r="10087" hidden="1" ht="18.75" customFormat="1" customHeight="1" s="311"/>
    <row r="10088" hidden="1" ht="18.75" customFormat="1" customHeight="1" s="311"/>
    <row r="10089" ht="18.75" customFormat="1" customHeight="1" s="311"/>
    <row r="10090" ht="18.75" customFormat="1" customHeight="1" s="311"/>
    <row r="10091" ht="18.75" customFormat="1" customHeight="1" s="311"/>
    <row r="10092" hidden="1" ht="18.75" customFormat="1" customHeight="1" s="311"/>
    <row r="10093" ht="18.75" customFormat="1" customHeight="1" s="311"/>
    <row r="10094" hidden="1" ht="18.75" customFormat="1" customHeight="1" s="311"/>
    <row r="10095" ht="18.75" customFormat="1" customHeight="1" s="311"/>
    <row r="10096" hidden="1" ht="18.75" customFormat="1" customHeight="1" s="311"/>
    <row r="10097" ht="18.75" customFormat="1" customHeight="1" s="311"/>
    <row r="10098" hidden="1" ht="18.75" customFormat="1" customHeight="1" s="311"/>
    <row r="10099" hidden="1" ht="18.75" customFormat="1" customHeight="1" s="311"/>
    <row r="10100" hidden="1" ht="18.75" customFormat="1" customHeight="1" s="311"/>
    <row r="10101" ht="18.75" customFormat="1" customHeight="1" s="311"/>
    <row r="10102" hidden="1" ht="18.75" customFormat="1" customHeight="1" s="311"/>
    <row r="10103" ht="18.75" customFormat="1" customHeight="1" s="311"/>
    <row r="10104" hidden="1" ht="18.75" customFormat="1" customHeight="1" s="311"/>
    <row r="10105" hidden="1" ht="18.75" customFormat="1" customHeight="1" s="311"/>
    <row r="10106" hidden="1" ht="18.75" customFormat="1" customHeight="1" s="311"/>
    <row r="10107" hidden="1" ht="18.75" customFormat="1" customHeight="1" s="311"/>
    <row r="10108" hidden="1" ht="18.75" customFormat="1" customHeight="1" s="311"/>
    <row r="10109" ht="18.75" customFormat="1" customHeight="1" s="311"/>
    <row r="10110" hidden="1" ht="18.75" customFormat="1" customHeight="1" s="311"/>
    <row r="10111" ht="18.75" customFormat="1" customHeight="1" s="311"/>
    <row r="10112" ht="18.75" customFormat="1" customHeight="1" s="311"/>
    <row r="10113" ht="18.75" customFormat="1" customHeight="1" s="311"/>
    <row r="10114" hidden="1" ht="18.75" customFormat="1" customHeight="1" s="311"/>
    <row r="10115" hidden="1" ht="18.75" customFormat="1" customHeight="1" s="311"/>
    <row r="10116" ht="18.75" customFormat="1" customHeight="1" s="311"/>
    <row r="10117" hidden="1" ht="18.75" customFormat="1" customHeight="1" s="311"/>
    <row r="10118" hidden="1" ht="18.75" customFormat="1" customHeight="1" s="311"/>
    <row r="10119" hidden="1" ht="18.75" customFormat="1" customHeight="1" s="311"/>
    <row r="10120" hidden="1" ht="18.75" customFormat="1" customHeight="1" s="311"/>
    <row r="10121" hidden="1" ht="18.75" customFormat="1" customHeight="1" s="311"/>
    <row r="10122" hidden="1" ht="18.75" customFormat="1" customHeight="1" s="311"/>
    <row r="10123" hidden="1" ht="18.75" customFormat="1" customHeight="1" s="311"/>
    <row r="10124" hidden="1" ht="18.75" customFormat="1" customHeight="1" s="311"/>
    <row r="10125" hidden="1" ht="18.75" customFormat="1" customHeight="1" s="311"/>
    <row r="10126" hidden="1" ht="18.75" customFormat="1" customHeight="1" s="311"/>
    <row r="10127" hidden="1" ht="18.75" customFormat="1" customHeight="1" s="311"/>
    <row r="10128" hidden="1" ht="18.75" customFormat="1" customHeight="1" s="311"/>
    <row r="10129" hidden="1" ht="18.75" customFormat="1" customHeight="1" s="311"/>
    <row r="10130" hidden="1" ht="18.75" customFormat="1" customHeight="1" s="311"/>
    <row r="10131" hidden="1" ht="18.75" customFormat="1" customHeight="1" s="311"/>
    <row r="10132" hidden="1" ht="18.75" customFormat="1" customHeight="1" s="311"/>
    <row r="10133" hidden="1" ht="18.75" customFormat="1" customHeight="1" s="311"/>
    <row r="10134" hidden="1" ht="18.75" customFormat="1" customHeight="1" s="311"/>
    <row r="10135" hidden="1" ht="18.75" customFormat="1" customHeight="1" s="311"/>
    <row r="10136" hidden="1" ht="18.75" customFormat="1" customHeight="1" s="311"/>
    <row r="10137" hidden="1" ht="18.75" customFormat="1" customHeight="1" s="311"/>
    <row r="10138" hidden="1" ht="18.75" customFormat="1" customHeight="1" s="311"/>
    <row r="10139" hidden="1" ht="18.75" customFormat="1" customHeight="1" s="311"/>
    <row r="10140" hidden="1" ht="18.75" customFormat="1" customHeight="1" s="311"/>
    <row r="10141" hidden="1" ht="18.75" customFormat="1" customHeight="1" s="311"/>
    <row r="10142" hidden="1" ht="18.75" customFormat="1" customHeight="1" s="311"/>
    <row r="10143" hidden="1" ht="18.75" customFormat="1" customHeight="1" s="311"/>
    <row r="10144" hidden="1" ht="18.75" customFormat="1" customHeight="1" s="311"/>
    <row r="10145" hidden="1" ht="18.75" customFormat="1" customHeight="1" s="311"/>
    <row r="10146" hidden="1" ht="18.75" customFormat="1" customHeight="1" s="311"/>
    <row r="10147" hidden="1" ht="18.75" customFormat="1" customHeight="1" s="311"/>
    <row r="10148" hidden="1" ht="18.75" customFormat="1" customHeight="1" s="311"/>
    <row r="10149" hidden="1" ht="18.75" customFormat="1" customHeight="1" s="311"/>
    <row r="10150" hidden="1" ht="18.75" customFormat="1" customHeight="1" s="311"/>
    <row r="10151" hidden="1" ht="18.75" customFormat="1" customHeight="1" s="311"/>
    <row r="10152" hidden="1" ht="18.75" customFormat="1" customHeight="1" s="311"/>
    <row r="10153" hidden="1" ht="18.75" customFormat="1" customHeight="1" s="311"/>
    <row r="10154" hidden="1" ht="18.75" customFormat="1" customHeight="1" s="311"/>
    <row r="10155" hidden="1" ht="18.75" customFormat="1" customHeight="1" s="311"/>
    <row r="10156" hidden="1" ht="18.75" customFormat="1" customHeight="1" s="311"/>
    <row r="10157" hidden="1" ht="18.75" customFormat="1" customHeight="1" s="311"/>
    <row r="10158" hidden="1" ht="18.75" customFormat="1" customHeight="1" s="311"/>
    <row r="10159" hidden="1" ht="18.75" customFormat="1" customHeight="1" s="311"/>
    <row r="10160" hidden="1" ht="18.75" customFormat="1" customHeight="1" s="311"/>
    <row r="10161" hidden="1" ht="18.75" customFormat="1" customHeight="1" s="311"/>
    <row r="10162" hidden="1" ht="18.75" customFormat="1" customHeight="1" s="311"/>
    <row r="10163" hidden="1" ht="18.75" customFormat="1" customHeight="1" s="311"/>
    <row r="10164" hidden="1" ht="18.75" customFormat="1" customHeight="1" s="311"/>
    <row r="10165" hidden="1" ht="18.75" customFormat="1" customHeight="1" s="311"/>
    <row r="10166" hidden="1" ht="18.75" customFormat="1" customHeight="1" s="311"/>
    <row r="10167" hidden="1" ht="18.75" customFormat="1" customHeight="1" s="311"/>
    <row r="10168" hidden="1" ht="18.75" customFormat="1" customHeight="1" s="311"/>
    <row r="10169" hidden="1" ht="18.75" customFormat="1" customHeight="1" s="311"/>
    <row r="10170" hidden="1" ht="18.75" customFormat="1" customHeight="1" s="311"/>
    <row r="10171" hidden="1" ht="18.75" customFormat="1" customHeight="1" s="311"/>
    <row r="10172" hidden="1" ht="18.75" customFormat="1" customHeight="1" s="311"/>
    <row r="10173" hidden="1" ht="18.75" customFormat="1" customHeight="1" s="311"/>
    <row r="10174" hidden="1" ht="18.75" customFormat="1" customHeight="1" s="311"/>
    <row r="10175" hidden="1" ht="18.75" customFormat="1" customHeight="1" s="311"/>
    <row r="10176" hidden="1" ht="18.75" customFormat="1" customHeight="1" s="311"/>
    <row r="10177" hidden="1" ht="18.75" customFormat="1" customHeight="1" s="311"/>
    <row r="10178" hidden="1" ht="18.75" customFormat="1" customHeight="1" s="311"/>
    <row r="10179" hidden="1" ht="18.75" customFormat="1" customHeight="1" s="311"/>
    <row r="10180" hidden="1" ht="18.75" customFormat="1" customHeight="1" s="311"/>
    <row r="10181" hidden="1" ht="18.75" customFormat="1" customHeight="1" s="311"/>
    <row r="10182" hidden="1" ht="18.75" customFormat="1" customHeight="1" s="311"/>
    <row r="10183" hidden="1" ht="18.75" customFormat="1" customHeight="1" s="311"/>
    <row r="10184" hidden="1" ht="18.75" customFormat="1" customHeight="1" s="311"/>
    <row r="10185" hidden="1" ht="18.75" customFormat="1" customHeight="1" s="311"/>
    <row r="10186" hidden="1" ht="18.75" customFormat="1" customHeight="1" s="311"/>
    <row r="10187" hidden="1" ht="18.75" customFormat="1" customHeight="1" s="311"/>
    <row r="10188" hidden="1" ht="18.75" customFormat="1" customHeight="1" s="311"/>
    <row r="10189" hidden="1" ht="18.75" customFormat="1" customHeight="1" s="311"/>
    <row r="10190" hidden="1" ht="18.75" customFormat="1" customHeight="1" s="311"/>
    <row r="10191" hidden="1" ht="18.75" customFormat="1" customHeight="1" s="311"/>
    <row r="10192" hidden="1" ht="18.75" customFormat="1" customHeight="1" s="311"/>
    <row r="10193" hidden="1" ht="18.75" customFormat="1" customHeight="1" s="311"/>
    <row r="10194" hidden="1" ht="18.75" customFormat="1" customHeight="1" s="311"/>
    <row r="10195" hidden="1" ht="18.75" customFormat="1" customHeight="1" s="311"/>
    <row r="10196" hidden="1" ht="18.75" customFormat="1" customHeight="1" s="311"/>
    <row r="10197" hidden="1" ht="18.75" customFormat="1" customHeight="1" s="311"/>
    <row r="10198" hidden="1" ht="18.75" customFormat="1" customHeight="1" s="311"/>
    <row r="10199" hidden="1" ht="18.75" customFormat="1" customHeight="1" s="311"/>
    <row r="10200" hidden="1" ht="18.75" customFormat="1" customHeight="1" s="311"/>
    <row r="10201" hidden="1" ht="18.75" customFormat="1" customHeight="1" s="311"/>
    <row r="10202" hidden="1" ht="18.75" customFormat="1" customHeight="1" s="311"/>
    <row r="10203" hidden="1" ht="18.75" customFormat="1" customHeight="1" s="311"/>
    <row r="10204" hidden="1" ht="18.75" customFormat="1" customHeight="1" s="311"/>
    <row r="10205" hidden="1" ht="18.75" customFormat="1" customHeight="1" s="311"/>
    <row r="10206" hidden="1" ht="18.75" customFormat="1" customHeight="1" s="311"/>
    <row r="10207" hidden="1" ht="18.75" customFormat="1" customHeight="1" s="311"/>
    <row r="10208" hidden="1" ht="18.75" customFormat="1" customHeight="1" s="311"/>
    <row r="10209" hidden="1" ht="18.75" customFormat="1" customHeight="1" s="311"/>
    <row r="10210" hidden="1" ht="18.75" customFormat="1" customHeight="1" s="311"/>
    <row r="10211" hidden="1" ht="18.75" customFormat="1" customHeight="1" s="311"/>
    <row r="10212" hidden="1" ht="18.75" customFormat="1" customHeight="1" s="311"/>
    <row r="10213" hidden="1" ht="18.75" customFormat="1" customHeight="1" s="311"/>
    <row r="10214" hidden="1" ht="18.75" customFormat="1" customHeight="1" s="311"/>
    <row r="10215" hidden="1" ht="18.75" customFormat="1" customHeight="1" s="311"/>
    <row r="10216" hidden="1" ht="18.75" customFormat="1" customHeight="1" s="311"/>
    <row r="10217" hidden="1" ht="18.75" customFormat="1" customHeight="1" s="311"/>
    <row r="10218" hidden="1" ht="18.75" customFormat="1" customHeight="1" s="311"/>
    <row r="10219" hidden="1" ht="18.75" customFormat="1" customHeight="1" s="311"/>
    <row r="10220" hidden="1" ht="18.75" customFormat="1" customHeight="1" s="311"/>
    <row r="10221" hidden="1" ht="18.75" customFormat="1" customHeight="1" s="311"/>
    <row r="10222" hidden="1" ht="18.75" customFormat="1" customHeight="1" s="311"/>
    <row r="10223" hidden="1" ht="18.75" customFormat="1" customHeight="1" s="311"/>
    <row r="10224" hidden="1" ht="18.75" customFormat="1" customHeight="1" s="311"/>
    <row r="10225" hidden="1" ht="18.75" customFormat="1" customHeight="1" s="311"/>
    <row r="10226" hidden="1" ht="18.75" customFormat="1" customHeight="1" s="311"/>
    <row r="10227" hidden="1" ht="18.75" customFormat="1" customHeight="1" s="311"/>
    <row r="10228" hidden="1" ht="18.75" customFormat="1" customHeight="1" s="311"/>
    <row r="10229" hidden="1" ht="18.75" customFormat="1" customHeight="1" s="311"/>
    <row r="10230" hidden="1" ht="18.75" customFormat="1" customHeight="1" s="311"/>
    <row r="10231" hidden="1" ht="18.75" customFormat="1" customHeight="1" s="311"/>
    <row r="10232" hidden="1" ht="18.75" customFormat="1" customHeight="1" s="311"/>
    <row r="10233" hidden="1" ht="18.75" customFormat="1" customHeight="1" s="311"/>
    <row r="10234" hidden="1" ht="18.75" customFormat="1" customHeight="1" s="311"/>
    <row r="10235" hidden="1" ht="18.75" customFormat="1" customHeight="1" s="311"/>
    <row r="10236" hidden="1" ht="18.75" customFormat="1" customHeight="1" s="311"/>
    <row r="10237" hidden="1" ht="18.75" customFormat="1" customHeight="1" s="311"/>
    <row r="10238" hidden="1" ht="18.75" customFormat="1" customHeight="1" s="311"/>
    <row r="10239" hidden="1" ht="18.75" customFormat="1" customHeight="1" s="311"/>
    <row r="10240" hidden="1" ht="18.75" customFormat="1" customHeight="1" s="311"/>
    <row r="10241" hidden="1" ht="18.75" customFormat="1" customHeight="1" s="311"/>
    <row r="10242" hidden="1" ht="18.75" customFormat="1" customHeight="1" s="311"/>
    <row r="10243" hidden="1" ht="18.75" customFormat="1" customHeight="1" s="311"/>
    <row r="10244" hidden="1" ht="18.75" customFormat="1" customHeight="1" s="311"/>
    <row r="10245" hidden="1" ht="18.75" customFormat="1" customHeight="1" s="311"/>
    <row r="10246" hidden="1" ht="18.75" customFormat="1" customHeight="1" s="311"/>
    <row r="10247" hidden="1" ht="18.75" customFormat="1" customHeight="1" s="311"/>
    <row r="10248" hidden="1" ht="18.75" customFormat="1" customHeight="1" s="311"/>
    <row r="10249" hidden="1" ht="18.75" customFormat="1" customHeight="1" s="311"/>
    <row r="10250" hidden="1" ht="18.75" customFormat="1" customHeight="1" s="311"/>
    <row r="10251" hidden="1" ht="18.75" customFormat="1" customHeight="1" s="311"/>
    <row r="10252" hidden="1" ht="18.75" customFormat="1" customHeight="1" s="311"/>
    <row r="10253" hidden="1" ht="18.75" customFormat="1" customHeight="1" s="311"/>
    <row r="10254" hidden="1" ht="18.75" customFormat="1" customHeight="1" s="311"/>
    <row r="10255" hidden="1" ht="18.75" customFormat="1" customHeight="1" s="311"/>
    <row r="10256" hidden="1" ht="18.75" customFormat="1" customHeight="1" s="311"/>
    <row r="10257" hidden="1" ht="18.75" customFormat="1" customHeight="1" s="311"/>
    <row r="10258" hidden="1" ht="18.75" customFormat="1" customHeight="1" s="311"/>
    <row r="10259" hidden="1" ht="18.75" customFormat="1" customHeight="1" s="311"/>
    <row r="10260" hidden="1" ht="18.75" customFormat="1" customHeight="1" s="311"/>
    <row r="10261" hidden="1" ht="18.75" customFormat="1" customHeight="1" s="311"/>
    <row r="10262" hidden="1" ht="18.75" customFormat="1" customHeight="1" s="311"/>
    <row r="10263" hidden="1" ht="18.75" customFormat="1" customHeight="1" s="311"/>
    <row r="10264" hidden="1" ht="18.75" customFormat="1" customHeight="1" s="311"/>
    <row r="10265" hidden="1" ht="18.75" customFormat="1" customHeight="1" s="311"/>
    <row r="10266" hidden="1" ht="18.75" customFormat="1" customHeight="1" s="311"/>
    <row r="10267" hidden="1" ht="18.75" customFormat="1" customHeight="1" s="311"/>
    <row r="10268" hidden="1" ht="18.75" customFormat="1" customHeight="1" s="311"/>
    <row r="10269" hidden="1" ht="18.75" customFormat="1" customHeight="1" s="311"/>
    <row r="10270" hidden="1" ht="18.75" customFormat="1" customHeight="1" s="311"/>
    <row r="10271" hidden="1" ht="18.75" customFormat="1" customHeight="1" s="311"/>
    <row r="10272" hidden="1" ht="18.75" customFormat="1" customHeight="1" s="311"/>
    <row r="10273" hidden="1" ht="18.75" customFormat="1" customHeight="1" s="311"/>
    <row r="10274" hidden="1" ht="18.75" customFormat="1" customHeight="1" s="311"/>
    <row r="10275" hidden="1" ht="18.75" customFormat="1" customHeight="1" s="311"/>
    <row r="10276" hidden="1" ht="18.75" customFormat="1" customHeight="1" s="311"/>
    <row r="10277" hidden="1" ht="18.75" customFormat="1" customHeight="1" s="311"/>
    <row r="10278" hidden="1" ht="18.75" customFormat="1" customHeight="1" s="311"/>
    <row r="10279" hidden="1" ht="18.75" customFormat="1" customHeight="1" s="311"/>
    <row r="10280" hidden="1" ht="18.75" customFormat="1" customHeight="1" s="311"/>
    <row r="10281" hidden="1" ht="18.75" customFormat="1" customHeight="1" s="311"/>
    <row r="10282" hidden="1" ht="18.75" customFormat="1" customHeight="1" s="311"/>
    <row r="10283" hidden="1" ht="18.75" customFormat="1" customHeight="1" s="311"/>
    <row r="10284" hidden="1" ht="18.75" customFormat="1" customHeight="1" s="311"/>
    <row r="10285" hidden="1" ht="18.75" customFormat="1" customHeight="1" s="311"/>
    <row r="10286" hidden="1" ht="18.75" customFormat="1" customHeight="1" s="311"/>
    <row r="10287" hidden="1" ht="18.75" customFormat="1" customHeight="1" s="311"/>
    <row r="10288" hidden="1" ht="18.75" customFormat="1" customHeight="1" s="311"/>
    <row r="10289" hidden="1" ht="18.75" customFormat="1" customHeight="1" s="311"/>
    <row r="10290" hidden="1" ht="18.75" customFormat="1" customHeight="1" s="311"/>
    <row r="10291" hidden="1" ht="18.75" customFormat="1" customHeight="1" s="311"/>
    <row r="10292" hidden="1" ht="18.75" customFormat="1" customHeight="1" s="311"/>
    <row r="10293" hidden="1" ht="18.75" customFormat="1" customHeight="1" s="311"/>
    <row r="10294" hidden="1" ht="18.75" customFormat="1" customHeight="1" s="311"/>
    <row r="10295" hidden="1" ht="18.75" customFormat="1" customHeight="1" s="311"/>
    <row r="10296" hidden="1" ht="18.75" customFormat="1" customHeight="1" s="311"/>
    <row r="10297" hidden="1" ht="18.75" customFormat="1" customHeight="1" s="311"/>
    <row r="10298" hidden="1" ht="18.75" customFormat="1" customHeight="1" s="311"/>
    <row r="10299" hidden="1" ht="18.75" customFormat="1" customHeight="1" s="311"/>
    <row r="10300" hidden="1" ht="18.75" customFormat="1" customHeight="1" s="311"/>
    <row r="10301" hidden="1" ht="18.75" customFormat="1" customHeight="1" s="311"/>
    <row r="10302" hidden="1" ht="18.75" customFormat="1" customHeight="1" s="311"/>
    <row r="10303" hidden="1" ht="18.75" customFormat="1" customHeight="1" s="311"/>
    <row r="10304" hidden="1" ht="18.75" customFormat="1" customHeight="1" s="311"/>
    <row r="10305" hidden="1" ht="18.75" customFormat="1" customHeight="1" s="311"/>
    <row r="10306" hidden="1" ht="18.75" customFormat="1" customHeight="1" s="311"/>
    <row r="10307" hidden="1" ht="18.75" customFormat="1" customHeight="1" s="311"/>
    <row r="10308" hidden="1" ht="18.75" customFormat="1" customHeight="1" s="311"/>
    <row r="10309" hidden="1" ht="18.75" customFormat="1" customHeight="1" s="311"/>
    <row r="10310" hidden="1" ht="18.75" customFormat="1" customHeight="1" s="311"/>
    <row r="10311" hidden="1" ht="18.75" customFormat="1" customHeight="1" s="311"/>
    <row r="10312" hidden="1" ht="18.75" customFormat="1" customHeight="1" s="311"/>
    <row r="10313" hidden="1" ht="18.75" customFormat="1" customHeight="1" s="311"/>
    <row r="10314" hidden="1" ht="18.75" customFormat="1" customHeight="1" s="311"/>
    <row r="10315" hidden="1" ht="18.75" customFormat="1" customHeight="1" s="311"/>
    <row r="10316" hidden="1" ht="18.75" customFormat="1" customHeight="1" s="311"/>
    <row r="10317" hidden="1" ht="18.75" customFormat="1" customHeight="1" s="311"/>
    <row r="10318" hidden="1" ht="18.75" customFormat="1" customHeight="1" s="311"/>
    <row r="10319" hidden="1" ht="18.75" customFormat="1" customHeight="1" s="311"/>
    <row r="10320" hidden="1" ht="18.75" customFormat="1" customHeight="1" s="311"/>
    <row r="10321" hidden="1" ht="18.75" customFormat="1" customHeight="1" s="311"/>
    <row r="10322" hidden="1" ht="18.75" customFormat="1" customHeight="1" s="311"/>
    <row r="10323" hidden="1" ht="18.75" customFormat="1" customHeight="1" s="311"/>
    <row r="10324" hidden="1" ht="18.75" customFormat="1" customHeight="1" s="311"/>
    <row r="10325" hidden="1" ht="18.75" customFormat="1" customHeight="1" s="311"/>
    <row r="10326" hidden="1" ht="18.75" customFormat="1" customHeight="1" s="311"/>
    <row r="10327" hidden="1" ht="18.75" customFormat="1" customHeight="1" s="311"/>
    <row r="10328" hidden="1" ht="18.75" customFormat="1" customHeight="1" s="311"/>
    <row r="10329" hidden="1" ht="18.75" customFormat="1" customHeight="1" s="311"/>
    <row r="10330" hidden="1" ht="18.75" customFormat="1" customHeight="1" s="311"/>
    <row r="10331" hidden="1" ht="18.75" customFormat="1" customHeight="1" s="311"/>
    <row r="10332" hidden="1" ht="18.75" customFormat="1" customHeight="1" s="311"/>
    <row r="10333" hidden="1" ht="18.75" customFormat="1" customHeight="1" s="311"/>
    <row r="10334" hidden="1" ht="18.75" customFormat="1" customHeight="1" s="311"/>
    <row r="10335" hidden="1" ht="18.75" customFormat="1" customHeight="1" s="311"/>
    <row r="10336" hidden="1" ht="18.75" customFormat="1" customHeight="1" s="311"/>
    <row r="10337" hidden="1" ht="18.75" customFormat="1" customHeight="1" s="311"/>
    <row r="10338" hidden="1" ht="18.75" customFormat="1" customHeight="1" s="311"/>
    <row r="10339" hidden="1" ht="18.75" customFormat="1" customHeight="1" s="311"/>
    <row r="10340" hidden="1" ht="18.75" customFormat="1" customHeight="1" s="311"/>
    <row r="10341" hidden="1" ht="18.75" customFormat="1" customHeight="1" s="311"/>
    <row r="10342" hidden="1" ht="18.75" customFormat="1" customHeight="1" s="311"/>
    <row r="10343" hidden="1" ht="18.75" customFormat="1" customHeight="1" s="311"/>
    <row r="10344" hidden="1" ht="18.75" customFormat="1" customHeight="1" s="311"/>
    <row r="10345" hidden="1" ht="18.75" customFormat="1" customHeight="1" s="311"/>
    <row r="10346" hidden="1" ht="18.75" customFormat="1" customHeight="1" s="311"/>
    <row r="10347" hidden="1" ht="18.75" customFormat="1" customHeight="1" s="311"/>
    <row r="10348" hidden="1" ht="18.75" customFormat="1" customHeight="1" s="311"/>
    <row r="10349" hidden="1" ht="18.75" customFormat="1" customHeight="1" s="311"/>
    <row r="10350" hidden="1" ht="18.75" customFormat="1" customHeight="1" s="311"/>
    <row r="10351" hidden="1" ht="18.75" customFormat="1" customHeight="1" s="311"/>
    <row r="10352" hidden="1" ht="18.75" customFormat="1" customHeight="1" s="311"/>
    <row r="10353" hidden="1" ht="18.75" customFormat="1" customHeight="1" s="311"/>
    <row r="10354" hidden="1" ht="18.75" customFormat="1" customHeight="1" s="311"/>
    <row r="10355" hidden="1" ht="18.75" customFormat="1" customHeight="1" s="311"/>
    <row r="10356" hidden="1" ht="18.75" customFormat="1" customHeight="1" s="311"/>
    <row r="10357" hidden="1" ht="18.75" customFormat="1" customHeight="1" s="311"/>
    <row r="10358" hidden="1" ht="18.75" customFormat="1" customHeight="1" s="311"/>
    <row r="10359" hidden="1" ht="18.75" customFormat="1" customHeight="1" s="311"/>
    <row r="10360" hidden="1" ht="18.75" customFormat="1" customHeight="1" s="311"/>
    <row r="10361" hidden="1" ht="18.75" customFormat="1" customHeight="1" s="311"/>
    <row r="10362" hidden="1" ht="18.75" customFormat="1" customHeight="1" s="311"/>
    <row r="10363" hidden="1" ht="18.75" customFormat="1" customHeight="1" s="311"/>
    <row r="10364" hidden="1" ht="18.75" customFormat="1" customHeight="1" s="311"/>
    <row r="10365" hidden="1" ht="18.75" customFormat="1" customHeight="1" s="311"/>
    <row r="10366" hidden="1" ht="18.75" customFormat="1" customHeight="1" s="311"/>
    <row r="10367" hidden="1" ht="18.75" customFormat="1" customHeight="1" s="311"/>
    <row r="10368" hidden="1" ht="18.75" customFormat="1" customHeight="1" s="311"/>
    <row r="10369" hidden="1" ht="18.75" customFormat="1" customHeight="1" s="311"/>
    <row r="10370" hidden="1" ht="18.75" customFormat="1" customHeight="1" s="311"/>
    <row r="10371" hidden="1" ht="18.75" customFormat="1" customHeight="1" s="311"/>
    <row r="10372" hidden="1" ht="18.75" customFormat="1" customHeight="1" s="311"/>
    <row r="10373" hidden="1" ht="18.75" customFormat="1" customHeight="1" s="311"/>
    <row r="10374" hidden="1" ht="18.75" customFormat="1" customHeight="1" s="311"/>
    <row r="10375" hidden="1" ht="18.75" customFormat="1" customHeight="1" s="311"/>
    <row r="10376" hidden="1" ht="18.75" customFormat="1" customHeight="1" s="311"/>
    <row r="10377" hidden="1" ht="18.75" customFormat="1" customHeight="1" s="311"/>
    <row r="10378" hidden="1" ht="18.75" customFormat="1" customHeight="1" s="311"/>
    <row r="10379" hidden="1" ht="18.75" customFormat="1" customHeight="1" s="311"/>
    <row r="10380" hidden="1" ht="18.75" customFormat="1" customHeight="1" s="311"/>
    <row r="10381" hidden="1" ht="18.75" customFormat="1" customHeight="1" s="311"/>
    <row r="10382" hidden="1" ht="18.75" customFormat="1" customHeight="1" s="311"/>
    <row r="10383" hidden="1" ht="18.75" customFormat="1" customHeight="1" s="311"/>
    <row r="10384" hidden="1" ht="18.75" customFormat="1" customHeight="1" s="311"/>
    <row r="10385" hidden="1" ht="18.75" customFormat="1" customHeight="1" s="311"/>
    <row r="10386" hidden="1" ht="18.75" customFormat="1" customHeight="1" s="311"/>
    <row r="10387" hidden="1" ht="18.75" customFormat="1" customHeight="1" s="311"/>
    <row r="10388" hidden="1" ht="18.75" customFormat="1" customHeight="1" s="311"/>
    <row r="10389" hidden="1" ht="18.75" customFormat="1" customHeight="1" s="311"/>
    <row r="10390" hidden="1" ht="18.75" customFormat="1" customHeight="1" s="311"/>
    <row r="10391" hidden="1" ht="18.75" customFormat="1" customHeight="1" s="311"/>
    <row r="10392" hidden="1" ht="18.75" customFormat="1" customHeight="1" s="311"/>
    <row r="10393" hidden="1" ht="18.75" customFormat="1" customHeight="1" s="311"/>
    <row r="10394" hidden="1" ht="18.75" customFormat="1" customHeight="1" s="311"/>
    <row r="10395" hidden="1" ht="18.75" customFormat="1" customHeight="1" s="311"/>
    <row r="10396" hidden="1" ht="18.75" customFormat="1" customHeight="1" s="311"/>
    <row r="10397" hidden="1" ht="18.75" customFormat="1" customHeight="1" s="311"/>
    <row r="10398" hidden="1" ht="18.75" customFormat="1" customHeight="1" s="311"/>
    <row r="10399" hidden="1" ht="18.75" customFormat="1" customHeight="1" s="311"/>
    <row r="10400" hidden="1" ht="18.75" customFormat="1" customHeight="1" s="311"/>
    <row r="10401" hidden="1" ht="18.75" customFormat="1" customHeight="1" s="311"/>
    <row r="10402" hidden="1" ht="18.75" customFormat="1" customHeight="1" s="311"/>
    <row r="10403" hidden="1" ht="18.75" customFormat="1" customHeight="1" s="311"/>
    <row r="10404" hidden="1" ht="18.75" customFormat="1" customHeight="1" s="311"/>
    <row r="10405" hidden="1" ht="18.75" customFormat="1" customHeight="1" s="311"/>
    <row r="10406" hidden="1" ht="18.75" customFormat="1" customHeight="1" s="311"/>
    <row r="10407" hidden="1" ht="18.75" customFormat="1" customHeight="1" s="311"/>
    <row r="10408" hidden="1" ht="18.75" customFormat="1" customHeight="1" s="311"/>
    <row r="10409" hidden="1" ht="18.75" customFormat="1" customHeight="1" s="311"/>
    <row r="10410" hidden="1" ht="18.75" customFormat="1" customHeight="1" s="311"/>
    <row r="10411" hidden="1" ht="18.75" customFormat="1" customHeight="1" s="311"/>
    <row r="10412" hidden="1" ht="18.75" customFormat="1" customHeight="1" s="311"/>
    <row r="10413" hidden="1" ht="18.75" customFormat="1" customHeight="1" s="311"/>
    <row r="10414" hidden="1" ht="18.75" customFormat="1" customHeight="1" s="311"/>
    <row r="10415" hidden="1" ht="18.75" customFormat="1" customHeight="1" s="311"/>
    <row r="10416" hidden="1" ht="18.75" customFormat="1" customHeight="1" s="311"/>
    <row r="10417" hidden="1" ht="18.75" customFormat="1" customHeight="1" s="311"/>
    <row r="10418" hidden="1" ht="18.75" customFormat="1" customHeight="1" s="311"/>
    <row r="10419" hidden="1" ht="18.75" customFormat="1" customHeight="1" s="311"/>
    <row r="10420" hidden="1" ht="18.75" customFormat="1" customHeight="1" s="311"/>
    <row r="10421" hidden="1" ht="18.75" customFormat="1" customHeight="1" s="311"/>
    <row r="10422" hidden="1" ht="18.75" customFormat="1" customHeight="1" s="311"/>
    <row r="10423" hidden="1" ht="18.75" customFormat="1" customHeight="1" s="311"/>
    <row r="10424" hidden="1" ht="18.75" customFormat="1" customHeight="1" s="311"/>
    <row r="10425" hidden="1" ht="18.75" customFormat="1" customHeight="1" s="311"/>
    <row r="10426" hidden="1" ht="18.75" customFormat="1" customHeight="1" s="311"/>
    <row r="10427" hidden="1" ht="18.75" customFormat="1" customHeight="1" s="311"/>
    <row r="10428" hidden="1" ht="18.75" customFormat="1" customHeight="1" s="311"/>
    <row r="10429" hidden="1" ht="18.75" customFormat="1" customHeight="1" s="311"/>
    <row r="10430" hidden="1" ht="18.75" customFormat="1" customHeight="1" s="311"/>
    <row r="10431" hidden="1" ht="18.75" customFormat="1" customHeight="1" s="311"/>
    <row r="10432" hidden="1" ht="18.75" customFormat="1" customHeight="1" s="311"/>
    <row r="10433" hidden="1" ht="18.75" customFormat="1" customHeight="1" s="311"/>
    <row r="10434" hidden="1" ht="18.75" customFormat="1" customHeight="1" s="311"/>
    <row r="10435" hidden="1" ht="18.75" customFormat="1" customHeight="1" s="311"/>
    <row r="10436" hidden="1" ht="18.75" customFormat="1" customHeight="1" s="311"/>
    <row r="10437" hidden="1" ht="18.75" customFormat="1" customHeight="1" s="311"/>
    <row r="10438" hidden="1" ht="18.75" customFormat="1" customHeight="1" s="311"/>
    <row r="10439" hidden="1" ht="18.75" customFormat="1" customHeight="1" s="311"/>
    <row r="10440" hidden="1" ht="18.75" customFormat="1" customHeight="1" s="311"/>
    <row r="10441" hidden="1" ht="18.75" customFormat="1" customHeight="1" s="311"/>
    <row r="10442" hidden="1" ht="18.75" customFormat="1" customHeight="1" s="311"/>
    <row r="10443" hidden="1" ht="18.75" customFormat="1" customHeight="1" s="311"/>
    <row r="10444" hidden="1" ht="18.75" customFormat="1" customHeight="1" s="311"/>
    <row r="10445" hidden="1" ht="18.75" customFormat="1" customHeight="1" s="311"/>
    <row r="10446" hidden="1" ht="18.75" customFormat="1" customHeight="1" s="311"/>
    <row r="10447" hidden="1" ht="18.75" customFormat="1" customHeight="1" s="311"/>
    <row r="10448" hidden="1" ht="18.75" customFormat="1" customHeight="1" s="311"/>
    <row r="10449" hidden="1" ht="18.75" customFormat="1" customHeight="1" s="311"/>
    <row r="10450" hidden="1" ht="18.75" customFormat="1" customHeight="1" s="311"/>
    <row r="10451" hidden="1" ht="18.75" customFormat="1" customHeight="1" s="311"/>
    <row r="10452" hidden="1" ht="18.75" customFormat="1" customHeight="1" s="311"/>
    <row r="10453" hidden="1" ht="18.75" customFormat="1" customHeight="1" s="311"/>
    <row r="10454" hidden="1" ht="18.75" customFormat="1" customHeight="1" s="311"/>
    <row r="10455" hidden="1" ht="18.75" customFormat="1" customHeight="1" s="311"/>
    <row r="10456" hidden="1" ht="18.75" customFormat="1" customHeight="1" s="311"/>
    <row r="10457" hidden="1" ht="18.75" customFormat="1" customHeight="1" s="311"/>
    <row r="10458" hidden="1" ht="18.75" customFormat="1" customHeight="1" s="311"/>
    <row r="10459" hidden="1" ht="18.75" customFormat="1" customHeight="1" s="311"/>
    <row r="10460" hidden="1" ht="18.75" customFormat="1" customHeight="1" s="311"/>
    <row r="10461" hidden="1" ht="18.75" customFormat="1" customHeight="1" s="311"/>
    <row r="10462" hidden="1" ht="18.75" customFormat="1" customHeight="1" s="311"/>
    <row r="10463" hidden="1" ht="18.75" customFormat="1" customHeight="1" s="311"/>
    <row r="10464" hidden="1" ht="18.75" customFormat="1" customHeight="1" s="311"/>
    <row r="10465" hidden="1" ht="18.75" customFormat="1" customHeight="1" s="311"/>
    <row r="10466" hidden="1" ht="18.75" customFormat="1" customHeight="1" s="311"/>
    <row r="10467" hidden="1" ht="18.75" customFormat="1" customHeight="1" s="311"/>
    <row r="10468" hidden="1" ht="18.75" customFormat="1" customHeight="1" s="311"/>
    <row r="10469" hidden="1" ht="18.75" customFormat="1" customHeight="1" s="311"/>
    <row r="10470" hidden="1" ht="18.75" customFormat="1" customHeight="1" s="311"/>
    <row r="10471" hidden="1" ht="18.75" customFormat="1" customHeight="1" s="311"/>
    <row r="10472" hidden="1" ht="18.75" customFormat="1" customHeight="1" s="311"/>
    <row r="10473" hidden="1" ht="18.75" customFormat="1" customHeight="1" s="311"/>
    <row r="10474" hidden="1" ht="18.75" customFormat="1" customHeight="1" s="311"/>
    <row r="10475" hidden="1" ht="18.75" customFormat="1" customHeight="1" s="311"/>
    <row r="10476" hidden="1" ht="18.75" customFormat="1" customHeight="1" s="311"/>
    <row r="10477" hidden="1" ht="18.75" customFormat="1" customHeight="1" s="311"/>
    <row r="10478" hidden="1" ht="18.75" customFormat="1" customHeight="1" s="311"/>
    <row r="10479" hidden="1" ht="18.75" customFormat="1" customHeight="1" s="311"/>
    <row r="10480" hidden="1" ht="18.75" customFormat="1" customHeight="1" s="311"/>
    <row r="10481" hidden="1" ht="18.75" customFormat="1" customHeight="1" s="311"/>
    <row r="10482" hidden="1" ht="18.75" customFormat="1" customHeight="1" s="311"/>
    <row r="10483" hidden="1" ht="18.75" customFormat="1" customHeight="1" s="311"/>
    <row r="10484" hidden="1" ht="18.75" customFormat="1" customHeight="1" s="311"/>
    <row r="10485" hidden="1" ht="18.75" customFormat="1" customHeight="1" s="311"/>
    <row r="10486" hidden="1" ht="18.75" customFormat="1" customHeight="1" s="311"/>
    <row r="10487" hidden="1" ht="18.75" customFormat="1" customHeight="1" s="311"/>
    <row r="10488" hidden="1" ht="18.75" customFormat="1" customHeight="1" s="311"/>
    <row r="10489" hidden="1" ht="18.75" customFormat="1" customHeight="1" s="311"/>
    <row r="10490" hidden="1" ht="18.75" customFormat="1" customHeight="1" s="311"/>
    <row r="10491" hidden="1" ht="18.75" customFormat="1" customHeight="1" s="311"/>
    <row r="10492" hidden="1" ht="18.75" customFormat="1" customHeight="1" s="311"/>
    <row r="10493" hidden="1" ht="18.75" customFormat="1" customHeight="1" s="311"/>
    <row r="10494" hidden="1" ht="18.75" customFormat="1" customHeight="1" s="311"/>
    <row r="10495" hidden="1" ht="18.75" customFormat="1" customHeight="1" s="311"/>
    <row r="10496" hidden="1" ht="18.75" customFormat="1" customHeight="1" s="311"/>
    <row r="10497" hidden="1" ht="18.75" customFormat="1" customHeight="1" s="311"/>
    <row r="10498" hidden="1" ht="18.75" customFormat="1" customHeight="1" s="311"/>
    <row r="10499" hidden="1" ht="18.75" customFormat="1" customHeight="1" s="311"/>
    <row r="10500" hidden="1" ht="18.75" customFormat="1" customHeight="1" s="311"/>
    <row r="10501" hidden="1" ht="18.75" customFormat="1" customHeight="1" s="311"/>
    <row r="10502" hidden="1" ht="18.75" customFormat="1" customHeight="1" s="311"/>
    <row r="10503" hidden="1" ht="18.75" customFormat="1" customHeight="1" s="311"/>
    <row r="10504" hidden="1" ht="18.75" customFormat="1" customHeight="1" s="311"/>
    <row r="10505" hidden="1" ht="18.75" customFormat="1" customHeight="1" s="311"/>
    <row r="10506" hidden="1" ht="18.75" customFormat="1" customHeight="1" s="311"/>
    <row r="10507" hidden="1" ht="18.75" customFormat="1" customHeight="1" s="311"/>
    <row r="10508" hidden="1" ht="18.75" customFormat="1" customHeight="1" s="311"/>
    <row r="10509" hidden="1" ht="18.75" customFormat="1" customHeight="1" s="311"/>
    <row r="10510" hidden="1" ht="18.75" customFormat="1" customHeight="1" s="311"/>
    <row r="10511" hidden="1" ht="18.75" customFormat="1" customHeight="1" s="311"/>
    <row r="10512" hidden="1" ht="18.75" customFormat="1" customHeight="1" s="311"/>
    <row r="10513" hidden="1" ht="18.75" customFormat="1" customHeight="1" s="311"/>
    <row r="10514" hidden="1" ht="18.75" customFormat="1" customHeight="1" s="311"/>
    <row r="10515" hidden="1" ht="18.75" customFormat="1" customHeight="1" s="311"/>
    <row r="10516" hidden="1" ht="18.75" customFormat="1" customHeight="1" s="311"/>
    <row r="10517" hidden="1" ht="18.75" customFormat="1" customHeight="1" s="311"/>
    <row r="10518" hidden="1" ht="18.75" customFormat="1" customHeight="1" s="311"/>
    <row r="10519" hidden="1" ht="18.75" customFormat="1" customHeight="1" s="311"/>
    <row r="10520" hidden="1" ht="18.75" customFormat="1" customHeight="1" s="311"/>
    <row r="10521" hidden="1" ht="18.75" customFormat="1" customHeight="1" s="311"/>
    <row r="10522" hidden="1" ht="18.75" customFormat="1" customHeight="1" s="311"/>
    <row r="10523" hidden="1" ht="18.75" customFormat="1" customHeight="1" s="311"/>
    <row r="10524" hidden="1" ht="18.75" customFormat="1" customHeight="1" s="311"/>
    <row r="10525" hidden="1" ht="18.75" customFormat="1" customHeight="1" s="311"/>
    <row r="10526" hidden="1" ht="18.75" customFormat="1" customHeight="1" s="311"/>
    <row r="10527" hidden="1" ht="18.75" customFormat="1" customHeight="1" s="311"/>
    <row r="10528" hidden="1" ht="18.75" customFormat="1" customHeight="1" s="311"/>
    <row r="10529" hidden="1" ht="18.75" customFormat="1" customHeight="1" s="311"/>
    <row r="10530" hidden="1" ht="18.75" customFormat="1" customHeight="1" s="311"/>
    <row r="10531" hidden="1" ht="18.75" customFormat="1" customHeight="1" s="311"/>
    <row r="10532" hidden="1" ht="18.75" customFormat="1" customHeight="1" s="311"/>
    <row r="10533" hidden="1" ht="18.75" customFormat="1" customHeight="1" s="311"/>
    <row r="10534" hidden="1" ht="18.75" customFormat="1" customHeight="1" s="311"/>
    <row r="10535" hidden="1" ht="18.75" customFormat="1" customHeight="1" s="311"/>
    <row r="10536" hidden="1" ht="18.75" customFormat="1" customHeight="1" s="311"/>
    <row r="10537" hidden="1" ht="18.75" customFormat="1" customHeight="1" s="311"/>
    <row r="10538" hidden="1" ht="18.75" customFormat="1" customHeight="1" s="311"/>
    <row r="10539" hidden="1" ht="18.75" customFormat="1" customHeight="1" s="311"/>
    <row r="10540" hidden="1" ht="18.75" customFormat="1" customHeight="1" s="311"/>
    <row r="10541" hidden="1" ht="18.75" customFormat="1" customHeight="1" s="311"/>
    <row r="10542" hidden="1" ht="18.75" customFormat="1" customHeight="1" s="311"/>
    <row r="10543" hidden="1" ht="18.75" customFormat="1" customHeight="1" s="311"/>
    <row r="10544" hidden="1" ht="18.75" customFormat="1" customHeight="1" s="311"/>
    <row r="10545" hidden="1" ht="18.75" customFormat="1" customHeight="1" s="311"/>
    <row r="10546" hidden="1" ht="18.75" customFormat="1" customHeight="1" s="311"/>
    <row r="10547" hidden="1" ht="18.75" customFormat="1" customHeight="1" s="311"/>
    <row r="10548" hidden="1" ht="18.75" customFormat="1" customHeight="1" s="311"/>
    <row r="10549" hidden="1" ht="18.75" customFormat="1" customHeight="1" s="311"/>
    <row r="10550" hidden="1" ht="18.75" customFormat="1" customHeight="1" s="311"/>
    <row r="10551" hidden="1" ht="18.75" customFormat="1" customHeight="1" s="311"/>
    <row r="10552" hidden="1" ht="18.75" customFormat="1" customHeight="1" s="311"/>
    <row r="10553" hidden="1" ht="18.75" customFormat="1" customHeight="1" s="311"/>
    <row r="10554" hidden="1" ht="18.75" customFormat="1" customHeight="1" s="311"/>
    <row r="10555" hidden="1" ht="18.75" customFormat="1" customHeight="1" s="311"/>
    <row r="10556" hidden="1" ht="18.75" customFormat="1" customHeight="1" s="311"/>
    <row r="10557" hidden="1" ht="18.75" customFormat="1" customHeight="1" s="311"/>
    <row r="10558" hidden="1" ht="18.75" customFormat="1" customHeight="1" s="311"/>
    <row r="10559" hidden="1" ht="18.75" customFormat="1" customHeight="1" s="311"/>
    <row r="10560" hidden="1" ht="18.75" customFormat="1" customHeight="1" s="311"/>
    <row r="10561" hidden="1" ht="18.75" customFormat="1" customHeight="1" s="311"/>
    <row r="10562" hidden="1" ht="18.75" customFormat="1" customHeight="1" s="311"/>
    <row r="10563" hidden="1" ht="18.75" customFormat="1" customHeight="1" s="311"/>
    <row r="10564" hidden="1" ht="18.75" customFormat="1" customHeight="1" s="311"/>
    <row r="10565" hidden="1" ht="18.75" customFormat="1" customHeight="1" s="311"/>
    <row r="10566" hidden="1" ht="18.75" customFormat="1" customHeight="1" s="311"/>
    <row r="10567" hidden="1" ht="18.75" customFormat="1" customHeight="1" s="311"/>
    <row r="10568" hidden="1" ht="18.75" customFormat="1" customHeight="1" s="311"/>
    <row r="10569" hidden="1" ht="18.75" customFormat="1" customHeight="1" s="311"/>
    <row r="10570" hidden="1" ht="18.75" customFormat="1" customHeight="1" s="311"/>
    <row r="10571" hidden="1" ht="18.75" customFormat="1" customHeight="1" s="311"/>
    <row r="10572" hidden="1" ht="18.75" customFormat="1" customHeight="1" s="311"/>
    <row r="10573" hidden="1" ht="18.75" customFormat="1" customHeight="1" s="311"/>
    <row r="10574" hidden="1" ht="18.75" customFormat="1" customHeight="1" s="311"/>
    <row r="10575" hidden="1" ht="18.75" customFormat="1" customHeight="1" s="311"/>
    <row r="10576" hidden="1" ht="18.75" customFormat="1" customHeight="1" s="311"/>
    <row r="10577" hidden="1" ht="18.75" customFormat="1" customHeight="1" s="311"/>
    <row r="10578" hidden="1" ht="18.75" customFormat="1" customHeight="1" s="311"/>
    <row r="10579" hidden="1" ht="18.75" customFormat="1" customHeight="1" s="311"/>
    <row r="10580" hidden="1" ht="18.75" customFormat="1" customHeight="1" s="311"/>
    <row r="10581" hidden="1" ht="18.75" customFormat="1" customHeight="1" s="311"/>
    <row r="10582" hidden="1" ht="18.75" customFormat="1" customHeight="1" s="311"/>
    <row r="10583" hidden="1" ht="18.75" customFormat="1" customHeight="1" s="311"/>
    <row r="10584" hidden="1" ht="18.75" customFormat="1" customHeight="1" s="311"/>
    <row r="10585" hidden="1" ht="18.75" customFormat="1" customHeight="1" s="311"/>
    <row r="10586" hidden="1" ht="18.75" customFormat="1" customHeight="1" s="311"/>
    <row r="10587" hidden="1" ht="18.75" customFormat="1" customHeight="1" s="311"/>
    <row r="10588" hidden="1" ht="18.75" customFormat="1" customHeight="1" s="311"/>
    <row r="10589" hidden="1" ht="18.75" customFormat="1" customHeight="1" s="311"/>
    <row r="10590" hidden="1" ht="18.75" customFormat="1" customHeight="1" s="311"/>
    <row r="10591" hidden="1" ht="18.75" customFormat="1" customHeight="1" s="311"/>
    <row r="10592" hidden="1" ht="18.75" customFormat="1" customHeight="1" s="311"/>
    <row r="10593" hidden="1" ht="18.75" customFormat="1" customHeight="1" s="311"/>
    <row r="10594" hidden="1" ht="18.75" customFormat="1" customHeight="1" s="311"/>
    <row r="10595" hidden="1" ht="18.75" customFormat="1" customHeight="1" s="311"/>
    <row r="10596" hidden="1" ht="18.75" customFormat="1" customHeight="1" s="311"/>
    <row r="10597" hidden="1" ht="18.75" customFormat="1" customHeight="1" s="311"/>
    <row r="10598" hidden="1" ht="18.75" customFormat="1" customHeight="1" s="311"/>
    <row r="10599" hidden="1" ht="18.75" customFormat="1" customHeight="1" s="311"/>
    <row r="10600" hidden="1" ht="18.75" customFormat="1" customHeight="1" s="311"/>
    <row r="10601" hidden="1" ht="18.75" customFormat="1" customHeight="1" s="311"/>
    <row r="10602" hidden="1" ht="18.75" customFormat="1" customHeight="1" s="311"/>
    <row r="10603" hidden="1" ht="18.75" customFormat="1" customHeight="1" s="311"/>
    <row r="10604" hidden="1" ht="18.75" customFormat="1" customHeight="1" s="311"/>
    <row r="10605" hidden="1" ht="18.75" customFormat="1" customHeight="1" s="311"/>
    <row r="10606" hidden="1" ht="18.75" customFormat="1" customHeight="1" s="311"/>
    <row r="10607" hidden="1" ht="18.75" customFormat="1" customHeight="1" s="311"/>
    <row r="10608" hidden="1" ht="18.75" customFormat="1" customHeight="1" s="311"/>
    <row r="10609" hidden="1" ht="18.75" customFormat="1" customHeight="1" s="311"/>
    <row r="10610" hidden="1" ht="18.75" customFormat="1" customHeight="1" s="311"/>
    <row r="10611" hidden="1" ht="18.75" customFormat="1" customHeight="1" s="311"/>
    <row r="10612" hidden="1" ht="18.75" customFormat="1" customHeight="1" s="311"/>
    <row r="10613" hidden="1" ht="18.75" customFormat="1" customHeight="1" s="311"/>
    <row r="10614" hidden="1" ht="18.75" customFormat="1" customHeight="1" s="311"/>
    <row r="10615" hidden="1" ht="18.75" customFormat="1" customHeight="1" s="311"/>
    <row r="10616" hidden="1" ht="18.75" customFormat="1" customHeight="1" s="311"/>
    <row r="10617" hidden="1" ht="18.75" customFormat="1" customHeight="1" s="311"/>
    <row r="10618" hidden="1" ht="18.75" customFormat="1" customHeight="1" s="311"/>
    <row r="10619" hidden="1" ht="18.75" customFormat="1" customHeight="1" s="311"/>
    <row r="10620" hidden="1" ht="18.75" customFormat="1" customHeight="1" s="311"/>
    <row r="10621" hidden="1" ht="18.75" customFormat="1" customHeight="1" s="311"/>
    <row r="10622" hidden="1" ht="18.75" customFormat="1" customHeight="1" s="311"/>
    <row r="10623" hidden="1" ht="18.75" customFormat="1" customHeight="1" s="311"/>
    <row r="10624" hidden="1" ht="18.75" customFormat="1" customHeight="1" s="311"/>
    <row r="10625" hidden="1" ht="18.75" customFormat="1" customHeight="1" s="311"/>
    <row r="10626" hidden="1" ht="18.75" customFormat="1" customHeight="1" s="311"/>
    <row r="10627" hidden="1" ht="18.75" customFormat="1" customHeight="1" s="311"/>
    <row r="10628" hidden="1" ht="18.75" customFormat="1" customHeight="1" s="311"/>
    <row r="10629" hidden="1" ht="18.75" customFormat="1" customHeight="1" s="311"/>
    <row r="10630" hidden="1" ht="18.75" customFormat="1" customHeight="1" s="311"/>
    <row r="10631" hidden="1" ht="18.75" customFormat="1" customHeight="1" s="311"/>
    <row r="10632" hidden="1" ht="18.75" customFormat="1" customHeight="1" s="311"/>
    <row r="10633" hidden="1" ht="18.75" customFormat="1" customHeight="1" s="311"/>
    <row r="10634" hidden="1" ht="18.75" customFormat="1" customHeight="1" s="311"/>
    <row r="10635" hidden="1" ht="18.75" customFormat="1" customHeight="1" s="311"/>
    <row r="10636" hidden="1" ht="18.75" customFormat="1" customHeight="1" s="311"/>
    <row r="10637" hidden="1" ht="18.75" customFormat="1" customHeight="1" s="311"/>
    <row r="10638" hidden="1" ht="18.75" customFormat="1" customHeight="1" s="311"/>
    <row r="10639" hidden="1" ht="18.75" customFormat="1" customHeight="1" s="311"/>
    <row r="10640" hidden="1" ht="18.75" customFormat="1" customHeight="1" s="311"/>
    <row r="10641" hidden="1" ht="18.75" customFormat="1" customHeight="1" s="311"/>
    <row r="10642" hidden="1" ht="18.75" customFormat="1" customHeight="1" s="311"/>
    <row r="10643" hidden="1" ht="18.75" customFormat="1" customHeight="1" s="311"/>
    <row r="10644" hidden="1" ht="18.75" customFormat="1" customHeight="1" s="311"/>
    <row r="10645" hidden="1" ht="18.75" customFormat="1" customHeight="1" s="311"/>
    <row r="10646" hidden="1" ht="18.75" customFormat="1" customHeight="1" s="311"/>
    <row r="10647" hidden="1" ht="18.75" customFormat="1" customHeight="1" s="311"/>
    <row r="10648" hidden="1" ht="18.75" customFormat="1" customHeight="1" s="311"/>
    <row r="10649" hidden="1" ht="18.75" customFormat="1" customHeight="1" s="311"/>
    <row r="10650" hidden="1" ht="18.75" customFormat="1" customHeight="1" s="311"/>
    <row r="10651" hidden="1" ht="18.75" customFormat="1" customHeight="1" s="311"/>
    <row r="10652" hidden="1" ht="18.75" customFormat="1" customHeight="1" s="311"/>
    <row r="10653" hidden="1" ht="18.75" customFormat="1" customHeight="1" s="311"/>
    <row r="10654" hidden="1" ht="18.75" customFormat="1" customHeight="1" s="311"/>
    <row r="10655" hidden="1" ht="18.75" customFormat="1" customHeight="1" s="311"/>
    <row r="10656" hidden="1" ht="18.75" customFormat="1" customHeight="1" s="311"/>
    <row r="10657" hidden="1" ht="18.75" customFormat="1" customHeight="1" s="311"/>
    <row r="10658" hidden="1" ht="18.75" customFormat="1" customHeight="1" s="311"/>
    <row r="10659" hidden="1" ht="18.75" customFormat="1" customHeight="1" s="311"/>
    <row r="10660" hidden="1" ht="18.75" customFormat="1" customHeight="1" s="311"/>
    <row r="10661" hidden="1" ht="18.75" customFormat="1" customHeight="1" s="311"/>
    <row r="10662" hidden="1" ht="18.75" customFormat="1" customHeight="1" s="311"/>
    <row r="10663" hidden="1" ht="18.75" customFormat="1" customHeight="1" s="311"/>
    <row r="10664" hidden="1" ht="18.75" customFormat="1" customHeight="1" s="311"/>
    <row r="10665" hidden="1" ht="18.75" customFormat="1" customHeight="1" s="311"/>
    <row r="10666" hidden="1" ht="18.75" customFormat="1" customHeight="1" s="311"/>
    <row r="10667" hidden="1" ht="18.75" customFormat="1" customHeight="1" s="311"/>
    <row r="10668" hidden="1" ht="18.75" customFormat="1" customHeight="1" s="311"/>
    <row r="10669" hidden="1" ht="18.75" customFormat="1" customHeight="1" s="311"/>
    <row r="10670" hidden="1" ht="18.75" customFormat="1" customHeight="1" s="311"/>
    <row r="10671" hidden="1" ht="18.75" customFormat="1" customHeight="1" s="311"/>
    <row r="10672" hidden="1" ht="18.75" customFormat="1" customHeight="1" s="311"/>
    <row r="10673" hidden="1" ht="18.75" customFormat="1" customHeight="1" s="311"/>
    <row r="10674" hidden="1" ht="18.75" customFormat="1" customHeight="1" s="311"/>
    <row r="10675" hidden="1" ht="18.75" customFormat="1" customHeight="1" s="311"/>
    <row r="10676" hidden="1" ht="18.75" customFormat="1" customHeight="1" s="311"/>
    <row r="10677" hidden="1" ht="18.75" customFormat="1" customHeight="1" s="311"/>
    <row r="10678" hidden="1" ht="18.75" customFormat="1" customHeight="1" s="311"/>
    <row r="10679" hidden="1" ht="18.75" customFormat="1" customHeight="1" s="311"/>
    <row r="10680" hidden="1" ht="18.75" customFormat="1" customHeight="1" s="311"/>
    <row r="10681" hidden="1" ht="18.75" customFormat="1" customHeight="1" s="311"/>
    <row r="10682" hidden="1" ht="18.75" customFormat="1" customHeight="1" s="311"/>
    <row r="10683" hidden="1" ht="18.75" customFormat="1" customHeight="1" s="311"/>
    <row r="10684" hidden="1" ht="18.75" customFormat="1" customHeight="1" s="311"/>
    <row r="10685" hidden="1" ht="18.75" customFormat="1" customHeight="1" s="311"/>
    <row r="10686" hidden="1" ht="18.75" customFormat="1" customHeight="1" s="311"/>
    <row r="10687" hidden="1" ht="18.75" customFormat="1" customHeight="1" s="311"/>
    <row r="10688" hidden="1" ht="18.75" customFormat="1" customHeight="1" s="311"/>
    <row r="10689" hidden="1" ht="18.75" customFormat="1" customHeight="1" s="311"/>
    <row r="10690" hidden="1" ht="18.75" customFormat="1" customHeight="1" s="311"/>
    <row r="10691" hidden="1" ht="18.75" customFormat="1" customHeight="1" s="311"/>
    <row r="10692" hidden="1" ht="18.75" customFormat="1" customHeight="1" s="311"/>
    <row r="10693" hidden="1" ht="18.75" customFormat="1" customHeight="1" s="311"/>
    <row r="10694" hidden="1" ht="18.75" customFormat="1" customHeight="1" s="311"/>
    <row r="10695" hidden="1" ht="18.75" customFormat="1" customHeight="1" s="311"/>
    <row r="10696" hidden="1" ht="18.75" customFormat="1" customHeight="1" s="311"/>
    <row r="10697" hidden="1" ht="18.75" customFormat="1" customHeight="1" s="311"/>
    <row r="10698" hidden="1" ht="18.75" customFormat="1" customHeight="1" s="311"/>
    <row r="10699" hidden="1" ht="18.75" customFormat="1" customHeight="1" s="311"/>
    <row r="10700" hidden="1" ht="18.75" customFormat="1" customHeight="1" s="311"/>
    <row r="10701" hidden="1" ht="18.75" customFormat="1" customHeight="1" s="311"/>
    <row r="10702" hidden="1" ht="18.75" customFormat="1" customHeight="1" s="311"/>
    <row r="10703" hidden="1" ht="18.75" customFormat="1" customHeight="1" s="311"/>
    <row r="10704" hidden="1" ht="18.75" customFormat="1" customHeight="1" s="311"/>
    <row r="10705" hidden="1" ht="18.75" customFormat="1" customHeight="1" s="311"/>
    <row r="10706" hidden="1" ht="18.75" customFormat="1" customHeight="1" s="311"/>
    <row r="10707" hidden="1" ht="18.75" customFormat="1" customHeight="1" s="311"/>
    <row r="10708" hidden="1" ht="18.75" customFormat="1" customHeight="1" s="311"/>
    <row r="10709" hidden="1" ht="18.75" customFormat="1" customHeight="1" s="311"/>
    <row r="10710" hidden="1" ht="18.75" customFormat="1" customHeight="1" s="311"/>
    <row r="10711" hidden="1" ht="18.75" customFormat="1" customHeight="1" s="311"/>
    <row r="10712" hidden="1" ht="18.75" customFormat="1" customHeight="1" s="311"/>
    <row r="10713" hidden="1" ht="18.75" customFormat="1" customHeight="1" s="311"/>
    <row r="10714" hidden="1" ht="18.75" customFormat="1" customHeight="1" s="311"/>
    <row r="10715" hidden="1" ht="18.75" customFormat="1" customHeight="1" s="311"/>
    <row r="10716" hidden="1" ht="18.75" customFormat="1" customHeight="1" s="311"/>
    <row r="10717" hidden="1" ht="18.75" customFormat="1" customHeight="1" s="311"/>
    <row r="10718" hidden="1" ht="18.75" customFormat="1" customHeight="1" s="311"/>
    <row r="10719" hidden="1" ht="18.75" customFormat="1" customHeight="1" s="311"/>
    <row r="10720" hidden="1" ht="18.75" customFormat="1" customHeight="1" s="311"/>
    <row r="10721" hidden="1" ht="18.75" customFormat="1" customHeight="1" s="311"/>
    <row r="10722" hidden="1" ht="18.75" customFormat="1" customHeight="1" s="311"/>
    <row r="10723" hidden="1" ht="18.75" customFormat="1" customHeight="1" s="311"/>
    <row r="10724" hidden="1" ht="18.75" customFormat="1" customHeight="1" s="311"/>
    <row r="10725" hidden="1" ht="18.75" customFormat="1" customHeight="1" s="311"/>
    <row r="10726" hidden="1" ht="18.75" customFormat="1" customHeight="1" s="311"/>
    <row r="10727" hidden="1" ht="18.75" customFormat="1" customHeight="1" s="311"/>
    <row r="10728" hidden="1" ht="18.75" customFormat="1" customHeight="1" s="311"/>
    <row r="10729" hidden="1" ht="18.75" customFormat="1" customHeight="1" s="311"/>
    <row r="10730" hidden="1" ht="18.75" customFormat="1" customHeight="1" s="311"/>
    <row r="10731" hidden="1" ht="18.75" customFormat="1" customHeight="1" s="311"/>
    <row r="10732" hidden="1" ht="18.75" customFormat="1" customHeight="1" s="311"/>
    <row r="10733" hidden="1" ht="18.75" customFormat="1" customHeight="1" s="311"/>
    <row r="10734" hidden="1" ht="18.75" customFormat="1" customHeight="1" s="311"/>
    <row r="10735" hidden="1" ht="18.75" customFormat="1" customHeight="1" s="311"/>
    <row r="10736" hidden="1" ht="18.75" customFormat="1" customHeight="1" s="311"/>
    <row r="10737" hidden="1" ht="18.75" customFormat="1" customHeight="1" s="311"/>
    <row r="10738" hidden="1" ht="18.75" customFormat="1" customHeight="1" s="311"/>
    <row r="10739" hidden="1" ht="18.75" customFormat="1" customHeight="1" s="311"/>
    <row r="10740" hidden="1" ht="18.75" customFormat="1" customHeight="1" s="311"/>
    <row r="10741" hidden="1" ht="18.75" customFormat="1" customHeight="1" s="311"/>
    <row r="10742" hidden="1" ht="18.75" customFormat="1" customHeight="1" s="311"/>
    <row r="10743" hidden="1" ht="18.75" customFormat="1" customHeight="1" s="311"/>
    <row r="10744" hidden="1" ht="18.75" customFormat="1" customHeight="1" s="311"/>
    <row r="10745" hidden="1" ht="18.75" customFormat="1" customHeight="1" s="311"/>
    <row r="10746" hidden="1" ht="18.75" customFormat="1" customHeight="1" s="311"/>
    <row r="10747" hidden="1" ht="18.75" customFormat="1" customHeight="1" s="311"/>
    <row r="10748" hidden="1" ht="18.75" customFormat="1" customHeight="1" s="311"/>
    <row r="10749" hidden="1" ht="18.75" customFormat="1" customHeight="1" s="311"/>
    <row r="10750" hidden="1" ht="18.75" customFormat="1" customHeight="1" s="311"/>
    <row r="10751" hidden="1" ht="18.75" customFormat="1" customHeight="1" s="311"/>
    <row r="10752" hidden="1" ht="18.75" customFormat="1" customHeight="1" s="311"/>
    <row r="10753" hidden="1" ht="18.75" customFormat="1" customHeight="1" s="311"/>
    <row r="10754" hidden="1" ht="18.75" customFormat="1" customHeight="1" s="311"/>
    <row r="10755" hidden="1" ht="18.75" customFormat="1" customHeight="1" s="311"/>
    <row r="10756" hidden="1" ht="18.75" customFormat="1" customHeight="1" s="311"/>
    <row r="10757" hidden="1" ht="18.75" customFormat="1" customHeight="1" s="311"/>
    <row r="10758" hidden="1" ht="18.75" customFormat="1" customHeight="1" s="311"/>
    <row r="10759" hidden="1" ht="18.75" customFormat="1" customHeight="1" s="311"/>
    <row r="10760" hidden="1" ht="18.75" customFormat="1" customHeight="1" s="311"/>
    <row r="10761" hidden="1" ht="18.75" customFormat="1" customHeight="1" s="311"/>
    <row r="10762" hidden="1" ht="18.75" customFormat="1" customHeight="1" s="311"/>
    <row r="10763" hidden="1" ht="18.75" customFormat="1" customHeight="1" s="311"/>
    <row r="10764" hidden="1" ht="18.75" customFormat="1" customHeight="1" s="311"/>
    <row r="10765" hidden="1" ht="18.75" customFormat="1" customHeight="1" s="311"/>
    <row r="10766" hidden="1" ht="18.75" customFormat="1" customHeight="1" s="311"/>
    <row r="10767" hidden="1" ht="18.75" customFormat="1" customHeight="1" s="311"/>
    <row r="10768" hidden="1" ht="18.75" customFormat="1" customHeight="1" s="311"/>
    <row r="10769" hidden="1" ht="18.75" customFormat="1" customHeight="1" s="311"/>
    <row r="10770" hidden="1" ht="18.75" customFormat="1" customHeight="1" s="311"/>
    <row r="10771" hidden="1" ht="18.75" customFormat="1" customHeight="1" s="311"/>
    <row r="10772" hidden="1" ht="18.75" customFormat="1" customHeight="1" s="311"/>
    <row r="10773" hidden="1" ht="18.75" customFormat="1" customHeight="1" s="311"/>
    <row r="10774" hidden="1" ht="18.75" customFormat="1" customHeight="1" s="311"/>
    <row r="10775" hidden="1" ht="18.75" customFormat="1" customHeight="1" s="311"/>
    <row r="10776" hidden="1" ht="18.75" customFormat="1" customHeight="1" s="311"/>
    <row r="10777" hidden="1" ht="18.75" customFormat="1" customHeight="1" s="311"/>
    <row r="10778" hidden="1" ht="18.75" customFormat="1" customHeight="1" s="311"/>
    <row r="10779" hidden="1" ht="18.75" customFormat="1" customHeight="1" s="311"/>
    <row r="10780" hidden="1" ht="18.75" customFormat="1" customHeight="1" s="311"/>
    <row r="10781" hidden="1" ht="18.75" customFormat="1" customHeight="1" s="311"/>
    <row r="10782" hidden="1" ht="18.75" customFormat="1" customHeight="1" s="311"/>
    <row r="10783" hidden="1" ht="18.75" customFormat="1" customHeight="1" s="311"/>
    <row r="10784" hidden="1" ht="18.75" customFormat="1" customHeight="1" s="311"/>
    <row r="10785" hidden="1" ht="18.75" customFormat="1" customHeight="1" s="311"/>
    <row r="10786" hidden="1" ht="18.75" customFormat="1" customHeight="1" s="311"/>
    <row r="10787" hidden="1" ht="18.75" customFormat="1" customHeight="1" s="311"/>
    <row r="10788" hidden="1" ht="18.75" customFormat="1" customHeight="1" s="311"/>
    <row r="10789" hidden="1" ht="18.75" customFormat="1" customHeight="1" s="311"/>
    <row r="10790" hidden="1" ht="18.75" customFormat="1" customHeight="1" s="311"/>
    <row r="10791" hidden="1" ht="18.75" customFormat="1" customHeight="1" s="311"/>
    <row r="10792" hidden="1" ht="18.75" customFormat="1" customHeight="1" s="311"/>
    <row r="10793" hidden="1" ht="18.75" customFormat="1" customHeight="1" s="311"/>
    <row r="10794" hidden="1" ht="18.75" customFormat="1" customHeight="1" s="311"/>
    <row r="10795" hidden="1" ht="18.75" customFormat="1" customHeight="1" s="311"/>
    <row r="10796" hidden="1" ht="18.75" customFormat="1" customHeight="1" s="311"/>
    <row r="10797" hidden="1" ht="18.75" customFormat="1" customHeight="1" s="311"/>
    <row r="10798" hidden="1" ht="18.75" customFormat="1" customHeight="1" s="311"/>
    <row r="10799" hidden="1" ht="18.75" customFormat="1" customHeight="1" s="311"/>
    <row r="10800" hidden="1" ht="18.75" customFormat="1" customHeight="1" s="311"/>
    <row r="10801" hidden="1" ht="18.75" customFormat="1" customHeight="1" s="311"/>
    <row r="10802" hidden="1" ht="18.75" customFormat="1" customHeight="1" s="311"/>
    <row r="10803" hidden="1" ht="18.75" customFormat="1" customHeight="1" s="311"/>
    <row r="10804" hidden="1" ht="18.75" customFormat="1" customHeight="1" s="311"/>
    <row r="10805" hidden="1" ht="18.75" customFormat="1" customHeight="1" s="311"/>
    <row r="10806" hidden="1" ht="18.75" customFormat="1" customHeight="1" s="311"/>
    <row r="10807" hidden="1" ht="18.75" customFormat="1" customHeight="1" s="311"/>
    <row r="10808" hidden="1" ht="18.75" customFormat="1" customHeight="1" s="311"/>
    <row r="10809" hidden="1" ht="18.75" customFormat="1" customHeight="1" s="311"/>
    <row r="10810" hidden="1" ht="18.75" customFormat="1" customHeight="1" s="311"/>
    <row r="10811" hidden="1" ht="18.75" customFormat="1" customHeight="1" s="311"/>
    <row r="10812" hidden="1" ht="18.75" customFormat="1" customHeight="1" s="311"/>
    <row r="10813" hidden="1" ht="18.75" customFormat="1" customHeight="1" s="311"/>
    <row r="10814" hidden="1" ht="18.75" customFormat="1" customHeight="1" s="311"/>
    <row r="10815" hidden="1" ht="18.75" customFormat="1" customHeight="1" s="311"/>
    <row r="10816" hidden="1" ht="18.75" customFormat="1" customHeight="1" s="311"/>
    <row r="10817" hidden="1" ht="18.75" customFormat="1" customHeight="1" s="311"/>
    <row r="10818" hidden="1" ht="18.75" customFormat="1" customHeight="1" s="311"/>
    <row r="10819" hidden="1" ht="18.75" customFormat="1" customHeight="1" s="311"/>
    <row r="10820" hidden="1" ht="18.75" customFormat="1" customHeight="1" s="311"/>
    <row r="10821" hidden="1" ht="18.75" customFormat="1" customHeight="1" s="311"/>
    <row r="10822" hidden="1" ht="18.75" customFormat="1" customHeight="1" s="311"/>
    <row r="10823" hidden="1" ht="18.75" customFormat="1" customHeight="1" s="311"/>
    <row r="10824" hidden="1" ht="18.75" customFormat="1" customHeight="1" s="311"/>
    <row r="10825" hidden="1" ht="18.75" customFormat="1" customHeight="1" s="311"/>
    <row r="10826" hidden="1" ht="18.75" customFormat="1" customHeight="1" s="311"/>
    <row r="10827" hidden="1" ht="18.75" customFormat="1" customHeight="1" s="311"/>
    <row r="10828" hidden="1" ht="18.75" customFormat="1" customHeight="1" s="311"/>
    <row r="10829" hidden="1" ht="18.75" customFormat="1" customHeight="1" s="311"/>
    <row r="10830" hidden="1" ht="18.75" customFormat="1" customHeight="1" s="311"/>
    <row r="10831" hidden="1" ht="18.75" customFormat="1" customHeight="1" s="311"/>
    <row r="10832" hidden="1" ht="18.75" customFormat="1" customHeight="1" s="311"/>
    <row r="10833" hidden="1" ht="18.75" customFormat="1" customHeight="1" s="311"/>
    <row r="10834" hidden="1" ht="18.75" customFormat="1" customHeight="1" s="311"/>
    <row r="10835" hidden="1" ht="18.75" customFormat="1" customHeight="1" s="311"/>
    <row r="10836" hidden="1" ht="18.75" customFormat="1" customHeight="1" s="311"/>
    <row r="10837" hidden="1" ht="18.75" customFormat="1" customHeight="1" s="311"/>
    <row r="10838" hidden="1" ht="18.75" customFormat="1" customHeight="1" s="311"/>
    <row r="10839" hidden="1" ht="18.75" customFormat="1" customHeight="1" s="311"/>
    <row r="10840" hidden="1" ht="18.75" customFormat="1" customHeight="1" s="311"/>
    <row r="10841" hidden="1" ht="18.75" customFormat="1" customHeight="1" s="311"/>
    <row r="10842" hidden="1" ht="18.75" customFormat="1" customHeight="1" s="311"/>
    <row r="10843" hidden="1" ht="18.75" customFormat="1" customHeight="1" s="311"/>
    <row r="10844" hidden="1" ht="18.75" customFormat="1" customHeight="1" s="311"/>
    <row r="10845" hidden="1" ht="18.75" customFormat="1" customHeight="1" s="311"/>
    <row r="10846" hidden="1" ht="18.75" customFormat="1" customHeight="1" s="311"/>
    <row r="10847" hidden="1" ht="18.75" customFormat="1" customHeight="1" s="311"/>
    <row r="10848" hidden="1" ht="18.75" customFormat="1" customHeight="1" s="311"/>
    <row r="10849" hidden="1" ht="18.75" customFormat="1" customHeight="1" s="311"/>
    <row r="10850" hidden="1" ht="18.75" customFormat="1" customHeight="1" s="311"/>
    <row r="10851" hidden="1" ht="18.75" customFormat="1" customHeight="1" s="311"/>
    <row r="10852" hidden="1" ht="18.75" customFormat="1" customHeight="1" s="311"/>
    <row r="10853" hidden="1" ht="18.75" customFormat="1" customHeight="1" s="311"/>
    <row r="10854" hidden="1" ht="18.75" customFormat="1" customHeight="1" s="311"/>
    <row r="10855" hidden="1" ht="18.75" customFormat="1" customHeight="1" s="311"/>
    <row r="10856" hidden="1" ht="18.75" customFormat="1" customHeight="1" s="311"/>
    <row r="10857" hidden="1" ht="18.75" customFormat="1" customHeight="1" s="311"/>
    <row r="10858" hidden="1" ht="18.75" customFormat="1" customHeight="1" s="311"/>
    <row r="10859" hidden="1" ht="18.75" customFormat="1" customHeight="1" s="311"/>
    <row r="10860" hidden="1" ht="18.75" customFormat="1" customHeight="1" s="311"/>
    <row r="10861" hidden="1" ht="18.75" customFormat="1" customHeight="1" s="311"/>
    <row r="10862" hidden="1" ht="18.75" customFormat="1" customHeight="1" s="311"/>
    <row r="10863" hidden="1" ht="18.75" customFormat="1" customHeight="1" s="311"/>
    <row r="10864" hidden="1" ht="18.75" customFormat="1" customHeight="1" s="311"/>
    <row r="10865" hidden="1" ht="18.75" customFormat="1" customHeight="1" s="311"/>
    <row r="10866" hidden="1" ht="18.75" customFormat="1" customHeight="1" s="311"/>
    <row r="10867" hidden="1" ht="18.75" customFormat="1" customHeight="1" s="311"/>
    <row r="10868" hidden="1" ht="18.75" customFormat="1" customHeight="1" s="311"/>
    <row r="10869" hidden="1" ht="18.75" customFormat="1" customHeight="1" s="311"/>
    <row r="10870" hidden="1" ht="18.75" customFormat="1" customHeight="1" s="311"/>
    <row r="10871" hidden="1" ht="18.75" customFormat="1" customHeight="1" s="311"/>
    <row r="10872" hidden="1" ht="18.75" customFormat="1" customHeight="1" s="311"/>
    <row r="10873" hidden="1" ht="18.75" customFormat="1" customHeight="1" s="311"/>
    <row r="10874" hidden="1" ht="18.75" customFormat="1" customHeight="1" s="311"/>
    <row r="10875" hidden="1" ht="18.75" customFormat="1" customHeight="1" s="311"/>
    <row r="10876" hidden="1" ht="18.75" customFormat="1" customHeight="1" s="311"/>
    <row r="10877" hidden="1" ht="18.75" customFormat="1" customHeight="1" s="311"/>
    <row r="10878" hidden="1" ht="18.75" customFormat="1" customHeight="1" s="311"/>
    <row r="10879" hidden="1" ht="18.75" customFormat="1" customHeight="1" s="311"/>
    <row r="10880" hidden="1" ht="18.75" customFormat="1" customHeight="1" s="311"/>
    <row r="10881" hidden="1" ht="18.75" customFormat="1" customHeight="1" s="311"/>
    <row r="10882" hidden="1" ht="18.75" customFormat="1" customHeight="1" s="311"/>
    <row r="10883" hidden="1" ht="18.75" customFormat="1" customHeight="1" s="311"/>
    <row r="10884" hidden="1" ht="18.75" customFormat="1" customHeight="1" s="311"/>
    <row r="10885" hidden="1" ht="18.75" customFormat="1" customHeight="1" s="311"/>
    <row r="10886" hidden="1" ht="18.75" customFormat="1" customHeight="1" s="311"/>
    <row r="10887" hidden="1" ht="18.75" customFormat="1" customHeight="1" s="311"/>
    <row r="10888" hidden="1" ht="18.75" customFormat="1" customHeight="1" s="311"/>
    <row r="10889" hidden="1" ht="18.75" customFormat="1" customHeight="1" s="311"/>
    <row r="10890" hidden="1" ht="18.75" customFormat="1" customHeight="1" s="311"/>
    <row r="10891" hidden="1" ht="18.75" customFormat="1" customHeight="1" s="311"/>
    <row r="10892" hidden="1" ht="18.75" customFormat="1" customHeight="1" s="311"/>
    <row r="10893" hidden="1" ht="18.75" customFormat="1" customHeight="1" s="311"/>
    <row r="10894" hidden="1" ht="18.75" customFormat="1" customHeight="1" s="311"/>
    <row r="10895" hidden="1" ht="18.75" customFormat="1" customHeight="1" s="311"/>
    <row r="10896" hidden="1" ht="18.75" customFormat="1" customHeight="1" s="311"/>
    <row r="10897" hidden="1" ht="18.75" customFormat="1" customHeight="1" s="311"/>
    <row r="10898" hidden="1" ht="18.75" customFormat="1" customHeight="1" s="311"/>
    <row r="10899" hidden="1" ht="18.75" customFormat="1" customHeight="1" s="311"/>
    <row r="10900" hidden="1" ht="18.75" customFormat="1" customHeight="1" s="311"/>
    <row r="10901" hidden="1" ht="18.75" customFormat="1" customHeight="1" s="311"/>
    <row r="10902" hidden="1" ht="18.75" customFormat="1" customHeight="1" s="311"/>
    <row r="10903" hidden="1" ht="18.75" customFormat="1" customHeight="1" s="311"/>
    <row r="10904" hidden="1" ht="18.75" customFormat="1" customHeight="1" s="311"/>
    <row r="10905" hidden="1" ht="18.75" customFormat="1" customHeight="1" s="311"/>
    <row r="10906" hidden="1" ht="18.75" customFormat="1" customHeight="1" s="311"/>
    <row r="10907" hidden="1" ht="18.75" customFormat="1" customHeight="1" s="311"/>
    <row r="10908" hidden="1" ht="18.75" customFormat="1" customHeight="1" s="311"/>
    <row r="10909" hidden="1" ht="18.75" customFormat="1" customHeight="1" s="311"/>
    <row r="10910" hidden="1" ht="18.75" customFormat="1" customHeight="1" s="311"/>
    <row r="10911" hidden="1" ht="18.75" customFormat="1" customHeight="1" s="311"/>
    <row r="10912" hidden="1" ht="18.75" customFormat="1" customHeight="1" s="311"/>
    <row r="10913" hidden="1" ht="18.75" customFormat="1" customHeight="1" s="311"/>
    <row r="10914" hidden="1" ht="18.75" customFormat="1" customHeight="1" s="311"/>
    <row r="10915" hidden="1" ht="18.75" customFormat="1" customHeight="1" s="311"/>
    <row r="10916" hidden="1" ht="18.75" customFormat="1" customHeight="1" s="311"/>
    <row r="10917" hidden="1" ht="18.75" customFormat="1" customHeight="1" s="311"/>
    <row r="10918" hidden="1" ht="18.75" customFormat="1" customHeight="1" s="311"/>
    <row r="10919" hidden="1" ht="18.75" customFormat="1" customHeight="1" s="311"/>
    <row r="10920" hidden="1" ht="18.75" customFormat="1" customHeight="1" s="311"/>
    <row r="10921" hidden="1" ht="18.75" customFormat="1" customHeight="1" s="311"/>
    <row r="10922" hidden="1" ht="18.75" customFormat="1" customHeight="1" s="311"/>
    <row r="10923" hidden="1" ht="18.75" customFormat="1" customHeight="1" s="311"/>
    <row r="10924" hidden="1" ht="18.75" customFormat="1" customHeight="1" s="311"/>
    <row r="10925" hidden="1" ht="18.75" customFormat="1" customHeight="1" s="311"/>
    <row r="10926" hidden="1" ht="18.75" customFormat="1" customHeight="1" s="311"/>
    <row r="10927" hidden="1" ht="18.75" customFormat="1" customHeight="1" s="311"/>
    <row r="10928" hidden="1" ht="18.75" customFormat="1" customHeight="1" s="311"/>
    <row r="10929" hidden="1" ht="18.75" customFormat="1" customHeight="1" s="311"/>
    <row r="10930" hidden="1" ht="18.75" customFormat="1" customHeight="1" s="311"/>
    <row r="10931" hidden="1" ht="18.75" customFormat="1" customHeight="1" s="311"/>
    <row r="10932" hidden="1" ht="18.75" customFormat="1" customHeight="1" s="311"/>
    <row r="10933" hidden="1" ht="18.75" customFormat="1" customHeight="1" s="311"/>
    <row r="10934" hidden="1" ht="18.75" customFormat="1" customHeight="1" s="311"/>
    <row r="10935" hidden="1" ht="18.75" customFormat="1" customHeight="1" s="311"/>
    <row r="10936" hidden="1" ht="18.75" customFormat="1" customHeight="1" s="311"/>
    <row r="10937" hidden="1" ht="18.75" customFormat="1" customHeight="1" s="311"/>
    <row r="10938" hidden="1" ht="18.75" customFormat="1" customHeight="1" s="311"/>
    <row r="10939" hidden="1" ht="18.75" customFormat="1" customHeight="1" s="311"/>
    <row r="10940" hidden="1" ht="18.75" customFormat="1" customHeight="1" s="311"/>
    <row r="10941" hidden="1" ht="18.75" customFormat="1" customHeight="1" s="311"/>
    <row r="10942" hidden="1" ht="18.75" customFormat="1" customHeight="1" s="311"/>
    <row r="10943" hidden="1" ht="18.75" customFormat="1" customHeight="1" s="311"/>
    <row r="10944" hidden="1" ht="18.75" customFormat="1" customHeight="1" s="311"/>
    <row r="10945" hidden="1" ht="18.75" customFormat="1" customHeight="1" s="311"/>
    <row r="10946" hidden="1" ht="18.75" customFormat="1" customHeight="1" s="311"/>
    <row r="10947" hidden="1" ht="18.75" customFormat="1" customHeight="1" s="311"/>
    <row r="10948" hidden="1" ht="18.75" customFormat="1" customHeight="1" s="311"/>
    <row r="10949" hidden="1" ht="18.75" customFormat="1" customHeight="1" s="311"/>
    <row r="10950" hidden="1" ht="18.75" customFormat="1" customHeight="1" s="311"/>
    <row r="10951" hidden="1" ht="18.75" customFormat="1" customHeight="1" s="311"/>
    <row r="10952" hidden="1" ht="18.75" customFormat="1" customHeight="1" s="311"/>
    <row r="10953" hidden="1" ht="18.75" customFormat="1" customHeight="1" s="311"/>
    <row r="10954" hidden="1" ht="18.75" customFormat="1" customHeight="1" s="311"/>
    <row r="10955" hidden="1" ht="18.75" customFormat="1" customHeight="1" s="311"/>
    <row r="10956" hidden="1" ht="18.75" customFormat="1" customHeight="1" s="311"/>
    <row r="10957" hidden="1" ht="18.75" customFormat="1" customHeight="1" s="311"/>
    <row r="10958" hidden="1" ht="18.75" customFormat="1" customHeight="1" s="311"/>
    <row r="10959" hidden="1" ht="18.75" customFormat="1" customHeight="1" s="311"/>
    <row r="10960" hidden="1" ht="18.75" customFormat="1" customHeight="1" s="311"/>
    <row r="10961" hidden="1" ht="18.75" customFormat="1" customHeight="1" s="311"/>
    <row r="10962" hidden="1" ht="18.75" customFormat="1" customHeight="1" s="311"/>
    <row r="10963" hidden="1" ht="18.75" customFormat="1" customHeight="1" s="311"/>
    <row r="10964" hidden="1" ht="18.75" customFormat="1" customHeight="1" s="311"/>
    <row r="10965" hidden="1" ht="18.75" customFormat="1" customHeight="1" s="311"/>
    <row r="10966" hidden="1" ht="18.75" customFormat="1" customHeight="1" s="311"/>
    <row r="10967" hidden="1" ht="18.75" customFormat="1" customHeight="1" s="311"/>
    <row r="10968" hidden="1" ht="18.75" customFormat="1" customHeight="1" s="311"/>
    <row r="10969" hidden="1" ht="18.75" customFormat="1" customHeight="1" s="311"/>
    <row r="10970" hidden="1" ht="18.75" customFormat="1" customHeight="1" s="311"/>
    <row r="10971" hidden="1" ht="18.75" customFormat="1" customHeight="1" s="311"/>
    <row r="10972" hidden="1" ht="18.75" customFormat="1" customHeight="1" s="311"/>
    <row r="10973" hidden="1" ht="18.75" customFormat="1" customHeight="1" s="311"/>
    <row r="10974" hidden="1" ht="18.75" customFormat="1" customHeight="1" s="311"/>
    <row r="10975" hidden="1" ht="18.75" customFormat="1" customHeight="1" s="311"/>
    <row r="10976" hidden="1" ht="18.75" customFormat="1" customHeight="1" s="311"/>
    <row r="10977" hidden="1" ht="18.75" customFormat="1" customHeight="1" s="311"/>
    <row r="10978" hidden="1" ht="18.75" customFormat="1" customHeight="1" s="311"/>
    <row r="10979" hidden="1" ht="18.75" customFormat="1" customHeight="1" s="311"/>
    <row r="10980" hidden="1" ht="18.75" customFormat="1" customHeight="1" s="311"/>
    <row r="10981" hidden="1" ht="18.75" customFormat="1" customHeight="1" s="311"/>
    <row r="10982" hidden="1" ht="18.75" customFormat="1" customHeight="1" s="311"/>
    <row r="10983" hidden="1" ht="18.75" customFormat="1" customHeight="1" s="311"/>
    <row r="10984" hidden="1" ht="18.75" customFormat="1" customHeight="1" s="311"/>
    <row r="10985" hidden="1" ht="18.75" customFormat="1" customHeight="1" s="311"/>
    <row r="10986" hidden="1" ht="18.75" customFormat="1" customHeight="1" s="311"/>
    <row r="10987" hidden="1" ht="18.75" customFormat="1" customHeight="1" s="311"/>
    <row r="10988" hidden="1" ht="18.75" customFormat="1" customHeight="1" s="311"/>
    <row r="10989" hidden="1" ht="18.75" customFormat="1" customHeight="1" s="311"/>
    <row r="10990" hidden="1" ht="18.75" customFormat="1" customHeight="1" s="311"/>
    <row r="10991" hidden="1" ht="18.75" customFormat="1" customHeight="1" s="311"/>
    <row r="10992" hidden="1" ht="18.75" customFormat="1" customHeight="1" s="311"/>
    <row r="10993" hidden="1" ht="18.75" customFormat="1" customHeight="1" s="311"/>
    <row r="10994" hidden="1" ht="18.75" customFormat="1" customHeight="1" s="311"/>
    <row r="10995" hidden="1" ht="18.75" customFormat="1" customHeight="1" s="311"/>
    <row r="10996" hidden="1" ht="18.75" customFormat="1" customHeight="1" s="311"/>
    <row r="10997" hidden="1" ht="18.75" customFormat="1" customHeight="1" s="311"/>
    <row r="10998" hidden="1" ht="18.75" customFormat="1" customHeight="1" s="311"/>
    <row r="10999" hidden="1" ht="18.75" customFormat="1" customHeight="1" s="311"/>
    <row r="11000" hidden="1" ht="18.75" customFormat="1" customHeight="1" s="311"/>
    <row r="11001" hidden="1" ht="18.75" customFormat="1" customHeight="1" s="311"/>
    <row r="11002" hidden="1" ht="18.75" customFormat="1" customHeight="1" s="311"/>
    <row r="11003" hidden="1" ht="18.75" customFormat="1" customHeight="1" s="311"/>
    <row r="11004" hidden="1" ht="18.75" customFormat="1" customHeight="1" s="311"/>
    <row r="11005" hidden="1" ht="18.75" customFormat="1" customHeight="1" s="311"/>
    <row r="11006" hidden="1" ht="18.75" customFormat="1" customHeight="1" s="311"/>
    <row r="11007" hidden="1" ht="18.75" customFormat="1" customHeight="1" s="311"/>
    <row r="11008" hidden="1" ht="18.75" customFormat="1" customHeight="1" s="311"/>
    <row r="11009" hidden="1" ht="18.75" customFormat="1" customHeight="1" s="311"/>
    <row r="11010" hidden="1" ht="18.75" customFormat="1" customHeight="1" s="311"/>
    <row r="11011" hidden="1" ht="18.75" customFormat="1" customHeight="1" s="311"/>
    <row r="11012" hidden="1" ht="18.75" customFormat="1" customHeight="1" s="311"/>
    <row r="11013" hidden="1" ht="18.75" customFormat="1" customHeight="1" s="311"/>
    <row r="11014" hidden="1" ht="18.75" customFormat="1" customHeight="1" s="311"/>
    <row r="11015" hidden="1" ht="18.75" customFormat="1" customHeight="1" s="311"/>
    <row r="11016" hidden="1" ht="18.75" customFormat="1" customHeight="1" s="311"/>
    <row r="11017" hidden="1" ht="18.75" customFormat="1" customHeight="1" s="311"/>
    <row r="11018" hidden="1" ht="18.75" customFormat="1" customHeight="1" s="311"/>
    <row r="11019" hidden="1" ht="18.75" customFormat="1" customHeight="1" s="311"/>
    <row r="11020" hidden="1" ht="18.75" customFormat="1" customHeight="1" s="311"/>
    <row r="11021" hidden="1" ht="18.75" customFormat="1" customHeight="1" s="311"/>
    <row r="11022" hidden="1" ht="18.75" customFormat="1" customHeight="1" s="311"/>
    <row r="11023" hidden="1" ht="18.75" customFormat="1" customHeight="1" s="311"/>
    <row r="11024" hidden="1" ht="18.75" customFormat="1" customHeight="1" s="311"/>
    <row r="11025" hidden="1" ht="18.75" customFormat="1" customHeight="1" s="311"/>
    <row r="11026" hidden="1" ht="18.75" customFormat="1" customHeight="1" s="311"/>
    <row r="11027" hidden="1" ht="18.75" customFormat="1" customHeight="1" s="311"/>
    <row r="11028" hidden="1" ht="18.75" customFormat="1" customHeight="1" s="311"/>
    <row r="11029" hidden="1" ht="18.75" customFormat="1" customHeight="1" s="311"/>
    <row r="11030" hidden="1" ht="18.75" customFormat="1" customHeight="1" s="311"/>
    <row r="11031" hidden="1" ht="18.75" customFormat="1" customHeight="1" s="311"/>
    <row r="11032" hidden="1" ht="18.75" customFormat="1" customHeight="1" s="311"/>
    <row r="11033" hidden="1" ht="18.75" customFormat="1" customHeight="1" s="311"/>
    <row r="11034" hidden="1" ht="18.75" customFormat="1" customHeight="1" s="311"/>
    <row r="11035" hidden="1" ht="18.75" customFormat="1" customHeight="1" s="311"/>
    <row r="11036" hidden="1" ht="18.75" customFormat="1" customHeight="1" s="311"/>
    <row r="11037" hidden="1" ht="18.75" customFormat="1" customHeight="1" s="311"/>
    <row r="11038" hidden="1" ht="18.75" customFormat="1" customHeight="1" s="311"/>
    <row r="11039" hidden="1" ht="18.75" customFormat="1" customHeight="1" s="311"/>
    <row r="11040" hidden="1" ht="18.75" customFormat="1" customHeight="1" s="311"/>
    <row r="11041" hidden="1" ht="18.75" customFormat="1" customHeight="1" s="311"/>
    <row r="11042" hidden="1" ht="18.75" customFormat="1" customHeight="1" s="311"/>
    <row r="11043" hidden="1" ht="18.75" customFormat="1" customHeight="1" s="311"/>
    <row r="11044" hidden="1" ht="18.75" customFormat="1" customHeight="1" s="311"/>
    <row r="11045" hidden="1" ht="18.75" customFormat="1" customHeight="1" s="311"/>
    <row r="11046" hidden="1" ht="18.75" customFormat="1" customHeight="1" s="311"/>
    <row r="11047" hidden="1" ht="18.75" customFormat="1" customHeight="1" s="311"/>
    <row r="11048" hidden="1" ht="18.75" customFormat="1" customHeight="1" s="311"/>
    <row r="11049" hidden="1" ht="18.75" customFormat="1" customHeight="1" s="311"/>
    <row r="11050" hidden="1" ht="18.75" customFormat="1" customHeight="1" s="311"/>
    <row r="11051" hidden="1" ht="18.75" customFormat="1" customHeight="1" s="311"/>
    <row r="11052" hidden="1" ht="18.75" customFormat="1" customHeight="1" s="311"/>
    <row r="11053" hidden="1" ht="18.75" customFormat="1" customHeight="1" s="311"/>
    <row r="11054" hidden="1" ht="18.75" customFormat="1" customHeight="1" s="311"/>
    <row r="11055" hidden="1" ht="18.75" customFormat="1" customHeight="1" s="311"/>
    <row r="11056" hidden="1" ht="18.75" customFormat="1" customHeight="1" s="311"/>
    <row r="11057" hidden="1" ht="18.75" customFormat="1" customHeight="1" s="311"/>
    <row r="11058" hidden="1" ht="18.75" customFormat="1" customHeight="1" s="311"/>
    <row r="11059" hidden="1" ht="18.75" customFormat="1" customHeight="1" s="311"/>
    <row r="11060" hidden="1" ht="18.75" customFormat="1" customHeight="1" s="311"/>
    <row r="11061" hidden="1" ht="18.75" customFormat="1" customHeight="1" s="311"/>
    <row r="11062" hidden="1" ht="18.75" customFormat="1" customHeight="1" s="311"/>
    <row r="11063" hidden="1" ht="18.75" customFormat="1" customHeight="1" s="311"/>
    <row r="11064" hidden="1" ht="18.75" customFormat="1" customHeight="1" s="311"/>
    <row r="11065" hidden="1" ht="18.75" customFormat="1" customHeight="1" s="311"/>
    <row r="11066" hidden="1" ht="18.75" customFormat="1" customHeight="1" s="311"/>
    <row r="11067" hidden="1" ht="18.75" customFormat="1" customHeight="1" s="311"/>
    <row r="11068" hidden="1" ht="18.75" customFormat="1" customHeight="1" s="311"/>
    <row r="11069" hidden="1" ht="18.75" customFormat="1" customHeight="1" s="311"/>
    <row r="11070" hidden="1" ht="18.75" customFormat="1" customHeight="1" s="311"/>
    <row r="11071" hidden="1" ht="18.75" customFormat="1" customHeight="1" s="311"/>
    <row r="11072" hidden="1" ht="18.75" customFormat="1" customHeight="1" s="311"/>
    <row r="11073" hidden="1" ht="18.75" customFormat="1" customHeight="1" s="311"/>
    <row r="11074" hidden="1" ht="18.75" customFormat="1" customHeight="1" s="311"/>
    <row r="11075" hidden="1" ht="18.75" customFormat="1" customHeight="1" s="311"/>
    <row r="11076" hidden="1" ht="18.75" customFormat="1" customHeight="1" s="311"/>
    <row r="11077" hidden="1" ht="18.75" customFormat="1" customHeight="1" s="311"/>
    <row r="11078" hidden="1" ht="18.75" customFormat="1" customHeight="1" s="311"/>
    <row r="11079" hidden="1" ht="18.75" customFormat="1" customHeight="1" s="311"/>
    <row r="11080" hidden="1" ht="18.75" customFormat="1" customHeight="1" s="311"/>
    <row r="11081" hidden="1" ht="18.75" customFormat="1" customHeight="1" s="311"/>
    <row r="11082" hidden="1" ht="18.75" customFormat="1" customHeight="1" s="311"/>
    <row r="11083" hidden="1" ht="18.75" customFormat="1" customHeight="1" s="311"/>
    <row r="11084" hidden="1" ht="18.75" customFormat="1" customHeight="1" s="311"/>
    <row r="11085" hidden="1" ht="18.75" customFormat="1" customHeight="1" s="311"/>
    <row r="11086" hidden="1" ht="18.75" customFormat="1" customHeight="1" s="311"/>
    <row r="11087" hidden="1" ht="18.75" customFormat="1" customHeight="1" s="311"/>
    <row r="11088" hidden="1" ht="18.75" customFormat="1" customHeight="1" s="311"/>
    <row r="11089" hidden="1" ht="18.75" customFormat="1" customHeight="1" s="311"/>
    <row r="11090" hidden="1" ht="18.75" customFormat="1" customHeight="1" s="311"/>
    <row r="11091" hidden="1" ht="18.75" customFormat="1" customHeight="1" s="311"/>
    <row r="11092" hidden="1" ht="18.75" customFormat="1" customHeight="1" s="311"/>
    <row r="11093" hidden="1" ht="18.75" customFormat="1" customHeight="1" s="311"/>
    <row r="11094" hidden="1" ht="18.75" customFormat="1" customHeight="1" s="311"/>
    <row r="11095" hidden="1" ht="18.75" customFormat="1" customHeight="1" s="311"/>
    <row r="11096" hidden="1" ht="18.75" customFormat="1" customHeight="1" s="311"/>
    <row r="11097" hidden="1" ht="18.75" customFormat="1" customHeight="1" s="311"/>
    <row r="11098" hidden="1" ht="18.75" customFormat="1" customHeight="1" s="311"/>
    <row r="11099" hidden="1" ht="18.75" customFormat="1" customHeight="1" s="311"/>
    <row r="11100" hidden="1" ht="18.75" customFormat="1" customHeight="1" s="311"/>
    <row r="11101" hidden="1" ht="18.75" customFormat="1" customHeight="1" s="311"/>
    <row r="11102" hidden="1" ht="18.75" customFormat="1" customHeight="1" s="311"/>
    <row r="11103" hidden="1" ht="18.75" customFormat="1" customHeight="1" s="311"/>
    <row r="11104" hidden="1" ht="18.75" customFormat="1" customHeight="1" s="311"/>
    <row r="11105" hidden="1" ht="18.75" customFormat="1" customHeight="1" s="311"/>
    <row r="11106" hidden="1" ht="18.75" customFormat="1" customHeight="1" s="311"/>
    <row r="11107" hidden="1" ht="18.75" customFormat="1" customHeight="1" s="311"/>
    <row r="11108" hidden="1" ht="18.75" customFormat="1" customHeight="1" s="311"/>
    <row r="11109" hidden="1" ht="18.75" customFormat="1" customHeight="1" s="311"/>
    <row r="11110" hidden="1" ht="18.75" customFormat="1" customHeight="1" s="311"/>
    <row r="11111" hidden="1" ht="18.75" customFormat="1" customHeight="1" s="311"/>
    <row r="11112" hidden="1" ht="18.75" customFormat="1" customHeight="1" s="311"/>
    <row r="11113" hidden="1" ht="18.75" customFormat="1" customHeight="1" s="311"/>
    <row r="11114" hidden="1" ht="18.75" customFormat="1" customHeight="1" s="311"/>
    <row r="11115" hidden="1" ht="18.75" customFormat="1" customHeight="1" s="311"/>
    <row r="11116" hidden="1" ht="18.75" customFormat="1" customHeight="1" s="311"/>
    <row r="11117" hidden="1" ht="18.75" customFormat="1" customHeight="1" s="311"/>
    <row r="11118" hidden="1" ht="18.75" customFormat="1" customHeight="1" s="311"/>
    <row r="11119" hidden="1" ht="18.75" customFormat="1" customHeight="1" s="311"/>
    <row r="11120" hidden="1" ht="18.75" customFormat="1" customHeight="1" s="311"/>
    <row r="11121" hidden="1" ht="18.75" customFormat="1" customHeight="1" s="311"/>
    <row r="11122" hidden="1" ht="18.75" customFormat="1" customHeight="1" s="311"/>
    <row r="11123" hidden="1" ht="18.75" customFormat="1" customHeight="1" s="311"/>
    <row r="11124" hidden="1" ht="18.75" customFormat="1" customHeight="1" s="311"/>
    <row r="11125" hidden="1" ht="18.75" customFormat="1" customHeight="1" s="311"/>
    <row r="11126" hidden="1" ht="18.75" customFormat="1" customHeight="1" s="311"/>
    <row r="11127" hidden="1" ht="18.75" customFormat="1" customHeight="1" s="311"/>
    <row r="11128" hidden="1" ht="18.75" customFormat="1" customHeight="1" s="311"/>
    <row r="11129" hidden="1" ht="18.75" customFormat="1" customHeight="1" s="311"/>
    <row r="11130" hidden="1" ht="18.75" customFormat="1" customHeight="1" s="311"/>
    <row r="11131" hidden="1" ht="18.75" customFormat="1" customHeight="1" s="311"/>
    <row r="11132" hidden="1" ht="18.75" customFormat="1" customHeight="1" s="311"/>
    <row r="11133" hidden="1" ht="18.75" customFormat="1" customHeight="1" s="311"/>
    <row r="11134" hidden="1" ht="18.75" customFormat="1" customHeight="1" s="311"/>
    <row r="11135" hidden="1" ht="18.75" customFormat="1" customHeight="1" s="311"/>
    <row r="11136" hidden="1" ht="18.75" customFormat="1" customHeight="1" s="311"/>
    <row r="11137" hidden="1" ht="18.75" customFormat="1" customHeight="1" s="311"/>
    <row r="11138" hidden="1" ht="18.75" customFormat="1" customHeight="1" s="311"/>
    <row r="11139" hidden="1" ht="18.75" customFormat="1" customHeight="1" s="311"/>
    <row r="11140" hidden="1" ht="18.75" customFormat="1" customHeight="1" s="311"/>
    <row r="11141" hidden="1" ht="18.75" customFormat="1" customHeight="1" s="311"/>
    <row r="11142" hidden="1" ht="18.75" customFormat="1" customHeight="1" s="311"/>
    <row r="11143" hidden="1" ht="18.75" customFormat="1" customHeight="1" s="311"/>
    <row r="11144" hidden="1" ht="18.75" customFormat="1" customHeight="1" s="311"/>
    <row r="11145" hidden="1" ht="18.75" customFormat="1" customHeight="1" s="311"/>
    <row r="11146" hidden="1" ht="18.75" customFormat="1" customHeight="1" s="311"/>
    <row r="11147" hidden="1" ht="18.75" customFormat="1" customHeight="1" s="311"/>
    <row r="11148" hidden="1" ht="18.75" customFormat="1" customHeight="1" s="311"/>
    <row r="11149" hidden="1" ht="18.75" customFormat="1" customHeight="1" s="311"/>
    <row r="11150" hidden="1" ht="18.75" customFormat="1" customHeight="1" s="311"/>
    <row r="11151" hidden="1" ht="18.75" customFormat="1" customHeight="1" s="311"/>
    <row r="11152" hidden="1" ht="18.75" customFormat="1" customHeight="1" s="311"/>
    <row r="11153" hidden="1" ht="18.75" customFormat="1" customHeight="1" s="311"/>
    <row r="11154" hidden="1" ht="18.75" customFormat="1" customHeight="1" s="311"/>
    <row r="11155" hidden="1" ht="18.75" customFormat="1" customHeight="1" s="311"/>
    <row r="11156" hidden="1" ht="18.75" customFormat="1" customHeight="1" s="311"/>
    <row r="11157" hidden="1" ht="18.75" customFormat="1" customHeight="1" s="311"/>
    <row r="11158" hidden="1" ht="18.75" customFormat="1" customHeight="1" s="311"/>
    <row r="11159" hidden="1" ht="18.75" customFormat="1" customHeight="1" s="311"/>
    <row r="11160" hidden="1" ht="18.75" customFormat="1" customHeight="1" s="311"/>
    <row r="11161" hidden="1" ht="18.75" customFormat="1" customHeight="1" s="311"/>
    <row r="11162" hidden="1" ht="18.75" customFormat="1" customHeight="1" s="311"/>
    <row r="11163" hidden="1" ht="18.75" customFormat="1" customHeight="1" s="311"/>
    <row r="11164" hidden="1" ht="18.75" customFormat="1" customHeight="1" s="311"/>
    <row r="11165" hidden="1" ht="18.75" customFormat="1" customHeight="1" s="311"/>
    <row r="11166" hidden="1" ht="18.75" customFormat="1" customHeight="1" s="311"/>
    <row r="11167" hidden="1" ht="18.75" customFormat="1" customHeight="1" s="311"/>
    <row r="11168" hidden="1" ht="18.75" customFormat="1" customHeight="1" s="311"/>
    <row r="11169" hidden="1" ht="18.75" customFormat="1" customHeight="1" s="311"/>
    <row r="11170" hidden="1" ht="18.75" customFormat="1" customHeight="1" s="311"/>
    <row r="11171" hidden="1" ht="18.75" customFormat="1" customHeight="1" s="311"/>
    <row r="11172" hidden="1" ht="18.75" customFormat="1" customHeight="1" s="311"/>
    <row r="11173" hidden="1" ht="18.75" customFormat="1" customHeight="1" s="311"/>
    <row r="11174" hidden="1" ht="18.75" customFormat="1" customHeight="1" s="311"/>
    <row r="11175" hidden="1" ht="18.75" customFormat="1" customHeight="1" s="311"/>
    <row r="11176" hidden="1" ht="18.75" customFormat="1" customHeight="1" s="311"/>
    <row r="11177" hidden="1" ht="18.75" customFormat="1" customHeight="1" s="311"/>
    <row r="11178" hidden="1" ht="18.75" customFormat="1" customHeight="1" s="311"/>
    <row r="11179" hidden="1" ht="18.75" customFormat="1" customHeight="1" s="311"/>
    <row r="11180" hidden="1" ht="18.75" customFormat="1" customHeight="1" s="311"/>
    <row r="11181" hidden="1" ht="18.75" customFormat="1" customHeight="1" s="311"/>
    <row r="11182" hidden="1" ht="18.75" customFormat="1" customHeight="1" s="311"/>
    <row r="11183" hidden="1" ht="18.75" customFormat="1" customHeight="1" s="311"/>
    <row r="11184" hidden="1" ht="18.75" customFormat="1" customHeight="1" s="311"/>
    <row r="11185" hidden="1" ht="18.75" customFormat="1" customHeight="1" s="311"/>
    <row r="11186" hidden="1" ht="18.75" customFormat="1" customHeight="1" s="311"/>
    <row r="11187" hidden="1" ht="18.75" customFormat="1" customHeight="1" s="311"/>
    <row r="11188" hidden="1" ht="18.75" customFormat="1" customHeight="1" s="311"/>
    <row r="11189" hidden="1" ht="18.75" customFormat="1" customHeight="1" s="311"/>
    <row r="11190" hidden="1" ht="18.75" customFormat="1" customHeight="1" s="311"/>
    <row r="11191" hidden="1" ht="18.75" customFormat="1" customHeight="1" s="311"/>
    <row r="11192" hidden="1" ht="18.75" customFormat="1" customHeight="1" s="311"/>
    <row r="11193" hidden="1" ht="18.75" customFormat="1" customHeight="1" s="311"/>
    <row r="11194" hidden="1" ht="18.75" customFormat="1" customHeight="1" s="311"/>
    <row r="11195" hidden="1" ht="18.75" customFormat="1" customHeight="1" s="311"/>
    <row r="11196" hidden="1" ht="18.75" customFormat="1" customHeight="1" s="311"/>
    <row r="11197" hidden="1" ht="18.75" customFormat="1" customHeight="1" s="311"/>
    <row r="11198" hidden="1" ht="18.75" customFormat="1" customHeight="1" s="311"/>
    <row r="11199" hidden="1" ht="18.75" customFormat="1" customHeight="1" s="311"/>
    <row r="11200" hidden="1" ht="18.75" customFormat="1" customHeight="1" s="311"/>
    <row r="11201" hidden="1" ht="18.75" customFormat="1" customHeight="1" s="311"/>
    <row r="11202" hidden="1" ht="18.75" customFormat="1" customHeight="1" s="311"/>
    <row r="11203" hidden="1" ht="18.75" customFormat="1" customHeight="1" s="311"/>
    <row r="11204" hidden="1" ht="18.75" customFormat="1" customHeight="1" s="311"/>
    <row r="11205" hidden="1" ht="18.75" customFormat="1" customHeight="1" s="311"/>
    <row r="11206" hidden="1" ht="18.75" customFormat="1" customHeight="1" s="311"/>
    <row r="11207" hidden="1" ht="18.75" customFormat="1" customHeight="1" s="311"/>
    <row r="11208" hidden="1" ht="18.75" customFormat="1" customHeight="1" s="311"/>
    <row r="11209" hidden="1" ht="18.75" customFormat="1" customHeight="1" s="311"/>
    <row r="11210" hidden="1" ht="18.75" customFormat="1" customHeight="1" s="311"/>
    <row r="11211" hidden="1" ht="18.75" customFormat="1" customHeight="1" s="311"/>
    <row r="11212" hidden="1" ht="18.75" customFormat="1" customHeight="1" s="311"/>
    <row r="11213" hidden="1" ht="18.75" customFormat="1" customHeight="1" s="311"/>
    <row r="11214" hidden="1" ht="18.75" customFormat="1" customHeight="1" s="311"/>
    <row r="11215" hidden="1" ht="18.75" customFormat="1" customHeight="1" s="311"/>
    <row r="11216" hidden="1" ht="18.75" customFormat="1" customHeight="1" s="311"/>
    <row r="11217" hidden="1" ht="18.75" customFormat="1" customHeight="1" s="311"/>
    <row r="11218" hidden="1" ht="18.75" customFormat="1" customHeight="1" s="311"/>
    <row r="11219" hidden="1" ht="18.75" customFormat="1" customHeight="1" s="311"/>
    <row r="11220" hidden="1" ht="18.75" customFormat="1" customHeight="1" s="311"/>
    <row r="11221" hidden="1" ht="18.75" customFormat="1" customHeight="1" s="311"/>
    <row r="11222" hidden="1" ht="18.75" customFormat="1" customHeight="1" s="311"/>
    <row r="11223" hidden="1" ht="18.75" customFormat="1" customHeight="1" s="311"/>
    <row r="11224" hidden="1" ht="18.75" customFormat="1" customHeight="1" s="311"/>
    <row r="11225" hidden="1" ht="18.75" customFormat="1" customHeight="1" s="311"/>
    <row r="11226" hidden="1" ht="18.75" customFormat="1" customHeight="1" s="311"/>
    <row r="11227" hidden="1" ht="18.75" customFormat="1" customHeight="1" s="311"/>
    <row r="11228" hidden="1" ht="18.75" customFormat="1" customHeight="1" s="311"/>
    <row r="11229" hidden="1" ht="18.75" customFormat="1" customHeight="1" s="311"/>
    <row r="11230" hidden="1" ht="18.75" customFormat="1" customHeight="1" s="311"/>
    <row r="11231" hidden="1" ht="18.75" customFormat="1" customHeight="1" s="311"/>
    <row r="11232" hidden="1" ht="18.75" customFormat="1" customHeight="1" s="311"/>
    <row r="11233" hidden="1" ht="18.75" customFormat="1" customHeight="1" s="311"/>
    <row r="11234" hidden="1" ht="18.75" customFormat="1" customHeight="1" s="311"/>
    <row r="11235" hidden="1" ht="18.75" customFormat="1" customHeight="1" s="311"/>
    <row r="11236" hidden="1" ht="18.75" customFormat="1" customHeight="1" s="311"/>
    <row r="11237" hidden="1" ht="18.75" customFormat="1" customHeight="1" s="311"/>
    <row r="11238" hidden="1" ht="18.75" customFormat="1" customHeight="1" s="311"/>
    <row r="11239" hidden="1" ht="18.75" customFormat="1" customHeight="1" s="311"/>
    <row r="11240" hidden="1" ht="18.75" customFormat="1" customHeight="1" s="311"/>
    <row r="11241" hidden="1" ht="18.75" customFormat="1" customHeight="1" s="311"/>
    <row r="11242" hidden="1" ht="18.75" customFormat="1" customHeight="1" s="311"/>
    <row r="11243" hidden="1" ht="18.75" customFormat="1" customHeight="1" s="311"/>
    <row r="11244" hidden="1" ht="18.75" customFormat="1" customHeight="1" s="311"/>
    <row r="11245" hidden="1" ht="18.75" customFormat="1" customHeight="1" s="311"/>
    <row r="11246" hidden="1" ht="18.75" customFormat="1" customHeight="1" s="311"/>
    <row r="11247" hidden="1" ht="18.75" customFormat="1" customHeight="1" s="311"/>
    <row r="11248" hidden="1" ht="18.75" customFormat="1" customHeight="1" s="311"/>
    <row r="11249" hidden="1" ht="18.75" customFormat="1" customHeight="1" s="311"/>
    <row r="11250" hidden="1" ht="18.75" customFormat="1" customHeight="1" s="311"/>
    <row r="11251" hidden="1" ht="18.75" customFormat="1" customHeight="1" s="311"/>
    <row r="11252" hidden="1" ht="18.75" customFormat="1" customHeight="1" s="311"/>
    <row r="11253" hidden="1" ht="18.75" customFormat="1" customHeight="1" s="311"/>
    <row r="11254" hidden="1" ht="18.75" customFormat="1" customHeight="1" s="311"/>
    <row r="11255" hidden="1" ht="18.75" customFormat="1" customHeight="1" s="311"/>
    <row r="11256" hidden="1" ht="18.75" customFormat="1" customHeight="1" s="311"/>
    <row r="11257" hidden="1" ht="18.75" customFormat="1" customHeight="1" s="311"/>
    <row r="11258" hidden="1" ht="18.75" customFormat="1" customHeight="1" s="311"/>
    <row r="11259" hidden="1" ht="18.75" customFormat="1" customHeight="1" s="311"/>
    <row r="11260" hidden="1" ht="18.75" customFormat="1" customHeight="1" s="311"/>
    <row r="11261" hidden="1" ht="18.75" customFormat="1" customHeight="1" s="311"/>
    <row r="11262" hidden="1" ht="18.75" customFormat="1" customHeight="1" s="311"/>
    <row r="11263" hidden="1" ht="18.75" customFormat="1" customHeight="1" s="311"/>
    <row r="11264" hidden="1" ht="18.75" customFormat="1" customHeight="1" s="311"/>
    <row r="11265" hidden="1" ht="18.75" customFormat="1" customHeight="1" s="311"/>
    <row r="11266" hidden="1" ht="18.75" customFormat="1" customHeight="1" s="311"/>
    <row r="11267" hidden="1" ht="18.75" customFormat="1" customHeight="1" s="311"/>
    <row r="11268" hidden="1" ht="18.75" customFormat="1" customHeight="1" s="311"/>
    <row r="11269" hidden="1" ht="18.75" customFormat="1" customHeight="1" s="311"/>
    <row r="11270" hidden="1" ht="18.75" customFormat="1" customHeight="1" s="311"/>
    <row r="11271" hidden="1" ht="18.75" customFormat="1" customHeight="1" s="311"/>
    <row r="11272" hidden="1" ht="18.75" customFormat="1" customHeight="1" s="311"/>
    <row r="11273" hidden="1" ht="18.75" customFormat="1" customHeight="1" s="311"/>
    <row r="11274" hidden="1" ht="18.75" customFormat="1" customHeight="1" s="311"/>
    <row r="11275" hidden="1" ht="18.75" customFormat="1" customHeight="1" s="311"/>
    <row r="11276" hidden="1" ht="18.75" customFormat="1" customHeight="1" s="311"/>
    <row r="11277" hidden="1" ht="18.75" customFormat="1" customHeight="1" s="311"/>
    <row r="11278" hidden="1" ht="18.75" customFormat="1" customHeight="1" s="311"/>
    <row r="11279" hidden="1" ht="18.75" customFormat="1" customHeight="1" s="311"/>
    <row r="11280" hidden="1" ht="18.75" customFormat="1" customHeight="1" s="311"/>
    <row r="11281" hidden="1" ht="18.75" customFormat="1" customHeight="1" s="311"/>
    <row r="11282" hidden="1" ht="18.75" customFormat="1" customHeight="1" s="311"/>
    <row r="11283" hidden="1" ht="18.75" customFormat="1" customHeight="1" s="311"/>
    <row r="11284" hidden="1" ht="18.75" customFormat="1" customHeight="1" s="311"/>
    <row r="11285" hidden="1" ht="18.75" customFormat="1" customHeight="1" s="311"/>
    <row r="11286" hidden="1" ht="18.75" customFormat="1" customHeight="1" s="311"/>
    <row r="11287" hidden="1" ht="18.75" customFormat="1" customHeight="1" s="311"/>
    <row r="11288" hidden="1" ht="18.75" customFormat="1" customHeight="1" s="311"/>
    <row r="11289" hidden="1" ht="18.75" customFormat="1" customHeight="1" s="311"/>
    <row r="11290" hidden="1" ht="18.75" customFormat="1" customHeight="1" s="311"/>
    <row r="11291" hidden="1" ht="18.75" customFormat="1" customHeight="1" s="311"/>
    <row r="11292" hidden="1" ht="18.75" customFormat="1" customHeight="1" s="311"/>
    <row r="11293" hidden="1" ht="18.75" customFormat="1" customHeight="1" s="311"/>
    <row r="11294" hidden="1" ht="18.75" customFormat="1" customHeight="1" s="311"/>
    <row r="11295" hidden="1" ht="18.75" customFormat="1" customHeight="1" s="311"/>
    <row r="11296" hidden="1" ht="18.75" customFormat="1" customHeight="1" s="311"/>
    <row r="11297" hidden="1" ht="18.75" customFormat="1" customHeight="1" s="311"/>
    <row r="11298" hidden="1" ht="18.75" customFormat="1" customHeight="1" s="311"/>
    <row r="11299" hidden="1" ht="18.75" customFormat="1" customHeight="1" s="311"/>
    <row r="11300" hidden="1" ht="18.75" customFormat="1" customHeight="1" s="311"/>
    <row r="11301" hidden="1" ht="18.75" customFormat="1" customHeight="1" s="311"/>
    <row r="11302" hidden="1" ht="18.75" customFormat="1" customHeight="1" s="311"/>
    <row r="11303" hidden="1" ht="18.75" customFormat="1" customHeight="1" s="311"/>
    <row r="11304" hidden="1" ht="18.75" customFormat="1" customHeight="1" s="311"/>
    <row r="11305" hidden="1" ht="18.75" customFormat="1" customHeight="1" s="311"/>
    <row r="11306" hidden="1" ht="18.75" customFormat="1" customHeight="1" s="311"/>
    <row r="11307" hidden="1" ht="18.75" customFormat="1" customHeight="1" s="311"/>
    <row r="11308" hidden="1" ht="18.75" customFormat="1" customHeight="1" s="311"/>
    <row r="11309" hidden="1" ht="18.75" customFormat="1" customHeight="1" s="311"/>
    <row r="11310" hidden="1" ht="18.75" customFormat="1" customHeight="1" s="311"/>
    <row r="11311" hidden="1" ht="18.75" customFormat="1" customHeight="1" s="311"/>
    <row r="11312" hidden="1" ht="18.75" customFormat="1" customHeight="1" s="311"/>
    <row r="11313" hidden="1" ht="18.75" customFormat="1" customHeight="1" s="311"/>
    <row r="11314" hidden="1" ht="18.75" customFormat="1" customHeight="1" s="311"/>
    <row r="11315" hidden="1" ht="18.75" customFormat="1" customHeight="1" s="311"/>
    <row r="11316" hidden="1" ht="18.75" customFormat="1" customHeight="1" s="311"/>
    <row r="11317" hidden="1" ht="18.75" customFormat="1" customHeight="1" s="311"/>
    <row r="11318" hidden="1" ht="18.75" customFormat="1" customHeight="1" s="311"/>
    <row r="11319" hidden="1" ht="18.75" customFormat="1" customHeight="1" s="311"/>
    <row r="11320" hidden="1" ht="18.75" customFormat="1" customHeight="1" s="311"/>
    <row r="11321" hidden="1" ht="18.75" customFormat="1" customHeight="1" s="311"/>
    <row r="11322" hidden="1" ht="18.75" customFormat="1" customHeight="1" s="311"/>
    <row r="11323" hidden="1" ht="18.75" customFormat="1" customHeight="1" s="311"/>
    <row r="11324" hidden="1" ht="18.75" customFormat="1" customHeight="1" s="311"/>
    <row r="11325" hidden="1" ht="18.75" customFormat="1" customHeight="1" s="311"/>
    <row r="11326" hidden="1" ht="18.75" customFormat="1" customHeight="1" s="311"/>
    <row r="11327" hidden="1" ht="18.75" customFormat="1" customHeight="1" s="311"/>
    <row r="11328" hidden="1" ht="18.75" customFormat="1" customHeight="1" s="311"/>
    <row r="11329" hidden="1" ht="18.75" customFormat="1" customHeight="1" s="311"/>
    <row r="11330" hidden="1" ht="18.75" customFormat="1" customHeight="1" s="311"/>
    <row r="11331" hidden="1" ht="18.75" customFormat="1" customHeight="1" s="311"/>
    <row r="11332" hidden="1" ht="18.75" customFormat="1" customHeight="1" s="311"/>
    <row r="11333" hidden="1" ht="18.75" customFormat="1" customHeight="1" s="311"/>
    <row r="11334" hidden="1" ht="18.75" customFormat="1" customHeight="1" s="311"/>
    <row r="11335" hidden="1" ht="18.75" customFormat="1" customHeight="1" s="311"/>
    <row r="11336" hidden="1" ht="18.75" customFormat="1" customHeight="1" s="311"/>
    <row r="11337" hidden="1" ht="18.75" customFormat="1" customHeight="1" s="311"/>
    <row r="11338" hidden="1" ht="18.75" customFormat="1" customHeight="1" s="311"/>
    <row r="11339" hidden="1" ht="18.75" customFormat="1" customHeight="1" s="311"/>
    <row r="11340" hidden="1" ht="18.75" customFormat="1" customHeight="1" s="311"/>
    <row r="11341" hidden="1" ht="18.75" customFormat="1" customHeight="1" s="311"/>
    <row r="11342" hidden="1" ht="18.75" customFormat="1" customHeight="1" s="311"/>
    <row r="11343" hidden="1" ht="18.75" customFormat="1" customHeight="1" s="311"/>
    <row r="11344" hidden="1" ht="18.75" customFormat="1" customHeight="1" s="311"/>
    <row r="11345" hidden="1" ht="18.75" customFormat="1" customHeight="1" s="311"/>
    <row r="11346" hidden="1" ht="18.75" customFormat="1" customHeight="1" s="311"/>
    <row r="11347" hidden="1" ht="18.75" customFormat="1" customHeight="1" s="311"/>
    <row r="11348" hidden="1" ht="18.75" customFormat="1" customHeight="1" s="311"/>
    <row r="11349" hidden="1" ht="18.75" customFormat="1" customHeight="1" s="311"/>
    <row r="11350" hidden="1" ht="18.75" customFormat="1" customHeight="1" s="311"/>
    <row r="11351" hidden="1" ht="18.75" customFormat="1" customHeight="1" s="311"/>
    <row r="11352" hidden="1" ht="18.75" customFormat="1" customHeight="1" s="311"/>
    <row r="11353" hidden="1" ht="18.75" customFormat="1" customHeight="1" s="311"/>
    <row r="11354" hidden="1" ht="18.75" customFormat="1" customHeight="1" s="311"/>
    <row r="11355" hidden="1" ht="18.75" customFormat="1" customHeight="1" s="311"/>
    <row r="11356" hidden="1" ht="18.75" customFormat="1" customHeight="1" s="311"/>
    <row r="11357" hidden="1" ht="18.75" customFormat="1" customHeight="1" s="311"/>
    <row r="11358" hidden="1" ht="18.75" customFormat="1" customHeight="1" s="311"/>
    <row r="11359" hidden="1" ht="18.75" customFormat="1" customHeight="1" s="311"/>
    <row r="11360" hidden="1" ht="18.75" customFormat="1" customHeight="1" s="311"/>
    <row r="11361" hidden="1" ht="18.75" customFormat="1" customHeight="1" s="311"/>
    <row r="11362" hidden="1" ht="18.75" customFormat="1" customHeight="1" s="311"/>
    <row r="11363" hidden="1" ht="18.75" customFormat="1" customHeight="1" s="311"/>
    <row r="11364" hidden="1" ht="18.75" customFormat="1" customHeight="1" s="311"/>
    <row r="11365" hidden="1" ht="18.75" customFormat="1" customHeight="1" s="311"/>
    <row r="11366" hidden="1" ht="18.75" customFormat="1" customHeight="1" s="311"/>
    <row r="11367" hidden="1" ht="18.75" customFormat="1" customHeight="1" s="311"/>
    <row r="11368" hidden="1" ht="18.75" customFormat="1" customHeight="1" s="311"/>
    <row r="11369" hidden="1" ht="18.75" customFormat="1" customHeight="1" s="311"/>
    <row r="11370" hidden="1" ht="18.75" customFormat="1" customHeight="1" s="311"/>
    <row r="11371" hidden="1" ht="18.75" customFormat="1" customHeight="1" s="311"/>
    <row r="11372" hidden="1" ht="18.75" customFormat="1" customHeight="1" s="311"/>
    <row r="11373" hidden="1" ht="18.75" customFormat="1" customHeight="1" s="311"/>
    <row r="11374" hidden="1" ht="18.75" customFormat="1" customHeight="1" s="311"/>
    <row r="11375" hidden="1" ht="18.75" customFormat="1" customHeight="1" s="311"/>
    <row r="11376" hidden="1" ht="18.75" customFormat="1" customHeight="1" s="311"/>
    <row r="11377" hidden="1" ht="18.75" customFormat="1" customHeight="1" s="311"/>
    <row r="11378" hidden="1" ht="18.75" customFormat="1" customHeight="1" s="311"/>
    <row r="11379" hidden="1" ht="18.75" customFormat="1" customHeight="1" s="311"/>
    <row r="11380" hidden="1" ht="18.75" customFormat="1" customHeight="1" s="311"/>
    <row r="11381" hidden="1" ht="18.75" customFormat="1" customHeight="1" s="311"/>
    <row r="11382" hidden="1" ht="18.75" customFormat="1" customHeight="1" s="311"/>
    <row r="11383" hidden="1" ht="18.75" customFormat="1" customHeight="1" s="311"/>
    <row r="11384" hidden="1" ht="18.75" customFormat="1" customHeight="1" s="311"/>
    <row r="11385" hidden="1" ht="18.75" customFormat="1" customHeight="1" s="311"/>
    <row r="11386" hidden="1" ht="18.75" customFormat="1" customHeight="1" s="311"/>
    <row r="11387" hidden="1" ht="18.75" customFormat="1" customHeight="1" s="311"/>
    <row r="11388" hidden="1" ht="18.75" customFormat="1" customHeight="1" s="311"/>
    <row r="11389" hidden="1" ht="18.75" customFormat="1" customHeight="1" s="311"/>
    <row r="11390" hidden="1" ht="18.75" customFormat="1" customHeight="1" s="311"/>
    <row r="11391" hidden="1" ht="18.75" customFormat="1" customHeight="1" s="311"/>
    <row r="11392" hidden="1" ht="18.75" customFormat="1" customHeight="1" s="311"/>
    <row r="11393" hidden="1" ht="18.75" customFormat="1" customHeight="1" s="311"/>
    <row r="11394" hidden="1" ht="18.75" customFormat="1" customHeight="1" s="311"/>
    <row r="11395" hidden="1" ht="18.75" customFormat="1" customHeight="1" s="311"/>
    <row r="11396" hidden="1" ht="18.75" customFormat="1" customHeight="1" s="311"/>
    <row r="11397" hidden="1" ht="18.75" customFormat="1" customHeight="1" s="311"/>
    <row r="11398" hidden="1" ht="18.75" customFormat="1" customHeight="1" s="311"/>
    <row r="11399" hidden="1" ht="18.75" customFormat="1" customHeight="1" s="311"/>
    <row r="11400" hidden="1" ht="18.75" customFormat="1" customHeight="1" s="311"/>
    <row r="11401" hidden="1" ht="18.75" customFormat="1" customHeight="1" s="311"/>
    <row r="11402" hidden="1" ht="18.75" customFormat="1" customHeight="1" s="311"/>
    <row r="11403" hidden="1" ht="18.75" customFormat="1" customHeight="1" s="311"/>
    <row r="11404" hidden="1" ht="18.75" customFormat="1" customHeight="1" s="311"/>
    <row r="11405" hidden="1" ht="18.75" customFormat="1" customHeight="1" s="311"/>
    <row r="11406" hidden="1" ht="18.75" customFormat="1" customHeight="1" s="311"/>
    <row r="11407" hidden="1" ht="18.75" customFormat="1" customHeight="1" s="311"/>
    <row r="11408" hidden="1" ht="18.75" customFormat="1" customHeight="1" s="311"/>
    <row r="11409" hidden="1" ht="18.75" customFormat="1" customHeight="1" s="311"/>
    <row r="11410" hidden="1" ht="18.75" customFormat="1" customHeight="1" s="311"/>
    <row r="11411" hidden="1" ht="18.75" customFormat="1" customHeight="1" s="311"/>
    <row r="11412" hidden="1" ht="18.75" customFormat="1" customHeight="1" s="311"/>
    <row r="11413" hidden="1" ht="18.75" customFormat="1" customHeight="1" s="311"/>
    <row r="11414" hidden="1" ht="18.75" customFormat="1" customHeight="1" s="311"/>
    <row r="11415" hidden="1" ht="18.75" customFormat="1" customHeight="1" s="311"/>
    <row r="11416" hidden="1" ht="18.75" customFormat="1" customHeight="1" s="311"/>
    <row r="11417" hidden="1" ht="18.75" customFormat="1" customHeight="1" s="311"/>
    <row r="11418" hidden="1" ht="18.75" customFormat="1" customHeight="1" s="311"/>
    <row r="11419" hidden="1" ht="18.75" customFormat="1" customHeight="1" s="311"/>
    <row r="11420" hidden="1" ht="18.75" customFormat="1" customHeight="1" s="311"/>
    <row r="11421" hidden="1" ht="18.75" customFormat="1" customHeight="1" s="311"/>
    <row r="11422" hidden="1" ht="18.75" customFormat="1" customHeight="1" s="311"/>
    <row r="11423" hidden="1" ht="18.75" customFormat="1" customHeight="1" s="311"/>
    <row r="11424" hidden="1" ht="18.75" customFormat="1" customHeight="1" s="311"/>
    <row r="11425" hidden="1" ht="18.75" customFormat="1" customHeight="1" s="311"/>
    <row r="11426" hidden="1" ht="18.75" customFormat="1" customHeight="1" s="311"/>
    <row r="11427" hidden="1" ht="18.75" customFormat="1" customHeight="1" s="311"/>
    <row r="11428" hidden="1" ht="18.75" customFormat="1" customHeight="1" s="311"/>
    <row r="11429" hidden="1" ht="18.75" customFormat="1" customHeight="1" s="311"/>
    <row r="11430" hidden="1" ht="18.75" customFormat="1" customHeight="1" s="311"/>
    <row r="11431" hidden="1" ht="18.75" customFormat="1" customHeight="1" s="311"/>
    <row r="11432" hidden="1" ht="18.75" customFormat="1" customHeight="1" s="311"/>
    <row r="11433" hidden="1" ht="18.75" customFormat="1" customHeight="1" s="311"/>
    <row r="11434" hidden="1" ht="18.75" customFormat="1" customHeight="1" s="311"/>
    <row r="11435" hidden="1" ht="18.75" customFormat="1" customHeight="1" s="311"/>
    <row r="11436" hidden="1" ht="18.75" customFormat="1" customHeight="1" s="311"/>
    <row r="11437" hidden="1" ht="18.75" customFormat="1" customHeight="1" s="311"/>
    <row r="11438" hidden="1" ht="18.75" customFormat="1" customHeight="1" s="311"/>
    <row r="11439" hidden="1" ht="18.75" customFormat="1" customHeight="1" s="311"/>
    <row r="11440" hidden="1" ht="18.75" customFormat="1" customHeight="1" s="311"/>
    <row r="11441" hidden="1" ht="18.75" customFormat="1" customHeight="1" s="311"/>
    <row r="11442" hidden="1" ht="18.75" customFormat="1" customHeight="1" s="311"/>
    <row r="11443" hidden="1" ht="18.75" customFormat="1" customHeight="1" s="311"/>
    <row r="11444" hidden="1" ht="18.75" customFormat="1" customHeight="1" s="311"/>
    <row r="11445" hidden="1" ht="18.75" customFormat="1" customHeight="1" s="311"/>
    <row r="11446" hidden="1" ht="18.75" customFormat="1" customHeight="1" s="311"/>
    <row r="11447" hidden="1" ht="18.75" customFormat="1" customHeight="1" s="311"/>
    <row r="11448" hidden="1" ht="18.75" customFormat="1" customHeight="1" s="311"/>
    <row r="11449" hidden="1" ht="18.75" customFormat="1" customHeight="1" s="311"/>
    <row r="11450" hidden="1" ht="18.75" customFormat="1" customHeight="1" s="311"/>
    <row r="11451" hidden="1" ht="18.75" customFormat="1" customHeight="1" s="311"/>
    <row r="11452" hidden="1" ht="18.75" customFormat="1" customHeight="1" s="311"/>
    <row r="11453" hidden="1" ht="18.75" customFormat="1" customHeight="1" s="311"/>
    <row r="11454" hidden="1" ht="18.75" customFormat="1" customHeight="1" s="311"/>
    <row r="11455" hidden="1" ht="18.75" customFormat="1" customHeight="1" s="311"/>
    <row r="11456" hidden="1" ht="18.75" customFormat="1" customHeight="1" s="311"/>
    <row r="11457" hidden="1" ht="18.75" customFormat="1" customHeight="1" s="311"/>
    <row r="11458" hidden="1" ht="18.75" customFormat="1" customHeight="1" s="311"/>
    <row r="11459" hidden="1" ht="18.75" customFormat="1" customHeight="1" s="311"/>
    <row r="11460" hidden="1" ht="18.75" customFormat="1" customHeight="1" s="311"/>
    <row r="11461" hidden="1" ht="18.75" customFormat="1" customHeight="1" s="311"/>
    <row r="11462" hidden="1" ht="18.75" customFormat="1" customHeight="1" s="311"/>
    <row r="11463" hidden="1" ht="18.75" customFormat="1" customHeight="1" s="311"/>
    <row r="11464" hidden="1" ht="18.75" customFormat="1" customHeight="1" s="311"/>
    <row r="11465" hidden="1" ht="18.75" customFormat="1" customHeight="1" s="311"/>
    <row r="11466" hidden="1" ht="18.75" customFormat="1" customHeight="1" s="311"/>
    <row r="11467" hidden="1" ht="18.75" customFormat="1" customHeight="1" s="311"/>
    <row r="11468" hidden="1" ht="18.75" customFormat="1" customHeight="1" s="311"/>
    <row r="11469" hidden="1" ht="18.75" customFormat="1" customHeight="1" s="311"/>
    <row r="11470" hidden="1" ht="18.75" customFormat="1" customHeight="1" s="311"/>
    <row r="11471" hidden="1" ht="18.75" customFormat="1" customHeight="1" s="311"/>
    <row r="11472" hidden="1" ht="18.75" customFormat="1" customHeight="1" s="311"/>
    <row r="11473" hidden="1" ht="18.75" customFormat="1" customHeight="1" s="311"/>
    <row r="11474" hidden="1" ht="18.75" customFormat="1" customHeight="1" s="311"/>
    <row r="11475" hidden="1" ht="18.75" customFormat="1" customHeight="1" s="311"/>
    <row r="11476" hidden="1" ht="18.75" customFormat="1" customHeight="1" s="311"/>
    <row r="11477" hidden="1" ht="18.75" customFormat="1" customHeight="1" s="311"/>
    <row r="11478" hidden="1" ht="18.75" customFormat="1" customHeight="1" s="311"/>
    <row r="11479" hidden="1" ht="18.75" customFormat="1" customHeight="1" s="311"/>
    <row r="11480" hidden="1" ht="18.75" customFormat="1" customHeight="1" s="311"/>
    <row r="11481" hidden="1" ht="18.75" customFormat="1" customHeight="1" s="311"/>
    <row r="11482" hidden="1" ht="18.75" customFormat="1" customHeight="1" s="311"/>
    <row r="11483" hidden="1" ht="18.75" customFormat="1" customHeight="1" s="311"/>
    <row r="11484" hidden="1" ht="18.75" customFormat="1" customHeight="1" s="311"/>
    <row r="11485" hidden="1" ht="18.75" customFormat="1" customHeight="1" s="311"/>
    <row r="11486" hidden="1" ht="18.75" customFormat="1" customHeight="1" s="311"/>
    <row r="11487" hidden="1" ht="18.75" customFormat="1" customHeight="1" s="311"/>
    <row r="11488" hidden="1" ht="18.75" customFormat="1" customHeight="1" s="311"/>
    <row r="11489" hidden="1" ht="18.75" customFormat="1" customHeight="1" s="311"/>
    <row r="11490" hidden="1" ht="18.75" customFormat="1" customHeight="1" s="311"/>
    <row r="11491" hidden="1" ht="18.75" customFormat="1" customHeight="1" s="311"/>
    <row r="11492" hidden="1" ht="18.75" customFormat="1" customHeight="1" s="311"/>
    <row r="11493" hidden="1" ht="18.75" customFormat="1" customHeight="1" s="311"/>
    <row r="11494" hidden="1" ht="18.75" customFormat="1" customHeight="1" s="311"/>
    <row r="11495" hidden="1" ht="18.75" customFormat="1" customHeight="1" s="311"/>
    <row r="11496" hidden="1" ht="18.75" customFormat="1" customHeight="1" s="311"/>
    <row r="11497" hidden="1" ht="18.75" customFormat="1" customHeight="1" s="311"/>
    <row r="11498" hidden="1" ht="18.75" customFormat="1" customHeight="1" s="311"/>
    <row r="11499" hidden="1" ht="18.75" customFormat="1" customHeight="1" s="311"/>
    <row r="11500" hidden="1" ht="18.75" customFormat="1" customHeight="1" s="311"/>
    <row r="11501" hidden="1" ht="18.75" customFormat="1" customHeight="1" s="311"/>
    <row r="11502" hidden="1" ht="18.75" customFormat="1" customHeight="1" s="311"/>
    <row r="11503" hidden="1" ht="18.75" customFormat="1" customHeight="1" s="311"/>
    <row r="11504" hidden="1" ht="18.75" customFormat="1" customHeight="1" s="311"/>
    <row r="11505" hidden="1" ht="18.75" customFormat="1" customHeight="1" s="311"/>
    <row r="11506" hidden="1" ht="18.75" customFormat="1" customHeight="1" s="311"/>
    <row r="11507" hidden="1" ht="18.75" customFormat="1" customHeight="1" s="311"/>
    <row r="11508" hidden="1" ht="18.75" customFormat="1" customHeight="1" s="311"/>
    <row r="11509" hidden="1" ht="18.75" customFormat="1" customHeight="1" s="311"/>
    <row r="11510" hidden="1" ht="18.75" customFormat="1" customHeight="1" s="311"/>
    <row r="11511" hidden="1" ht="18.75" customFormat="1" customHeight="1" s="311"/>
    <row r="11512" hidden="1" ht="18.75" customFormat="1" customHeight="1" s="311"/>
    <row r="11513" hidden="1" ht="18.75" customFormat="1" customHeight="1" s="311"/>
    <row r="11514" hidden="1" ht="18.75" customFormat="1" customHeight="1" s="311"/>
    <row r="11515" hidden="1" ht="18.75" customFormat="1" customHeight="1" s="311"/>
    <row r="11516" hidden="1" ht="18.75" customFormat="1" customHeight="1" s="311"/>
    <row r="11517" hidden="1" ht="18.75" customFormat="1" customHeight="1" s="311"/>
    <row r="11518" hidden="1" ht="18.75" customFormat="1" customHeight="1" s="311"/>
    <row r="11519" hidden="1" ht="18.75" customFormat="1" customHeight="1" s="311"/>
    <row r="11520" hidden="1" ht="18.75" customFormat="1" customHeight="1" s="311"/>
    <row r="11521" hidden="1" ht="18.75" customFormat="1" customHeight="1" s="311"/>
    <row r="11522" hidden="1" ht="18.75" customFormat="1" customHeight="1" s="311"/>
    <row r="11523" hidden="1" ht="18.75" customFormat="1" customHeight="1" s="311"/>
    <row r="11524" hidden="1" ht="18.75" customFormat="1" customHeight="1" s="311"/>
    <row r="11525" hidden="1" ht="18.75" customFormat="1" customHeight="1" s="311"/>
    <row r="11526" hidden="1" ht="18.75" customFormat="1" customHeight="1" s="311"/>
    <row r="11527" hidden="1" ht="18.75" customFormat="1" customHeight="1" s="311"/>
    <row r="11528" hidden="1" ht="18.75" customFormat="1" customHeight="1" s="311"/>
    <row r="11529" hidden="1" ht="18.75" customFormat="1" customHeight="1" s="311"/>
    <row r="11530" hidden="1" ht="18.75" customFormat="1" customHeight="1" s="311"/>
    <row r="11531" hidden="1" ht="18.75" customFormat="1" customHeight="1" s="311"/>
    <row r="11532" hidden="1" ht="18.75" customFormat="1" customHeight="1" s="311"/>
    <row r="11533" hidden="1" ht="18.75" customFormat="1" customHeight="1" s="311"/>
    <row r="11534" hidden="1" ht="18.75" customFormat="1" customHeight="1" s="311"/>
    <row r="11535" hidden="1" ht="18.75" customFormat="1" customHeight="1" s="311"/>
    <row r="11536" hidden="1" ht="18.75" customFormat="1" customHeight="1" s="311"/>
    <row r="11537" hidden="1" ht="18.75" customFormat="1" customHeight="1" s="311"/>
    <row r="11538" hidden="1" ht="18.75" customFormat="1" customHeight="1" s="311"/>
    <row r="11539" hidden="1" ht="18.75" customFormat="1" customHeight="1" s="311"/>
    <row r="11540" hidden="1" ht="18.75" customFormat="1" customHeight="1" s="311"/>
    <row r="11541" hidden="1" ht="18.75" customFormat="1" customHeight="1" s="311"/>
    <row r="11542" hidden="1" ht="18.75" customFormat="1" customHeight="1" s="311"/>
    <row r="11543" hidden="1" ht="18.75" customFormat="1" customHeight="1" s="311"/>
    <row r="11544" hidden="1" ht="18.75" customFormat="1" customHeight="1" s="311"/>
    <row r="11545" hidden="1" ht="18.75" customFormat="1" customHeight="1" s="311"/>
    <row r="11546" hidden="1" ht="18.75" customFormat="1" customHeight="1" s="311"/>
    <row r="11547" hidden="1" ht="18.75" customFormat="1" customHeight="1" s="311"/>
    <row r="11548" hidden="1" ht="18.75" customFormat="1" customHeight="1" s="311"/>
    <row r="11549" hidden="1" ht="18.75" customFormat="1" customHeight="1" s="311"/>
    <row r="11550" hidden="1" ht="18.75" customFormat="1" customHeight="1" s="311"/>
    <row r="11551" hidden="1" ht="18.75" customFormat="1" customHeight="1" s="311"/>
    <row r="11552" hidden="1" ht="18.75" customFormat="1" customHeight="1" s="311"/>
    <row r="11553" hidden="1" ht="18.75" customFormat="1" customHeight="1" s="311"/>
    <row r="11554" hidden="1" ht="18.75" customFormat="1" customHeight="1" s="311"/>
    <row r="11555" hidden="1" ht="18.75" customFormat="1" customHeight="1" s="311"/>
    <row r="11556" hidden="1" ht="18.75" customFormat="1" customHeight="1" s="311"/>
    <row r="11557" hidden="1" ht="18.75" customFormat="1" customHeight="1" s="311"/>
    <row r="11558" hidden="1" ht="18.75" customFormat="1" customHeight="1" s="311"/>
    <row r="11559" hidden="1" ht="18.75" customFormat="1" customHeight="1" s="311"/>
    <row r="11560" hidden="1" ht="18.75" customFormat="1" customHeight="1" s="311"/>
    <row r="11561" hidden="1" ht="18.75" customFormat="1" customHeight="1" s="311"/>
    <row r="11562" hidden="1" ht="18.75" customFormat="1" customHeight="1" s="311"/>
    <row r="11563" hidden="1" ht="18.75" customFormat="1" customHeight="1" s="311"/>
    <row r="11564" hidden="1" ht="18.75" customFormat="1" customHeight="1" s="311"/>
    <row r="11565" hidden="1" ht="18.75" customFormat="1" customHeight="1" s="311"/>
    <row r="11566" hidden="1" ht="18.75" customFormat="1" customHeight="1" s="311"/>
    <row r="11567" hidden="1" ht="18.75" customFormat="1" customHeight="1" s="311"/>
    <row r="11568" hidden="1" ht="18.75" customFormat="1" customHeight="1" s="311"/>
    <row r="11569" hidden="1" ht="18.75" customFormat="1" customHeight="1" s="311"/>
    <row r="11570" hidden="1" ht="18.75" customFormat="1" customHeight="1" s="311"/>
    <row r="11571" hidden="1" ht="18.75" customFormat="1" customHeight="1" s="311"/>
    <row r="11572" hidden="1" ht="18.75" customFormat="1" customHeight="1" s="311"/>
    <row r="11573" hidden="1" ht="18.75" customFormat="1" customHeight="1" s="311"/>
    <row r="11574" hidden="1" ht="18.75" customFormat="1" customHeight="1" s="311"/>
    <row r="11575" hidden="1" ht="18.75" customFormat="1" customHeight="1" s="311"/>
    <row r="11576" hidden="1" ht="18.75" customFormat="1" customHeight="1" s="311"/>
    <row r="11577" hidden="1" ht="18.75" customFormat="1" customHeight="1" s="311"/>
    <row r="11578" hidden="1" ht="18.75" customFormat="1" customHeight="1" s="311"/>
    <row r="11579" hidden="1" ht="18.75" customFormat="1" customHeight="1" s="311"/>
    <row r="11580" hidden="1" ht="18.75" customFormat="1" customHeight="1" s="311"/>
    <row r="11581" hidden="1" ht="18.75" customFormat="1" customHeight="1" s="311"/>
    <row r="11582" hidden="1" ht="18.75" customFormat="1" customHeight="1" s="311"/>
    <row r="11583" hidden="1" ht="18.75" customFormat="1" customHeight="1" s="311"/>
    <row r="11584" hidden="1" ht="18.75" customFormat="1" customHeight="1" s="311"/>
    <row r="11585" hidden="1" ht="18.75" customFormat="1" customHeight="1" s="311"/>
    <row r="11586" hidden="1" ht="18.75" customFormat="1" customHeight="1" s="311"/>
    <row r="11587" hidden="1" ht="18.75" customFormat="1" customHeight="1" s="311"/>
    <row r="11588" hidden="1" ht="18.75" customFormat="1" customHeight="1" s="311"/>
    <row r="11589" hidden="1" ht="18.75" customFormat="1" customHeight="1" s="311"/>
    <row r="11590" hidden="1" ht="18.75" customFormat="1" customHeight="1" s="311"/>
    <row r="11591" hidden="1" ht="18.75" customFormat="1" customHeight="1" s="311"/>
    <row r="11592" hidden="1" ht="18.75" customFormat="1" customHeight="1" s="311"/>
    <row r="11593" hidden="1" ht="18.75" customFormat="1" customHeight="1" s="311"/>
    <row r="11594" hidden="1" ht="18.75" customFormat="1" customHeight="1" s="311"/>
    <row r="11595" hidden="1" ht="18.75" customFormat="1" customHeight="1" s="311"/>
    <row r="11596" hidden="1" ht="18.75" customFormat="1" customHeight="1" s="311"/>
    <row r="11597" hidden="1" ht="18.75" customFormat="1" customHeight="1" s="311"/>
    <row r="11598" hidden="1" ht="18.75" customFormat="1" customHeight="1" s="311"/>
    <row r="11599" hidden="1" ht="18.75" customFormat="1" customHeight="1" s="311"/>
    <row r="11600" hidden="1" ht="18.75" customFormat="1" customHeight="1" s="311"/>
    <row r="11601" hidden="1" ht="18.75" customFormat="1" customHeight="1" s="311"/>
    <row r="11602" hidden="1" ht="18.75" customFormat="1" customHeight="1" s="311"/>
    <row r="11603" hidden="1" ht="18.75" customFormat="1" customHeight="1" s="311"/>
    <row r="11604" hidden="1" ht="18.75" customFormat="1" customHeight="1" s="311"/>
    <row r="11605" hidden="1" ht="18.75" customFormat="1" customHeight="1" s="311"/>
    <row r="11606" hidden="1" ht="18.75" customFormat="1" customHeight="1" s="311"/>
    <row r="11607" hidden="1" ht="18.75" customFormat="1" customHeight="1" s="311"/>
    <row r="11608" hidden="1" ht="18.75" customFormat="1" customHeight="1" s="311"/>
    <row r="11609" hidden="1" ht="18.75" customFormat="1" customHeight="1" s="311"/>
    <row r="11610" hidden="1" ht="18.75" customFormat="1" customHeight="1" s="311"/>
    <row r="11611" hidden="1" ht="18.75" customFormat="1" customHeight="1" s="311"/>
    <row r="11612" hidden="1" ht="18.75" customFormat="1" customHeight="1" s="311"/>
    <row r="11613" hidden="1" ht="18.75" customFormat="1" customHeight="1" s="311"/>
    <row r="11614" hidden="1" ht="18.75" customFormat="1" customHeight="1" s="311"/>
    <row r="11615" hidden="1" ht="18.75" customFormat="1" customHeight="1" s="311"/>
    <row r="11616" hidden="1" ht="18.75" customFormat="1" customHeight="1" s="311"/>
    <row r="11617" hidden="1" ht="18.75" customFormat="1" customHeight="1" s="311"/>
    <row r="11618" hidden="1" ht="18.75" customFormat="1" customHeight="1" s="311"/>
    <row r="11619" hidden="1" ht="18.75" customFormat="1" customHeight="1" s="311"/>
    <row r="11620" hidden="1" ht="18.75" customFormat="1" customHeight="1" s="311"/>
    <row r="11621" hidden="1" ht="18.75" customFormat="1" customHeight="1" s="311"/>
    <row r="11622" hidden="1" ht="18.75" customFormat="1" customHeight="1" s="311"/>
    <row r="11623" hidden="1" ht="18.75" customFormat="1" customHeight="1" s="311"/>
    <row r="11624" hidden="1" ht="18.75" customFormat="1" customHeight="1" s="311"/>
    <row r="11625" hidden="1" ht="18.75" customFormat="1" customHeight="1" s="311"/>
    <row r="11626" hidden="1" ht="18.75" customFormat="1" customHeight="1" s="311"/>
    <row r="11627" hidden="1" ht="18.75" customFormat="1" customHeight="1" s="311"/>
    <row r="11628" hidden="1" ht="18.75" customFormat="1" customHeight="1" s="311"/>
    <row r="11629" hidden="1" ht="18.75" customFormat="1" customHeight="1" s="311"/>
    <row r="11630" hidden="1" ht="18.75" customFormat="1" customHeight="1" s="311"/>
    <row r="11631" hidden="1" ht="18.75" customFormat="1" customHeight="1" s="311"/>
    <row r="11632" hidden="1" ht="18.75" customFormat="1" customHeight="1" s="311"/>
    <row r="11633" hidden="1" ht="18.75" customFormat="1" customHeight="1" s="311"/>
    <row r="11634" hidden="1" ht="18.75" customFormat="1" customHeight="1" s="311"/>
    <row r="11635" hidden="1" ht="18.75" customFormat="1" customHeight="1" s="311"/>
    <row r="11636" hidden="1" ht="18.75" customFormat="1" customHeight="1" s="311"/>
    <row r="11637" hidden="1" ht="18.75" customFormat="1" customHeight="1" s="311"/>
    <row r="11638" hidden="1" ht="18.75" customFormat="1" customHeight="1" s="311"/>
    <row r="11639" hidden="1" ht="18.75" customFormat="1" customHeight="1" s="311"/>
    <row r="11640" hidden="1" ht="18.75" customFormat="1" customHeight="1" s="311"/>
    <row r="11641" hidden="1" ht="18.75" customFormat="1" customHeight="1" s="311"/>
    <row r="11642" hidden="1" ht="18.75" customFormat="1" customHeight="1" s="311"/>
    <row r="11643" hidden="1" ht="18.75" customFormat="1" customHeight="1" s="311"/>
    <row r="11644" hidden="1" ht="18.75" customFormat="1" customHeight="1" s="311"/>
    <row r="11645" hidden="1" ht="18.75" customFormat="1" customHeight="1" s="311"/>
    <row r="11646" hidden="1" ht="18.75" customFormat="1" customHeight="1" s="311"/>
    <row r="11647" hidden="1" ht="18.75" customFormat="1" customHeight="1" s="311"/>
    <row r="11648" hidden="1" ht="18.75" customFormat="1" customHeight="1" s="311"/>
    <row r="11649" hidden="1" ht="18.75" customFormat="1" customHeight="1" s="311"/>
    <row r="11650" hidden="1" ht="18.75" customFormat="1" customHeight="1" s="311"/>
    <row r="11651" hidden="1" ht="18.75" customFormat="1" customHeight="1" s="311"/>
    <row r="11652" hidden="1" ht="18.75" customFormat="1" customHeight="1" s="311"/>
    <row r="11653" hidden="1" ht="18.75" customFormat="1" customHeight="1" s="311"/>
    <row r="11654" hidden="1" ht="18.75" customFormat="1" customHeight="1" s="311"/>
    <row r="11655" hidden="1" ht="18.75" customFormat="1" customHeight="1" s="311"/>
    <row r="11656" hidden="1" ht="18.75" customFormat="1" customHeight="1" s="311"/>
    <row r="11657" hidden="1" ht="18.75" customFormat="1" customHeight="1" s="311"/>
    <row r="11658" hidden="1" ht="18.75" customFormat="1" customHeight="1" s="311"/>
    <row r="11659" hidden="1" ht="18.75" customFormat="1" customHeight="1" s="311"/>
    <row r="11660" hidden="1" ht="18.75" customFormat="1" customHeight="1" s="311"/>
    <row r="11661" hidden="1" ht="18.75" customFormat="1" customHeight="1" s="311"/>
    <row r="11662" hidden="1" ht="18.75" customFormat="1" customHeight="1" s="311"/>
    <row r="11663" hidden="1" ht="18.75" customFormat="1" customHeight="1" s="311"/>
    <row r="11664" hidden="1" ht="18.75" customFormat="1" customHeight="1" s="311"/>
    <row r="11665" hidden="1" ht="18.75" customFormat="1" customHeight="1" s="311"/>
    <row r="11666" hidden="1" ht="18.75" customFormat="1" customHeight="1" s="311"/>
    <row r="11667" hidden="1" ht="18.75" customFormat="1" customHeight="1" s="311"/>
    <row r="11668" hidden="1" ht="18.75" customFormat="1" customHeight="1" s="311"/>
    <row r="11669" hidden="1" ht="18.75" customFormat="1" customHeight="1" s="311"/>
    <row r="11670" hidden="1" ht="18.75" customFormat="1" customHeight="1" s="311"/>
    <row r="11671" hidden="1" ht="18.75" customFormat="1" customHeight="1" s="311"/>
    <row r="11672" hidden="1" ht="18.75" customFormat="1" customHeight="1" s="311"/>
    <row r="11673" hidden="1" ht="18.75" customFormat="1" customHeight="1" s="311"/>
    <row r="11674" hidden="1" ht="18.75" customFormat="1" customHeight="1" s="311"/>
    <row r="11675" hidden="1" ht="18.75" customFormat="1" customHeight="1" s="311"/>
    <row r="11676" hidden="1" ht="18.75" customFormat="1" customHeight="1" s="311"/>
    <row r="11677" hidden="1" ht="18.75" customFormat="1" customHeight="1" s="311"/>
    <row r="11678" hidden="1" ht="18.75" customFormat="1" customHeight="1" s="311"/>
    <row r="11679" hidden="1" ht="18.75" customFormat="1" customHeight="1" s="311"/>
    <row r="11680" hidden="1" ht="18.75" customFormat="1" customHeight="1" s="311"/>
    <row r="11681" hidden="1" ht="18.75" customFormat="1" customHeight="1" s="311"/>
    <row r="11682" hidden="1" ht="18.75" customFormat="1" customHeight="1" s="311"/>
    <row r="11683" hidden="1" ht="18.75" customFormat="1" customHeight="1" s="311"/>
    <row r="11684" hidden="1" ht="18.75" customFormat="1" customHeight="1" s="311"/>
    <row r="11685" hidden="1" ht="18.75" customFormat="1" customHeight="1" s="311"/>
    <row r="11686" hidden="1" ht="18.75" customFormat="1" customHeight="1" s="311"/>
    <row r="11687" hidden="1" ht="18.75" customFormat="1" customHeight="1" s="311"/>
    <row r="11688" hidden="1" ht="18.75" customFormat="1" customHeight="1" s="311"/>
    <row r="11689" hidden="1" ht="18.75" customFormat="1" customHeight="1" s="311"/>
    <row r="11690" hidden="1" ht="18.75" customFormat="1" customHeight="1" s="311"/>
    <row r="11691" hidden="1" ht="18.75" customFormat="1" customHeight="1" s="311"/>
    <row r="11692" hidden="1" ht="18.75" customFormat="1" customHeight="1" s="311"/>
    <row r="11693" hidden="1" ht="18.75" customFormat="1" customHeight="1" s="311"/>
    <row r="11694" hidden="1" ht="18.75" customFormat="1" customHeight="1" s="311"/>
    <row r="11695" hidden="1" ht="18.75" customFormat="1" customHeight="1" s="311"/>
    <row r="11696" hidden="1" ht="18.75" customFormat="1" customHeight="1" s="311"/>
    <row r="11697" hidden="1" ht="18.75" customFormat="1" customHeight="1" s="311"/>
    <row r="11698" hidden="1" ht="18.75" customFormat="1" customHeight="1" s="311"/>
    <row r="11699" hidden="1" ht="18.75" customFormat="1" customHeight="1" s="311"/>
    <row r="11700" hidden="1" ht="18.75" customFormat="1" customHeight="1" s="311"/>
    <row r="11701" hidden="1" ht="18.75" customFormat="1" customHeight="1" s="311"/>
    <row r="11702" hidden="1" ht="18.75" customFormat="1" customHeight="1" s="311"/>
    <row r="11703" hidden="1" ht="18.75" customFormat="1" customHeight="1" s="311"/>
    <row r="11704" hidden="1" ht="18.75" customFormat="1" customHeight="1" s="311"/>
    <row r="11705" hidden="1" ht="18.75" customFormat="1" customHeight="1" s="311"/>
    <row r="11706" hidden="1" ht="18.75" customFormat="1" customHeight="1" s="311"/>
    <row r="11707" hidden="1" ht="18.75" customFormat="1" customHeight="1" s="311"/>
    <row r="11708" hidden="1" ht="18.75" customFormat="1" customHeight="1" s="311"/>
    <row r="11709" hidden="1" ht="18.75" customFormat="1" customHeight="1" s="311"/>
    <row r="11710" hidden="1" ht="18.75" customFormat="1" customHeight="1" s="311"/>
    <row r="11711" hidden="1" ht="18.75" customFormat="1" customHeight="1" s="311"/>
    <row r="11712" hidden="1" ht="18.75" customFormat="1" customHeight="1" s="311"/>
    <row r="11713" hidden="1" ht="18.75" customFormat="1" customHeight="1" s="311"/>
    <row r="11714" hidden="1" ht="18.75" customFormat="1" customHeight="1" s="311"/>
    <row r="11715" hidden="1" ht="18.75" customFormat="1" customHeight="1" s="311"/>
    <row r="11716" hidden="1" ht="18.75" customFormat="1" customHeight="1" s="311"/>
    <row r="11717" hidden="1" ht="18.75" customFormat="1" customHeight="1" s="311"/>
    <row r="11718" hidden="1" ht="18.75" customFormat="1" customHeight="1" s="311"/>
    <row r="11719" hidden="1" ht="18.75" customFormat="1" customHeight="1" s="311"/>
    <row r="11720" hidden="1" ht="18.75" customFormat="1" customHeight="1" s="311"/>
    <row r="11721" hidden="1" ht="18.75" customFormat="1" customHeight="1" s="311"/>
    <row r="11722" hidden="1" ht="18.75" customFormat="1" customHeight="1" s="311"/>
    <row r="11723" hidden="1" ht="18.75" customFormat="1" customHeight="1" s="311"/>
    <row r="11724" hidden="1" ht="18.75" customFormat="1" customHeight="1" s="311"/>
    <row r="11725" hidden="1" ht="18.75" customFormat="1" customHeight="1" s="311"/>
    <row r="11726" hidden="1" ht="18.75" customFormat="1" customHeight="1" s="311"/>
    <row r="11727" hidden="1" ht="18.75" customFormat="1" customHeight="1" s="311"/>
    <row r="11728" hidden="1" ht="18.75" customFormat="1" customHeight="1" s="311"/>
    <row r="11729" hidden="1" ht="18.75" customFormat="1" customHeight="1" s="311"/>
    <row r="11730" hidden="1" ht="18.75" customFormat="1" customHeight="1" s="311"/>
    <row r="11731" hidden="1" ht="18.75" customFormat="1" customHeight="1" s="311"/>
    <row r="11732" hidden="1" ht="18.75" customFormat="1" customHeight="1" s="311"/>
    <row r="11733" hidden="1" ht="18.75" customFormat="1" customHeight="1" s="311"/>
    <row r="11734" hidden="1" ht="18.75" customFormat="1" customHeight="1" s="311"/>
    <row r="11735" hidden="1" ht="18.75" customFormat="1" customHeight="1" s="311"/>
    <row r="11736" hidden="1" ht="18.75" customFormat="1" customHeight="1" s="311"/>
    <row r="11737" hidden="1" ht="18.75" customFormat="1" customHeight="1" s="311"/>
    <row r="11738" hidden="1" ht="18.75" customFormat="1" customHeight="1" s="311"/>
    <row r="11739" hidden="1" ht="18.75" customFormat="1" customHeight="1" s="311"/>
    <row r="11740" hidden="1" ht="18.75" customFormat="1" customHeight="1" s="311"/>
    <row r="11741" hidden="1" ht="18.75" customFormat="1" customHeight="1" s="311"/>
    <row r="11742" hidden="1" ht="18.75" customFormat="1" customHeight="1" s="311"/>
    <row r="11743" hidden="1" ht="18.75" customFormat="1" customHeight="1" s="311"/>
    <row r="11744" hidden="1" ht="18.75" customFormat="1" customHeight="1" s="311"/>
    <row r="11745" hidden="1" ht="18.75" customFormat="1" customHeight="1" s="311"/>
    <row r="11746" hidden="1" ht="18.75" customFormat="1" customHeight="1" s="311"/>
    <row r="11747" hidden="1" ht="18.75" customFormat="1" customHeight="1" s="311"/>
    <row r="11748" hidden="1" ht="18.75" customFormat="1" customHeight="1" s="311"/>
    <row r="11749" hidden="1" ht="18.75" customFormat="1" customHeight="1" s="311"/>
    <row r="11750" hidden="1" ht="18.75" customFormat="1" customHeight="1" s="311"/>
    <row r="11751" hidden="1" ht="18.75" customFormat="1" customHeight="1" s="311"/>
    <row r="11752" hidden="1" ht="18.75" customFormat="1" customHeight="1" s="311"/>
    <row r="11753" hidden="1" ht="18.75" customFormat="1" customHeight="1" s="311"/>
    <row r="11754" hidden="1" ht="18.75" customFormat="1" customHeight="1" s="311"/>
    <row r="11755" hidden="1" ht="18.75" customFormat="1" customHeight="1" s="311"/>
    <row r="11756" hidden="1" ht="18.75" customFormat="1" customHeight="1" s="311"/>
    <row r="11757" hidden="1" ht="18.75" customFormat="1" customHeight="1" s="311"/>
    <row r="11758" hidden="1" ht="18.75" customFormat="1" customHeight="1" s="311"/>
    <row r="11759" hidden="1" ht="18.75" customFormat="1" customHeight="1" s="311"/>
    <row r="11760" hidden="1" ht="18.75" customFormat="1" customHeight="1" s="311"/>
    <row r="11761" hidden="1" ht="18.75" customFormat="1" customHeight="1" s="311"/>
    <row r="11762" hidden="1" ht="18.75" customFormat="1" customHeight="1" s="311"/>
    <row r="11763" hidden="1" ht="18.75" customFormat="1" customHeight="1" s="311"/>
    <row r="11764" hidden="1" ht="18.75" customFormat="1" customHeight="1" s="311"/>
    <row r="11765" hidden="1" ht="18.75" customFormat="1" customHeight="1" s="311"/>
    <row r="11766" hidden="1" ht="18.75" customFormat="1" customHeight="1" s="311"/>
    <row r="11767" hidden="1" ht="18.75" customFormat="1" customHeight="1" s="311"/>
    <row r="11768" hidden="1" ht="18.75" customFormat="1" customHeight="1" s="311"/>
    <row r="11769" hidden="1" ht="18.75" customFormat="1" customHeight="1" s="311"/>
    <row r="11770" hidden="1" ht="18.75" customFormat="1" customHeight="1" s="311"/>
    <row r="11771" hidden="1" ht="18.75" customFormat="1" customHeight="1" s="311"/>
    <row r="11772" hidden="1" ht="18.75" customFormat="1" customHeight="1" s="311"/>
    <row r="11773" hidden="1" ht="18.75" customFormat="1" customHeight="1" s="311"/>
    <row r="11774" hidden="1" ht="18.75" customFormat="1" customHeight="1" s="311"/>
    <row r="11775" hidden="1" ht="18.75" customFormat="1" customHeight="1" s="311"/>
    <row r="11776" hidden="1" ht="18.75" customFormat="1" customHeight="1" s="311"/>
    <row r="11777" hidden="1" ht="18.75" customFormat="1" customHeight="1" s="311"/>
    <row r="11778" hidden="1" ht="18.75" customFormat="1" customHeight="1" s="311"/>
    <row r="11779" hidden="1" ht="18.75" customFormat="1" customHeight="1" s="311"/>
    <row r="11780" hidden="1" ht="18.75" customFormat="1" customHeight="1" s="311"/>
    <row r="11781" hidden="1" ht="18.75" customFormat="1" customHeight="1" s="311"/>
    <row r="11782" hidden="1" ht="18.75" customFormat="1" customHeight="1" s="311"/>
    <row r="11783" hidden="1" ht="18.75" customFormat="1" customHeight="1" s="311"/>
    <row r="11784" hidden="1" ht="18.75" customFormat="1" customHeight="1" s="311"/>
    <row r="11785" hidden="1" ht="18.75" customFormat="1" customHeight="1" s="311"/>
    <row r="11786" hidden="1" ht="18.75" customFormat="1" customHeight="1" s="311"/>
    <row r="11787" hidden="1" ht="18.75" customFormat="1" customHeight="1" s="311"/>
    <row r="11788" hidden="1" ht="18.75" customFormat="1" customHeight="1" s="311"/>
    <row r="11789" hidden="1" ht="18.75" customFormat="1" customHeight="1" s="311"/>
    <row r="11790" hidden="1" ht="18.75" customFormat="1" customHeight="1" s="311"/>
    <row r="11791" hidden="1" ht="18.75" customFormat="1" customHeight="1" s="311"/>
    <row r="11792" hidden="1" ht="18.75" customFormat="1" customHeight="1" s="311"/>
    <row r="11793" hidden="1" ht="18.75" customFormat="1" customHeight="1" s="311"/>
    <row r="11794" hidden="1" ht="18.75" customFormat="1" customHeight="1" s="311"/>
    <row r="11795" hidden="1" ht="18.75" customFormat="1" customHeight="1" s="311"/>
    <row r="11796" hidden="1" ht="18.75" customFormat="1" customHeight="1" s="311"/>
    <row r="11797" hidden="1" ht="18.75" customFormat="1" customHeight="1" s="311"/>
    <row r="11798" hidden="1" ht="18.75" customFormat="1" customHeight="1" s="311"/>
    <row r="11799" hidden="1" ht="18.75" customFormat="1" customHeight="1" s="311"/>
    <row r="11800" hidden="1" ht="18.75" customFormat="1" customHeight="1" s="311"/>
    <row r="11801" hidden="1" ht="18.75" customFormat="1" customHeight="1" s="311"/>
    <row r="11802" hidden="1" ht="18.75" customFormat="1" customHeight="1" s="311"/>
    <row r="11803" hidden="1" ht="18.75" customFormat="1" customHeight="1" s="311"/>
    <row r="11804" hidden="1" ht="18.75" customFormat="1" customHeight="1" s="311"/>
    <row r="11805" hidden="1" ht="18.75" customFormat="1" customHeight="1" s="311"/>
    <row r="11806" hidden="1" ht="18.75" customFormat="1" customHeight="1" s="311"/>
    <row r="11807" hidden="1" ht="18.75" customFormat="1" customHeight="1" s="311"/>
    <row r="11808" hidden="1" ht="18.75" customFormat="1" customHeight="1" s="311"/>
    <row r="11809" hidden="1" ht="18.75" customFormat="1" customHeight="1" s="311"/>
    <row r="11810" hidden="1" ht="18.75" customFormat="1" customHeight="1" s="311"/>
    <row r="11811" hidden="1" ht="18.75" customFormat="1" customHeight="1" s="311"/>
    <row r="11812" hidden="1" ht="18.75" customFormat="1" customHeight="1" s="311"/>
    <row r="11813" hidden="1" ht="18.75" customFormat="1" customHeight="1" s="311"/>
    <row r="11814" hidden="1" ht="18.75" customFormat="1" customHeight="1" s="311"/>
    <row r="11815" hidden="1" ht="18.75" customFormat="1" customHeight="1" s="311"/>
    <row r="11816" hidden="1" ht="18.75" customFormat="1" customHeight="1" s="311"/>
    <row r="11817" hidden="1" ht="18.75" customFormat="1" customHeight="1" s="311"/>
    <row r="11818" hidden="1" ht="18.75" customFormat="1" customHeight="1" s="311"/>
    <row r="11819" hidden="1" ht="18.75" customFormat="1" customHeight="1" s="311"/>
    <row r="11820" hidden="1" ht="18.75" customFormat="1" customHeight="1" s="311"/>
    <row r="11821" hidden="1" ht="18.75" customFormat="1" customHeight="1" s="311"/>
    <row r="11822" hidden="1" ht="18.75" customFormat="1" customHeight="1" s="311"/>
    <row r="11823" hidden="1" ht="18.75" customFormat="1" customHeight="1" s="311"/>
    <row r="11824" hidden="1" ht="18.75" customFormat="1" customHeight="1" s="311"/>
    <row r="11825" hidden="1" ht="18.75" customFormat="1" customHeight="1" s="311"/>
    <row r="11826" hidden="1" ht="18.75" customFormat="1" customHeight="1" s="311"/>
    <row r="11827" hidden="1" ht="18.75" customFormat="1" customHeight="1" s="311"/>
    <row r="11828" hidden="1" ht="18.75" customFormat="1" customHeight="1" s="311"/>
    <row r="11829" hidden="1" ht="18.75" customFormat="1" customHeight="1" s="311"/>
    <row r="11830" hidden="1" ht="18.75" customFormat="1" customHeight="1" s="311"/>
    <row r="11831" hidden="1" ht="18.75" customFormat="1" customHeight="1" s="311"/>
    <row r="11832" hidden="1" ht="18.75" customFormat="1" customHeight="1" s="311"/>
    <row r="11833" hidden="1" ht="18.75" customFormat="1" customHeight="1" s="311"/>
    <row r="11834" hidden="1" ht="18.75" customFormat="1" customHeight="1" s="311"/>
    <row r="11835" hidden="1" ht="18.75" customFormat="1" customHeight="1" s="311"/>
    <row r="11836" hidden="1" ht="18.75" customFormat="1" customHeight="1" s="311"/>
    <row r="11837" hidden="1" ht="18.75" customFormat="1" customHeight="1" s="311"/>
    <row r="11838" hidden="1" ht="18.75" customFormat="1" customHeight="1" s="311"/>
    <row r="11839" hidden="1" ht="18.75" customFormat="1" customHeight="1" s="311"/>
    <row r="11840" hidden="1" ht="18.75" customFormat="1" customHeight="1" s="311"/>
    <row r="11841" hidden="1" ht="18.75" customFormat="1" customHeight="1" s="311"/>
    <row r="11842" hidden="1" ht="18.75" customFormat="1" customHeight="1" s="311"/>
    <row r="11843" hidden="1" ht="18.75" customFormat="1" customHeight="1" s="311"/>
    <row r="11844" hidden="1" ht="18.75" customFormat="1" customHeight="1" s="311"/>
    <row r="11845" hidden="1" ht="18.75" customFormat="1" customHeight="1" s="311"/>
    <row r="11846" hidden="1" ht="18.75" customFormat="1" customHeight="1" s="311"/>
    <row r="11847" hidden="1" ht="18.75" customFormat="1" customHeight="1" s="311"/>
    <row r="11848" hidden="1" ht="18.75" customFormat="1" customHeight="1" s="311"/>
    <row r="11849" hidden="1" ht="18.75" customFormat="1" customHeight="1" s="311"/>
    <row r="11850" hidden="1" ht="18.75" customFormat="1" customHeight="1" s="311"/>
    <row r="11851" hidden="1" ht="18.75" customFormat="1" customHeight="1" s="311"/>
    <row r="11852" hidden="1" ht="18.75" customFormat="1" customHeight="1" s="311"/>
    <row r="11853" hidden="1" ht="18.75" customFormat="1" customHeight="1" s="311"/>
    <row r="11854" hidden="1" ht="18.75" customFormat="1" customHeight="1" s="311"/>
    <row r="11855" hidden="1" ht="18.75" customFormat="1" customHeight="1" s="311"/>
    <row r="11856" hidden="1" ht="18.75" customFormat="1" customHeight="1" s="311"/>
    <row r="11857" hidden="1" ht="18.75" customFormat="1" customHeight="1" s="311"/>
    <row r="11858" hidden="1" ht="18.75" customFormat="1" customHeight="1" s="311"/>
    <row r="11859" hidden="1" ht="18.75" customFormat="1" customHeight="1" s="311"/>
    <row r="11860" hidden="1" ht="18.75" customFormat="1" customHeight="1" s="311"/>
    <row r="11861" hidden="1" ht="18.75" customFormat="1" customHeight="1" s="311"/>
    <row r="11862" hidden="1" ht="18.75" customFormat="1" customHeight="1" s="311"/>
    <row r="11863" hidden="1" ht="18.75" customFormat="1" customHeight="1" s="311"/>
    <row r="11864" hidden="1" ht="18.75" customFormat="1" customHeight="1" s="311"/>
    <row r="11865" hidden="1" ht="18.75" customFormat="1" customHeight="1" s="311"/>
    <row r="11866" hidden="1" ht="18.75" customFormat="1" customHeight="1" s="311"/>
    <row r="11867" hidden="1" ht="18.75" customFormat="1" customHeight="1" s="311"/>
    <row r="11868" hidden="1" ht="18.75" customFormat="1" customHeight="1" s="311"/>
    <row r="11869" hidden="1" ht="18.75" customFormat="1" customHeight="1" s="311"/>
    <row r="11870" hidden="1" ht="18.75" customFormat="1" customHeight="1" s="311"/>
    <row r="11871" hidden="1" ht="18.75" customFormat="1" customHeight="1" s="311"/>
    <row r="11872" hidden="1" ht="18.75" customFormat="1" customHeight="1" s="311"/>
    <row r="11873" hidden="1" ht="18.75" customFormat="1" customHeight="1" s="311"/>
    <row r="11874" hidden="1" ht="18.75" customFormat="1" customHeight="1" s="311"/>
    <row r="11875" hidden="1" ht="18.75" customFormat="1" customHeight="1" s="311"/>
    <row r="11876" hidden="1" ht="18.75" customFormat="1" customHeight="1" s="311"/>
    <row r="11877" hidden="1" ht="18.75" customFormat="1" customHeight="1" s="311"/>
    <row r="11878" hidden="1" ht="18.75" customFormat="1" customHeight="1" s="311"/>
    <row r="11879" hidden="1" ht="18.75" customFormat="1" customHeight="1" s="311"/>
    <row r="11880" hidden="1" ht="18.75" customFormat="1" customHeight="1" s="311"/>
    <row r="11881" hidden="1" ht="18.75" customFormat="1" customHeight="1" s="311"/>
    <row r="11882" hidden="1" ht="18.75" customFormat="1" customHeight="1" s="311"/>
    <row r="11883" hidden="1" ht="18.75" customFormat="1" customHeight="1" s="311"/>
    <row r="11884" hidden="1" ht="18.75" customFormat="1" customHeight="1" s="311"/>
    <row r="11885" hidden="1" ht="18.75" customFormat="1" customHeight="1" s="311"/>
    <row r="11886" hidden="1" ht="18.75" customFormat="1" customHeight="1" s="311"/>
    <row r="11887" hidden="1" ht="18.75" customFormat="1" customHeight="1" s="311"/>
    <row r="11888" hidden="1" ht="18.75" customFormat="1" customHeight="1" s="311"/>
    <row r="11889" hidden="1" ht="18.75" customFormat="1" customHeight="1" s="311"/>
    <row r="11890" hidden="1" ht="18.75" customFormat="1" customHeight="1" s="311"/>
    <row r="11891" hidden="1" ht="18.75" customFormat="1" customHeight="1" s="311"/>
    <row r="11892" hidden="1" ht="18.75" customFormat="1" customHeight="1" s="311"/>
    <row r="11893" hidden="1" ht="18.75" customFormat="1" customHeight="1" s="311"/>
    <row r="11894" hidden="1" ht="18.75" customFormat="1" customHeight="1" s="311"/>
    <row r="11895" hidden="1" ht="18.75" customFormat="1" customHeight="1" s="311"/>
    <row r="11896" hidden="1" ht="18.75" customFormat="1" customHeight="1" s="311"/>
    <row r="11897" hidden="1" ht="18.75" customFormat="1" customHeight="1" s="311"/>
    <row r="11898" hidden="1" ht="18.75" customFormat="1" customHeight="1" s="311"/>
    <row r="11899" hidden="1" ht="18.75" customFormat="1" customHeight="1" s="311"/>
    <row r="11900" hidden="1" ht="18.75" customFormat="1" customHeight="1" s="311"/>
    <row r="11901" hidden="1" ht="18.75" customFormat="1" customHeight="1" s="311"/>
    <row r="11902" hidden="1" ht="18.75" customFormat="1" customHeight="1" s="311"/>
    <row r="11903" hidden="1" ht="18.75" customFormat="1" customHeight="1" s="311"/>
    <row r="11904" hidden="1" ht="18.75" customFormat="1" customHeight="1" s="311"/>
    <row r="11905" hidden="1" ht="18.75" customFormat="1" customHeight="1" s="311"/>
    <row r="11906" hidden="1" ht="18.75" customFormat="1" customHeight="1" s="311"/>
    <row r="11907" hidden="1" ht="18.75" customFormat="1" customHeight="1" s="311"/>
    <row r="11908" hidden="1" ht="18.75" customFormat="1" customHeight="1" s="311"/>
    <row r="11909" hidden="1" ht="18.75" customFormat="1" customHeight="1" s="311"/>
    <row r="11910" hidden="1" ht="18.75" customFormat="1" customHeight="1" s="311"/>
    <row r="11911" hidden="1" ht="18.75" customFormat="1" customHeight="1" s="311"/>
    <row r="11912" hidden="1" ht="18.75" customFormat="1" customHeight="1" s="311"/>
    <row r="11913" hidden="1" ht="18.75" customFormat="1" customHeight="1" s="311"/>
    <row r="11914" hidden="1" ht="18.75" customFormat="1" customHeight="1" s="311"/>
    <row r="11915" hidden="1" ht="18.75" customFormat="1" customHeight="1" s="311"/>
    <row r="11916" hidden="1" ht="18.75" customFormat="1" customHeight="1" s="311"/>
    <row r="11917" hidden="1" ht="18.75" customFormat="1" customHeight="1" s="311"/>
    <row r="11918" hidden="1" ht="18.75" customFormat="1" customHeight="1" s="311"/>
    <row r="11919" hidden="1" ht="18.75" customFormat="1" customHeight="1" s="311"/>
    <row r="11920" hidden="1" ht="18.75" customFormat="1" customHeight="1" s="311"/>
    <row r="11921" hidden="1" ht="18.75" customFormat="1" customHeight="1" s="311"/>
    <row r="11922" hidden="1" ht="18.75" customFormat="1" customHeight="1" s="311"/>
    <row r="11923" hidden="1" ht="18.75" customFormat="1" customHeight="1" s="311"/>
    <row r="11924" hidden="1" ht="18.75" customFormat="1" customHeight="1" s="311"/>
    <row r="11925" hidden="1" ht="18.75" customFormat="1" customHeight="1" s="311"/>
    <row r="11926" hidden="1" ht="18.75" customFormat="1" customHeight="1" s="311"/>
    <row r="11927" hidden="1" ht="18.75" customFormat="1" customHeight="1" s="311"/>
    <row r="11928" hidden="1" ht="18.75" customFormat="1" customHeight="1" s="311"/>
    <row r="11929" hidden="1" ht="18.75" customFormat="1" customHeight="1" s="311"/>
    <row r="11930" hidden="1" ht="18.75" customFormat="1" customHeight="1" s="311"/>
    <row r="11931" hidden="1" ht="18.75" customFormat="1" customHeight="1" s="311"/>
    <row r="11932" hidden="1" ht="18.75" customFormat="1" customHeight="1" s="311"/>
    <row r="11933" hidden="1" ht="18.75" customFormat="1" customHeight="1" s="311"/>
    <row r="11934" hidden="1" ht="18.75" customFormat="1" customHeight="1" s="311"/>
    <row r="11935" hidden="1" ht="18.75" customFormat="1" customHeight="1" s="311"/>
    <row r="11936" hidden="1" ht="18.75" customFormat="1" customHeight="1" s="311"/>
    <row r="11937" hidden="1" ht="18.75" customFormat="1" customHeight="1" s="311"/>
    <row r="11938" hidden="1" ht="18.75" customFormat="1" customHeight="1" s="311"/>
    <row r="11939" hidden="1" ht="18.75" customFormat="1" customHeight="1" s="311"/>
    <row r="11940" hidden="1" ht="18.75" customFormat="1" customHeight="1" s="311"/>
    <row r="11941" hidden="1" ht="18.75" customFormat="1" customHeight="1" s="311"/>
    <row r="11942" hidden="1" ht="18.75" customFormat="1" customHeight="1" s="311"/>
    <row r="11943" hidden="1" ht="18.75" customFormat="1" customHeight="1" s="311"/>
    <row r="11944" hidden="1" ht="18.75" customFormat="1" customHeight="1" s="311"/>
    <row r="11945" hidden="1" ht="18.75" customFormat="1" customHeight="1" s="311"/>
    <row r="11946" hidden="1" ht="18.75" customFormat="1" customHeight="1" s="311"/>
    <row r="11947" hidden="1" ht="18.75" customFormat="1" customHeight="1" s="311"/>
    <row r="11948" hidden="1" ht="18.75" customFormat="1" customHeight="1" s="311"/>
    <row r="11949" hidden="1" ht="18.75" customFormat="1" customHeight="1" s="311"/>
    <row r="11950" hidden="1" ht="18.75" customFormat="1" customHeight="1" s="311"/>
    <row r="11951" hidden="1" ht="18.75" customFormat="1" customHeight="1" s="311"/>
    <row r="11952" hidden="1" ht="18.75" customFormat="1" customHeight="1" s="311"/>
    <row r="11953" hidden="1" ht="18.75" customFormat="1" customHeight="1" s="311"/>
    <row r="11954" hidden="1" ht="18.75" customFormat="1" customHeight="1" s="311"/>
    <row r="11955" hidden="1" ht="18.75" customFormat="1" customHeight="1" s="311"/>
    <row r="11956" hidden="1" ht="18.75" customFormat="1" customHeight="1" s="311"/>
    <row r="11957" hidden="1" ht="18.75" customFormat="1" customHeight="1" s="311"/>
    <row r="11958" hidden="1" ht="18.75" customFormat="1" customHeight="1" s="311"/>
    <row r="11959" hidden="1" ht="18.75" customFormat="1" customHeight="1" s="311"/>
    <row r="11960" hidden="1" ht="18.75" customFormat="1" customHeight="1" s="311"/>
    <row r="11961" hidden="1" ht="18.75" customFormat="1" customHeight="1" s="311"/>
    <row r="11962" hidden="1" ht="18.75" customFormat="1" customHeight="1" s="311"/>
    <row r="11963" hidden="1" ht="18.75" customFormat="1" customHeight="1" s="311"/>
    <row r="11964" hidden="1" ht="18.75" customFormat="1" customHeight="1" s="311"/>
    <row r="11965" hidden="1" ht="18.75" customFormat="1" customHeight="1" s="311"/>
    <row r="11966" hidden="1" ht="18.75" customFormat="1" customHeight="1" s="311"/>
    <row r="11967" hidden="1" ht="18.75" customFormat="1" customHeight="1" s="311"/>
    <row r="11968" hidden="1" ht="18.75" customFormat="1" customHeight="1" s="311"/>
    <row r="11969" hidden="1" ht="18.75" customFormat="1" customHeight="1" s="311"/>
    <row r="11970" hidden="1" ht="18.75" customFormat="1" customHeight="1" s="311"/>
    <row r="11971" hidden="1" ht="18.75" customFormat="1" customHeight="1" s="311"/>
    <row r="11972" hidden="1" ht="18.75" customFormat="1" customHeight="1" s="311"/>
    <row r="11973" hidden="1" ht="18.75" customFormat="1" customHeight="1" s="311"/>
    <row r="11974" hidden="1" ht="18.75" customFormat="1" customHeight="1" s="311"/>
    <row r="11975" hidden="1" ht="18.75" customFormat="1" customHeight="1" s="311"/>
    <row r="11976" hidden="1" ht="18.75" customFormat="1" customHeight="1" s="311"/>
    <row r="11977" hidden="1" ht="18.75" customFormat="1" customHeight="1" s="311"/>
    <row r="11978" hidden="1" ht="18.75" customFormat="1" customHeight="1" s="311"/>
    <row r="11979" hidden="1" ht="18.75" customFormat="1" customHeight="1" s="311"/>
    <row r="11980" hidden="1" ht="18.75" customFormat="1" customHeight="1" s="311"/>
    <row r="11981" hidden="1" ht="18.75" customFormat="1" customHeight="1" s="311"/>
    <row r="11982" hidden="1" ht="18.75" customFormat="1" customHeight="1" s="311"/>
    <row r="11983" hidden="1" ht="18.75" customFormat="1" customHeight="1" s="311"/>
    <row r="11984" hidden="1" ht="18.75" customFormat="1" customHeight="1" s="311"/>
    <row r="11985" hidden="1" ht="18.75" customFormat="1" customHeight="1" s="311"/>
    <row r="11986" hidden="1" ht="18.75" customFormat="1" customHeight="1" s="311"/>
    <row r="11987" hidden="1" ht="18.75" customFormat="1" customHeight="1" s="311"/>
    <row r="11988" hidden="1" ht="18.75" customFormat="1" customHeight="1" s="311"/>
    <row r="11989" hidden="1" ht="18.75" customFormat="1" customHeight="1" s="311"/>
    <row r="11990" hidden="1" ht="18.75" customFormat="1" customHeight="1" s="311"/>
    <row r="11991" hidden="1" ht="18.75" customFormat="1" customHeight="1" s="311"/>
    <row r="11992" hidden="1" ht="18.75" customFormat="1" customHeight="1" s="311"/>
    <row r="11993" hidden="1" ht="18.75" customFormat="1" customHeight="1" s="311"/>
    <row r="11994" hidden="1" ht="18.75" customFormat="1" customHeight="1" s="311"/>
    <row r="11995" hidden="1" ht="18.75" customFormat="1" customHeight="1" s="311"/>
    <row r="11996" hidden="1" ht="18.75" customFormat="1" customHeight="1" s="311"/>
    <row r="11997" hidden="1" ht="18.75" customFormat="1" customHeight="1" s="311"/>
    <row r="11998" hidden="1" ht="18.75" customFormat="1" customHeight="1" s="311"/>
    <row r="11999" hidden="1" ht="18.75" customFormat="1" customHeight="1" s="311"/>
    <row r="12000" hidden="1" ht="18.75" customFormat="1" customHeight="1" s="311"/>
    <row r="12001" hidden="1" ht="18.75" customFormat="1" customHeight="1" s="311"/>
    <row r="12002" hidden="1" ht="18.75" customFormat="1" customHeight="1" s="311"/>
    <row r="12003" hidden="1" ht="18.75" customFormat="1" customHeight="1" s="311"/>
    <row r="12004" hidden="1" ht="18.75" customFormat="1" customHeight="1" s="311"/>
    <row r="12005" hidden="1" ht="18.75" customFormat="1" customHeight="1" s="311"/>
    <row r="12006" hidden="1" ht="18.75" customFormat="1" customHeight="1" s="311"/>
    <row r="12007" hidden="1" ht="18.75" customFormat="1" customHeight="1" s="311"/>
    <row r="12008" hidden="1" ht="18.75" customFormat="1" customHeight="1" s="311"/>
    <row r="12009" hidden="1" ht="18.75" customFormat="1" customHeight="1" s="311"/>
    <row r="12010" hidden="1" ht="18.75" customFormat="1" customHeight="1" s="311"/>
    <row r="12011" hidden="1" ht="18.75" customFormat="1" customHeight="1" s="311"/>
    <row r="12012" hidden="1" ht="18.75" customFormat="1" customHeight="1" s="311"/>
    <row r="12013" hidden="1" ht="18.75" customFormat="1" customHeight="1" s="311"/>
    <row r="12014" hidden="1" ht="18.75" customFormat="1" customHeight="1" s="311"/>
    <row r="12015" hidden="1" ht="18.75" customFormat="1" customHeight="1" s="311"/>
    <row r="12016" hidden="1" ht="18.75" customFormat="1" customHeight="1" s="311"/>
    <row r="12017" hidden="1" ht="18.75" customFormat="1" customHeight="1" s="311"/>
    <row r="12018" hidden="1" ht="18.75" customFormat="1" customHeight="1" s="311"/>
    <row r="12019" hidden="1" ht="18.75" customFormat="1" customHeight="1" s="311"/>
    <row r="12020" hidden="1" ht="18.75" customFormat="1" customHeight="1" s="311"/>
    <row r="12021" hidden="1" ht="18.75" customFormat="1" customHeight="1" s="311"/>
    <row r="12022" hidden="1" ht="18.75" customFormat="1" customHeight="1" s="311"/>
    <row r="12023" hidden="1" ht="18.75" customFormat="1" customHeight="1" s="311"/>
    <row r="12024" hidden="1" ht="18.75" customFormat="1" customHeight="1" s="311"/>
    <row r="12025" hidden="1" ht="18.75" customFormat="1" customHeight="1" s="311"/>
    <row r="12026" hidden="1" ht="18.75" customFormat="1" customHeight="1" s="311"/>
    <row r="12027" hidden="1" ht="18.75" customFormat="1" customHeight="1" s="311"/>
    <row r="12028" hidden="1" ht="18.75" customFormat="1" customHeight="1" s="311"/>
    <row r="12029" hidden="1" ht="18.75" customFormat="1" customHeight="1" s="311"/>
    <row r="12030" hidden="1" ht="18.75" customFormat="1" customHeight="1" s="311"/>
    <row r="12031" hidden="1" ht="18.75" customFormat="1" customHeight="1" s="311"/>
    <row r="12032" hidden="1" ht="18.75" customFormat="1" customHeight="1" s="311"/>
    <row r="12033" hidden="1" ht="18.75" customFormat="1" customHeight="1" s="311"/>
    <row r="12034" hidden="1" ht="18.75" customFormat="1" customHeight="1" s="311"/>
    <row r="12035" hidden="1" ht="18.75" customFormat="1" customHeight="1" s="311"/>
    <row r="12036" hidden="1" ht="18.75" customFormat="1" customHeight="1" s="311"/>
    <row r="12037" hidden="1" ht="18.75" customFormat="1" customHeight="1" s="311"/>
    <row r="12038" hidden="1" ht="18.75" customFormat="1" customHeight="1" s="311"/>
    <row r="12039" hidden="1" ht="18.75" customFormat="1" customHeight="1" s="311"/>
    <row r="12040" hidden="1" ht="18.75" customFormat="1" customHeight="1" s="311"/>
    <row r="12041" hidden="1" ht="18.75" customFormat="1" customHeight="1" s="311"/>
    <row r="12042" hidden="1" ht="18.75" customFormat="1" customHeight="1" s="311"/>
    <row r="12043" hidden="1" ht="18.75" customFormat="1" customHeight="1" s="311"/>
    <row r="12044" hidden="1" ht="18.75" customFormat="1" customHeight="1" s="311"/>
    <row r="12045" hidden="1" ht="18.75" customFormat="1" customHeight="1" s="311"/>
    <row r="12046" hidden="1" ht="18.75" customFormat="1" customHeight="1" s="311"/>
    <row r="12047" hidden="1" ht="18.75" customFormat="1" customHeight="1" s="311"/>
    <row r="12048" hidden="1" ht="18.75" customFormat="1" customHeight="1" s="311"/>
    <row r="12049" hidden="1" ht="18.75" customFormat="1" customHeight="1" s="311"/>
    <row r="12050" hidden="1" ht="18.75" customFormat="1" customHeight="1" s="311"/>
    <row r="12051" hidden="1" ht="18.75" customFormat="1" customHeight="1" s="311"/>
    <row r="12052" hidden="1" ht="18.75" customFormat="1" customHeight="1" s="311"/>
    <row r="12053" hidden="1" ht="18.75" customFormat="1" customHeight="1" s="311"/>
    <row r="12054" hidden="1" ht="18.75" customFormat="1" customHeight="1" s="311"/>
    <row r="12055" hidden="1" ht="18.75" customFormat="1" customHeight="1" s="311"/>
    <row r="12056" hidden="1" ht="18.75" customFormat="1" customHeight="1" s="311"/>
    <row r="12057" hidden="1" ht="18.75" customFormat="1" customHeight="1" s="311"/>
    <row r="12058" hidden="1" ht="18.75" customFormat="1" customHeight="1" s="311"/>
    <row r="12059" hidden="1" ht="18.75" customFormat="1" customHeight="1" s="311"/>
    <row r="12060" hidden="1" ht="18.75" customFormat="1" customHeight="1" s="311"/>
    <row r="12061" hidden="1" ht="18.75" customFormat="1" customHeight="1" s="311"/>
    <row r="12062" hidden="1" ht="18.75" customFormat="1" customHeight="1" s="311"/>
    <row r="12063" hidden="1" ht="18.75" customFormat="1" customHeight="1" s="311"/>
    <row r="12064" hidden="1" ht="18.75" customFormat="1" customHeight="1" s="311"/>
    <row r="12065" hidden="1" ht="18.75" customFormat="1" customHeight="1" s="311"/>
    <row r="12066" hidden="1" ht="18.75" customFormat="1" customHeight="1" s="311"/>
    <row r="12067" hidden="1" ht="18.75" customFormat="1" customHeight="1" s="311"/>
    <row r="12068" hidden="1" ht="18.75" customFormat="1" customHeight="1" s="311"/>
    <row r="12069" hidden="1" ht="18.75" customFormat="1" customHeight="1" s="311"/>
    <row r="12070" hidden="1" ht="18.75" customFormat="1" customHeight="1" s="311"/>
    <row r="12071" hidden="1" ht="18.75" customFormat="1" customHeight="1" s="311"/>
    <row r="12072" hidden="1" ht="18.75" customFormat="1" customHeight="1" s="311"/>
    <row r="12073" hidden="1" ht="18.75" customFormat="1" customHeight="1" s="311"/>
    <row r="12074" hidden="1" ht="18.75" customFormat="1" customHeight="1" s="311"/>
    <row r="12075" hidden="1" ht="18.75" customFormat="1" customHeight="1" s="311"/>
    <row r="12076" hidden="1" ht="18.75" customFormat="1" customHeight="1" s="311"/>
    <row r="12077" hidden="1" ht="18.75" customFormat="1" customHeight="1" s="311"/>
    <row r="12078" hidden="1" ht="18.75" customFormat="1" customHeight="1" s="311"/>
    <row r="12079" hidden="1" ht="18.75" customFormat="1" customHeight="1" s="311"/>
    <row r="12080" hidden="1" ht="18.75" customFormat="1" customHeight="1" s="311"/>
    <row r="12081" hidden="1" ht="18.75" customFormat="1" customHeight="1" s="311"/>
    <row r="12082" hidden="1" ht="18.75" customFormat="1" customHeight="1" s="311"/>
    <row r="12083" hidden="1" ht="18.75" customFormat="1" customHeight="1" s="311"/>
    <row r="12084" hidden="1" ht="18.75" customFormat="1" customHeight="1" s="311"/>
    <row r="12085" hidden="1" ht="18.75" customFormat="1" customHeight="1" s="311"/>
    <row r="12086" hidden="1" ht="18.75" customFormat="1" customHeight="1" s="311"/>
    <row r="12087" hidden="1" ht="18.75" customFormat="1" customHeight="1" s="311"/>
    <row r="12088" hidden="1" ht="18.75" customFormat="1" customHeight="1" s="311"/>
    <row r="12089" hidden="1" ht="18.75" customFormat="1" customHeight="1" s="311"/>
    <row r="12090" hidden="1" ht="18.75" customFormat="1" customHeight="1" s="311"/>
    <row r="12091" hidden="1" ht="18.75" customFormat="1" customHeight="1" s="311"/>
    <row r="12092" hidden="1" ht="18.75" customFormat="1" customHeight="1" s="311"/>
    <row r="12093" hidden="1" ht="18.75" customFormat="1" customHeight="1" s="311"/>
    <row r="12094" hidden="1" ht="18.75" customFormat="1" customHeight="1" s="311"/>
    <row r="12095" hidden="1" ht="18.75" customFormat="1" customHeight="1" s="311"/>
    <row r="12096" hidden="1" ht="18.75" customFormat="1" customHeight="1" s="311"/>
    <row r="12097" hidden="1" ht="18.75" customFormat="1" customHeight="1" s="311"/>
    <row r="12098" hidden="1" ht="18.75" customFormat="1" customHeight="1" s="311"/>
    <row r="12099" hidden="1" ht="18.75" customFormat="1" customHeight="1" s="311"/>
    <row r="12100" hidden="1" ht="18.75" customFormat="1" customHeight="1" s="311"/>
    <row r="12101" hidden="1" ht="18.75" customFormat="1" customHeight="1" s="311"/>
    <row r="12102" hidden="1" ht="18.75" customFormat="1" customHeight="1" s="311"/>
    <row r="12103" hidden="1" ht="18.75" customFormat="1" customHeight="1" s="311"/>
    <row r="12104" hidden="1" ht="18.75" customFormat="1" customHeight="1" s="311"/>
    <row r="12105" hidden="1" ht="18.75" customFormat="1" customHeight="1" s="311"/>
    <row r="12106" hidden="1" ht="18.75" customFormat="1" customHeight="1" s="311"/>
    <row r="12107" hidden="1" ht="18.75" customFormat="1" customHeight="1" s="311"/>
    <row r="12108" hidden="1" ht="18.75" customFormat="1" customHeight="1" s="311"/>
    <row r="12109" hidden="1" ht="18.75" customFormat="1" customHeight="1" s="311"/>
    <row r="12110" hidden="1" ht="18.75" customFormat="1" customHeight="1" s="311"/>
    <row r="12111" hidden="1" ht="18.75" customFormat="1" customHeight="1" s="311"/>
    <row r="12112" hidden="1" ht="18.75" customFormat="1" customHeight="1" s="311"/>
    <row r="12113" hidden="1" ht="18.75" customFormat="1" customHeight="1" s="311"/>
    <row r="12114" hidden="1" ht="18.75" customFormat="1" customHeight="1" s="311"/>
    <row r="12115" hidden="1" ht="18.75" customFormat="1" customHeight="1" s="311"/>
    <row r="12116" hidden="1" ht="18.75" customFormat="1" customHeight="1" s="311"/>
    <row r="12117" hidden="1" ht="18.75" customFormat="1" customHeight="1" s="311"/>
    <row r="12118" hidden="1" ht="18.75" customFormat="1" customHeight="1" s="311"/>
    <row r="12119" hidden="1" ht="18.75" customFormat="1" customHeight="1" s="311"/>
    <row r="12120" hidden="1" ht="18.75" customFormat="1" customHeight="1" s="311"/>
    <row r="12121" hidden="1" ht="18.75" customFormat="1" customHeight="1" s="311"/>
    <row r="12122" hidden="1" ht="18.75" customFormat="1" customHeight="1" s="311"/>
    <row r="12123" hidden="1" ht="18.75" customFormat="1" customHeight="1" s="311"/>
    <row r="12124" hidden="1" ht="18.75" customFormat="1" customHeight="1" s="311"/>
    <row r="12125" hidden="1" ht="18.75" customFormat="1" customHeight="1" s="311"/>
    <row r="12126" hidden="1" ht="18.75" customFormat="1" customHeight="1" s="311"/>
    <row r="12127" hidden="1" ht="18.75" customFormat="1" customHeight="1" s="311"/>
    <row r="12128" hidden="1" ht="18.75" customFormat="1" customHeight="1" s="311"/>
    <row r="12129" hidden="1" ht="18.75" customFormat="1" customHeight="1" s="311"/>
    <row r="12130" hidden="1" ht="18.75" customFormat="1" customHeight="1" s="311"/>
    <row r="12131" hidden="1" ht="18.75" customFormat="1" customHeight="1" s="311"/>
    <row r="12132" hidden="1" ht="18.75" customFormat="1" customHeight="1" s="311"/>
    <row r="12133" hidden="1" ht="18.75" customFormat="1" customHeight="1" s="311"/>
    <row r="12134" hidden="1" ht="18.75" customFormat="1" customHeight="1" s="311"/>
    <row r="12135" hidden="1" ht="18.75" customFormat="1" customHeight="1" s="311"/>
    <row r="12136" hidden="1" ht="18.75" customFormat="1" customHeight="1" s="311"/>
    <row r="12137" hidden="1" ht="18.75" customFormat="1" customHeight="1" s="311"/>
    <row r="12138" hidden="1" ht="18.75" customFormat="1" customHeight="1" s="311"/>
    <row r="12139" hidden="1" ht="18.75" customFormat="1" customHeight="1" s="311"/>
    <row r="12140" hidden="1" ht="18.75" customFormat="1" customHeight="1" s="311"/>
    <row r="12141" hidden="1" ht="18.75" customFormat="1" customHeight="1" s="311"/>
    <row r="12142" hidden="1" ht="18.75" customFormat="1" customHeight="1" s="311"/>
    <row r="12143" hidden="1" ht="18.75" customFormat="1" customHeight="1" s="311"/>
    <row r="12144" hidden="1" ht="18.75" customFormat="1" customHeight="1" s="311"/>
    <row r="12145" hidden="1" ht="18.75" customFormat="1" customHeight="1" s="311"/>
    <row r="12146" hidden="1" ht="18.75" customFormat="1" customHeight="1" s="311"/>
    <row r="12147" hidden="1" ht="18.75" customFormat="1" customHeight="1" s="311"/>
    <row r="12148" hidden="1" ht="18.75" customFormat="1" customHeight="1" s="311"/>
    <row r="12149" hidden="1" ht="18.75" customFormat="1" customHeight="1" s="311"/>
    <row r="12150" hidden="1" ht="18.75" customFormat="1" customHeight="1" s="311"/>
    <row r="12151" hidden="1" ht="18.75" customFormat="1" customHeight="1" s="311"/>
    <row r="12152" hidden="1" ht="18.75" customFormat="1" customHeight="1" s="311"/>
    <row r="12153" hidden="1" ht="18.75" customFormat="1" customHeight="1" s="311"/>
    <row r="12154" hidden="1" ht="18.75" customFormat="1" customHeight="1" s="311"/>
    <row r="12155" hidden="1" ht="18.75" customFormat="1" customHeight="1" s="311"/>
    <row r="12156" hidden="1" ht="18.75" customFormat="1" customHeight="1" s="311"/>
    <row r="12157" hidden="1" ht="18.75" customFormat="1" customHeight="1" s="311"/>
    <row r="12158" hidden="1" ht="18.75" customFormat="1" customHeight="1" s="311"/>
    <row r="12159" hidden="1" ht="18.75" customFormat="1" customHeight="1" s="311"/>
    <row r="12160" hidden="1" ht="18.75" customFormat="1" customHeight="1" s="311"/>
    <row r="12161" hidden="1" ht="18.75" customFormat="1" customHeight="1" s="311"/>
    <row r="12162" hidden="1" ht="18.75" customFormat="1" customHeight="1" s="311"/>
    <row r="12163" hidden="1" ht="18.75" customFormat="1" customHeight="1" s="311"/>
    <row r="12164" hidden="1" ht="18.75" customFormat="1" customHeight="1" s="311"/>
    <row r="12165" hidden="1" ht="18.75" customFormat="1" customHeight="1" s="311"/>
    <row r="12166" hidden="1" ht="18.75" customFormat="1" customHeight="1" s="311"/>
    <row r="12167" hidden="1" ht="18.75" customFormat="1" customHeight="1" s="311"/>
    <row r="12168" hidden="1" ht="18.75" customFormat="1" customHeight="1" s="311"/>
    <row r="12169" hidden="1" ht="18.75" customFormat="1" customHeight="1" s="311"/>
    <row r="12170" hidden="1" ht="18.75" customFormat="1" customHeight="1" s="311"/>
    <row r="12171" hidden="1" ht="18.75" customFormat="1" customHeight="1" s="311"/>
    <row r="12172" hidden="1" ht="18.75" customFormat="1" customHeight="1" s="311"/>
    <row r="12173" hidden="1" ht="18.75" customFormat="1" customHeight="1" s="311"/>
    <row r="12174" hidden="1" ht="18.75" customFormat="1" customHeight="1" s="311"/>
    <row r="12175" hidden="1" ht="18.75" customFormat="1" customHeight="1" s="311"/>
    <row r="12176" hidden="1" ht="18.75" customFormat="1" customHeight="1" s="311"/>
    <row r="12177" hidden="1" ht="18.75" customFormat="1" customHeight="1" s="311"/>
    <row r="12178" hidden="1" ht="18.75" customFormat="1" customHeight="1" s="311"/>
    <row r="12179" hidden="1" ht="18.75" customFormat="1" customHeight="1" s="311"/>
    <row r="12180" hidden="1" ht="18.75" customFormat="1" customHeight="1" s="311"/>
    <row r="12181" hidden="1" ht="18.75" customFormat="1" customHeight="1" s="311"/>
    <row r="12182" hidden="1" ht="18.75" customFormat="1" customHeight="1" s="311"/>
    <row r="12183" hidden="1" ht="18.75" customFormat="1" customHeight="1" s="311"/>
    <row r="12184" hidden="1" ht="18.75" customFormat="1" customHeight="1" s="311"/>
    <row r="12185" hidden="1" ht="18.75" customFormat="1" customHeight="1" s="311"/>
    <row r="12186" hidden="1" ht="18.75" customFormat="1" customHeight="1" s="311"/>
    <row r="12187" hidden="1" ht="18.75" customFormat="1" customHeight="1" s="311"/>
    <row r="12188" hidden="1" ht="18.75" customFormat="1" customHeight="1" s="311"/>
    <row r="12189" hidden="1" ht="18.75" customFormat="1" customHeight="1" s="311"/>
    <row r="12190" hidden="1" ht="18.75" customFormat="1" customHeight="1" s="311"/>
    <row r="12191" hidden="1" ht="18.75" customFormat="1" customHeight="1" s="311"/>
    <row r="12192" hidden="1" ht="18.75" customFormat="1" customHeight="1" s="311"/>
    <row r="12193" hidden="1" ht="18.75" customFormat="1" customHeight="1" s="311"/>
    <row r="12194" hidden="1" ht="18.75" customFormat="1" customHeight="1" s="311"/>
    <row r="12195" hidden="1" ht="18.75" customFormat="1" customHeight="1" s="311"/>
    <row r="12196" hidden="1" ht="18.75" customFormat="1" customHeight="1" s="311"/>
    <row r="12197" hidden="1" ht="18.75" customFormat="1" customHeight="1" s="311"/>
    <row r="12198" hidden="1" ht="18.75" customFormat="1" customHeight="1" s="311"/>
    <row r="12199" hidden="1" ht="18.75" customFormat="1" customHeight="1" s="311"/>
    <row r="12200" hidden="1" ht="18.75" customFormat="1" customHeight="1" s="311"/>
    <row r="12201" hidden="1" ht="18.75" customFormat="1" customHeight="1" s="311"/>
    <row r="12202" hidden="1" ht="18.75" customFormat="1" customHeight="1" s="311"/>
    <row r="12203" hidden="1" ht="18.75" customFormat="1" customHeight="1" s="311"/>
    <row r="12204" hidden="1" ht="18.75" customFormat="1" customHeight="1" s="311"/>
    <row r="12205" hidden="1" ht="18.75" customFormat="1" customHeight="1" s="311"/>
    <row r="12206" hidden="1" ht="18.75" customFormat="1" customHeight="1" s="311"/>
    <row r="12207" hidden="1" ht="18.75" customFormat="1" customHeight="1" s="311"/>
    <row r="12208" hidden="1" ht="18.75" customFormat="1" customHeight="1" s="311"/>
    <row r="12209" hidden="1" ht="18.75" customFormat="1" customHeight="1" s="311"/>
    <row r="12210" hidden="1" ht="18.75" customFormat="1" customHeight="1" s="311"/>
    <row r="12211" hidden="1" ht="18.75" customFormat="1" customHeight="1" s="311"/>
    <row r="12212" hidden="1" ht="18.75" customFormat="1" customHeight="1" s="311"/>
    <row r="12213" hidden="1" ht="18.75" customFormat="1" customHeight="1" s="311"/>
    <row r="12214" hidden="1" ht="18.75" customFormat="1" customHeight="1" s="311"/>
    <row r="12215" hidden="1" ht="18.75" customFormat="1" customHeight="1" s="311"/>
    <row r="12216" hidden="1" ht="18.75" customFormat="1" customHeight="1" s="311"/>
    <row r="12217" hidden="1" ht="18.75" customFormat="1" customHeight="1" s="311"/>
    <row r="12218" hidden="1" ht="18.75" customFormat="1" customHeight="1" s="311"/>
    <row r="12219" hidden="1" ht="18.75" customFormat="1" customHeight="1" s="311"/>
    <row r="12220" hidden="1" ht="18.75" customFormat="1" customHeight="1" s="311"/>
    <row r="12221" hidden="1" ht="18.75" customFormat="1" customHeight="1" s="311"/>
    <row r="12222" hidden="1" ht="18.75" customFormat="1" customHeight="1" s="311"/>
    <row r="12223" hidden="1" ht="18.75" customFormat="1" customHeight="1" s="311"/>
    <row r="12224" hidden="1" ht="18.75" customFormat="1" customHeight="1" s="311"/>
    <row r="12225" hidden="1" ht="18.75" customFormat="1" customHeight="1" s="311"/>
    <row r="12226" hidden="1" ht="18.75" customFormat="1" customHeight="1" s="311"/>
    <row r="12227" hidden="1" ht="18.75" customFormat="1" customHeight="1" s="311"/>
    <row r="12228" hidden="1" ht="18.75" customFormat="1" customHeight="1" s="311"/>
    <row r="12229" hidden="1" ht="18.75" customFormat="1" customHeight="1" s="311"/>
    <row r="12230" hidden="1" ht="18.75" customFormat="1" customHeight="1" s="311"/>
    <row r="12231" hidden="1" ht="18.75" customFormat="1" customHeight="1" s="311"/>
    <row r="12232" hidden="1" ht="18.75" customFormat="1" customHeight="1" s="311"/>
    <row r="12233" hidden="1" ht="18.75" customFormat="1" customHeight="1" s="311"/>
    <row r="12234" hidden="1" ht="18.75" customFormat="1" customHeight="1" s="311"/>
    <row r="12235" hidden="1" ht="18.75" customFormat="1" customHeight="1" s="311"/>
    <row r="12236" hidden="1" ht="18.75" customFormat="1" customHeight="1" s="311"/>
    <row r="12237" hidden="1" ht="18.75" customFormat="1" customHeight="1" s="311"/>
    <row r="12238" hidden="1" ht="18.75" customFormat="1" customHeight="1" s="311"/>
    <row r="12239" hidden="1" ht="18.75" customFormat="1" customHeight="1" s="311"/>
    <row r="12240" hidden="1" ht="18.75" customFormat="1" customHeight="1" s="311"/>
    <row r="12241" hidden="1" ht="18.75" customFormat="1" customHeight="1" s="311"/>
    <row r="12242" hidden="1" ht="18.75" customFormat="1" customHeight="1" s="311"/>
    <row r="12243" hidden="1" ht="18.75" customFormat="1" customHeight="1" s="311"/>
    <row r="12244" hidden="1" ht="18.75" customFormat="1" customHeight="1" s="311"/>
    <row r="12245" hidden="1" ht="18.75" customFormat="1" customHeight="1" s="311"/>
    <row r="12246" hidden="1" ht="18.75" customFormat="1" customHeight="1" s="311"/>
    <row r="12247" hidden="1" ht="18.75" customFormat="1" customHeight="1" s="311"/>
    <row r="12248" hidden="1" ht="18.75" customFormat="1" customHeight="1" s="311"/>
    <row r="12249" hidden="1" ht="18.75" customFormat="1" customHeight="1" s="311"/>
    <row r="12250" hidden="1" ht="18.75" customFormat="1" customHeight="1" s="311"/>
    <row r="12251" hidden="1" ht="18.75" customFormat="1" customHeight="1" s="311"/>
    <row r="12252" hidden="1" ht="18.75" customFormat="1" customHeight="1" s="311"/>
    <row r="12253" hidden="1" ht="18.75" customFormat="1" customHeight="1" s="311"/>
    <row r="12254" hidden="1" ht="18.75" customFormat="1" customHeight="1" s="311"/>
    <row r="12255" hidden="1" ht="18.75" customFormat="1" customHeight="1" s="311"/>
    <row r="12256" hidden="1" ht="18.75" customFormat="1" customHeight="1" s="311"/>
    <row r="12257" hidden="1" ht="18.75" customFormat="1" customHeight="1" s="311"/>
    <row r="12258" hidden="1" ht="18.75" customFormat="1" customHeight="1" s="311"/>
    <row r="12259" hidden="1" ht="18.75" customFormat="1" customHeight="1" s="311"/>
    <row r="12260" hidden="1" ht="18.75" customFormat="1" customHeight="1" s="311"/>
    <row r="12261" hidden="1" ht="18.75" customFormat="1" customHeight="1" s="311"/>
    <row r="12262" hidden="1" ht="18.75" customFormat="1" customHeight="1" s="311"/>
    <row r="12263" hidden="1" ht="18.75" customFormat="1" customHeight="1" s="311"/>
    <row r="12264" hidden="1" ht="18.75" customFormat="1" customHeight="1" s="311"/>
    <row r="12265" hidden="1" ht="18.75" customFormat="1" customHeight="1" s="311"/>
    <row r="12266" hidden="1" ht="18.75" customFormat="1" customHeight="1" s="311"/>
    <row r="12267" hidden="1" ht="18.75" customFormat="1" customHeight="1" s="311"/>
    <row r="12268" hidden="1" ht="18.75" customFormat="1" customHeight="1" s="311"/>
    <row r="12269" hidden="1" ht="18.75" customFormat="1" customHeight="1" s="311"/>
    <row r="12270" hidden="1" ht="18.75" customFormat="1" customHeight="1" s="311"/>
    <row r="12271" hidden="1" ht="18.75" customFormat="1" customHeight="1" s="311"/>
    <row r="12272" hidden="1" ht="18.75" customFormat="1" customHeight="1" s="311"/>
    <row r="12273" hidden="1" ht="18.75" customFormat="1" customHeight="1" s="311"/>
    <row r="12274" hidden="1" ht="18.75" customFormat="1" customHeight="1" s="311"/>
    <row r="12275" hidden="1" ht="18.75" customFormat="1" customHeight="1" s="311"/>
    <row r="12276" hidden="1" ht="18.75" customFormat="1" customHeight="1" s="311"/>
    <row r="12277" hidden="1" ht="18.75" customFormat="1" customHeight="1" s="311"/>
    <row r="12278" hidden="1" ht="18.75" customFormat="1" customHeight="1" s="311"/>
    <row r="12279" hidden="1" ht="18.75" customFormat="1" customHeight="1" s="311"/>
    <row r="12280" hidden="1" ht="18.75" customFormat="1" customHeight="1" s="311"/>
    <row r="12281" hidden="1" ht="18.75" customFormat="1" customHeight="1" s="311"/>
    <row r="12282" hidden="1" ht="18.75" customFormat="1" customHeight="1" s="311"/>
    <row r="12283" hidden="1" ht="18.75" customFormat="1" customHeight="1" s="311"/>
    <row r="12284" hidden="1" ht="18.75" customFormat="1" customHeight="1" s="311"/>
    <row r="12285" hidden="1" ht="18.75" customFormat="1" customHeight="1" s="311"/>
    <row r="12286" hidden="1" ht="18.75" customFormat="1" customHeight="1" s="311"/>
    <row r="12287" hidden="1" ht="18.75" customFormat="1" customHeight="1" s="311"/>
    <row r="12288" hidden="1" ht="18.75" customFormat="1" customHeight="1" s="311"/>
    <row r="12289" hidden="1" ht="18.75" customFormat="1" customHeight="1" s="311"/>
    <row r="12290" hidden="1" ht="18.75" customFormat="1" customHeight="1" s="311"/>
    <row r="12291" hidden="1" ht="18.75" customFormat="1" customHeight="1" s="311"/>
    <row r="12292" hidden="1" ht="18.75" customFormat="1" customHeight="1" s="311"/>
    <row r="12293" hidden="1" ht="18.75" customFormat="1" customHeight="1" s="311"/>
    <row r="12294" hidden="1" ht="18.75" customFormat="1" customHeight="1" s="311"/>
    <row r="12295" hidden="1" ht="18.75" customFormat="1" customHeight="1" s="311"/>
    <row r="12296" hidden="1" ht="18.75" customFormat="1" customHeight="1" s="311"/>
    <row r="12297" hidden="1" ht="18.75" customFormat="1" customHeight="1" s="311"/>
    <row r="12298" hidden="1" ht="18.75" customFormat="1" customHeight="1" s="311"/>
    <row r="12299" hidden="1" ht="18.75" customFormat="1" customHeight="1" s="311"/>
    <row r="12300" hidden="1" ht="18.75" customFormat="1" customHeight="1" s="311"/>
    <row r="12301" hidden="1" ht="18.75" customFormat="1" customHeight="1" s="311"/>
    <row r="12302" hidden="1" ht="18.75" customFormat="1" customHeight="1" s="311"/>
    <row r="12303" hidden="1" ht="18.75" customFormat="1" customHeight="1" s="311"/>
    <row r="12304" hidden="1" ht="18.75" customFormat="1" customHeight="1" s="311"/>
    <row r="12305" hidden="1" ht="18.75" customFormat="1" customHeight="1" s="311"/>
    <row r="12306" hidden="1" ht="18.75" customFormat="1" customHeight="1" s="311"/>
    <row r="12307" hidden="1" ht="18.75" customFormat="1" customHeight="1" s="311"/>
    <row r="12308" hidden="1" ht="18.75" customFormat="1" customHeight="1" s="311"/>
    <row r="12309" hidden="1" ht="18.75" customFormat="1" customHeight="1" s="311"/>
    <row r="12310" hidden="1" ht="18.75" customFormat="1" customHeight="1" s="311"/>
    <row r="12311" hidden="1" ht="18.75" customFormat="1" customHeight="1" s="311"/>
    <row r="12312" hidden="1" ht="18.75" customFormat="1" customHeight="1" s="311"/>
    <row r="12313" hidden="1" ht="18.75" customFormat="1" customHeight="1" s="311"/>
    <row r="12314" hidden="1" ht="18.75" customFormat="1" customHeight="1" s="311"/>
    <row r="12315" hidden="1" ht="18.75" customFormat="1" customHeight="1" s="311"/>
    <row r="12316" hidden="1" ht="18.75" customFormat="1" customHeight="1" s="311"/>
    <row r="12317" hidden="1" ht="18.75" customFormat="1" customHeight="1" s="311"/>
    <row r="12318" hidden="1" ht="18.75" customFormat="1" customHeight="1" s="311"/>
    <row r="12319" hidden="1" ht="18.75" customFormat="1" customHeight="1" s="311"/>
    <row r="12320" hidden="1" ht="18.75" customFormat="1" customHeight="1" s="311"/>
    <row r="12321" hidden="1" ht="18.75" customFormat="1" customHeight="1" s="311"/>
    <row r="12322" hidden="1" ht="18.75" customFormat="1" customHeight="1" s="311"/>
    <row r="12323" hidden="1" ht="18.75" customFormat="1" customHeight="1" s="311"/>
    <row r="12324" hidden="1" ht="18.75" customFormat="1" customHeight="1" s="311"/>
    <row r="12325" hidden="1" ht="18.75" customFormat="1" customHeight="1" s="311"/>
    <row r="12326" hidden="1" ht="18.75" customFormat="1" customHeight="1" s="311"/>
    <row r="12327" hidden="1" ht="18.75" customFormat="1" customHeight="1" s="311"/>
    <row r="12328" hidden="1" ht="18.75" customFormat="1" customHeight="1" s="311"/>
    <row r="12329" hidden="1" ht="18.75" customFormat="1" customHeight="1" s="311"/>
    <row r="12330" hidden="1" ht="18.75" customFormat="1" customHeight="1" s="311"/>
    <row r="12331" hidden="1" ht="18.75" customFormat="1" customHeight="1" s="311"/>
    <row r="12332" hidden="1" ht="18.75" customFormat="1" customHeight="1" s="311"/>
    <row r="12333" hidden="1" ht="18.75" customFormat="1" customHeight="1" s="311"/>
    <row r="12334" hidden="1" ht="18.75" customFormat="1" customHeight="1" s="311"/>
    <row r="12335" hidden="1" ht="18.75" customFormat="1" customHeight="1" s="311"/>
    <row r="12336" hidden="1" ht="18.75" customFormat="1" customHeight="1" s="311"/>
    <row r="12337" hidden="1" ht="18.75" customFormat="1" customHeight="1" s="311"/>
    <row r="12338" hidden="1" ht="18.75" customFormat="1" customHeight="1" s="311"/>
    <row r="12339" hidden="1" ht="18.75" customFormat="1" customHeight="1" s="311"/>
    <row r="12340" hidden="1" ht="18.75" customFormat="1" customHeight="1" s="311"/>
    <row r="12341" hidden="1" ht="18.75" customFormat="1" customHeight="1" s="311"/>
    <row r="12342" hidden="1" ht="18.75" customFormat="1" customHeight="1" s="311"/>
    <row r="12343" hidden="1" ht="18.75" customFormat="1" customHeight="1" s="311"/>
    <row r="12344" hidden="1" ht="18.75" customFormat="1" customHeight="1" s="311"/>
    <row r="12345" hidden="1" ht="18.75" customFormat="1" customHeight="1" s="311"/>
    <row r="12346" hidden="1" ht="18.75" customFormat="1" customHeight="1" s="311"/>
    <row r="12347" hidden="1" ht="18.75" customFormat="1" customHeight="1" s="311"/>
    <row r="12348" hidden="1" ht="18.75" customFormat="1" customHeight="1" s="311"/>
    <row r="12349" hidden="1" ht="18.75" customFormat="1" customHeight="1" s="311"/>
    <row r="12350" hidden="1" ht="18.75" customFormat="1" customHeight="1" s="311"/>
    <row r="12351" hidden="1" ht="18.75" customFormat="1" customHeight="1" s="311"/>
    <row r="12352" hidden="1" ht="18.75" customFormat="1" customHeight="1" s="311"/>
    <row r="12353" hidden="1" ht="18.75" customFormat="1" customHeight="1" s="311"/>
    <row r="12354" hidden="1" ht="18.75" customFormat="1" customHeight="1" s="311"/>
    <row r="12355" hidden="1" ht="18.75" customFormat="1" customHeight="1" s="311"/>
    <row r="12356" hidden="1" ht="18.75" customFormat="1" customHeight="1" s="311"/>
    <row r="12357" hidden="1" ht="18.75" customFormat="1" customHeight="1" s="311"/>
    <row r="12358" hidden="1" ht="18.75" customFormat="1" customHeight="1" s="311"/>
    <row r="12359" hidden="1" ht="18.75" customFormat="1" customHeight="1" s="311"/>
    <row r="12360" hidden="1" ht="18.75" customFormat="1" customHeight="1" s="311"/>
    <row r="12361" hidden="1" ht="18.75" customFormat="1" customHeight="1" s="311"/>
    <row r="12362" hidden="1" ht="18.75" customFormat="1" customHeight="1" s="311"/>
    <row r="12363" hidden="1" ht="18.75" customFormat="1" customHeight="1" s="311"/>
    <row r="12364" hidden="1" ht="18.75" customFormat="1" customHeight="1" s="311"/>
    <row r="12365" hidden="1" ht="18.75" customFormat="1" customHeight="1" s="311"/>
    <row r="12366" hidden="1" ht="18.75" customFormat="1" customHeight="1" s="311"/>
    <row r="12367" hidden="1" ht="18.75" customFormat="1" customHeight="1" s="311"/>
    <row r="12368" hidden="1" ht="18.75" customFormat="1" customHeight="1" s="311"/>
    <row r="12369" hidden="1" ht="18.75" customFormat="1" customHeight="1" s="311"/>
    <row r="12370" hidden="1" ht="18.75" customFormat="1" customHeight="1" s="311"/>
    <row r="12371" hidden="1" ht="18.75" customFormat="1" customHeight="1" s="311"/>
    <row r="12372" hidden="1" ht="18.75" customFormat="1" customHeight="1" s="311"/>
    <row r="12373" hidden="1" ht="18.75" customFormat="1" customHeight="1" s="311"/>
    <row r="12374" hidden="1" ht="18.75" customFormat="1" customHeight="1" s="311"/>
    <row r="12375" hidden="1" ht="18.75" customFormat="1" customHeight="1" s="311"/>
    <row r="12376" hidden="1" ht="18.75" customFormat="1" customHeight="1" s="311"/>
    <row r="12377" hidden="1" ht="18.75" customFormat="1" customHeight="1" s="311"/>
    <row r="12378" hidden="1" ht="18.75" customFormat="1" customHeight="1" s="311"/>
    <row r="12379" hidden="1" ht="18.75" customFormat="1" customHeight="1" s="311"/>
    <row r="12380" hidden="1" ht="18.75" customFormat="1" customHeight="1" s="311"/>
    <row r="12381" hidden="1" ht="18.75" customFormat="1" customHeight="1" s="311"/>
    <row r="12382" hidden="1" ht="18.75" customFormat="1" customHeight="1" s="311"/>
    <row r="12383" hidden="1" ht="18.75" customFormat="1" customHeight="1" s="311"/>
    <row r="12384" hidden="1" ht="18.75" customFormat="1" customHeight="1" s="311"/>
    <row r="12385" hidden="1" ht="18.75" customFormat="1" customHeight="1" s="311"/>
    <row r="12386" hidden="1" ht="18.75" customFormat="1" customHeight="1" s="311"/>
    <row r="12387" hidden="1" ht="18.75" customFormat="1" customHeight="1" s="311"/>
    <row r="12388" hidden="1" ht="18.75" customFormat="1" customHeight="1" s="311"/>
    <row r="12389" hidden="1" ht="18.75" customFormat="1" customHeight="1" s="311"/>
    <row r="12390" hidden="1" ht="18.75" customFormat="1" customHeight="1" s="311"/>
    <row r="12391" hidden="1" ht="18.75" customFormat="1" customHeight="1" s="311"/>
    <row r="12392" hidden="1" ht="18.75" customFormat="1" customHeight="1" s="311"/>
    <row r="12393" hidden="1" ht="18.75" customFormat="1" customHeight="1" s="311"/>
    <row r="12394" hidden="1" ht="18.75" customFormat="1" customHeight="1" s="311"/>
    <row r="12395" hidden="1" ht="18.75" customFormat="1" customHeight="1" s="311"/>
    <row r="12396" hidden="1" ht="18.75" customFormat="1" customHeight="1" s="311"/>
    <row r="12397" hidden="1" ht="18.75" customFormat="1" customHeight="1" s="311"/>
    <row r="12398" hidden="1" ht="18.75" customFormat="1" customHeight="1" s="311"/>
    <row r="12399" hidden="1" ht="18.75" customFormat="1" customHeight="1" s="311"/>
    <row r="12400" hidden="1" ht="18.75" customFormat="1" customHeight="1" s="311"/>
    <row r="12401" hidden="1" ht="18.75" customFormat="1" customHeight="1" s="311"/>
    <row r="12402" hidden="1" ht="18.75" customFormat="1" customHeight="1" s="311"/>
    <row r="12403" hidden="1" ht="18.75" customFormat="1" customHeight="1" s="311"/>
    <row r="12404" hidden="1" ht="18.75" customFormat="1" customHeight="1" s="311"/>
    <row r="12405" hidden="1" ht="18.75" customFormat="1" customHeight="1" s="311"/>
    <row r="12406" hidden="1" ht="18.75" customFormat="1" customHeight="1" s="311"/>
    <row r="12407" hidden="1" ht="18.75" customFormat="1" customHeight="1" s="311"/>
    <row r="12408" hidden="1" ht="18.75" customFormat="1" customHeight="1" s="311"/>
    <row r="12409" hidden="1" ht="18.75" customFormat="1" customHeight="1" s="311"/>
    <row r="12410" hidden="1" ht="18.75" customFormat="1" customHeight="1" s="311"/>
    <row r="12411" hidden="1" ht="18.75" customFormat="1" customHeight="1" s="311"/>
    <row r="12412" hidden="1" ht="18.75" customFormat="1" customHeight="1" s="311"/>
    <row r="12413" hidden="1" ht="18.75" customFormat="1" customHeight="1" s="311"/>
    <row r="12414" hidden="1" ht="18.75" customFormat="1" customHeight="1" s="311"/>
    <row r="12415" hidden="1" ht="18.75" customFormat="1" customHeight="1" s="311"/>
    <row r="12416" hidden="1" ht="18.75" customFormat="1" customHeight="1" s="311"/>
    <row r="12417" hidden="1" ht="18.75" customFormat="1" customHeight="1" s="311"/>
    <row r="12418" hidden="1" ht="18.75" customFormat="1" customHeight="1" s="311"/>
    <row r="12419" hidden="1" ht="18.75" customFormat="1" customHeight="1" s="311"/>
    <row r="12420" hidden="1" ht="18.75" customFormat="1" customHeight="1" s="311"/>
    <row r="12421" hidden="1" ht="18.75" customFormat="1" customHeight="1" s="311"/>
    <row r="12422" hidden="1" ht="18.75" customFormat="1" customHeight="1" s="311"/>
    <row r="12423" hidden="1" ht="18.75" customFormat="1" customHeight="1" s="311"/>
    <row r="12424" hidden="1" ht="18.75" customFormat="1" customHeight="1" s="311"/>
    <row r="12425" hidden="1" ht="18.75" customFormat="1" customHeight="1" s="311"/>
    <row r="12426" hidden="1" ht="18.75" customFormat="1" customHeight="1" s="311"/>
    <row r="12427" hidden="1" ht="18.75" customFormat="1" customHeight="1" s="311"/>
    <row r="12428" hidden="1" ht="18.75" customFormat="1" customHeight="1" s="311"/>
    <row r="12429" hidden="1" ht="18.75" customFormat="1" customHeight="1" s="311"/>
    <row r="12430" hidden="1" ht="18.75" customFormat="1" customHeight="1" s="311"/>
    <row r="12431" hidden="1" ht="18.75" customFormat="1" customHeight="1" s="311"/>
    <row r="12432" hidden="1" ht="18.75" customFormat="1" customHeight="1" s="311"/>
    <row r="12433" hidden="1" ht="18.75" customFormat="1" customHeight="1" s="311"/>
    <row r="12434" hidden="1" ht="18.75" customFormat="1" customHeight="1" s="311"/>
    <row r="12435" hidden="1" ht="18.75" customFormat="1" customHeight="1" s="311"/>
    <row r="12436" hidden="1" ht="18.75" customFormat="1" customHeight="1" s="311"/>
    <row r="12437" hidden="1" ht="18.75" customFormat="1" customHeight="1" s="311"/>
    <row r="12438" hidden="1" ht="18.75" customFormat="1" customHeight="1" s="311"/>
    <row r="12439" hidden="1" ht="18.75" customFormat="1" customHeight="1" s="311"/>
    <row r="12440" hidden="1" ht="18.75" customFormat="1" customHeight="1" s="311"/>
    <row r="12441" hidden="1" ht="18.75" customFormat="1" customHeight="1" s="311"/>
    <row r="12442" hidden="1" ht="18.75" customFormat="1" customHeight="1" s="311"/>
    <row r="12443" hidden="1" ht="18.75" customFormat="1" customHeight="1" s="311"/>
    <row r="12444" hidden="1" ht="18.75" customFormat="1" customHeight="1" s="311"/>
    <row r="12445" hidden="1" ht="18.75" customFormat="1" customHeight="1" s="311"/>
    <row r="12446" hidden="1" ht="18.75" customFormat="1" customHeight="1" s="311"/>
    <row r="12447" hidden="1" ht="18.75" customFormat="1" customHeight="1" s="311"/>
    <row r="12448" hidden="1" ht="18.75" customFormat="1" customHeight="1" s="311"/>
    <row r="12449" hidden="1" ht="18.75" customFormat="1" customHeight="1" s="311"/>
    <row r="12450" hidden="1" ht="18.75" customFormat="1" customHeight="1" s="311"/>
    <row r="12451" hidden="1" ht="18.75" customFormat="1" customHeight="1" s="311"/>
    <row r="12452" hidden="1" ht="18.75" customFormat="1" customHeight="1" s="311"/>
    <row r="12453" hidden="1" ht="18.75" customFormat="1" customHeight="1" s="311"/>
    <row r="12454" hidden="1" ht="18.75" customFormat="1" customHeight="1" s="311"/>
    <row r="12455" hidden="1" ht="18.75" customFormat="1" customHeight="1" s="311"/>
    <row r="12456" hidden="1" ht="18.75" customFormat="1" customHeight="1" s="311"/>
    <row r="12457" hidden="1" ht="18.75" customFormat="1" customHeight="1" s="311"/>
    <row r="12458" hidden="1" ht="18.75" customFormat="1" customHeight="1" s="311"/>
    <row r="12459" hidden="1" ht="18.75" customFormat="1" customHeight="1" s="311"/>
    <row r="12460" hidden="1" ht="18.75" customFormat="1" customHeight="1" s="311"/>
    <row r="12461" hidden="1" ht="18.75" customFormat="1" customHeight="1" s="311"/>
    <row r="12462" hidden="1" ht="18.75" customFormat="1" customHeight="1" s="311"/>
    <row r="12463" hidden="1" ht="18.75" customFormat="1" customHeight="1" s="311"/>
    <row r="12464" hidden="1" ht="18.75" customFormat="1" customHeight="1" s="311"/>
    <row r="12465" hidden="1" ht="18.75" customFormat="1" customHeight="1" s="311"/>
    <row r="12466" hidden="1" ht="18.75" customFormat="1" customHeight="1" s="311"/>
    <row r="12467" hidden="1" ht="18.75" customFormat="1" customHeight="1" s="311"/>
    <row r="12468" hidden="1" ht="18.75" customFormat="1" customHeight="1" s="311"/>
    <row r="12469" hidden="1" ht="18.75" customFormat="1" customHeight="1" s="311"/>
    <row r="12470" hidden="1" ht="18.75" customFormat="1" customHeight="1" s="311"/>
    <row r="12471" hidden="1" ht="18.75" customFormat="1" customHeight="1" s="311"/>
    <row r="12472" hidden="1" ht="18.75" customFormat="1" customHeight="1" s="311"/>
    <row r="12473" hidden="1" ht="18.75" customFormat="1" customHeight="1" s="311"/>
    <row r="12474" hidden="1" ht="18.75" customFormat="1" customHeight="1" s="311"/>
    <row r="12475" hidden="1" ht="18.75" customFormat="1" customHeight="1" s="311"/>
    <row r="12476" hidden="1" ht="18.75" customFormat="1" customHeight="1" s="311"/>
    <row r="12477" hidden="1" ht="18.75" customFormat="1" customHeight="1" s="311"/>
    <row r="12478" hidden="1" ht="18.75" customFormat="1" customHeight="1" s="311"/>
    <row r="12479" hidden="1" ht="18.75" customFormat="1" customHeight="1" s="311"/>
    <row r="12480" hidden="1" ht="18.75" customFormat="1" customHeight="1" s="311"/>
    <row r="12481" hidden="1" ht="18.75" customFormat="1" customHeight="1" s="311"/>
    <row r="12482" hidden="1" ht="18.75" customFormat="1" customHeight="1" s="311"/>
    <row r="12483" hidden="1" ht="18.75" customFormat="1" customHeight="1" s="311"/>
    <row r="12484" hidden="1" ht="18.75" customFormat="1" customHeight="1" s="311"/>
    <row r="12485" hidden="1" ht="18.75" customFormat="1" customHeight="1" s="311"/>
    <row r="12486" hidden="1" ht="18.75" customFormat="1" customHeight="1" s="311"/>
    <row r="12487" hidden="1" ht="18.75" customFormat="1" customHeight="1" s="311"/>
    <row r="12488" hidden="1" ht="18.75" customFormat="1" customHeight="1" s="311"/>
    <row r="12489" hidden="1" ht="18.75" customFormat="1" customHeight="1" s="311"/>
    <row r="12490" hidden="1" ht="18.75" customFormat="1" customHeight="1" s="311"/>
    <row r="12491" hidden="1" ht="18.75" customFormat="1" customHeight="1" s="311"/>
    <row r="12492" hidden="1" ht="18.75" customFormat="1" customHeight="1" s="311"/>
    <row r="12493" hidden="1" ht="18.75" customFormat="1" customHeight="1" s="311"/>
    <row r="12494" hidden="1" ht="18.75" customFormat="1" customHeight="1" s="311"/>
    <row r="12495" hidden="1" ht="18.75" customFormat="1" customHeight="1" s="311"/>
    <row r="12496" hidden="1" ht="18.75" customFormat="1" customHeight="1" s="311"/>
    <row r="12497" hidden="1" ht="18.75" customFormat="1" customHeight="1" s="311"/>
    <row r="12498" hidden="1" ht="18.75" customFormat="1" customHeight="1" s="311"/>
    <row r="12499" hidden="1" ht="18.75" customFormat="1" customHeight="1" s="311"/>
    <row r="12500" hidden="1" ht="18.75" customFormat="1" customHeight="1" s="311"/>
    <row r="12501" hidden="1" ht="18.75" customFormat="1" customHeight="1" s="311"/>
    <row r="12502" hidden="1" ht="18.75" customFormat="1" customHeight="1" s="311"/>
    <row r="12503" hidden="1" ht="18.75" customFormat="1" customHeight="1" s="311"/>
    <row r="12504" hidden="1" ht="18.75" customFormat="1" customHeight="1" s="311"/>
    <row r="12505" hidden="1" ht="18.75" customFormat="1" customHeight="1" s="311"/>
    <row r="12506" hidden="1" ht="18.75" customFormat="1" customHeight="1" s="311"/>
    <row r="12507" hidden="1" ht="18.75" customFormat="1" customHeight="1" s="311"/>
    <row r="12508" hidden="1" ht="18.75" customFormat="1" customHeight="1" s="311"/>
    <row r="12509" hidden="1" ht="18.75" customFormat="1" customHeight="1" s="311"/>
    <row r="12510" hidden="1" ht="18.75" customFormat="1" customHeight="1" s="311"/>
    <row r="12511" hidden="1" ht="18.75" customFormat="1" customHeight="1" s="311"/>
    <row r="12512" hidden="1" ht="18.75" customFormat="1" customHeight="1" s="311"/>
    <row r="12513" hidden="1" ht="18.75" customFormat="1" customHeight="1" s="311"/>
    <row r="12514" hidden="1" ht="18.75" customFormat="1" customHeight="1" s="311"/>
    <row r="12515" hidden="1" ht="18.75" customFormat="1" customHeight="1" s="311"/>
    <row r="12516" hidden="1" ht="18.75" customFormat="1" customHeight="1" s="311"/>
    <row r="12517" hidden="1" ht="18.75" customFormat="1" customHeight="1" s="311"/>
    <row r="12518" hidden="1" ht="18.75" customFormat="1" customHeight="1" s="311"/>
    <row r="12519" hidden="1" ht="18.75" customFormat="1" customHeight="1" s="311"/>
    <row r="12520" hidden="1" ht="18.75" customFormat="1" customHeight="1" s="311"/>
    <row r="12521" hidden="1" ht="18.75" customFormat="1" customHeight="1" s="311"/>
    <row r="12522" hidden="1" ht="18.75" customFormat="1" customHeight="1" s="311"/>
    <row r="12523" hidden="1" ht="18.75" customFormat="1" customHeight="1" s="311"/>
    <row r="12524" hidden="1" ht="18.75" customFormat="1" customHeight="1" s="311"/>
    <row r="12525" hidden="1" ht="18.75" customFormat="1" customHeight="1" s="311"/>
    <row r="12526" hidden="1" ht="18.75" customFormat="1" customHeight="1" s="311"/>
    <row r="12527" hidden="1" ht="18.75" customFormat="1" customHeight="1" s="311"/>
    <row r="12528" hidden="1" ht="18.75" customFormat="1" customHeight="1" s="311"/>
    <row r="12529" hidden="1" ht="18.75" customFormat="1" customHeight="1" s="311"/>
    <row r="12530" hidden="1" ht="18.75" customFormat="1" customHeight="1" s="311"/>
    <row r="12531" hidden="1" ht="18.75" customFormat="1" customHeight="1" s="311"/>
    <row r="12532" hidden="1" ht="18.75" customFormat="1" customHeight="1" s="311"/>
    <row r="12533" hidden="1" ht="18.75" customFormat="1" customHeight="1" s="311"/>
    <row r="12534" hidden="1" ht="18.75" customFormat="1" customHeight="1" s="311"/>
    <row r="12535" hidden="1" ht="18.75" customFormat="1" customHeight="1" s="311"/>
    <row r="12536" hidden="1" ht="18.75" customFormat="1" customHeight="1" s="311"/>
    <row r="12537" hidden="1" ht="18.75" customFormat="1" customHeight="1" s="311"/>
    <row r="12538" hidden="1" ht="18.75" customFormat="1" customHeight="1" s="311"/>
    <row r="12539" hidden="1" ht="18.75" customFormat="1" customHeight="1" s="311"/>
    <row r="12540" hidden="1" ht="18.75" customFormat="1" customHeight="1" s="311"/>
    <row r="12541" hidden="1" ht="18.75" customFormat="1" customHeight="1" s="311"/>
    <row r="12542" hidden="1" ht="18.75" customFormat="1" customHeight="1" s="311"/>
    <row r="12543" hidden="1" ht="18.75" customFormat="1" customHeight="1" s="311"/>
    <row r="12544" hidden="1" ht="18.75" customFormat="1" customHeight="1" s="311"/>
    <row r="12545" hidden="1" ht="18.75" customFormat="1" customHeight="1" s="311"/>
    <row r="12546" hidden="1" ht="18.75" customFormat="1" customHeight="1" s="311"/>
    <row r="12547" hidden="1" ht="18.75" customFormat="1" customHeight="1" s="311"/>
    <row r="12548" hidden="1" ht="18.75" customFormat="1" customHeight="1" s="311"/>
    <row r="12549" hidden="1" ht="18.75" customFormat="1" customHeight="1" s="311"/>
    <row r="12550" hidden="1" ht="18.75" customFormat="1" customHeight="1" s="311"/>
    <row r="12551" hidden="1" ht="18.75" customFormat="1" customHeight="1" s="311"/>
    <row r="12552" hidden="1" ht="18.75" customFormat="1" customHeight="1" s="311"/>
    <row r="12553" hidden="1" ht="18.75" customFormat="1" customHeight="1" s="311"/>
    <row r="12554" hidden="1" ht="18.75" customFormat="1" customHeight="1" s="311"/>
    <row r="12555" hidden="1" ht="18.75" customFormat="1" customHeight="1" s="311"/>
    <row r="12556" hidden="1" ht="18.75" customFormat="1" customHeight="1" s="311"/>
    <row r="12557" hidden="1" ht="18.75" customFormat="1" customHeight="1" s="311"/>
    <row r="12558" hidden="1" ht="18.75" customFormat="1" customHeight="1" s="311"/>
    <row r="12559" hidden="1" ht="18.75" customFormat="1" customHeight="1" s="311"/>
    <row r="12560" hidden="1" ht="18.75" customFormat="1" customHeight="1" s="311"/>
    <row r="12561" hidden="1" ht="18.75" customFormat="1" customHeight="1" s="311"/>
    <row r="12562" hidden="1" ht="18.75" customFormat="1" customHeight="1" s="311"/>
    <row r="12563" hidden="1" ht="18.75" customFormat="1" customHeight="1" s="311"/>
    <row r="12564" hidden="1" ht="18.75" customFormat="1" customHeight="1" s="311"/>
    <row r="12565" hidden="1" ht="18.75" customFormat="1" customHeight="1" s="311"/>
    <row r="12566" hidden="1" ht="18.75" customFormat="1" customHeight="1" s="311"/>
    <row r="12567" hidden="1" ht="18.75" customFormat="1" customHeight="1" s="311"/>
    <row r="12568" hidden="1" ht="18.75" customFormat="1" customHeight="1" s="311"/>
    <row r="12569" hidden="1" ht="18.75" customFormat="1" customHeight="1" s="311"/>
    <row r="12570" hidden="1" ht="18.75" customFormat="1" customHeight="1" s="311"/>
    <row r="12571" hidden="1" ht="18.75" customFormat="1" customHeight="1" s="311"/>
    <row r="12572" hidden="1" ht="18.75" customFormat="1" customHeight="1" s="311"/>
    <row r="12573" hidden="1" ht="18.75" customFormat="1" customHeight="1" s="311"/>
    <row r="12574" hidden="1" ht="18.75" customFormat="1" customHeight="1" s="311"/>
    <row r="12575" hidden="1" ht="18.75" customFormat="1" customHeight="1" s="311"/>
    <row r="12576" hidden="1" ht="18.75" customFormat="1" customHeight="1" s="311"/>
    <row r="12577" hidden="1" ht="18.75" customFormat="1" customHeight="1" s="311"/>
    <row r="12578" hidden="1" ht="18.75" customFormat="1" customHeight="1" s="311"/>
    <row r="12579" hidden="1" ht="18.75" customFormat="1" customHeight="1" s="311"/>
    <row r="12580" hidden="1" ht="18.75" customFormat="1" customHeight="1" s="311"/>
    <row r="12581" hidden="1" ht="18.75" customFormat="1" customHeight="1" s="311"/>
    <row r="12582" hidden="1" ht="18.75" customFormat="1" customHeight="1" s="311"/>
    <row r="12583" hidden="1" ht="18.75" customFormat="1" customHeight="1" s="311"/>
    <row r="12584" hidden="1" ht="18.75" customFormat="1" customHeight="1" s="311"/>
    <row r="12585" hidden="1" ht="18.75" customFormat="1" customHeight="1" s="311"/>
    <row r="12586" hidden="1" ht="18.75" customFormat="1" customHeight="1" s="311"/>
    <row r="12587" hidden="1" ht="18.75" customFormat="1" customHeight="1" s="311"/>
    <row r="12588" hidden="1" ht="18.75" customFormat="1" customHeight="1" s="311"/>
    <row r="12589" hidden="1" ht="18.75" customFormat="1" customHeight="1" s="311"/>
    <row r="12590" hidden="1" ht="18.75" customFormat="1" customHeight="1" s="311"/>
    <row r="12591" hidden="1" ht="18.75" customFormat="1" customHeight="1" s="311"/>
    <row r="12592" hidden="1" ht="18.75" customFormat="1" customHeight="1" s="311"/>
    <row r="12593" hidden="1" ht="18.75" customFormat="1" customHeight="1" s="311"/>
    <row r="12594" hidden="1" ht="18.75" customFormat="1" customHeight="1" s="311"/>
    <row r="12595" hidden="1" ht="18.75" customFormat="1" customHeight="1" s="311"/>
    <row r="12596" hidden="1" ht="18.75" customFormat="1" customHeight="1" s="311"/>
    <row r="12597" hidden="1" ht="18.75" customFormat="1" customHeight="1" s="311"/>
    <row r="12598" hidden="1" ht="18.75" customFormat="1" customHeight="1" s="311"/>
    <row r="12599" hidden="1" ht="18.75" customFormat="1" customHeight="1" s="311"/>
    <row r="12600" hidden="1" ht="18.75" customFormat="1" customHeight="1" s="311"/>
    <row r="12601" hidden="1" ht="18.75" customFormat="1" customHeight="1" s="311"/>
    <row r="12602" hidden="1" ht="18.75" customFormat="1" customHeight="1" s="311"/>
    <row r="12603" hidden="1" ht="18.75" customFormat="1" customHeight="1" s="311"/>
    <row r="12604" hidden="1" ht="18.75" customFormat="1" customHeight="1" s="311"/>
    <row r="12605" hidden="1" ht="18.75" customFormat="1" customHeight="1" s="311"/>
    <row r="12606" hidden="1" ht="18.75" customFormat="1" customHeight="1" s="311"/>
    <row r="12607" hidden="1" ht="18.75" customFormat="1" customHeight="1" s="311"/>
    <row r="12608" hidden="1" ht="18.75" customFormat="1" customHeight="1" s="311"/>
    <row r="12609" hidden="1" ht="18.75" customFormat="1" customHeight="1" s="311"/>
    <row r="12610" hidden="1" ht="18.75" customFormat="1" customHeight="1" s="311"/>
    <row r="12611" hidden="1" ht="18.75" customFormat="1" customHeight="1" s="311"/>
    <row r="12612" hidden="1" ht="18.75" customFormat="1" customHeight="1" s="311"/>
    <row r="12613" hidden="1" ht="18.75" customFormat="1" customHeight="1" s="311"/>
    <row r="12614" hidden="1" ht="18.75" customFormat="1" customHeight="1" s="311"/>
    <row r="12615" hidden="1" ht="18.75" customFormat="1" customHeight="1" s="311"/>
    <row r="12616" hidden="1" ht="18.75" customFormat="1" customHeight="1" s="311"/>
    <row r="12617" hidden="1" ht="18.75" customFormat="1" customHeight="1" s="311"/>
    <row r="12618" hidden="1" ht="18.75" customFormat="1" customHeight="1" s="311"/>
    <row r="12619" hidden="1" ht="18.75" customFormat="1" customHeight="1" s="311"/>
    <row r="12620" hidden="1" ht="18.75" customFormat="1" customHeight="1" s="311"/>
    <row r="12621" hidden="1" ht="18.75" customFormat="1" customHeight="1" s="311"/>
    <row r="12622" hidden="1" ht="18.75" customFormat="1" customHeight="1" s="311"/>
    <row r="12623" hidden="1" ht="18.75" customFormat="1" customHeight="1" s="311"/>
    <row r="12624" hidden="1" ht="18.75" customFormat="1" customHeight="1" s="311"/>
    <row r="12625" hidden="1" ht="18.75" customFormat="1" customHeight="1" s="311"/>
    <row r="12626" hidden="1" ht="18.75" customFormat="1" customHeight="1" s="311"/>
    <row r="12627" hidden="1" ht="18.75" customFormat="1" customHeight="1" s="311"/>
    <row r="12628" hidden="1" ht="18.75" customFormat="1" customHeight="1" s="311"/>
    <row r="12629" hidden="1" ht="18.75" customFormat="1" customHeight="1" s="311"/>
    <row r="12630" hidden="1" ht="18.75" customFormat="1" customHeight="1" s="311"/>
    <row r="12631" hidden="1" ht="18.75" customFormat="1" customHeight="1" s="311"/>
    <row r="12632" hidden="1" ht="18.75" customFormat="1" customHeight="1" s="311"/>
    <row r="12633" hidden="1" ht="18.75" customFormat="1" customHeight="1" s="311"/>
    <row r="12634" hidden="1" ht="18.75" customFormat="1" customHeight="1" s="311"/>
    <row r="12635" hidden="1" ht="18.75" customFormat="1" customHeight="1" s="311"/>
    <row r="12636" hidden="1" ht="18.75" customFormat="1" customHeight="1" s="311"/>
    <row r="12637" hidden="1" ht="18.75" customFormat="1" customHeight="1" s="311"/>
    <row r="12638" hidden="1" ht="18.75" customFormat="1" customHeight="1" s="311"/>
    <row r="12639" hidden="1" ht="18.75" customFormat="1" customHeight="1" s="311"/>
    <row r="12640" hidden="1" ht="18.75" customFormat="1" customHeight="1" s="311"/>
    <row r="12641" hidden="1" ht="18.75" customFormat="1" customHeight="1" s="311"/>
    <row r="12642" hidden="1" ht="18.75" customFormat="1" customHeight="1" s="311"/>
    <row r="12643" hidden="1" ht="18.75" customFormat="1" customHeight="1" s="311"/>
    <row r="12644" hidden="1" ht="18.75" customFormat="1" customHeight="1" s="311"/>
    <row r="12645" hidden="1" ht="18.75" customFormat="1" customHeight="1" s="311"/>
    <row r="12646" hidden="1" ht="18.75" customFormat="1" customHeight="1" s="311"/>
    <row r="12647" hidden="1" ht="18.75" customFormat="1" customHeight="1" s="311"/>
    <row r="12648" hidden="1" ht="18.75" customFormat="1" customHeight="1" s="311"/>
    <row r="12649" hidden="1" ht="18.75" customFormat="1" customHeight="1" s="311"/>
    <row r="12650" hidden="1" ht="18.75" customFormat="1" customHeight="1" s="311"/>
    <row r="12651" hidden="1" ht="18.75" customFormat="1" customHeight="1" s="311"/>
    <row r="12652" hidden="1" ht="18.75" customFormat="1" customHeight="1" s="311"/>
    <row r="12653" hidden="1" ht="18.75" customFormat="1" customHeight="1" s="311"/>
    <row r="12654" hidden="1" ht="18.75" customFormat="1" customHeight="1" s="311"/>
    <row r="12655" hidden="1" ht="18.75" customFormat="1" customHeight="1" s="311"/>
    <row r="12656" hidden="1" ht="18.75" customFormat="1" customHeight="1" s="311"/>
    <row r="12657" hidden="1" ht="18.75" customFormat="1" customHeight="1" s="311"/>
    <row r="12658" hidden="1" ht="18.75" customFormat="1" customHeight="1" s="311"/>
    <row r="12659" hidden="1" ht="18.75" customFormat="1" customHeight="1" s="311"/>
    <row r="12660" hidden="1" ht="18.75" customFormat="1" customHeight="1" s="311"/>
    <row r="12661" hidden="1" ht="18.75" customFormat="1" customHeight="1" s="311"/>
    <row r="12662" hidden="1" ht="18.75" customFormat="1" customHeight="1" s="311"/>
    <row r="12663" hidden="1" ht="18.75" customFormat="1" customHeight="1" s="311"/>
    <row r="12664" hidden="1" ht="18.75" customFormat="1" customHeight="1" s="311"/>
    <row r="12665" hidden="1" ht="18.75" customFormat="1" customHeight="1" s="311"/>
    <row r="12666" hidden="1" ht="18.75" customFormat="1" customHeight="1" s="311"/>
    <row r="12667" hidden="1" ht="18.75" customFormat="1" customHeight="1" s="311"/>
    <row r="12668" hidden="1" ht="18.75" customFormat="1" customHeight="1" s="311"/>
    <row r="12669" hidden="1" ht="18.75" customFormat="1" customHeight="1" s="311"/>
    <row r="12670" hidden="1" ht="18.75" customFormat="1" customHeight="1" s="311"/>
    <row r="12671" hidden="1" ht="18.75" customFormat="1" customHeight="1" s="311"/>
    <row r="12672" hidden="1" ht="18.75" customFormat="1" customHeight="1" s="311"/>
    <row r="12673" hidden="1" ht="18.75" customFormat="1" customHeight="1" s="311"/>
    <row r="12674" hidden="1" ht="18.75" customFormat="1" customHeight="1" s="311"/>
    <row r="12675" hidden="1" ht="18.75" customFormat="1" customHeight="1" s="311"/>
    <row r="12676" hidden="1" ht="18.75" customFormat="1" customHeight="1" s="311"/>
    <row r="12677" hidden="1" ht="18.75" customFormat="1" customHeight="1" s="311"/>
    <row r="12678" hidden="1" ht="18.75" customFormat="1" customHeight="1" s="311"/>
    <row r="12679" hidden="1" ht="18.75" customFormat="1" customHeight="1" s="311"/>
    <row r="12680" hidden="1" ht="18.75" customFormat="1" customHeight="1" s="311"/>
    <row r="12681" hidden="1" ht="18.75" customFormat="1" customHeight="1" s="311"/>
    <row r="12682" hidden="1" ht="18.75" customFormat="1" customHeight="1" s="311"/>
    <row r="12683" hidden="1" ht="18.75" customFormat="1" customHeight="1" s="311"/>
    <row r="12684" hidden="1" ht="18.75" customFormat="1" customHeight="1" s="311"/>
    <row r="12685" hidden="1" ht="18.75" customFormat="1" customHeight="1" s="311"/>
    <row r="12686" hidden="1" ht="18.75" customFormat="1" customHeight="1" s="311"/>
    <row r="12687" hidden="1" ht="18.75" customFormat="1" customHeight="1" s="311"/>
    <row r="12688" hidden="1" ht="18.75" customFormat="1" customHeight="1" s="311"/>
    <row r="12689" hidden="1" ht="18.75" customFormat="1" customHeight="1" s="311"/>
    <row r="12690" hidden="1" ht="18.75" customFormat="1" customHeight="1" s="311"/>
    <row r="12691" hidden="1" ht="18.75" customFormat="1" customHeight="1" s="311"/>
    <row r="12692" hidden="1" ht="18.75" customFormat="1" customHeight="1" s="311"/>
    <row r="12693" hidden="1" ht="18.75" customFormat="1" customHeight="1" s="311"/>
    <row r="12694" hidden="1" ht="18.75" customFormat="1" customHeight="1" s="311"/>
    <row r="12695" hidden="1" ht="18.75" customFormat="1" customHeight="1" s="311"/>
    <row r="12696" hidden="1" ht="18.75" customFormat="1" customHeight="1" s="311"/>
    <row r="12697" hidden="1" ht="18.75" customFormat="1" customHeight="1" s="311"/>
    <row r="12698" hidden="1" ht="18.75" customFormat="1" customHeight="1" s="311"/>
    <row r="12699" hidden="1" ht="18.75" customFormat="1" customHeight="1" s="311"/>
    <row r="12700" hidden="1" ht="18.75" customFormat="1" customHeight="1" s="311"/>
    <row r="12701" hidden="1" ht="18.75" customFormat="1" customHeight="1" s="311"/>
    <row r="12702" hidden="1" ht="18.75" customFormat="1" customHeight="1" s="311"/>
    <row r="12703" hidden="1" ht="18.75" customFormat="1" customHeight="1" s="311"/>
    <row r="12704" hidden="1" ht="18.75" customFormat="1" customHeight="1" s="311"/>
    <row r="12705" hidden="1" ht="18.75" customFormat="1" customHeight="1" s="311"/>
    <row r="12706" hidden="1" ht="18.75" customFormat="1" customHeight="1" s="311"/>
    <row r="12707" hidden="1" ht="18.75" customFormat="1" customHeight="1" s="311"/>
    <row r="12708" hidden="1" ht="18.75" customFormat="1" customHeight="1" s="311"/>
    <row r="12709" hidden="1" ht="18.75" customFormat="1" customHeight="1" s="311"/>
    <row r="12710" hidden="1" ht="18.75" customFormat="1" customHeight="1" s="311"/>
    <row r="12711" hidden="1" ht="18.75" customFormat="1" customHeight="1" s="311"/>
    <row r="12712" hidden="1" ht="18.75" customFormat="1" customHeight="1" s="311"/>
    <row r="12713" hidden="1" ht="18.75" customFormat="1" customHeight="1" s="311"/>
    <row r="12714" hidden="1" ht="18.75" customFormat="1" customHeight="1" s="311"/>
    <row r="12715" hidden="1" ht="18.75" customFormat="1" customHeight="1" s="311"/>
    <row r="12716" hidden="1" ht="18.75" customFormat="1" customHeight="1" s="311"/>
    <row r="12717" hidden="1" ht="18.75" customFormat="1" customHeight="1" s="311"/>
    <row r="12718" hidden="1" ht="18.75" customFormat="1" customHeight="1" s="311"/>
    <row r="12719" hidden="1" ht="18.75" customFormat="1" customHeight="1" s="311"/>
    <row r="12720" hidden="1" ht="18.75" customFormat="1" customHeight="1" s="311"/>
    <row r="12721" hidden="1" ht="18.75" customFormat="1" customHeight="1" s="311"/>
    <row r="12722" hidden="1" ht="18.75" customFormat="1" customHeight="1" s="311"/>
    <row r="12723" hidden="1" ht="18.75" customFormat="1" customHeight="1" s="311"/>
    <row r="12724" hidden="1" ht="18.75" customFormat="1" customHeight="1" s="311"/>
    <row r="12725" hidden="1" ht="18.75" customFormat="1" customHeight="1" s="311"/>
    <row r="12726" hidden="1" ht="18.75" customFormat="1" customHeight="1" s="311"/>
    <row r="12727" hidden="1" ht="18.75" customFormat="1" customHeight="1" s="311"/>
    <row r="12728" hidden="1" ht="18.75" customFormat="1" customHeight="1" s="311"/>
    <row r="12729" hidden="1" ht="18.75" customFormat="1" customHeight="1" s="311"/>
    <row r="12730" hidden="1" ht="18.75" customFormat="1" customHeight="1" s="311"/>
    <row r="12731" hidden="1" ht="18.75" customFormat="1" customHeight="1" s="311"/>
    <row r="12732" hidden="1" ht="18.75" customFormat="1" customHeight="1" s="311"/>
    <row r="12733" hidden="1" ht="18.75" customFormat="1" customHeight="1" s="311"/>
    <row r="12734" hidden="1" ht="18.75" customFormat="1" customHeight="1" s="311"/>
    <row r="12735" hidden="1" ht="18.75" customFormat="1" customHeight="1" s="311"/>
    <row r="12736" hidden="1" ht="18.75" customFormat="1" customHeight="1" s="311"/>
    <row r="12737" hidden="1" ht="18.75" customFormat="1" customHeight="1" s="311"/>
    <row r="12738" hidden="1" ht="18.75" customFormat="1" customHeight="1" s="311"/>
    <row r="12739" hidden="1" ht="18.75" customFormat="1" customHeight="1" s="311"/>
    <row r="12740" hidden="1" ht="18.75" customFormat="1" customHeight="1" s="311"/>
    <row r="12741" hidden="1" ht="18.75" customFormat="1" customHeight="1" s="311"/>
    <row r="12742" hidden="1" ht="18.75" customFormat="1" customHeight="1" s="311"/>
    <row r="12743" hidden="1" ht="18.75" customFormat="1" customHeight="1" s="311"/>
    <row r="12744" hidden="1" ht="18.75" customFormat="1" customHeight="1" s="311"/>
    <row r="12745" hidden="1" ht="18.75" customFormat="1" customHeight="1" s="311"/>
    <row r="12746" hidden="1" ht="18.75" customFormat="1" customHeight="1" s="311"/>
    <row r="12747" hidden="1" ht="18.75" customFormat="1" customHeight="1" s="311"/>
    <row r="12748" hidden="1" ht="18.75" customFormat="1" customHeight="1" s="311"/>
    <row r="12749" hidden="1" ht="18.75" customFormat="1" customHeight="1" s="311"/>
    <row r="12750" hidden="1" ht="18.75" customFormat="1" customHeight="1" s="311"/>
    <row r="12751" hidden="1" ht="18.75" customFormat="1" customHeight="1" s="311"/>
    <row r="12752" hidden="1" ht="18.75" customFormat="1" customHeight="1" s="311"/>
    <row r="12753" hidden="1" ht="18.75" customFormat="1" customHeight="1" s="311"/>
    <row r="12754" hidden="1" ht="18.75" customFormat="1" customHeight="1" s="311"/>
    <row r="12755" hidden="1" ht="18.75" customFormat="1" customHeight="1" s="311"/>
    <row r="12756" hidden="1" ht="18.75" customFormat="1" customHeight="1" s="311"/>
    <row r="12757" hidden="1" ht="18.75" customFormat="1" customHeight="1" s="311"/>
    <row r="12758" hidden="1" ht="18.75" customFormat="1" customHeight="1" s="311"/>
    <row r="12759" hidden="1" ht="18.75" customFormat="1" customHeight="1" s="311"/>
    <row r="12760" hidden="1" ht="18.75" customFormat="1" customHeight="1" s="311"/>
    <row r="12761" hidden="1" ht="18.75" customFormat="1" customHeight="1" s="311"/>
    <row r="12762" hidden="1" ht="18.75" customFormat="1" customHeight="1" s="311"/>
    <row r="12763" hidden="1" ht="18.75" customFormat="1" customHeight="1" s="311"/>
    <row r="12764" hidden="1" ht="18.75" customFormat="1" customHeight="1" s="311"/>
    <row r="12765" hidden="1" ht="18.75" customFormat="1" customHeight="1" s="311"/>
    <row r="12766" hidden="1" ht="18.75" customFormat="1" customHeight="1" s="311"/>
    <row r="12767" hidden="1" ht="18.75" customFormat="1" customHeight="1" s="311"/>
    <row r="12768" hidden="1" ht="18.75" customFormat="1" customHeight="1" s="311"/>
    <row r="12769" hidden="1" ht="18.75" customFormat="1" customHeight="1" s="311"/>
    <row r="12770" hidden="1" ht="18.75" customFormat="1" customHeight="1" s="311"/>
    <row r="12771" hidden="1" ht="18.75" customFormat="1" customHeight="1" s="311"/>
    <row r="12772" hidden="1" ht="18.75" customFormat="1" customHeight="1" s="311"/>
    <row r="12773" hidden="1" ht="18.75" customFormat="1" customHeight="1" s="311"/>
    <row r="12774" hidden="1" ht="18.75" customFormat="1" customHeight="1" s="311"/>
    <row r="12775" hidden="1" ht="18.75" customFormat="1" customHeight="1" s="311"/>
    <row r="12776" hidden="1" ht="18.75" customFormat="1" customHeight="1" s="311"/>
    <row r="12777" hidden="1" ht="18.75" customFormat="1" customHeight="1" s="311"/>
    <row r="12778" hidden="1" ht="18.75" customFormat="1" customHeight="1" s="311"/>
    <row r="12779" hidden="1" ht="18.75" customFormat="1" customHeight="1" s="311"/>
    <row r="12780" hidden="1" ht="18.75" customFormat="1" customHeight="1" s="311"/>
    <row r="12781" hidden="1" ht="18.75" customFormat="1" customHeight="1" s="311"/>
    <row r="12782" hidden="1" ht="18.75" customFormat="1" customHeight="1" s="311"/>
    <row r="12783" hidden="1" ht="18.75" customFormat="1" customHeight="1" s="311"/>
    <row r="12784" hidden="1" ht="18.75" customFormat="1" customHeight="1" s="311"/>
    <row r="12785" hidden="1" ht="18.75" customFormat="1" customHeight="1" s="311"/>
    <row r="12786" hidden="1" ht="18.75" customFormat="1" customHeight="1" s="311"/>
    <row r="12787" hidden="1" ht="18.75" customFormat="1" customHeight="1" s="311"/>
    <row r="12788" hidden="1" ht="18.75" customFormat="1" customHeight="1" s="311"/>
    <row r="12789" hidden="1" ht="18.75" customFormat="1" customHeight="1" s="311"/>
    <row r="12790" hidden="1" ht="18.75" customFormat="1" customHeight="1" s="311"/>
    <row r="12791" hidden="1" ht="18.75" customFormat="1" customHeight="1" s="311"/>
    <row r="12792" hidden="1" ht="18.75" customFormat="1" customHeight="1" s="311"/>
    <row r="12793" hidden="1" ht="18.75" customFormat="1" customHeight="1" s="311"/>
    <row r="12794" hidden="1" ht="18.75" customFormat="1" customHeight="1" s="311"/>
    <row r="12795" hidden="1" ht="18.75" customFormat="1" customHeight="1" s="311"/>
    <row r="12796" hidden="1" ht="18.75" customFormat="1" customHeight="1" s="311"/>
    <row r="12797" hidden="1" ht="18.75" customFormat="1" customHeight="1" s="311"/>
    <row r="12798" hidden="1" ht="18.75" customFormat="1" customHeight="1" s="311"/>
    <row r="12799" hidden="1" ht="18.75" customFormat="1" customHeight="1" s="311"/>
    <row r="12800" hidden="1" ht="18.75" customFormat="1" customHeight="1" s="311"/>
    <row r="12801" hidden="1" ht="18.75" customFormat="1" customHeight="1" s="311"/>
    <row r="12802" hidden="1" ht="18.75" customFormat="1" customHeight="1" s="311"/>
    <row r="12803" hidden="1" ht="18.75" customFormat="1" customHeight="1" s="311"/>
    <row r="12804" hidden="1" ht="18.75" customFormat="1" customHeight="1" s="311"/>
    <row r="12805" hidden="1" ht="18.75" customFormat="1" customHeight="1" s="311"/>
    <row r="12806" hidden="1" ht="18.75" customFormat="1" customHeight="1" s="311"/>
    <row r="12807" hidden="1" ht="18.75" customFormat="1" customHeight="1" s="311"/>
    <row r="12808" hidden="1" ht="18.75" customFormat="1" customHeight="1" s="311"/>
    <row r="12809" hidden="1" ht="18.75" customFormat="1" customHeight="1" s="311"/>
    <row r="12810" hidden="1" ht="18.75" customFormat="1" customHeight="1" s="311"/>
    <row r="12811" hidden="1" ht="18.75" customFormat="1" customHeight="1" s="311"/>
    <row r="12812" hidden="1" ht="18.75" customFormat="1" customHeight="1" s="311"/>
    <row r="12813" hidden="1" ht="18.75" customFormat="1" customHeight="1" s="311"/>
    <row r="12814" hidden="1" ht="18.75" customFormat="1" customHeight="1" s="311"/>
    <row r="12815" hidden="1" ht="18.75" customFormat="1" customHeight="1" s="311"/>
    <row r="12816" hidden="1" ht="18.75" customFormat="1" customHeight="1" s="311"/>
    <row r="12817" hidden="1" ht="18.75" customFormat="1" customHeight="1" s="311"/>
    <row r="12818" hidden="1" ht="18.75" customFormat="1" customHeight="1" s="311"/>
    <row r="12819" hidden="1" ht="18.75" customFormat="1" customHeight="1" s="311"/>
    <row r="12820" hidden="1" ht="18.75" customFormat="1" customHeight="1" s="311"/>
    <row r="12821" hidden="1" ht="18.75" customFormat="1" customHeight="1" s="311"/>
    <row r="12822" hidden="1" ht="18.75" customFormat="1" customHeight="1" s="311"/>
    <row r="12823" hidden="1" ht="18.75" customFormat="1" customHeight="1" s="311"/>
    <row r="12824" hidden="1" ht="18.75" customFormat="1" customHeight="1" s="311"/>
    <row r="12825" hidden="1" ht="18.75" customFormat="1" customHeight="1" s="311"/>
    <row r="12826" hidden="1" ht="18.75" customFormat="1" customHeight="1" s="311"/>
    <row r="12827" hidden="1" ht="18.75" customFormat="1" customHeight="1" s="311"/>
    <row r="12828" hidden="1" ht="18.75" customFormat="1" customHeight="1" s="311"/>
    <row r="12829" hidden="1" ht="18.75" customFormat="1" customHeight="1" s="311"/>
    <row r="12830" hidden="1" ht="18.75" customFormat="1" customHeight="1" s="311"/>
    <row r="12831" hidden="1" ht="18.75" customFormat="1" customHeight="1" s="311"/>
    <row r="12832" hidden="1" ht="18.75" customFormat="1" customHeight="1" s="311"/>
    <row r="12833" hidden="1" ht="18.75" customFormat="1" customHeight="1" s="311"/>
    <row r="12834" hidden="1" ht="18.75" customFormat="1" customHeight="1" s="311"/>
    <row r="12835" hidden="1" ht="18.75" customFormat="1" customHeight="1" s="311"/>
    <row r="12836" hidden="1" ht="18.75" customFormat="1" customHeight="1" s="311"/>
    <row r="12837" hidden="1" ht="18.75" customFormat="1" customHeight="1" s="311"/>
    <row r="12838" hidden="1" ht="18.75" customFormat="1" customHeight="1" s="311"/>
    <row r="12839" hidden="1" ht="18.75" customFormat="1" customHeight="1" s="311"/>
    <row r="12840" hidden="1" ht="18.75" customFormat="1" customHeight="1" s="311"/>
    <row r="12841" hidden="1" ht="18.75" customFormat="1" customHeight="1" s="311"/>
    <row r="12842" hidden="1" ht="18.75" customFormat="1" customHeight="1" s="311"/>
    <row r="12843" hidden="1" ht="18.75" customFormat="1" customHeight="1" s="311"/>
    <row r="12844" hidden="1" ht="18.75" customFormat="1" customHeight="1" s="311"/>
    <row r="12845" hidden="1" ht="18.75" customFormat="1" customHeight="1" s="311"/>
    <row r="12846" hidden="1" ht="18.75" customFormat="1" customHeight="1" s="311"/>
    <row r="12847" hidden="1" ht="18.75" customFormat="1" customHeight="1" s="311"/>
    <row r="12848" hidden="1" ht="18.75" customFormat="1" customHeight="1" s="311"/>
    <row r="12849" hidden="1" ht="18.75" customFormat="1" customHeight="1" s="311"/>
    <row r="12850" hidden="1" ht="18.75" customFormat="1" customHeight="1" s="311"/>
    <row r="12851" hidden="1" ht="18.75" customFormat="1" customHeight="1" s="311"/>
    <row r="12852" hidden="1" ht="18.75" customFormat="1" customHeight="1" s="311"/>
    <row r="12853" hidden="1" ht="18.75" customFormat="1" customHeight="1" s="311"/>
    <row r="12854" hidden="1" ht="18.75" customFormat="1" customHeight="1" s="311"/>
    <row r="12855" hidden="1" ht="18.75" customFormat="1" customHeight="1" s="311"/>
    <row r="12856" hidden="1" ht="18.75" customFormat="1" customHeight="1" s="311"/>
    <row r="12857" hidden="1" ht="18.75" customFormat="1" customHeight="1" s="311"/>
    <row r="12858" hidden="1" ht="18.75" customFormat="1" customHeight="1" s="311"/>
    <row r="12859" hidden="1" ht="18.75" customFormat="1" customHeight="1" s="311"/>
    <row r="12860" hidden="1" ht="18.75" customFormat="1" customHeight="1" s="311"/>
    <row r="12861" hidden="1" ht="18.75" customFormat="1" customHeight="1" s="311"/>
    <row r="12862" hidden="1" ht="18.75" customFormat="1" customHeight="1" s="311"/>
    <row r="12863" hidden="1" ht="18.75" customFormat="1" customHeight="1" s="311"/>
    <row r="12864" hidden="1" ht="18.75" customFormat="1" customHeight="1" s="311"/>
    <row r="12865" hidden="1" ht="18.75" customFormat="1" customHeight="1" s="311"/>
    <row r="12866" hidden="1" ht="18.75" customFormat="1" customHeight="1" s="311"/>
    <row r="12867" hidden="1" ht="18.75" customFormat="1" customHeight="1" s="311"/>
    <row r="12868" hidden="1" ht="18.75" customFormat="1" customHeight="1" s="311"/>
    <row r="12869" hidden="1" ht="18.75" customFormat="1" customHeight="1" s="311"/>
    <row r="12870" hidden="1" ht="18.75" customFormat="1" customHeight="1" s="311"/>
    <row r="12871" hidden="1" ht="18.75" customFormat="1" customHeight="1" s="311"/>
    <row r="12872" hidden="1" ht="18.75" customFormat="1" customHeight="1" s="311"/>
    <row r="12873" hidden="1" ht="18.75" customFormat="1" customHeight="1" s="311"/>
    <row r="12874" hidden="1" ht="18.75" customFormat="1" customHeight="1" s="311"/>
    <row r="12875" hidden="1" ht="18.75" customFormat="1" customHeight="1" s="311"/>
    <row r="12876" hidden="1" ht="18.75" customFormat="1" customHeight="1" s="311"/>
    <row r="12877" hidden="1" ht="18.75" customFormat="1" customHeight="1" s="311"/>
    <row r="12878" hidden="1" ht="18.75" customFormat="1" customHeight="1" s="311"/>
    <row r="12879" hidden="1" ht="18.75" customFormat="1" customHeight="1" s="311"/>
    <row r="12880" hidden="1" ht="18.75" customFormat="1" customHeight="1" s="311"/>
    <row r="12881" hidden="1" ht="18.75" customFormat="1" customHeight="1" s="311"/>
    <row r="12882" hidden="1" ht="18.75" customFormat="1" customHeight="1" s="311"/>
    <row r="12883" hidden="1" ht="18.75" customFormat="1" customHeight="1" s="311"/>
    <row r="12884" hidden="1" ht="18.75" customFormat="1" customHeight="1" s="311"/>
    <row r="12885" hidden="1" ht="18.75" customFormat="1" customHeight="1" s="311"/>
    <row r="12886" hidden="1" ht="18.75" customFormat="1" customHeight="1" s="311"/>
    <row r="12887" hidden="1" ht="18.75" customFormat="1" customHeight="1" s="311"/>
    <row r="12888" hidden="1" ht="18.75" customFormat="1" customHeight="1" s="311"/>
    <row r="12889" hidden="1" ht="18.75" customFormat="1" customHeight="1" s="311"/>
    <row r="12890" hidden="1" ht="18.75" customFormat="1" customHeight="1" s="311"/>
    <row r="12891" hidden="1" ht="18.75" customFormat="1" customHeight="1" s="311"/>
    <row r="12892" hidden="1" ht="18.75" customFormat="1" customHeight="1" s="311"/>
    <row r="12893" hidden="1" ht="18.75" customFormat="1" customHeight="1" s="311"/>
    <row r="12894" hidden="1" ht="18.75" customFormat="1" customHeight="1" s="311"/>
    <row r="12895" hidden="1" ht="18.75" customFormat="1" customHeight="1" s="311"/>
    <row r="12896" hidden="1" ht="18.75" customFormat="1" customHeight="1" s="311"/>
    <row r="12897" hidden="1" ht="18.75" customFormat="1" customHeight="1" s="311"/>
    <row r="12898" hidden="1" ht="18.75" customFormat="1" customHeight="1" s="311"/>
    <row r="12899" hidden="1" ht="18.75" customFormat="1" customHeight="1" s="311"/>
    <row r="12900" hidden="1" ht="18.75" customFormat="1" customHeight="1" s="311"/>
    <row r="12901" hidden="1" ht="18.75" customFormat="1" customHeight="1" s="311"/>
    <row r="12902" hidden="1" ht="18.75" customFormat="1" customHeight="1" s="311"/>
    <row r="12903" hidden="1" ht="18.75" customFormat="1" customHeight="1" s="311"/>
    <row r="12904" hidden="1" ht="18.75" customFormat="1" customHeight="1" s="311"/>
    <row r="12905" hidden="1" ht="18.75" customFormat="1" customHeight="1" s="311"/>
    <row r="12906" hidden="1" ht="18.75" customFormat="1" customHeight="1" s="311"/>
    <row r="12907" hidden="1" ht="18.75" customFormat="1" customHeight="1" s="311"/>
    <row r="12908" hidden="1" ht="18.75" customFormat="1" customHeight="1" s="311"/>
    <row r="12909" hidden="1" ht="18.75" customFormat="1" customHeight="1" s="311"/>
    <row r="12910" hidden="1" ht="18.75" customFormat="1" customHeight="1" s="311"/>
    <row r="12911" hidden="1" ht="18.75" customFormat="1" customHeight="1" s="311"/>
    <row r="12912" hidden="1" ht="18.75" customFormat="1" customHeight="1" s="311"/>
    <row r="12913" hidden="1" ht="18.75" customFormat="1" customHeight="1" s="311"/>
    <row r="12914" hidden="1" ht="18.75" customFormat="1" customHeight="1" s="311"/>
    <row r="12915" hidden="1" ht="18.75" customFormat="1" customHeight="1" s="311"/>
    <row r="12916" hidden="1" ht="18.75" customFormat="1" customHeight="1" s="311"/>
    <row r="12917" hidden="1" ht="18.75" customFormat="1" customHeight="1" s="311"/>
    <row r="12918" hidden="1" ht="18.75" customFormat="1" customHeight="1" s="311"/>
    <row r="12919" hidden="1" ht="18.75" customFormat="1" customHeight="1" s="311"/>
    <row r="12920" hidden="1" ht="18.75" customFormat="1" customHeight="1" s="311"/>
    <row r="12921" hidden="1" ht="18.75" customFormat="1" customHeight="1" s="311"/>
    <row r="12922" hidden="1" ht="18.75" customFormat="1" customHeight="1" s="311"/>
    <row r="12923" hidden="1" ht="18.75" customFormat="1" customHeight="1" s="311"/>
    <row r="12924" hidden="1" ht="18.75" customFormat="1" customHeight="1" s="311"/>
    <row r="12925" hidden="1" ht="18.75" customFormat="1" customHeight="1" s="311"/>
    <row r="12926" hidden="1" ht="18.75" customFormat="1" customHeight="1" s="311"/>
    <row r="12927" hidden="1" ht="18.75" customFormat="1" customHeight="1" s="311"/>
    <row r="12928" hidden="1" ht="18.75" customFormat="1" customHeight="1" s="311"/>
    <row r="12929" hidden="1" ht="18.75" customFormat="1" customHeight="1" s="311"/>
    <row r="12930" hidden="1" ht="18.75" customFormat="1" customHeight="1" s="311"/>
    <row r="12931" hidden="1" ht="18.75" customFormat="1" customHeight="1" s="311"/>
    <row r="12932" hidden="1" ht="18.75" customFormat="1" customHeight="1" s="311"/>
    <row r="12933" hidden="1" ht="18.75" customFormat="1" customHeight="1" s="311"/>
    <row r="12934" hidden="1" ht="18.75" customFormat="1" customHeight="1" s="311"/>
    <row r="12935" hidden="1" ht="18.75" customFormat="1" customHeight="1" s="311"/>
    <row r="12936" hidden="1" ht="18.75" customFormat="1" customHeight="1" s="311"/>
    <row r="12937" hidden="1" ht="18.75" customFormat="1" customHeight="1" s="311"/>
    <row r="12938" hidden="1" ht="18.75" customFormat="1" customHeight="1" s="311"/>
    <row r="12939" hidden="1" ht="18.75" customFormat="1" customHeight="1" s="311"/>
    <row r="12940" hidden="1" ht="18.75" customFormat="1" customHeight="1" s="311"/>
    <row r="12941" hidden="1" ht="18.75" customFormat="1" customHeight="1" s="311"/>
    <row r="12942" hidden="1" ht="18.75" customFormat="1" customHeight="1" s="311"/>
    <row r="12943" hidden="1" ht="18.75" customFormat="1" customHeight="1" s="311"/>
    <row r="12944" hidden="1" ht="18.75" customFormat="1" customHeight="1" s="311"/>
    <row r="12945" hidden="1" ht="18.75" customFormat="1" customHeight="1" s="311"/>
    <row r="12946" hidden="1" ht="18.75" customFormat="1" customHeight="1" s="311"/>
    <row r="12947" hidden="1" ht="18.75" customFormat="1" customHeight="1" s="311"/>
    <row r="12948" hidden="1" ht="18.75" customFormat="1" customHeight="1" s="311"/>
    <row r="12949" hidden="1" ht="18.75" customFormat="1" customHeight="1" s="311"/>
    <row r="12950" hidden="1" ht="18.75" customFormat="1" customHeight="1" s="311"/>
    <row r="12951" hidden="1" ht="18.75" customFormat="1" customHeight="1" s="311"/>
    <row r="12952" hidden="1" ht="18.75" customFormat="1" customHeight="1" s="311"/>
    <row r="12953" hidden="1" ht="18.75" customFormat="1" customHeight="1" s="311"/>
    <row r="12954" hidden="1" ht="18.75" customFormat="1" customHeight="1" s="311"/>
    <row r="12955" hidden="1" ht="18.75" customFormat="1" customHeight="1" s="311"/>
    <row r="12956" hidden="1" ht="18.75" customFormat="1" customHeight="1" s="311"/>
    <row r="12957" hidden="1" ht="18.75" customFormat="1" customHeight="1" s="311"/>
    <row r="12958" hidden="1" ht="18.75" customFormat="1" customHeight="1" s="311"/>
    <row r="12959" hidden="1" ht="18.75" customFormat="1" customHeight="1" s="311"/>
    <row r="12960" hidden="1" ht="18.75" customFormat="1" customHeight="1" s="311"/>
    <row r="12961" hidden="1" ht="18.75" customFormat="1" customHeight="1" s="311"/>
    <row r="12962" hidden="1" ht="18.75" customFormat="1" customHeight="1" s="311"/>
    <row r="12963" hidden="1" ht="18.75" customFormat="1" customHeight="1" s="311"/>
    <row r="12964" hidden="1" ht="18.75" customFormat="1" customHeight="1" s="311"/>
    <row r="12965" hidden="1" ht="18.75" customFormat="1" customHeight="1" s="311"/>
    <row r="12966" hidden="1" ht="18.75" customFormat="1" customHeight="1" s="311"/>
    <row r="12967" hidden="1" ht="18.75" customFormat="1" customHeight="1" s="311"/>
    <row r="12968" hidden="1" ht="18.75" customFormat="1" customHeight="1" s="311"/>
    <row r="12969" hidden="1" ht="18.75" customFormat="1" customHeight="1" s="311"/>
    <row r="12970" hidden="1" ht="18.75" customFormat="1" customHeight="1" s="311"/>
    <row r="12971" hidden="1" ht="18.75" customFormat="1" customHeight="1" s="311"/>
    <row r="12972" hidden="1" ht="18.75" customFormat="1" customHeight="1" s="311"/>
    <row r="12973" hidden="1" ht="18.75" customFormat="1" customHeight="1" s="311"/>
    <row r="12974" hidden="1" ht="18.75" customFormat="1" customHeight="1" s="311"/>
    <row r="12975" hidden="1" ht="18.75" customFormat="1" customHeight="1" s="311"/>
    <row r="12976" hidden="1" ht="18.75" customFormat="1" customHeight="1" s="311"/>
    <row r="12977" hidden="1" ht="18.75" customFormat="1" customHeight="1" s="311"/>
    <row r="12978" hidden="1" ht="18.75" customFormat="1" customHeight="1" s="311"/>
    <row r="12979" hidden="1" ht="18.75" customFormat="1" customHeight="1" s="311"/>
    <row r="12980" hidden="1" ht="18.75" customFormat="1" customHeight="1" s="311"/>
    <row r="12981" hidden="1" ht="18.75" customFormat="1" customHeight="1" s="311"/>
    <row r="12982" hidden="1" ht="18.75" customFormat="1" customHeight="1" s="311"/>
    <row r="12983" hidden="1" ht="18.75" customFormat="1" customHeight="1" s="311"/>
    <row r="12984" hidden="1" ht="18.75" customFormat="1" customHeight="1" s="311"/>
    <row r="12985" hidden="1" ht="18.75" customFormat="1" customHeight="1" s="311"/>
    <row r="12986" hidden="1" ht="18.75" customFormat="1" customHeight="1" s="311"/>
    <row r="12987" hidden="1" ht="18.75" customFormat="1" customHeight="1" s="311"/>
    <row r="12988" hidden="1" ht="18.75" customFormat="1" customHeight="1" s="311"/>
    <row r="12989" hidden="1" ht="18.75" customFormat="1" customHeight="1" s="311"/>
    <row r="12990" hidden="1" ht="18.75" customFormat="1" customHeight="1" s="311"/>
    <row r="12991" hidden="1" ht="18.75" customFormat="1" customHeight="1" s="311"/>
    <row r="12992" hidden="1" ht="18.75" customFormat="1" customHeight="1" s="311"/>
    <row r="12993" hidden="1" ht="18.75" customFormat="1" customHeight="1" s="311"/>
    <row r="12994" hidden="1" ht="18.75" customFormat="1" customHeight="1" s="311"/>
    <row r="12995" hidden="1" ht="18.75" customFormat="1" customHeight="1" s="311"/>
    <row r="12996" hidden="1" ht="18.75" customFormat="1" customHeight="1" s="311"/>
    <row r="12997" hidden="1" ht="18.75" customFormat="1" customHeight="1" s="311"/>
    <row r="12998" hidden="1" ht="18.75" customFormat="1" customHeight="1" s="311"/>
    <row r="12999" hidden="1" ht="18.75" customFormat="1" customHeight="1" s="311"/>
    <row r="13000" hidden="1" ht="18.75" customFormat="1" customHeight="1" s="311"/>
    <row r="13001" hidden="1" ht="18.75" customFormat="1" customHeight="1" s="311"/>
    <row r="13002" hidden="1" ht="18.75" customFormat="1" customHeight="1" s="311"/>
    <row r="13003" hidden="1" ht="18.75" customFormat="1" customHeight="1" s="311"/>
    <row r="13004" hidden="1" ht="18.75" customFormat="1" customHeight="1" s="311"/>
    <row r="13005" hidden="1" ht="18.75" customFormat="1" customHeight="1" s="311"/>
    <row r="13006" hidden="1" ht="18.75" customFormat="1" customHeight="1" s="311"/>
    <row r="13007" hidden="1" ht="18.75" customFormat="1" customHeight="1" s="311"/>
    <row r="13008" hidden="1" ht="18.75" customFormat="1" customHeight="1" s="311"/>
    <row r="13009" hidden="1" ht="18.75" customFormat="1" customHeight="1" s="311"/>
    <row r="13010" hidden="1" ht="18.75" customFormat="1" customHeight="1" s="311"/>
    <row r="13011" hidden="1" ht="18.75" customFormat="1" customHeight="1" s="311"/>
    <row r="13012" hidden="1" ht="18.75" customFormat="1" customHeight="1" s="311"/>
    <row r="13013" hidden="1" ht="18.75" customFormat="1" customHeight="1" s="311"/>
    <row r="13014" hidden="1" ht="18.75" customFormat="1" customHeight="1" s="311"/>
    <row r="13015" hidden="1" ht="18.75" customFormat="1" customHeight="1" s="311"/>
    <row r="13016" hidden="1" ht="18.75" customFormat="1" customHeight="1" s="311"/>
    <row r="13017" hidden="1" ht="18.75" customFormat="1" customHeight="1" s="311"/>
    <row r="13018" hidden="1" ht="18.75" customFormat="1" customHeight="1" s="311"/>
    <row r="13019" hidden="1" ht="18.75" customFormat="1" customHeight="1" s="311"/>
    <row r="13020" hidden="1" ht="18.75" customFormat="1" customHeight="1" s="311"/>
    <row r="13021" hidden="1" ht="18.75" customFormat="1" customHeight="1" s="311"/>
    <row r="13022" hidden="1" ht="18.75" customFormat="1" customHeight="1" s="311"/>
    <row r="13023" hidden="1" ht="18.75" customFormat="1" customHeight="1" s="311"/>
    <row r="13024" hidden="1" ht="18.75" customFormat="1" customHeight="1" s="311"/>
    <row r="13025" hidden="1" ht="18.75" customFormat="1" customHeight="1" s="311"/>
    <row r="13026" hidden="1" ht="18.75" customFormat="1" customHeight="1" s="311"/>
    <row r="13027" hidden="1" ht="18.75" customFormat="1" customHeight="1" s="311"/>
    <row r="13028" hidden="1" ht="18.75" customFormat="1" customHeight="1" s="311"/>
    <row r="13029" hidden="1" ht="18.75" customFormat="1" customHeight="1" s="311"/>
    <row r="13030" hidden="1" ht="18.75" customFormat="1" customHeight="1" s="311"/>
    <row r="13031" hidden="1" ht="18.75" customFormat="1" customHeight="1" s="311"/>
    <row r="13032" hidden="1" ht="18.75" customFormat="1" customHeight="1" s="311"/>
    <row r="13033" hidden="1" ht="18.75" customFormat="1" customHeight="1" s="311"/>
    <row r="13034" hidden="1" ht="18.75" customFormat="1" customHeight="1" s="311"/>
    <row r="13035" hidden="1" ht="18.75" customFormat="1" customHeight="1" s="311"/>
    <row r="13036" hidden="1" ht="18.75" customFormat="1" customHeight="1" s="311"/>
    <row r="13037" hidden="1" ht="18.75" customFormat="1" customHeight="1" s="311"/>
    <row r="13038" hidden="1" ht="18.75" customFormat="1" customHeight="1" s="311"/>
    <row r="13039" hidden="1" ht="18.75" customFormat="1" customHeight="1" s="311"/>
    <row r="13040" hidden="1" ht="18.75" customFormat="1" customHeight="1" s="311"/>
    <row r="13041" hidden="1" ht="18.75" customFormat="1" customHeight="1" s="311"/>
    <row r="13042" hidden="1" ht="18.75" customFormat="1" customHeight="1" s="311"/>
    <row r="13043" hidden="1" ht="18.75" customFormat="1" customHeight="1" s="311"/>
    <row r="13044" hidden="1" ht="18.75" customFormat="1" customHeight="1" s="311"/>
    <row r="13045" hidden="1" ht="18.75" customFormat="1" customHeight="1" s="311"/>
    <row r="13046" hidden="1" ht="18.75" customFormat="1" customHeight="1" s="311"/>
    <row r="13047" hidden="1" ht="18.75" customFormat="1" customHeight="1" s="311"/>
    <row r="13048" hidden="1" ht="18.75" customFormat="1" customHeight="1" s="311"/>
    <row r="13049" hidden="1" ht="18.75" customFormat="1" customHeight="1" s="311"/>
    <row r="13050" hidden="1" ht="18.75" customFormat="1" customHeight="1" s="311"/>
    <row r="13051" hidden="1" ht="18.75" customFormat="1" customHeight="1" s="311"/>
    <row r="13052" hidden="1" ht="18.75" customFormat="1" customHeight="1" s="311"/>
    <row r="13053" hidden="1" ht="18.75" customFormat="1" customHeight="1" s="311"/>
    <row r="13054" hidden="1" ht="18.75" customFormat="1" customHeight="1" s="311"/>
    <row r="13055" hidden="1" ht="18.75" customFormat="1" customHeight="1" s="311"/>
    <row r="13056" hidden="1" ht="18.75" customFormat="1" customHeight="1" s="311"/>
    <row r="13057" hidden="1" ht="18.75" customFormat="1" customHeight="1" s="311"/>
    <row r="13058" hidden="1" ht="18.75" customFormat="1" customHeight="1" s="311"/>
    <row r="13059" hidden="1" ht="18.75" customFormat="1" customHeight="1" s="311"/>
    <row r="13060" hidden="1" ht="18.75" customFormat="1" customHeight="1" s="311"/>
    <row r="13061" hidden="1" ht="18.75" customFormat="1" customHeight="1" s="311"/>
    <row r="13062" hidden="1" ht="18.75" customFormat="1" customHeight="1" s="311"/>
    <row r="13063" hidden="1" ht="18.75" customFormat="1" customHeight="1" s="311"/>
    <row r="13064" hidden="1" ht="18.75" customFormat="1" customHeight="1" s="311"/>
    <row r="13065" hidden="1" ht="18.75" customFormat="1" customHeight="1" s="311"/>
    <row r="13066" hidden="1" ht="18.75" customFormat="1" customHeight="1" s="311"/>
    <row r="13067" hidden="1" ht="18.75" customFormat="1" customHeight="1" s="311"/>
    <row r="13068" hidden="1" ht="18.75" customFormat="1" customHeight="1" s="311"/>
    <row r="13069" hidden="1" ht="18.75" customFormat="1" customHeight="1" s="311"/>
    <row r="13070" hidden="1" ht="18.75" customFormat="1" customHeight="1" s="311"/>
    <row r="13071" hidden="1" ht="18.75" customFormat="1" customHeight="1" s="311"/>
    <row r="13072" hidden="1" ht="18.75" customFormat="1" customHeight="1" s="311"/>
    <row r="13073" hidden="1" ht="18.75" customFormat="1" customHeight="1" s="311"/>
    <row r="13074" hidden="1" ht="18.75" customFormat="1" customHeight="1" s="311"/>
    <row r="13075" hidden="1" ht="18.75" customFormat="1" customHeight="1" s="311"/>
    <row r="13076" hidden="1" ht="18.75" customFormat="1" customHeight="1" s="311"/>
    <row r="13077" hidden="1" ht="18.75" customFormat="1" customHeight="1" s="311"/>
    <row r="13078" hidden="1" ht="18.75" customFormat="1" customHeight="1" s="311"/>
    <row r="13079" hidden="1" ht="18.75" customFormat="1" customHeight="1" s="311"/>
    <row r="13080" hidden="1" ht="18.75" customFormat="1" customHeight="1" s="311"/>
    <row r="13081" hidden="1" ht="18.75" customFormat="1" customHeight="1" s="311"/>
    <row r="13082" hidden="1" ht="18.75" customFormat="1" customHeight="1" s="311"/>
    <row r="13083" hidden="1" ht="18.75" customFormat="1" customHeight="1" s="311"/>
    <row r="13084" hidden="1" ht="18.75" customFormat="1" customHeight="1" s="311"/>
    <row r="13085" hidden="1" ht="18.75" customFormat="1" customHeight="1" s="311"/>
    <row r="13086" hidden="1" ht="18.75" customFormat="1" customHeight="1" s="311"/>
    <row r="13087" hidden="1" ht="18.75" customFormat="1" customHeight="1" s="311"/>
    <row r="13088" hidden="1" ht="18.75" customFormat="1" customHeight="1" s="311"/>
    <row r="13089" hidden="1" ht="18.75" customFormat="1" customHeight="1" s="311"/>
    <row r="13090" hidden="1" ht="18.75" customFormat="1" customHeight="1" s="311"/>
    <row r="13091" hidden="1" ht="18.75" customFormat="1" customHeight="1" s="311"/>
    <row r="13092" hidden="1" ht="18.75" customFormat="1" customHeight="1" s="311"/>
    <row r="13093" hidden="1" ht="18.75" customFormat="1" customHeight="1" s="311"/>
    <row r="13094" hidden="1" ht="18.75" customFormat="1" customHeight="1" s="311"/>
    <row r="13095" hidden="1" ht="18.75" customFormat="1" customHeight="1" s="311"/>
    <row r="13096" hidden="1" ht="18.75" customFormat="1" customHeight="1" s="311"/>
    <row r="13097" hidden="1" ht="18.75" customFormat="1" customHeight="1" s="311"/>
    <row r="13098" hidden="1" ht="18.75" customFormat="1" customHeight="1" s="311"/>
    <row r="13099" hidden="1" ht="18.75" customFormat="1" customHeight="1" s="311"/>
    <row r="13100" hidden="1" ht="18.75" customFormat="1" customHeight="1" s="311"/>
    <row r="13101" hidden="1" ht="18.75" customFormat="1" customHeight="1" s="311"/>
    <row r="13102" hidden="1" ht="18.75" customFormat="1" customHeight="1" s="311"/>
    <row r="13103" hidden="1" ht="18.75" customFormat="1" customHeight="1" s="311"/>
    <row r="13104" hidden="1" ht="18.75" customFormat="1" customHeight="1" s="311"/>
    <row r="13105" hidden="1" ht="18.75" customFormat="1" customHeight="1" s="311"/>
    <row r="13106" hidden="1" ht="18.75" customFormat="1" customHeight="1" s="311"/>
    <row r="13107" hidden="1" ht="18.75" customFormat="1" customHeight="1" s="311"/>
    <row r="13108" hidden="1" ht="18.75" customFormat="1" customHeight="1" s="311"/>
    <row r="13109" hidden="1" ht="18.75" customFormat="1" customHeight="1" s="311"/>
    <row r="13110" hidden="1" ht="18.75" customFormat="1" customHeight="1" s="311"/>
    <row r="13111" hidden="1" ht="18.75" customFormat="1" customHeight="1" s="311"/>
    <row r="13112" hidden="1" ht="18.75" customFormat="1" customHeight="1" s="311"/>
    <row r="13113" hidden="1" ht="18.75" customFormat="1" customHeight="1" s="311"/>
    <row r="13114" hidden="1" ht="18.75" customFormat="1" customHeight="1" s="311"/>
    <row r="13115" hidden="1" ht="18.75" customFormat="1" customHeight="1" s="311"/>
    <row r="13116" hidden="1" ht="18.75" customFormat="1" customHeight="1" s="311"/>
    <row r="13117" hidden="1" ht="18.75" customFormat="1" customHeight="1" s="311"/>
    <row r="13118" hidden="1" ht="18.75" customFormat="1" customHeight="1" s="311"/>
    <row r="13119" hidden="1" ht="18.75" customFormat="1" customHeight="1" s="311"/>
    <row r="13120" hidden="1" ht="18.75" customFormat="1" customHeight="1" s="311"/>
    <row r="13121" hidden="1" ht="18.75" customFormat="1" customHeight="1" s="311"/>
    <row r="13122" hidden="1" ht="18.75" customFormat="1" customHeight="1" s="311"/>
    <row r="13123" hidden="1" ht="18.75" customFormat="1" customHeight="1" s="311"/>
    <row r="13124" hidden="1" ht="18.75" customFormat="1" customHeight="1" s="311"/>
    <row r="13125" hidden="1" ht="18.75" customFormat="1" customHeight="1" s="311"/>
    <row r="13126" hidden="1" ht="18.75" customFormat="1" customHeight="1" s="311"/>
    <row r="13127" hidden="1" ht="18.75" customFormat="1" customHeight="1" s="311"/>
    <row r="13128" hidden="1" ht="18.75" customFormat="1" customHeight="1" s="311"/>
    <row r="13129" hidden="1" ht="18.75" customFormat="1" customHeight="1" s="311"/>
    <row r="13130" hidden="1" ht="18.75" customFormat="1" customHeight="1" s="311"/>
    <row r="13131" hidden="1" ht="18.75" customFormat="1" customHeight="1" s="311"/>
    <row r="13132" hidden="1" ht="18.75" customFormat="1" customHeight="1" s="311"/>
    <row r="13133" hidden="1" ht="18.75" customFormat="1" customHeight="1" s="311"/>
    <row r="13134" hidden="1" ht="18.75" customFormat="1" customHeight="1" s="311"/>
    <row r="13135" hidden="1" ht="18.75" customFormat="1" customHeight="1" s="311"/>
    <row r="13136" hidden="1" ht="18.75" customFormat="1" customHeight="1" s="311"/>
    <row r="13137" hidden="1" ht="18.75" customFormat="1" customHeight="1" s="311"/>
    <row r="13138" hidden="1" ht="18.75" customFormat="1" customHeight="1" s="311"/>
    <row r="13139" hidden="1" ht="18.75" customFormat="1" customHeight="1" s="311"/>
    <row r="13140" hidden="1" ht="18.75" customFormat="1" customHeight="1" s="311"/>
    <row r="13141" hidden="1" ht="18.75" customFormat="1" customHeight="1" s="311"/>
    <row r="13142" hidden="1" ht="18.75" customFormat="1" customHeight="1" s="311"/>
    <row r="13143" hidden="1" ht="18.75" customFormat="1" customHeight="1" s="311"/>
    <row r="13144" hidden="1" ht="18.75" customFormat="1" customHeight="1" s="311"/>
    <row r="13145" hidden="1" ht="18.75" customFormat="1" customHeight="1" s="311"/>
    <row r="13146" hidden="1" ht="18.75" customFormat="1" customHeight="1" s="311"/>
    <row r="13147" hidden="1" ht="18.75" customFormat="1" customHeight="1" s="311"/>
    <row r="13148" hidden="1" ht="18.75" customFormat="1" customHeight="1" s="311"/>
    <row r="13149" hidden="1" ht="18.75" customFormat="1" customHeight="1" s="311"/>
    <row r="13150" hidden="1" ht="18.75" customFormat="1" customHeight="1" s="311"/>
    <row r="13151" hidden="1" ht="18.75" customFormat="1" customHeight="1" s="311"/>
    <row r="13152" hidden="1" ht="18.75" customFormat="1" customHeight="1" s="311"/>
    <row r="13153" hidden="1" ht="18.75" customFormat="1" customHeight="1" s="311"/>
    <row r="13154" hidden="1" ht="18.75" customFormat="1" customHeight="1" s="311"/>
    <row r="13155" hidden="1" ht="18.75" customFormat="1" customHeight="1" s="311"/>
    <row r="13156" hidden="1" ht="18.75" customFormat="1" customHeight="1" s="311"/>
    <row r="13157" hidden="1" ht="18.75" customFormat="1" customHeight="1" s="311"/>
    <row r="13158" hidden="1" ht="18.75" customFormat="1" customHeight="1" s="311"/>
    <row r="13159" hidden="1" ht="18.75" customFormat="1" customHeight="1" s="311"/>
    <row r="13160" hidden="1" ht="18.75" customFormat="1" customHeight="1" s="311"/>
    <row r="13161" hidden="1" ht="18.75" customFormat="1" customHeight="1" s="311"/>
    <row r="13162" hidden="1" ht="18.75" customFormat="1" customHeight="1" s="311"/>
    <row r="13163" hidden="1" ht="18.75" customFormat="1" customHeight="1" s="311"/>
    <row r="13164" hidden="1" ht="18.75" customFormat="1" customHeight="1" s="311"/>
    <row r="13165" hidden="1" ht="18.75" customFormat="1" customHeight="1" s="311"/>
    <row r="13166" hidden="1" ht="18.75" customFormat="1" customHeight="1" s="311"/>
    <row r="13167" hidden="1" ht="18.75" customFormat="1" customHeight="1" s="311"/>
    <row r="13168" hidden="1" ht="18.75" customFormat="1" customHeight="1" s="311"/>
    <row r="13169" hidden="1" ht="18.75" customFormat="1" customHeight="1" s="311"/>
    <row r="13170" hidden="1" ht="18.75" customFormat="1" customHeight="1" s="311"/>
    <row r="13171" hidden="1" ht="18.75" customFormat="1" customHeight="1" s="311"/>
    <row r="13172" hidden="1" ht="18.75" customFormat="1" customHeight="1" s="311"/>
    <row r="13173" hidden="1" ht="18.75" customFormat="1" customHeight="1" s="311"/>
    <row r="13174" hidden="1" ht="18.75" customFormat="1" customHeight="1" s="311"/>
    <row r="13175" hidden="1" ht="18.75" customFormat="1" customHeight="1" s="311"/>
    <row r="13176" hidden="1" ht="18.75" customFormat="1" customHeight="1" s="311"/>
    <row r="13177" hidden="1" ht="18.75" customFormat="1" customHeight="1" s="311"/>
    <row r="13178" hidden="1" ht="18.75" customFormat="1" customHeight="1" s="311"/>
    <row r="13179" hidden="1" ht="18.75" customFormat="1" customHeight="1" s="311"/>
    <row r="13180" hidden="1" ht="18.75" customFormat="1" customHeight="1" s="311"/>
    <row r="13181" hidden="1" ht="18.75" customFormat="1" customHeight="1" s="311"/>
    <row r="13182" hidden="1" ht="18.75" customFormat="1" customHeight="1" s="311"/>
    <row r="13183" hidden="1" ht="18.75" customFormat="1" customHeight="1" s="311"/>
    <row r="13184" hidden="1" ht="18.75" customFormat="1" customHeight="1" s="311"/>
    <row r="13185" hidden="1" ht="18.75" customFormat="1" customHeight="1" s="311"/>
    <row r="13186" hidden="1" ht="18.75" customFormat="1" customHeight="1" s="311"/>
    <row r="13187" hidden="1" ht="18.75" customFormat="1" customHeight="1" s="311"/>
    <row r="13188" hidden="1" ht="18.75" customFormat="1" customHeight="1" s="311"/>
    <row r="13189" hidden="1" ht="18.75" customFormat="1" customHeight="1" s="311"/>
    <row r="13190" hidden="1" ht="18.75" customFormat="1" customHeight="1" s="311"/>
    <row r="13191" hidden="1" ht="18.75" customFormat="1" customHeight="1" s="311"/>
    <row r="13192" hidden="1" ht="18.75" customFormat="1" customHeight="1" s="311"/>
    <row r="13193" hidden="1" ht="18.75" customFormat="1" customHeight="1" s="311"/>
    <row r="13194" hidden="1" ht="18.75" customFormat="1" customHeight="1" s="311"/>
    <row r="13195" hidden="1" ht="18.75" customFormat="1" customHeight="1" s="311"/>
    <row r="13196" hidden="1" ht="18.75" customFormat="1" customHeight="1" s="311"/>
    <row r="13197" hidden="1" ht="18.75" customFormat="1" customHeight="1" s="311"/>
    <row r="13198" hidden="1" ht="18.75" customFormat="1" customHeight="1" s="311"/>
    <row r="13199" hidden="1" ht="18.75" customFormat="1" customHeight="1" s="311"/>
    <row r="13200" hidden="1" ht="18.75" customFormat="1" customHeight="1" s="311"/>
    <row r="13201" hidden="1" ht="18.75" customFormat="1" customHeight="1" s="311"/>
    <row r="13202" hidden="1" ht="18.75" customFormat="1" customHeight="1" s="311"/>
    <row r="13203" hidden="1" ht="18.75" customFormat="1" customHeight="1" s="311"/>
    <row r="13204" hidden="1" ht="18.75" customFormat="1" customHeight="1" s="311"/>
    <row r="13205" hidden="1" ht="18.75" customFormat="1" customHeight="1" s="311"/>
    <row r="13206" hidden="1" ht="18.75" customFormat="1" customHeight="1" s="311"/>
    <row r="13207" hidden="1" ht="18.75" customFormat="1" customHeight="1" s="311"/>
    <row r="13208" hidden="1" ht="18.75" customFormat="1" customHeight="1" s="311"/>
    <row r="13209" hidden="1" ht="18.75" customFormat="1" customHeight="1" s="311"/>
    <row r="13210" hidden="1" ht="18.75" customFormat="1" customHeight="1" s="311"/>
    <row r="13211" hidden="1" ht="18.75" customFormat="1" customHeight="1" s="311"/>
    <row r="13212" hidden="1" ht="18.75" customFormat="1" customHeight="1" s="311"/>
    <row r="13213" hidden="1" ht="18.75" customFormat="1" customHeight="1" s="311"/>
    <row r="13214" hidden="1" ht="18.75" customFormat="1" customHeight="1" s="311"/>
    <row r="13215" hidden="1" ht="18.75" customFormat="1" customHeight="1" s="311"/>
    <row r="13216" hidden="1" ht="18.75" customFormat="1" customHeight="1" s="311"/>
    <row r="13217" hidden="1" ht="18.75" customFormat="1" customHeight="1" s="311"/>
    <row r="13218" hidden="1" ht="18.75" customFormat="1" customHeight="1" s="311"/>
    <row r="13219" hidden="1" ht="18.75" customFormat="1" customHeight="1" s="311"/>
    <row r="13220" hidden="1" ht="18.75" customFormat="1" customHeight="1" s="311"/>
    <row r="13221" hidden="1" ht="18.75" customFormat="1" customHeight="1" s="311"/>
    <row r="13222" hidden="1" ht="18.75" customFormat="1" customHeight="1" s="311"/>
    <row r="13223" hidden="1" ht="18.75" customFormat="1" customHeight="1" s="311"/>
    <row r="13224" hidden="1" ht="18.75" customFormat="1" customHeight="1" s="311"/>
    <row r="13225" hidden="1" ht="18.75" customFormat="1" customHeight="1" s="311"/>
    <row r="13226" hidden="1" ht="18.75" customFormat="1" customHeight="1" s="311"/>
    <row r="13227" hidden="1" ht="18.75" customFormat="1" customHeight="1" s="311"/>
    <row r="13228" hidden="1" ht="18.75" customFormat="1" customHeight="1" s="311"/>
    <row r="13229" hidden="1" ht="18.75" customFormat="1" customHeight="1" s="311"/>
    <row r="13230" hidden="1" ht="18.75" customFormat="1" customHeight="1" s="311"/>
    <row r="13231" hidden="1" ht="18.75" customFormat="1" customHeight="1" s="311"/>
    <row r="13232" hidden="1" ht="18.75" customFormat="1" customHeight="1" s="311"/>
    <row r="13233" hidden="1" ht="18.75" customFormat="1" customHeight="1" s="311"/>
    <row r="13234" hidden="1" ht="18.75" customFormat="1" customHeight="1" s="311"/>
    <row r="13235" hidden="1" ht="18.75" customFormat="1" customHeight="1" s="311"/>
    <row r="13236" hidden="1" ht="18.75" customFormat="1" customHeight="1" s="311"/>
    <row r="13237" hidden="1" ht="18.75" customFormat="1" customHeight="1" s="311"/>
    <row r="13238" hidden="1" ht="18.75" customFormat="1" customHeight="1" s="311"/>
    <row r="13239" hidden="1" ht="18.75" customFormat="1" customHeight="1" s="311"/>
    <row r="13240" hidden="1" ht="18.75" customFormat="1" customHeight="1" s="311"/>
    <row r="13241" hidden="1" ht="18.75" customFormat="1" customHeight="1" s="311"/>
    <row r="13242" hidden="1" ht="18.75" customFormat="1" customHeight="1" s="311"/>
    <row r="13243" hidden="1" ht="18.75" customFormat="1" customHeight="1" s="311"/>
    <row r="13244" hidden="1" ht="18.75" customFormat="1" customHeight="1" s="311"/>
    <row r="13245" hidden="1" ht="18.75" customFormat="1" customHeight="1" s="311"/>
    <row r="13246" hidden="1" ht="18.75" customFormat="1" customHeight="1" s="311"/>
    <row r="13247" hidden="1" ht="18.75" customFormat="1" customHeight="1" s="311"/>
    <row r="13248" hidden="1" ht="18.75" customFormat="1" customHeight="1" s="311"/>
    <row r="13249" hidden="1" ht="18.75" customFormat="1" customHeight="1" s="311"/>
    <row r="13250" hidden="1" ht="18.75" customFormat="1" customHeight="1" s="311"/>
    <row r="13251" hidden="1" ht="18.75" customFormat="1" customHeight="1" s="311"/>
    <row r="13252" hidden="1" ht="18.75" customFormat="1" customHeight="1" s="311"/>
    <row r="13253" hidden="1" ht="18.75" customFormat="1" customHeight="1" s="311"/>
    <row r="13254" hidden="1" ht="18.75" customFormat="1" customHeight="1" s="311"/>
    <row r="13255" hidden="1" ht="18.75" customFormat="1" customHeight="1" s="311"/>
    <row r="13256" hidden="1" ht="18.75" customFormat="1" customHeight="1" s="311"/>
    <row r="13257" hidden="1" ht="18.75" customFormat="1" customHeight="1" s="311"/>
    <row r="13258" hidden="1" ht="18.75" customFormat="1" customHeight="1" s="311"/>
    <row r="13259" hidden="1" ht="18.75" customFormat="1" customHeight="1" s="311"/>
    <row r="13260" hidden="1" ht="18.75" customFormat="1" customHeight="1" s="311"/>
    <row r="13261" hidden="1" ht="18.75" customFormat="1" customHeight="1" s="311"/>
    <row r="13262" hidden="1" ht="18.75" customFormat="1" customHeight="1" s="311"/>
    <row r="13263" hidden="1" ht="18.75" customFormat="1" customHeight="1" s="311"/>
    <row r="13264" hidden="1" ht="18.75" customFormat="1" customHeight="1" s="311"/>
    <row r="13265" hidden="1" ht="18.75" customFormat="1" customHeight="1" s="311"/>
    <row r="13266" hidden="1" ht="18.75" customFormat="1" customHeight="1" s="311"/>
    <row r="13267" hidden="1" ht="18.75" customFormat="1" customHeight="1" s="311"/>
    <row r="13268" hidden="1" ht="18.75" customFormat="1" customHeight="1" s="311"/>
    <row r="13269" hidden="1" ht="18.75" customFormat="1" customHeight="1" s="311"/>
    <row r="13270" hidden="1" ht="18.75" customFormat="1" customHeight="1" s="311"/>
    <row r="13271" hidden="1" ht="18.75" customFormat="1" customHeight="1" s="311"/>
    <row r="13272" hidden="1" ht="18.75" customFormat="1" customHeight="1" s="311"/>
    <row r="13273" hidden="1" ht="18.75" customFormat="1" customHeight="1" s="311"/>
    <row r="13274" hidden="1" ht="18.75" customFormat="1" customHeight="1" s="311"/>
    <row r="13275" hidden="1" ht="18.75" customFormat="1" customHeight="1" s="311"/>
    <row r="13276" hidden="1" ht="18.75" customFormat="1" customHeight="1" s="311"/>
    <row r="13277" hidden="1" ht="18.75" customFormat="1" customHeight="1" s="311"/>
    <row r="13278" hidden="1" ht="18.75" customFormat="1" customHeight="1" s="311"/>
    <row r="13279" hidden="1" ht="18.75" customFormat="1" customHeight="1" s="311"/>
    <row r="13280" hidden="1" ht="18.75" customFormat="1" customHeight="1" s="311"/>
    <row r="13281" hidden="1" ht="18.75" customFormat="1" customHeight="1" s="311"/>
    <row r="13282" hidden="1" ht="18.75" customFormat="1" customHeight="1" s="311"/>
    <row r="13283" hidden="1" ht="18.75" customFormat="1" customHeight="1" s="311"/>
    <row r="13284" hidden="1" ht="18.75" customFormat="1" customHeight="1" s="311"/>
    <row r="13285" hidden="1" ht="18.75" customFormat="1" customHeight="1" s="311"/>
    <row r="13286" hidden="1" ht="18.75" customFormat="1" customHeight="1" s="311"/>
    <row r="13287" hidden="1" ht="18.75" customFormat="1" customHeight="1" s="311"/>
    <row r="13288" hidden="1" ht="18.75" customFormat="1" customHeight="1" s="311"/>
    <row r="13289" hidden="1" ht="18.75" customFormat="1" customHeight="1" s="311"/>
    <row r="13290" hidden="1" ht="18.75" customFormat="1" customHeight="1" s="311"/>
    <row r="13291" hidden="1" ht="18.75" customFormat="1" customHeight="1" s="311"/>
    <row r="13292" hidden="1" ht="18.75" customFormat="1" customHeight="1" s="311"/>
    <row r="13293" hidden="1" ht="18.75" customFormat="1" customHeight="1" s="311"/>
    <row r="13294" hidden="1" ht="18.75" customFormat="1" customHeight="1" s="311"/>
    <row r="13295" hidden="1" ht="18.75" customFormat="1" customHeight="1" s="311"/>
    <row r="13296" hidden="1" ht="18.75" customFormat="1" customHeight="1" s="311"/>
    <row r="13297" hidden="1" ht="18.75" customFormat="1" customHeight="1" s="311"/>
    <row r="13298" hidden="1" ht="18.75" customFormat="1" customHeight="1" s="311"/>
    <row r="13299" hidden="1" ht="18.75" customFormat="1" customHeight="1" s="311"/>
    <row r="13300" hidden="1" ht="18.75" customFormat="1" customHeight="1" s="311"/>
    <row r="13301" hidden="1" ht="18.75" customFormat="1" customHeight="1" s="311"/>
    <row r="13302" hidden="1" ht="18.75" customFormat="1" customHeight="1" s="311"/>
    <row r="13303" hidden="1" ht="18.75" customFormat="1" customHeight="1" s="311"/>
    <row r="13304" hidden="1" ht="18.75" customFormat="1" customHeight="1" s="311"/>
    <row r="13305" hidden="1" ht="18.75" customFormat="1" customHeight="1" s="311"/>
    <row r="13306" hidden="1" ht="18.75" customFormat="1" customHeight="1" s="311"/>
    <row r="13307" hidden="1" ht="18.75" customFormat="1" customHeight="1" s="311"/>
    <row r="13308" hidden="1" ht="18.75" customFormat="1" customHeight="1" s="311"/>
    <row r="13309" hidden="1" ht="18.75" customFormat="1" customHeight="1" s="311"/>
    <row r="13310" hidden="1" ht="18.75" customFormat="1" customHeight="1" s="311"/>
    <row r="13311" hidden="1" ht="18.75" customFormat="1" customHeight="1" s="311"/>
    <row r="13312" hidden="1" ht="18.75" customFormat="1" customHeight="1" s="311"/>
    <row r="13313" hidden="1" ht="18.75" customFormat="1" customHeight="1" s="311"/>
    <row r="13314" hidden="1" ht="18.75" customFormat="1" customHeight="1" s="311"/>
    <row r="13315" hidden="1" ht="18.75" customFormat="1" customHeight="1" s="311"/>
    <row r="13316" hidden="1" ht="18.75" customFormat="1" customHeight="1" s="311"/>
    <row r="13317" hidden="1" ht="18.75" customFormat="1" customHeight="1" s="311"/>
    <row r="13318" hidden="1" ht="18.75" customFormat="1" customHeight="1" s="311"/>
    <row r="13319" hidden="1" ht="18.75" customFormat="1" customHeight="1" s="311"/>
    <row r="13320" hidden="1" ht="18.75" customFormat="1" customHeight="1" s="311"/>
    <row r="13321" hidden="1" ht="18.75" customFormat="1" customHeight="1" s="311"/>
    <row r="13322" hidden="1" ht="18.75" customFormat="1" customHeight="1" s="311"/>
    <row r="13323" hidden="1" ht="18.75" customFormat="1" customHeight="1" s="311"/>
    <row r="13324" hidden="1" ht="18.75" customFormat="1" customHeight="1" s="311"/>
    <row r="13325" hidden="1" ht="18.75" customFormat="1" customHeight="1" s="311"/>
    <row r="13326" hidden="1" ht="18.75" customFormat="1" customHeight="1" s="311"/>
    <row r="13327" hidden="1" ht="18.75" customFormat="1" customHeight="1" s="311"/>
    <row r="13328" hidden="1" ht="18.75" customFormat="1" customHeight="1" s="311"/>
    <row r="13329" hidden="1" ht="18.75" customFormat="1" customHeight="1" s="311"/>
    <row r="13330" hidden="1" ht="18.75" customFormat="1" customHeight="1" s="311"/>
    <row r="13331" hidden="1" ht="18.75" customFormat="1" customHeight="1" s="311"/>
    <row r="13332" hidden="1" ht="18.75" customFormat="1" customHeight="1" s="311"/>
    <row r="13333" hidden="1" ht="18.75" customFormat="1" customHeight="1" s="311"/>
    <row r="13334" hidden="1" ht="18.75" customFormat="1" customHeight="1" s="311"/>
    <row r="13335" hidden="1" ht="18.75" customFormat="1" customHeight="1" s="311"/>
    <row r="13336" hidden="1" ht="18.75" customFormat="1" customHeight="1" s="311"/>
    <row r="13337" hidden="1" ht="18.75" customFormat="1" customHeight="1" s="311"/>
    <row r="13338" hidden="1" ht="18.75" customFormat="1" customHeight="1" s="311"/>
    <row r="13339" hidden="1" ht="18.75" customFormat="1" customHeight="1" s="311"/>
    <row r="13340" hidden="1" ht="18.75" customFormat="1" customHeight="1" s="311"/>
    <row r="13341" hidden="1" ht="18.75" customFormat="1" customHeight="1" s="311"/>
    <row r="13342" hidden="1" ht="18.75" customFormat="1" customHeight="1" s="311"/>
    <row r="13343" hidden="1" ht="18.75" customFormat="1" customHeight="1" s="311"/>
    <row r="13344" hidden="1" ht="18.75" customFormat="1" customHeight="1" s="311"/>
    <row r="13345" hidden="1" ht="18.75" customFormat="1" customHeight="1" s="311"/>
    <row r="13346" hidden="1" ht="18.75" customFormat="1" customHeight="1" s="311"/>
    <row r="13347" hidden="1" ht="18.75" customFormat="1" customHeight="1" s="311"/>
    <row r="13348" hidden="1" ht="18.75" customFormat="1" customHeight="1" s="311"/>
    <row r="13349" hidden="1" ht="18.75" customFormat="1" customHeight="1" s="311"/>
    <row r="13350" hidden="1" ht="18.75" customFormat="1" customHeight="1" s="311"/>
    <row r="13351" hidden="1" ht="18.75" customFormat="1" customHeight="1" s="311"/>
    <row r="13352" hidden="1" ht="18.75" customFormat="1" customHeight="1" s="311"/>
    <row r="13353" hidden="1" ht="18.75" customFormat="1" customHeight="1" s="311"/>
    <row r="13354" hidden="1" ht="18.75" customFormat="1" customHeight="1" s="311"/>
    <row r="13355" hidden="1" ht="18.75" customFormat="1" customHeight="1" s="311"/>
    <row r="13356" hidden="1" ht="18.75" customFormat="1" customHeight="1" s="311"/>
    <row r="13357" hidden="1" ht="18.75" customFormat="1" customHeight="1" s="311"/>
    <row r="13358" hidden="1" ht="18.75" customFormat="1" customHeight="1" s="311"/>
    <row r="13359" hidden="1" ht="18.75" customFormat="1" customHeight="1" s="311"/>
    <row r="13360" hidden="1" ht="18.75" customFormat="1" customHeight="1" s="311"/>
    <row r="13361" hidden="1" ht="18.75" customFormat="1" customHeight="1" s="311"/>
    <row r="13362" hidden="1" ht="18.75" customFormat="1" customHeight="1" s="311"/>
    <row r="13363" hidden="1" ht="18.75" customFormat="1" customHeight="1" s="311"/>
    <row r="13364" hidden="1" ht="18.75" customFormat="1" customHeight="1" s="311"/>
    <row r="13365" hidden="1" ht="18.75" customFormat="1" customHeight="1" s="311"/>
    <row r="13366" hidden="1" ht="18.75" customFormat="1" customHeight="1" s="311"/>
    <row r="13367" hidden="1" ht="18.75" customFormat="1" customHeight="1" s="311"/>
    <row r="13368" hidden="1" ht="18.75" customFormat="1" customHeight="1" s="311"/>
    <row r="13369" hidden="1" ht="18.75" customFormat="1" customHeight="1" s="311"/>
    <row r="13370" hidden="1" ht="18.75" customFormat="1" customHeight="1" s="311"/>
    <row r="13371" hidden="1" ht="18.75" customFormat="1" customHeight="1" s="311"/>
    <row r="13372" hidden="1" ht="18.75" customFormat="1" customHeight="1" s="311"/>
    <row r="13373" hidden="1" ht="18.75" customFormat="1" customHeight="1" s="311"/>
    <row r="13374" hidden="1" ht="18.75" customFormat="1" customHeight="1" s="311"/>
    <row r="13375" hidden="1" ht="18.75" customFormat="1" customHeight="1" s="311"/>
    <row r="13376" hidden="1" ht="18.75" customFormat="1" customHeight="1" s="311"/>
    <row r="13377" hidden="1" ht="18.75" customFormat="1" customHeight="1" s="311"/>
    <row r="13378" hidden="1" ht="18.75" customFormat="1" customHeight="1" s="311"/>
    <row r="13379" hidden="1" ht="18.75" customFormat="1" customHeight="1" s="311"/>
    <row r="13380" hidden="1" ht="18.75" customFormat="1" customHeight="1" s="311"/>
    <row r="13381" hidden="1" ht="18.75" customFormat="1" customHeight="1" s="311"/>
    <row r="13382" hidden="1" ht="18.75" customFormat="1" customHeight="1" s="311"/>
    <row r="13383" hidden="1" ht="18.75" customFormat="1" customHeight="1" s="311"/>
    <row r="13384" hidden="1" ht="18.75" customFormat="1" customHeight="1" s="311"/>
    <row r="13385" hidden="1" ht="18.75" customFormat="1" customHeight="1" s="311"/>
    <row r="13386" hidden="1" ht="18.75" customFormat="1" customHeight="1" s="311"/>
    <row r="13387" hidden="1" ht="18.75" customFormat="1" customHeight="1" s="311"/>
    <row r="13388" hidden="1" ht="18.75" customFormat="1" customHeight="1" s="311"/>
    <row r="13389" hidden="1" ht="18.75" customFormat="1" customHeight="1" s="311"/>
    <row r="13390" hidden="1" ht="18.75" customFormat="1" customHeight="1" s="311"/>
    <row r="13391" hidden="1" ht="18.75" customFormat="1" customHeight="1" s="311"/>
    <row r="13392" hidden="1" ht="18.75" customFormat="1" customHeight="1" s="311"/>
    <row r="13393" hidden="1" ht="18.75" customFormat="1" customHeight="1" s="311"/>
    <row r="13394" hidden="1" ht="18.75" customFormat="1" customHeight="1" s="311"/>
    <row r="13395" hidden="1" ht="18.75" customFormat="1" customHeight="1" s="311"/>
    <row r="13396" hidden="1" ht="18.75" customFormat="1" customHeight="1" s="311"/>
    <row r="13397" hidden="1" ht="18.75" customFormat="1" customHeight="1" s="311"/>
    <row r="13398" hidden="1" ht="18.75" customFormat="1" customHeight="1" s="311"/>
    <row r="13399" hidden="1" ht="18.75" customFormat="1" customHeight="1" s="311"/>
    <row r="13400" hidden="1" ht="18.75" customFormat="1" customHeight="1" s="311"/>
    <row r="13401" hidden="1" ht="18.75" customFormat="1" customHeight="1" s="311"/>
    <row r="13402" hidden="1" ht="18.75" customFormat="1" customHeight="1" s="311"/>
    <row r="13403" hidden="1" ht="18.75" customFormat="1" customHeight="1" s="311"/>
    <row r="13404" hidden="1" ht="18.75" customFormat="1" customHeight="1" s="311"/>
    <row r="13405" hidden="1" ht="18.75" customFormat="1" customHeight="1" s="311"/>
    <row r="13406" hidden="1" ht="18.75" customFormat="1" customHeight="1" s="311"/>
    <row r="13407" hidden="1" ht="18.75" customFormat="1" customHeight="1" s="311"/>
    <row r="13408" hidden="1" ht="18.75" customFormat="1" customHeight="1" s="311"/>
    <row r="13409" hidden="1" ht="18.75" customFormat="1" customHeight="1" s="311"/>
    <row r="13410" hidden="1" ht="18.75" customFormat="1" customHeight="1" s="311"/>
    <row r="13411" hidden="1" ht="18.75" customFormat="1" customHeight="1" s="311"/>
    <row r="13412" hidden="1" ht="18.75" customFormat="1" customHeight="1" s="311"/>
    <row r="13413" hidden="1" ht="18.75" customFormat="1" customHeight="1" s="311"/>
    <row r="13414" hidden="1" ht="18.75" customFormat="1" customHeight="1" s="311"/>
    <row r="13415" hidden="1" ht="18.75" customFormat="1" customHeight="1" s="311"/>
    <row r="13416" hidden="1" ht="18.75" customFormat="1" customHeight="1" s="311"/>
    <row r="13417" hidden="1" ht="18.75" customFormat="1" customHeight="1" s="311"/>
    <row r="13418" hidden="1" ht="18.75" customFormat="1" customHeight="1" s="311"/>
    <row r="13419" hidden="1" ht="18.75" customFormat="1" customHeight="1" s="311"/>
    <row r="13420" hidden="1" ht="18.75" customFormat="1" customHeight="1" s="311"/>
    <row r="13421" hidden="1" ht="18.75" customFormat="1" customHeight="1" s="311"/>
    <row r="13422" hidden="1" ht="18.75" customFormat="1" customHeight="1" s="311"/>
    <row r="13423" hidden="1" ht="18.75" customFormat="1" customHeight="1" s="311"/>
    <row r="13424" hidden="1" ht="18.75" customFormat="1" customHeight="1" s="311"/>
    <row r="13425" hidden="1" ht="18.75" customFormat="1" customHeight="1" s="311"/>
    <row r="13426" hidden="1" ht="18.75" customFormat="1" customHeight="1" s="311"/>
    <row r="13427" hidden="1" ht="18.75" customFormat="1" customHeight="1" s="311"/>
    <row r="13428" hidden="1" ht="18.75" customFormat="1" customHeight="1" s="311"/>
    <row r="13429" hidden="1" ht="18.75" customFormat="1" customHeight="1" s="311"/>
    <row r="13430" hidden="1" ht="18.75" customFormat="1" customHeight="1" s="311"/>
    <row r="13431" hidden="1" ht="18.75" customFormat="1" customHeight="1" s="311"/>
    <row r="13432" hidden="1" ht="18.75" customFormat="1" customHeight="1" s="311"/>
    <row r="13433" hidden="1" ht="18.75" customFormat="1" customHeight="1" s="311"/>
    <row r="13434" hidden="1" ht="18.75" customFormat="1" customHeight="1" s="311"/>
    <row r="13435" hidden="1" ht="18.75" customFormat="1" customHeight="1" s="311"/>
    <row r="13436" hidden="1" ht="18.75" customFormat="1" customHeight="1" s="311"/>
    <row r="13437" hidden="1" ht="18.75" customFormat="1" customHeight="1" s="311"/>
    <row r="13438" hidden="1" ht="18.75" customFormat="1" customHeight="1" s="311"/>
    <row r="13439" hidden="1" ht="18.75" customFormat="1" customHeight="1" s="311"/>
    <row r="13440" hidden="1" ht="18.75" customFormat="1" customHeight="1" s="311"/>
    <row r="13441" hidden="1" ht="18.75" customFormat="1" customHeight="1" s="311"/>
    <row r="13442" hidden="1" ht="18.75" customFormat="1" customHeight="1" s="311"/>
    <row r="13443" hidden="1" ht="18.75" customFormat="1" customHeight="1" s="311"/>
    <row r="13444" hidden="1" ht="18.75" customFormat="1" customHeight="1" s="311"/>
    <row r="13445" hidden="1" ht="18.75" customFormat="1" customHeight="1" s="311"/>
    <row r="13446" hidden="1" ht="18.75" customFormat="1" customHeight="1" s="311"/>
    <row r="13447" hidden="1" ht="18.75" customFormat="1" customHeight="1" s="311"/>
    <row r="13448" hidden="1" ht="18.75" customFormat="1" customHeight="1" s="311"/>
    <row r="13449" hidden="1" ht="18.75" customFormat="1" customHeight="1" s="311"/>
    <row r="13450" hidden="1" ht="18.75" customFormat="1" customHeight="1" s="311"/>
    <row r="13451" hidden="1" ht="18.75" customFormat="1" customHeight="1" s="311"/>
    <row r="13452" hidden="1" ht="18.75" customFormat="1" customHeight="1" s="311"/>
    <row r="13453" hidden="1" ht="18.75" customFormat="1" customHeight="1" s="311"/>
    <row r="13454" hidden="1" ht="18.75" customFormat="1" customHeight="1" s="311"/>
    <row r="13455" hidden="1" ht="18.75" customFormat="1" customHeight="1" s="311"/>
    <row r="13456" hidden="1" ht="18.75" customFormat="1" customHeight="1" s="311"/>
    <row r="13457" hidden="1" ht="18.75" customFormat="1" customHeight="1" s="311"/>
    <row r="13458" hidden="1" ht="18.75" customFormat="1" customHeight="1" s="311"/>
    <row r="13459" hidden="1" ht="18.75" customFormat="1" customHeight="1" s="311"/>
    <row r="13460" hidden="1" ht="18.75" customFormat="1" customHeight="1" s="311"/>
    <row r="13461" hidden="1" ht="18.75" customFormat="1" customHeight="1" s="311"/>
    <row r="13462" hidden="1" ht="18.75" customFormat="1" customHeight="1" s="311"/>
    <row r="13463" hidden="1" ht="18.75" customFormat="1" customHeight="1" s="311"/>
    <row r="13464" hidden="1" ht="18.75" customFormat="1" customHeight="1" s="311"/>
    <row r="13465" hidden="1" ht="18.75" customFormat="1" customHeight="1" s="311"/>
    <row r="13466" hidden="1" ht="18.75" customFormat="1" customHeight="1" s="311"/>
    <row r="13467" hidden="1" ht="18.75" customFormat="1" customHeight="1" s="311"/>
    <row r="13468" hidden="1" ht="18.75" customFormat="1" customHeight="1" s="311"/>
    <row r="13469" hidden="1" ht="18.75" customFormat="1" customHeight="1" s="311"/>
    <row r="13470" hidden="1" ht="18.75" customFormat="1" customHeight="1" s="311"/>
    <row r="13471" hidden="1" ht="18.75" customFormat="1" customHeight="1" s="311"/>
    <row r="13472" hidden="1" ht="18.75" customFormat="1" customHeight="1" s="311"/>
    <row r="13473" hidden="1" ht="18.75" customFormat="1" customHeight="1" s="311"/>
    <row r="13474" hidden="1" ht="18.75" customFormat="1" customHeight="1" s="311"/>
    <row r="13475" hidden="1" ht="18.75" customFormat="1" customHeight="1" s="311"/>
    <row r="13476" hidden="1" ht="18.75" customFormat="1" customHeight="1" s="311"/>
    <row r="13477" hidden="1" ht="18.75" customFormat="1" customHeight="1" s="311"/>
    <row r="13478" hidden="1" ht="18.75" customFormat="1" customHeight="1" s="311"/>
    <row r="13479" hidden="1" ht="18.75" customFormat="1" customHeight="1" s="311"/>
    <row r="13480" hidden="1" ht="18.75" customFormat="1" customHeight="1" s="311"/>
    <row r="13481" hidden="1" ht="18.75" customFormat="1" customHeight="1" s="311"/>
    <row r="13482" hidden="1" ht="18.75" customFormat="1" customHeight="1" s="311"/>
    <row r="13483" hidden="1" ht="18.75" customFormat="1" customHeight="1" s="311"/>
    <row r="13484" hidden="1" ht="18.75" customFormat="1" customHeight="1" s="311"/>
    <row r="13485" hidden="1" ht="18.75" customFormat="1" customHeight="1" s="311"/>
    <row r="13486" hidden="1" ht="18.75" customFormat="1" customHeight="1" s="311"/>
    <row r="13487" hidden="1" ht="18.75" customFormat="1" customHeight="1" s="311"/>
    <row r="13488" hidden="1" ht="18.75" customFormat="1" customHeight="1" s="311"/>
    <row r="13489" hidden="1" ht="18.75" customFormat="1" customHeight="1" s="311"/>
    <row r="13490" hidden="1" ht="18.75" customFormat="1" customHeight="1" s="311"/>
    <row r="13491" hidden="1" ht="18.75" customFormat="1" customHeight="1" s="311"/>
    <row r="13492" hidden="1" ht="18.75" customFormat="1" customHeight="1" s="311"/>
    <row r="13493" hidden="1" ht="18.75" customFormat="1" customHeight="1" s="311"/>
    <row r="13494" hidden="1" ht="18.75" customFormat="1" customHeight="1" s="311"/>
    <row r="13495" hidden="1" ht="18.75" customFormat="1" customHeight="1" s="311"/>
    <row r="13496" hidden="1" ht="18.75" customFormat="1" customHeight="1" s="311"/>
    <row r="13497" hidden="1" ht="18.75" customFormat="1" customHeight="1" s="311"/>
    <row r="13498" hidden="1" ht="18.75" customFormat="1" customHeight="1" s="311"/>
    <row r="13499" hidden="1" ht="18.75" customFormat="1" customHeight="1" s="311"/>
    <row r="13500" hidden="1" ht="18.75" customFormat="1" customHeight="1" s="311"/>
    <row r="13501" hidden="1" ht="18.75" customFormat="1" customHeight="1" s="311"/>
    <row r="13502" hidden="1" ht="18.75" customFormat="1" customHeight="1" s="311"/>
    <row r="13503" hidden="1" ht="18.75" customFormat="1" customHeight="1" s="311"/>
    <row r="13504" hidden="1" ht="18.75" customFormat="1" customHeight="1" s="311"/>
    <row r="13505" hidden="1" ht="18.75" customFormat="1" customHeight="1" s="311"/>
    <row r="13506" hidden="1" ht="18.75" customFormat="1" customHeight="1" s="311"/>
    <row r="13507" hidden="1" ht="18.75" customFormat="1" customHeight="1" s="311"/>
    <row r="13508" hidden="1" ht="18.75" customFormat="1" customHeight="1" s="311"/>
    <row r="13509" hidden="1" ht="18.75" customFormat="1" customHeight="1" s="311"/>
    <row r="13510" hidden="1" ht="18.75" customFormat="1" customHeight="1" s="311"/>
    <row r="13511" hidden="1" ht="18.75" customFormat="1" customHeight="1" s="311"/>
    <row r="13512" hidden="1" ht="18.75" customFormat="1" customHeight="1" s="311"/>
    <row r="13513" hidden="1" ht="18.75" customFormat="1" customHeight="1" s="311"/>
    <row r="13514" hidden="1" ht="18.75" customFormat="1" customHeight="1" s="311"/>
    <row r="13515" hidden="1" ht="18.75" customFormat="1" customHeight="1" s="311"/>
    <row r="13516" hidden="1" ht="18.75" customFormat="1" customHeight="1" s="311"/>
    <row r="13517" hidden="1" ht="18.75" customFormat="1" customHeight="1" s="311"/>
    <row r="13518" hidden="1" ht="18.75" customFormat="1" customHeight="1" s="311"/>
    <row r="13519" hidden="1" ht="18.75" customFormat="1" customHeight="1" s="311"/>
    <row r="13520" hidden="1" ht="18.75" customFormat="1" customHeight="1" s="311"/>
    <row r="13521" hidden="1" ht="18.75" customFormat="1" customHeight="1" s="311"/>
    <row r="13522" hidden="1" ht="18.75" customFormat="1" customHeight="1" s="311"/>
    <row r="13523" hidden="1" ht="18.75" customFormat="1" customHeight="1" s="311"/>
    <row r="13524" hidden="1" ht="18.75" customFormat="1" customHeight="1" s="311"/>
    <row r="13525" hidden="1" ht="18.75" customFormat="1" customHeight="1" s="311"/>
    <row r="13526" hidden="1" ht="18.75" customFormat="1" customHeight="1" s="311"/>
    <row r="13527" hidden="1" ht="18.75" customFormat="1" customHeight="1" s="311"/>
    <row r="13528" hidden="1" ht="18.75" customFormat="1" customHeight="1" s="311"/>
    <row r="13529" hidden="1" ht="18.75" customFormat="1" customHeight="1" s="311"/>
    <row r="13530" hidden="1" ht="18.75" customFormat="1" customHeight="1" s="311"/>
    <row r="13531" hidden="1" ht="18.75" customFormat="1" customHeight="1" s="311"/>
    <row r="13532" hidden="1" ht="18.75" customFormat="1" customHeight="1" s="311"/>
    <row r="13533" hidden="1" ht="18.75" customFormat="1" customHeight="1" s="311"/>
    <row r="13534" hidden="1" ht="18.75" customFormat="1" customHeight="1" s="311"/>
    <row r="13535" hidden="1" ht="18.75" customFormat="1" customHeight="1" s="311"/>
    <row r="13536" hidden="1" ht="18.75" customFormat="1" customHeight="1" s="311"/>
    <row r="13537" hidden="1" ht="18.75" customFormat="1" customHeight="1" s="311"/>
    <row r="13538" hidden="1" ht="18.75" customFormat="1" customHeight="1" s="311"/>
    <row r="13539" hidden="1" ht="18.75" customFormat="1" customHeight="1" s="311"/>
    <row r="13540" hidden="1" ht="18.75" customFormat="1" customHeight="1" s="311"/>
    <row r="13541" hidden="1" ht="18.75" customFormat="1" customHeight="1" s="311"/>
    <row r="13542" hidden="1" ht="18.75" customFormat="1" customHeight="1" s="311"/>
    <row r="13543" hidden="1" ht="18.75" customFormat="1" customHeight="1" s="311"/>
    <row r="13544" hidden="1" ht="18.75" customFormat="1" customHeight="1" s="311"/>
    <row r="13545" hidden="1" ht="18.75" customFormat="1" customHeight="1" s="311"/>
    <row r="13546" hidden="1" ht="18.75" customFormat="1" customHeight="1" s="311"/>
    <row r="13547" hidden="1" ht="18.75" customFormat="1" customHeight="1" s="311"/>
    <row r="13548" hidden="1" ht="18.75" customFormat="1" customHeight="1" s="311"/>
    <row r="13549" hidden="1" ht="18.75" customFormat="1" customHeight="1" s="311"/>
    <row r="13550" hidden="1" ht="18.75" customFormat="1" customHeight="1" s="311"/>
    <row r="13551" hidden="1" ht="18.75" customFormat="1" customHeight="1" s="311"/>
    <row r="13552" hidden="1" ht="18.75" customFormat="1" customHeight="1" s="311"/>
    <row r="13553" hidden="1" ht="18.75" customFormat="1" customHeight="1" s="311"/>
    <row r="13554" hidden="1" ht="18.75" customFormat="1" customHeight="1" s="311"/>
    <row r="13555" hidden="1" ht="18.75" customFormat="1" customHeight="1" s="311"/>
    <row r="13556" hidden="1" ht="18.75" customFormat="1" customHeight="1" s="311"/>
    <row r="13557" hidden="1" ht="18.75" customFormat="1" customHeight="1" s="311"/>
    <row r="13558" hidden="1" ht="18.75" customFormat="1" customHeight="1" s="311"/>
    <row r="13559" hidden="1" ht="18.75" customFormat="1" customHeight="1" s="311"/>
    <row r="13560" hidden="1" ht="18.75" customFormat="1" customHeight="1" s="311"/>
    <row r="13561" hidden="1" ht="18.75" customFormat="1" customHeight="1" s="311"/>
    <row r="13562" hidden="1" ht="18.75" customFormat="1" customHeight="1" s="311"/>
    <row r="13563" hidden="1" ht="18.75" customFormat="1" customHeight="1" s="311"/>
    <row r="13564" hidden="1" ht="18.75" customFormat="1" customHeight="1" s="311"/>
    <row r="13565" hidden="1" ht="18.75" customFormat="1" customHeight="1" s="311"/>
    <row r="13566" hidden="1" ht="18.75" customFormat="1" customHeight="1" s="311"/>
    <row r="13567" hidden="1" ht="18.75" customFormat="1" customHeight="1" s="311"/>
    <row r="13568" hidden="1" ht="18.75" customFormat="1" customHeight="1" s="311"/>
    <row r="13569" hidden="1" ht="18.75" customFormat="1" customHeight="1" s="311"/>
    <row r="13570" hidden="1" ht="18.75" customFormat="1" customHeight="1" s="311"/>
    <row r="13571" hidden="1" ht="18.75" customFormat="1" customHeight="1" s="311"/>
    <row r="13572" hidden="1" ht="18.75" customFormat="1" customHeight="1" s="311"/>
    <row r="13573" hidden="1" ht="18.75" customFormat="1" customHeight="1" s="311"/>
    <row r="13574" hidden="1" ht="18.75" customFormat="1" customHeight="1" s="311"/>
    <row r="13575" hidden="1" ht="18.75" customFormat="1" customHeight="1" s="311"/>
    <row r="13576" hidden="1" ht="18.75" customFormat="1" customHeight="1" s="311"/>
    <row r="13577" hidden="1" ht="18.75" customFormat="1" customHeight="1" s="311"/>
    <row r="13578" hidden="1" ht="18.75" customFormat="1" customHeight="1" s="311"/>
    <row r="13579" hidden="1" ht="18.75" customFormat="1" customHeight="1" s="311"/>
    <row r="13580" hidden="1" ht="18.75" customFormat="1" customHeight="1" s="311"/>
    <row r="13581" hidden="1" ht="18.75" customFormat="1" customHeight="1" s="311"/>
    <row r="13582" hidden="1" ht="18.75" customFormat="1" customHeight="1" s="311"/>
    <row r="13583" hidden="1" ht="18.75" customFormat="1" customHeight="1" s="311"/>
    <row r="13584" hidden="1" ht="18.75" customFormat="1" customHeight="1" s="311"/>
    <row r="13585" hidden="1" ht="18.75" customFormat="1" customHeight="1" s="311"/>
    <row r="13586" hidden="1" ht="18.75" customFormat="1" customHeight="1" s="311"/>
    <row r="13587" hidden="1" ht="18.75" customFormat="1" customHeight="1" s="311"/>
    <row r="13588" hidden="1" ht="18.75" customFormat="1" customHeight="1" s="311"/>
    <row r="13589" hidden="1" ht="18.75" customFormat="1" customHeight="1" s="311"/>
    <row r="13590" hidden="1" ht="18.75" customFormat="1" customHeight="1" s="311"/>
    <row r="13591" hidden="1" ht="18.75" customFormat="1" customHeight="1" s="311"/>
    <row r="13592" hidden="1" ht="18.75" customFormat="1" customHeight="1" s="311"/>
    <row r="13593" hidden="1" ht="18.75" customFormat="1" customHeight="1" s="311"/>
    <row r="13594" hidden="1" ht="18.75" customFormat="1" customHeight="1" s="311"/>
    <row r="13595" hidden="1" ht="18.75" customFormat="1" customHeight="1" s="311"/>
    <row r="13596" hidden="1" ht="18.75" customFormat="1" customHeight="1" s="311"/>
    <row r="13597" hidden="1" ht="18.75" customFormat="1" customHeight="1" s="311"/>
    <row r="13598" hidden="1" ht="18.75" customFormat="1" customHeight="1" s="311"/>
    <row r="13599" hidden="1" ht="18.75" customFormat="1" customHeight="1" s="311"/>
    <row r="13600" hidden="1" ht="18.75" customFormat="1" customHeight="1" s="311"/>
    <row r="13601" hidden="1" ht="18.75" customFormat="1" customHeight="1" s="311"/>
    <row r="13602" hidden="1" ht="18.75" customFormat="1" customHeight="1" s="311"/>
    <row r="13603" hidden="1" ht="18.75" customFormat="1" customHeight="1" s="311"/>
    <row r="13604" hidden="1" ht="18.75" customFormat="1" customHeight="1" s="311"/>
    <row r="13605" hidden="1" ht="18.75" customFormat="1" customHeight="1" s="311"/>
    <row r="13606" hidden="1" ht="18.75" customFormat="1" customHeight="1" s="311"/>
    <row r="13607" hidden="1" ht="18.75" customFormat="1" customHeight="1" s="311"/>
    <row r="13608" hidden="1" ht="18.75" customFormat="1" customHeight="1" s="311"/>
    <row r="13609" hidden="1" ht="18.75" customFormat="1" customHeight="1" s="311"/>
    <row r="13610" hidden="1" ht="18.75" customFormat="1" customHeight="1" s="311"/>
    <row r="13611" hidden="1" ht="18.75" customFormat="1" customHeight="1" s="311"/>
    <row r="13612" hidden="1" ht="18.75" customFormat="1" customHeight="1" s="311"/>
    <row r="13613" hidden="1" ht="18.75" customFormat="1" customHeight="1" s="311"/>
    <row r="13614" hidden="1" ht="18.75" customFormat="1" customHeight="1" s="311"/>
    <row r="13615" hidden="1" ht="18.75" customFormat="1" customHeight="1" s="311"/>
    <row r="13616" hidden="1" ht="18.75" customFormat="1" customHeight="1" s="311"/>
    <row r="13617" hidden="1" ht="18.75" customFormat="1" customHeight="1" s="311"/>
    <row r="13618" hidden="1" ht="18.75" customFormat="1" customHeight="1" s="311"/>
    <row r="13619" hidden="1" ht="18.75" customFormat="1" customHeight="1" s="311"/>
    <row r="13620" hidden="1" ht="18.75" customFormat="1" customHeight="1" s="311"/>
    <row r="13621" hidden="1" ht="18.75" customFormat="1" customHeight="1" s="311"/>
    <row r="13622" hidden="1" ht="18.75" customFormat="1" customHeight="1" s="311"/>
    <row r="13623" hidden="1" ht="18.75" customFormat="1" customHeight="1" s="311"/>
    <row r="13624" hidden="1" ht="18.75" customFormat="1" customHeight="1" s="311"/>
    <row r="13625" hidden="1" ht="18.75" customFormat="1" customHeight="1" s="311"/>
    <row r="13626" hidden="1" ht="18.75" customFormat="1" customHeight="1" s="311"/>
    <row r="13627" hidden="1" ht="18.75" customFormat="1" customHeight="1" s="311"/>
    <row r="13628" hidden="1" ht="18.75" customFormat="1" customHeight="1" s="311"/>
    <row r="13629" hidden="1" ht="18.75" customFormat="1" customHeight="1" s="311"/>
    <row r="13630" hidden="1" ht="18.75" customFormat="1" customHeight="1" s="311"/>
    <row r="13631" hidden="1" ht="18.75" customFormat="1" customHeight="1" s="311"/>
    <row r="13632" hidden="1" ht="18.75" customFormat="1" customHeight="1" s="311"/>
    <row r="13633" hidden="1" ht="18.75" customFormat="1" customHeight="1" s="311"/>
    <row r="13634" hidden="1" ht="18.75" customFormat="1" customHeight="1" s="311"/>
    <row r="13635" hidden="1" ht="18.75" customFormat="1" customHeight="1" s="311"/>
    <row r="13636" hidden="1" ht="18.75" customFormat="1" customHeight="1" s="311"/>
    <row r="13637" hidden="1" ht="18.75" customFormat="1" customHeight="1" s="311"/>
    <row r="13638" hidden="1" ht="18.75" customFormat="1" customHeight="1" s="311"/>
    <row r="13639" hidden="1" ht="18.75" customFormat="1" customHeight="1" s="311"/>
    <row r="13640" hidden="1" ht="18.75" customFormat="1" customHeight="1" s="311"/>
    <row r="13641" hidden="1" ht="18.75" customFormat="1" customHeight="1" s="311"/>
    <row r="13642" hidden="1" ht="18.75" customFormat="1" customHeight="1" s="311"/>
    <row r="13643" hidden="1" ht="18.75" customFormat="1" customHeight="1" s="311"/>
    <row r="13644" hidden="1" ht="18.75" customFormat="1" customHeight="1" s="311"/>
    <row r="13645" hidden="1" ht="18.75" customFormat="1" customHeight="1" s="311"/>
    <row r="13646" hidden="1" ht="18.75" customFormat="1" customHeight="1" s="311"/>
    <row r="13647" hidden="1" ht="18.75" customFormat="1" customHeight="1" s="311"/>
    <row r="13648" hidden="1" ht="18.75" customFormat="1" customHeight="1" s="311"/>
    <row r="13649" hidden="1" ht="18.75" customFormat="1" customHeight="1" s="311"/>
    <row r="13650" hidden="1" ht="18.75" customFormat="1" customHeight="1" s="311"/>
    <row r="13651" hidden="1" ht="18.75" customFormat="1" customHeight="1" s="311"/>
    <row r="13652" hidden="1" ht="18.75" customFormat="1" customHeight="1" s="311"/>
    <row r="13653" hidden="1" ht="18.75" customFormat="1" customHeight="1" s="311"/>
    <row r="13654" hidden="1" ht="18.75" customFormat="1" customHeight="1" s="311"/>
    <row r="13655" hidden="1" ht="18.75" customFormat="1" customHeight="1" s="311"/>
    <row r="13656" hidden="1" ht="18.75" customFormat="1" customHeight="1" s="311"/>
    <row r="13657" hidden="1" ht="18.75" customFormat="1" customHeight="1" s="311"/>
    <row r="13658" hidden="1" ht="18.75" customFormat="1" customHeight="1" s="311"/>
    <row r="13659" hidden="1" ht="18.75" customFormat="1" customHeight="1" s="311"/>
    <row r="13660" hidden="1" ht="18.75" customFormat="1" customHeight="1" s="311"/>
    <row r="13661" hidden="1" ht="18.75" customFormat="1" customHeight="1" s="311"/>
    <row r="13662" hidden="1" ht="18.75" customFormat="1" customHeight="1" s="311"/>
    <row r="13663" hidden="1" ht="18.75" customFormat="1" customHeight="1" s="311"/>
    <row r="13664" hidden="1" ht="18.75" customFormat="1" customHeight="1" s="311"/>
    <row r="13665" hidden="1" ht="18.75" customFormat="1" customHeight="1" s="311"/>
    <row r="13666" hidden="1" ht="18.75" customFormat="1" customHeight="1" s="311"/>
    <row r="13667" hidden="1" ht="18.75" customFormat="1" customHeight="1" s="311"/>
    <row r="13668" hidden="1" ht="18.75" customFormat="1" customHeight="1" s="311"/>
    <row r="13669" hidden="1" ht="18.75" customFormat="1" customHeight="1" s="311"/>
    <row r="13670" hidden="1" ht="18.75" customFormat="1" customHeight="1" s="311"/>
    <row r="13671" hidden="1" ht="18.75" customFormat="1" customHeight="1" s="311"/>
    <row r="13672" hidden="1" ht="18.75" customFormat="1" customHeight="1" s="311"/>
    <row r="13673" hidden="1" ht="18.75" customFormat="1" customHeight="1" s="311"/>
    <row r="13674" hidden="1" ht="18.75" customFormat="1" customHeight="1" s="311"/>
    <row r="13675" hidden="1" ht="18.75" customFormat="1" customHeight="1" s="311"/>
    <row r="13676" hidden="1" ht="18.75" customFormat="1" customHeight="1" s="311"/>
    <row r="13677" hidden="1" ht="18.75" customFormat="1" customHeight="1" s="311"/>
    <row r="13678" hidden="1" ht="18.75" customFormat="1" customHeight="1" s="311"/>
    <row r="13679" hidden="1" ht="18.75" customFormat="1" customHeight="1" s="311"/>
    <row r="13680" hidden="1" ht="18.75" customFormat="1" customHeight="1" s="311"/>
    <row r="13681" hidden="1" ht="18.75" customFormat="1" customHeight="1" s="311"/>
    <row r="13682" hidden="1" ht="18.75" customFormat="1" customHeight="1" s="311"/>
    <row r="13683" hidden="1" ht="18.75" customFormat="1" customHeight="1" s="311"/>
    <row r="13684" hidden="1" ht="18.75" customFormat="1" customHeight="1" s="311"/>
    <row r="13685" hidden="1" ht="18.75" customFormat="1" customHeight="1" s="311"/>
    <row r="13686" hidden="1" ht="18.75" customFormat="1" customHeight="1" s="311"/>
    <row r="13687" hidden="1" ht="18.75" customFormat="1" customHeight="1" s="311"/>
    <row r="13688" hidden="1" ht="18.75" customFormat="1" customHeight="1" s="311"/>
    <row r="13689" hidden="1" ht="18.75" customFormat="1" customHeight="1" s="311"/>
    <row r="13690" hidden="1" ht="18.75" customFormat="1" customHeight="1" s="311"/>
    <row r="13691" hidden="1" ht="18.75" customFormat="1" customHeight="1" s="311"/>
    <row r="13692" hidden="1" ht="18.75" customFormat="1" customHeight="1" s="311"/>
    <row r="13693" hidden="1" ht="18.75" customFormat="1" customHeight="1" s="311"/>
    <row r="13694" hidden="1" ht="18.75" customFormat="1" customHeight="1" s="311"/>
    <row r="13695" hidden="1" ht="18.75" customFormat="1" customHeight="1" s="311"/>
    <row r="13696" hidden="1" ht="18.75" customFormat="1" customHeight="1" s="311"/>
    <row r="13697" hidden="1" ht="18.75" customFormat="1" customHeight="1" s="311"/>
    <row r="13698" hidden="1" ht="18.75" customFormat="1" customHeight="1" s="311"/>
    <row r="13699" hidden="1" ht="18.75" customFormat="1" customHeight="1" s="311"/>
    <row r="13700" hidden="1" ht="18.75" customFormat="1" customHeight="1" s="311"/>
    <row r="13701" hidden="1" ht="18.75" customFormat="1" customHeight="1" s="311"/>
    <row r="13702" hidden="1" ht="18.75" customFormat="1" customHeight="1" s="311"/>
    <row r="13703" hidden="1" ht="18.75" customFormat="1" customHeight="1" s="311"/>
    <row r="13704" hidden="1" ht="18.75" customFormat="1" customHeight="1" s="311"/>
    <row r="13705" hidden="1" ht="18.75" customFormat="1" customHeight="1" s="311"/>
    <row r="13706" hidden="1" ht="18.75" customFormat="1" customHeight="1" s="311"/>
    <row r="13707" hidden="1" ht="18.75" customFormat="1" customHeight="1" s="311"/>
    <row r="13708" hidden="1" ht="18.75" customFormat="1" customHeight="1" s="311"/>
    <row r="13709" hidden="1" ht="18.75" customFormat="1" customHeight="1" s="311"/>
    <row r="13710" hidden="1" ht="18.75" customFormat="1" customHeight="1" s="311"/>
    <row r="13711" hidden="1" ht="18.75" customFormat="1" customHeight="1" s="311"/>
    <row r="13712" hidden="1" ht="18.75" customFormat="1" customHeight="1" s="311"/>
    <row r="13713" hidden="1" ht="18.75" customFormat="1" customHeight="1" s="311"/>
    <row r="13714" hidden="1" ht="18.75" customFormat="1" customHeight="1" s="311"/>
    <row r="13715" hidden="1" ht="18.75" customFormat="1" customHeight="1" s="311"/>
    <row r="13716" hidden="1" ht="18.75" customFormat="1" customHeight="1" s="311"/>
    <row r="13717" hidden="1" ht="18.75" customFormat="1" customHeight="1" s="311"/>
    <row r="13718" hidden="1" ht="18.75" customFormat="1" customHeight="1" s="311"/>
    <row r="13719" hidden="1" ht="18.75" customFormat="1" customHeight="1" s="311"/>
    <row r="13720" hidden="1" ht="18.75" customFormat="1" customHeight="1" s="311"/>
    <row r="13721" hidden="1" ht="18.75" customFormat="1" customHeight="1" s="311"/>
    <row r="13722" hidden="1" ht="18.75" customFormat="1" customHeight="1" s="311"/>
    <row r="13723" hidden="1" ht="18.75" customFormat="1" customHeight="1" s="311"/>
    <row r="13724" hidden="1" ht="18.75" customFormat="1" customHeight="1" s="311"/>
    <row r="13725" hidden="1" ht="18.75" customFormat="1" customHeight="1" s="311"/>
    <row r="13726" hidden="1" ht="18.75" customFormat="1" customHeight="1" s="311"/>
    <row r="13727" hidden="1" ht="18.75" customFormat="1" customHeight="1" s="311"/>
    <row r="13728" hidden="1" ht="18.75" customFormat="1" customHeight="1" s="311"/>
    <row r="13729" hidden="1" ht="18.75" customFormat="1" customHeight="1" s="311"/>
    <row r="13730" hidden="1" ht="18.75" customFormat="1" customHeight="1" s="311"/>
    <row r="13731" hidden="1" ht="18.75" customFormat="1" customHeight="1" s="311"/>
    <row r="13732" hidden="1" ht="18.75" customFormat="1" customHeight="1" s="311"/>
    <row r="13733" hidden="1" ht="18.75" customFormat="1" customHeight="1" s="311"/>
    <row r="13734" hidden="1" ht="18.75" customFormat="1" customHeight="1" s="311"/>
    <row r="13735" hidden="1" ht="18.75" customFormat="1" customHeight="1" s="311"/>
    <row r="13736" hidden="1" ht="18.75" customFormat="1" customHeight="1" s="311"/>
    <row r="13737" hidden="1" ht="18.75" customFormat="1" customHeight="1" s="311"/>
    <row r="13738" hidden="1" ht="18.75" customFormat="1" customHeight="1" s="311"/>
    <row r="13739" hidden="1" ht="18.75" customFormat="1" customHeight="1" s="311"/>
    <row r="13740" hidden="1" ht="18.75" customFormat="1" customHeight="1" s="311"/>
    <row r="13741" hidden="1" ht="18.75" customFormat="1" customHeight="1" s="311"/>
    <row r="13742" hidden="1" ht="18.75" customFormat="1" customHeight="1" s="311"/>
    <row r="13743" hidden="1" ht="18.75" customFormat="1" customHeight="1" s="311"/>
    <row r="13744" hidden="1" ht="18.75" customFormat="1" customHeight="1" s="311"/>
    <row r="13745" hidden="1" ht="18.75" customFormat="1" customHeight="1" s="311"/>
    <row r="13746" hidden="1" ht="18.75" customFormat="1" customHeight="1" s="311"/>
    <row r="13747" hidden="1" ht="18.75" customFormat="1" customHeight="1" s="311"/>
    <row r="13748" hidden="1" ht="18.75" customFormat="1" customHeight="1" s="311"/>
    <row r="13749" hidden="1" ht="18.75" customFormat="1" customHeight="1" s="311"/>
    <row r="13750" hidden="1" ht="18.75" customFormat="1" customHeight="1" s="311"/>
    <row r="13751" hidden="1" ht="18.75" customFormat="1" customHeight="1" s="311"/>
    <row r="13752" hidden="1" ht="18.75" customFormat="1" customHeight="1" s="311"/>
    <row r="13753" hidden="1" ht="18.75" customFormat="1" customHeight="1" s="311"/>
    <row r="13754" hidden="1" ht="18.75" customFormat="1" customHeight="1" s="311"/>
    <row r="13755" hidden="1" ht="18.75" customFormat="1" customHeight="1" s="311"/>
    <row r="13756" hidden="1" ht="18.75" customFormat="1" customHeight="1" s="311"/>
    <row r="13757" hidden="1" ht="18.75" customFormat="1" customHeight="1" s="311"/>
    <row r="13758" hidden="1" ht="18.75" customFormat="1" customHeight="1" s="311"/>
    <row r="13759" hidden="1" ht="18.75" customFormat="1" customHeight="1" s="311"/>
    <row r="13760" hidden="1" ht="18.75" customFormat="1" customHeight="1" s="311"/>
    <row r="13761" hidden="1" ht="18.75" customFormat="1" customHeight="1" s="311"/>
    <row r="13762" hidden="1" ht="18.75" customFormat="1" customHeight="1" s="311"/>
    <row r="13763" hidden="1" ht="18.75" customFormat="1" customHeight="1" s="311"/>
    <row r="13764" hidden="1" ht="18.75" customFormat="1" customHeight="1" s="311"/>
    <row r="13765" hidden="1" ht="18.75" customFormat="1" customHeight="1" s="311"/>
    <row r="13766" hidden="1" ht="18.75" customFormat="1" customHeight="1" s="311"/>
    <row r="13767" hidden="1" ht="18.75" customFormat="1" customHeight="1" s="311"/>
    <row r="13768" hidden="1" ht="18.75" customFormat="1" customHeight="1" s="311"/>
    <row r="13769" hidden="1" ht="18.75" customFormat="1" customHeight="1" s="311"/>
    <row r="13770" hidden="1" ht="18.75" customFormat="1" customHeight="1" s="311"/>
    <row r="13771" hidden="1" ht="18.75" customFormat="1" customHeight="1" s="311"/>
    <row r="13772" hidden="1" ht="18.75" customFormat="1" customHeight="1" s="311"/>
    <row r="13773" hidden="1" ht="18.75" customFormat="1" customHeight="1" s="311"/>
    <row r="13774" hidden="1" ht="18.75" customFormat="1" customHeight="1" s="311"/>
    <row r="13775" hidden="1" ht="18.75" customFormat="1" customHeight="1" s="311"/>
    <row r="13776" hidden="1" ht="18.75" customFormat="1" customHeight="1" s="311"/>
    <row r="13777" hidden="1" ht="18.75" customFormat="1" customHeight="1" s="311"/>
    <row r="13778" hidden="1" ht="18.75" customFormat="1" customHeight="1" s="311"/>
    <row r="13779" hidden="1" ht="18.75" customFormat="1" customHeight="1" s="311"/>
    <row r="13780" hidden="1" ht="18.75" customFormat="1" customHeight="1" s="311"/>
    <row r="13781" hidden="1" ht="18.75" customFormat="1" customHeight="1" s="311"/>
    <row r="13782" hidden="1" ht="18.75" customFormat="1" customHeight="1" s="311"/>
    <row r="13783" hidden="1" ht="18.75" customFormat="1" customHeight="1" s="311"/>
    <row r="13784" hidden="1" ht="18.75" customFormat="1" customHeight="1" s="311"/>
    <row r="13785" hidden="1" ht="18.75" customFormat="1" customHeight="1" s="311"/>
    <row r="13786" hidden="1" ht="18.75" customFormat="1" customHeight="1" s="311"/>
    <row r="13787" hidden="1" ht="18.75" customFormat="1" customHeight="1" s="311"/>
    <row r="13788" hidden="1" ht="18.75" customFormat="1" customHeight="1" s="311"/>
    <row r="13789" hidden="1" ht="18.75" customFormat="1" customHeight="1" s="311"/>
    <row r="13790" hidden="1" ht="18.75" customFormat="1" customHeight="1" s="311"/>
    <row r="13791" hidden="1" ht="18.75" customFormat="1" customHeight="1" s="311"/>
    <row r="13792" hidden="1" ht="18.75" customFormat="1" customHeight="1" s="311"/>
    <row r="13793" hidden="1" ht="18.75" customFormat="1" customHeight="1" s="311"/>
    <row r="13794" hidden="1" ht="18.75" customFormat="1" customHeight="1" s="311"/>
    <row r="13795" hidden="1" ht="18.75" customFormat="1" customHeight="1" s="311"/>
    <row r="13796" hidden="1" ht="18.75" customFormat="1" customHeight="1" s="311"/>
    <row r="13797" hidden="1" ht="18.75" customFormat="1" customHeight="1" s="311"/>
    <row r="13798" hidden="1" ht="18.75" customFormat="1" customHeight="1" s="311"/>
    <row r="13799" hidden="1" ht="18.75" customFormat="1" customHeight="1" s="311"/>
    <row r="13800" hidden="1" ht="18.75" customFormat="1" customHeight="1" s="311"/>
    <row r="13801" hidden="1" ht="18.75" customFormat="1" customHeight="1" s="311"/>
    <row r="13802" hidden="1" ht="18.75" customFormat="1" customHeight="1" s="311"/>
    <row r="13803" hidden="1" ht="18.75" customFormat="1" customHeight="1" s="311"/>
    <row r="13804" hidden="1" ht="18.75" customFormat="1" customHeight="1" s="311"/>
    <row r="13805" hidden="1" ht="18.75" customFormat="1" customHeight="1" s="311"/>
    <row r="13806" hidden="1" ht="18.75" customFormat="1" customHeight="1" s="311"/>
    <row r="13807" hidden="1" ht="18.75" customFormat="1" customHeight="1" s="311"/>
    <row r="13808" hidden="1" ht="18.75" customFormat="1" customHeight="1" s="311"/>
    <row r="13809" hidden="1" ht="18.75" customFormat="1" customHeight="1" s="311"/>
    <row r="13810" hidden="1" ht="18.75" customFormat="1" customHeight="1" s="311"/>
    <row r="13811" hidden="1" ht="18.75" customFormat="1" customHeight="1" s="311"/>
    <row r="13812" hidden="1" ht="18.75" customFormat="1" customHeight="1" s="311"/>
    <row r="13813" hidden="1" ht="18.75" customFormat="1" customHeight="1" s="311"/>
    <row r="13814" hidden="1" ht="18.75" customFormat="1" customHeight="1" s="311"/>
    <row r="13815" hidden="1" ht="18.75" customFormat="1" customHeight="1" s="311"/>
    <row r="13816" hidden="1" ht="18.75" customFormat="1" customHeight="1" s="311"/>
    <row r="13817" hidden="1" ht="18.75" customFormat="1" customHeight="1" s="311"/>
    <row r="13818" hidden="1" ht="18.75" customFormat="1" customHeight="1" s="311"/>
    <row r="13819" hidden="1" ht="18.75" customFormat="1" customHeight="1" s="311"/>
    <row r="13820" hidden="1" ht="18.75" customFormat="1" customHeight="1" s="311"/>
    <row r="13821" hidden="1" ht="18.75" customFormat="1" customHeight="1" s="311"/>
    <row r="13822" hidden="1" ht="18.75" customFormat="1" customHeight="1" s="311"/>
    <row r="13823" hidden="1" ht="18.75" customFormat="1" customHeight="1" s="311"/>
    <row r="13824" hidden="1" ht="18.75" customFormat="1" customHeight="1" s="311"/>
    <row r="13825" hidden="1" ht="18.75" customFormat="1" customHeight="1" s="311"/>
    <row r="13826" hidden="1" ht="18.75" customFormat="1" customHeight="1" s="311"/>
    <row r="13827" hidden="1" ht="18.75" customFormat="1" customHeight="1" s="311"/>
    <row r="13828" hidden="1" ht="18.75" customFormat="1" customHeight="1" s="311"/>
    <row r="13829" hidden="1" ht="18.75" customFormat="1" customHeight="1" s="311"/>
    <row r="13830" hidden="1" ht="18.75" customFormat="1" customHeight="1" s="311"/>
    <row r="13831" hidden="1" ht="18.75" customFormat="1" customHeight="1" s="311"/>
    <row r="13832" hidden="1" ht="18.75" customFormat="1" customHeight="1" s="311"/>
    <row r="13833" hidden="1" ht="18.75" customFormat="1" customHeight="1" s="311"/>
    <row r="13834" hidden="1" ht="18.75" customFormat="1" customHeight="1" s="311"/>
    <row r="13835" hidden="1" ht="18.75" customFormat="1" customHeight="1" s="311"/>
    <row r="13836" hidden="1" ht="18.75" customFormat="1" customHeight="1" s="311"/>
    <row r="13837" hidden="1" ht="18.75" customFormat="1" customHeight="1" s="311"/>
    <row r="13838" hidden="1" ht="18.75" customFormat="1" customHeight="1" s="311"/>
    <row r="13839" hidden="1" ht="18.75" customFormat="1" customHeight="1" s="311"/>
    <row r="13840" hidden="1" ht="18.75" customFormat="1" customHeight="1" s="311"/>
    <row r="13841" hidden="1" ht="18.75" customFormat="1" customHeight="1" s="311"/>
    <row r="13842" hidden="1" ht="18.75" customFormat="1" customHeight="1" s="311"/>
    <row r="13843" hidden="1" ht="18.75" customFormat="1" customHeight="1" s="311"/>
    <row r="13844" hidden="1" ht="18.75" customFormat="1" customHeight="1" s="311"/>
    <row r="13845" hidden="1" ht="18.75" customFormat="1" customHeight="1" s="311"/>
    <row r="13846" hidden="1" ht="18.75" customFormat="1" customHeight="1" s="311"/>
    <row r="13847" hidden="1" ht="18.75" customFormat="1" customHeight="1" s="311"/>
    <row r="13848" hidden="1" ht="18.75" customFormat="1" customHeight="1" s="311"/>
    <row r="13849" hidden="1" ht="18.75" customFormat="1" customHeight="1" s="311"/>
    <row r="13850" hidden="1" ht="18.75" customFormat="1" customHeight="1" s="311"/>
    <row r="13851" hidden="1" ht="18.75" customFormat="1" customHeight="1" s="311"/>
    <row r="13852" hidden="1" ht="18.75" customFormat="1" customHeight="1" s="311"/>
    <row r="13853" hidden="1" ht="18.75" customFormat="1" customHeight="1" s="311"/>
    <row r="13854" hidden="1" ht="18.75" customFormat="1" customHeight="1" s="311"/>
    <row r="13855" hidden="1" ht="18.75" customFormat="1" customHeight="1" s="311"/>
    <row r="13856" hidden="1" ht="18.75" customFormat="1" customHeight="1" s="311"/>
    <row r="13857" hidden="1" ht="18.75" customFormat="1" customHeight="1" s="311"/>
    <row r="13858" hidden="1" ht="18.75" customFormat="1" customHeight="1" s="311"/>
    <row r="13859" hidden="1" ht="18.75" customFormat="1" customHeight="1" s="311"/>
    <row r="13860" hidden="1" ht="18.75" customFormat="1" customHeight="1" s="311"/>
    <row r="13861" hidden="1" ht="18.75" customFormat="1" customHeight="1" s="311"/>
    <row r="13862" hidden="1" ht="18.75" customFormat="1" customHeight="1" s="311"/>
    <row r="13863" hidden="1" ht="18.75" customFormat="1" customHeight="1" s="311"/>
    <row r="13864" hidden="1" ht="18.75" customFormat="1" customHeight="1" s="311"/>
    <row r="13865" hidden="1" ht="18.75" customFormat="1" customHeight="1" s="311"/>
    <row r="13866" hidden="1" ht="18.75" customFormat="1" customHeight="1" s="311"/>
    <row r="13867" hidden="1" ht="18.75" customFormat="1" customHeight="1" s="311"/>
    <row r="13868" hidden="1" ht="18.75" customFormat="1" customHeight="1" s="311"/>
    <row r="13869" hidden="1" ht="18.75" customFormat="1" customHeight="1" s="311"/>
    <row r="13870" hidden="1" ht="18.75" customFormat="1" customHeight="1" s="311"/>
    <row r="13871" hidden="1" ht="18.75" customFormat="1" customHeight="1" s="311"/>
    <row r="13872" hidden="1" ht="18.75" customFormat="1" customHeight="1" s="311"/>
    <row r="13873" hidden="1" ht="18.75" customFormat="1" customHeight="1" s="311"/>
    <row r="13874" hidden="1" ht="18.75" customFormat="1" customHeight="1" s="311"/>
    <row r="13875" hidden="1" ht="18.75" customFormat="1" customHeight="1" s="311"/>
    <row r="13876" hidden="1" ht="18.75" customFormat="1" customHeight="1" s="311"/>
    <row r="13877" hidden="1" ht="18.75" customFormat="1" customHeight="1" s="311"/>
    <row r="13878" hidden="1" ht="18.75" customFormat="1" customHeight="1" s="311"/>
    <row r="13879" hidden="1" ht="18.75" customFormat="1" customHeight="1" s="311"/>
    <row r="13880" hidden="1" ht="18.75" customFormat="1" customHeight="1" s="311"/>
    <row r="13881" hidden="1" ht="18.75" customFormat="1" customHeight="1" s="311"/>
    <row r="13882" hidden="1" ht="18.75" customFormat="1" customHeight="1" s="311"/>
    <row r="13883" hidden="1" ht="18.75" customFormat="1" customHeight="1" s="311"/>
    <row r="13884" hidden="1" ht="18.75" customFormat="1" customHeight="1" s="311"/>
    <row r="13885" hidden="1" ht="18.75" customFormat="1" customHeight="1" s="311"/>
    <row r="13886" hidden="1" ht="18.75" customFormat="1" customHeight="1" s="311"/>
    <row r="13887" hidden="1" ht="18.75" customFormat="1" customHeight="1" s="311"/>
    <row r="13888" hidden="1" ht="18.75" customFormat="1" customHeight="1" s="311"/>
    <row r="13889" hidden="1" ht="18.75" customFormat="1" customHeight="1" s="311"/>
    <row r="13890" hidden="1" ht="18.75" customFormat="1" customHeight="1" s="311"/>
    <row r="13891" hidden="1" ht="18.75" customFormat="1" customHeight="1" s="311"/>
    <row r="13892" hidden="1" ht="18.75" customFormat="1" customHeight="1" s="311"/>
    <row r="13893" hidden="1" ht="18.75" customFormat="1" customHeight="1" s="311"/>
    <row r="13894" hidden="1" ht="18.75" customFormat="1" customHeight="1" s="311"/>
    <row r="13895" hidden="1" ht="18.75" customFormat="1" customHeight="1" s="311"/>
    <row r="13896" hidden="1" ht="18.75" customFormat="1" customHeight="1" s="311"/>
    <row r="13897" hidden="1" ht="18.75" customFormat="1" customHeight="1" s="311"/>
    <row r="13898" hidden="1" ht="18.75" customFormat="1" customHeight="1" s="311"/>
    <row r="13899" hidden="1" ht="18.75" customFormat="1" customHeight="1" s="311"/>
    <row r="13900" hidden="1" ht="18.75" customFormat="1" customHeight="1" s="311"/>
    <row r="13901" hidden="1" ht="18.75" customFormat="1" customHeight="1" s="311"/>
    <row r="13902" hidden="1" ht="18.75" customFormat="1" customHeight="1" s="311"/>
    <row r="13903" hidden="1" ht="18.75" customFormat="1" customHeight="1" s="311"/>
    <row r="13904" hidden="1" ht="18.75" customFormat="1" customHeight="1" s="311"/>
    <row r="13905" hidden="1" ht="18.75" customFormat="1" customHeight="1" s="311"/>
    <row r="13906" hidden="1" ht="18.75" customFormat="1" customHeight="1" s="311"/>
    <row r="13907" hidden="1" ht="18.75" customFormat="1" customHeight="1" s="311"/>
    <row r="13908" hidden="1" ht="18.75" customFormat="1" customHeight="1" s="311"/>
    <row r="13909" hidden="1" ht="18.75" customFormat="1" customHeight="1" s="311"/>
    <row r="13910" hidden="1" ht="18.75" customFormat="1" customHeight="1" s="311"/>
    <row r="13911" hidden="1" ht="18.75" customFormat="1" customHeight="1" s="311"/>
    <row r="13912" hidden="1" ht="18.75" customFormat="1" customHeight="1" s="311"/>
    <row r="13913" hidden="1" ht="18.75" customFormat="1" customHeight="1" s="311"/>
    <row r="13914" hidden="1" ht="18.75" customFormat="1" customHeight="1" s="311"/>
    <row r="13915" hidden="1" ht="18.75" customFormat="1" customHeight="1" s="311"/>
    <row r="13916" hidden="1" ht="18.75" customFormat="1" customHeight="1" s="311"/>
    <row r="13917" hidden="1" ht="18.75" customFormat="1" customHeight="1" s="311"/>
    <row r="13918" hidden="1" ht="18.75" customFormat="1" customHeight="1" s="311"/>
    <row r="13919" hidden="1" ht="18.75" customFormat="1" customHeight="1" s="311"/>
    <row r="13920" hidden="1" ht="18.75" customFormat="1" customHeight="1" s="311"/>
    <row r="13921" hidden="1" ht="18.75" customFormat="1" customHeight="1" s="311"/>
    <row r="13922" hidden="1" ht="18.75" customFormat="1" customHeight="1" s="311"/>
    <row r="13923" hidden="1" ht="18.75" customFormat="1" customHeight="1" s="311"/>
    <row r="13924" hidden="1" ht="18.75" customFormat="1" customHeight="1" s="311"/>
    <row r="13925" hidden="1" ht="18.75" customFormat="1" customHeight="1" s="311"/>
    <row r="13926" hidden="1" ht="18.75" customFormat="1" customHeight="1" s="311"/>
    <row r="13927" hidden="1" ht="18.75" customFormat="1" customHeight="1" s="311"/>
    <row r="13928" hidden="1" ht="18.75" customFormat="1" customHeight="1" s="311"/>
    <row r="13929" hidden="1" ht="18.75" customFormat="1" customHeight="1" s="311"/>
    <row r="13930" hidden="1" ht="18.75" customFormat="1" customHeight="1" s="311"/>
    <row r="13931" hidden="1" ht="18.75" customFormat="1" customHeight="1" s="311"/>
    <row r="13932" hidden="1" ht="18.75" customFormat="1" customHeight="1" s="311"/>
    <row r="13933" hidden="1" ht="18.75" customFormat="1" customHeight="1" s="311"/>
    <row r="13934" hidden="1" ht="18.75" customFormat="1" customHeight="1" s="311"/>
    <row r="13935" hidden="1" ht="18.75" customFormat="1" customHeight="1" s="311"/>
    <row r="13936" hidden="1" ht="18.75" customFormat="1" customHeight="1" s="311"/>
    <row r="13937" hidden="1" ht="18.75" customFormat="1" customHeight="1" s="311"/>
    <row r="13938" hidden="1" ht="18.75" customFormat="1" customHeight="1" s="311"/>
    <row r="13939" hidden="1" ht="18.75" customFormat="1" customHeight="1" s="311"/>
    <row r="13940" hidden="1" ht="18.75" customFormat="1" customHeight="1" s="311"/>
    <row r="13941" hidden="1" ht="18.75" customFormat="1" customHeight="1" s="311"/>
    <row r="13942" hidden="1" ht="18.75" customFormat="1" customHeight="1" s="311"/>
    <row r="13943" hidden="1" ht="18.75" customFormat="1" customHeight="1" s="311"/>
    <row r="13944" hidden="1" ht="18.75" customFormat="1" customHeight="1" s="311"/>
    <row r="13945" hidden="1" ht="18.75" customFormat="1" customHeight="1" s="311"/>
    <row r="13946" hidden="1" ht="18.75" customFormat="1" customHeight="1" s="311"/>
    <row r="13947" hidden="1" ht="18.75" customFormat="1" customHeight="1" s="311"/>
    <row r="13948" hidden="1" ht="18.75" customFormat="1" customHeight="1" s="311"/>
    <row r="13949" hidden="1" ht="18.75" customFormat="1" customHeight="1" s="311"/>
    <row r="13950" hidden="1" ht="18.75" customFormat="1" customHeight="1" s="311"/>
    <row r="13951" hidden="1" ht="18.75" customFormat="1" customHeight="1" s="311"/>
    <row r="13952" hidden="1" ht="18.75" customFormat="1" customHeight="1" s="311"/>
    <row r="13953" hidden="1" ht="18.75" customFormat="1" customHeight="1" s="311"/>
    <row r="13954" hidden="1" ht="18.75" customFormat="1" customHeight="1" s="311"/>
    <row r="13955" hidden="1" ht="18.75" customFormat="1" customHeight="1" s="311"/>
    <row r="13956" hidden="1" ht="18.75" customFormat="1" customHeight="1" s="311"/>
    <row r="13957" hidden="1" ht="18.75" customFormat="1" customHeight="1" s="311"/>
    <row r="13958" hidden="1" ht="18.75" customFormat="1" customHeight="1" s="311"/>
    <row r="13959" hidden="1" ht="18.75" customFormat="1" customHeight="1" s="311"/>
    <row r="13960" hidden="1" ht="18.75" customFormat="1" customHeight="1" s="311"/>
    <row r="13961" hidden="1" ht="18.75" customFormat="1" customHeight="1" s="311"/>
    <row r="13962" hidden="1" ht="18.75" customFormat="1" customHeight="1" s="311"/>
    <row r="13963" hidden="1" ht="18.75" customFormat="1" customHeight="1" s="311"/>
    <row r="13964" hidden="1" ht="18.75" customFormat="1" customHeight="1" s="311"/>
    <row r="13965" hidden="1" ht="18.75" customFormat="1" customHeight="1" s="311"/>
    <row r="13966" hidden="1" ht="18.75" customFormat="1" customHeight="1" s="311"/>
    <row r="13967" hidden="1" ht="18.75" customFormat="1" customHeight="1" s="311"/>
    <row r="13968" hidden="1" ht="18.75" customFormat="1" customHeight="1" s="311"/>
    <row r="13969" hidden="1" ht="18.75" customFormat="1" customHeight="1" s="311"/>
    <row r="13970" hidden="1" ht="18.75" customFormat="1" customHeight="1" s="311"/>
    <row r="13971" hidden="1" ht="18.75" customFormat="1" customHeight="1" s="311"/>
    <row r="13972" hidden="1" ht="18.75" customFormat="1" customHeight="1" s="311"/>
    <row r="13973" hidden="1" ht="18.75" customFormat="1" customHeight="1" s="311"/>
    <row r="13974" hidden="1" ht="18.75" customFormat="1" customHeight="1" s="311"/>
    <row r="13975" hidden="1" ht="18.75" customFormat="1" customHeight="1" s="311"/>
    <row r="13976" hidden="1" ht="18.75" customFormat="1" customHeight="1" s="311"/>
    <row r="13977" hidden="1" ht="18.75" customFormat="1" customHeight="1" s="311"/>
    <row r="13978" hidden="1" ht="18.75" customFormat="1" customHeight="1" s="311"/>
    <row r="13979" hidden="1" ht="18.75" customFormat="1" customHeight="1" s="311"/>
    <row r="13980" hidden="1" ht="18.75" customFormat="1" customHeight="1" s="311"/>
    <row r="13981" hidden="1" ht="18.75" customFormat="1" customHeight="1" s="311"/>
    <row r="13982" hidden="1" ht="18.75" customFormat="1" customHeight="1" s="311"/>
    <row r="13983" hidden="1" ht="18.75" customFormat="1" customHeight="1" s="311"/>
    <row r="13984" hidden="1" ht="18.75" customFormat="1" customHeight="1" s="311"/>
    <row r="13985" hidden="1" ht="18.75" customFormat="1" customHeight="1" s="311"/>
    <row r="13986" hidden="1" ht="18.75" customFormat="1" customHeight="1" s="311"/>
    <row r="13987" hidden="1" ht="18.75" customFormat="1" customHeight="1" s="311"/>
    <row r="13988" hidden="1" ht="18.75" customFormat="1" customHeight="1" s="311"/>
    <row r="13989" hidden="1" ht="18.75" customFormat="1" customHeight="1" s="311"/>
    <row r="13990" hidden="1" ht="18.75" customFormat="1" customHeight="1" s="311"/>
    <row r="13991" hidden="1" ht="18.75" customFormat="1" customHeight="1" s="311"/>
    <row r="13992" hidden="1" ht="18.75" customFormat="1" customHeight="1" s="311"/>
    <row r="13993" hidden="1" ht="18.75" customFormat="1" customHeight="1" s="311"/>
    <row r="13994" hidden="1" ht="18.75" customFormat="1" customHeight="1" s="311"/>
    <row r="13995" hidden="1" ht="18.75" customFormat="1" customHeight="1" s="311"/>
    <row r="13996" hidden="1" ht="18.75" customFormat="1" customHeight="1" s="311"/>
    <row r="13997" hidden="1" ht="18.75" customFormat="1" customHeight="1" s="311"/>
    <row r="13998" hidden="1" ht="18.75" customFormat="1" customHeight="1" s="311"/>
    <row r="13999" hidden="1" ht="18.75" customFormat="1" customHeight="1" s="311"/>
    <row r="14000" hidden="1" ht="18.75" customFormat="1" customHeight="1" s="311"/>
    <row r="14001" hidden="1" ht="18.75" customFormat="1" customHeight="1" s="311"/>
    <row r="14002" hidden="1" ht="18.75" customFormat="1" customHeight="1" s="311"/>
    <row r="14003" hidden="1" ht="18.75" customFormat="1" customHeight="1" s="311"/>
    <row r="14004" hidden="1" ht="18.75" customFormat="1" customHeight="1" s="311"/>
    <row r="14005" hidden="1" ht="18.75" customFormat="1" customHeight="1" s="311"/>
    <row r="14006" hidden="1" ht="18.75" customFormat="1" customHeight="1" s="311"/>
    <row r="14007" hidden="1" ht="18.75" customFormat="1" customHeight="1" s="311"/>
    <row r="14008" hidden="1" ht="18.75" customFormat="1" customHeight="1" s="311"/>
    <row r="14009" hidden="1" ht="18.75" customFormat="1" customHeight="1" s="311"/>
    <row r="14010" hidden="1" ht="18.75" customFormat="1" customHeight="1" s="311"/>
    <row r="14011" hidden="1" ht="18.75" customFormat="1" customHeight="1" s="311"/>
    <row r="14012" hidden="1" ht="18.75" customFormat="1" customHeight="1" s="311"/>
    <row r="14013" hidden="1" ht="18.75" customFormat="1" customHeight="1" s="311"/>
    <row r="14014" hidden="1" ht="18.75" customFormat="1" customHeight="1" s="311"/>
    <row r="14015" hidden="1" ht="18.75" customFormat="1" customHeight="1" s="311"/>
    <row r="14016" hidden="1" ht="18.75" customFormat="1" customHeight="1" s="311"/>
    <row r="14017" hidden="1" ht="18.75" customFormat="1" customHeight="1" s="311"/>
    <row r="14018" hidden="1" ht="18.75" customFormat="1" customHeight="1" s="311"/>
    <row r="14019" hidden="1" ht="18.75" customFormat="1" customHeight="1" s="311"/>
    <row r="14020" hidden="1" ht="18.75" customFormat="1" customHeight="1" s="311"/>
    <row r="14021" hidden="1" ht="18.75" customFormat="1" customHeight="1" s="311"/>
    <row r="14022" hidden="1" ht="18.75" customFormat="1" customHeight="1" s="311"/>
    <row r="14023" hidden="1" ht="18.75" customFormat="1" customHeight="1" s="311"/>
    <row r="14024" hidden="1" ht="18.75" customFormat="1" customHeight="1" s="311"/>
    <row r="14025" hidden="1" ht="18.75" customFormat="1" customHeight="1" s="311"/>
    <row r="14026" hidden="1" ht="18.75" customFormat="1" customHeight="1" s="311"/>
    <row r="14027" hidden="1" ht="18.75" customFormat="1" customHeight="1" s="311"/>
    <row r="14028" hidden="1" ht="18.75" customFormat="1" customHeight="1" s="311"/>
    <row r="14029" hidden="1" ht="18.75" customFormat="1" customHeight="1" s="311"/>
    <row r="14030" hidden="1" ht="18.75" customFormat="1" customHeight="1" s="311"/>
    <row r="14031" hidden="1" ht="18.75" customFormat="1" customHeight="1" s="311"/>
    <row r="14032" hidden="1" ht="18.75" customFormat="1" customHeight="1" s="311"/>
    <row r="14033" hidden="1" ht="18.75" customFormat="1" customHeight="1" s="311"/>
    <row r="14034" hidden="1" ht="18.75" customFormat="1" customHeight="1" s="311"/>
    <row r="14035" hidden="1" ht="18.75" customFormat="1" customHeight="1" s="311"/>
    <row r="14036" hidden="1" ht="18.75" customFormat="1" customHeight="1" s="311"/>
    <row r="14037" hidden="1" ht="18.75" customFormat="1" customHeight="1" s="311"/>
    <row r="14038" hidden="1" ht="18.75" customFormat="1" customHeight="1" s="311"/>
    <row r="14039" hidden="1" ht="18.75" customFormat="1" customHeight="1" s="311"/>
    <row r="14040" hidden="1" ht="18.75" customFormat="1" customHeight="1" s="311"/>
    <row r="14041" hidden="1" ht="18.75" customFormat="1" customHeight="1" s="311"/>
    <row r="14042" hidden="1" ht="18.75" customFormat="1" customHeight="1" s="311"/>
    <row r="14043" hidden="1" ht="18.75" customFormat="1" customHeight="1" s="311"/>
    <row r="14044" hidden="1" ht="18.75" customFormat="1" customHeight="1" s="311"/>
    <row r="14045" hidden="1" ht="18.75" customFormat="1" customHeight="1" s="311"/>
    <row r="14046" hidden="1" ht="18.75" customFormat="1" customHeight="1" s="311"/>
    <row r="14047" hidden="1" ht="18.75" customFormat="1" customHeight="1" s="311"/>
    <row r="14048" hidden="1" ht="18.75" customFormat="1" customHeight="1" s="311"/>
    <row r="14049" hidden="1" ht="18.75" customFormat="1" customHeight="1" s="311"/>
    <row r="14050" hidden="1" ht="18.75" customFormat="1" customHeight="1" s="311"/>
    <row r="14051" hidden="1" ht="18.75" customFormat="1" customHeight="1" s="311"/>
    <row r="14052" hidden="1" ht="18.75" customFormat="1" customHeight="1" s="311"/>
    <row r="14053" hidden="1" ht="18.75" customFormat="1" customHeight="1" s="311"/>
    <row r="14054" hidden="1" ht="18.75" customFormat="1" customHeight="1" s="311"/>
    <row r="14055" hidden="1" ht="18.75" customFormat="1" customHeight="1" s="311"/>
    <row r="14056" hidden="1" ht="18.75" customFormat="1" customHeight="1" s="311"/>
    <row r="14057" hidden="1" ht="18.75" customFormat="1" customHeight="1" s="311"/>
    <row r="14058" hidden="1" ht="18.75" customFormat="1" customHeight="1" s="311"/>
    <row r="14059" hidden="1" ht="18.75" customFormat="1" customHeight="1" s="311"/>
    <row r="14060" hidden="1" ht="18.75" customFormat="1" customHeight="1" s="311"/>
    <row r="14061" hidden="1" ht="18.75" customFormat="1" customHeight="1" s="311"/>
    <row r="14062" hidden="1" ht="18.75" customFormat="1" customHeight="1" s="311"/>
    <row r="14063" hidden="1" ht="18.75" customFormat="1" customHeight="1" s="311"/>
    <row r="14064" hidden="1" ht="18.75" customFormat="1" customHeight="1" s="311"/>
    <row r="14065" hidden="1" ht="18.75" customFormat="1" customHeight="1" s="311"/>
    <row r="14066" hidden="1" ht="18.75" customFormat="1" customHeight="1" s="311"/>
    <row r="14067" hidden="1" ht="18.75" customFormat="1" customHeight="1" s="311"/>
    <row r="14068" hidden="1" ht="18.75" customFormat="1" customHeight="1" s="311"/>
    <row r="14069" hidden="1" ht="18.75" customFormat="1" customHeight="1" s="311"/>
    <row r="14070" hidden="1" ht="18.75" customFormat="1" customHeight="1" s="311"/>
    <row r="14071" hidden="1" ht="18.75" customFormat="1" customHeight="1" s="311"/>
    <row r="14072" hidden="1" ht="18.75" customFormat="1" customHeight="1" s="311"/>
    <row r="14073" hidden="1" ht="18.75" customFormat="1" customHeight="1" s="311"/>
    <row r="14074" hidden="1" ht="18.75" customFormat="1" customHeight="1" s="311"/>
    <row r="14075" hidden="1" ht="18.75" customFormat="1" customHeight="1" s="311"/>
    <row r="14076" hidden="1" ht="18.75" customFormat="1" customHeight="1" s="311"/>
    <row r="14077" hidden="1" ht="18.75" customFormat="1" customHeight="1" s="311"/>
    <row r="14078" hidden="1" ht="18.75" customFormat="1" customHeight="1" s="311"/>
    <row r="14079" hidden="1" ht="18.75" customFormat="1" customHeight="1" s="311"/>
    <row r="14080" hidden="1" ht="18.75" customFormat="1" customHeight="1" s="311"/>
    <row r="14081" hidden="1" ht="18.75" customFormat="1" customHeight="1" s="311"/>
    <row r="14082" hidden="1" ht="18.75" customFormat="1" customHeight="1" s="311"/>
    <row r="14083" hidden="1" ht="18.75" customFormat="1" customHeight="1" s="311"/>
    <row r="14084" hidden="1" ht="18.75" customFormat="1" customHeight="1" s="311"/>
    <row r="14085" hidden="1" ht="18.75" customFormat="1" customHeight="1" s="311"/>
    <row r="14086" hidden="1" ht="18.75" customFormat="1" customHeight="1" s="311"/>
    <row r="14087" hidden="1" ht="18.75" customFormat="1" customHeight="1" s="311"/>
    <row r="14088" hidden="1" ht="18.75" customFormat="1" customHeight="1" s="311"/>
    <row r="14089" hidden="1" ht="18.75" customFormat="1" customHeight="1" s="311"/>
    <row r="14090" hidden="1" ht="18.75" customFormat="1" customHeight="1" s="311"/>
    <row r="14091" hidden="1" ht="18.75" customFormat="1" customHeight="1" s="311"/>
    <row r="14092" hidden="1" ht="18.75" customFormat="1" customHeight="1" s="311"/>
    <row r="14093" hidden="1" ht="18.75" customFormat="1" customHeight="1" s="311"/>
    <row r="14094" hidden="1" ht="18.75" customFormat="1" customHeight="1" s="311"/>
    <row r="14095" hidden="1" ht="18.75" customFormat="1" customHeight="1" s="311"/>
    <row r="14096" hidden="1" ht="18.75" customFormat="1" customHeight="1" s="311"/>
    <row r="14097" hidden="1" ht="18.75" customFormat="1" customHeight="1" s="311"/>
    <row r="14098" hidden="1" ht="18.75" customFormat="1" customHeight="1" s="311"/>
    <row r="14099" hidden="1" ht="18.75" customFormat="1" customHeight="1" s="311"/>
    <row r="14100" hidden="1" ht="18.75" customFormat="1" customHeight="1" s="311"/>
    <row r="14101" hidden="1" ht="18.75" customFormat="1" customHeight="1" s="311"/>
    <row r="14102" hidden="1" ht="18.75" customFormat="1" customHeight="1" s="311"/>
    <row r="14103" hidden="1" ht="18.75" customFormat="1" customHeight="1" s="311"/>
    <row r="14104" hidden="1" ht="18.75" customFormat="1" customHeight="1" s="311"/>
    <row r="14105" hidden="1" ht="18.75" customFormat="1" customHeight="1" s="311"/>
    <row r="14106" hidden="1" ht="18.75" customFormat="1" customHeight="1" s="311"/>
    <row r="14107" hidden="1" ht="18.75" customFormat="1" customHeight="1" s="311"/>
    <row r="14108" hidden="1" ht="18.75" customFormat="1" customHeight="1" s="311"/>
    <row r="14109" hidden="1" ht="18.75" customFormat="1" customHeight="1" s="311"/>
    <row r="14110" hidden="1" ht="18.75" customFormat="1" customHeight="1" s="311"/>
    <row r="14111" hidden="1" ht="18.75" customFormat="1" customHeight="1" s="311"/>
    <row r="14112" hidden="1" ht="18.75" customFormat="1" customHeight="1" s="311"/>
    <row r="14113" hidden="1" ht="18.75" customFormat="1" customHeight="1" s="311"/>
    <row r="14114" hidden="1" ht="18.75" customFormat="1" customHeight="1" s="311"/>
    <row r="14115" hidden="1" ht="18.75" customFormat="1" customHeight="1" s="311"/>
    <row r="14116" hidden="1" ht="18.75" customFormat="1" customHeight="1" s="311"/>
    <row r="14117" hidden="1" ht="18.75" customFormat="1" customHeight="1" s="311"/>
    <row r="14118" hidden="1" ht="18.75" customFormat="1" customHeight="1" s="311"/>
    <row r="14119" hidden="1" ht="18.75" customFormat="1" customHeight="1" s="311"/>
    <row r="14120" hidden="1" ht="18.75" customFormat="1" customHeight="1" s="311"/>
    <row r="14121" hidden="1" ht="18.75" customFormat="1" customHeight="1" s="311"/>
    <row r="14122" hidden="1" ht="18.75" customFormat="1" customHeight="1" s="311"/>
    <row r="14123" hidden="1" ht="18.75" customFormat="1" customHeight="1" s="311"/>
    <row r="14124" hidden="1" ht="18.75" customFormat="1" customHeight="1" s="311"/>
    <row r="14125" hidden="1" ht="18.75" customFormat="1" customHeight="1" s="311"/>
    <row r="14126" hidden="1" ht="18.75" customFormat="1" customHeight="1" s="311"/>
    <row r="14127" hidden="1" ht="18.75" customFormat="1" customHeight="1" s="311"/>
    <row r="14128" hidden="1" ht="18.75" customFormat="1" customHeight="1" s="311"/>
    <row r="14129" hidden="1" ht="18.75" customFormat="1" customHeight="1" s="311"/>
    <row r="14130" hidden="1" ht="18.75" customFormat="1" customHeight="1" s="311"/>
    <row r="14131" hidden="1" ht="18.75" customFormat="1" customHeight="1" s="311"/>
    <row r="14132" hidden="1" ht="18.75" customFormat="1" customHeight="1" s="311"/>
    <row r="14133" hidden="1" ht="18.75" customFormat="1" customHeight="1" s="311"/>
    <row r="14134" hidden="1" ht="18.75" customFormat="1" customHeight="1" s="311"/>
    <row r="14135" hidden="1" ht="18.75" customFormat="1" customHeight="1" s="311"/>
    <row r="14136" hidden="1" ht="18.75" customFormat="1" customHeight="1" s="311"/>
    <row r="14137" hidden="1" ht="18.75" customFormat="1" customHeight="1" s="311"/>
    <row r="14138" hidden="1" ht="18.75" customFormat="1" customHeight="1" s="311"/>
    <row r="14139" hidden="1" ht="18.75" customFormat="1" customHeight="1" s="311"/>
    <row r="14140" hidden="1" ht="18.75" customFormat="1" customHeight="1" s="311"/>
    <row r="14141" hidden="1" ht="18.75" customFormat="1" customHeight="1" s="311"/>
    <row r="14142" hidden="1" ht="18.75" customFormat="1" customHeight="1" s="311"/>
    <row r="14143" hidden="1" ht="18.75" customFormat="1" customHeight="1" s="311"/>
    <row r="14144" hidden="1" ht="18.75" customFormat="1" customHeight="1" s="311"/>
    <row r="14145" hidden="1" ht="18.75" customFormat="1" customHeight="1" s="311"/>
    <row r="14146" hidden="1" ht="18.75" customFormat="1" customHeight="1" s="311"/>
    <row r="14147" hidden="1" ht="18.75" customFormat="1" customHeight="1" s="311"/>
    <row r="14148" hidden="1" ht="18.75" customFormat="1" customHeight="1" s="311"/>
    <row r="14149" hidden="1" ht="18.75" customFormat="1" customHeight="1" s="311"/>
    <row r="14150" hidden="1" ht="18.75" customFormat="1" customHeight="1" s="311"/>
    <row r="14151" hidden="1" ht="18.75" customFormat="1" customHeight="1" s="311"/>
    <row r="14152" hidden="1" ht="18.75" customFormat="1" customHeight="1" s="311"/>
    <row r="14153" hidden="1" ht="18.75" customFormat="1" customHeight="1" s="311"/>
    <row r="14154" hidden="1" ht="18.75" customFormat="1" customHeight="1" s="311"/>
    <row r="14155" hidden="1" ht="18.75" customFormat="1" customHeight="1" s="311"/>
    <row r="14156" hidden="1" ht="18.75" customFormat="1" customHeight="1" s="311"/>
    <row r="14157" hidden="1" ht="18.75" customFormat="1" customHeight="1" s="311"/>
    <row r="14158" hidden="1" ht="18.75" customFormat="1" customHeight="1" s="311"/>
    <row r="14159" hidden="1" ht="18.75" customFormat="1" customHeight="1" s="311"/>
    <row r="14160" hidden="1" ht="18.75" customFormat="1" customHeight="1" s="311"/>
    <row r="14161" hidden="1" ht="18.75" customFormat="1" customHeight="1" s="311"/>
    <row r="14162" hidden="1" ht="18.75" customFormat="1" customHeight="1" s="311"/>
    <row r="14163" hidden="1" ht="18.75" customFormat="1" customHeight="1" s="311"/>
    <row r="14164" hidden="1" ht="18.75" customFormat="1" customHeight="1" s="311"/>
    <row r="14165" hidden="1" ht="18.75" customFormat="1" customHeight="1" s="311"/>
    <row r="14166" hidden="1" ht="18.75" customFormat="1" customHeight="1" s="311"/>
    <row r="14167" hidden="1" ht="18.75" customFormat="1" customHeight="1" s="311"/>
    <row r="14168" hidden="1" ht="18.75" customFormat="1" customHeight="1" s="311"/>
    <row r="14169" hidden="1" ht="18.75" customFormat="1" customHeight="1" s="311"/>
    <row r="14170" hidden="1" ht="18.75" customFormat="1" customHeight="1" s="311"/>
    <row r="14171" hidden="1" ht="18.75" customFormat="1" customHeight="1" s="311"/>
    <row r="14172" hidden="1" ht="18.75" customFormat="1" customHeight="1" s="311"/>
    <row r="14173" hidden="1" ht="18.75" customFormat="1" customHeight="1" s="311"/>
    <row r="14174" hidden="1" ht="18.75" customFormat="1" customHeight="1" s="311"/>
    <row r="14175" hidden="1" ht="18.75" customFormat="1" customHeight="1" s="311"/>
    <row r="14176" hidden="1" ht="18.75" customFormat="1" customHeight="1" s="311"/>
    <row r="14177" hidden="1" ht="18.75" customFormat="1" customHeight="1" s="311"/>
    <row r="14178" hidden="1" ht="18.75" customFormat="1" customHeight="1" s="311"/>
    <row r="14179" hidden="1" ht="18.75" customFormat="1" customHeight="1" s="311"/>
    <row r="14180" hidden="1" ht="18.75" customFormat="1" customHeight="1" s="311"/>
    <row r="14181" hidden="1" ht="18.75" customFormat="1" customHeight="1" s="311"/>
    <row r="14182" hidden="1" ht="18.75" customFormat="1" customHeight="1" s="311"/>
    <row r="14183" hidden="1" ht="18.75" customFormat="1" customHeight="1" s="311"/>
    <row r="14184" hidden="1" ht="18.75" customFormat="1" customHeight="1" s="311"/>
    <row r="14185" hidden="1" ht="18.75" customFormat="1" customHeight="1" s="311"/>
    <row r="14186" hidden="1" ht="18.75" customFormat="1" customHeight="1" s="311"/>
    <row r="14187" hidden="1" ht="18.75" customFormat="1" customHeight="1" s="311"/>
    <row r="14188" hidden="1" ht="18.75" customFormat="1" customHeight="1" s="311"/>
    <row r="14189" hidden="1" ht="18.75" customFormat="1" customHeight="1" s="311"/>
    <row r="14190" hidden="1" ht="18.75" customFormat="1" customHeight="1" s="311"/>
    <row r="14191" hidden="1" ht="18.75" customFormat="1" customHeight="1" s="311"/>
    <row r="14192" hidden="1" ht="18.75" customFormat="1" customHeight="1" s="311"/>
    <row r="14193" hidden="1" ht="18.75" customFormat="1" customHeight="1" s="311"/>
    <row r="14194" hidden="1" ht="18.75" customFormat="1" customHeight="1" s="311"/>
    <row r="14195" hidden="1" ht="18.75" customFormat="1" customHeight="1" s="311"/>
    <row r="14196" hidden="1" ht="18.75" customFormat="1" customHeight="1" s="311"/>
    <row r="14197" hidden="1" ht="18.75" customFormat="1" customHeight="1" s="311"/>
    <row r="14198" hidden="1" ht="18.75" customFormat="1" customHeight="1" s="311"/>
    <row r="14199" hidden="1" ht="18.75" customFormat="1" customHeight="1" s="311"/>
    <row r="14200" hidden="1" ht="18.75" customFormat="1" customHeight="1" s="311"/>
    <row r="14201" hidden="1" ht="18.75" customFormat="1" customHeight="1" s="311"/>
    <row r="14202" hidden="1" ht="18.75" customFormat="1" customHeight="1" s="311"/>
    <row r="14203" hidden="1" ht="18.75" customFormat="1" customHeight="1" s="311"/>
    <row r="14204" hidden="1" ht="18.75" customFormat="1" customHeight="1" s="311"/>
    <row r="14205" hidden="1" ht="18.75" customFormat="1" customHeight="1" s="311"/>
    <row r="14206" hidden="1" ht="18.75" customFormat="1" customHeight="1" s="311"/>
    <row r="14207" hidden="1" ht="18.75" customFormat="1" customHeight="1" s="311"/>
    <row r="14208" hidden="1" ht="18.75" customFormat="1" customHeight="1" s="311"/>
    <row r="14209" hidden="1" ht="18.75" customFormat="1" customHeight="1" s="311"/>
    <row r="14210" hidden="1" ht="18.75" customFormat="1" customHeight="1" s="311"/>
    <row r="14211" hidden="1" ht="18.75" customFormat="1" customHeight="1" s="311"/>
    <row r="14212" hidden="1" ht="18.75" customFormat="1" customHeight="1" s="311"/>
    <row r="14213" hidden="1" ht="18.75" customFormat="1" customHeight="1" s="311"/>
    <row r="14214" hidden="1" ht="18.75" customFormat="1" customHeight="1" s="311"/>
    <row r="14215" hidden="1" ht="18.75" customFormat="1" customHeight="1" s="311"/>
    <row r="14216" hidden="1" ht="18.75" customFormat="1" customHeight="1" s="311"/>
    <row r="14217" hidden="1" ht="18.75" customFormat="1" customHeight="1" s="311"/>
    <row r="14218" hidden="1" ht="18.75" customFormat="1" customHeight="1" s="311"/>
    <row r="14219" hidden="1" ht="18.75" customFormat="1" customHeight="1" s="311"/>
    <row r="14220" hidden="1" ht="18.75" customFormat="1" customHeight="1" s="311"/>
    <row r="14221" hidden="1" ht="18.75" customFormat="1" customHeight="1" s="311"/>
    <row r="14222" hidden="1" ht="18.75" customFormat="1" customHeight="1" s="311"/>
    <row r="14223" hidden="1" ht="18.75" customFormat="1" customHeight="1" s="311"/>
    <row r="14224" hidden="1" ht="18.75" customFormat="1" customHeight="1" s="311"/>
    <row r="14225" hidden="1" ht="18.75" customFormat="1" customHeight="1" s="311"/>
    <row r="14226" hidden="1" ht="18.75" customFormat="1" customHeight="1" s="311"/>
    <row r="14227" hidden="1" ht="18.75" customFormat="1" customHeight="1" s="311"/>
    <row r="14228" hidden="1" ht="18.75" customFormat="1" customHeight="1" s="311"/>
    <row r="14229" hidden="1" ht="18.75" customFormat="1" customHeight="1" s="311"/>
    <row r="14230" hidden="1" ht="18.75" customFormat="1" customHeight="1" s="311"/>
    <row r="14231" hidden="1" ht="18.75" customFormat="1" customHeight="1" s="311"/>
    <row r="14232" hidden="1" ht="18.75" customFormat="1" customHeight="1" s="311"/>
    <row r="14233" hidden="1" ht="18.75" customFormat="1" customHeight="1" s="311"/>
    <row r="14234" hidden="1" ht="18.75" customFormat="1" customHeight="1" s="311"/>
    <row r="14235" hidden="1" ht="18.75" customFormat="1" customHeight="1" s="311"/>
    <row r="14236" hidden="1" ht="18.75" customFormat="1" customHeight="1" s="311"/>
    <row r="14237" hidden="1" ht="18.75" customFormat="1" customHeight="1" s="311"/>
    <row r="14238" hidden="1" ht="18.75" customFormat="1" customHeight="1" s="311"/>
    <row r="14239" hidden="1" ht="18.75" customFormat="1" customHeight="1" s="311"/>
    <row r="14240" hidden="1" ht="18.75" customFormat="1" customHeight="1" s="311"/>
    <row r="14241" hidden="1" ht="18.75" customFormat="1" customHeight="1" s="311"/>
    <row r="14242" hidden="1" ht="18.75" customFormat="1" customHeight="1" s="311"/>
    <row r="14243" hidden="1" ht="18.75" customFormat="1" customHeight="1" s="311"/>
    <row r="14244" hidden="1" ht="18.75" customFormat="1" customHeight="1" s="311"/>
    <row r="14245" hidden="1" ht="18.75" customFormat="1" customHeight="1" s="311"/>
    <row r="14246" hidden="1" ht="18.75" customFormat="1" customHeight="1" s="311"/>
    <row r="14247" hidden="1" ht="18.75" customFormat="1" customHeight="1" s="311"/>
    <row r="14248" hidden="1" ht="18.75" customFormat="1" customHeight="1" s="311"/>
    <row r="14249" hidden="1" ht="18.75" customFormat="1" customHeight="1" s="311"/>
    <row r="14250" hidden="1" ht="18.75" customFormat="1" customHeight="1" s="311"/>
    <row r="14251" hidden="1" ht="18.75" customFormat="1" customHeight="1" s="311"/>
    <row r="14252" hidden="1" ht="18.75" customFormat="1" customHeight="1" s="311"/>
    <row r="14253" hidden="1" ht="18.75" customFormat="1" customHeight="1" s="311"/>
    <row r="14254" hidden="1" ht="18.75" customFormat="1" customHeight="1" s="311"/>
    <row r="14255" hidden="1" ht="18.75" customFormat="1" customHeight="1" s="311"/>
    <row r="14256" hidden="1" ht="18.75" customFormat="1" customHeight="1" s="311"/>
    <row r="14257" hidden="1" ht="18.75" customFormat="1" customHeight="1" s="311"/>
    <row r="14258" hidden="1" ht="18.75" customFormat="1" customHeight="1" s="311"/>
    <row r="14259" hidden="1" ht="18.75" customFormat="1" customHeight="1" s="311"/>
    <row r="14260" hidden="1" ht="18.75" customFormat="1" customHeight="1" s="311"/>
    <row r="14261" hidden="1" ht="18.75" customFormat="1" customHeight="1" s="311"/>
    <row r="14262" hidden="1" ht="18.75" customFormat="1" customHeight="1" s="311"/>
    <row r="14263" hidden="1" ht="18.75" customFormat="1" customHeight="1" s="311"/>
    <row r="14264" hidden="1" ht="18.75" customFormat="1" customHeight="1" s="311"/>
    <row r="14265" hidden="1" ht="18.75" customFormat="1" customHeight="1" s="311"/>
    <row r="14266" hidden="1" ht="18.75" customFormat="1" customHeight="1" s="311"/>
    <row r="14267" hidden="1" ht="18.75" customFormat="1" customHeight="1" s="311"/>
    <row r="14268" hidden="1" ht="18.75" customFormat="1" customHeight="1" s="311"/>
    <row r="14269" hidden="1" ht="18.75" customFormat="1" customHeight="1" s="311"/>
    <row r="14270" hidden="1" ht="18.75" customFormat="1" customHeight="1" s="311"/>
    <row r="14271" hidden="1" ht="18.75" customFormat="1" customHeight="1" s="311"/>
    <row r="14272" hidden="1" ht="18.75" customFormat="1" customHeight="1" s="311"/>
    <row r="14273" hidden="1" ht="18.75" customFormat="1" customHeight="1" s="311"/>
    <row r="14274" hidden="1" ht="18.75" customFormat="1" customHeight="1" s="311"/>
    <row r="14275" hidden="1" ht="18.75" customFormat="1" customHeight="1" s="311"/>
    <row r="14276" hidden="1" ht="18.75" customFormat="1" customHeight="1" s="311"/>
    <row r="14277" hidden="1" ht="18.75" customFormat="1" customHeight="1" s="311"/>
    <row r="14278" hidden="1" ht="18.75" customFormat="1" customHeight="1" s="311"/>
    <row r="14279" hidden="1" ht="18.75" customFormat="1" customHeight="1" s="311"/>
    <row r="14280" hidden="1" ht="18.75" customFormat="1" customHeight="1" s="311"/>
    <row r="14281" hidden="1" ht="18.75" customFormat="1" customHeight="1" s="311"/>
    <row r="14282" hidden="1" ht="18.75" customFormat="1" customHeight="1" s="311"/>
    <row r="14283" hidden="1" ht="18.75" customFormat="1" customHeight="1" s="311"/>
    <row r="14284" hidden="1" ht="18.75" customFormat="1" customHeight="1" s="311"/>
    <row r="14285" hidden="1" ht="18.75" customFormat="1" customHeight="1" s="311"/>
    <row r="14286" hidden="1" ht="18.75" customFormat="1" customHeight="1" s="311"/>
    <row r="14287" hidden="1" ht="18.75" customFormat="1" customHeight="1" s="311"/>
    <row r="14288" hidden="1" ht="18.75" customFormat="1" customHeight="1" s="311"/>
    <row r="14289" hidden="1" ht="18.75" customFormat="1" customHeight="1" s="311"/>
    <row r="14290" hidden="1" ht="18.75" customFormat="1" customHeight="1" s="311"/>
    <row r="14291" hidden="1" ht="18.75" customFormat="1" customHeight="1" s="311"/>
    <row r="14292" hidden="1" ht="18.75" customFormat="1" customHeight="1" s="311"/>
    <row r="14293" hidden="1" ht="18.75" customFormat="1" customHeight="1" s="311"/>
    <row r="14294" hidden="1" ht="18.75" customFormat="1" customHeight="1" s="311"/>
    <row r="14295" hidden="1" ht="18.75" customFormat="1" customHeight="1" s="311"/>
    <row r="14296" hidden="1" ht="18.75" customFormat="1" customHeight="1" s="311"/>
    <row r="14297" hidden="1" ht="18.75" customFormat="1" customHeight="1" s="311"/>
    <row r="14298" hidden="1" ht="18.75" customFormat="1" customHeight="1" s="311"/>
    <row r="14299" hidden="1" ht="18.75" customFormat="1" customHeight="1" s="311"/>
    <row r="14300" hidden="1" ht="18.75" customFormat="1" customHeight="1" s="311"/>
    <row r="14301" hidden="1" ht="18.75" customFormat="1" customHeight="1" s="311"/>
    <row r="14302" hidden="1" ht="18.75" customFormat="1" customHeight="1" s="311"/>
    <row r="14303" hidden="1" ht="18.75" customFormat="1" customHeight="1" s="311"/>
    <row r="14304" hidden="1" ht="18.75" customFormat="1" customHeight="1" s="311"/>
    <row r="14305" hidden="1" ht="18.75" customFormat="1" customHeight="1" s="311"/>
    <row r="14306" hidden="1" ht="18.75" customFormat="1" customHeight="1" s="311"/>
    <row r="14307" hidden="1" ht="18.75" customFormat="1" customHeight="1" s="311"/>
    <row r="14308" hidden="1" ht="18.75" customFormat="1" customHeight="1" s="311"/>
    <row r="14309" hidden="1" ht="18.75" customFormat="1" customHeight="1" s="311"/>
    <row r="14310" hidden="1" ht="18.75" customFormat="1" customHeight="1" s="311"/>
    <row r="14311" hidden="1" ht="18.75" customFormat="1" customHeight="1" s="311"/>
    <row r="14312" hidden="1" ht="18.75" customFormat="1" customHeight="1" s="311"/>
    <row r="14313" hidden="1" ht="18.75" customFormat="1" customHeight="1" s="311"/>
    <row r="14314" hidden="1" ht="18.75" customFormat="1" customHeight="1" s="311"/>
    <row r="14315" hidden="1" ht="18.75" customFormat="1" customHeight="1" s="311"/>
    <row r="14316" hidden="1" ht="18.75" customFormat="1" customHeight="1" s="311"/>
    <row r="14317" hidden="1" ht="18.75" customFormat="1" customHeight="1" s="311"/>
    <row r="14318" hidden="1" ht="18.75" customFormat="1" customHeight="1" s="311"/>
    <row r="14319" hidden="1" ht="18.75" customFormat="1" customHeight="1" s="311"/>
    <row r="14320" hidden="1" ht="18.75" customFormat="1" customHeight="1" s="311"/>
    <row r="14321" hidden="1" ht="18.75" customFormat="1" customHeight="1" s="311"/>
    <row r="14322" hidden="1" ht="18.75" customFormat="1" customHeight="1" s="311"/>
    <row r="14323" hidden="1" ht="18.75" customFormat="1" customHeight="1" s="311"/>
    <row r="14324" hidden="1" ht="18.75" customFormat="1" customHeight="1" s="311"/>
    <row r="14325" hidden="1" ht="18.75" customFormat="1" customHeight="1" s="311"/>
    <row r="14326" hidden="1" ht="18.75" customFormat="1" customHeight="1" s="311"/>
    <row r="14327" hidden="1" ht="18.75" customFormat="1" customHeight="1" s="311"/>
    <row r="14328" hidden="1" ht="18.75" customFormat="1" customHeight="1" s="311"/>
    <row r="14329" hidden="1" ht="18.75" customFormat="1" customHeight="1" s="311"/>
    <row r="14330" hidden="1" ht="18.75" customFormat="1" customHeight="1" s="311"/>
    <row r="14331" hidden="1" ht="18.75" customFormat="1" customHeight="1" s="311"/>
    <row r="14332" hidden="1" ht="18.75" customFormat="1" customHeight="1" s="311"/>
    <row r="14333" hidden="1" ht="18.75" customFormat="1" customHeight="1" s="311"/>
    <row r="14334" hidden="1" ht="18.75" customFormat="1" customHeight="1" s="311"/>
    <row r="14335" hidden="1" ht="18.75" customFormat="1" customHeight="1" s="311"/>
    <row r="14336" hidden="1" ht="18.75" customFormat="1" customHeight="1" s="311"/>
    <row r="14337" hidden="1" ht="18.75" customFormat="1" customHeight="1" s="311"/>
    <row r="14338" hidden="1" ht="18.75" customFormat="1" customHeight="1" s="311"/>
    <row r="14339" hidden="1" ht="18.75" customFormat="1" customHeight="1" s="311"/>
    <row r="14340" hidden="1" ht="18.75" customFormat="1" customHeight="1" s="311"/>
    <row r="14341" hidden="1" ht="18.75" customFormat="1" customHeight="1" s="311"/>
    <row r="14342" hidden="1" ht="18.75" customFormat="1" customHeight="1" s="311"/>
    <row r="14343" hidden="1" ht="18.75" customFormat="1" customHeight="1" s="311"/>
    <row r="14344" hidden="1" ht="18.75" customFormat="1" customHeight="1" s="311"/>
    <row r="14345" hidden="1" ht="18.75" customFormat="1" customHeight="1" s="311"/>
    <row r="14346" hidden="1" ht="18.75" customFormat="1" customHeight="1" s="311"/>
    <row r="14347" hidden="1" ht="18.75" customFormat="1" customHeight="1" s="311"/>
    <row r="14348" hidden="1" ht="18.75" customFormat="1" customHeight="1" s="311"/>
    <row r="14349" hidden="1" ht="18.75" customFormat="1" customHeight="1" s="311"/>
    <row r="14350" hidden="1" ht="18.75" customFormat="1" customHeight="1" s="311"/>
    <row r="14351" hidden="1" ht="18.75" customFormat="1" customHeight="1" s="311"/>
    <row r="14352" hidden="1" ht="18.75" customFormat="1" customHeight="1" s="311"/>
    <row r="14353" hidden="1" ht="18.75" customFormat="1" customHeight="1" s="311"/>
    <row r="14354" hidden="1" ht="18.75" customFormat="1" customHeight="1" s="311"/>
    <row r="14355" hidden="1" ht="18.75" customFormat="1" customHeight="1" s="311"/>
    <row r="14356" hidden="1" ht="18.75" customFormat="1" customHeight="1" s="311"/>
    <row r="14357" hidden="1" ht="18.75" customFormat="1" customHeight="1" s="311"/>
    <row r="14358" hidden="1" ht="18.75" customFormat="1" customHeight="1" s="311"/>
    <row r="14359" hidden="1" ht="18.75" customFormat="1" customHeight="1" s="311"/>
    <row r="14360" hidden="1" ht="18.75" customFormat="1" customHeight="1" s="311"/>
    <row r="14361" hidden="1" ht="18.75" customFormat="1" customHeight="1" s="311"/>
    <row r="14362" hidden="1" ht="18.75" customFormat="1" customHeight="1" s="311"/>
    <row r="14363" hidden="1" ht="18.75" customFormat="1" customHeight="1" s="311"/>
    <row r="14364" hidden="1" ht="18.75" customFormat="1" customHeight="1" s="311"/>
    <row r="14365" hidden="1" ht="18.75" customFormat="1" customHeight="1" s="311"/>
    <row r="14366" hidden="1" ht="18.75" customFormat="1" customHeight="1" s="311"/>
    <row r="14367" hidden="1" ht="18.75" customFormat="1" customHeight="1" s="311"/>
    <row r="14368" hidden="1" ht="18.75" customFormat="1" customHeight="1" s="311"/>
    <row r="14369" hidden="1" ht="18.75" customFormat="1" customHeight="1" s="311"/>
    <row r="14370" hidden="1" ht="18.75" customFormat="1" customHeight="1" s="311"/>
    <row r="14371" hidden="1" ht="18.75" customFormat="1" customHeight="1" s="311"/>
    <row r="14372" hidden="1" ht="18.75" customFormat="1" customHeight="1" s="311"/>
    <row r="14373" hidden="1" ht="18.75" customFormat="1" customHeight="1" s="311"/>
    <row r="14374" hidden="1" ht="18.75" customFormat="1" customHeight="1" s="311"/>
    <row r="14375" hidden="1" ht="18.75" customFormat="1" customHeight="1" s="311"/>
    <row r="14376" hidden="1" ht="18.75" customFormat="1" customHeight="1" s="311"/>
    <row r="14377" hidden="1" ht="18.75" customFormat="1" customHeight="1" s="311"/>
    <row r="14378" hidden="1" ht="18.75" customFormat="1" customHeight="1" s="311"/>
    <row r="14379" hidden="1" ht="18.75" customFormat="1" customHeight="1" s="311"/>
    <row r="14380" hidden="1" ht="18.75" customFormat="1" customHeight="1" s="311"/>
    <row r="14381" hidden="1" ht="18.75" customFormat="1" customHeight="1" s="311"/>
    <row r="14382" hidden="1" ht="18.75" customFormat="1" customHeight="1" s="311"/>
    <row r="14383" hidden="1" ht="18.75" customFormat="1" customHeight="1" s="311"/>
    <row r="14384" hidden="1" ht="18.75" customFormat="1" customHeight="1" s="311"/>
    <row r="14385" hidden="1" ht="18.75" customFormat="1" customHeight="1" s="311"/>
    <row r="14386" hidden="1" ht="18.75" customFormat="1" customHeight="1" s="311"/>
    <row r="14387" hidden="1" ht="18.75" customFormat="1" customHeight="1" s="311"/>
    <row r="14388" hidden="1" ht="18.75" customFormat="1" customHeight="1" s="311"/>
    <row r="14389" hidden="1" ht="18.75" customFormat="1" customHeight="1" s="311"/>
    <row r="14390" hidden="1" ht="18.75" customFormat="1" customHeight="1" s="311"/>
    <row r="14391" hidden="1" ht="18.75" customFormat="1" customHeight="1" s="311"/>
    <row r="14392" hidden="1" ht="18.75" customFormat="1" customHeight="1" s="311"/>
    <row r="14393" hidden="1" ht="18.75" customFormat="1" customHeight="1" s="311"/>
    <row r="14394" hidden="1" ht="18.75" customFormat="1" customHeight="1" s="311"/>
    <row r="14395" hidden="1" ht="18.75" customFormat="1" customHeight="1" s="311"/>
    <row r="14396" hidden="1" ht="18.75" customFormat="1" customHeight="1" s="311"/>
    <row r="14397" hidden="1" ht="18.75" customFormat="1" customHeight="1" s="311"/>
    <row r="14398" hidden="1" ht="18.75" customFormat="1" customHeight="1" s="311"/>
    <row r="14399" hidden="1" ht="18.75" customFormat="1" customHeight="1" s="311"/>
    <row r="14400" hidden="1" ht="18.75" customFormat="1" customHeight="1" s="311"/>
    <row r="14401" hidden="1" ht="18.75" customFormat="1" customHeight="1" s="311"/>
    <row r="14402" hidden="1" ht="18.75" customFormat="1" customHeight="1" s="311"/>
    <row r="14403" hidden="1" ht="18.75" customFormat="1" customHeight="1" s="311"/>
    <row r="14404" hidden="1" ht="18.75" customFormat="1" customHeight="1" s="311"/>
    <row r="14405" hidden="1" ht="18.75" customFormat="1" customHeight="1" s="311"/>
    <row r="14406" hidden="1" ht="18.75" customFormat="1" customHeight="1" s="311"/>
    <row r="14407" hidden="1" ht="18.75" customFormat="1" customHeight="1" s="311"/>
    <row r="14408" hidden="1" ht="18.75" customFormat="1" customHeight="1" s="311"/>
    <row r="14409" hidden="1" ht="18.75" customFormat="1" customHeight="1" s="311"/>
    <row r="14410" hidden="1" ht="18.75" customFormat="1" customHeight="1" s="311"/>
    <row r="14411" hidden="1" ht="18.75" customFormat="1" customHeight="1" s="311"/>
    <row r="14412" hidden="1" ht="18.75" customFormat="1" customHeight="1" s="311"/>
    <row r="14413" hidden="1" ht="18.75" customFormat="1" customHeight="1" s="311"/>
    <row r="14414" hidden="1" ht="18.75" customFormat="1" customHeight="1" s="311"/>
    <row r="14415" hidden="1" ht="18.75" customFormat="1" customHeight="1" s="311"/>
    <row r="14416" hidden="1" ht="18.75" customFormat="1" customHeight="1" s="311"/>
    <row r="14417" hidden="1" ht="18.75" customFormat="1" customHeight="1" s="311"/>
    <row r="14418" hidden="1" ht="18.75" customFormat="1" customHeight="1" s="311"/>
    <row r="14419" hidden="1" ht="18.75" customFormat="1" customHeight="1" s="311"/>
    <row r="14420" hidden="1" ht="18.75" customFormat="1" customHeight="1" s="311"/>
    <row r="14421" hidden="1" ht="18.75" customFormat="1" customHeight="1" s="311"/>
    <row r="14422" hidden="1" ht="18.75" customFormat="1" customHeight="1" s="311"/>
    <row r="14423" hidden="1" ht="18.75" customFormat="1" customHeight="1" s="311"/>
    <row r="14424" hidden="1" ht="18.75" customFormat="1" customHeight="1" s="311"/>
    <row r="14425" hidden="1" ht="18.75" customFormat="1" customHeight="1" s="311"/>
    <row r="14426" hidden="1" ht="18.75" customFormat="1" customHeight="1" s="311"/>
    <row r="14427" hidden="1" ht="18.75" customFormat="1" customHeight="1" s="311"/>
    <row r="14428" hidden="1" ht="18.75" customFormat="1" customHeight="1" s="311"/>
    <row r="14429" hidden="1" ht="18.75" customFormat="1" customHeight="1" s="311"/>
    <row r="14430" hidden="1" ht="18.75" customFormat="1" customHeight="1" s="311"/>
    <row r="14431" hidden="1" ht="18.75" customFormat="1" customHeight="1" s="311"/>
    <row r="14432" hidden="1" ht="18.75" customFormat="1" customHeight="1" s="311"/>
    <row r="14433" hidden="1" ht="18.75" customFormat="1" customHeight="1" s="311"/>
    <row r="14434" hidden="1" ht="18.75" customFormat="1" customHeight="1" s="311"/>
    <row r="14435" hidden="1" ht="18.75" customFormat="1" customHeight="1" s="311"/>
    <row r="14436" hidden="1" ht="18.75" customFormat="1" customHeight="1" s="311"/>
    <row r="14437" hidden="1" ht="18.75" customFormat="1" customHeight="1" s="311"/>
    <row r="14438" hidden="1" ht="18.75" customFormat="1" customHeight="1" s="311"/>
    <row r="14439" hidden="1" ht="18.75" customFormat="1" customHeight="1" s="311"/>
    <row r="14440" hidden="1" ht="18.75" customFormat="1" customHeight="1" s="311"/>
    <row r="14441" hidden="1" ht="18.75" customFormat="1" customHeight="1" s="311"/>
    <row r="14442" hidden="1" ht="18.75" customFormat="1" customHeight="1" s="311"/>
    <row r="14443" hidden="1" ht="18.75" customFormat="1" customHeight="1" s="311"/>
    <row r="14444" hidden="1" ht="18.75" customFormat="1" customHeight="1" s="311"/>
    <row r="14445" hidden="1" ht="18.75" customFormat="1" customHeight="1" s="311"/>
    <row r="14446" hidden="1" ht="18.75" customFormat="1" customHeight="1" s="311"/>
    <row r="14447" hidden="1" ht="18.75" customFormat="1" customHeight="1" s="311"/>
    <row r="14448" hidden="1" ht="18.75" customFormat="1" customHeight="1" s="311"/>
    <row r="14449" hidden="1" ht="18.75" customFormat="1" customHeight="1" s="311"/>
    <row r="14450" hidden="1" ht="18.75" customFormat="1" customHeight="1" s="311"/>
    <row r="14451" hidden="1" ht="18.75" customFormat="1" customHeight="1" s="311"/>
    <row r="14452" hidden="1" ht="18.75" customFormat="1" customHeight="1" s="311"/>
    <row r="14453" hidden="1" ht="18.75" customFormat="1" customHeight="1" s="311"/>
    <row r="14454" hidden="1" ht="18.75" customFormat="1" customHeight="1" s="311"/>
    <row r="14455" hidden="1" ht="18.75" customFormat="1" customHeight="1" s="311"/>
    <row r="14456" hidden="1" ht="18.75" customFormat="1" customHeight="1" s="311"/>
    <row r="14457" hidden="1" ht="18.75" customFormat="1" customHeight="1" s="311"/>
    <row r="14458" hidden="1" ht="18.75" customFormat="1" customHeight="1" s="311"/>
    <row r="14459" hidden="1" ht="18.75" customFormat="1" customHeight="1" s="311"/>
    <row r="14460" hidden="1" ht="18.75" customFormat="1" customHeight="1" s="311"/>
    <row r="14461" hidden="1" ht="18.75" customFormat="1" customHeight="1" s="311"/>
    <row r="14462" hidden="1" ht="18.75" customFormat="1" customHeight="1" s="311"/>
    <row r="14463" hidden="1" ht="18.75" customFormat="1" customHeight="1" s="311"/>
    <row r="14464" hidden="1" ht="18.75" customFormat="1" customHeight="1" s="311"/>
    <row r="14465" hidden="1" ht="18.75" customFormat="1" customHeight="1" s="311"/>
    <row r="14466" hidden="1" ht="18.75" customFormat="1" customHeight="1" s="311"/>
    <row r="14467" hidden="1" ht="18.75" customFormat="1" customHeight="1" s="311"/>
    <row r="14468" hidden="1" ht="18.75" customFormat="1" customHeight="1" s="311"/>
    <row r="14469" hidden="1" ht="18.75" customFormat="1" customHeight="1" s="311"/>
    <row r="14470" hidden="1" ht="18.75" customFormat="1" customHeight="1" s="311"/>
    <row r="14471" hidden="1" ht="18.75" customFormat="1" customHeight="1" s="311"/>
    <row r="14472" hidden="1" ht="18.75" customFormat="1" customHeight="1" s="311"/>
    <row r="14473" hidden="1" ht="18.75" customFormat="1" customHeight="1" s="311"/>
    <row r="14474" hidden="1" ht="18.75" customFormat="1" customHeight="1" s="311"/>
    <row r="14475" hidden="1" ht="18.75" customFormat="1" customHeight="1" s="311"/>
    <row r="14476" hidden="1" ht="18.75" customFormat="1" customHeight="1" s="311"/>
    <row r="14477" hidden="1" ht="18.75" customFormat="1" customHeight="1" s="311"/>
    <row r="14478" hidden="1" ht="18.75" customFormat="1" customHeight="1" s="311"/>
    <row r="14479" hidden="1" ht="18.75" customFormat="1" customHeight="1" s="311"/>
    <row r="14480" hidden="1" ht="18.75" customFormat="1" customHeight="1" s="311"/>
    <row r="14481" hidden="1" ht="18.75" customFormat="1" customHeight="1" s="311"/>
    <row r="14482" hidden="1" ht="18.75" customFormat="1" customHeight="1" s="311"/>
    <row r="14483" hidden="1" ht="18.75" customFormat="1" customHeight="1" s="311"/>
    <row r="14484" hidden="1" ht="18.75" customFormat="1" customHeight="1" s="311"/>
    <row r="14485" hidden="1" ht="18.75" customFormat="1" customHeight="1" s="311"/>
    <row r="14486" hidden="1" ht="18.75" customFormat="1" customHeight="1" s="311"/>
    <row r="14487" hidden="1" ht="18.75" customFormat="1" customHeight="1" s="311"/>
    <row r="14488" hidden="1" ht="18.75" customFormat="1" customHeight="1" s="311"/>
    <row r="14489" hidden="1" ht="18.75" customFormat="1" customHeight="1" s="311"/>
    <row r="14490" hidden="1" ht="18.75" customFormat="1" customHeight="1" s="311"/>
    <row r="14491" hidden="1" ht="18.75" customFormat="1" customHeight="1" s="311"/>
    <row r="14492" hidden="1" ht="18.75" customFormat="1" customHeight="1" s="311"/>
    <row r="14493" hidden="1" ht="18.75" customFormat="1" customHeight="1" s="311"/>
    <row r="14494" hidden="1" ht="18.75" customFormat="1" customHeight="1" s="311"/>
    <row r="14495" hidden="1" ht="18.75" customFormat="1" customHeight="1" s="311"/>
    <row r="14496" hidden="1" ht="18.75" customFormat="1" customHeight="1" s="311"/>
    <row r="14497" hidden="1" ht="18.75" customFormat="1" customHeight="1" s="311"/>
    <row r="14498" hidden="1" ht="18.75" customFormat="1" customHeight="1" s="311"/>
    <row r="14499" hidden="1" ht="18.75" customFormat="1" customHeight="1" s="311"/>
    <row r="14500" hidden="1" ht="18.75" customFormat="1" customHeight="1" s="311"/>
    <row r="14501" hidden="1" ht="18.75" customFormat="1" customHeight="1" s="311"/>
    <row r="14502" hidden="1" ht="18.75" customFormat="1" customHeight="1" s="311"/>
    <row r="14503" hidden="1" ht="18.75" customFormat="1" customHeight="1" s="311"/>
    <row r="14504" hidden="1" ht="18.75" customFormat="1" customHeight="1" s="311"/>
    <row r="14505" hidden="1" ht="18.75" customFormat="1" customHeight="1" s="311"/>
    <row r="14506" hidden="1" ht="18.75" customFormat="1" customHeight="1" s="311"/>
    <row r="14507" hidden="1" ht="18.75" customFormat="1" customHeight="1" s="311"/>
    <row r="14508" hidden="1" ht="18.75" customFormat="1" customHeight="1" s="311"/>
    <row r="14509" hidden="1" ht="18.75" customFormat="1" customHeight="1" s="311"/>
    <row r="14510" hidden="1" ht="18.75" customFormat="1" customHeight="1" s="311"/>
    <row r="14511" hidden="1" ht="18.75" customFormat="1" customHeight="1" s="311"/>
    <row r="14512" hidden="1" ht="18.75" customFormat="1" customHeight="1" s="311"/>
    <row r="14513" hidden="1" ht="18.75" customFormat="1" customHeight="1" s="311"/>
    <row r="14514" hidden="1" ht="18.75" customFormat="1" customHeight="1" s="311"/>
    <row r="14515" hidden="1" ht="18.75" customFormat="1" customHeight="1" s="311"/>
    <row r="14516" hidden="1" ht="18.75" customFormat="1" customHeight="1" s="311"/>
    <row r="14517" hidden="1" ht="18.75" customFormat="1" customHeight="1" s="311"/>
    <row r="14518" hidden="1" ht="18.75" customFormat="1" customHeight="1" s="311"/>
    <row r="14519" hidden="1" ht="18.75" customFormat="1" customHeight="1" s="311"/>
    <row r="14520" hidden="1" ht="18.75" customFormat="1" customHeight="1" s="311"/>
    <row r="14521" hidden="1" ht="18.75" customFormat="1" customHeight="1" s="311"/>
    <row r="14522" hidden="1" ht="18.75" customFormat="1" customHeight="1" s="311"/>
    <row r="14523" hidden="1" ht="18.75" customFormat="1" customHeight="1" s="311"/>
    <row r="14524" hidden="1" ht="18.75" customFormat="1" customHeight="1" s="311"/>
    <row r="14525" hidden="1" ht="18.75" customFormat="1" customHeight="1" s="311"/>
    <row r="14526" hidden="1" ht="18.75" customFormat="1" customHeight="1" s="311"/>
    <row r="14527" hidden="1" ht="18.75" customFormat="1" customHeight="1" s="311"/>
    <row r="14528" hidden="1" ht="18.75" customFormat="1" customHeight="1" s="311"/>
    <row r="14529" hidden="1" ht="18.75" customFormat="1" customHeight="1" s="311"/>
    <row r="14530" hidden="1" ht="18.75" customFormat="1" customHeight="1" s="311"/>
    <row r="14531" hidden="1" ht="18.75" customFormat="1" customHeight="1" s="311"/>
    <row r="14532" hidden="1" ht="18.75" customFormat="1" customHeight="1" s="311"/>
    <row r="14533" hidden="1" ht="18.75" customFormat="1" customHeight="1" s="311"/>
    <row r="14534" hidden="1" ht="18.75" customFormat="1" customHeight="1" s="311"/>
    <row r="14535" hidden="1" ht="18.75" customFormat="1" customHeight="1" s="311"/>
    <row r="14536" hidden="1" ht="18.75" customFormat="1" customHeight="1" s="311"/>
    <row r="14537" hidden="1" ht="18.75" customFormat="1" customHeight="1" s="311"/>
    <row r="14538" hidden="1" ht="18.75" customFormat="1" customHeight="1" s="311"/>
    <row r="14539" hidden="1" ht="18.75" customFormat="1" customHeight="1" s="311"/>
    <row r="14540" hidden="1" ht="18.75" customFormat="1" customHeight="1" s="311"/>
    <row r="14541" hidden="1" ht="18.75" customFormat="1" customHeight="1" s="311"/>
    <row r="14542" hidden="1" ht="18.75" customFormat="1" customHeight="1" s="311"/>
    <row r="14543" hidden="1" ht="18.75" customFormat="1" customHeight="1" s="311"/>
    <row r="14544" hidden="1" ht="18.75" customFormat="1" customHeight="1" s="311"/>
    <row r="14545" hidden="1" ht="18.75" customFormat="1" customHeight="1" s="311"/>
    <row r="14546" hidden="1" ht="18.75" customFormat="1" customHeight="1" s="311"/>
    <row r="14547" hidden="1" ht="18.75" customFormat="1" customHeight="1" s="311"/>
    <row r="14548" hidden="1" ht="18.75" customFormat="1" customHeight="1" s="311"/>
    <row r="14549" hidden="1" ht="18.75" customFormat="1" customHeight="1" s="311"/>
    <row r="14550" hidden="1" ht="18.75" customFormat="1" customHeight="1" s="311"/>
    <row r="14551" hidden="1" ht="18.75" customFormat="1" customHeight="1" s="311"/>
    <row r="14552" hidden="1" ht="18.75" customFormat="1" customHeight="1" s="311"/>
    <row r="14553" hidden="1" ht="18.75" customFormat="1" customHeight="1" s="311"/>
    <row r="14554" hidden="1" ht="18.75" customFormat="1" customHeight="1" s="311"/>
    <row r="14555" hidden="1" ht="18.75" customFormat="1" customHeight="1" s="311"/>
    <row r="14556" hidden="1" ht="18.75" customFormat="1" customHeight="1" s="311"/>
    <row r="14557" hidden="1" ht="18.75" customFormat="1" customHeight="1" s="311"/>
    <row r="14558" hidden="1" ht="18.75" customFormat="1" customHeight="1" s="311"/>
    <row r="14559" hidden="1" ht="18.75" customFormat="1" customHeight="1" s="311"/>
    <row r="14560" hidden="1" ht="18.75" customFormat="1" customHeight="1" s="311"/>
    <row r="14561" hidden="1" ht="18.75" customFormat="1" customHeight="1" s="311"/>
    <row r="14562" hidden="1" ht="18.75" customFormat="1" customHeight="1" s="311"/>
    <row r="14563" hidden="1" ht="18.75" customFormat="1" customHeight="1" s="311"/>
    <row r="14564" hidden="1" ht="18.75" customFormat="1" customHeight="1" s="311"/>
    <row r="14565" hidden="1" ht="18.75" customFormat="1" customHeight="1" s="311"/>
    <row r="14566" hidden="1" ht="18.75" customFormat="1" customHeight="1" s="311"/>
    <row r="14567" hidden="1" ht="18.75" customFormat="1" customHeight="1" s="311"/>
    <row r="14568" hidden="1" ht="18.75" customFormat="1" customHeight="1" s="311"/>
    <row r="14569" hidden="1" ht="18.75" customFormat="1" customHeight="1" s="311"/>
    <row r="14570" hidden="1" ht="18.75" customFormat="1" customHeight="1" s="311"/>
    <row r="14571" hidden="1" ht="18.75" customFormat="1" customHeight="1" s="311"/>
    <row r="14572" hidden="1" ht="18.75" customFormat="1" customHeight="1" s="311"/>
    <row r="14573" hidden="1" ht="18.75" customFormat="1" customHeight="1" s="311"/>
    <row r="14574" hidden="1" ht="18.75" customFormat="1" customHeight="1" s="311"/>
    <row r="14575" hidden="1" ht="18.75" customFormat="1" customHeight="1" s="311"/>
    <row r="14576" hidden="1" ht="18.75" customFormat="1" customHeight="1" s="311"/>
    <row r="14577" hidden="1" ht="18.75" customFormat="1" customHeight="1" s="311"/>
    <row r="14578" hidden="1" ht="18.75" customFormat="1" customHeight="1" s="311"/>
    <row r="14579" hidden="1" ht="18.75" customFormat="1" customHeight="1" s="311"/>
    <row r="14580" hidden="1" ht="18.75" customFormat="1" customHeight="1" s="311"/>
    <row r="14581" hidden="1" ht="18.75" customFormat="1" customHeight="1" s="311"/>
    <row r="14582" hidden="1" ht="18.75" customFormat="1" customHeight="1" s="311"/>
    <row r="14583" hidden="1" ht="18.75" customFormat="1" customHeight="1" s="311"/>
    <row r="14584" hidden="1" ht="18.75" customFormat="1" customHeight="1" s="311"/>
    <row r="14585" hidden="1" ht="18.75" customFormat="1" customHeight="1" s="311"/>
    <row r="14586" hidden="1" ht="18.75" customFormat="1" customHeight="1" s="311"/>
    <row r="14587" hidden="1" ht="18.75" customFormat="1" customHeight="1" s="311"/>
    <row r="14588" hidden="1" ht="18.75" customFormat="1" customHeight="1" s="311"/>
    <row r="14589" hidden="1" ht="18.75" customFormat="1" customHeight="1" s="311"/>
    <row r="14590" hidden="1" ht="18.75" customFormat="1" customHeight="1" s="311"/>
    <row r="14591" hidden="1" ht="18.75" customFormat="1" customHeight="1" s="311"/>
    <row r="14592" hidden="1" ht="18.75" customFormat="1" customHeight="1" s="311"/>
    <row r="14593" hidden="1" ht="18.75" customFormat="1" customHeight="1" s="311"/>
    <row r="14594" hidden="1" ht="18.75" customFormat="1" customHeight="1" s="311"/>
    <row r="14595" hidden="1" ht="18.75" customFormat="1" customHeight="1" s="311"/>
    <row r="14596" hidden="1" ht="18.75" customFormat="1" customHeight="1" s="311"/>
    <row r="14597" hidden="1" ht="18.75" customFormat="1" customHeight="1" s="311"/>
    <row r="14598" hidden="1" ht="18.75" customFormat="1" customHeight="1" s="311"/>
    <row r="14599" hidden="1" ht="18.75" customFormat="1" customHeight="1" s="311"/>
    <row r="14600" hidden="1" ht="18.75" customFormat="1" customHeight="1" s="311"/>
    <row r="14601" hidden="1" ht="18.75" customFormat="1" customHeight="1" s="311"/>
    <row r="14602" hidden="1" ht="18.75" customFormat="1" customHeight="1" s="311"/>
    <row r="14603" hidden="1" ht="18.75" customFormat="1" customHeight="1" s="311"/>
    <row r="14604" hidden="1" ht="18.75" customFormat="1" customHeight="1" s="311"/>
    <row r="14605" hidden="1" ht="18.75" customFormat="1" customHeight="1" s="311"/>
    <row r="14606" hidden="1" ht="18.75" customFormat="1" customHeight="1" s="311"/>
    <row r="14607" hidden="1" ht="18.75" customFormat="1" customHeight="1" s="311"/>
    <row r="14608" hidden="1" ht="18.75" customFormat="1" customHeight="1" s="311"/>
    <row r="14609" hidden="1" ht="18.75" customFormat="1" customHeight="1" s="311"/>
    <row r="14610" hidden="1" ht="18.75" customFormat="1" customHeight="1" s="311"/>
    <row r="14611" hidden="1" ht="18.75" customFormat="1" customHeight="1" s="311"/>
    <row r="14612" hidden="1" ht="18.75" customFormat="1" customHeight="1" s="311"/>
    <row r="14613" hidden="1" ht="18.75" customFormat="1" customHeight="1" s="311"/>
    <row r="14614" hidden="1" ht="18.75" customFormat="1" customHeight="1" s="311"/>
    <row r="14615" hidden="1" ht="18.75" customFormat="1" customHeight="1" s="311"/>
    <row r="14616" hidden="1" ht="18.75" customFormat="1" customHeight="1" s="311"/>
    <row r="14617" hidden="1" ht="18.75" customFormat="1" customHeight="1" s="311"/>
    <row r="14618" hidden="1" ht="18.75" customFormat="1" customHeight="1" s="311"/>
    <row r="14619" hidden="1" ht="18.75" customFormat="1" customHeight="1" s="311"/>
    <row r="14620" hidden="1" ht="18.75" customFormat="1" customHeight="1" s="311"/>
    <row r="14621" hidden="1" ht="18.75" customFormat="1" customHeight="1" s="311"/>
    <row r="14622" hidden="1" ht="18.75" customFormat="1" customHeight="1" s="311"/>
    <row r="14623" hidden="1" ht="18.75" customFormat="1" customHeight="1" s="311"/>
    <row r="14624" hidden="1" ht="18.75" customFormat="1" customHeight="1" s="311"/>
    <row r="14625" hidden="1" ht="18.75" customFormat="1" customHeight="1" s="311"/>
    <row r="14626" hidden="1" ht="18.75" customFormat="1" customHeight="1" s="311"/>
    <row r="14627" hidden="1" ht="18.75" customFormat="1" customHeight="1" s="311"/>
    <row r="14628" hidden="1" ht="18.75" customFormat="1" customHeight="1" s="311"/>
    <row r="14629" hidden="1" ht="18.75" customFormat="1" customHeight="1" s="311"/>
    <row r="14630" hidden="1" ht="18.75" customFormat="1" customHeight="1" s="311"/>
    <row r="14631" hidden="1" ht="18.75" customFormat="1" customHeight="1" s="311"/>
    <row r="14632" hidden="1" ht="18.75" customFormat="1" customHeight="1" s="311"/>
    <row r="14633" hidden="1" ht="18.75" customFormat="1" customHeight="1" s="311"/>
    <row r="14634" hidden="1" ht="18.75" customFormat="1" customHeight="1" s="311"/>
    <row r="14635" hidden="1" ht="18.75" customFormat="1" customHeight="1" s="311"/>
    <row r="14636" hidden="1" ht="18.75" customFormat="1" customHeight="1" s="311"/>
    <row r="14637" hidden="1" ht="18.75" customFormat="1" customHeight="1" s="311"/>
    <row r="14638" hidden="1" ht="18.75" customFormat="1" customHeight="1" s="311"/>
    <row r="14639" hidden="1" ht="18.75" customFormat="1" customHeight="1" s="311"/>
    <row r="14640" hidden="1" ht="18.75" customFormat="1" customHeight="1" s="311"/>
    <row r="14641" hidden="1" ht="18.75" customFormat="1" customHeight="1" s="311"/>
    <row r="14642" hidden="1" ht="18.75" customFormat="1" customHeight="1" s="311"/>
    <row r="14643" hidden="1" ht="18.75" customFormat="1" customHeight="1" s="311"/>
    <row r="14644" hidden="1" ht="18.75" customFormat="1" customHeight="1" s="311"/>
    <row r="14645" hidden="1" ht="18.75" customFormat="1" customHeight="1" s="311"/>
    <row r="14646" hidden="1" ht="18.75" customFormat="1" customHeight="1" s="311"/>
    <row r="14647" hidden="1" ht="18.75" customFormat="1" customHeight="1" s="311"/>
    <row r="14648" hidden="1" ht="18.75" customFormat="1" customHeight="1" s="311"/>
    <row r="14649" hidden="1" ht="18.75" customFormat="1" customHeight="1" s="311"/>
    <row r="14650" hidden="1" ht="18.75" customFormat="1" customHeight="1" s="311"/>
    <row r="14651" hidden="1" ht="18.75" customFormat="1" customHeight="1" s="311"/>
    <row r="14652" hidden="1" ht="18.75" customFormat="1" customHeight="1" s="311"/>
    <row r="14653" hidden="1" ht="18.75" customFormat="1" customHeight="1" s="311"/>
    <row r="14654" hidden="1" ht="18.75" customFormat="1" customHeight="1" s="311"/>
    <row r="14655" hidden="1" ht="18.75" customFormat="1" customHeight="1" s="311"/>
    <row r="14656" hidden="1" ht="18.75" customFormat="1" customHeight="1" s="311"/>
    <row r="14657" hidden="1" ht="18.75" customFormat="1" customHeight="1" s="311"/>
    <row r="14658" hidden="1" ht="18.75" customFormat="1" customHeight="1" s="311"/>
    <row r="14659" hidden="1" ht="18.75" customFormat="1" customHeight="1" s="311"/>
    <row r="14660" hidden="1" ht="18.75" customFormat="1" customHeight="1" s="311"/>
    <row r="14661" hidden="1" ht="18.75" customFormat="1" customHeight="1" s="311"/>
    <row r="14662" hidden="1" ht="18.75" customFormat="1" customHeight="1" s="311"/>
    <row r="14663" hidden="1" ht="18.75" customFormat="1" customHeight="1" s="311"/>
    <row r="14664" hidden="1" ht="18.75" customFormat="1" customHeight="1" s="311"/>
    <row r="14665" hidden="1" ht="18.75" customFormat="1" customHeight="1" s="311"/>
    <row r="14666" hidden="1" ht="18.75" customFormat="1" customHeight="1" s="311"/>
    <row r="14667" hidden="1" ht="18.75" customFormat="1" customHeight="1" s="311"/>
    <row r="14668" hidden="1" ht="18.75" customFormat="1" customHeight="1" s="311"/>
    <row r="14669" hidden="1" ht="18.75" customFormat="1" customHeight="1" s="311"/>
    <row r="14670" hidden="1" ht="18.75" customFormat="1" customHeight="1" s="311"/>
    <row r="14671" hidden="1" ht="18.75" customFormat="1" customHeight="1" s="311"/>
    <row r="14672" hidden="1" ht="18.75" customFormat="1" customHeight="1" s="311"/>
    <row r="14673" hidden="1" ht="18.75" customFormat="1" customHeight="1" s="311"/>
    <row r="14674" hidden="1" ht="18.75" customFormat="1" customHeight="1" s="311"/>
    <row r="14675" hidden="1" ht="18.75" customFormat="1" customHeight="1" s="311"/>
    <row r="14676" hidden="1" ht="18.75" customFormat="1" customHeight="1" s="311"/>
    <row r="14677" hidden="1" ht="18.75" customFormat="1" customHeight="1" s="311"/>
    <row r="14678" hidden="1" ht="18.75" customFormat="1" customHeight="1" s="311"/>
    <row r="14679" hidden="1" ht="18.75" customFormat="1" customHeight="1" s="311"/>
    <row r="14680" hidden="1" ht="18.75" customFormat="1" customHeight="1" s="311"/>
    <row r="14681" hidden="1" ht="18.75" customFormat="1" customHeight="1" s="311"/>
    <row r="14682" hidden="1" ht="18.75" customFormat="1" customHeight="1" s="311"/>
    <row r="14683" hidden="1" ht="18.75" customFormat="1" customHeight="1" s="311"/>
    <row r="14684" hidden="1" ht="18.75" customFormat="1" customHeight="1" s="311"/>
    <row r="14685" hidden="1" ht="18.75" customFormat="1" customHeight="1" s="311"/>
    <row r="14686" hidden="1" ht="18.75" customFormat="1" customHeight="1" s="311"/>
    <row r="14687" hidden="1" ht="18.75" customFormat="1" customHeight="1" s="311"/>
    <row r="14688" hidden="1" ht="18.75" customFormat="1" customHeight="1" s="311"/>
    <row r="14689" hidden="1" ht="18.75" customFormat="1" customHeight="1" s="311"/>
    <row r="14690" hidden="1" ht="18.75" customFormat="1" customHeight="1" s="311"/>
    <row r="14691" hidden="1" ht="18.75" customFormat="1" customHeight="1" s="311"/>
    <row r="14692" hidden="1" ht="18.75" customFormat="1" customHeight="1" s="311"/>
    <row r="14693" hidden="1" ht="18.75" customFormat="1" customHeight="1" s="311"/>
    <row r="14694" hidden="1" ht="18.75" customFormat="1" customHeight="1" s="311"/>
    <row r="14695" hidden="1" ht="18.75" customFormat="1" customHeight="1" s="311"/>
    <row r="14696" hidden="1" ht="18.75" customFormat="1" customHeight="1" s="311"/>
    <row r="14697" hidden="1" ht="18.75" customFormat="1" customHeight="1" s="311"/>
    <row r="14698" hidden="1" ht="18.75" customFormat="1" customHeight="1" s="311"/>
    <row r="14699" hidden="1" ht="18.75" customFormat="1" customHeight="1" s="311"/>
    <row r="14700" hidden="1" ht="18.75" customFormat="1" customHeight="1" s="311"/>
    <row r="14701" hidden="1" ht="18.75" customFormat="1" customHeight="1" s="311"/>
    <row r="14702" hidden="1" ht="18.75" customFormat="1" customHeight="1" s="311"/>
    <row r="14703" hidden="1" ht="18.75" customFormat="1" customHeight="1" s="311"/>
    <row r="14704" hidden="1" ht="18.75" customFormat="1" customHeight="1" s="311"/>
    <row r="14705" hidden="1" ht="18.75" customFormat="1" customHeight="1" s="311"/>
    <row r="14706" hidden="1" ht="18.75" customFormat="1" customHeight="1" s="311"/>
    <row r="14707" hidden="1" ht="18.75" customFormat="1" customHeight="1" s="311"/>
    <row r="14708" hidden="1" ht="18.75" customFormat="1" customHeight="1" s="311"/>
    <row r="14709" hidden="1" ht="18.75" customFormat="1" customHeight="1" s="311"/>
    <row r="14710" hidden="1" ht="18.75" customFormat="1" customHeight="1" s="311"/>
    <row r="14711" hidden="1" ht="18.75" customFormat="1" customHeight="1" s="311"/>
    <row r="14712" hidden="1" ht="18.75" customFormat="1" customHeight="1" s="311"/>
    <row r="14713" hidden="1" ht="18.75" customFormat="1" customHeight="1" s="311"/>
    <row r="14714" hidden="1" ht="18.75" customFormat="1" customHeight="1" s="311"/>
    <row r="14715" hidden="1" ht="18.75" customFormat="1" customHeight="1" s="311"/>
    <row r="14716" hidden="1" ht="18.75" customFormat="1" customHeight="1" s="311"/>
    <row r="14717" hidden="1" ht="18.75" customFormat="1" customHeight="1" s="311"/>
    <row r="14718" hidden="1" ht="18.75" customFormat="1" customHeight="1" s="311"/>
    <row r="14719" hidden="1" ht="18.75" customFormat="1" customHeight="1" s="311"/>
    <row r="14720" hidden="1" ht="18.75" customFormat="1" customHeight="1" s="311"/>
    <row r="14721" hidden="1" ht="18.75" customFormat="1" customHeight="1" s="311"/>
    <row r="14722" hidden="1" ht="18.75" customFormat="1" customHeight="1" s="311"/>
    <row r="14723" hidden="1" ht="18.75" customFormat="1" customHeight="1" s="311"/>
    <row r="14724" hidden="1" ht="18.75" customFormat="1" customHeight="1" s="311"/>
    <row r="14725" hidden="1" ht="18.75" customFormat="1" customHeight="1" s="311"/>
    <row r="14726" hidden="1" ht="18.75" customFormat="1" customHeight="1" s="311"/>
    <row r="14727" hidden="1" ht="18.75" customFormat="1" customHeight="1" s="311"/>
    <row r="14728" hidden="1" ht="18.75" customFormat="1" customHeight="1" s="311"/>
    <row r="14729" hidden="1" ht="18.75" customFormat="1" customHeight="1" s="311"/>
    <row r="14730" hidden="1" ht="18.75" customFormat="1" customHeight="1" s="311"/>
    <row r="14731" hidden="1" ht="18.75" customFormat="1" customHeight="1" s="311"/>
    <row r="14732" hidden="1" ht="18.75" customFormat="1" customHeight="1" s="311"/>
    <row r="14733" hidden="1" ht="18.75" customFormat="1" customHeight="1" s="311"/>
    <row r="14734" hidden="1" ht="18.75" customFormat="1" customHeight="1" s="311"/>
    <row r="14735" hidden="1" ht="18.75" customFormat="1" customHeight="1" s="311"/>
    <row r="14736" hidden="1" ht="18.75" customFormat="1" customHeight="1" s="311"/>
    <row r="14737" hidden="1" ht="18.75" customFormat="1" customHeight="1" s="311"/>
    <row r="14738" hidden="1" ht="18.75" customFormat="1" customHeight="1" s="311"/>
    <row r="14739" hidden="1" ht="18.75" customFormat="1" customHeight="1" s="311"/>
    <row r="14740" hidden="1" ht="18.75" customFormat="1" customHeight="1" s="311"/>
    <row r="14741" hidden="1" ht="18.75" customFormat="1" customHeight="1" s="311"/>
    <row r="14742" hidden="1" ht="18.75" customFormat="1" customHeight="1" s="311"/>
    <row r="14743" hidden="1" ht="18.75" customFormat="1" customHeight="1" s="311"/>
    <row r="14744" hidden="1" ht="18.75" customFormat="1" customHeight="1" s="311"/>
    <row r="14745" hidden="1" ht="18.75" customFormat="1" customHeight="1" s="311"/>
    <row r="14746" hidden="1" ht="18.75" customFormat="1" customHeight="1" s="311"/>
    <row r="14747" hidden="1" ht="18.75" customFormat="1" customHeight="1" s="311"/>
    <row r="14748" hidden="1" ht="18.75" customFormat="1" customHeight="1" s="311"/>
    <row r="14749" hidden="1" ht="18.75" customFormat="1" customHeight="1" s="311"/>
    <row r="14750" hidden="1" ht="18.75" customFormat="1" customHeight="1" s="311"/>
    <row r="14751" hidden="1" ht="18.75" customFormat="1" customHeight="1" s="311"/>
    <row r="14752" hidden="1" ht="18.75" customFormat="1" customHeight="1" s="311"/>
    <row r="14753" hidden="1" ht="18.75" customFormat="1" customHeight="1" s="311"/>
    <row r="14754" hidden="1" ht="18.75" customFormat="1" customHeight="1" s="311"/>
    <row r="14755" hidden="1" ht="18.75" customFormat="1" customHeight="1" s="311"/>
    <row r="14756" hidden="1" ht="18.75" customFormat="1" customHeight="1" s="311"/>
    <row r="14757" hidden="1" ht="18.75" customFormat="1" customHeight="1" s="311"/>
    <row r="14758" hidden="1" ht="18.75" customFormat="1" customHeight="1" s="311"/>
    <row r="14759" hidden="1" ht="18.75" customFormat="1" customHeight="1" s="311"/>
    <row r="14760" hidden="1" ht="18.75" customFormat="1" customHeight="1" s="311"/>
    <row r="14761" hidden="1" ht="18.75" customFormat="1" customHeight="1" s="311"/>
    <row r="14762" hidden="1" ht="18.75" customFormat="1" customHeight="1" s="311"/>
    <row r="14763" hidden="1" ht="18.75" customFormat="1" customHeight="1" s="311"/>
    <row r="14764" hidden="1" ht="18.75" customFormat="1" customHeight="1" s="311"/>
    <row r="14765" hidden="1" ht="18.75" customFormat="1" customHeight="1" s="311"/>
    <row r="14766" hidden="1" ht="18.75" customFormat="1" customHeight="1" s="311"/>
    <row r="14767" hidden="1" ht="18.75" customFormat="1" customHeight="1" s="311"/>
    <row r="14768" hidden="1" ht="18.75" customFormat="1" customHeight="1" s="311"/>
    <row r="14769" hidden="1" ht="18.75" customFormat="1" customHeight="1" s="311"/>
    <row r="14770" hidden="1" ht="18.75" customFormat="1" customHeight="1" s="311"/>
    <row r="14771" hidden="1" ht="18.75" customFormat="1" customHeight="1" s="311"/>
    <row r="14772" hidden="1" ht="18.75" customFormat="1" customHeight="1" s="311"/>
    <row r="14773" hidden="1" ht="18.75" customFormat="1" customHeight="1" s="311"/>
    <row r="14774" hidden="1" ht="18.75" customFormat="1" customHeight="1" s="311"/>
    <row r="14775" hidden="1" ht="18.75" customFormat="1" customHeight="1" s="311"/>
    <row r="14776" hidden="1" ht="18.75" customFormat="1" customHeight="1" s="311"/>
    <row r="14777" hidden="1" ht="18.75" customFormat="1" customHeight="1" s="311"/>
    <row r="14778" hidden="1" ht="18.75" customFormat="1" customHeight="1" s="311"/>
    <row r="14779" hidden="1" ht="18.75" customFormat="1" customHeight="1" s="311"/>
    <row r="14780" hidden="1" ht="18.75" customFormat="1" customHeight="1" s="311"/>
    <row r="14781" hidden="1" ht="18.75" customFormat="1" customHeight="1" s="311"/>
    <row r="14782" hidden="1" ht="18.75" customFormat="1" customHeight="1" s="311"/>
    <row r="14783" hidden="1" ht="18.75" customFormat="1" customHeight="1" s="311"/>
    <row r="14784" hidden="1" ht="18.75" customFormat="1" customHeight="1" s="311"/>
    <row r="14785" hidden="1" ht="18.75" customFormat="1" customHeight="1" s="311"/>
    <row r="14786" hidden="1" ht="18.75" customFormat="1" customHeight="1" s="311"/>
    <row r="14787" hidden="1" ht="18.75" customFormat="1" customHeight="1" s="311"/>
    <row r="14788" hidden="1" ht="18.75" customFormat="1" customHeight="1" s="311"/>
    <row r="14789" hidden="1" ht="18.75" customFormat="1" customHeight="1" s="311"/>
    <row r="14790" hidden="1" ht="18.75" customFormat="1" customHeight="1" s="311"/>
    <row r="14791" hidden="1" ht="18.75" customFormat="1" customHeight="1" s="311"/>
    <row r="14792" hidden="1" ht="18.75" customFormat="1" customHeight="1" s="311"/>
    <row r="14793" hidden="1" ht="18.75" customFormat="1" customHeight="1" s="311"/>
    <row r="14794" hidden="1" ht="18.75" customFormat="1" customHeight="1" s="311"/>
    <row r="14795" hidden="1" ht="18.75" customFormat="1" customHeight="1" s="311"/>
    <row r="14796" hidden="1" ht="18.75" customFormat="1" customHeight="1" s="311"/>
    <row r="14797" hidden="1" ht="18.75" customFormat="1" customHeight="1" s="311"/>
    <row r="14798" hidden="1" ht="18.75" customFormat="1" customHeight="1" s="311"/>
    <row r="14799" hidden="1" ht="18.75" customFormat="1" customHeight="1" s="311"/>
    <row r="14800" hidden="1" ht="18.75" customFormat="1" customHeight="1" s="311"/>
    <row r="14801" hidden="1" ht="18.75" customFormat="1" customHeight="1" s="311"/>
    <row r="14802" hidden="1" ht="18.75" customFormat="1" customHeight="1" s="311"/>
    <row r="14803" hidden="1" ht="18.75" customFormat="1" customHeight="1" s="311"/>
    <row r="14804" hidden="1" ht="18.75" customFormat="1" customHeight="1" s="311"/>
    <row r="14805" hidden="1" ht="18.75" customFormat="1" customHeight="1" s="311"/>
    <row r="14806" hidden="1" ht="18.75" customFormat="1" customHeight="1" s="311"/>
    <row r="14807" hidden="1" ht="18.75" customFormat="1" customHeight="1" s="311"/>
    <row r="14808" hidden="1" ht="18.75" customFormat="1" customHeight="1" s="311"/>
    <row r="14809" hidden="1" ht="18.75" customFormat="1" customHeight="1" s="311"/>
    <row r="14810" hidden="1" ht="18.75" customFormat="1" customHeight="1" s="311"/>
    <row r="14811" hidden="1" ht="18.75" customFormat="1" customHeight="1" s="311"/>
    <row r="14812" hidden="1" ht="18.75" customFormat="1" customHeight="1" s="311"/>
    <row r="14813" hidden="1" ht="18.75" customFormat="1" customHeight="1" s="311"/>
    <row r="14814" hidden="1" ht="18.75" customFormat="1" customHeight="1" s="311"/>
    <row r="14815" hidden="1" ht="18.75" customFormat="1" customHeight="1" s="311"/>
    <row r="14816" hidden="1" ht="18.75" customFormat="1" customHeight="1" s="311"/>
    <row r="14817" hidden="1" ht="18.75" customFormat="1" customHeight="1" s="311"/>
    <row r="14818" hidden="1" ht="18.75" customFormat="1" customHeight="1" s="311"/>
    <row r="14819" hidden="1" ht="18.75" customFormat="1" customHeight="1" s="311"/>
    <row r="14820" hidden="1" ht="18.75" customFormat="1" customHeight="1" s="311"/>
    <row r="14821" hidden="1" ht="18.75" customFormat="1" customHeight="1" s="311"/>
    <row r="14822" hidden="1" ht="18.75" customFormat="1" customHeight="1" s="311"/>
    <row r="14823" hidden="1" ht="18.75" customFormat="1" customHeight="1" s="311"/>
    <row r="14824" hidden="1" ht="18.75" customFormat="1" customHeight="1" s="311"/>
    <row r="14825" hidden="1" ht="18.75" customFormat="1" customHeight="1" s="311"/>
    <row r="14826" hidden="1" ht="18.75" customFormat="1" customHeight="1" s="311"/>
    <row r="14827" hidden="1" ht="18.75" customFormat="1" customHeight="1" s="311"/>
    <row r="14828" hidden="1" ht="18.75" customFormat="1" customHeight="1" s="311"/>
    <row r="14829" hidden="1" ht="18.75" customFormat="1" customHeight="1" s="311"/>
    <row r="14830" hidden="1" ht="18.75" customFormat="1" customHeight="1" s="311"/>
    <row r="14831" hidden="1" ht="18.75" customFormat="1" customHeight="1" s="311"/>
    <row r="14832" hidden="1" ht="18.75" customFormat="1" customHeight="1" s="311"/>
    <row r="14833" hidden="1" ht="18.75" customFormat="1" customHeight="1" s="311"/>
    <row r="14834" hidden="1" ht="18.75" customFormat="1" customHeight="1" s="311"/>
    <row r="14835" hidden="1" ht="18.75" customFormat="1" customHeight="1" s="311"/>
    <row r="14836" hidden="1" ht="18.75" customFormat="1" customHeight="1" s="311"/>
    <row r="14837" hidden="1" ht="18.75" customFormat="1" customHeight="1" s="311"/>
    <row r="14838" hidden="1" ht="18.75" customFormat="1" customHeight="1" s="311"/>
    <row r="14839" hidden="1" ht="18.75" customFormat="1" customHeight="1" s="311"/>
    <row r="14840" hidden="1" ht="18.75" customFormat="1" customHeight="1" s="311"/>
    <row r="14841" hidden="1" ht="18.75" customFormat="1" customHeight="1" s="311"/>
    <row r="14842" hidden="1" ht="18.75" customFormat="1" customHeight="1" s="311"/>
    <row r="14843" hidden="1" ht="18.75" customFormat="1" customHeight="1" s="311"/>
    <row r="14844" hidden="1" ht="18.75" customFormat="1" customHeight="1" s="311"/>
    <row r="14845" hidden="1" ht="18.75" customFormat="1" customHeight="1" s="311"/>
    <row r="14846" hidden="1" ht="18.75" customFormat="1" customHeight="1" s="311"/>
    <row r="14847" hidden="1" ht="18.75" customFormat="1" customHeight="1" s="311"/>
    <row r="14848" hidden="1" ht="18.75" customFormat="1" customHeight="1" s="311"/>
    <row r="14849" hidden="1" ht="18.75" customFormat="1" customHeight="1" s="311"/>
    <row r="14850" hidden="1" ht="18.75" customFormat="1" customHeight="1" s="311"/>
    <row r="14851" hidden="1" ht="18.75" customFormat="1" customHeight="1" s="311"/>
    <row r="14852" hidden="1" ht="18.75" customFormat="1" customHeight="1" s="311"/>
    <row r="14853" hidden="1" ht="18.75" customFormat="1" customHeight="1" s="311"/>
    <row r="14854" hidden="1" ht="18.75" customFormat="1" customHeight="1" s="311"/>
    <row r="14855" hidden="1" ht="18.75" customFormat="1" customHeight="1" s="311"/>
    <row r="14856" hidden="1" ht="18.75" customFormat="1" customHeight="1" s="311"/>
    <row r="14857" hidden="1" ht="18.75" customFormat="1" customHeight="1" s="311"/>
    <row r="14858" hidden="1" ht="18.75" customFormat="1" customHeight="1" s="311"/>
    <row r="14859" hidden="1" ht="18.75" customFormat="1" customHeight="1" s="311"/>
    <row r="14860" hidden="1" ht="18.75" customFormat="1" customHeight="1" s="311"/>
    <row r="14861" hidden="1" ht="18.75" customFormat="1" customHeight="1" s="311"/>
    <row r="14862" hidden="1" ht="18.75" customFormat="1" customHeight="1" s="311"/>
    <row r="14863" hidden="1" ht="18.75" customFormat="1" customHeight="1" s="311"/>
    <row r="14864" hidden="1" ht="18.75" customFormat="1" customHeight="1" s="311"/>
    <row r="14865" hidden="1" ht="18.75" customFormat="1" customHeight="1" s="311"/>
    <row r="14866" hidden="1" ht="18.75" customFormat="1" customHeight="1" s="311"/>
    <row r="14867" hidden="1" ht="18.75" customFormat="1" customHeight="1" s="311"/>
    <row r="14868" hidden="1" ht="18.75" customFormat="1" customHeight="1" s="311"/>
    <row r="14869" hidden="1" ht="18.75" customFormat="1" customHeight="1" s="311"/>
    <row r="14870" hidden="1" ht="18.75" customFormat="1" customHeight="1" s="311"/>
    <row r="14871" hidden="1" ht="18.75" customFormat="1" customHeight="1" s="311"/>
    <row r="14872" hidden="1" ht="18.75" customFormat="1" customHeight="1" s="311"/>
    <row r="14873" hidden="1" ht="18.75" customFormat="1" customHeight="1" s="311"/>
    <row r="14874" hidden="1" ht="18.75" customFormat="1" customHeight="1" s="311"/>
    <row r="14875" hidden="1" ht="18.75" customFormat="1" customHeight="1" s="311"/>
    <row r="14876" hidden="1" ht="18.75" customFormat="1" customHeight="1" s="311"/>
    <row r="14877" hidden="1" ht="18.75" customFormat="1" customHeight="1" s="311"/>
    <row r="14878" hidden="1" ht="18.75" customFormat="1" customHeight="1" s="311"/>
    <row r="14879" hidden="1" ht="18.75" customFormat="1" customHeight="1" s="311"/>
    <row r="14880" hidden="1" ht="18.75" customFormat="1" customHeight="1" s="311"/>
    <row r="14881" hidden="1" ht="18.75" customFormat="1" customHeight="1" s="311"/>
    <row r="14882" hidden="1" ht="18.75" customFormat="1" customHeight="1" s="311"/>
    <row r="14883" hidden="1" ht="18.75" customFormat="1" customHeight="1" s="311"/>
    <row r="14884" hidden="1" ht="18.75" customFormat="1" customHeight="1" s="311"/>
    <row r="14885" hidden="1" ht="18.75" customFormat="1" customHeight="1" s="311"/>
    <row r="14886" hidden="1" ht="18.75" customFormat="1" customHeight="1" s="311"/>
    <row r="14887" hidden="1" ht="18.75" customFormat="1" customHeight="1" s="311"/>
    <row r="14888" hidden="1" ht="18.75" customFormat="1" customHeight="1" s="311"/>
    <row r="14889" hidden="1" ht="18.75" customFormat="1" customHeight="1" s="311"/>
    <row r="14890" hidden="1" ht="18.75" customFormat="1" customHeight="1" s="311"/>
    <row r="14891" hidden="1" ht="18.75" customFormat="1" customHeight="1" s="311"/>
    <row r="14892" hidden="1" ht="18.75" customFormat="1" customHeight="1" s="311"/>
    <row r="14893" hidden="1" ht="18.75" customFormat="1" customHeight="1" s="311"/>
    <row r="14894" hidden="1" ht="18.75" customFormat="1" customHeight="1" s="311"/>
    <row r="14895" hidden="1" ht="18.75" customFormat="1" customHeight="1" s="311"/>
    <row r="14896" hidden="1" ht="18.75" customFormat="1" customHeight="1" s="311"/>
    <row r="14897" hidden="1" ht="18.75" customFormat="1" customHeight="1" s="311"/>
    <row r="14898" hidden="1" ht="18.75" customFormat="1" customHeight="1" s="311"/>
    <row r="14899" hidden="1" ht="18.75" customFormat="1" customHeight="1" s="311"/>
    <row r="14900" hidden="1" ht="18.75" customFormat="1" customHeight="1" s="311"/>
    <row r="14901" hidden="1" ht="18.75" customFormat="1" customHeight="1" s="311"/>
    <row r="14902" hidden="1" ht="18.75" customFormat="1" customHeight="1" s="311"/>
    <row r="14903" hidden="1" ht="18.75" customFormat="1" customHeight="1" s="311"/>
    <row r="14904" hidden="1" ht="18.75" customFormat="1" customHeight="1" s="311"/>
    <row r="14905" hidden="1" ht="18.75" customFormat="1" customHeight="1" s="311"/>
    <row r="14906" hidden="1" ht="18.75" customFormat="1" customHeight="1" s="311"/>
    <row r="14907" hidden="1" ht="18.75" customFormat="1" customHeight="1" s="311"/>
    <row r="14908" hidden="1" ht="18.75" customFormat="1" customHeight="1" s="311"/>
    <row r="14909" hidden="1" ht="18.75" customFormat="1" customHeight="1" s="311"/>
    <row r="14910" hidden="1" ht="18.75" customFormat="1" customHeight="1" s="311"/>
    <row r="14911" hidden="1" ht="18.75" customFormat="1" customHeight="1" s="311"/>
    <row r="14912" hidden="1" ht="18.75" customFormat="1" customHeight="1" s="311"/>
    <row r="14913" hidden="1" ht="18.75" customFormat="1" customHeight="1" s="311"/>
    <row r="14914" hidden="1" ht="18.75" customFormat="1" customHeight="1" s="311"/>
    <row r="14915" hidden="1" ht="18.75" customFormat="1" customHeight="1" s="311"/>
    <row r="14916" hidden="1" ht="18.75" customFormat="1" customHeight="1" s="311"/>
    <row r="14917" hidden="1" ht="18.75" customFormat="1" customHeight="1" s="311"/>
    <row r="14918" hidden="1" ht="18.75" customFormat="1" customHeight="1" s="311"/>
    <row r="14919" hidden="1" ht="18.75" customFormat="1" customHeight="1" s="311"/>
    <row r="14920" hidden="1" ht="18.75" customFormat="1" customHeight="1" s="311"/>
    <row r="14921" hidden="1" ht="18.75" customFormat="1" customHeight="1" s="311"/>
    <row r="14922" hidden="1" ht="18.75" customFormat="1" customHeight="1" s="311"/>
    <row r="14923" hidden="1" ht="18.75" customFormat="1" customHeight="1" s="311"/>
    <row r="14924" hidden="1" ht="18.75" customFormat="1" customHeight="1" s="311"/>
    <row r="14925" hidden="1" ht="18.75" customFormat="1" customHeight="1" s="311"/>
    <row r="14926" hidden="1" ht="18.75" customFormat="1" customHeight="1" s="311"/>
    <row r="14927" hidden="1" ht="18.75" customFormat="1" customHeight="1" s="311"/>
    <row r="14928" hidden="1" ht="18.75" customFormat="1" customHeight="1" s="311"/>
    <row r="14929" hidden="1" ht="18.75" customFormat="1" customHeight="1" s="311"/>
    <row r="14930" hidden="1" ht="18.75" customFormat="1" customHeight="1" s="311"/>
    <row r="14931" hidden="1" ht="18.75" customFormat="1" customHeight="1" s="311"/>
    <row r="14932" hidden="1" ht="18.75" customFormat="1" customHeight="1" s="311"/>
    <row r="14933" hidden="1" ht="18.75" customFormat="1" customHeight="1" s="311"/>
    <row r="14934" hidden="1" ht="18.75" customFormat="1" customHeight="1" s="311"/>
    <row r="14935" hidden="1" ht="18.75" customFormat="1" customHeight="1" s="311"/>
    <row r="14936" hidden="1" ht="18.75" customFormat="1" customHeight="1" s="311"/>
    <row r="14937" hidden="1" ht="18.75" customFormat="1" customHeight="1" s="311"/>
    <row r="14938" hidden="1" ht="18.75" customFormat="1" customHeight="1" s="311"/>
    <row r="14939" hidden="1" ht="18.75" customFormat="1" customHeight="1" s="311"/>
    <row r="14940" hidden="1" ht="18.75" customFormat="1" customHeight="1" s="311"/>
    <row r="14941" hidden="1" ht="18.75" customFormat="1" customHeight="1" s="311"/>
    <row r="14942" hidden="1" ht="18.75" customFormat="1" customHeight="1" s="311"/>
    <row r="14943" hidden="1" ht="18.75" customFormat="1" customHeight="1" s="311"/>
    <row r="14944" hidden="1" ht="18.75" customFormat="1" customHeight="1" s="311"/>
    <row r="14945" hidden="1" ht="18.75" customFormat="1" customHeight="1" s="311"/>
    <row r="14946" hidden="1" ht="18.75" customFormat="1" customHeight="1" s="311"/>
    <row r="14947" hidden="1" ht="18.75" customFormat="1" customHeight="1" s="311"/>
    <row r="14948" hidden="1" ht="18.75" customFormat="1" customHeight="1" s="311"/>
    <row r="14949" hidden="1" ht="18.75" customFormat="1" customHeight="1" s="311"/>
    <row r="14950" hidden="1" ht="18.75" customFormat="1" customHeight="1" s="311"/>
    <row r="14951" hidden="1" ht="18.75" customFormat="1" customHeight="1" s="311"/>
    <row r="14952" hidden="1" ht="18.75" customFormat="1" customHeight="1" s="311"/>
    <row r="14953" hidden="1" ht="18.75" customFormat="1" customHeight="1" s="311"/>
    <row r="14954" hidden="1" ht="18.75" customFormat="1" customHeight="1" s="311"/>
    <row r="14955" hidden="1" ht="18.75" customFormat="1" customHeight="1" s="311"/>
    <row r="14956" hidden="1" ht="18.75" customFormat="1" customHeight="1" s="311"/>
    <row r="14957" hidden="1" ht="18.75" customFormat="1" customHeight="1" s="311"/>
    <row r="14958" hidden="1" ht="18.75" customFormat="1" customHeight="1" s="311"/>
    <row r="14959" hidden="1" ht="18.75" customFormat="1" customHeight="1" s="311"/>
    <row r="14960" hidden="1" ht="18.75" customFormat="1" customHeight="1" s="311"/>
    <row r="14961" hidden="1" ht="18.75" customFormat="1" customHeight="1" s="311"/>
    <row r="14962" hidden="1" ht="18.75" customFormat="1" customHeight="1" s="311"/>
    <row r="14963" hidden="1" ht="18.75" customFormat="1" customHeight="1" s="311"/>
    <row r="14964" hidden="1" ht="18.75" customFormat="1" customHeight="1" s="311"/>
    <row r="14965" hidden="1" ht="18.75" customFormat="1" customHeight="1" s="311"/>
    <row r="14966" hidden="1" ht="18.75" customFormat="1" customHeight="1" s="311"/>
    <row r="14967" hidden="1" ht="18.75" customFormat="1" customHeight="1" s="311"/>
    <row r="14968" hidden="1" ht="18.75" customFormat="1" customHeight="1" s="311"/>
    <row r="14969" hidden="1" ht="18.75" customFormat="1" customHeight="1" s="311"/>
    <row r="14970" hidden="1" ht="18.75" customFormat="1" customHeight="1" s="311"/>
    <row r="14971" hidden="1" ht="18.75" customFormat="1" customHeight="1" s="311"/>
    <row r="14972" hidden="1" ht="18.75" customFormat="1" customHeight="1" s="311"/>
    <row r="14973" hidden="1" ht="18.75" customFormat="1" customHeight="1" s="311"/>
    <row r="14974" hidden="1" ht="18.75" customFormat="1" customHeight="1" s="311"/>
    <row r="14975" hidden="1" ht="18.75" customFormat="1" customHeight="1" s="311"/>
    <row r="14976" hidden="1" ht="18.75" customFormat="1" customHeight="1" s="311"/>
    <row r="14977" hidden="1" ht="18.75" customFormat="1" customHeight="1" s="311"/>
    <row r="14978" hidden="1" ht="18.75" customFormat="1" customHeight="1" s="311"/>
    <row r="14979" hidden="1" ht="18.75" customFormat="1" customHeight="1" s="311"/>
    <row r="14980" hidden="1" ht="18.75" customFormat="1" customHeight="1" s="311"/>
    <row r="14981" hidden="1" ht="18.75" customFormat="1" customHeight="1" s="311"/>
    <row r="14982" hidden="1" ht="18.75" customFormat="1" customHeight="1" s="311"/>
    <row r="14983" hidden="1" ht="18.75" customFormat="1" customHeight="1" s="311"/>
    <row r="14984" hidden="1" ht="18.75" customFormat="1" customHeight="1" s="311"/>
    <row r="14985" hidden="1" ht="18.75" customFormat="1" customHeight="1" s="311"/>
    <row r="14986" hidden="1" ht="18.75" customFormat="1" customHeight="1" s="311"/>
    <row r="14987" hidden="1" ht="18.75" customFormat="1" customHeight="1" s="311"/>
    <row r="14988" hidden="1" ht="18.75" customFormat="1" customHeight="1" s="311"/>
    <row r="14989" hidden="1" ht="18.75" customFormat="1" customHeight="1" s="311"/>
    <row r="14990" hidden="1" ht="18.75" customFormat="1" customHeight="1" s="311"/>
    <row r="14991" hidden="1" ht="18.75" customFormat="1" customHeight="1" s="311"/>
    <row r="14992" hidden="1" ht="18.75" customFormat="1" customHeight="1" s="311"/>
    <row r="14993" hidden="1" ht="18.75" customFormat="1" customHeight="1" s="311"/>
    <row r="14994" hidden="1" ht="18.75" customFormat="1" customHeight="1" s="311"/>
    <row r="14995" hidden="1" ht="18.75" customFormat="1" customHeight="1" s="311"/>
    <row r="14996" hidden="1" ht="18.75" customFormat="1" customHeight="1" s="311"/>
    <row r="14997" hidden="1" ht="18.75" customFormat="1" customHeight="1" s="311"/>
    <row r="14998" hidden="1" ht="18.75" customFormat="1" customHeight="1" s="311"/>
    <row r="14999" hidden="1" ht="18.75" customFormat="1" customHeight="1" s="311"/>
    <row r="15000" hidden="1" ht="18.75" customFormat="1" customHeight="1" s="311"/>
    <row r="15001" hidden="1" ht="18.75" customFormat="1" customHeight="1" s="311"/>
    <row r="15002" hidden="1" ht="18.75" customFormat="1" customHeight="1" s="311"/>
    <row r="15003" hidden="1" ht="18.75" customFormat="1" customHeight="1" s="311"/>
    <row r="15004" hidden="1" ht="18.75" customFormat="1" customHeight="1" s="311"/>
    <row r="15005" hidden="1" ht="18.75" customFormat="1" customHeight="1" s="311"/>
    <row r="15006" hidden="1" ht="18.75" customFormat="1" customHeight="1" s="311"/>
    <row r="15007" hidden="1" ht="18.75" customFormat="1" customHeight="1" s="311"/>
    <row r="15008" hidden="1" ht="18.75" customFormat="1" customHeight="1" s="311"/>
    <row r="15009" hidden="1" ht="18.75" customFormat="1" customHeight="1" s="311"/>
    <row r="15010" hidden="1" ht="18.75" customFormat="1" customHeight="1" s="311"/>
    <row r="15011" hidden="1" ht="18.75" customFormat="1" customHeight="1" s="311"/>
    <row r="15012" hidden="1" ht="18.75" customFormat="1" customHeight="1" s="311"/>
    <row r="15013" hidden="1" ht="18.75" customFormat="1" customHeight="1" s="311"/>
    <row r="15014" hidden="1" ht="18.75" customFormat="1" customHeight="1" s="311"/>
    <row r="15015" hidden="1" ht="18.75" customFormat="1" customHeight="1" s="311"/>
    <row r="15016" hidden="1" ht="18.75" customFormat="1" customHeight="1" s="311"/>
    <row r="15017" hidden="1" ht="18.75" customFormat="1" customHeight="1" s="311"/>
    <row r="15018" hidden="1" ht="18.75" customFormat="1" customHeight="1" s="311"/>
    <row r="15019" hidden="1" ht="18.75" customFormat="1" customHeight="1" s="311"/>
    <row r="15020" hidden="1" ht="18.75" customFormat="1" customHeight="1" s="311"/>
    <row r="15021" hidden="1" ht="18.75" customFormat="1" customHeight="1" s="311"/>
    <row r="15022" hidden="1" ht="18.75" customFormat="1" customHeight="1" s="311"/>
    <row r="15023" hidden="1" ht="18.75" customFormat="1" customHeight="1" s="311"/>
    <row r="15024" hidden="1" ht="18.75" customFormat="1" customHeight="1" s="311"/>
    <row r="15025" hidden="1" ht="18.75" customFormat="1" customHeight="1" s="311"/>
    <row r="15026" hidden="1" ht="18.75" customFormat="1" customHeight="1" s="311"/>
    <row r="15027" hidden="1" ht="18.75" customFormat="1" customHeight="1" s="311"/>
    <row r="15028" hidden="1" ht="18.75" customFormat="1" customHeight="1" s="311"/>
    <row r="15029" hidden="1" ht="18.75" customFormat="1" customHeight="1" s="311"/>
    <row r="15030" hidden="1" ht="18.75" customFormat="1" customHeight="1" s="311"/>
    <row r="15031" hidden="1" ht="18.75" customFormat="1" customHeight="1" s="311"/>
    <row r="15032" hidden="1" ht="18.75" customFormat="1" customHeight="1" s="311"/>
    <row r="15033" hidden="1" ht="18.75" customFormat="1" customHeight="1" s="311"/>
    <row r="15034" hidden="1" ht="18.75" customFormat="1" customHeight="1" s="311"/>
    <row r="15035" hidden="1" ht="18.75" customFormat="1" customHeight="1" s="311"/>
    <row r="15036" hidden="1" ht="18.75" customFormat="1" customHeight="1" s="311"/>
    <row r="15037" hidden="1" ht="18.75" customFormat="1" customHeight="1" s="311"/>
    <row r="15038" hidden="1" ht="18.75" customFormat="1" customHeight="1" s="311"/>
    <row r="15039" hidden="1" ht="18.75" customFormat="1" customHeight="1" s="311"/>
    <row r="15040" hidden="1" ht="18.75" customFormat="1" customHeight="1" s="311"/>
    <row r="15041" hidden="1" ht="18.75" customFormat="1" customHeight="1" s="311"/>
    <row r="15042" hidden="1" ht="18.75" customFormat="1" customHeight="1" s="311"/>
    <row r="15043" hidden="1" ht="18.75" customFormat="1" customHeight="1" s="311"/>
    <row r="15044" hidden="1" ht="18.75" customFormat="1" customHeight="1" s="311"/>
    <row r="15045" hidden="1" ht="18.75" customFormat="1" customHeight="1" s="311"/>
    <row r="15046" hidden="1" ht="18.75" customFormat="1" customHeight="1" s="311"/>
    <row r="15047" hidden="1" ht="18.75" customFormat="1" customHeight="1" s="311"/>
    <row r="15048" hidden="1" ht="18.75" customFormat="1" customHeight="1" s="311"/>
    <row r="15049" hidden="1" ht="18.75" customFormat="1" customHeight="1" s="311"/>
    <row r="15050" hidden="1" ht="18.75" customFormat="1" customHeight="1" s="311"/>
    <row r="15051" hidden="1" ht="18.75" customFormat="1" customHeight="1" s="311"/>
    <row r="15052" hidden="1" ht="18.75" customFormat="1" customHeight="1" s="311"/>
    <row r="15053" hidden="1" ht="18.75" customFormat="1" customHeight="1" s="311"/>
    <row r="15054" hidden="1" ht="18.75" customFormat="1" customHeight="1" s="311"/>
    <row r="15055" hidden="1" ht="18.75" customFormat="1" customHeight="1" s="311"/>
    <row r="15056" hidden="1" ht="18.75" customFormat="1" customHeight="1" s="311"/>
    <row r="15057" hidden="1" ht="18.75" customFormat="1" customHeight="1" s="311"/>
    <row r="15058" hidden="1" ht="18.75" customFormat="1" customHeight="1" s="311"/>
    <row r="15059" hidden="1" ht="18.75" customFormat="1" customHeight="1" s="311"/>
    <row r="15060" hidden="1" ht="18.75" customFormat="1" customHeight="1" s="311"/>
    <row r="15061" hidden="1" ht="18.75" customFormat="1" customHeight="1" s="311"/>
    <row r="15062" hidden="1" ht="18.75" customFormat="1" customHeight="1" s="311"/>
    <row r="15063" hidden="1" ht="18.75" customFormat="1" customHeight="1" s="311"/>
    <row r="15064" hidden="1" ht="18.75" customFormat="1" customHeight="1" s="311"/>
    <row r="15065" hidden="1" ht="18.75" customFormat="1" customHeight="1" s="311"/>
    <row r="15066" hidden="1" ht="18.75" customFormat="1" customHeight="1" s="311"/>
    <row r="15067" hidden="1" ht="18.75" customFormat="1" customHeight="1" s="311"/>
    <row r="15068" hidden="1" ht="18.75" customFormat="1" customHeight="1" s="311"/>
    <row r="15069" hidden="1" ht="18.75" customFormat="1" customHeight="1" s="311"/>
    <row r="15070" hidden="1" ht="18.75" customFormat="1" customHeight="1" s="311"/>
    <row r="15071" hidden="1" ht="18.75" customFormat="1" customHeight="1" s="311"/>
    <row r="15072" hidden="1" ht="18.75" customFormat="1" customHeight="1" s="311"/>
    <row r="15073" hidden="1" ht="18.75" customFormat="1" customHeight="1" s="311"/>
    <row r="15074" hidden="1" ht="18.75" customFormat="1" customHeight="1" s="311"/>
    <row r="15075" hidden="1" ht="18.75" customFormat="1" customHeight="1" s="311"/>
    <row r="15076" hidden="1" ht="18.75" customFormat="1" customHeight="1" s="311"/>
    <row r="15077" hidden="1" ht="18.75" customFormat="1" customHeight="1" s="311"/>
    <row r="15078" hidden="1" ht="18.75" customFormat="1" customHeight="1" s="311"/>
    <row r="15079" hidden="1" ht="18.75" customFormat="1" customHeight="1" s="311"/>
    <row r="15080" hidden="1" ht="18.75" customFormat="1" customHeight="1" s="311"/>
    <row r="15081" hidden="1" ht="18.75" customFormat="1" customHeight="1" s="311"/>
    <row r="15082" hidden="1" ht="18.75" customFormat="1" customHeight="1" s="311"/>
    <row r="15083" hidden="1" ht="18.75" customFormat="1" customHeight="1" s="311"/>
    <row r="15084" hidden="1" ht="18.75" customFormat="1" customHeight="1" s="311"/>
    <row r="15085" hidden="1" ht="18.75" customFormat="1" customHeight="1" s="311"/>
    <row r="15086" hidden="1" ht="18.75" customFormat="1" customHeight="1" s="311"/>
    <row r="15087" hidden="1" ht="18.75" customFormat="1" customHeight="1" s="311"/>
    <row r="15088" hidden="1" ht="18.75" customFormat="1" customHeight="1" s="311"/>
    <row r="15089" hidden="1" ht="18.75" customFormat="1" customHeight="1" s="311"/>
    <row r="15090" hidden="1" ht="18.75" customFormat="1" customHeight="1" s="311"/>
    <row r="15091" hidden="1" ht="18.75" customFormat="1" customHeight="1" s="311"/>
    <row r="15092" hidden="1" ht="18.75" customFormat="1" customHeight="1" s="311"/>
    <row r="15093" hidden="1" ht="18.75" customFormat="1" customHeight="1" s="311"/>
    <row r="15094" hidden="1" ht="18.75" customFormat="1" customHeight="1" s="311"/>
    <row r="15095" hidden="1" ht="18.75" customFormat="1" customHeight="1" s="311"/>
    <row r="15096" hidden="1" ht="18.75" customFormat="1" customHeight="1" s="311"/>
    <row r="15097" hidden="1" ht="18.75" customFormat="1" customHeight="1" s="311"/>
    <row r="15098" hidden="1" ht="18.75" customFormat="1" customHeight="1" s="311"/>
    <row r="15099" hidden="1" ht="18.75" customFormat="1" customHeight="1" s="311"/>
    <row r="15100" hidden="1" ht="18.75" customFormat="1" customHeight="1" s="311"/>
    <row r="15101" hidden="1" ht="18.75" customFormat="1" customHeight="1" s="311"/>
    <row r="15102" hidden="1" ht="18.75" customFormat="1" customHeight="1" s="311"/>
    <row r="15103" hidden="1" ht="18.75" customFormat="1" customHeight="1" s="311"/>
    <row r="15104" hidden="1" ht="18.75" customFormat="1" customHeight="1" s="311"/>
    <row r="15105" hidden="1" ht="18.75" customFormat="1" customHeight="1" s="311"/>
    <row r="15106" hidden="1" ht="18.75" customFormat="1" customHeight="1" s="311"/>
    <row r="15107" hidden="1" ht="18.75" customFormat="1" customHeight="1" s="311"/>
    <row r="15108" hidden="1" ht="18.75" customFormat="1" customHeight="1" s="311"/>
    <row r="15109" hidden="1" ht="18.75" customFormat="1" customHeight="1" s="311"/>
    <row r="15110" hidden="1" ht="18.75" customFormat="1" customHeight="1" s="311"/>
    <row r="15111" hidden="1" ht="18.75" customFormat="1" customHeight="1" s="311"/>
    <row r="15112" hidden="1" ht="18.75" customFormat="1" customHeight="1" s="311"/>
    <row r="15113" hidden="1" ht="18.75" customFormat="1" customHeight="1" s="311"/>
    <row r="15114" hidden="1" ht="18.75" customFormat="1" customHeight="1" s="311"/>
    <row r="15115" hidden="1" ht="18.75" customFormat="1" customHeight="1" s="311"/>
    <row r="15116" hidden="1" ht="18.75" customFormat="1" customHeight="1" s="311"/>
    <row r="15117" hidden="1" ht="18.75" customFormat="1" customHeight="1" s="311"/>
    <row r="15118" hidden="1" ht="18.75" customFormat="1" customHeight="1" s="311"/>
    <row r="15119" hidden="1" ht="18.75" customFormat="1" customHeight="1" s="311"/>
    <row r="15120" hidden="1" ht="18.75" customFormat="1" customHeight="1" s="311"/>
    <row r="15121" hidden="1" ht="18.75" customFormat="1" customHeight="1" s="311"/>
    <row r="15122" hidden="1" ht="18.75" customFormat="1" customHeight="1" s="311"/>
    <row r="15123" hidden="1" ht="18.75" customFormat="1" customHeight="1" s="311"/>
    <row r="15124" hidden="1" ht="18.75" customFormat="1" customHeight="1" s="311"/>
    <row r="15125" hidden="1" ht="18.75" customFormat="1" customHeight="1" s="311"/>
    <row r="15126" hidden="1" ht="18.75" customFormat="1" customHeight="1" s="311"/>
    <row r="15127" hidden="1" ht="18.75" customFormat="1" customHeight="1" s="311"/>
    <row r="15128" hidden="1" ht="18.75" customFormat="1" customHeight="1" s="311"/>
    <row r="15129" hidden="1" ht="18.75" customFormat="1" customHeight="1" s="311"/>
    <row r="15130" hidden="1" ht="18.75" customFormat="1" customHeight="1" s="311"/>
    <row r="15131" hidden="1" ht="18.75" customFormat="1" customHeight="1" s="311"/>
    <row r="15132" hidden="1" ht="18.75" customFormat="1" customHeight="1" s="311"/>
    <row r="15133" hidden="1" ht="18.75" customFormat="1" customHeight="1" s="311"/>
    <row r="15134" hidden="1" ht="18.75" customFormat="1" customHeight="1" s="311"/>
    <row r="15135" hidden="1" ht="18.75" customFormat="1" customHeight="1" s="311"/>
    <row r="15136" hidden="1" ht="18.75" customFormat="1" customHeight="1" s="311"/>
    <row r="15137" hidden="1" ht="18.75" customFormat="1" customHeight="1" s="311"/>
    <row r="15138" hidden="1" ht="18.75" customFormat="1" customHeight="1" s="311"/>
    <row r="15139" hidden="1" ht="18.75" customFormat="1" customHeight="1" s="311"/>
    <row r="15140" hidden="1" ht="18.75" customFormat="1" customHeight="1" s="311"/>
    <row r="15141" hidden="1" ht="18.75" customFormat="1" customHeight="1" s="311"/>
    <row r="15142" hidden="1" ht="18.75" customFormat="1" customHeight="1" s="311"/>
    <row r="15143" hidden="1" ht="18.75" customFormat="1" customHeight="1" s="311"/>
    <row r="15144" hidden="1" ht="18.75" customFormat="1" customHeight="1" s="311"/>
    <row r="15145" hidden="1" ht="18.75" customFormat="1" customHeight="1" s="311"/>
    <row r="15146" hidden="1" ht="18.75" customFormat="1" customHeight="1" s="311"/>
    <row r="15147" hidden="1" ht="18.75" customFormat="1" customHeight="1" s="311"/>
    <row r="15148" hidden="1" ht="18.75" customFormat="1" customHeight="1" s="311"/>
    <row r="15149" hidden="1" ht="18.75" customFormat="1" customHeight="1" s="311"/>
    <row r="15150" hidden="1" ht="18.75" customFormat="1" customHeight="1" s="311"/>
    <row r="15151" hidden="1" ht="18.75" customFormat="1" customHeight="1" s="311"/>
    <row r="15152" hidden="1" ht="18.75" customFormat="1" customHeight="1" s="311"/>
    <row r="15153" hidden="1" ht="18.75" customFormat="1" customHeight="1" s="311"/>
    <row r="15154" hidden="1" ht="18.75" customFormat="1" customHeight="1" s="311"/>
    <row r="15155" hidden="1" ht="18.75" customFormat="1" customHeight="1" s="311"/>
    <row r="15156" hidden="1" ht="18.75" customFormat="1" customHeight="1" s="311"/>
    <row r="15157" hidden="1" ht="18.75" customFormat="1" customHeight="1" s="311"/>
    <row r="15158" hidden="1" ht="18.75" customFormat="1" customHeight="1" s="311"/>
    <row r="15159" hidden="1" ht="18.75" customFormat="1" customHeight="1" s="311"/>
    <row r="15160" hidden="1" ht="18.75" customFormat="1" customHeight="1" s="311"/>
    <row r="15161" hidden="1" ht="18.75" customFormat="1" customHeight="1" s="311"/>
    <row r="15162" hidden="1" ht="18.75" customFormat="1" customHeight="1" s="311"/>
    <row r="15163" hidden="1" ht="18.75" customFormat="1" customHeight="1" s="311"/>
    <row r="15164" hidden="1" ht="18.75" customFormat="1" customHeight="1" s="311"/>
    <row r="15165" hidden="1" ht="18.75" customFormat="1" customHeight="1" s="311"/>
    <row r="15166" hidden="1" ht="18.75" customFormat="1" customHeight="1" s="311"/>
    <row r="15167" hidden="1" ht="18.75" customFormat="1" customHeight="1" s="311"/>
    <row r="15168" hidden="1" ht="18.75" customFormat="1" customHeight="1" s="311"/>
    <row r="15169" hidden="1" ht="18.75" customFormat="1" customHeight="1" s="311"/>
    <row r="15170" hidden="1" ht="18.75" customFormat="1" customHeight="1" s="311"/>
    <row r="15171" hidden="1" ht="18.75" customFormat="1" customHeight="1" s="311"/>
    <row r="15172" hidden="1" ht="18.75" customFormat="1" customHeight="1" s="311"/>
    <row r="15173" hidden="1" ht="18.75" customFormat="1" customHeight="1" s="311"/>
    <row r="15174" hidden="1" ht="18.75" customFormat="1" customHeight="1" s="311"/>
    <row r="15175" hidden="1" ht="18.75" customFormat="1" customHeight="1" s="311"/>
    <row r="15176" hidden="1" ht="18.75" customFormat="1" customHeight="1" s="311"/>
    <row r="15177" hidden="1" ht="18.75" customFormat="1" customHeight="1" s="311"/>
    <row r="15178" hidden="1" ht="18.75" customFormat="1" customHeight="1" s="311"/>
    <row r="15179" hidden="1" ht="18.75" customFormat="1" customHeight="1" s="311"/>
    <row r="15180" hidden="1" ht="18.75" customFormat="1" customHeight="1" s="311"/>
    <row r="15181" hidden="1" ht="18.75" customFormat="1" customHeight="1" s="311"/>
    <row r="15182" hidden="1" ht="18.75" customFormat="1" customHeight="1" s="311"/>
    <row r="15183" hidden="1" ht="18.75" customFormat="1" customHeight="1" s="311"/>
    <row r="15184" hidden="1" ht="18.75" customFormat="1" customHeight="1" s="311"/>
    <row r="15185" hidden="1" ht="18.75" customFormat="1" customHeight="1" s="311"/>
    <row r="15186" hidden="1" ht="18.75" customFormat="1" customHeight="1" s="311"/>
    <row r="15187" hidden="1" ht="18.75" customFormat="1" customHeight="1" s="311"/>
    <row r="15188" hidden="1" ht="18.75" customFormat="1" customHeight="1" s="311"/>
    <row r="15189" hidden="1" ht="18.75" customFormat="1" customHeight="1" s="311"/>
    <row r="15190" hidden="1" ht="18.75" customFormat="1" customHeight="1" s="311"/>
    <row r="15191" hidden="1" ht="18.75" customFormat="1" customHeight="1" s="311"/>
    <row r="15192" hidden="1" ht="18.75" customFormat="1" customHeight="1" s="311"/>
    <row r="15193" hidden="1" ht="18.75" customFormat="1" customHeight="1" s="311"/>
    <row r="15194" hidden="1" ht="18.75" customFormat="1" customHeight="1" s="311"/>
    <row r="15195" hidden="1" ht="18.75" customFormat="1" customHeight="1" s="311"/>
    <row r="15196" hidden="1" ht="18.75" customFormat="1" customHeight="1" s="311"/>
    <row r="15197" hidden="1" ht="18.75" customFormat="1" customHeight="1" s="311"/>
    <row r="15198" hidden="1" ht="18.75" customFormat="1" customHeight="1" s="311"/>
    <row r="15199" hidden="1" ht="18.75" customFormat="1" customHeight="1" s="311"/>
    <row r="15200" hidden="1" ht="18.75" customFormat="1" customHeight="1" s="311"/>
    <row r="15201" hidden="1" ht="18.75" customFormat="1" customHeight="1" s="311"/>
    <row r="15202" hidden="1" ht="18.75" customFormat="1" customHeight="1" s="311"/>
    <row r="15203" hidden="1" ht="18.75" customFormat="1" customHeight="1" s="311"/>
    <row r="15204" hidden="1" ht="18.75" customFormat="1" customHeight="1" s="311"/>
    <row r="15205" hidden="1" ht="18.75" customFormat="1" customHeight="1" s="311"/>
    <row r="15206" hidden="1" ht="18.75" customFormat="1" customHeight="1" s="311"/>
    <row r="15207" hidden="1" ht="18.75" customFormat="1" customHeight="1" s="311"/>
    <row r="15208" hidden="1" ht="18.75" customFormat="1" customHeight="1" s="311"/>
    <row r="15209" hidden="1" ht="18.75" customFormat="1" customHeight="1" s="311"/>
    <row r="15210" hidden="1" ht="18.75" customFormat="1" customHeight="1" s="311"/>
    <row r="15211" hidden="1" ht="18.75" customFormat="1" customHeight="1" s="311"/>
    <row r="15212" hidden="1" ht="18.75" customFormat="1" customHeight="1" s="311"/>
    <row r="15213" hidden="1" ht="18.75" customFormat="1" customHeight="1" s="311"/>
    <row r="15214" hidden="1" ht="18.75" customFormat="1" customHeight="1" s="311"/>
    <row r="15215" hidden="1" ht="18.75" customFormat="1" customHeight="1" s="311"/>
    <row r="15216" hidden="1" ht="18.75" customFormat="1" customHeight="1" s="311"/>
    <row r="15217" hidden="1" ht="18.75" customFormat="1" customHeight="1" s="311"/>
    <row r="15218" hidden="1" ht="18.75" customFormat="1" customHeight="1" s="311"/>
    <row r="15219" hidden="1" ht="18.75" customFormat="1" customHeight="1" s="311"/>
    <row r="15220" hidden="1" ht="18.75" customFormat="1" customHeight="1" s="311"/>
    <row r="15221" hidden="1" ht="18.75" customFormat="1" customHeight="1" s="311"/>
    <row r="15222" hidden="1" ht="18.75" customFormat="1" customHeight="1" s="311"/>
    <row r="15223" hidden="1" ht="18.75" customFormat="1" customHeight="1" s="311"/>
    <row r="15224" hidden="1" ht="18.75" customFormat="1" customHeight="1" s="311"/>
    <row r="15225" hidden="1" ht="18.75" customFormat="1" customHeight="1" s="311"/>
    <row r="15226" hidden="1" ht="18.75" customFormat="1" customHeight="1" s="311"/>
    <row r="15227" hidden="1" ht="18.75" customFormat="1" customHeight="1" s="311"/>
    <row r="15228" hidden="1" ht="18.75" customFormat="1" customHeight="1" s="311"/>
    <row r="15229" hidden="1" ht="18.75" customFormat="1" customHeight="1" s="311"/>
    <row r="15230" hidden="1" ht="18.75" customFormat="1" customHeight="1" s="311"/>
    <row r="15231" hidden="1" ht="18.75" customFormat="1" customHeight="1" s="311"/>
    <row r="15232" hidden="1" ht="18.75" customFormat="1" customHeight="1" s="311"/>
    <row r="15233" hidden="1" ht="18.75" customFormat="1" customHeight="1" s="311"/>
    <row r="15234" hidden="1" ht="18.75" customFormat="1" customHeight="1" s="311"/>
    <row r="15235" hidden="1" ht="18.75" customFormat="1" customHeight="1" s="311"/>
    <row r="15236" hidden="1" ht="18.75" customFormat="1" customHeight="1" s="311"/>
    <row r="15237" hidden="1" ht="18.75" customFormat="1" customHeight="1" s="311"/>
    <row r="15238" hidden="1" ht="18.75" customFormat="1" customHeight="1" s="311"/>
    <row r="15239" hidden="1" ht="18.75" customFormat="1" customHeight="1" s="311"/>
    <row r="15240" hidden="1" ht="18.75" customFormat="1" customHeight="1" s="311"/>
    <row r="15241" hidden="1" ht="18.75" customFormat="1" customHeight="1" s="311"/>
    <row r="15242" hidden="1" ht="18.75" customFormat="1" customHeight="1" s="311"/>
    <row r="15243" hidden="1" ht="18.75" customFormat="1" customHeight="1" s="311"/>
    <row r="15244" hidden="1" ht="18.75" customFormat="1" customHeight="1" s="311"/>
    <row r="15245" hidden="1" ht="18.75" customFormat="1" customHeight="1" s="311"/>
    <row r="15246" hidden="1" ht="18.75" customFormat="1" customHeight="1" s="311"/>
    <row r="15247" hidden="1" ht="18.75" customFormat="1" customHeight="1" s="311"/>
    <row r="15248" hidden="1" ht="18.75" customFormat="1" customHeight="1" s="311"/>
    <row r="15249" hidden="1" ht="18.75" customFormat="1" customHeight="1" s="311"/>
    <row r="15250" hidden="1" ht="18.75" customFormat="1" customHeight="1" s="311"/>
    <row r="15251" hidden="1" ht="18.75" customFormat="1" customHeight="1" s="311"/>
    <row r="15252" hidden="1" ht="18.75" customFormat="1" customHeight="1" s="311"/>
    <row r="15253" hidden="1" ht="18.75" customFormat="1" customHeight="1" s="311"/>
    <row r="15254" hidden="1" ht="18.75" customFormat="1" customHeight="1" s="311"/>
    <row r="15255" hidden="1" ht="18.75" customFormat="1" customHeight="1" s="311"/>
    <row r="15256" hidden="1" ht="18.75" customFormat="1" customHeight="1" s="311"/>
    <row r="15257" hidden="1" ht="18.75" customFormat="1" customHeight="1" s="311"/>
    <row r="15258" hidden="1" ht="18.75" customFormat="1" customHeight="1" s="311"/>
    <row r="15259" hidden="1" ht="18.75" customFormat="1" customHeight="1" s="311"/>
    <row r="15260" hidden="1" ht="18.75" customFormat="1" customHeight="1" s="311"/>
    <row r="15261" hidden="1" ht="18.75" customFormat="1" customHeight="1" s="311"/>
    <row r="15262" hidden="1" ht="18.75" customFormat="1" customHeight="1" s="311"/>
    <row r="15263" hidden="1" ht="18.75" customFormat="1" customHeight="1" s="311"/>
    <row r="15264" hidden="1" ht="18.75" customFormat="1" customHeight="1" s="311"/>
    <row r="15265" hidden="1" ht="18.75" customFormat="1" customHeight="1" s="311"/>
    <row r="15266" hidden="1" ht="18.75" customFormat="1" customHeight="1" s="311"/>
    <row r="15267" hidden="1" ht="18.75" customFormat="1" customHeight="1" s="311"/>
    <row r="15268" hidden="1" ht="18.75" customFormat="1" customHeight="1" s="311"/>
    <row r="15269" hidden="1" ht="18.75" customFormat="1" customHeight="1" s="311"/>
    <row r="15270" hidden="1" ht="18.75" customFormat="1" customHeight="1" s="311"/>
    <row r="15271" hidden="1" ht="18.75" customFormat="1" customHeight="1" s="311"/>
    <row r="15272" hidden="1" ht="18.75" customFormat="1" customHeight="1" s="311"/>
    <row r="15273" hidden="1" ht="18.75" customFormat="1" customHeight="1" s="311"/>
    <row r="15274" hidden="1" ht="18.75" customFormat="1" customHeight="1" s="311"/>
    <row r="15275" hidden="1" ht="18.75" customFormat="1" customHeight="1" s="311"/>
    <row r="15276" hidden="1" ht="18.75" customFormat="1" customHeight="1" s="311"/>
    <row r="15277" hidden="1" ht="18.75" customFormat="1" customHeight="1" s="311"/>
    <row r="15278" hidden="1" ht="18.75" customFormat="1" customHeight="1" s="311"/>
    <row r="15279" hidden="1" ht="18.75" customFormat="1" customHeight="1" s="311"/>
    <row r="15280" hidden="1" ht="18.75" customFormat="1" customHeight="1" s="311"/>
    <row r="15281" hidden="1" ht="18.75" customFormat="1" customHeight="1" s="311"/>
    <row r="15282" hidden="1" ht="18.75" customFormat="1" customHeight="1" s="311"/>
    <row r="15283" hidden="1" ht="18.75" customFormat="1" customHeight="1" s="311"/>
    <row r="15284" hidden="1" ht="18.75" customFormat="1" customHeight="1" s="311"/>
    <row r="15285" hidden="1" ht="18.75" customFormat="1" customHeight="1" s="311"/>
    <row r="15286" hidden="1" ht="18.75" customFormat="1" customHeight="1" s="311"/>
    <row r="15287" hidden="1" ht="18.75" customFormat="1" customHeight="1" s="311"/>
    <row r="15288" hidden="1" ht="18.75" customFormat="1" customHeight="1" s="311"/>
    <row r="15289" hidden="1" ht="18.75" customFormat="1" customHeight="1" s="311"/>
    <row r="15290" hidden="1" ht="18.75" customFormat="1" customHeight="1" s="311"/>
    <row r="15291" hidden="1" ht="18.75" customFormat="1" customHeight="1" s="311"/>
    <row r="15292" hidden="1" ht="18.75" customFormat="1" customHeight="1" s="311"/>
    <row r="15293" hidden="1" ht="18.75" customFormat="1" customHeight="1" s="311"/>
    <row r="15294" hidden="1" ht="18.75" customFormat="1" customHeight="1" s="311"/>
    <row r="15295" hidden="1" ht="18.75" customFormat="1" customHeight="1" s="311"/>
    <row r="15296" hidden="1" ht="18.75" customFormat="1" customHeight="1" s="311"/>
    <row r="15297" hidden="1" ht="18.75" customFormat="1" customHeight="1" s="311"/>
    <row r="15298" hidden="1" ht="18.75" customFormat="1" customHeight="1" s="311"/>
    <row r="15299" hidden="1" ht="18.75" customFormat="1" customHeight="1" s="311"/>
    <row r="15300" hidden="1" ht="18.75" customFormat="1" customHeight="1" s="311"/>
    <row r="15301" hidden="1" ht="18.75" customFormat="1" customHeight="1" s="311"/>
    <row r="15302" hidden="1" ht="18.75" customFormat="1" customHeight="1" s="311"/>
    <row r="15303" hidden="1" ht="18.75" customFormat="1" customHeight="1" s="311"/>
    <row r="15304" hidden="1" ht="18.75" customFormat="1" customHeight="1" s="311"/>
    <row r="15305" hidden="1" ht="18.75" customFormat="1" customHeight="1" s="311"/>
    <row r="15306" hidden="1" ht="18.75" customFormat="1" customHeight="1" s="311"/>
    <row r="15307" hidden="1" ht="18.75" customFormat="1" customHeight="1" s="311"/>
    <row r="15308" hidden="1" ht="18.75" customFormat="1" customHeight="1" s="311"/>
    <row r="15309" hidden="1" ht="18.75" customFormat="1" customHeight="1" s="311"/>
    <row r="15310" hidden="1" ht="18.75" customFormat="1" customHeight="1" s="311"/>
    <row r="15311" hidden="1" ht="18.75" customFormat="1" customHeight="1" s="311"/>
    <row r="15312" hidden="1" ht="18.75" customFormat="1" customHeight="1" s="311"/>
    <row r="15313" hidden="1" ht="18.75" customFormat="1" customHeight="1" s="311"/>
    <row r="15314" hidden="1" ht="18.75" customFormat="1" customHeight="1" s="311"/>
    <row r="15315" hidden="1" ht="18.75" customFormat="1" customHeight="1" s="311"/>
    <row r="15316" hidden="1" ht="18.75" customFormat="1" customHeight="1" s="311"/>
    <row r="15317" hidden="1" ht="18.75" customFormat="1" customHeight="1" s="311"/>
    <row r="15318" hidden="1" ht="18.75" customFormat="1" customHeight="1" s="311"/>
    <row r="15319" hidden="1" ht="18.75" customFormat="1" customHeight="1" s="311"/>
    <row r="15320" hidden="1" ht="18.75" customFormat="1" customHeight="1" s="311"/>
    <row r="15321" hidden="1" ht="18.75" customFormat="1" customHeight="1" s="311"/>
    <row r="15322" hidden="1" ht="18.75" customFormat="1" customHeight="1" s="311"/>
    <row r="15323" hidden="1" ht="18.75" customFormat="1" customHeight="1" s="311"/>
    <row r="15324" hidden="1" ht="18.75" customFormat="1" customHeight="1" s="311"/>
    <row r="15325" hidden="1" ht="18.75" customFormat="1" customHeight="1" s="311"/>
    <row r="15326" hidden="1" ht="18.75" customFormat="1" customHeight="1" s="311"/>
    <row r="15327" hidden="1" ht="18.75" customFormat="1" customHeight="1" s="311"/>
    <row r="15328" hidden="1" ht="18.75" customFormat="1" customHeight="1" s="311"/>
    <row r="15329" hidden="1" ht="18.75" customFormat="1" customHeight="1" s="311"/>
    <row r="15330" hidden="1" ht="18.75" customFormat="1" customHeight="1" s="311"/>
    <row r="15331" hidden="1" ht="18.75" customFormat="1" customHeight="1" s="311"/>
    <row r="15332" hidden="1" ht="18.75" customFormat="1" customHeight="1" s="311"/>
    <row r="15333" hidden="1" ht="18.75" customFormat="1" customHeight="1" s="311"/>
    <row r="15334" hidden="1" ht="18.75" customFormat="1" customHeight="1" s="311"/>
    <row r="15335" hidden="1" ht="18.75" customFormat="1" customHeight="1" s="311"/>
    <row r="15336" hidden="1" ht="18.75" customFormat="1" customHeight="1" s="311"/>
    <row r="15337" hidden="1" ht="18.75" customFormat="1" customHeight="1" s="311"/>
    <row r="15338" hidden="1" ht="18.75" customFormat="1" customHeight="1" s="311"/>
    <row r="15339" hidden="1" ht="18.75" customFormat="1" customHeight="1" s="311"/>
    <row r="15340" hidden="1" ht="18.75" customFormat="1" customHeight="1" s="311"/>
    <row r="15341" hidden="1" ht="18.75" customFormat="1" customHeight="1" s="311"/>
    <row r="15342" hidden="1" ht="18.75" customFormat="1" customHeight="1" s="311"/>
    <row r="15343" hidden="1" ht="18.75" customFormat="1" customHeight="1" s="311"/>
    <row r="15344" hidden="1" ht="18.75" customFormat="1" customHeight="1" s="311"/>
    <row r="15345" hidden="1" ht="18.75" customFormat="1" customHeight="1" s="311"/>
    <row r="15346" hidden="1" ht="18.75" customFormat="1" customHeight="1" s="311"/>
    <row r="15347" hidden="1" ht="18.75" customFormat="1" customHeight="1" s="311"/>
    <row r="15348" hidden="1" ht="18.75" customFormat="1" customHeight="1" s="311"/>
    <row r="15349" hidden="1" ht="18.75" customFormat="1" customHeight="1" s="311"/>
    <row r="15350" hidden="1" ht="18.75" customFormat="1" customHeight="1" s="311"/>
    <row r="15351" hidden="1" ht="18.75" customFormat="1" customHeight="1" s="311"/>
    <row r="15352" hidden="1" ht="18.75" customFormat="1" customHeight="1" s="311"/>
    <row r="15353" hidden="1" ht="18.75" customFormat="1" customHeight="1" s="311"/>
    <row r="15354" hidden="1" ht="18.75" customFormat="1" customHeight="1" s="311"/>
    <row r="15355" hidden="1" ht="18.75" customFormat="1" customHeight="1" s="311"/>
    <row r="15356" hidden="1" ht="18.75" customFormat="1" customHeight="1" s="311"/>
    <row r="15357" hidden="1" ht="18.75" customFormat="1" customHeight="1" s="311"/>
    <row r="15358" hidden="1" ht="18.75" customFormat="1" customHeight="1" s="311"/>
    <row r="15359" hidden="1" ht="18.75" customFormat="1" customHeight="1" s="311"/>
    <row r="15360" hidden="1" ht="18.75" customFormat="1" customHeight="1" s="311"/>
    <row r="15361" hidden="1" ht="18.75" customFormat="1" customHeight="1" s="311"/>
    <row r="15362" hidden="1" ht="18.75" customFormat="1" customHeight="1" s="311"/>
    <row r="15363" hidden="1" ht="18.75" customFormat="1" customHeight="1" s="311"/>
    <row r="15364" hidden="1" ht="18.75" customFormat="1" customHeight="1" s="311"/>
    <row r="15365" hidden="1" ht="18.75" customFormat="1" customHeight="1" s="311"/>
    <row r="15366" hidden="1" ht="18.75" customFormat="1" customHeight="1" s="311"/>
    <row r="15367" hidden="1" ht="18.75" customFormat="1" customHeight="1" s="311"/>
    <row r="15368" hidden="1" ht="18.75" customFormat="1" customHeight="1" s="311"/>
    <row r="15369" hidden="1" ht="18.75" customFormat="1" customHeight="1" s="311"/>
    <row r="15370" hidden="1" ht="18.75" customFormat="1" customHeight="1" s="311"/>
    <row r="15371" hidden="1" ht="18.75" customFormat="1" customHeight="1" s="311"/>
    <row r="15372" hidden="1" ht="18.75" customFormat="1" customHeight="1" s="311"/>
    <row r="15373" hidden="1" ht="18.75" customFormat="1" customHeight="1" s="311"/>
    <row r="15374" hidden="1" ht="18.75" customFormat="1" customHeight="1" s="311"/>
    <row r="15375" hidden="1" ht="18.75" customFormat="1" customHeight="1" s="311"/>
    <row r="15376" hidden="1" ht="18.75" customFormat="1" customHeight="1" s="311"/>
    <row r="15377" hidden="1" ht="18.75" customFormat="1" customHeight="1" s="311"/>
    <row r="15378" hidden="1" ht="18.75" customFormat="1" customHeight="1" s="311"/>
    <row r="15379" hidden="1" ht="18.75" customFormat="1" customHeight="1" s="311"/>
    <row r="15380" hidden="1" ht="18.75" customFormat="1" customHeight="1" s="311"/>
    <row r="15381" hidden="1" ht="18.75" customFormat="1" customHeight="1" s="311"/>
    <row r="15382" hidden="1" ht="18.75" customFormat="1" customHeight="1" s="311"/>
    <row r="15383" hidden="1" ht="18.75" customFormat="1" customHeight="1" s="311"/>
    <row r="15384" hidden="1" ht="18.75" customFormat="1" customHeight="1" s="311"/>
    <row r="15385" hidden="1" ht="18.75" customFormat="1" customHeight="1" s="311"/>
    <row r="15386" hidden="1" ht="18.75" customFormat="1" customHeight="1" s="311"/>
    <row r="15387" hidden="1" ht="18.75" customFormat="1" customHeight="1" s="311"/>
    <row r="15388" hidden="1" ht="18.75" customFormat="1" customHeight="1" s="311"/>
    <row r="15389" hidden="1" ht="18.75" customFormat="1" customHeight="1" s="311"/>
    <row r="15390" hidden="1" ht="18.75" customFormat="1" customHeight="1" s="311"/>
    <row r="15391" hidden="1" ht="18.75" customFormat="1" customHeight="1" s="311"/>
    <row r="15392" hidden="1" ht="18.75" customFormat="1" customHeight="1" s="311"/>
    <row r="15393" hidden="1" ht="18.75" customFormat="1" customHeight="1" s="311"/>
    <row r="15394" hidden="1" ht="18.75" customFormat="1" customHeight="1" s="311"/>
    <row r="15395" hidden="1" ht="18.75" customFormat="1" customHeight="1" s="311"/>
    <row r="15396" hidden="1" ht="18.75" customFormat="1" customHeight="1" s="311"/>
    <row r="15397" hidden="1" ht="18.75" customFormat="1" customHeight="1" s="311"/>
    <row r="15398" hidden="1" ht="18.75" customFormat="1" customHeight="1" s="311"/>
    <row r="15399" hidden="1" ht="18.75" customFormat="1" customHeight="1" s="311"/>
    <row r="15400" hidden="1" ht="18.75" customFormat="1" customHeight="1" s="311"/>
    <row r="15401" hidden="1" ht="18.75" customFormat="1" customHeight="1" s="311"/>
    <row r="15402" hidden="1" ht="18.75" customFormat="1" customHeight="1" s="311"/>
    <row r="15403" hidden="1" ht="18.75" customFormat="1" customHeight="1" s="311"/>
    <row r="15404" hidden="1" ht="18.75" customFormat="1" customHeight="1" s="311"/>
    <row r="15405" hidden="1" ht="18.75" customFormat="1" customHeight="1" s="311"/>
    <row r="15406" hidden="1" ht="18.75" customFormat="1" customHeight="1" s="311"/>
    <row r="15407" hidden="1" ht="18.75" customFormat="1" customHeight="1" s="311"/>
    <row r="15408" hidden="1" ht="18.75" customFormat="1" customHeight="1" s="311"/>
    <row r="15409" hidden="1" ht="18.75" customFormat="1" customHeight="1" s="311"/>
    <row r="15410" hidden="1" ht="18.75" customFormat="1" customHeight="1" s="311"/>
    <row r="15411" hidden="1" ht="18.75" customFormat="1" customHeight="1" s="311"/>
    <row r="15412" hidden="1" ht="18.75" customFormat="1" customHeight="1" s="311"/>
    <row r="15413" hidden="1" ht="18.75" customFormat="1" customHeight="1" s="311"/>
    <row r="15414" hidden="1" ht="18.75" customFormat="1" customHeight="1" s="311"/>
    <row r="15415" hidden="1" ht="18.75" customFormat="1" customHeight="1" s="311"/>
    <row r="15416" hidden="1" ht="18.75" customFormat="1" customHeight="1" s="311"/>
    <row r="15417" hidden="1" ht="18.75" customFormat="1" customHeight="1" s="311"/>
    <row r="15418" hidden="1" ht="18.75" customFormat="1" customHeight="1" s="311"/>
    <row r="15419" hidden="1" ht="18.75" customFormat="1" customHeight="1" s="311"/>
    <row r="15420" hidden="1" ht="18.75" customFormat="1" customHeight="1" s="311"/>
    <row r="15421" hidden="1" ht="18.75" customFormat="1" customHeight="1" s="311"/>
    <row r="15422" hidden="1" ht="18.75" customFormat="1" customHeight="1" s="311"/>
    <row r="15423" hidden="1" ht="18.75" customFormat="1" customHeight="1" s="311"/>
    <row r="15424" hidden="1" ht="18.75" customFormat="1" customHeight="1" s="311"/>
    <row r="15425" hidden="1" ht="18.75" customFormat="1" customHeight="1" s="311"/>
    <row r="15426" hidden="1" ht="18.75" customFormat="1" customHeight="1" s="311"/>
    <row r="15427" hidden="1" ht="18.75" customFormat="1" customHeight="1" s="311"/>
    <row r="15428" hidden="1" ht="18.75" customFormat="1" customHeight="1" s="311"/>
    <row r="15429" hidden="1" ht="18.75" customFormat="1" customHeight="1" s="311"/>
    <row r="15430" hidden="1" ht="18.75" customFormat="1" customHeight="1" s="311"/>
    <row r="15431" hidden="1" ht="18.75" customFormat="1" customHeight="1" s="311"/>
    <row r="15432" hidden="1" ht="18.75" customFormat="1" customHeight="1" s="311"/>
    <row r="15433" hidden="1" ht="18.75" customFormat="1" customHeight="1" s="311"/>
    <row r="15434" hidden="1" ht="18.75" customFormat="1" customHeight="1" s="311"/>
    <row r="15435" hidden="1" ht="18.75" customFormat="1" customHeight="1" s="311"/>
    <row r="15436" hidden="1" ht="18.75" customFormat="1" customHeight="1" s="311"/>
    <row r="15437" hidden="1" ht="18.75" customFormat="1" customHeight="1" s="311"/>
    <row r="15438" hidden="1" ht="18.75" customFormat="1" customHeight="1" s="311"/>
    <row r="15439" hidden="1" ht="18.75" customFormat="1" customHeight="1" s="311"/>
    <row r="15440" hidden="1" ht="18.75" customFormat="1" customHeight="1" s="311"/>
    <row r="15441" hidden="1" ht="18.75" customFormat="1" customHeight="1" s="311"/>
    <row r="15442" hidden="1" ht="18.75" customFormat="1" customHeight="1" s="311"/>
    <row r="15443" hidden="1" ht="18.75" customFormat="1" customHeight="1" s="311"/>
    <row r="15444" hidden="1" ht="18.75" customFormat="1" customHeight="1" s="311"/>
    <row r="15445" hidden="1" ht="18.75" customFormat="1" customHeight="1" s="311"/>
    <row r="15446" hidden="1" ht="18.75" customFormat="1" customHeight="1" s="311"/>
    <row r="15447" hidden="1" ht="18.75" customFormat="1" customHeight="1" s="311"/>
    <row r="15448" hidden="1" ht="18.75" customFormat="1" customHeight="1" s="311"/>
    <row r="15449" hidden="1" ht="18.75" customFormat="1" customHeight="1" s="311"/>
    <row r="15450" hidden="1" ht="18.75" customFormat="1" customHeight="1" s="311"/>
    <row r="15451" hidden="1" ht="18.75" customFormat="1" customHeight="1" s="311"/>
    <row r="15452" hidden="1" ht="18.75" customFormat="1" customHeight="1" s="311"/>
    <row r="15453" hidden="1" ht="18.75" customFormat="1" customHeight="1" s="311"/>
    <row r="15454" hidden="1" ht="18.75" customFormat="1" customHeight="1" s="311"/>
    <row r="15455" hidden="1" ht="18.75" customFormat="1" customHeight="1" s="311"/>
    <row r="15456" hidden="1" ht="18.75" customFormat="1" customHeight="1" s="311"/>
    <row r="15457" hidden="1" ht="18.75" customFormat="1" customHeight="1" s="311"/>
    <row r="15458" hidden="1" ht="18.75" customFormat="1" customHeight="1" s="311"/>
    <row r="15459" hidden="1" ht="18.75" customFormat="1" customHeight="1" s="311"/>
    <row r="15460" hidden="1" ht="18.75" customFormat="1" customHeight="1" s="311"/>
    <row r="15461" hidden="1" ht="18.75" customFormat="1" customHeight="1" s="311"/>
    <row r="15462" hidden="1" ht="18.75" customFormat="1" customHeight="1" s="311"/>
    <row r="15463" hidden="1" ht="18.75" customFormat="1" customHeight="1" s="311"/>
    <row r="15464" hidden="1" ht="18.75" customFormat="1" customHeight="1" s="311"/>
    <row r="15465" hidden="1" ht="18.75" customFormat="1" customHeight="1" s="311"/>
    <row r="15466" hidden="1" ht="18.75" customFormat="1" customHeight="1" s="311"/>
    <row r="15467" hidden="1" ht="18.75" customFormat="1" customHeight="1" s="311"/>
    <row r="15468" hidden="1" ht="18.75" customFormat="1" customHeight="1" s="311"/>
    <row r="15469" hidden="1" ht="18.75" customFormat="1" customHeight="1" s="311"/>
    <row r="15470" hidden="1" ht="18.75" customFormat="1" customHeight="1" s="311"/>
    <row r="15471" hidden="1" ht="18.75" customFormat="1" customHeight="1" s="311"/>
    <row r="15472" hidden="1" ht="18.75" customFormat="1" customHeight="1" s="311"/>
    <row r="15473" hidden="1" ht="18.75" customFormat="1" customHeight="1" s="311"/>
    <row r="15474" hidden="1" ht="18.75" customFormat="1" customHeight="1" s="311"/>
    <row r="15475" hidden="1" ht="18.75" customFormat="1" customHeight="1" s="311"/>
    <row r="15476" hidden="1" ht="18.75" customFormat="1" customHeight="1" s="311"/>
    <row r="15477" hidden="1" ht="18.75" customFormat="1" customHeight="1" s="311"/>
    <row r="15478" hidden="1" ht="18.75" customFormat="1" customHeight="1" s="311"/>
    <row r="15479" hidden="1" ht="18.75" customFormat="1" customHeight="1" s="311"/>
    <row r="15480" hidden="1" ht="18.75" customFormat="1" customHeight="1" s="311"/>
    <row r="15481" hidden="1" ht="18.75" customFormat="1" customHeight="1" s="311"/>
    <row r="15482" hidden="1" ht="18.75" customFormat="1" customHeight="1" s="311"/>
    <row r="15483" hidden="1" ht="18.75" customFormat="1" customHeight="1" s="311"/>
    <row r="15484" hidden="1" ht="18.75" customFormat="1" customHeight="1" s="311"/>
    <row r="15485" hidden="1" ht="18.75" customFormat="1" customHeight="1" s="311"/>
    <row r="15486" hidden="1" ht="18.75" customFormat="1" customHeight="1" s="311"/>
    <row r="15487" hidden="1" ht="18.75" customFormat="1" customHeight="1" s="311"/>
    <row r="15488" hidden="1" ht="18.75" customFormat="1" customHeight="1" s="311"/>
    <row r="15489" hidden="1" ht="18.75" customFormat="1" customHeight="1" s="311"/>
    <row r="15490" hidden="1" ht="18.75" customFormat="1" customHeight="1" s="311"/>
    <row r="15491" hidden="1" ht="18.75" customFormat="1" customHeight="1" s="311"/>
    <row r="15492" hidden="1" ht="18.75" customFormat="1" customHeight="1" s="311"/>
    <row r="15493" hidden="1" ht="18.75" customFormat="1" customHeight="1" s="311"/>
    <row r="15494" hidden="1" ht="18.75" customFormat="1" customHeight="1" s="311"/>
    <row r="15495" hidden="1" ht="18.75" customFormat="1" customHeight="1" s="311"/>
    <row r="15496" hidden="1" ht="18.75" customFormat="1" customHeight="1" s="311"/>
    <row r="15497" hidden="1" ht="18.75" customFormat="1" customHeight="1" s="311"/>
    <row r="15498" hidden="1" ht="18.75" customFormat="1" customHeight="1" s="311"/>
    <row r="15499" hidden="1" ht="18.75" customFormat="1" customHeight="1" s="311"/>
    <row r="15500" hidden="1" ht="18.75" customFormat="1" customHeight="1" s="311"/>
    <row r="15501" hidden="1" ht="18.75" customFormat="1" customHeight="1" s="311"/>
    <row r="15502" hidden="1" ht="18.75" customFormat="1" customHeight="1" s="311"/>
    <row r="15503" hidden="1" ht="18.75" customFormat="1" customHeight="1" s="311"/>
    <row r="15504" hidden="1" ht="18.75" customFormat="1" customHeight="1" s="311"/>
    <row r="15505" hidden="1" ht="18.75" customFormat="1" customHeight="1" s="311"/>
    <row r="15506" hidden="1" ht="18.75" customFormat="1" customHeight="1" s="311"/>
    <row r="15507" hidden="1" ht="18.75" customFormat="1" customHeight="1" s="311"/>
    <row r="15508" hidden="1" ht="18.75" customFormat="1" customHeight="1" s="311"/>
    <row r="15509" hidden="1" ht="18.75" customFormat="1" customHeight="1" s="311"/>
    <row r="15510" hidden="1" ht="18.75" customFormat="1" customHeight="1" s="311"/>
    <row r="15511" hidden="1" ht="18.75" customFormat="1" customHeight="1" s="311"/>
    <row r="15512" hidden="1" ht="18.75" customFormat="1" customHeight="1" s="311"/>
    <row r="15513" hidden="1" ht="18.75" customFormat="1" customHeight="1" s="311"/>
    <row r="15514" hidden="1" ht="18.75" customFormat="1" customHeight="1" s="311"/>
    <row r="15515" hidden="1" ht="18.75" customFormat="1" customHeight="1" s="311"/>
    <row r="15516" hidden="1" ht="18.75" customFormat="1" customHeight="1" s="311"/>
    <row r="15517" hidden="1" ht="18.75" customFormat="1" customHeight="1" s="311"/>
    <row r="15518" hidden="1" ht="18.75" customFormat="1" customHeight="1" s="311"/>
    <row r="15519" hidden="1" ht="18.75" customFormat="1" customHeight="1" s="311"/>
    <row r="15520" hidden="1" ht="18.75" customFormat="1" customHeight="1" s="311"/>
    <row r="15521" hidden="1" ht="18.75" customFormat="1" customHeight="1" s="311"/>
    <row r="15522" hidden="1" ht="18.75" customFormat="1" customHeight="1" s="311"/>
    <row r="15523" hidden="1" ht="18.75" customFormat="1" customHeight="1" s="311"/>
    <row r="15524" hidden="1" ht="18.75" customFormat="1" customHeight="1" s="311"/>
    <row r="15525" hidden="1" ht="18.75" customFormat="1" customHeight="1" s="311"/>
    <row r="15526" hidden="1" ht="18.75" customFormat="1" customHeight="1" s="311"/>
    <row r="15527" hidden="1" ht="18.75" customFormat="1" customHeight="1" s="311"/>
    <row r="15528" hidden="1" ht="18.75" customFormat="1" customHeight="1" s="311"/>
    <row r="15529" hidden="1" ht="18.75" customFormat="1" customHeight="1" s="311"/>
    <row r="15530" hidden="1" ht="18.75" customFormat="1" customHeight="1" s="311"/>
    <row r="15531" hidden="1" ht="18.75" customFormat="1" customHeight="1" s="311"/>
    <row r="15532" hidden="1" ht="18.75" customFormat="1" customHeight="1" s="311"/>
    <row r="15533" hidden="1" ht="18.75" customFormat="1" customHeight="1" s="311"/>
    <row r="15534" hidden="1" ht="18.75" customFormat="1" customHeight="1" s="311"/>
    <row r="15535" hidden="1" ht="18.75" customFormat="1" customHeight="1" s="311"/>
    <row r="15536" hidden="1" ht="18.75" customFormat="1" customHeight="1" s="311"/>
    <row r="15537" hidden="1" ht="18.75" customFormat="1" customHeight="1" s="311"/>
    <row r="15538" hidden="1" ht="18.75" customFormat="1" customHeight="1" s="311"/>
    <row r="15539" hidden="1" ht="18.75" customFormat="1" customHeight="1" s="311"/>
    <row r="15540" hidden="1" ht="18.75" customFormat="1" customHeight="1" s="311"/>
    <row r="15541" hidden="1" ht="18.75" customFormat="1" customHeight="1" s="311"/>
    <row r="15542" hidden="1" ht="18.75" customFormat="1" customHeight="1" s="311"/>
    <row r="15543" hidden="1" ht="18.75" customFormat="1" customHeight="1" s="311"/>
    <row r="15544" hidden="1" ht="18.75" customFormat="1" customHeight="1" s="311"/>
    <row r="15545" hidden="1" ht="18.75" customFormat="1" customHeight="1" s="311"/>
    <row r="15546" hidden="1" ht="18.75" customFormat="1" customHeight="1" s="311"/>
    <row r="15547" hidden="1" ht="18.75" customFormat="1" customHeight="1" s="311"/>
    <row r="15548" hidden="1" ht="18.75" customFormat="1" customHeight="1" s="311"/>
    <row r="15549" hidden="1" ht="18.75" customFormat="1" customHeight="1" s="311"/>
    <row r="15550" hidden="1" ht="18.75" customFormat="1" customHeight="1" s="311"/>
    <row r="15551" hidden="1" ht="18.75" customFormat="1" customHeight="1" s="311"/>
    <row r="15552" hidden="1" ht="18.75" customFormat="1" customHeight="1" s="311"/>
    <row r="15553" hidden="1" ht="18.75" customFormat="1" customHeight="1" s="311"/>
    <row r="15554" hidden="1" ht="18.75" customFormat="1" customHeight="1" s="311"/>
    <row r="15555" hidden="1" ht="18.75" customFormat="1" customHeight="1" s="311"/>
    <row r="15556" hidden="1" ht="18.75" customFormat="1" customHeight="1" s="311"/>
    <row r="15557" hidden="1" ht="18.75" customFormat="1" customHeight="1" s="311"/>
    <row r="15558" hidden="1" ht="18.75" customFormat="1" customHeight="1" s="311"/>
    <row r="15559" hidden="1" ht="18.75" customFormat="1" customHeight="1" s="311"/>
    <row r="15560" hidden="1" ht="18.75" customFormat="1" customHeight="1" s="311"/>
    <row r="15561" hidden="1" ht="18.75" customFormat="1" customHeight="1" s="311"/>
    <row r="15562" hidden="1" ht="18.75" customFormat="1" customHeight="1" s="311"/>
    <row r="15563" hidden="1" ht="18.75" customFormat="1" customHeight="1" s="311"/>
    <row r="15564" hidden="1" ht="18.75" customFormat="1" customHeight="1" s="311"/>
    <row r="15565" hidden="1" ht="18.75" customFormat="1" customHeight="1" s="311"/>
    <row r="15566" hidden="1" ht="18.75" customFormat="1" customHeight="1" s="311"/>
    <row r="15567" hidden="1" ht="18.75" customFormat="1" customHeight="1" s="311"/>
    <row r="15568" hidden="1" ht="18.75" customFormat="1" customHeight="1" s="311"/>
    <row r="15569" hidden="1" ht="18.75" customFormat="1" customHeight="1" s="311"/>
    <row r="15570" hidden="1" ht="18.75" customFormat="1" customHeight="1" s="311"/>
    <row r="15571" hidden="1" ht="18.75" customFormat="1" customHeight="1" s="311"/>
    <row r="15572" hidden="1" ht="18.75" customFormat="1" customHeight="1" s="311"/>
    <row r="15573" hidden="1" ht="18.75" customFormat="1" customHeight="1" s="311"/>
    <row r="15574" hidden="1" ht="18.75" customFormat="1" customHeight="1" s="311"/>
    <row r="15575" hidden="1" ht="18.75" customFormat="1" customHeight="1" s="311"/>
    <row r="15576" hidden="1" ht="18.75" customFormat="1" customHeight="1" s="311"/>
    <row r="15577" hidden="1" ht="18.75" customFormat="1" customHeight="1" s="311"/>
    <row r="15578" hidden="1" ht="18.75" customFormat="1" customHeight="1" s="311"/>
    <row r="15579" hidden="1" ht="18.75" customFormat="1" customHeight="1" s="311"/>
    <row r="15580" hidden="1" ht="18.75" customFormat="1" customHeight="1" s="311"/>
    <row r="15581" hidden="1" ht="18.75" customFormat="1" customHeight="1" s="311"/>
    <row r="15582" hidden="1" ht="18.75" customFormat="1" customHeight="1" s="311"/>
    <row r="15583" hidden="1" ht="18.75" customFormat="1" customHeight="1" s="311"/>
    <row r="15584" hidden="1" ht="18.75" customFormat="1" customHeight="1" s="311"/>
    <row r="15585" hidden="1" ht="18.75" customFormat="1" customHeight="1" s="311"/>
    <row r="15586" hidden="1" ht="18.75" customFormat="1" customHeight="1" s="311"/>
    <row r="15587" hidden="1" ht="18.75" customFormat="1" customHeight="1" s="311"/>
    <row r="15588" hidden="1" ht="18.75" customFormat="1" customHeight="1" s="311"/>
    <row r="15589" hidden="1" ht="18.75" customFormat="1" customHeight="1" s="311"/>
    <row r="15590" hidden="1" ht="18.75" customFormat="1" customHeight="1" s="311"/>
    <row r="15591" hidden="1" ht="18.75" customFormat="1" customHeight="1" s="311"/>
    <row r="15592" hidden="1" ht="18.75" customFormat="1" customHeight="1" s="311"/>
    <row r="15593" hidden="1" ht="18.75" customFormat="1" customHeight="1" s="311"/>
    <row r="15594" hidden="1" ht="18.75" customFormat="1" customHeight="1" s="311"/>
    <row r="15595" hidden="1" ht="18.75" customFormat="1" customHeight="1" s="311"/>
    <row r="15596" hidden="1" ht="18.75" customFormat="1" customHeight="1" s="311"/>
    <row r="15597" hidden="1" ht="18.75" customFormat="1" customHeight="1" s="311"/>
    <row r="15598" hidden="1" ht="18.75" customFormat="1" customHeight="1" s="311"/>
    <row r="15599" hidden="1" ht="18.75" customFormat="1" customHeight="1" s="311"/>
    <row r="15600" hidden="1" ht="18.75" customFormat="1" customHeight="1" s="311"/>
    <row r="15601" hidden="1" ht="18.75" customFormat="1" customHeight="1" s="311"/>
    <row r="15602" hidden="1" ht="18.75" customFormat="1" customHeight="1" s="311"/>
    <row r="15603" hidden="1" ht="18.75" customFormat="1" customHeight="1" s="311"/>
    <row r="15604" hidden="1" ht="18.75" customFormat="1" customHeight="1" s="311"/>
    <row r="15605" hidden="1" ht="18.75" customFormat="1" customHeight="1" s="311"/>
    <row r="15606" hidden="1" ht="18.75" customFormat="1" customHeight="1" s="311"/>
    <row r="15607" hidden="1" ht="18.75" customFormat="1" customHeight="1" s="311"/>
    <row r="15608" hidden="1" ht="18.75" customFormat="1" customHeight="1" s="311"/>
    <row r="15609" hidden="1" ht="18.75" customFormat="1" customHeight="1" s="311"/>
    <row r="15610" hidden="1" ht="18.75" customFormat="1" customHeight="1" s="311"/>
    <row r="15611" hidden="1" ht="18.75" customFormat="1" customHeight="1" s="311"/>
    <row r="15612" hidden="1" ht="18.75" customFormat="1" customHeight="1" s="311"/>
    <row r="15613" hidden="1" ht="18.75" customFormat="1" customHeight="1" s="311"/>
    <row r="15614" hidden="1" ht="18.75" customFormat="1" customHeight="1" s="311"/>
    <row r="15615" hidden="1" ht="18.75" customFormat="1" customHeight="1" s="311"/>
    <row r="15616" hidden="1" ht="18.75" customFormat="1" customHeight="1" s="311"/>
    <row r="15617" hidden="1" ht="18.75" customFormat="1" customHeight="1" s="311"/>
    <row r="15618" hidden="1" ht="18.75" customFormat="1" customHeight="1" s="311"/>
    <row r="15619" hidden="1" ht="18.75" customFormat="1" customHeight="1" s="311"/>
    <row r="15620" hidden="1" ht="18.75" customFormat="1" customHeight="1" s="311"/>
    <row r="15621" hidden="1" ht="18.75" customFormat="1" customHeight="1" s="311"/>
    <row r="15622" hidden="1" ht="18.75" customFormat="1" customHeight="1" s="311"/>
    <row r="15623" hidden="1" ht="18.75" customFormat="1" customHeight="1" s="311"/>
    <row r="15624" hidden="1" ht="18.75" customFormat="1" customHeight="1" s="311"/>
    <row r="15625" hidden="1" ht="18.75" customFormat="1" customHeight="1" s="311"/>
    <row r="15626" hidden="1" ht="18.75" customFormat="1" customHeight="1" s="311"/>
    <row r="15627" hidden="1" ht="18.75" customFormat="1" customHeight="1" s="311"/>
    <row r="15628" hidden="1" ht="18.75" customFormat="1" customHeight="1" s="311"/>
    <row r="15629" hidden="1" ht="18.75" customFormat="1" customHeight="1" s="311"/>
    <row r="15630" hidden="1" ht="18.75" customFormat="1" customHeight="1" s="311"/>
    <row r="15631" hidden="1" ht="18.75" customFormat="1" customHeight="1" s="311"/>
    <row r="15632" hidden="1" ht="18.75" customFormat="1" customHeight="1" s="311"/>
    <row r="15633" hidden="1" ht="18.75" customFormat="1" customHeight="1" s="311"/>
    <row r="15634" hidden="1" ht="18.75" customFormat="1" customHeight="1" s="311"/>
    <row r="15635" hidden="1" ht="18.75" customFormat="1" customHeight="1" s="311"/>
    <row r="15636" hidden="1" ht="18.75" customFormat="1" customHeight="1" s="311"/>
    <row r="15637" hidden="1" ht="18.75" customFormat="1" customHeight="1" s="311"/>
    <row r="15638" hidden="1" ht="18.75" customFormat="1" customHeight="1" s="311"/>
    <row r="15639" hidden="1" ht="18.75" customFormat="1" customHeight="1" s="311"/>
    <row r="15640" hidden="1" ht="18.75" customFormat="1" customHeight="1" s="311"/>
    <row r="15641" hidden="1" ht="18.75" customFormat="1" customHeight="1" s="311"/>
    <row r="15642" hidden="1" ht="18.75" customFormat="1" customHeight="1" s="311"/>
    <row r="15643" hidden="1" ht="18.75" customFormat="1" customHeight="1" s="311"/>
    <row r="15644" hidden="1" ht="18.75" customFormat="1" customHeight="1" s="311"/>
    <row r="15645" hidden="1" ht="18.75" customFormat="1" customHeight="1" s="311"/>
    <row r="15646" hidden="1" ht="18.75" customFormat="1" customHeight="1" s="311"/>
    <row r="15647" hidden="1" ht="18.75" customFormat="1" customHeight="1" s="311"/>
    <row r="15648" hidden="1" ht="18.75" customFormat="1" customHeight="1" s="311"/>
    <row r="15649" hidden="1" ht="18.75" customFormat="1" customHeight="1" s="311"/>
    <row r="15650" hidden="1" ht="18.75" customFormat="1" customHeight="1" s="311"/>
    <row r="15651" hidden="1" ht="18.75" customFormat="1" customHeight="1" s="311"/>
    <row r="15652" hidden="1" ht="18.75" customFormat="1" customHeight="1" s="311"/>
    <row r="15653" hidden="1" ht="18.75" customFormat="1" customHeight="1" s="311"/>
    <row r="15654" hidden="1" ht="18.75" customFormat="1" customHeight="1" s="311"/>
    <row r="15655" hidden="1" ht="18.75" customFormat="1" customHeight="1" s="311"/>
    <row r="15656" hidden="1" ht="18.75" customFormat="1" customHeight="1" s="311"/>
    <row r="15657" hidden="1" ht="18.75" customFormat="1" customHeight="1" s="311"/>
    <row r="15658" hidden="1" ht="18.75" customFormat="1" customHeight="1" s="311"/>
    <row r="15659" hidden="1" ht="18.75" customFormat="1" customHeight="1" s="311"/>
    <row r="15660" hidden="1" ht="18.75" customFormat="1" customHeight="1" s="311"/>
    <row r="15661" hidden="1" ht="18.75" customFormat="1" customHeight="1" s="311"/>
    <row r="15662" hidden="1" ht="18.75" customFormat="1" customHeight="1" s="311"/>
    <row r="15663" hidden="1" ht="18.75" customFormat="1" customHeight="1" s="311"/>
    <row r="15664" hidden="1" ht="18.75" customFormat="1" customHeight="1" s="311"/>
    <row r="15665" hidden="1" ht="18.75" customFormat="1" customHeight="1" s="311"/>
    <row r="15666" hidden="1" ht="18.75" customFormat="1" customHeight="1" s="311"/>
    <row r="15667" hidden="1" ht="18.75" customFormat="1" customHeight="1" s="311"/>
    <row r="15668" hidden="1" ht="18.75" customFormat="1" customHeight="1" s="311"/>
    <row r="15669" hidden="1" ht="18.75" customFormat="1" customHeight="1" s="311"/>
    <row r="15670" hidden="1" ht="18.75" customFormat="1" customHeight="1" s="311"/>
    <row r="15671" hidden="1" ht="18.75" customFormat="1" customHeight="1" s="311"/>
    <row r="15672" hidden="1" ht="18.75" customFormat="1" customHeight="1" s="311"/>
    <row r="15673" hidden="1" ht="18.75" customFormat="1" customHeight="1" s="311"/>
    <row r="15674" hidden="1" ht="18.75" customFormat="1" customHeight="1" s="311"/>
    <row r="15675" hidden="1" ht="18.75" customFormat="1" customHeight="1" s="311"/>
    <row r="15676" hidden="1" ht="18.75" customFormat="1" customHeight="1" s="311"/>
    <row r="15677" hidden="1" ht="18.75" customFormat="1" customHeight="1" s="311"/>
    <row r="15678" hidden="1" ht="18.75" customFormat="1" customHeight="1" s="311"/>
    <row r="15679" hidden="1" ht="18.75" customFormat="1" customHeight="1" s="311"/>
    <row r="15680" hidden="1" ht="18.75" customFormat="1" customHeight="1" s="311"/>
    <row r="15681" hidden="1" ht="18.75" customFormat="1" customHeight="1" s="311"/>
    <row r="15682" hidden="1" ht="18.75" customFormat="1" customHeight="1" s="311"/>
    <row r="15683" hidden="1" ht="18.75" customFormat="1" customHeight="1" s="311"/>
    <row r="15684" hidden="1" ht="18.75" customFormat="1" customHeight="1" s="311"/>
    <row r="15685" hidden="1" ht="18.75" customFormat="1" customHeight="1" s="311"/>
    <row r="15686" hidden="1" ht="18.75" customFormat="1" customHeight="1" s="311"/>
    <row r="15687" hidden="1" ht="18.75" customFormat="1" customHeight="1" s="311"/>
    <row r="15688" hidden="1" ht="18.75" customFormat="1" customHeight="1" s="311"/>
    <row r="15689" hidden="1" ht="18.75" customFormat="1" customHeight="1" s="311"/>
    <row r="15690" hidden="1" ht="18.75" customFormat="1" customHeight="1" s="311"/>
    <row r="15691" hidden="1" ht="18.75" customFormat="1" customHeight="1" s="311"/>
    <row r="15692" hidden="1" ht="18.75" customFormat="1" customHeight="1" s="311"/>
    <row r="15693" hidden="1" ht="18.75" customFormat="1" customHeight="1" s="311"/>
    <row r="15694" hidden="1" ht="18.75" customFormat="1" customHeight="1" s="311"/>
    <row r="15695" hidden="1" ht="18.75" customFormat="1" customHeight="1" s="311"/>
    <row r="15696" hidden="1" ht="18.75" customFormat="1" customHeight="1" s="311"/>
    <row r="15697" hidden="1" ht="18.75" customFormat="1" customHeight="1" s="311"/>
    <row r="15698" hidden="1" ht="18.75" customFormat="1" customHeight="1" s="311"/>
    <row r="15699" hidden="1" ht="18.75" customFormat="1" customHeight="1" s="311"/>
    <row r="15700" hidden="1" ht="18.75" customFormat="1" customHeight="1" s="311"/>
    <row r="15701" hidden="1" ht="18.75" customFormat="1" customHeight="1" s="311"/>
    <row r="15702" hidden="1" ht="18.75" customFormat="1" customHeight="1" s="311"/>
    <row r="15703" hidden="1" ht="18.75" customFormat="1" customHeight="1" s="311"/>
    <row r="15704" hidden="1" ht="18.75" customFormat="1" customHeight="1" s="311"/>
    <row r="15705" hidden="1" ht="18.75" customFormat="1" customHeight="1" s="311"/>
    <row r="15706" hidden="1" ht="18.75" customFormat="1" customHeight="1" s="311"/>
    <row r="15707" hidden="1" ht="18.75" customFormat="1" customHeight="1" s="311"/>
    <row r="15708" hidden="1" ht="18.75" customFormat="1" customHeight="1" s="311"/>
    <row r="15709" hidden="1" ht="18.75" customFormat="1" customHeight="1" s="311"/>
    <row r="15710" hidden="1" ht="18.75" customFormat="1" customHeight="1" s="311"/>
    <row r="15711" hidden="1" ht="18.75" customFormat="1" customHeight="1" s="311"/>
    <row r="15712" hidden="1" ht="18.75" customFormat="1" customHeight="1" s="311"/>
    <row r="15713" hidden="1" ht="18.75" customFormat="1" customHeight="1" s="311"/>
    <row r="15714" hidden="1" ht="18.75" customFormat="1" customHeight="1" s="311"/>
    <row r="15715" hidden="1" ht="18.75" customFormat="1" customHeight="1" s="311"/>
    <row r="15716" hidden="1" ht="18.75" customFormat="1" customHeight="1" s="311"/>
    <row r="15717" hidden="1" ht="18.75" customFormat="1" customHeight="1" s="311"/>
    <row r="15718" hidden="1" ht="18.75" customFormat="1" customHeight="1" s="311"/>
    <row r="15719" hidden="1" ht="18.75" customFormat="1" customHeight="1" s="311"/>
    <row r="15720" hidden="1" ht="18.75" customFormat="1" customHeight="1" s="311"/>
    <row r="15721" hidden="1" ht="18.75" customFormat="1" customHeight="1" s="311"/>
    <row r="15722" hidden="1" ht="18.75" customFormat="1" customHeight="1" s="311"/>
    <row r="15723" hidden="1" ht="18.75" customFormat="1" customHeight="1" s="311"/>
    <row r="15724" hidden="1" ht="18.75" customFormat="1" customHeight="1" s="311"/>
    <row r="15725" hidden="1" ht="18.75" customFormat="1" customHeight="1" s="311"/>
    <row r="15726" hidden="1" ht="18.75" customFormat="1" customHeight="1" s="311"/>
    <row r="15727" hidden="1" ht="18.75" customFormat="1" customHeight="1" s="311"/>
    <row r="15728" hidden="1" ht="18.75" customFormat="1" customHeight="1" s="311"/>
    <row r="15729" hidden="1" ht="18.75" customFormat="1" customHeight="1" s="311"/>
    <row r="15730" hidden="1" ht="18.75" customFormat="1" customHeight="1" s="311"/>
    <row r="15731" hidden="1" ht="18.75" customFormat="1" customHeight="1" s="311"/>
    <row r="15732" hidden="1" ht="18.75" customFormat="1" customHeight="1" s="311"/>
    <row r="15733" hidden="1" ht="18.75" customFormat="1" customHeight="1" s="311"/>
    <row r="15734" hidden="1" ht="18.75" customFormat="1" customHeight="1" s="311"/>
    <row r="15735" hidden="1" ht="18.75" customFormat="1" customHeight="1" s="311"/>
    <row r="15736" hidden="1" ht="18.75" customFormat="1" customHeight="1" s="311"/>
    <row r="15737" hidden="1" ht="18.75" customFormat="1" customHeight="1" s="311"/>
    <row r="15738" hidden="1" ht="18.75" customFormat="1" customHeight="1" s="311"/>
    <row r="15739" hidden="1" ht="18.75" customFormat="1" customHeight="1" s="311"/>
    <row r="15740" hidden="1" ht="18.75" customFormat="1" customHeight="1" s="311"/>
    <row r="15741" hidden="1" ht="18.75" customFormat="1" customHeight="1" s="311"/>
    <row r="15742" hidden="1" ht="18.75" customFormat="1" customHeight="1" s="311"/>
    <row r="15743" hidden="1" ht="18.75" customFormat="1" customHeight="1" s="311"/>
    <row r="15744" hidden="1" ht="18.75" customFormat="1" customHeight="1" s="311"/>
    <row r="15745" hidden="1" ht="18.75" customFormat="1" customHeight="1" s="311"/>
    <row r="15746" hidden="1" ht="18.75" customFormat="1" customHeight="1" s="311"/>
    <row r="15747" hidden="1" ht="18.75" customFormat="1" customHeight="1" s="311"/>
    <row r="15748" hidden="1" ht="18.75" customFormat="1" customHeight="1" s="311"/>
    <row r="15749" hidden="1" ht="18.75" customFormat="1" customHeight="1" s="311"/>
    <row r="15750" hidden="1" ht="18.75" customFormat="1" customHeight="1" s="311"/>
    <row r="15751" hidden="1" ht="18.75" customFormat="1" customHeight="1" s="311"/>
    <row r="15752" hidden="1" ht="18.75" customFormat="1" customHeight="1" s="311"/>
    <row r="15753" hidden="1" ht="18.75" customFormat="1" customHeight="1" s="311"/>
    <row r="15754" hidden="1" ht="18.75" customFormat="1" customHeight="1" s="311"/>
    <row r="15755" hidden="1" ht="18.75" customFormat="1" customHeight="1" s="311"/>
    <row r="15756" hidden="1" ht="18.75" customFormat="1" customHeight="1" s="311"/>
    <row r="15757" hidden="1" ht="18.75" customFormat="1" customHeight="1" s="311"/>
    <row r="15758" hidden="1" ht="18.75" customFormat="1" customHeight="1" s="311"/>
    <row r="15759" hidden="1" ht="18.75" customFormat="1" customHeight="1" s="311"/>
    <row r="15760" hidden="1" ht="18.75" customFormat="1" customHeight="1" s="311"/>
    <row r="15761" hidden="1" ht="18.75" customFormat="1" customHeight="1" s="311"/>
    <row r="15762" hidden="1" ht="18.75" customFormat="1" customHeight="1" s="311"/>
    <row r="15763" hidden="1" ht="18.75" customFormat="1" customHeight="1" s="311"/>
    <row r="15764" hidden="1" ht="18.75" customFormat="1" customHeight="1" s="311"/>
    <row r="15765" hidden="1" ht="18.75" customFormat="1" customHeight="1" s="311"/>
    <row r="15766" hidden="1" ht="18.75" customFormat="1" customHeight="1" s="311"/>
    <row r="15767" hidden="1" ht="18.75" customFormat="1" customHeight="1" s="311"/>
    <row r="15768" hidden="1" ht="18.75" customFormat="1" customHeight="1" s="311"/>
    <row r="15769" hidden="1" ht="18.75" customFormat="1" customHeight="1" s="311"/>
    <row r="15770" hidden="1" ht="18.75" customFormat="1" customHeight="1" s="311"/>
    <row r="15771" hidden="1" ht="18.75" customFormat="1" customHeight="1" s="311"/>
    <row r="15772" hidden="1" ht="18.75" customFormat="1" customHeight="1" s="311"/>
    <row r="15773" hidden="1" ht="18.75" customFormat="1" customHeight="1" s="311"/>
    <row r="15774" hidden="1" ht="18.75" customFormat="1" customHeight="1" s="311"/>
    <row r="15775" hidden="1" ht="18.75" customFormat="1" customHeight="1" s="311"/>
    <row r="15776" hidden="1" ht="18.75" customFormat="1" customHeight="1" s="311"/>
    <row r="15777" hidden="1" ht="18.75" customFormat="1" customHeight="1" s="311"/>
    <row r="15778" hidden="1" ht="18.75" customFormat="1" customHeight="1" s="311"/>
    <row r="15779" hidden="1" ht="18.75" customFormat="1" customHeight="1" s="311"/>
    <row r="15780" hidden="1" ht="18.75" customFormat="1" customHeight="1" s="311"/>
    <row r="15781" hidden="1" ht="18.75" customFormat="1" customHeight="1" s="311"/>
    <row r="15782" hidden="1" ht="18.75" customFormat="1" customHeight="1" s="311"/>
    <row r="15783" hidden="1" ht="18.75" customFormat="1" customHeight="1" s="311"/>
    <row r="15784" hidden="1" ht="18.75" customFormat="1" customHeight="1" s="311"/>
    <row r="15785" hidden="1" ht="18.75" customFormat="1" customHeight="1" s="311"/>
    <row r="15786" hidden="1" ht="18.75" customFormat="1" customHeight="1" s="311"/>
    <row r="15787" hidden="1" ht="18.75" customFormat="1" customHeight="1" s="311"/>
    <row r="15788" hidden="1" ht="18.75" customFormat="1" customHeight="1" s="311"/>
    <row r="15789" hidden="1" ht="18.75" customFormat="1" customHeight="1" s="311"/>
    <row r="15790" hidden="1" ht="18.75" customFormat="1" customHeight="1" s="311"/>
    <row r="15791" hidden="1" ht="18.75" customFormat="1" customHeight="1" s="311"/>
    <row r="15792" hidden="1" ht="18.75" customFormat="1" customHeight="1" s="311"/>
    <row r="15793" hidden="1" ht="18.75" customFormat="1" customHeight="1" s="311"/>
    <row r="15794" hidden="1" ht="18.75" customFormat="1" customHeight="1" s="311"/>
    <row r="15795" hidden="1" ht="18.75" customFormat="1" customHeight="1" s="311"/>
    <row r="15796" hidden="1" ht="18.75" customFormat="1" customHeight="1" s="311"/>
    <row r="15797" hidden="1" ht="18.75" customFormat="1" customHeight="1" s="311"/>
    <row r="15798" hidden="1" ht="18.75" customFormat="1" customHeight="1" s="311"/>
    <row r="15799" hidden="1" ht="18.75" customFormat="1" customHeight="1" s="311"/>
    <row r="15800" hidden="1" ht="18.75" customFormat="1" customHeight="1" s="311"/>
    <row r="15801" hidden="1" ht="18.75" customFormat="1" customHeight="1" s="311"/>
    <row r="15802" hidden="1" ht="18.75" customFormat="1" customHeight="1" s="311"/>
    <row r="15803" hidden="1" ht="18.75" customFormat="1" customHeight="1" s="311"/>
    <row r="15804" hidden="1" ht="18.75" customFormat="1" customHeight="1" s="311"/>
    <row r="15805" hidden="1" ht="18.75" customFormat="1" customHeight="1" s="311"/>
    <row r="15806" hidden="1" ht="18.75" customFormat="1" customHeight="1" s="311"/>
    <row r="15807" hidden="1" ht="18.75" customFormat="1" customHeight="1" s="311"/>
    <row r="15808" hidden="1" ht="18.75" customFormat="1" customHeight="1" s="311"/>
    <row r="15809" hidden="1" ht="18.75" customFormat="1" customHeight="1" s="311"/>
    <row r="15810" hidden="1" ht="18.75" customFormat="1" customHeight="1" s="311"/>
    <row r="15811" hidden="1" ht="18.75" customFormat="1" customHeight="1" s="311"/>
    <row r="15812" hidden="1" ht="18.75" customFormat="1" customHeight="1" s="311"/>
    <row r="15813" hidden="1" ht="18.75" customFormat="1" customHeight="1" s="311"/>
    <row r="15814" hidden="1" ht="18.75" customFormat="1" customHeight="1" s="311"/>
    <row r="15815" hidden="1" ht="18.75" customFormat="1" customHeight="1" s="311"/>
    <row r="15816" hidden="1" ht="18.75" customFormat="1" customHeight="1" s="311"/>
    <row r="15817" hidden="1" ht="18.75" customFormat="1" customHeight="1" s="311"/>
    <row r="15818" hidden="1" ht="18.75" customFormat="1" customHeight="1" s="311"/>
    <row r="15819" hidden="1" ht="18.75" customFormat="1" customHeight="1" s="311"/>
    <row r="15820" hidden="1" ht="18.75" customFormat="1" customHeight="1" s="311"/>
    <row r="15821" hidden="1" ht="18.75" customFormat="1" customHeight="1" s="311"/>
    <row r="15822" hidden="1" ht="18.75" customFormat="1" customHeight="1" s="311"/>
    <row r="15823" hidden="1" ht="18.75" customFormat="1" customHeight="1" s="311"/>
    <row r="15824" hidden="1" ht="18.75" customFormat="1" customHeight="1" s="311"/>
    <row r="15825" hidden="1" ht="18.75" customFormat="1" customHeight="1" s="311"/>
    <row r="15826" hidden="1" ht="18.75" customFormat="1" customHeight="1" s="311"/>
    <row r="15827" hidden="1" ht="18.75" customFormat="1" customHeight="1" s="311"/>
    <row r="15828" hidden="1" ht="18.75" customFormat="1" customHeight="1" s="311"/>
    <row r="15829" hidden="1" ht="18.75" customFormat="1" customHeight="1" s="311"/>
    <row r="15830" hidden="1" ht="18.75" customFormat="1" customHeight="1" s="311"/>
    <row r="15831" hidden="1" ht="18.75" customFormat="1" customHeight="1" s="311"/>
    <row r="15832" hidden="1" ht="18.75" customFormat="1" customHeight="1" s="311"/>
    <row r="15833" hidden="1" ht="18.75" customFormat="1" customHeight="1" s="311"/>
    <row r="15834" hidden="1" ht="18.75" customFormat="1" customHeight="1" s="311"/>
    <row r="15835" hidden="1" ht="18.75" customFormat="1" customHeight="1" s="311"/>
    <row r="15836" hidden="1" ht="18.75" customFormat="1" customHeight="1" s="311"/>
    <row r="15837" hidden="1" ht="18.75" customFormat="1" customHeight="1" s="311"/>
    <row r="15838" hidden="1" ht="18.75" customFormat="1" customHeight="1" s="311"/>
    <row r="15839" hidden="1" ht="18.75" customFormat="1" customHeight="1" s="311"/>
    <row r="15840" hidden="1" ht="18.75" customFormat="1" customHeight="1" s="311"/>
    <row r="15841" hidden="1" ht="18.75" customFormat="1" customHeight="1" s="311"/>
    <row r="15842" hidden="1" ht="18.75" customFormat="1" customHeight="1" s="311"/>
    <row r="15843" hidden="1" ht="18.75" customFormat="1" customHeight="1" s="311"/>
    <row r="15844" hidden="1" ht="18.75" customFormat="1" customHeight="1" s="311"/>
    <row r="15845" hidden="1" ht="18.75" customFormat="1" customHeight="1" s="311"/>
    <row r="15846" hidden="1" ht="18.75" customFormat="1" customHeight="1" s="311"/>
    <row r="15847" hidden="1" ht="18.75" customFormat="1" customHeight="1" s="311"/>
    <row r="15848" hidden="1" ht="18.75" customFormat="1" customHeight="1" s="311"/>
    <row r="15849" hidden="1" ht="18.75" customFormat="1" customHeight="1" s="311"/>
    <row r="15850" hidden="1" ht="18.75" customFormat="1" customHeight="1" s="311"/>
    <row r="15851" hidden="1" ht="18.75" customFormat="1" customHeight="1" s="311"/>
    <row r="15852" hidden="1" ht="18.75" customFormat="1" customHeight="1" s="311"/>
    <row r="15853" hidden="1" ht="18.75" customFormat="1" customHeight="1" s="311"/>
    <row r="15854" hidden="1" ht="18.75" customFormat="1" customHeight="1" s="311"/>
    <row r="15855" hidden="1" ht="18.75" customFormat="1" customHeight="1" s="311"/>
    <row r="15856" hidden="1" ht="18.75" customFormat="1" customHeight="1" s="311"/>
    <row r="15857" hidden="1" ht="18.75" customFormat="1" customHeight="1" s="311"/>
    <row r="15858" hidden="1" ht="18.75" customFormat="1" customHeight="1" s="311"/>
    <row r="15859" hidden="1" ht="18.75" customFormat="1" customHeight="1" s="311"/>
    <row r="15860" hidden="1" ht="18.75" customFormat="1" customHeight="1" s="311"/>
    <row r="15861" hidden="1" ht="18.75" customFormat="1" customHeight="1" s="311"/>
    <row r="15862" hidden="1" ht="18.75" customFormat="1" customHeight="1" s="311"/>
    <row r="15863" hidden="1" ht="18.75" customFormat="1" customHeight="1" s="311"/>
    <row r="15864" hidden="1" ht="18.75" customFormat="1" customHeight="1" s="311"/>
    <row r="15865" hidden="1" ht="18.75" customFormat="1" customHeight="1" s="311"/>
    <row r="15866" hidden="1" ht="18.75" customFormat="1" customHeight="1" s="311"/>
    <row r="15867" hidden="1" ht="18.75" customFormat="1" customHeight="1" s="311"/>
    <row r="15868" hidden="1" ht="18.75" customFormat="1" customHeight="1" s="311"/>
    <row r="15869" hidden="1" ht="18.75" customFormat="1" customHeight="1" s="311"/>
    <row r="15870" hidden="1" ht="18.75" customFormat="1" customHeight="1" s="311"/>
    <row r="15871" hidden="1" ht="18.75" customFormat="1" customHeight="1" s="311"/>
    <row r="15872" hidden="1" ht="18.75" customFormat="1" customHeight="1" s="311"/>
    <row r="15873" hidden="1" ht="18.75" customFormat="1" customHeight="1" s="311"/>
    <row r="15874" hidden="1" ht="18.75" customFormat="1" customHeight="1" s="311"/>
    <row r="15875" hidden="1" ht="18.75" customFormat="1" customHeight="1" s="311"/>
    <row r="15876" hidden="1" ht="18.75" customFormat="1" customHeight="1" s="311"/>
    <row r="15877" hidden="1" ht="18.75" customFormat="1" customHeight="1" s="311"/>
    <row r="15878" hidden="1" ht="18.75" customFormat="1" customHeight="1" s="311"/>
    <row r="15879" hidden="1" ht="18.75" customFormat="1" customHeight="1" s="311"/>
    <row r="15880" hidden="1" ht="18.75" customFormat="1" customHeight="1" s="311"/>
    <row r="15881" hidden="1" ht="18.75" customFormat="1" customHeight="1" s="311"/>
    <row r="15882" hidden="1" ht="18.75" customFormat="1" customHeight="1" s="311"/>
    <row r="15883" hidden="1" ht="18.75" customFormat="1" customHeight="1" s="311"/>
    <row r="15884" hidden="1" ht="18.75" customFormat="1" customHeight="1" s="311"/>
    <row r="15885" hidden="1" ht="18.75" customFormat="1" customHeight="1" s="311"/>
    <row r="15886" hidden="1" ht="18.75" customFormat="1" customHeight="1" s="311"/>
    <row r="15887" hidden="1" ht="18.75" customFormat="1" customHeight="1" s="311"/>
    <row r="15888" hidden="1" ht="18.75" customFormat="1" customHeight="1" s="311"/>
    <row r="15889" hidden="1" ht="18.75" customFormat="1" customHeight="1" s="311"/>
    <row r="15890" hidden="1" ht="18.75" customFormat="1" customHeight="1" s="311"/>
    <row r="15891" hidden="1" ht="18.75" customFormat="1" customHeight="1" s="311"/>
    <row r="15892" hidden="1" ht="18.75" customFormat="1" customHeight="1" s="311"/>
    <row r="15893" hidden="1" ht="18.75" customFormat="1" customHeight="1" s="311"/>
    <row r="15894" hidden="1" ht="18.75" customFormat="1" customHeight="1" s="311"/>
    <row r="15895" hidden="1" ht="18.75" customFormat="1" customHeight="1" s="311"/>
    <row r="15896" hidden="1" ht="18.75" customFormat="1" customHeight="1" s="311"/>
    <row r="15897" hidden="1" ht="18.75" customFormat="1" customHeight="1" s="311"/>
    <row r="15898" hidden="1" ht="18.75" customFormat="1" customHeight="1" s="311"/>
    <row r="15899" hidden="1" ht="18.75" customFormat="1" customHeight="1" s="311"/>
    <row r="15900" hidden="1" ht="18.75" customFormat="1" customHeight="1" s="311"/>
    <row r="15901" hidden="1" ht="18.75" customFormat="1" customHeight="1" s="311"/>
    <row r="15902" hidden="1" ht="18.75" customFormat="1" customHeight="1" s="311"/>
    <row r="15903" hidden="1" ht="18.75" customFormat="1" customHeight="1" s="311"/>
    <row r="15904" hidden="1" ht="18.75" customFormat="1" customHeight="1" s="311"/>
    <row r="15905" hidden="1" ht="18.75" customFormat="1" customHeight="1" s="311"/>
    <row r="15906" hidden="1" ht="18.75" customFormat="1" customHeight="1" s="311"/>
    <row r="15907" hidden="1" ht="18.75" customFormat="1" customHeight="1" s="311"/>
    <row r="15908" hidden="1" ht="18.75" customFormat="1" customHeight="1" s="311"/>
    <row r="15909" hidden="1" ht="18.75" customFormat="1" customHeight="1" s="311"/>
    <row r="15910" hidden="1" ht="18.75" customFormat="1" customHeight="1" s="311"/>
    <row r="15911" hidden="1" ht="18.75" customFormat="1" customHeight="1" s="311"/>
    <row r="15912" hidden="1" ht="18.75" customFormat="1" customHeight="1" s="311"/>
    <row r="15913" hidden="1" ht="18.75" customFormat="1" customHeight="1" s="311"/>
    <row r="15914" hidden="1" ht="18.75" customFormat="1" customHeight="1" s="311"/>
    <row r="15915" hidden="1" ht="18.75" customFormat="1" customHeight="1" s="311"/>
    <row r="15916" hidden="1" ht="18.75" customFormat="1" customHeight="1" s="311"/>
    <row r="15917" hidden="1" ht="18.75" customFormat="1" customHeight="1" s="311"/>
    <row r="15918" hidden="1" ht="18.75" customFormat="1" customHeight="1" s="311"/>
    <row r="15919" hidden="1" ht="18.75" customFormat="1" customHeight="1" s="311"/>
    <row r="15920" hidden="1" ht="18.75" customFormat="1" customHeight="1" s="311"/>
    <row r="15921" hidden="1" ht="18.75" customFormat="1" customHeight="1" s="311"/>
    <row r="15922" hidden="1" ht="18.75" customFormat="1" customHeight="1" s="311"/>
    <row r="15923" hidden="1" ht="18.75" customFormat="1" customHeight="1" s="311"/>
    <row r="15924" hidden="1" ht="18.75" customFormat="1" customHeight="1" s="311"/>
    <row r="15925" hidden="1" ht="18.75" customFormat="1" customHeight="1" s="311"/>
    <row r="15926" hidden="1" ht="18.75" customFormat="1" customHeight="1" s="311"/>
    <row r="15927" hidden="1" ht="18.75" customFormat="1" customHeight="1" s="311"/>
    <row r="15928" hidden="1" ht="18.75" customFormat="1" customHeight="1" s="311"/>
    <row r="15929" hidden="1" ht="18.75" customFormat="1" customHeight="1" s="311"/>
    <row r="15930" hidden="1" ht="18.75" customFormat="1" customHeight="1" s="311"/>
    <row r="15931" hidden="1" ht="18.75" customFormat="1" customHeight="1" s="311"/>
    <row r="15932" hidden="1" ht="18.75" customFormat="1" customHeight="1" s="311"/>
    <row r="15933" hidden="1" ht="18.75" customFormat="1" customHeight="1" s="311"/>
    <row r="15934" hidden="1" ht="18.75" customFormat="1" customHeight="1" s="311"/>
    <row r="15935" hidden="1" ht="18.75" customFormat="1" customHeight="1" s="311"/>
    <row r="15936" hidden="1" ht="18.75" customFormat="1" customHeight="1" s="311"/>
    <row r="15937" hidden="1" ht="18.75" customFormat="1" customHeight="1" s="311"/>
    <row r="15938" hidden="1" ht="18.75" customFormat="1" customHeight="1" s="311"/>
    <row r="15939" hidden="1" ht="18.75" customFormat="1" customHeight="1" s="311"/>
    <row r="15940" hidden="1" ht="18.75" customFormat="1" customHeight="1" s="311"/>
    <row r="15941" hidden="1" ht="18.75" customFormat="1" customHeight="1" s="311"/>
    <row r="15942" hidden="1" ht="18.75" customFormat="1" customHeight="1" s="311"/>
    <row r="15943" hidden="1" ht="18.75" customFormat="1" customHeight="1" s="311"/>
    <row r="15944" hidden="1" ht="18.75" customFormat="1" customHeight="1" s="311"/>
    <row r="15945" hidden="1" ht="18.75" customFormat="1" customHeight="1" s="311"/>
    <row r="15946" hidden="1" ht="18.75" customFormat="1" customHeight="1" s="311"/>
    <row r="15947" hidden="1" ht="18.75" customFormat="1" customHeight="1" s="311"/>
    <row r="15948" hidden="1" ht="18.75" customFormat="1" customHeight="1" s="311"/>
    <row r="15949" hidden="1" ht="18.75" customFormat="1" customHeight="1" s="311"/>
    <row r="15950" hidden="1" ht="18.75" customFormat="1" customHeight="1" s="311"/>
    <row r="15951" hidden="1" ht="18.75" customFormat="1" customHeight="1" s="311"/>
    <row r="15952" hidden="1" ht="18.75" customFormat="1" customHeight="1" s="311"/>
    <row r="15953" hidden="1" ht="18.75" customFormat="1" customHeight="1" s="311"/>
    <row r="15954" hidden="1" ht="18.75" customFormat="1" customHeight="1" s="311"/>
    <row r="15955" hidden="1" ht="18.75" customFormat="1" customHeight="1" s="311"/>
    <row r="15956" hidden="1" ht="18.75" customFormat="1" customHeight="1" s="311"/>
    <row r="15957" hidden="1" ht="18.75" customFormat="1" customHeight="1" s="311"/>
    <row r="15958" hidden="1" ht="18.75" customFormat="1" customHeight="1" s="311"/>
    <row r="15959" hidden="1" ht="18.75" customFormat="1" customHeight="1" s="311"/>
    <row r="15960" hidden="1" ht="18.75" customFormat="1" customHeight="1" s="311"/>
    <row r="15961" hidden="1" ht="18.75" customFormat="1" customHeight="1" s="311"/>
    <row r="15962" hidden="1" ht="18.75" customFormat="1" customHeight="1" s="311"/>
    <row r="15963" hidden="1" ht="18.75" customFormat="1" customHeight="1" s="311"/>
    <row r="15964" hidden="1" ht="18.75" customFormat="1" customHeight="1" s="311"/>
    <row r="15965" hidden="1" ht="18.75" customFormat="1" customHeight="1" s="311"/>
    <row r="15966" hidden="1" ht="18.75" customFormat="1" customHeight="1" s="311"/>
    <row r="15967" hidden="1" ht="18.75" customFormat="1" customHeight="1" s="311"/>
    <row r="15968" hidden="1" ht="18.75" customFormat="1" customHeight="1" s="311"/>
    <row r="15969" hidden="1" ht="18.75" customFormat="1" customHeight="1" s="311"/>
    <row r="15970" hidden="1" ht="18.75" customFormat="1" customHeight="1" s="311"/>
    <row r="15971" hidden="1" ht="18.75" customFormat="1" customHeight="1" s="311"/>
    <row r="15972" hidden="1" ht="18.75" customFormat="1" customHeight="1" s="311"/>
    <row r="15973" hidden="1" ht="18.75" customFormat="1" customHeight="1" s="311"/>
    <row r="15974" hidden="1" ht="18.75" customFormat="1" customHeight="1" s="311"/>
    <row r="15975" hidden="1" ht="18.75" customFormat="1" customHeight="1" s="311"/>
    <row r="15976" hidden="1" ht="18.75" customFormat="1" customHeight="1" s="311"/>
    <row r="15977" hidden="1" ht="18.75" customFormat="1" customHeight="1" s="311"/>
    <row r="15978" hidden="1" ht="18.75" customFormat="1" customHeight="1" s="311"/>
    <row r="15979" hidden="1" ht="18.75" customFormat="1" customHeight="1" s="311"/>
    <row r="15980" hidden="1" ht="18.75" customFormat="1" customHeight="1" s="311"/>
    <row r="15981" hidden="1" ht="18.75" customFormat="1" customHeight="1" s="311"/>
    <row r="15982" hidden="1" ht="18.75" customFormat="1" customHeight="1" s="311"/>
    <row r="15983" hidden="1" ht="18.75" customFormat="1" customHeight="1" s="311"/>
    <row r="15984" hidden="1" ht="18.75" customFormat="1" customHeight="1" s="311"/>
    <row r="15985" hidden="1" ht="18.75" customFormat="1" customHeight="1" s="311"/>
    <row r="15986" hidden="1" ht="18.75" customFormat="1" customHeight="1" s="311"/>
    <row r="15987" hidden="1" ht="18.75" customFormat="1" customHeight="1" s="311"/>
    <row r="15988" hidden="1" ht="18.75" customFormat="1" customHeight="1" s="311"/>
    <row r="15989" hidden="1" ht="18.75" customFormat="1" customHeight="1" s="311"/>
    <row r="15990" hidden="1" ht="18.75" customFormat="1" customHeight="1" s="311"/>
    <row r="15991" hidden="1" ht="18.75" customFormat="1" customHeight="1" s="311"/>
    <row r="15992" hidden="1" ht="18.75" customFormat="1" customHeight="1" s="311"/>
    <row r="15993" hidden="1" ht="18.75" customFormat="1" customHeight="1" s="311"/>
    <row r="15994" hidden="1" ht="18.75" customFormat="1" customHeight="1" s="311"/>
    <row r="15995" hidden="1" ht="18.75" customFormat="1" customHeight="1" s="311"/>
    <row r="15996" hidden="1" ht="18.75" customFormat="1" customHeight="1" s="311"/>
    <row r="15997" hidden="1" ht="18.75" customFormat="1" customHeight="1" s="311"/>
    <row r="15998" hidden="1" ht="18.75" customFormat="1" customHeight="1" s="311"/>
    <row r="15999" hidden="1" ht="18.75" customFormat="1" customHeight="1" s="311"/>
    <row r="16000" hidden="1" ht="18.75" customFormat="1" customHeight="1" s="311"/>
    <row r="16001" hidden="1" ht="18.75" customFormat="1" customHeight="1" s="311"/>
    <row r="16002" hidden="1" ht="18.75" customFormat="1" customHeight="1" s="311"/>
    <row r="16003" hidden="1" ht="18.75" customFormat="1" customHeight="1" s="311"/>
    <row r="16004" hidden="1" ht="18.75" customFormat="1" customHeight="1" s="311"/>
    <row r="16005" hidden="1" ht="18.75" customFormat="1" customHeight="1" s="311"/>
    <row r="16006" hidden="1" ht="18.75" customFormat="1" customHeight="1" s="311"/>
    <row r="16007" hidden="1" ht="18.75" customFormat="1" customHeight="1" s="311"/>
    <row r="16008" hidden="1" ht="18.75" customFormat="1" customHeight="1" s="311"/>
    <row r="16009" hidden="1" ht="18.75" customFormat="1" customHeight="1" s="311"/>
    <row r="16010" hidden="1" ht="18.75" customFormat="1" customHeight="1" s="311"/>
    <row r="16011" hidden="1" ht="18.75" customFormat="1" customHeight="1" s="311"/>
    <row r="16012" hidden="1" ht="18.75" customFormat="1" customHeight="1" s="311"/>
    <row r="16013" hidden="1" ht="18.75" customFormat="1" customHeight="1" s="311"/>
    <row r="16014" hidden="1" ht="18.75" customFormat="1" customHeight="1" s="311"/>
    <row r="16015" hidden="1" ht="18.75" customFormat="1" customHeight="1" s="311"/>
    <row r="16016" hidden="1" ht="18.75" customFormat="1" customHeight="1" s="311"/>
    <row r="16017" hidden="1" ht="18.75" customFormat="1" customHeight="1" s="311"/>
    <row r="16018" hidden="1" ht="18.75" customFormat="1" customHeight="1" s="311"/>
    <row r="16019" hidden="1" ht="18.75" customFormat="1" customHeight="1" s="311"/>
    <row r="16020" hidden="1" ht="18.75" customFormat="1" customHeight="1" s="311"/>
    <row r="16021" hidden="1" ht="18.75" customFormat="1" customHeight="1" s="311"/>
    <row r="16022" hidden="1" ht="18.75" customFormat="1" customHeight="1" s="311"/>
    <row r="16023" hidden="1" ht="18.75" customFormat="1" customHeight="1" s="311"/>
    <row r="16024" hidden="1" ht="18.75" customFormat="1" customHeight="1" s="311"/>
    <row r="16025" hidden="1" ht="18.75" customFormat="1" customHeight="1" s="311"/>
    <row r="16026" hidden="1" ht="18.75" customFormat="1" customHeight="1" s="311"/>
    <row r="16027" hidden="1" ht="18.75" customFormat="1" customHeight="1" s="311"/>
    <row r="16028" hidden="1" ht="18.75" customFormat="1" customHeight="1" s="311"/>
    <row r="16029" hidden="1" ht="18.75" customFormat="1" customHeight="1" s="311"/>
    <row r="16030" hidden="1" ht="18.75" customFormat="1" customHeight="1" s="311"/>
    <row r="16031" hidden="1" ht="18.75" customFormat="1" customHeight="1" s="311"/>
    <row r="16032" hidden="1" ht="18.75" customFormat="1" customHeight="1" s="311"/>
    <row r="16033" hidden="1" ht="18.75" customFormat="1" customHeight="1" s="311"/>
    <row r="16034" hidden="1" ht="18.75" customFormat="1" customHeight="1" s="311"/>
    <row r="16035" hidden="1" ht="18.75" customFormat="1" customHeight="1" s="311"/>
    <row r="16036" hidden="1" ht="18.75" customFormat="1" customHeight="1" s="311"/>
    <row r="16037" hidden="1" ht="18.75" customFormat="1" customHeight="1" s="311"/>
    <row r="16038" hidden="1" ht="18.75" customFormat="1" customHeight="1" s="311"/>
    <row r="16039" hidden="1" ht="18.75" customFormat="1" customHeight="1" s="311"/>
    <row r="16040" hidden="1" ht="18.75" customFormat="1" customHeight="1" s="311"/>
    <row r="16041" hidden="1" ht="18.75" customFormat="1" customHeight="1" s="311"/>
    <row r="16042" hidden="1" ht="18.75" customFormat="1" customHeight="1" s="311"/>
    <row r="16043" hidden="1" ht="18.75" customFormat="1" customHeight="1" s="311"/>
    <row r="16044" hidden="1" ht="18.75" customFormat="1" customHeight="1" s="311"/>
    <row r="16045" hidden="1" ht="18.75" customFormat="1" customHeight="1" s="311"/>
    <row r="16046" hidden="1" ht="18.75" customFormat="1" customHeight="1" s="311"/>
    <row r="16047" hidden="1" ht="18.75" customFormat="1" customHeight="1" s="311"/>
    <row r="16048" hidden="1" ht="18.75" customFormat="1" customHeight="1" s="311"/>
    <row r="16049" hidden="1" ht="18.75" customFormat="1" customHeight="1" s="311"/>
    <row r="16050" hidden="1" ht="18.75" customFormat="1" customHeight="1" s="311"/>
    <row r="16051" hidden="1" ht="18.75" customFormat="1" customHeight="1" s="311"/>
    <row r="16052" hidden="1" ht="18.75" customFormat="1" customHeight="1" s="311"/>
    <row r="16053" hidden="1" ht="18.75" customFormat="1" customHeight="1" s="311"/>
    <row r="16054" hidden="1" ht="18.75" customFormat="1" customHeight="1" s="311"/>
    <row r="16055" hidden="1" ht="18.75" customFormat="1" customHeight="1" s="311"/>
    <row r="16056" hidden="1" ht="18.75" customFormat="1" customHeight="1" s="311"/>
    <row r="16057" hidden="1" ht="18.75" customFormat="1" customHeight="1" s="311"/>
    <row r="16058" hidden="1" ht="18.75" customFormat="1" customHeight="1" s="311"/>
    <row r="16059" hidden="1" ht="18.75" customFormat="1" customHeight="1" s="311"/>
    <row r="16060" hidden="1" ht="18.75" customFormat="1" customHeight="1" s="311"/>
    <row r="16061" hidden="1" ht="18.75" customFormat="1" customHeight="1" s="311"/>
    <row r="16062" hidden="1" ht="18.75" customFormat="1" customHeight="1" s="311"/>
    <row r="16063" hidden="1" ht="18.75" customFormat="1" customHeight="1" s="311"/>
    <row r="16064" hidden="1" ht="18.75" customFormat="1" customHeight="1" s="311"/>
    <row r="16065" hidden="1" ht="18.75" customFormat="1" customHeight="1" s="311"/>
    <row r="16066" hidden="1" ht="18.75" customFormat="1" customHeight="1" s="311"/>
    <row r="16067" hidden="1" ht="18.75" customFormat="1" customHeight="1" s="311"/>
    <row r="16068" hidden="1" ht="18.75" customFormat="1" customHeight="1" s="311"/>
    <row r="16069" hidden="1" ht="18.75" customFormat="1" customHeight="1" s="311"/>
    <row r="16070" hidden="1" ht="18.75" customFormat="1" customHeight="1" s="311"/>
    <row r="16071" hidden="1" ht="18.75" customFormat="1" customHeight="1" s="311"/>
    <row r="16072" hidden="1" ht="18.75" customFormat="1" customHeight="1" s="311"/>
    <row r="16073" hidden="1" ht="18.75" customFormat="1" customHeight="1" s="311"/>
    <row r="16074" hidden="1" ht="18.75" customFormat="1" customHeight="1" s="311"/>
    <row r="16075" hidden="1" ht="18.75" customFormat="1" customHeight="1" s="311"/>
    <row r="16076" hidden="1" ht="18.75" customFormat="1" customHeight="1" s="311"/>
    <row r="16077" hidden="1" ht="18.75" customFormat="1" customHeight="1" s="311"/>
    <row r="16078" hidden="1" ht="18.75" customFormat="1" customHeight="1" s="311"/>
    <row r="16079" hidden="1" ht="18.75" customFormat="1" customHeight="1" s="311"/>
    <row r="16080" hidden="1" ht="18.75" customFormat="1" customHeight="1" s="311"/>
    <row r="16081" hidden="1" ht="18.75" customFormat="1" customHeight="1" s="311"/>
    <row r="16082" hidden="1" ht="18.75" customFormat="1" customHeight="1" s="311"/>
    <row r="16083" hidden="1" ht="18.75" customFormat="1" customHeight="1" s="311"/>
    <row r="16084" hidden="1" ht="18.75" customFormat="1" customHeight="1" s="311"/>
    <row r="16085" hidden="1" ht="18.75" customFormat="1" customHeight="1" s="311"/>
    <row r="16086" hidden="1" ht="18.75" customFormat="1" customHeight="1" s="311"/>
    <row r="16087" hidden="1" ht="18.75" customFormat="1" customHeight="1" s="311"/>
    <row r="16088" hidden="1" ht="18.75" customFormat="1" customHeight="1" s="311"/>
    <row r="16089" hidden="1" ht="18.75" customFormat="1" customHeight="1" s="311"/>
    <row r="16090" hidden="1" ht="18.75" customFormat="1" customHeight="1" s="311"/>
    <row r="16091" hidden="1" ht="18.75" customFormat="1" customHeight="1" s="311"/>
    <row r="16092" hidden="1" ht="18.75" customFormat="1" customHeight="1" s="311"/>
    <row r="16093" hidden="1" ht="18.75" customFormat="1" customHeight="1" s="311"/>
    <row r="16094" hidden="1" ht="18.75" customFormat="1" customHeight="1" s="311"/>
    <row r="16095" hidden="1" ht="18.75" customFormat="1" customHeight="1" s="311"/>
    <row r="16096" hidden="1" ht="18.75" customFormat="1" customHeight="1" s="311"/>
    <row r="16097" hidden="1" ht="18.75" customFormat="1" customHeight="1" s="311"/>
    <row r="16098" hidden="1" ht="18.75" customFormat="1" customHeight="1" s="311"/>
    <row r="16099" hidden="1" ht="18.75" customFormat="1" customHeight="1" s="311"/>
    <row r="16100" hidden="1" ht="18.75" customFormat="1" customHeight="1" s="311"/>
    <row r="16101" hidden="1" ht="18.75" customFormat="1" customHeight="1" s="311"/>
    <row r="16102" hidden="1" ht="18.75" customFormat="1" customHeight="1" s="311"/>
    <row r="16103" hidden="1" ht="18.75" customFormat="1" customHeight="1" s="311"/>
    <row r="16104" hidden="1" ht="18.75" customFormat="1" customHeight="1" s="311"/>
    <row r="16105" hidden="1" ht="18.75" customFormat="1" customHeight="1" s="311"/>
    <row r="16106" hidden="1" ht="18.75" customFormat="1" customHeight="1" s="311"/>
    <row r="16107" hidden="1" ht="18.75" customFormat="1" customHeight="1" s="311"/>
    <row r="16108" hidden="1" ht="18.75" customFormat="1" customHeight="1" s="311"/>
    <row r="16109" hidden="1" ht="18.75" customFormat="1" customHeight="1" s="311"/>
    <row r="16110" hidden="1" ht="18.75" customFormat="1" customHeight="1" s="311"/>
    <row r="16111" hidden="1" ht="18.75" customFormat="1" customHeight="1" s="311"/>
    <row r="16112" hidden="1" ht="18.75" customFormat="1" customHeight="1" s="311"/>
    <row r="16113" hidden="1" ht="18.75" customFormat="1" customHeight="1" s="311"/>
    <row r="16114" hidden="1" ht="18.75" customFormat="1" customHeight="1" s="311"/>
    <row r="16115" hidden="1" ht="18.75" customFormat="1" customHeight="1" s="311"/>
    <row r="16116" hidden="1" ht="18.75" customFormat="1" customHeight="1" s="311"/>
    <row r="16117" hidden="1" ht="18.75" customFormat="1" customHeight="1" s="311"/>
    <row r="16118" hidden="1" ht="18.75" customFormat="1" customHeight="1" s="311"/>
    <row r="16119" hidden="1" ht="18.75" customFormat="1" customHeight="1" s="311"/>
    <row r="16120" hidden="1" ht="18.75" customFormat="1" customHeight="1" s="311"/>
    <row r="16121" hidden="1" ht="18.75" customFormat="1" customHeight="1" s="311"/>
    <row r="16122" hidden="1" ht="18.75" customFormat="1" customHeight="1" s="311"/>
    <row r="16123" hidden="1" ht="18.75" customFormat="1" customHeight="1" s="311"/>
    <row r="16124" hidden="1" ht="18.75" customFormat="1" customHeight="1" s="311"/>
    <row r="16125" hidden="1" ht="18.75" customFormat="1" customHeight="1" s="311"/>
    <row r="16126" hidden="1" ht="18.75" customFormat="1" customHeight="1" s="311"/>
    <row r="16127" hidden="1" ht="18.75" customFormat="1" customHeight="1" s="311"/>
    <row r="16128" hidden="1" ht="18.75" customFormat="1" customHeight="1" s="311"/>
    <row r="16129" hidden="1" ht="18.75" customFormat="1" customHeight="1" s="311"/>
    <row r="16130" hidden="1" ht="18.75" customFormat="1" customHeight="1" s="311"/>
    <row r="16131" hidden="1" ht="18.75" customFormat="1" customHeight="1" s="311"/>
    <row r="16132" hidden="1" ht="18.75" customFormat="1" customHeight="1" s="311"/>
    <row r="16133" hidden="1" ht="18.75" customFormat="1" customHeight="1" s="311"/>
    <row r="16134" hidden="1" ht="18.75" customFormat="1" customHeight="1" s="311"/>
    <row r="16135" hidden="1" ht="18.75" customFormat="1" customHeight="1" s="311"/>
    <row r="16136" hidden="1" ht="18.75" customFormat="1" customHeight="1" s="311"/>
    <row r="16137" hidden="1" ht="18.75" customFormat="1" customHeight="1" s="311"/>
    <row r="16138" hidden="1" ht="18.75" customFormat="1" customHeight="1" s="311"/>
    <row r="16139" hidden="1" ht="18.75" customFormat="1" customHeight="1" s="311"/>
    <row r="16140" hidden="1" ht="18.75" customFormat="1" customHeight="1" s="311"/>
    <row r="16141" hidden="1" ht="18.75" customFormat="1" customHeight="1" s="311"/>
    <row r="16142" hidden="1" ht="18.75" customFormat="1" customHeight="1" s="311"/>
    <row r="16143" hidden="1" ht="18.75" customFormat="1" customHeight="1" s="311"/>
    <row r="16144" hidden="1" ht="18.75" customFormat="1" customHeight="1" s="311"/>
    <row r="16145" hidden="1" ht="18.75" customFormat="1" customHeight="1" s="311"/>
    <row r="16146" hidden="1" ht="18.75" customFormat="1" customHeight="1" s="311"/>
    <row r="16147" hidden="1" ht="18.75" customFormat="1" customHeight="1" s="311"/>
    <row r="16148" hidden="1" ht="18.75" customFormat="1" customHeight="1" s="311"/>
    <row r="16149" ht="22.5" customHeight="1" s="59"/>
    <row r="16154" customFormat="1" s="301"/>
    <row r="16155" customFormat="1" s="301"/>
    <row r="16156" customFormat="1" s="301"/>
    <row r="16157" customFormat="1" s="301"/>
    <row r="16158" customFormat="1" s="301"/>
    <row r="16159" customFormat="1" s="301"/>
    <row r="16160" customFormat="1" s="301"/>
    <row r="16161" customFormat="1" s="301"/>
    <row r="16162" customFormat="1" s="301"/>
    <row r="16163" customFormat="1" s="301"/>
    <row r="16164" customFormat="1" s="301"/>
    <row r="16165" customFormat="1" s="301"/>
    <row r="16166" customFormat="1" s="301"/>
    <row r="16167" customFormat="1" s="301"/>
    <row r="16168" customFormat="1" s="301"/>
    <row r="16169" customFormat="1" s="301"/>
    <row r="16170" customFormat="1" s="301"/>
    <row r="16171" customFormat="1" s="301"/>
    <row r="16172" customFormat="1" s="301"/>
    <row r="16173" customFormat="1" s="301"/>
    <row r="16174" customFormat="1" s="301"/>
    <row r="16175" customFormat="1" s="301"/>
    <row r="16176" customFormat="1" s="301"/>
    <row r="16177" customFormat="1" s="301"/>
    <row r="16178" customFormat="1" s="301"/>
    <row r="16179" customFormat="1" s="301"/>
    <row r="16180" customFormat="1" s="301"/>
    <row r="16181" customFormat="1" s="301"/>
    <row r="16182" customFormat="1" s="301"/>
    <row r="16183" customFormat="1" s="301"/>
    <row r="16184" customFormat="1" s="301"/>
    <row r="16185" customFormat="1" s="301"/>
    <row r="16186" customFormat="1" s="301"/>
    <row r="16187" customFormat="1" s="301"/>
    <row r="16188" customFormat="1" s="301"/>
    <row r="16189" customFormat="1" s="301"/>
    <row r="16190" customFormat="1" s="301"/>
    <row r="16191" customFormat="1" s="301"/>
    <row r="16192" customFormat="1" s="301"/>
    <row r="16193" customFormat="1" s="301"/>
    <row r="16194" customFormat="1" s="301"/>
    <row r="16195" customFormat="1" s="301"/>
    <row r="16196" customFormat="1" s="301"/>
    <row r="16197" customFormat="1" s="301"/>
    <row r="16198" customFormat="1" s="301"/>
    <row r="16199" customFormat="1" s="301"/>
    <row r="16200" customFormat="1" s="301"/>
    <row r="16201" customFormat="1" s="301"/>
    <row r="16202" customFormat="1" s="301"/>
    <row r="16203" customFormat="1" s="301"/>
    <row r="16204" customFormat="1" s="301"/>
    <row r="16205" customFormat="1" s="301"/>
    <row r="16206" customFormat="1" s="301"/>
    <row r="16207" customFormat="1" s="301"/>
    <row r="16208" customFormat="1" s="301"/>
    <row r="16209" customFormat="1" s="301"/>
    <row r="16210" customFormat="1" s="301"/>
    <row r="16211" customFormat="1" s="301"/>
    <row r="16212" customFormat="1" s="301"/>
    <row r="16213" customFormat="1" s="301"/>
    <row r="16214" customFormat="1" s="301"/>
    <row r="16215" customFormat="1" s="301"/>
    <row r="16216" customFormat="1" s="301"/>
    <row r="16217" customFormat="1" s="301"/>
    <row r="16218" customFormat="1" s="301"/>
    <row r="16219" customFormat="1" s="301"/>
    <row r="16220" customFormat="1" s="301"/>
    <row r="16221" customFormat="1" s="301"/>
    <row r="16222" customFormat="1" s="301"/>
    <row r="16223" customFormat="1" s="301"/>
    <row r="16224" customFormat="1" s="301"/>
    <row r="16225" customFormat="1" s="301"/>
    <row r="16226" customFormat="1" s="301"/>
    <row r="16227" customFormat="1" s="301"/>
    <row r="16228" customFormat="1" s="301"/>
    <row r="16229" customFormat="1" s="301"/>
    <row r="16230" customFormat="1" s="301"/>
    <row r="16231" customFormat="1" s="301"/>
    <row r="16232" customFormat="1" s="301"/>
    <row r="16233" customFormat="1" s="301"/>
    <row r="16234" customFormat="1" s="301"/>
    <row r="16235" customFormat="1" s="301"/>
    <row r="16236" customFormat="1" s="301"/>
    <row r="16237" customFormat="1" s="301"/>
    <row r="16238" customFormat="1" s="301"/>
    <row r="16239" customFormat="1" s="301"/>
    <row r="16240" customFormat="1" s="301"/>
    <row r="16241" customFormat="1" s="301"/>
    <row r="16242" customFormat="1" s="301"/>
    <row r="16243" customFormat="1" s="301"/>
    <row r="16244" customFormat="1" s="301"/>
    <row r="16245" customFormat="1" s="301"/>
    <row r="16246" customFormat="1" s="301"/>
    <row r="16247" customFormat="1" s="301"/>
    <row r="16248" customFormat="1" s="301"/>
    <row r="16249" customFormat="1" s="301"/>
    <row r="16250" customFormat="1" s="301"/>
    <row r="16251" customFormat="1" s="301"/>
    <row r="16252" customFormat="1" s="301"/>
    <row r="16253" customFormat="1" s="301"/>
    <row r="16254" customFormat="1" s="301"/>
    <row r="16255" customFormat="1" s="301"/>
    <row r="16256" customFormat="1" s="301"/>
    <row r="16257" customFormat="1" s="301"/>
    <row r="16258" customFormat="1" s="301"/>
    <row r="16259" customFormat="1" s="301"/>
    <row r="16260" customFormat="1" s="301"/>
    <row r="16261" customFormat="1" s="301"/>
    <row r="16262" customFormat="1" s="301"/>
    <row r="16263" customFormat="1" s="301"/>
    <row r="16264" customFormat="1" s="301"/>
    <row r="16265" customFormat="1" s="301"/>
    <row r="16266" customFormat="1" s="301"/>
    <row r="16267" customFormat="1" s="301"/>
    <row r="16268" customFormat="1" s="301"/>
    <row r="16269" customFormat="1" s="301"/>
    <row r="16270" customFormat="1" s="301"/>
    <row r="16271" customFormat="1" s="301"/>
    <row r="16272" customFormat="1" s="301"/>
    <row r="16273" customFormat="1" s="301"/>
    <row r="16274" customFormat="1" s="301"/>
    <row r="16275" customFormat="1" s="301"/>
    <row r="16276" customFormat="1" s="301"/>
    <row r="16277" customFormat="1" s="301"/>
    <row r="16278" customFormat="1" s="301"/>
    <row r="16279" customFormat="1" s="301"/>
    <row r="16280" customFormat="1" s="301"/>
    <row r="16281" customFormat="1" s="301"/>
    <row r="16282" customFormat="1" s="301"/>
    <row r="16283" customFormat="1" s="301"/>
    <row r="16284" customFormat="1" s="301"/>
    <row r="16285" customFormat="1" s="301"/>
    <row r="16286" customFormat="1" s="301"/>
    <row r="16287" customFormat="1" s="301"/>
    <row r="16288" customFormat="1" s="301"/>
    <row r="16289" customFormat="1" s="301"/>
    <row r="16290" customFormat="1" s="301"/>
    <row r="16291" customFormat="1" s="301"/>
    <row r="16292" customFormat="1" s="301"/>
    <row r="16293" customFormat="1" s="301"/>
    <row r="16294" customFormat="1" s="301"/>
    <row r="16295" customFormat="1" s="301"/>
    <row r="16296" customFormat="1" s="301"/>
    <row r="16297" customFormat="1" s="301"/>
    <row r="16298" customFormat="1" s="301"/>
    <row r="16299" customFormat="1" s="301"/>
    <row r="16300" customFormat="1" s="301"/>
    <row r="16301" customFormat="1" s="301"/>
    <row r="16302" customFormat="1" s="301"/>
    <row r="16303" customFormat="1" s="301"/>
    <row r="16304" customFormat="1" s="301"/>
    <row r="16305" customFormat="1" s="301"/>
    <row r="16306" customFormat="1" s="301"/>
    <row r="16307" customFormat="1" s="301"/>
    <row r="16308" customFormat="1" s="301"/>
    <row r="16309" customFormat="1" s="301"/>
    <row r="16310" customFormat="1" s="301"/>
    <row r="16311" customFormat="1" s="301"/>
    <row r="16312" customFormat="1" s="301"/>
    <row r="16313" customFormat="1" s="301"/>
    <row r="16314" customFormat="1" s="301"/>
    <row r="16315" customFormat="1" s="301"/>
    <row r="16316" customFormat="1" s="301"/>
    <row r="16317" customFormat="1" s="301"/>
    <row r="16318" customFormat="1" s="301"/>
    <row r="16319" customFormat="1" s="301"/>
    <row r="16320" customFormat="1" s="301"/>
    <row r="16321" customFormat="1" s="301"/>
    <row r="16322" customFormat="1" s="301"/>
    <row r="16323" customFormat="1" s="301"/>
    <row r="16324" customFormat="1" s="301"/>
    <row r="16325" customFormat="1" s="301"/>
    <row r="16326" customFormat="1" s="301"/>
    <row r="16327" customFormat="1" s="301"/>
    <row r="16328" customFormat="1" s="301"/>
    <row r="16329" customFormat="1" s="301"/>
    <row r="16330" customFormat="1" s="301"/>
    <row r="16331" customFormat="1" s="301"/>
    <row r="16332" customFormat="1" s="301"/>
    <row r="16333" customFormat="1" s="301"/>
    <row r="16334" customFormat="1" s="301"/>
    <row r="16335" customFormat="1" s="301"/>
    <row r="16336" customFormat="1" s="301"/>
    <row r="16337" customFormat="1" s="301"/>
    <row r="16338" customFormat="1" s="301"/>
    <row r="16339" customFormat="1" s="301"/>
    <row r="16340" customFormat="1" s="301"/>
    <row r="16341" customFormat="1" s="301"/>
    <row r="16342" customFormat="1" s="301"/>
    <row r="16343" customFormat="1" s="301"/>
    <row r="16344" customFormat="1" s="301"/>
    <row r="16345" customFormat="1" s="301"/>
    <row r="16346" customFormat="1" s="301"/>
    <row r="16347" customFormat="1" s="301"/>
    <row r="16348" customFormat="1" s="301"/>
    <row r="16349" customFormat="1" s="301"/>
    <row r="16350" customFormat="1" s="301"/>
    <row r="16351" customFormat="1" s="301"/>
    <row r="16352" customFormat="1" s="301"/>
    <row r="16353" customFormat="1" s="301"/>
    <row r="16354" customFormat="1" s="301"/>
    <row r="16355" customFormat="1" s="301"/>
    <row r="16356" customFormat="1" s="301"/>
    <row r="16357" customFormat="1" s="301"/>
    <row r="16358" customFormat="1" s="301"/>
    <row r="16359" customFormat="1" s="301"/>
    <row r="16360" customFormat="1" s="301"/>
    <row r="16361" customFormat="1" s="301"/>
    <row r="16362" customFormat="1" s="301"/>
    <row r="16363" customFormat="1" s="301"/>
    <row r="16364" customFormat="1" s="301"/>
    <row r="16365" customFormat="1" s="301"/>
    <row r="16366" customFormat="1" s="301"/>
    <row r="16367" customFormat="1" s="301"/>
    <row r="16368" customFormat="1" s="301"/>
    <row r="16369" customFormat="1" s="301"/>
    <row r="16370" customFormat="1" s="301"/>
    <row r="16371" customFormat="1" s="301"/>
    <row r="16372" customFormat="1" s="301"/>
    <row r="16373" customFormat="1" s="301"/>
    <row r="16374" customFormat="1" s="301"/>
    <row r="16375" customFormat="1" s="301"/>
    <row r="16376" customFormat="1" s="301"/>
    <row r="16377" customFormat="1" s="301"/>
    <row r="16378" customFormat="1" s="301"/>
    <row r="16379" customFormat="1" s="301"/>
    <row r="16380" customFormat="1" s="301"/>
    <row r="16381" customFormat="1" s="301"/>
    <row r="16382" customFormat="1" s="301"/>
    <row r="16383" customFormat="1" s="301"/>
    <row r="16384" customFormat="1" s="301"/>
    <row r="16385" customFormat="1" s="301"/>
    <row r="16386" customFormat="1" s="301"/>
    <row r="16387" customFormat="1" s="301"/>
    <row r="16388" customFormat="1" s="301"/>
    <row r="16389" customFormat="1" s="301"/>
    <row r="16390" customFormat="1" s="301"/>
    <row r="16391" customFormat="1" s="301"/>
    <row r="16392" customFormat="1" s="301"/>
    <row r="16393" customFormat="1" s="301"/>
    <row r="16394" customFormat="1" s="301"/>
    <row r="16395" customFormat="1" s="301"/>
    <row r="16396" customFormat="1" s="301"/>
    <row r="16397" customFormat="1" s="301"/>
    <row r="16398" customFormat="1" s="301"/>
    <row r="16399" customFormat="1" s="301"/>
    <row r="16400" customFormat="1" s="301"/>
    <row r="16401" customFormat="1" s="301"/>
    <row r="16402" customFormat="1" s="301"/>
    <row r="16403" customFormat="1" s="301"/>
    <row r="16404" customFormat="1" s="301"/>
    <row r="16405" customFormat="1" s="301"/>
    <row r="16406" customFormat="1" s="301"/>
    <row r="16407" customFormat="1" s="301"/>
    <row r="16408" customFormat="1" s="301"/>
    <row r="16409" customFormat="1" s="301"/>
    <row r="16410" customFormat="1" s="301"/>
    <row r="16411" customFormat="1" s="301"/>
    <row r="16412" customFormat="1" s="301"/>
    <row r="16413" customFormat="1" s="301"/>
    <row r="16414" customFormat="1" s="301"/>
    <row r="16415" customFormat="1" s="301"/>
    <row r="16416" customFormat="1" s="301"/>
    <row r="16417" customFormat="1" s="301"/>
    <row r="16418" customFormat="1" s="301"/>
    <row r="16419" customFormat="1" s="301"/>
    <row r="16420" customFormat="1" s="301"/>
    <row r="16421" customFormat="1" s="301"/>
    <row r="16422" customFormat="1" s="301"/>
    <row r="16423" customFormat="1" s="301"/>
    <row r="16424" customFormat="1" s="301"/>
    <row r="16425" customFormat="1" s="301"/>
    <row r="16426" customFormat="1" s="301"/>
    <row r="16427" customFormat="1" s="301"/>
    <row r="16428" customFormat="1" s="301"/>
    <row r="16429" customFormat="1" s="301"/>
    <row r="16430" customFormat="1" s="301"/>
    <row r="16431" customFormat="1" s="301"/>
    <row r="16432" customFormat="1" s="301"/>
    <row r="16433" customFormat="1" s="301"/>
    <row r="16434" customFormat="1" s="301"/>
    <row r="16435" customFormat="1" s="301"/>
    <row r="16436" customFormat="1" s="301"/>
    <row r="16437" customFormat="1" s="301"/>
    <row r="16438" customFormat="1" s="301"/>
    <row r="16439" customFormat="1" s="301"/>
    <row r="16440" customFormat="1" s="301"/>
    <row r="16441" customFormat="1" s="301"/>
    <row r="16442" customFormat="1" s="301"/>
    <row r="16443" customFormat="1" s="301"/>
    <row r="16444" customFormat="1" s="301"/>
    <row r="16445" customFormat="1" s="301"/>
    <row r="16446" customFormat="1" s="301"/>
    <row r="16447" customFormat="1" s="301"/>
    <row r="16448" customFormat="1" s="301"/>
    <row r="16449" customFormat="1" s="301"/>
    <row r="16450" customFormat="1" s="301"/>
    <row r="16451" customFormat="1" s="301"/>
    <row r="16452" customFormat="1" s="301"/>
    <row r="16453" customFormat="1" s="301"/>
    <row r="16454" customFormat="1" s="301"/>
    <row r="16455" customFormat="1" s="301"/>
    <row r="16456" customFormat="1" s="301"/>
    <row r="16457" customFormat="1" s="301"/>
    <row r="16458" customFormat="1" s="301"/>
    <row r="16459" customFormat="1" s="301"/>
    <row r="16460" customFormat="1" s="301"/>
    <row r="16461" customFormat="1" s="301"/>
    <row r="16462" customFormat="1" s="301"/>
    <row r="16463" customFormat="1" s="301"/>
    <row r="16464" customFormat="1" s="301"/>
    <row r="16465" customFormat="1" s="301"/>
    <row r="16466" customFormat="1" s="301"/>
    <row r="16467" customFormat="1" s="301"/>
    <row r="16468" customFormat="1" s="301"/>
    <row r="16469" customFormat="1" s="301"/>
    <row r="16470" customFormat="1" s="301"/>
    <row r="16471" customFormat="1" s="301"/>
    <row r="16472" customFormat="1" s="301"/>
    <row r="16473" customFormat="1" s="301"/>
    <row r="16474" customFormat="1" s="301"/>
    <row r="16475" customFormat="1" s="301"/>
    <row r="16476" customFormat="1" s="301"/>
    <row r="16477" customFormat="1" s="301"/>
    <row r="16478" customFormat="1" s="301"/>
    <row r="16479" customFormat="1" s="301"/>
    <row r="16480" customFormat="1" s="301"/>
    <row r="16481" customFormat="1" s="301"/>
    <row r="16482" customFormat="1" s="301"/>
    <row r="16483" customFormat="1" s="301"/>
    <row r="16484" customFormat="1" s="301"/>
    <row r="16485" customFormat="1" s="301"/>
    <row r="16486" customFormat="1" s="301"/>
    <row r="16487" customFormat="1" s="301"/>
    <row r="16488" customFormat="1" s="301"/>
    <row r="16489" customFormat="1" s="301"/>
    <row r="16490" customFormat="1" s="301"/>
    <row r="16491" customFormat="1" s="301"/>
    <row r="16492" customFormat="1" s="301"/>
    <row r="16493" customFormat="1" s="301"/>
    <row r="16494" customFormat="1" s="301"/>
    <row r="16495" customFormat="1" s="301"/>
    <row r="16496" customFormat="1" s="301"/>
    <row r="16497" customFormat="1" s="301"/>
    <row r="16498" customFormat="1" s="301"/>
    <row r="16499" customFormat="1" s="301"/>
    <row r="16500" customFormat="1" s="301"/>
    <row r="16501" customFormat="1" s="301"/>
    <row r="16502" customFormat="1" s="301"/>
    <row r="16503" customFormat="1" s="301"/>
    <row r="16504" customFormat="1" s="301"/>
    <row r="16505" customFormat="1" s="301"/>
    <row r="16506" customFormat="1" s="301"/>
    <row r="16507" customFormat="1" s="301"/>
    <row r="16508" customFormat="1" s="301"/>
    <row r="16509" customFormat="1" s="301"/>
    <row r="16510" customFormat="1" s="301"/>
    <row r="16511" customFormat="1" s="301"/>
    <row r="16512" customFormat="1" s="301"/>
    <row r="16513" customFormat="1" s="301"/>
    <row r="16514" customFormat="1" s="301"/>
    <row r="16515" customFormat="1" s="301"/>
    <row r="16516" customFormat="1" s="301"/>
    <row r="16517" customFormat="1" s="301"/>
    <row r="16518" customFormat="1" s="301"/>
    <row r="16519" customFormat="1" s="301"/>
    <row r="16520" customFormat="1" s="301"/>
    <row r="16521" customFormat="1" s="301"/>
    <row r="16522" customFormat="1" s="301"/>
    <row r="16523" customFormat="1" s="301"/>
    <row r="16524" customFormat="1" s="301"/>
    <row r="16525" customFormat="1" s="301"/>
    <row r="16526" customFormat="1" s="301"/>
    <row r="16527" customFormat="1" s="301"/>
    <row r="16528" customFormat="1" s="301"/>
    <row r="16529" customFormat="1" s="301"/>
    <row r="16530" customFormat="1" s="301"/>
    <row r="16531" customFormat="1" s="301"/>
    <row r="16532" customFormat="1" s="301"/>
    <row r="16533" customFormat="1" s="301"/>
    <row r="16534" customFormat="1" s="301"/>
    <row r="16535" customFormat="1" s="301"/>
    <row r="16536" customFormat="1" s="301"/>
    <row r="16537" customFormat="1" s="301"/>
    <row r="16538" customFormat="1" s="301"/>
    <row r="16539" customFormat="1" s="301"/>
    <row r="16540" customFormat="1" s="301"/>
    <row r="16541" customFormat="1" s="301"/>
    <row r="16542" customFormat="1" s="301"/>
    <row r="16543" customFormat="1" s="301"/>
    <row r="16544" customFormat="1" s="301"/>
    <row r="16545" customFormat="1" s="301"/>
    <row r="16546" customFormat="1" s="301"/>
    <row r="16547" customFormat="1" s="301"/>
    <row r="16548" customFormat="1" s="301"/>
    <row r="16549" customFormat="1" s="301"/>
    <row r="16550" customFormat="1" s="301"/>
    <row r="16551" customFormat="1" s="301"/>
    <row r="16552" customFormat="1" s="301"/>
    <row r="16553" customFormat="1" s="301"/>
    <row r="16554" customFormat="1" s="301"/>
    <row r="16555" customFormat="1" s="301"/>
    <row r="16556" customFormat="1" s="301"/>
    <row r="16557" customFormat="1" s="301"/>
    <row r="16558" customFormat="1" s="301"/>
    <row r="16559" customFormat="1" s="301"/>
    <row r="16560" customFormat="1" s="301"/>
    <row r="16561" customFormat="1" s="301"/>
    <row r="16562" customFormat="1" s="301"/>
    <row r="16563" customFormat="1" s="301"/>
    <row r="16564" customFormat="1" s="301"/>
    <row r="16565" customFormat="1" s="301"/>
    <row r="16566" customFormat="1" s="301"/>
    <row r="16567" customFormat="1" s="301"/>
    <row r="16568" customFormat="1" s="301"/>
    <row r="16569" customFormat="1" s="301"/>
    <row r="16570" customFormat="1" s="301"/>
    <row r="16571" customFormat="1" s="301"/>
    <row r="16572" customFormat="1" s="301"/>
    <row r="16573" customFormat="1" s="301"/>
    <row r="16574" customFormat="1" s="301"/>
    <row r="16575" customFormat="1" s="301"/>
    <row r="16576" customFormat="1" s="301"/>
    <row r="16577" customFormat="1" s="301"/>
    <row r="16578" customFormat="1" s="301"/>
    <row r="16579" customFormat="1" s="301"/>
    <row r="16580" customFormat="1" s="301"/>
    <row r="16581" customFormat="1" s="301"/>
    <row r="16582" customFormat="1" s="301"/>
    <row r="16583" customFormat="1" s="301"/>
    <row r="16584" customFormat="1" s="301"/>
    <row r="16585" customFormat="1" s="301"/>
    <row r="16586" customFormat="1" s="301"/>
    <row r="16587" customFormat="1" s="301"/>
    <row r="16588" customFormat="1" s="301"/>
    <row r="16589" customFormat="1" s="301"/>
    <row r="16590" customFormat="1" s="301"/>
    <row r="16591" customFormat="1" s="301"/>
    <row r="16592" customFormat="1" s="301"/>
    <row r="16593" customFormat="1" s="301"/>
    <row r="16594" customFormat="1" s="301"/>
    <row r="16595" customFormat="1" s="301"/>
    <row r="16596" customFormat="1" s="301"/>
    <row r="16597" customFormat="1" s="301"/>
    <row r="16598" customFormat="1" s="301"/>
    <row r="16599" customFormat="1" s="301"/>
    <row r="16600" customFormat="1" s="301"/>
    <row r="16601" customFormat="1" s="301"/>
    <row r="16602" customFormat="1" s="301"/>
    <row r="16603" customFormat="1" s="301"/>
    <row r="16604" customFormat="1" s="301"/>
    <row r="16605" customFormat="1" s="301"/>
    <row r="16606" customFormat="1" s="301"/>
    <row r="16607" customFormat="1" s="301"/>
    <row r="16608" customFormat="1" s="301"/>
    <row r="16609" customFormat="1" s="301"/>
    <row r="16610" customFormat="1" s="301"/>
    <row r="16611" customFormat="1" s="301"/>
    <row r="16612" customFormat="1" s="301"/>
    <row r="16613" customFormat="1" s="301"/>
    <row r="16614" customFormat="1" s="301"/>
    <row r="16615" customFormat="1" s="301"/>
    <row r="16616" customFormat="1" s="301"/>
    <row r="16617" customFormat="1" s="301"/>
    <row r="16618" customFormat="1" s="301"/>
    <row r="16619" customFormat="1" s="301"/>
    <row r="16620" customFormat="1" s="301"/>
    <row r="16621" customFormat="1" s="301"/>
    <row r="16622" customFormat="1" s="301"/>
    <row r="16623" customFormat="1" s="301"/>
    <row r="16624" customFormat="1" s="301"/>
    <row r="16625" customFormat="1" s="301"/>
    <row r="16626" customFormat="1" s="301"/>
    <row r="16627" customFormat="1" s="301"/>
    <row r="16628" customFormat="1" s="301"/>
    <row r="16629" customFormat="1" s="301"/>
    <row r="16630" customFormat="1" s="301"/>
    <row r="16631" customFormat="1" s="301"/>
    <row r="16632" customFormat="1" s="301"/>
    <row r="16633" customFormat="1" s="301"/>
    <row r="16634" customFormat="1" s="301"/>
    <row r="16635" customFormat="1" s="301"/>
    <row r="16636" customFormat="1" s="301"/>
    <row r="16637" customFormat="1" s="301"/>
    <row r="16638" customFormat="1" s="301"/>
    <row r="16639" customFormat="1" s="301"/>
    <row r="16640" customFormat="1" s="301"/>
    <row r="16641" customFormat="1" s="301"/>
    <row r="16642" customFormat="1" s="301"/>
    <row r="16643" customFormat="1" s="301"/>
    <row r="16644" customFormat="1" s="301"/>
    <row r="16645" customFormat="1" s="301"/>
    <row r="16646" customFormat="1" s="301"/>
    <row r="16647" customFormat="1" s="301"/>
    <row r="16648" customFormat="1" s="301"/>
    <row r="16649" customFormat="1" s="301"/>
    <row r="16650" customFormat="1" s="301"/>
    <row r="16651" customFormat="1" s="301"/>
    <row r="16652" customFormat="1" s="301"/>
    <row r="16653" customFormat="1" s="301"/>
    <row r="16654" customFormat="1" s="301"/>
    <row r="16655" customFormat="1" s="301"/>
    <row r="16656" customFormat="1" s="301"/>
    <row r="16657" customFormat="1" s="301"/>
    <row r="16658" customFormat="1" s="301"/>
    <row r="16659" customFormat="1" s="301"/>
    <row r="16660" customFormat="1" s="301"/>
    <row r="16661" customFormat="1" s="301"/>
    <row r="16662" customFormat="1" s="301"/>
    <row r="16663" customFormat="1" s="301"/>
    <row r="16664" customFormat="1" s="301"/>
    <row r="16665" customFormat="1" s="301"/>
    <row r="16666" customFormat="1" s="301"/>
    <row r="16667" customFormat="1" s="301"/>
    <row r="16668" customFormat="1" s="301"/>
    <row r="16669" customFormat="1" s="301"/>
    <row r="16670" customFormat="1" s="301"/>
    <row r="16671" customFormat="1" s="301"/>
    <row r="16672" customFormat="1" s="301"/>
    <row r="16673" customFormat="1" s="301"/>
    <row r="16674" customFormat="1" s="301"/>
    <row r="16675" customFormat="1" s="301"/>
    <row r="16676" customFormat="1" s="301"/>
    <row r="16677" customFormat="1" s="301"/>
    <row r="16678" customFormat="1" s="301"/>
    <row r="16679" customFormat="1" s="301"/>
    <row r="16680" customFormat="1" s="301"/>
    <row r="16681" customFormat="1" s="301"/>
    <row r="16682" customFormat="1" s="301"/>
    <row r="16683" customFormat="1" s="301"/>
    <row r="16684" customFormat="1" s="301"/>
    <row r="16685" customFormat="1" s="301"/>
    <row r="16686" customFormat="1" s="301"/>
    <row r="16687" customFormat="1" s="301"/>
    <row r="16688" customFormat="1" s="301"/>
    <row r="16689" customFormat="1" s="301"/>
    <row r="16690" customFormat="1" s="301"/>
    <row r="16691" customFormat="1" s="301"/>
    <row r="16692" customFormat="1" s="301"/>
    <row r="16693" customFormat="1" s="301"/>
    <row r="16694" customFormat="1" s="301"/>
    <row r="16695" customFormat="1" s="301"/>
    <row r="16696" customFormat="1" s="301"/>
    <row r="16697" customFormat="1" s="301"/>
    <row r="16698" customFormat="1" s="301"/>
    <row r="16699" customFormat="1" s="301"/>
    <row r="16700" customFormat="1" s="301"/>
    <row r="16701" customFormat="1" s="301"/>
    <row r="16702" customFormat="1" s="301"/>
    <row r="16703" customFormat="1" s="301"/>
    <row r="16704" customFormat="1" s="301"/>
    <row r="16705" customFormat="1" s="301"/>
    <row r="16706" customFormat="1" s="301"/>
    <row r="16707" customFormat="1" s="301"/>
    <row r="16708" customFormat="1" s="301"/>
    <row r="16709" customFormat="1" s="301"/>
    <row r="16710" customFormat="1" s="301"/>
    <row r="16711" customFormat="1" s="301"/>
    <row r="16712" customFormat="1" s="301"/>
    <row r="16713" customFormat="1" s="301"/>
    <row r="16714" customFormat="1" s="301"/>
    <row r="16715" customFormat="1" s="301"/>
    <row r="16716" customFormat="1" s="301"/>
    <row r="16717" customFormat="1" s="301"/>
    <row r="16718" customFormat="1" s="301"/>
    <row r="16719" customFormat="1" s="301"/>
    <row r="16720" customFormat="1" s="301"/>
    <row r="16721" customFormat="1" s="301"/>
    <row r="16722" customFormat="1" s="301"/>
    <row r="16723" customFormat="1" s="301"/>
    <row r="16724" customFormat="1" s="301"/>
    <row r="16725" customFormat="1" s="301"/>
    <row r="16726" customFormat="1" s="301"/>
    <row r="16727" customFormat="1" s="301"/>
    <row r="16728" customFormat="1" s="301"/>
    <row r="16729" customFormat="1" s="301"/>
    <row r="16730" customFormat="1" s="301"/>
    <row r="16731" customFormat="1" s="301"/>
    <row r="16732" customFormat="1" s="301"/>
    <row r="16733" customFormat="1" s="301"/>
    <row r="16734" customFormat="1" s="301"/>
    <row r="16735" customFormat="1" s="301"/>
    <row r="16736" customFormat="1" s="301"/>
    <row r="16737" customFormat="1" s="301"/>
    <row r="16738" customFormat="1" s="301"/>
    <row r="16739" customFormat="1" s="301"/>
    <row r="16740" customFormat="1" s="301"/>
    <row r="16741" customFormat="1" s="301"/>
    <row r="16742" customFormat="1" s="301"/>
    <row r="16743" customFormat="1" s="301"/>
    <row r="16744" customFormat="1" s="301"/>
    <row r="16745" customFormat="1" s="301"/>
    <row r="16746" customFormat="1" s="301"/>
    <row r="16747" customFormat="1" s="301"/>
    <row r="16748" customFormat="1" s="301"/>
    <row r="16749" customFormat="1" s="301"/>
    <row r="16750" customFormat="1" s="301"/>
    <row r="16751" customFormat="1" s="301"/>
    <row r="16752" customFormat="1" s="301"/>
    <row r="16753" customFormat="1" s="301"/>
    <row r="16754" customFormat="1" s="301"/>
    <row r="16755" customFormat="1" s="301"/>
    <row r="16756" customFormat="1" s="301"/>
    <row r="16757" customFormat="1" s="301"/>
    <row r="16758" customFormat="1" s="301"/>
    <row r="16759" customFormat="1" s="301"/>
    <row r="16760" customFormat="1" s="301"/>
    <row r="16761" customFormat="1" s="301"/>
    <row r="16762" customFormat="1" s="301"/>
    <row r="16763" customFormat="1" s="301"/>
    <row r="16764" customFormat="1" s="301"/>
    <row r="16765" customFormat="1" s="301"/>
    <row r="16766" customFormat="1" s="301"/>
    <row r="16767" customFormat="1" s="301"/>
    <row r="16768" customFormat="1" s="301"/>
    <row r="16769" customFormat="1" s="301"/>
    <row r="16770" customFormat="1" s="301"/>
    <row r="16771" customFormat="1" s="301"/>
    <row r="16772" customFormat="1" s="301"/>
    <row r="16773" customFormat="1" s="301"/>
    <row r="16774" customFormat="1" s="301"/>
    <row r="16775" customFormat="1" s="301"/>
    <row r="16776" customFormat="1" s="301"/>
    <row r="16777" customFormat="1" s="301"/>
    <row r="16778" customFormat="1" s="301"/>
    <row r="16779" customFormat="1" s="301"/>
    <row r="16780" customFormat="1" s="301"/>
    <row r="16781" customFormat="1" s="301"/>
    <row r="16782" customFormat="1" s="301"/>
    <row r="16783" customFormat="1" s="301"/>
    <row r="16784" customFormat="1" s="301"/>
    <row r="16785" customFormat="1" s="301"/>
    <row r="16786" customFormat="1" s="301"/>
    <row r="16787" customFormat="1" s="301"/>
    <row r="16788" customFormat="1" s="301"/>
    <row r="16789" customFormat="1" s="301"/>
    <row r="16790" customFormat="1" s="301"/>
    <row r="16791" customFormat="1" s="301"/>
    <row r="16792" customFormat="1" s="301"/>
    <row r="16793" customFormat="1" s="301"/>
    <row r="16794" customFormat="1" s="301"/>
    <row r="16795" customFormat="1" s="301"/>
    <row r="16796" customFormat="1" s="301"/>
    <row r="16797" customFormat="1" s="301"/>
    <row r="16798" customFormat="1" s="301"/>
    <row r="16799" customFormat="1" s="301"/>
    <row r="16800" customFormat="1" s="301"/>
    <row r="16801" customFormat="1" s="301"/>
    <row r="16802" customFormat="1" s="301"/>
    <row r="16803" customFormat="1" s="301"/>
    <row r="16804" customFormat="1" s="301"/>
    <row r="16805" customFormat="1" s="301"/>
    <row r="16806" customFormat="1" s="301"/>
    <row r="16807" customFormat="1" s="301"/>
    <row r="16808" customFormat="1" s="301"/>
    <row r="16809" customFormat="1" s="301"/>
    <row r="16810" customFormat="1" s="301"/>
    <row r="16811" customFormat="1" s="301"/>
    <row r="16812" customFormat="1" s="301"/>
    <row r="16813" customFormat="1" s="301"/>
    <row r="16814" customFormat="1" s="301"/>
    <row r="16815" customFormat="1" s="301"/>
    <row r="16816" customFormat="1" s="301"/>
    <row r="16817" customFormat="1" s="301"/>
    <row r="16818" customFormat="1" s="301"/>
    <row r="16819" customFormat="1" s="301"/>
    <row r="16820" customFormat="1" s="301"/>
    <row r="16821" customFormat="1" s="301"/>
    <row r="16822" customFormat="1" s="301"/>
    <row r="16823" customFormat="1" s="301"/>
    <row r="16824" customFormat="1" s="301"/>
    <row r="16825" customFormat="1" s="301"/>
    <row r="16826" customFormat="1" s="301"/>
    <row r="16827" customFormat="1" s="301"/>
    <row r="16828" customFormat="1" s="301"/>
    <row r="16829" customFormat="1" s="301"/>
    <row r="16830" customFormat="1" s="301"/>
    <row r="16831" customFormat="1" s="301"/>
    <row r="16832" customFormat="1" s="301"/>
    <row r="16833" customFormat="1" s="301"/>
    <row r="16834" customFormat="1" s="301"/>
    <row r="16835" customFormat="1" s="301"/>
    <row r="16836" customFormat="1" s="301"/>
    <row r="16837" customFormat="1" s="301"/>
    <row r="16838" customFormat="1" s="301"/>
    <row r="16839" customFormat="1" s="301"/>
    <row r="16840" customFormat="1" s="301"/>
    <row r="16841" customFormat="1" s="301"/>
    <row r="16842" customFormat="1" s="301"/>
    <row r="16843" customFormat="1" s="301"/>
    <row r="16844" customFormat="1" s="301"/>
    <row r="16845" customFormat="1" s="301"/>
    <row r="16846" customFormat="1" s="301"/>
    <row r="16847" customFormat="1" s="301"/>
    <row r="16848" customFormat="1" s="301"/>
    <row r="16849" customFormat="1" s="301"/>
    <row r="16850" customFormat="1" s="301"/>
    <row r="16851" customFormat="1" s="301"/>
    <row r="16852" customFormat="1" s="301"/>
    <row r="16853" customFormat="1" s="301"/>
    <row r="16854" customFormat="1" s="301"/>
    <row r="16855" customFormat="1" s="301"/>
    <row r="16856" customFormat="1" s="301"/>
    <row r="16857" customFormat="1" s="301"/>
    <row r="16858" customFormat="1" s="301"/>
    <row r="16859" customFormat="1" s="301"/>
    <row r="16860" customFormat="1" s="301"/>
    <row r="16861" customFormat="1" s="301"/>
    <row r="16862" customFormat="1" s="301"/>
    <row r="16863" customFormat="1" s="301"/>
    <row r="16864" customFormat="1" s="301"/>
    <row r="16865" customFormat="1" s="301"/>
    <row r="16866" customFormat="1" s="301"/>
    <row r="16867" customFormat="1" s="301"/>
    <row r="16868" customFormat="1" s="301"/>
    <row r="16869" customFormat="1" s="301"/>
    <row r="16870" customFormat="1" s="301"/>
    <row r="16871" customFormat="1" s="301"/>
    <row r="16872" customFormat="1" s="301"/>
    <row r="16873" customFormat="1" s="301"/>
    <row r="16874" customFormat="1" s="301"/>
    <row r="16875" customFormat="1" s="301"/>
    <row r="16876" customFormat="1" s="301"/>
    <row r="16877" customFormat="1" s="301"/>
    <row r="16878" customFormat="1" s="301"/>
    <row r="16879" customFormat="1" s="301"/>
    <row r="16880" customFormat="1" s="301"/>
    <row r="16881" customFormat="1" s="301"/>
    <row r="16882" customFormat="1" s="301"/>
    <row r="16883" customFormat="1" s="301"/>
    <row r="16884" customFormat="1" s="301"/>
    <row r="16885" customFormat="1" s="301"/>
    <row r="16886" customFormat="1" s="301"/>
    <row r="16887" customFormat="1" s="301"/>
    <row r="16888" customFormat="1" s="301"/>
    <row r="16889" customFormat="1" s="301"/>
    <row r="16890" customFormat="1" s="301"/>
    <row r="16891" customFormat="1" s="301"/>
    <row r="16892" customFormat="1" s="301"/>
    <row r="16893" customFormat="1" s="301"/>
    <row r="16894" customFormat="1" s="301"/>
    <row r="16895" customFormat="1" s="301"/>
    <row r="16896" customFormat="1" s="301"/>
    <row r="16897" customFormat="1" s="301"/>
    <row r="16898" customFormat="1" s="301"/>
    <row r="16899" customFormat="1" s="301"/>
    <row r="16900" customFormat="1" s="301"/>
    <row r="16901" customFormat="1" s="301"/>
    <row r="16902" customFormat="1" s="301"/>
    <row r="16903" customFormat="1" s="301"/>
    <row r="16904" customFormat="1" s="301"/>
    <row r="16905" customFormat="1" s="301"/>
    <row r="16906" customFormat="1" s="301"/>
    <row r="16907" customFormat="1" s="301"/>
    <row r="16908" customFormat="1" s="301"/>
    <row r="16909" customFormat="1" s="301"/>
    <row r="16910" customFormat="1" s="301"/>
    <row r="16911" customFormat="1" s="301"/>
    <row r="16912" customFormat="1" s="301"/>
    <row r="16913" customFormat="1" s="301"/>
    <row r="16914" customFormat="1" s="301"/>
    <row r="16915" customFormat="1" s="301"/>
    <row r="16916" customFormat="1" s="301"/>
    <row r="16917" customFormat="1" s="301"/>
    <row r="16918" customFormat="1" s="301"/>
    <row r="16919" customFormat="1" s="301"/>
    <row r="16920" customFormat="1" s="301"/>
    <row r="16921" customFormat="1" s="301"/>
    <row r="16922" customFormat="1" s="301"/>
    <row r="16923" customFormat="1" s="301"/>
    <row r="16924" customFormat="1" s="301"/>
    <row r="16925" customFormat="1" s="301"/>
    <row r="16926" customFormat="1" s="301"/>
    <row r="16927" customFormat="1" s="301"/>
    <row r="16928" customFormat="1" s="301"/>
    <row r="16929" customFormat="1" s="301"/>
    <row r="16930" customFormat="1" s="301"/>
    <row r="16931" customFormat="1" s="301"/>
    <row r="16932" customFormat="1" s="301"/>
    <row r="16933" customFormat="1" s="301"/>
    <row r="16934" customFormat="1" s="301"/>
    <row r="16935" customFormat="1" s="301"/>
    <row r="16936" customFormat="1" s="301"/>
    <row r="16937" customFormat="1" s="301"/>
    <row r="16938" customFormat="1" s="301"/>
    <row r="16939" customFormat="1" s="301"/>
    <row r="16940" customFormat="1" s="301"/>
    <row r="16941" customFormat="1" s="301"/>
    <row r="16942" customFormat="1" s="301"/>
    <row r="16943" customFormat="1" s="301"/>
    <row r="16944" customFormat="1" s="301"/>
    <row r="16945" customFormat="1" s="301"/>
    <row r="16946" customFormat="1" s="301"/>
    <row r="16947" customFormat="1" s="301"/>
    <row r="16948" customFormat="1" s="301"/>
    <row r="16949" customFormat="1" s="301"/>
    <row r="16950" customFormat="1" s="301"/>
    <row r="16951" customFormat="1" s="301"/>
    <row r="16952" customFormat="1" s="301"/>
    <row r="16953" customFormat="1" s="301"/>
    <row r="16954" customFormat="1" s="301"/>
    <row r="16955" customFormat="1" s="301"/>
    <row r="16956" customFormat="1" s="301"/>
    <row r="16957" customFormat="1" s="301"/>
    <row r="16958" customFormat="1" s="301"/>
    <row r="16959" customFormat="1" s="301"/>
    <row r="16960" customFormat="1" s="301"/>
    <row r="16961" customFormat="1" s="301"/>
    <row r="16962" customFormat="1" s="301"/>
    <row r="16963" customFormat="1" s="301"/>
    <row r="16964" customFormat="1" s="301"/>
    <row r="16965" customFormat="1" s="301"/>
    <row r="16966" customFormat="1" s="301"/>
    <row r="16967" customFormat="1" s="301"/>
    <row r="16968" customFormat="1" s="301"/>
    <row r="16969" customFormat="1" s="301"/>
    <row r="16970" customFormat="1" s="301"/>
    <row r="16971" customFormat="1" s="301"/>
    <row r="16972" customFormat="1" s="301"/>
    <row r="16973" customFormat="1" s="301"/>
    <row r="16974" customFormat="1" s="301"/>
    <row r="16975" customFormat="1" s="301"/>
    <row r="16976" customFormat="1" s="301"/>
    <row r="16977" customFormat="1" s="301"/>
    <row r="16978" customFormat="1" s="301"/>
    <row r="16979" customFormat="1" s="301"/>
    <row r="16980" customFormat="1" s="301"/>
    <row r="16981" customFormat="1" s="301"/>
    <row r="16982" customFormat="1" s="301"/>
    <row r="16983" customFormat="1" s="301"/>
    <row r="16984" customFormat="1" s="301"/>
    <row r="16985" customFormat="1" s="301"/>
    <row r="16986" customFormat="1" s="301"/>
    <row r="16987" customFormat="1" s="301"/>
    <row r="16988" customFormat="1" s="301"/>
    <row r="16989" customFormat="1" s="301"/>
    <row r="16990" customFormat="1" s="301"/>
    <row r="16991" customFormat="1" s="301"/>
    <row r="16992" customFormat="1" s="301"/>
    <row r="16993" customFormat="1" s="301"/>
    <row r="16994" customFormat="1" s="301"/>
    <row r="16995" customFormat="1" s="301"/>
    <row r="16996" customFormat="1" s="301"/>
    <row r="16997" customFormat="1" s="301"/>
    <row r="16998" customFormat="1" s="301"/>
    <row r="16999" customFormat="1" s="301"/>
    <row r="17000" customFormat="1" s="301"/>
    <row r="17001" customFormat="1" s="301"/>
    <row r="17002" customFormat="1" s="301"/>
    <row r="17003" customFormat="1" s="301"/>
    <row r="17004" customFormat="1" s="301"/>
    <row r="17005" customFormat="1" s="301"/>
    <row r="17006" customFormat="1" s="301"/>
    <row r="17007" customFormat="1" s="301"/>
    <row r="17008" customFormat="1" s="301"/>
    <row r="17009" customFormat="1" s="301"/>
    <row r="17010" customFormat="1" s="301"/>
    <row r="17011" customFormat="1" s="301"/>
    <row r="17012" customFormat="1" s="301"/>
    <row r="17013" customFormat="1" s="301"/>
    <row r="17014" customFormat="1" s="301"/>
    <row r="17015" customFormat="1" s="301"/>
    <row r="17016" customFormat="1" s="301"/>
    <row r="17017" customFormat="1" s="301"/>
    <row r="17018" customFormat="1" s="301"/>
    <row r="17019" customFormat="1" s="301"/>
    <row r="17020" customFormat="1" s="301"/>
    <row r="17021" customFormat="1" s="301"/>
    <row r="17022" customFormat="1" s="301"/>
    <row r="17023" customFormat="1" s="301"/>
    <row r="17024" customFormat="1" s="301"/>
    <row r="17025" customFormat="1" s="301"/>
    <row r="17026" customFormat="1" s="301"/>
    <row r="17027" customFormat="1" s="301"/>
    <row r="17028" customFormat="1" s="301"/>
    <row r="17029" customFormat="1" s="301"/>
    <row r="17030" customFormat="1" s="301"/>
    <row r="17031" customFormat="1" s="301"/>
    <row r="17032" customFormat="1" s="301"/>
    <row r="17033" customFormat="1" s="301"/>
    <row r="17034" customFormat="1" s="301"/>
    <row r="17035" customFormat="1" s="301"/>
    <row r="17036" customFormat="1" s="301"/>
    <row r="17037" customFormat="1" s="301"/>
    <row r="17038" customFormat="1" s="301"/>
    <row r="17039" customFormat="1" s="301"/>
    <row r="17040" customFormat="1" s="301"/>
    <row r="17041" customFormat="1" s="301"/>
    <row r="17042" customFormat="1" s="301"/>
    <row r="17043" customFormat="1" s="301"/>
    <row r="17044" customFormat="1" s="301"/>
    <row r="17045" customFormat="1" s="301"/>
    <row r="17046" customFormat="1" s="301"/>
    <row r="17047" customFormat="1" s="301"/>
    <row r="17048" customFormat="1" s="301"/>
    <row r="17049" customFormat="1" s="301"/>
    <row r="17050" customFormat="1" s="301"/>
    <row r="17051" customFormat="1" s="301"/>
    <row r="17052" customFormat="1" s="301"/>
    <row r="17053" customFormat="1" s="301"/>
    <row r="17054" customFormat="1" s="301"/>
    <row r="17055" customFormat="1" s="301"/>
    <row r="17056" customFormat="1" s="301"/>
    <row r="17057" customFormat="1" s="301"/>
    <row r="17058" customFormat="1" s="301"/>
    <row r="17059" customFormat="1" s="301"/>
    <row r="17060" customFormat="1" s="301"/>
    <row r="17061" customFormat="1" s="301"/>
    <row r="17062" customFormat="1" s="301"/>
    <row r="17063" customFormat="1" s="301"/>
    <row r="17064" customFormat="1" s="301"/>
    <row r="17065" customFormat="1" s="301"/>
    <row r="17066" customFormat="1" s="301"/>
    <row r="17067" customFormat="1" s="301"/>
    <row r="17068" customFormat="1" s="301"/>
    <row r="17069" customFormat="1" s="301"/>
    <row r="17070" customFormat="1" s="301"/>
    <row r="17071" customFormat="1" s="301"/>
    <row r="17072" customFormat="1" s="301"/>
    <row r="17073" customFormat="1" s="301"/>
    <row r="17074" customFormat="1" s="301"/>
    <row r="17075" customFormat="1" s="301"/>
    <row r="17076" customFormat="1" s="301"/>
    <row r="17077" customFormat="1" s="301"/>
    <row r="17078" customFormat="1" s="301"/>
    <row r="17079" customFormat="1" s="301"/>
    <row r="17080" customFormat="1" s="301"/>
    <row r="17081" customFormat="1" s="301"/>
    <row r="17082" customFormat="1" s="301"/>
    <row r="17083" customFormat="1" s="301"/>
    <row r="17084" customFormat="1" s="301"/>
    <row r="17085" customFormat="1" s="301"/>
    <row r="17086" customFormat="1" s="301"/>
    <row r="17087" customFormat="1" s="301"/>
    <row r="17088" customFormat="1" s="301"/>
    <row r="17089" customFormat="1" s="301"/>
    <row r="17090" customFormat="1" s="301"/>
    <row r="17091" customFormat="1" s="301"/>
    <row r="17092" customFormat="1" s="301"/>
    <row r="17093" customFormat="1" s="301"/>
    <row r="17094" customFormat="1" s="301"/>
    <row r="17095" customFormat="1" s="301"/>
    <row r="17096" customFormat="1" s="301"/>
    <row r="17097" customFormat="1" s="301"/>
    <row r="17098" customFormat="1" s="301"/>
    <row r="17099" customFormat="1" s="301"/>
    <row r="17100" customFormat="1" s="301"/>
    <row r="17101" customFormat="1" s="301"/>
    <row r="17102" customFormat="1" s="301"/>
    <row r="17103" customFormat="1" s="301"/>
    <row r="17104" customFormat="1" s="301"/>
    <row r="17105" customFormat="1" s="301"/>
    <row r="17106" customFormat="1" s="301"/>
    <row r="17107" customFormat="1" s="301"/>
    <row r="17108" customFormat="1" s="301"/>
    <row r="17109" customFormat="1" s="301"/>
    <row r="17110" customFormat="1" s="301"/>
    <row r="17111" customFormat="1" s="301"/>
    <row r="17112" customFormat="1" s="301"/>
    <row r="17113" customFormat="1" s="301"/>
    <row r="17114" customFormat="1" s="301"/>
    <row r="17115" customFormat="1" s="301"/>
    <row r="17116" customFormat="1" s="301"/>
    <row r="17117" customFormat="1" s="301"/>
    <row r="17118" customFormat="1" s="301"/>
    <row r="17119" customFormat="1" s="301"/>
    <row r="17120" customFormat="1" s="301"/>
    <row r="17121" customFormat="1" s="301"/>
    <row r="17122" customFormat="1" s="301"/>
    <row r="17123" customFormat="1" s="301"/>
    <row r="17124" customFormat="1" s="301"/>
    <row r="17125" customFormat="1" s="301"/>
    <row r="17126" customFormat="1" s="301"/>
    <row r="17127" customFormat="1" s="301"/>
    <row r="17128" customFormat="1" s="301"/>
    <row r="17129" customFormat="1" s="301"/>
    <row r="17130" customFormat="1" s="301"/>
    <row r="17131" customFormat="1" s="301"/>
    <row r="17132" customFormat="1" s="301"/>
    <row r="17133" customFormat="1" s="301"/>
    <row r="17134" customFormat="1" s="301"/>
    <row r="17135" customFormat="1" s="301"/>
    <row r="17136" customFormat="1" s="301"/>
    <row r="17137" customFormat="1" s="301"/>
    <row r="17138" customFormat="1" s="301"/>
    <row r="17139" customFormat="1" s="301"/>
    <row r="17140" customFormat="1" s="301"/>
    <row r="17141" customFormat="1" s="301"/>
    <row r="17142" customFormat="1" s="301"/>
    <row r="17143" customFormat="1" s="301"/>
    <row r="17144" customFormat="1" s="301"/>
    <row r="17145" customFormat="1" s="301"/>
    <row r="17146" customFormat="1" s="301"/>
    <row r="17147" customFormat="1" s="301"/>
    <row r="17148" customFormat="1" s="301"/>
    <row r="17149" customFormat="1" s="301"/>
    <row r="17150" customFormat="1" s="301"/>
    <row r="17151" customFormat="1" s="301"/>
    <row r="17152" customFormat="1" s="301"/>
    <row r="17153" customFormat="1" s="301"/>
    <row r="17154" customFormat="1" s="301"/>
    <row r="17155" customFormat="1" s="301"/>
    <row r="17156" customFormat="1" s="301"/>
    <row r="17157" customFormat="1" s="301"/>
    <row r="17158" customFormat="1" s="301"/>
    <row r="17159" customFormat="1" s="301"/>
    <row r="17160" customFormat="1" s="301"/>
    <row r="17161" customFormat="1" s="301"/>
    <row r="17162" customFormat="1" s="301"/>
    <row r="17163" customFormat="1" s="301"/>
    <row r="17164" customFormat="1" s="301"/>
    <row r="17165" customFormat="1" s="301"/>
    <row r="17166" customFormat="1" s="301"/>
    <row r="17167" customFormat="1" s="301"/>
    <row r="17168" customFormat="1" s="301"/>
    <row r="17169" customFormat="1" s="301"/>
    <row r="17170" customFormat="1" s="301"/>
    <row r="17171" customFormat="1" s="301"/>
    <row r="17172" customFormat="1" s="301"/>
    <row r="17173" customFormat="1" s="301"/>
    <row r="17174" customFormat="1" s="301"/>
    <row r="17175" customFormat="1" s="301"/>
    <row r="17176" customFormat="1" s="301"/>
    <row r="17177" customFormat="1" s="301"/>
    <row r="17178" customFormat="1" s="301"/>
    <row r="17179" customFormat="1" s="301"/>
    <row r="17180" customFormat="1" s="301"/>
    <row r="17181" customFormat="1" s="301"/>
    <row r="17182" customFormat="1" s="301"/>
    <row r="17183" customFormat="1" s="301"/>
    <row r="17184" customFormat="1" s="301"/>
    <row r="17185" customFormat="1" s="301"/>
    <row r="17186" customFormat="1" s="301"/>
    <row r="17187" customFormat="1" s="301"/>
    <row r="17188" customFormat="1" s="301"/>
    <row r="17189" customFormat="1" s="301"/>
    <row r="17190" customFormat="1" s="301"/>
    <row r="17191" customFormat="1" s="301"/>
    <row r="17192" customFormat="1" s="301"/>
    <row r="17193" customFormat="1" s="301"/>
    <row r="17194" customFormat="1" s="301"/>
    <row r="17195" customFormat="1" s="301"/>
    <row r="17196" customFormat="1" s="301"/>
    <row r="17197" customFormat="1" s="301"/>
    <row r="17198" customFormat="1" s="301"/>
    <row r="17199" customFormat="1" s="301"/>
    <row r="17200" customFormat="1" s="301"/>
    <row r="17201" customFormat="1" s="301"/>
    <row r="17202" customFormat="1" s="301"/>
    <row r="17203" customFormat="1" s="301"/>
    <row r="17204" customFormat="1" s="301"/>
    <row r="17205" customFormat="1" s="301"/>
    <row r="17206" customFormat="1" s="301"/>
    <row r="17207" customFormat="1" s="301"/>
    <row r="17208" customFormat="1" s="301"/>
    <row r="17209" customFormat="1" s="301"/>
    <row r="17210" customFormat="1" s="301"/>
    <row r="17211" customFormat="1" s="301"/>
    <row r="17212" customFormat="1" s="301"/>
    <row r="17213" customFormat="1" s="301"/>
    <row r="17214" customFormat="1" s="301"/>
    <row r="17215" customFormat="1" s="301"/>
    <row r="17216" customFormat="1" s="301"/>
    <row r="17217" customFormat="1" s="301"/>
    <row r="17218" customFormat="1" s="301"/>
    <row r="17219" customFormat="1" s="301"/>
    <row r="17220" customFormat="1" s="301"/>
    <row r="17221" customFormat="1" s="301"/>
    <row r="17222" customFormat="1" s="301"/>
    <row r="17223" customFormat="1" s="301"/>
    <row r="17224" customFormat="1" s="301"/>
    <row r="17225" customFormat="1" s="301"/>
    <row r="17232" customFormat="1" s="313"/>
    <row r="17233" customFormat="1" s="313"/>
    <row r="17234" customFormat="1" s="313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B2:AC2"/>
  <sheetViews>
    <sheetView zoomScaleNormal="100" workbookViewId="0">
      <selection activeCell="AC40" sqref="AC40:AC7478"/>
    </sheetView>
  </sheetViews>
  <sheetFormatPr baseColWidth="8" defaultColWidth="9.140625" defaultRowHeight="15"/>
  <cols>
    <col width="14.28515625" customWidth="1" style="59" min="2" max="3"/>
    <col width="17.28515625" customWidth="1" style="59" min="4" max="4"/>
    <col width="10.140625" customWidth="1" style="59" min="6" max="6"/>
    <col width="11.85546875" customWidth="1" style="59" min="7" max="7"/>
    <col width="11.42578125" customWidth="1" style="59" min="9" max="9"/>
    <col width="11.28515625" customWidth="1" style="59" min="10" max="10"/>
    <col width="13.28515625" customWidth="1" style="59" min="11" max="11"/>
    <col width="20.140625" customWidth="1" style="59" min="12" max="12"/>
    <col width="19.28515625" customWidth="1" style="59" min="13" max="13"/>
    <col width="18.28515625" customWidth="1" style="59" min="14" max="14"/>
    <col width="19.42578125" customWidth="1" style="59" min="15" max="15"/>
    <col width="25.5703125" customWidth="1" style="59" min="16" max="16"/>
    <col width="31.28515625" customWidth="1" style="59" min="17" max="17"/>
    <col width="16.85546875" customWidth="1" style="59" min="18" max="18"/>
    <col width="25.140625" customWidth="1" style="59" min="19" max="19"/>
    <col width="28.42578125" customWidth="1" style="59" min="20" max="20"/>
    <col width="25.42578125" customWidth="1" style="59" min="21" max="21"/>
    <col width="19.28515625" customWidth="1" style="59" min="22" max="22"/>
    <col width="23.28515625" customWidth="1" style="59" min="23" max="23"/>
    <col width="17.140625" customWidth="1" style="59" min="24" max="24"/>
    <col width="22.7109375" customWidth="1" style="59" min="25" max="25"/>
    <col width="18.42578125" customWidth="1" style="59" min="26" max="26"/>
    <col width="28.28515625" customWidth="1" style="59" min="27" max="27"/>
    <col width="24.28515625" customWidth="1" style="59" min="28" max="28"/>
    <col width="16.42578125" customWidth="1" style="59" min="29" max="29"/>
    <col width="9.140625" customWidth="1" style="46" min="41" max="42"/>
    <col width="9.140625" customWidth="1" style="46" min="44" max="44"/>
    <col width="9.140625" customWidth="1" style="46" min="46" max="46"/>
    <col width="9.140625" customWidth="1" style="316" min="47" max="47"/>
    <col width="9.140625" customWidth="1" style="215" min="61" max="61"/>
    <col width="9.140625" customWidth="1" style="46" min="62" max="62"/>
    <col width="9.140625" customWidth="1" style="316" min="65" max="65"/>
  </cols>
  <sheetData>
    <row r="2">
      <c r="B2" s="276" t="inlineStr">
        <is>
          <t>Lease Num</t>
        </is>
      </c>
      <c r="C2" s="276" t="inlineStr">
        <is>
          <t>Old</t>
        </is>
      </c>
      <c r="D2" s="277" t="inlineStr">
        <is>
          <t>Location Code</t>
        </is>
      </c>
      <c r="E2" s="277" t="inlineStr">
        <is>
          <t>City</t>
        </is>
      </c>
      <c r="F2" s="277" t="inlineStr">
        <is>
          <t>County</t>
        </is>
      </c>
      <c r="G2" s="277" t="inlineStr">
        <is>
          <t>Address</t>
        </is>
      </c>
      <c r="H2" s="277" t="inlineStr">
        <is>
          <t>State</t>
        </is>
      </c>
      <c r="I2" s="277" t="inlineStr">
        <is>
          <t>ZipCode</t>
        </is>
      </c>
      <c r="J2" s="277" t="inlineStr">
        <is>
          <t>Latitude</t>
        </is>
      </c>
      <c r="K2" s="277" t="inlineStr">
        <is>
          <t>Longitude</t>
        </is>
      </c>
      <c r="L2" s="277" t="inlineStr">
        <is>
          <t>Field Office Name</t>
        </is>
      </c>
      <c r="M2" s="277" t="inlineStr">
        <is>
          <t>Cen Bus Unit Ind</t>
        </is>
      </c>
      <c r="N2" s="278" t="inlineStr">
        <is>
          <t>Lease Effective</t>
        </is>
      </c>
      <c r="O2" s="277" t="inlineStr">
        <is>
          <t>Lease Expiration</t>
        </is>
      </c>
      <c r="P2" s="277" t="inlineStr">
        <is>
          <t>Termination Right Date</t>
        </is>
      </c>
      <c r="Q2" s="277" t="inlineStr">
        <is>
          <t>Latest Action affecting Term</t>
        </is>
      </c>
      <c r="R2" s="277" t="inlineStr">
        <is>
          <t>Fully Serviced</t>
        </is>
      </c>
      <c r="S2" s="277" t="inlineStr">
        <is>
          <t>Lease Agreement RSF</t>
        </is>
      </c>
      <c r="T2" s="277" t="inlineStr">
        <is>
          <t>Lease Structured Parking</t>
        </is>
      </c>
      <c r="U2" s="277" t="inlineStr">
        <is>
          <t>Lease Surface parking</t>
        </is>
      </c>
      <c r="V2" s="277" t="inlineStr">
        <is>
          <t>Percent Building</t>
        </is>
      </c>
      <c r="W2" s="277" t="inlineStr">
        <is>
          <t>Current Annual Rent</t>
        </is>
      </c>
      <c r="X2" s="279" t="inlineStr">
        <is>
          <t>Percent Office</t>
        </is>
      </c>
      <c r="Y2" s="279" t="inlineStr">
        <is>
          <t>Percent Warehouse</t>
        </is>
      </c>
      <c r="Z2" s="279" t="inlineStr">
        <is>
          <t>Percent Special</t>
        </is>
      </c>
      <c r="AA2" s="277" t="inlineStr">
        <is>
          <t>Renewal Option Term left</t>
        </is>
      </c>
      <c r="AB2" s="277" t="inlineStr">
        <is>
          <t>Renewal Options Left</t>
        </is>
      </c>
      <c r="AC2" s="278" t="inlineStr">
        <is>
          <t>Lessor name</t>
        </is>
      </c>
    </row>
    <row r="3" hidden="1" s="59"/>
    <row r="4" hidden="1" s="59"/>
    <row r="5" hidden="1" s="59"/>
    <row r="6" hidden="1" s="59"/>
    <row r="7" hidden="1" s="59"/>
    <row r="8" hidden="1" s="59"/>
    <row r="9" hidden="1" s="59"/>
    <row r="10" hidden="1" s="59"/>
    <row r="11" hidden="1" s="59"/>
    <row r="12" hidden="1" s="59"/>
    <row r="13" hidden="1" s="59"/>
    <row r="14" hidden="1" s="59"/>
    <row r="15" hidden="1" s="59"/>
    <row r="16" hidden="1" s="59"/>
    <row r="17" hidden="1" s="59"/>
    <row r="18" hidden="1" s="59"/>
    <row r="19" hidden="1" s="59"/>
    <row r="20" hidden="1" s="59"/>
    <row r="21" hidden="1" s="59"/>
    <row r="22" hidden="1" s="59"/>
    <row r="23" hidden="1" s="59"/>
    <row r="24" hidden="1" s="59"/>
    <row r="25" hidden="1" s="59"/>
    <row r="26" hidden="1" s="59"/>
    <row r="27" hidden="1" s="59"/>
    <row r="28" hidden="1" s="59"/>
    <row r="29" hidden="1" s="59"/>
    <row r="30" hidden="1" s="59"/>
    <row r="31" hidden="1" s="59"/>
    <row r="32" hidden="1" s="59"/>
    <row r="33" hidden="1" s="59"/>
    <row r="34" hidden="1" s="59"/>
    <row r="35" hidden="1" s="59"/>
    <row r="36" hidden="1" s="59"/>
    <row r="37" hidden="1" s="59"/>
    <row r="38" hidden="1" s="59"/>
    <row r="39" hidden="1" s="59"/>
    <row r="41" hidden="1" s="59"/>
    <row r="42" hidden="1" s="59"/>
    <row r="43" hidden="1" s="59"/>
    <row r="44" hidden="1" s="59"/>
    <row r="45" hidden="1" s="59"/>
    <row r="46" hidden="1" s="59"/>
    <row r="47" hidden="1" s="59"/>
    <row r="48" hidden="1" s="59"/>
    <row r="49" hidden="1" s="59"/>
    <row r="50" hidden="1" s="59"/>
    <row r="51" hidden="1" s="59"/>
    <row r="52" hidden="1" s="59"/>
    <row r="53" hidden="1" s="59"/>
    <row r="54" hidden="1" s="59"/>
    <row r="55" hidden="1" s="59"/>
    <row r="56" hidden="1" s="59"/>
    <row r="57" hidden="1" s="59"/>
    <row r="58" hidden="1" s="59"/>
    <row r="59" hidden="1" s="59"/>
    <row r="60" hidden="1" s="59"/>
    <row r="62" hidden="1" s="59"/>
    <row r="63" hidden="1" s="59"/>
    <row r="64" hidden="1" s="59"/>
    <row r="65" hidden="1" s="59"/>
    <row r="66" hidden="1" s="59"/>
    <row r="67" hidden="1" s="59"/>
    <row r="68" hidden="1" s="59"/>
    <row r="69" hidden="1" s="59"/>
    <row r="70" hidden="1" s="59"/>
    <row r="71" hidden="1" s="59"/>
    <row r="72" hidden="1" s="59"/>
    <row r="73" hidden="1" s="59"/>
    <row r="74" hidden="1" s="59"/>
    <row r="75" hidden="1" s="59"/>
    <row r="76" hidden="1" s="59"/>
    <row r="77" hidden="1" s="59"/>
    <row r="78" hidden="1" s="59"/>
    <row r="79" hidden="1" s="59"/>
    <row r="80" hidden="1" s="59"/>
    <row r="81" hidden="1" s="59"/>
    <row r="82" hidden="1" s="59"/>
    <row r="83" hidden="1" s="59"/>
    <row r="84" hidden="1" s="59"/>
    <row r="85" hidden="1" s="59"/>
    <row r="86" hidden="1" s="59"/>
    <row r="87" hidden="1" s="59"/>
    <row r="88" hidden="1" s="59"/>
    <row r="89" hidden="1" s="59"/>
    <row r="90" hidden="1" s="59"/>
    <row r="91" hidden="1" s="59"/>
    <row r="92" hidden="1" s="59"/>
    <row r="93" hidden="1" s="59"/>
    <row r="94" hidden="1" s="59"/>
    <row r="95" hidden="1" s="59"/>
    <row r="96" hidden="1" s="59"/>
    <row r="97" hidden="1" s="59"/>
    <row r="98" hidden="1" s="59"/>
    <row r="99" hidden="1" s="59"/>
    <row r="100" hidden="1" s="59"/>
    <row r="101" hidden="1" s="59"/>
    <row r="102" hidden="1" s="59"/>
    <row r="103" hidden="1" s="59"/>
    <row r="104" hidden="1" s="59"/>
    <row r="105" hidden="1" s="59"/>
    <row r="106" hidden="1" s="59"/>
    <row r="107" hidden="1" s="59"/>
    <row r="108" hidden="1" s="59"/>
    <row r="109" hidden="1" s="59"/>
    <row r="110" hidden="1" s="59"/>
    <row r="111" hidden="1" s="59"/>
    <row r="112" hidden="1" s="59"/>
    <row r="113" hidden="1" s="59"/>
    <row r="114" hidden="1" s="59"/>
    <row r="115" hidden="1" s="59"/>
    <row r="116" hidden="1" s="59"/>
    <row r="117" hidden="1" s="59"/>
    <row r="118" hidden="1" s="59"/>
    <row r="119" hidden="1" s="59"/>
    <row r="120" hidden="1" s="59"/>
    <row r="121" hidden="1" s="59"/>
    <row r="122" hidden="1" s="59"/>
    <row r="123" hidden="1" s="59"/>
    <row r="124" hidden="1" s="59"/>
    <row r="125" hidden="1" s="59"/>
    <row r="126" hidden="1" s="59"/>
    <row r="127" hidden="1" s="59"/>
    <row r="128" hidden="1" s="59"/>
    <row r="129" hidden="1" s="59"/>
    <row r="130" hidden="1" s="59"/>
    <row r="131" hidden="1" s="59"/>
    <row r="132" hidden="1" s="59"/>
    <row r="133" hidden="1" s="59"/>
    <row r="134" hidden="1" s="59"/>
    <row r="135" hidden="1" s="59"/>
    <row r="136" hidden="1" s="59"/>
    <row r="137" hidden="1" s="59"/>
    <row r="138" hidden="1" s="59"/>
    <row r="139" hidden="1" s="59"/>
    <row r="140" hidden="1" s="59"/>
    <row r="141" hidden="1" s="59"/>
    <row r="142" hidden="1" s="59"/>
    <row r="143" hidden="1" s="59"/>
    <row r="144" hidden="1" s="59"/>
    <row r="145" hidden="1" s="59"/>
    <row r="146" hidden="1" s="59"/>
    <row r="147" hidden="1" s="59"/>
    <row r="148" hidden="1" s="59"/>
    <row r="149" hidden="1" s="59"/>
    <row r="150" hidden="1" s="59"/>
    <row r="151" hidden="1" s="59"/>
    <row r="152" hidden="1" s="59"/>
    <row r="153" hidden="1" s="59"/>
    <row r="154" hidden="1" s="59"/>
    <row r="155" hidden="1" s="59"/>
    <row r="156" hidden="1" s="59"/>
    <row r="157" hidden="1" s="59"/>
    <row r="158" hidden="1" s="59"/>
    <row r="159" hidden="1" s="59"/>
    <row r="160" hidden="1" s="59"/>
    <row r="161" hidden="1" s="59"/>
    <row r="162" hidden="1" s="59"/>
    <row r="163" hidden="1" s="59"/>
    <row r="164" hidden="1" s="59"/>
    <row r="165" hidden="1" s="59"/>
    <row r="166" hidden="1" s="59"/>
    <row r="167" hidden="1" s="59"/>
    <row r="168" hidden="1" s="59"/>
    <row r="169" hidden="1" s="59"/>
    <row r="171" hidden="1" s="59"/>
    <row r="172" hidden="1" s="59"/>
    <row r="173" hidden="1" s="59"/>
    <row r="174" hidden="1" s="59"/>
    <row r="175" hidden="1" s="59"/>
    <row r="176" hidden="1" s="59"/>
    <row r="177" hidden="1" s="59"/>
    <row r="178" hidden="1" s="59"/>
    <row r="179" hidden="1" s="59"/>
    <row r="180" hidden="1" s="59"/>
    <row r="181" hidden="1" s="59"/>
    <row r="182" hidden="1" s="59"/>
    <row r="183" hidden="1" s="59"/>
    <row r="184" hidden="1" s="59"/>
    <row r="185" hidden="1" s="59"/>
    <row r="186" hidden="1" s="59"/>
    <row r="187" hidden="1" s="59"/>
    <row r="188" hidden="1" s="59"/>
    <row r="189" hidden="1" s="59"/>
    <row r="190" hidden="1" s="59"/>
    <row r="191" hidden="1" s="59"/>
    <row r="192" hidden="1" s="59"/>
    <row r="193" hidden="1" s="59"/>
    <row r="194" hidden="1" s="59"/>
    <row r="195" hidden="1" s="59"/>
    <row r="196" hidden="1" s="59"/>
    <row r="197" hidden="1" s="59"/>
    <row r="198" hidden="1" s="59"/>
    <row r="199" hidden="1" s="59"/>
    <row r="200" hidden="1" s="59"/>
    <row r="201" hidden="1" s="59"/>
    <row r="202" hidden="1" s="59"/>
    <row r="203" hidden="1" s="59"/>
    <row r="204" hidden="1" s="59"/>
    <row r="205" hidden="1" s="59"/>
    <row r="206" hidden="1" s="59"/>
    <row r="207" hidden="1" s="59"/>
    <row r="208" hidden="1" s="59"/>
    <row r="209" hidden="1" s="59"/>
    <row r="210" hidden="1" s="59"/>
    <row r="211" hidden="1" s="59"/>
    <row r="212" hidden="1" s="59"/>
    <row r="213" hidden="1" s="59"/>
    <row r="214" hidden="1" s="59"/>
    <row r="215" hidden="1" s="59"/>
    <row r="216" hidden="1" s="59"/>
    <row r="217" hidden="1" s="59"/>
    <row r="218" hidden="1" s="59"/>
    <row r="219" hidden="1" s="59"/>
    <row r="220" hidden="1" s="59"/>
    <row r="221" hidden="1" s="59"/>
    <row r="222" hidden="1" s="59"/>
    <row r="223" hidden="1" s="59"/>
    <row r="224" hidden="1" s="59"/>
    <row r="225" hidden="1" s="59"/>
    <row r="226" hidden="1" s="59"/>
    <row r="227" hidden="1" s="59"/>
    <row r="228" hidden="1" s="59"/>
    <row r="229" hidden="1" s="59"/>
    <row r="230" hidden="1" s="59"/>
    <row r="231" hidden="1" s="59"/>
    <row r="232" hidden="1" s="59"/>
    <row r="233" hidden="1" s="59"/>
    <row r="234" hidden="1" s="59"/>
    <row r="235" hidden="1" s="59"/>
    <row r="236" hidden="1" s="59"/>
    <row r="237" hidden="1" s="59"/>
    <row r="238" hidden="1" s="59"/>
    <row r="239" hidden="1" s="59"/>
    <row r="240" hidden="1" s="59"/>
    <row r="241" hidden="1" s="59"/>
    <row r="242" hidden="1" s="59"/>
    <row r="243" hidden="1" s="59"/>
    <row r="244" hidden="1" s="59"/>
    <row r="245" hidden="1" s="59"/>
    <row r="246" hidden="1" s="59"/>
    <row r="247" hidden="1" s="59"/>
    <row r="248" hidden="1" s="59"/>
    <row r="249" hidden="1" s="59"/>
    <row r="250" hidden="1" s="59"/>
    <row r="251" hidden="1" s="59"/>
    <row r="252" hidden="1" s="59"/>
    <row r="253" hidden="1" s="59"/>
    <row r="254" hidden="1" s="59"/>
    <row r="255" hidden="1" s="59"/>
    <row r="256" hidden="1" s="59"/>
    <row r="257" hidden="1" s="59"/>
    <row r="258" hidden="1" s="59"/>
    <row r="259" hidden="1" s="59"/>
    <row r="260" hidden="1" s="59"/>
    <row r="261" hidden="1" s="59"/>
    <row r="262" hidden="1" s="59"/>
    <row r="263" hidden="1" s="59"/>
    <row r="264" hidden="1" s="59"/>
    <row r="265" hidden="1" s="59"/>
    <row r="266" hidden="1" s="59"/>
    <row r="267" hidden="1" s="59"/>
    <row r="268" hidden="1" s="59"/>
    <row r="269" hidden="1" s="59"/>
    <row r="270" hidden="1" s="59"/>
    <row r="271" hidden="1" s="59"/>
    <row r="272" hidden="1" s="59"/>
    <row r="273" hidden="1" s="59"/>
    <row r="274" hidden="1" s="59"/>
    <row r="275" hidden="1" s="59"/>
    <row r="276" hidden="1" s="59"/>
    <row r="277" hidden="1" s="59"/>
    <row r="278" hidden="1" s="59"/>
    <row r="279" hidden="1" s="59"/>
    <row r="280" hidden="1" s="59"/>
    <row r="281" hidden="1" s="59"/>
    <row r="282" hidden="1" s="59"/>
    <row r="283" hidden="1" s="59"/>
    <row r="284" hidden="1" s="59"/>
    <row r="285" hidden="1" s="59"/>
    <row r="286" hidden="1" s="59"/>
    <row r="287" hidden="1" s="59"/>
    <row r="288" hidden="1" s="59"/>
    <row r="289" hidden="1" s="59"/>
    <row r="290" hidden="1" s="59"/>
    <row r="291" hidden="1" s="59"/>
    <row r="292" hidden="1" s="59"/>
    <row r="293" hidden="1" s="59"/>
    <row r="294" hidden="1" s="59"/>
    <row r="295" hidden="1" s="59"/>
    <row r="296" hidden="1" s="59"/>
    <row r="297" hidden="1" s="59"/>
    <row r="298" hidden="1" s="59"/>
    <row r="299" hidden="1" s="59"/>
    <row r="300" hidden="1" s="59"/>
    <row r="301" hidden="1" s="59"/>
    <row r="302" hidden="1" s="59"/>
    <row r="303" hidden="1" s="59"/>
    <row r="304" hidden="1" s="59"/>
    <row r="305" hidden="1" s="59"/>
    <row r="306" hidden="1" s="59"/>
    <row r="307" hidden="1" s="59"/>
    <row r="308" hidden="1" s="59"/>
    <row r="309" hidden="1" s="59"/>
    <row r="310" hidden="1" s="59"/>
    <row r="311" hidden="1" s="59"/>
    <row r="312" hidden="1" s="59"/>
    <row r="313" hidden="1" s="59"/>
    <row r="314" hidden="1" s="59"/>
    <row r="315" hidden="1" s="59"/>
    <row r="316" hidden="1" s="59"/>
    <row r="317" hidden="1" s="59"/>
    <row r="318" hidden="1" s="59"/>
    <row r="319" hidden="1" s="59"/>
    <row r="320" hidden="1" s="59"/>
    <row r="321" hidden="1" s="59"/>
    <row r="322" hidden="1" s="59"/>
    <row r="323" hidden="1" s="59"/>
    <row r="324" hidden="1" s="59"/>
    <row r="325" hidden="1" s="59"/>
    <row r="326" hidden="1" s="59"/>
    <row r="327" hidden="1" s="59"/>
    <row r="328" hidden="1" s="59"/>
    <row r="329" hidden="1" s="59"/>
    <row r="330" hidden="1" s="59"/>
    <row r="331" hidden="1" s="59"/>
    <row r="332" hidden="1" s="59"/>
    <row r="333" hidden="1" s="59"/>
    <row r="334" hidden="1" s="59"/>
    <row r="335" hidden="1" s="59"/>
    <row r="336" hidden="1" s="59"/>
    <row r="337" hidden="1" s="59"/>
    <row r="338" hidden="1" s="59"/>
    <row r="339" hidden="1" s="59"/>
    <row r="340" hidden="1" s="59"/>
    <row r="341" hidden="1" s="59"/>
    <row r="342" hidden="1" s="59"/>
    <row r="343" hidden="1" s="59"/>
    <row r="344" hidden="1" s="59"/>
    <row r="345" hidden="1" s="59"/>
    <row r="346" hidden="1" s="59"/>
    <row r="347" hidden="1" s="59"/>
    <row r="348" hidden="1" s="59"/>
    <row r="349" hidden="1" s="59"/>
    <row r="350" hidden="1" s="59"/>
    <row r="351" hidden="1" s="59"/>
    <row r="352" hidden="1" s="59"/>
    <row r="353" hidden="1" s="59"/>
    <row r="354" hidden="1" s="59"/>
    <row r="355" hidden="1" s="59"/>
    <row r="356" hidden="1" s="59"/>
    <row r="357" hidden="1" s="59"/>
    <row r="358" hidden="1" s="59"/>
    <row r="359" hidden="1" s="59"/>
    <row r="360" hidden="1" s="59"/>
    <row r="361" hidden="1" s="59"/>
    <row r="362" hidden="1" s="59"/>
    <row r="363" hidden="1" s="59"/>
    <row r="364" hidden="1" s="59"/>
    <row r="365" hidden="1" s="59"/>
    <row r="366" hidden="1" s="59"/>
    <row r="367" hidden="1" s="59"/>
    <row r="368" hidden="1" s="59"/>
    <row r="369" hidden="1" s="59"/>
    <row r="370" hidden="1" s="59"/>
    <row r="371" hidden="1" s="59"/>
    <row r="372" hidden="1" s="59"/>
    <row r="373" hidden="1" s="59"/>
    <row r="374" hidden="1" s="59"/>
    <row r="375" hidden="1" s="59"/>
    <row r="376" hidden="1" s="59"/>
    <row r="377" hidden="1" s="59"/>
    <row r="378" hidden="1" s="59"/>
    <row r="379" hidden="1" s="59"/>
    <row r="380" hidden="1" s="59"/>
    <row r="381" hidden="1" s="59"/>
    <row r="382" hidden="1" s="59"/>
    <row r="383" hidden="1" s="59"/>
    <row r="384" hidden="1" s="59"/>
    <row r="385" hidden="1" s="59"/>
    <row r="386" hidden="1" s="59"/>
    <row r="387" hidden="1" s="59"/>
    <row r="388" hidden="1" s="59"/>
    <row r="389" hidden="1" s="59"/>
    <row r="390" hidden="1" s="59"/>
    <row r="391" hidden="1" s="59"/>
    <row r="392" hidden="1" s="59"/>
    <row r="393" hidden="1" s="59"/>
    <row r="394" hidden="1" s="59"/>
    <row r="395" hidden="1" s="59"/>
    <row r="396" hidden="1" s="59"/>
    <row r="397" hidden="1" s="59"/>
    <row r="398" hidden="1" s="59"/>
    <row r="399" hidden="1" s="59"/>
    <row r="400" hidden="1" s="59"/>
    <row r="401" hidden="1" s="59"/>
    <row r="402" hidden="1" s="59"/>
    <row r="403" hidden="1" s="59"/>
    <row r="404" hidden="1" s="59"/>
    <row r="405" hidden="1" s="59"/>
    <row r="406" hidden="1" s="59"/>
    <row r="407" hidden="1" s="59"/>
    <row r="408" hidden="1" s="59"/>
    <row r="409" hidden="1" s="59"/>
    <row r="410" hidden="1" s="59"/>
    <row r="411" hidden="1" s="59"/>
    <row r="412" hidden="1" s="59"/>
    <row r="414" hidden="1" s="59"/>
    <row r="415" hidden="1" s="59"/>
    <row r="416" hidden="1" s="59"/>
    <row r="417" hidden="1" s="59"/>
    <row r="418" hidden="1" s="59"/>
    <row r="419" hidden="1" s="59"/>
    <row r="420" hidden="1" s="59"/>
    <row r="421" hidden="1" s="59"/>
    <row r="422" hidden="1" s="59"/>
    <row r="423" hidden="1" s="59"/>
    <row r="424" hidden="1" s="59"/>
    <row r="425" hidden="1" s="59"/>
    <row r="427" hidden="1" s="59"/>
    <row r="428" hidden="1" s="59"/>
    <row r="429" hidden="1" s="59"/>
    <row r="430" hidden="1" s="59"/>
    <row r="431" hidden="1" s="59"/>
    <row r="432" hidden="1" s="59"/>
    <row r="433" hidden="1" s="59"/>
    <row r="434" hidden="1" s="59"/>
    <row r="435" hidden="1" s="59"/>
    <row r="436" hidden="1" s="59"/>
    <row r="437" hidden="1" s="59"/>
    <row r="438" hidden="1" s="59"/>
    <row r="439" hidden="1" s="59"/>
    <row r="440" hidden="1" s="59"/>
    <row r="441" hidden="1" s="59"/>
    <row r="442" hidden="1" s="59"/>
    <row r="443" hidden="1" s="59"/>
    <row r="444" hidden="1" s="59"/>
    <row r="445" hidden="1" s="59"/>
    <row r="446" hidden="1" s="59"/>
    <row r="447" hidden="1" s="59"/>
    <row r="448" hidden="1" s="59"/>
    <row r="449" hidden="1" s="59"/>
    <row r="450" hidden="1" s="59"/>
    <row r="451" hidden="1" s="59"/>
    <row r="452" hidden="1" s="59"/>
    <row r="453" hidden="1" s="59"/>
    <row r="454" hidden="1" s="59"/>
    <row r="455" hidden="1" s="59"/>
    <row r="456" hidden="1" s="59"/>
    <row r="457" hidden="1" s="59"/>
    <row r="458" hidden="1" s="59"/>
    <row r="459" hidden="1" s="59"/>
    <row r="460" hidden="1" s="59"/>
    <row r="461" hidden="1" s="59"/>
    <row r="462" hidden="1" s="59"/>
    <row r="463" hidden="1" s="59"/>
    <row r="464" hidden="1" s="59"/>
    <row r="465" hidden="1" s="59"/>
    <row r="466" hidden="1" s="59"/>
    <row r="467" hidden="1" s="59"/>
    <row r="468" hidden="1" s="59"/>
    <row r="469" hidden="1" s="59"/>
    <row r="470" hidden="1" s="59"/>
    <row r="471" hidden="1" s="59"/>
    <row r="472" hidden="1" s="59"/>
    <row r="473" hidden="1" s="59"/>
    <row r="474" hidden="1" s="59"/>
    <row r="475" hidden="1" s="59"/>
    <row r="476" hidden="1" s="59"/>
    <row r="477" hidden="1" s="59"/>
    <row r="478" hidden="1" s="59"/>
    <row r="479" hidden="1" s="59"/>
    <row r="480" hidden="1" s="59"/>
    <row r="481" hidden="1" s="59"/>
    <row r="482" hidden="1" s="59"/>
    <row r="483" hidden="1" s="59"/>
    <row r="484" hidden="1" s="59"/>
    <row r="485" hidden="1" s="59"/>
    <row r="487" hidden="1" s="59"/>
    <row r="488" hidden="1" s="59"/>
    <row r="489" hidden="1" s="59"/>
    <row r="490" hidden="1" s="59"/>
    <row r="491" hidden="1" s="59"/>
    <row r="492" hidden="1" s="59"/>
    <row r="493" hidden="1" s="59"/>
    <row r="494" hidden="1" s="59"/>
    <row r="495" hidden="1" s="59"/>
    <row r="496" hidden="1" s="59"/>
    <row r="497" hidden="1" s="59"/>
    <row r="498" hidden="1" s="59"/>
    <row r="499" hidden="1" s="59"/>
    <row r="500" hidden="1" s="59"/>
    <row r="501" hidden="1" s="59"/>
    <row r="502" hidden="1" s="59"/>
    <row r="503" hidden="1" s="59"/>
    <row r="504" hidden="1" s="59"/>
    <row r="505" hidden="1" s="59"/>
    <row r="506" hidden="1" s="59"/>
    <row r="507" hidden="1" s="59"/>
    <row r="508" hidden="1" s="59"/>
    <row r="509" hidden="1" s="59"/>
    <row r="510" hidden="1" s="59"/>
    <row r="511" hidden="1" s="59"/>
    <row r="512" hidden="1" s="59"/>
    <row r="513" hidden="1" s="59"/>
    <row r="514" hidden="1" s="59"/>
    <row r="515" hidden="1" s="59"/>
    <row r="516" hidden="1" s="59"/>
    <row r="517" hidden="1" s="59"/>
    <row r="518" hidden="1" s="59"/>
    <row r="519" hidden="1" s="59"/>
    <row r="520" hidden="1" s="59"/>
    <row r="521" hidden="1" s="59"/>
    <row r="522" hidden="1" s="59"/>
    <row r="523" hidden="1" s="59"/>
    <row r="524" hidden="1" s="59"/>
    <row r="525" hidden="1" s="59"/>
    <row r="526" hidden="1" s="59"/>
    <row r="528" hidden="1" s="59"/>
    <row r="529" hidden="1" s="59"/>
    <row r="530" hidden="1" s="59"/>
    <row r="531" hidden="1" s="59"/>
    <row r="532" hidden="1" s="59"/>
    <row r="533" hidden="1" s="59"/>
    <row r="534" hidden="1" s="59"/>
    <row r="535" hidden="1" s="59"/>
    <row r="536" hidden="1" s="59"/>
    <row r="537" hidden="1" s="59"/>
    <row r="538" hidden="1" s="59"/>
    <row r="539" hidden="1" s="59"/>
    <row r="540" hidden="1" s="59"/>
    <row r="541" hidden="1" s="59"/>
    <row r="542" hidden="1" s="59"/>
    <row r="543" hidden="1" s="59"/>
    <row r="544" hidden="1" s="59"/>
    <row r="545" hidden="1" s="59"/>
    <row r="546" hidden="1" s="59"/>
    <row r="547" hidden="1" s="59"/>
    <row r="548" hidden="1" s="59"/>
    <row r="549" hidden="1" s="59"/>
    <row r="550" hidden="1" s="59"/>
    <row r="551" hidden="1" s="59"/>
    <row r="552" hidden="1" s="59"/>
    <row r="553" hidden="1" s="59"/>
    <row r="554" hidden="1" s="59"/>
    <row r="555" hidden="1" s="59"/>
    <row r="556" hidden="1" s="59"/>
    <row r="557" hidden="1" s="59"/>
    <row r="558" hidden="1" s="59"/>
    <row r="559" hidden="1" s="59"/>
    <row r="560" hidden="1" s="59"/>
    <row r="561" hidden="1" s="59"/>
    <row r="562" hidden="1" s="59"/>
    <row r="563" hidden="1" s="59"/>
    <row r="564" hidden="1" s="59"/>
    <row r="565" hidden="1" s="59"/>
    <row r="566" hidden="1" s="59"/>
    <row r="567" hidden="1" s="59"/>
    <row r="568" hidden="1" s="59"/>
    <row r="569" hidden="1" s="59"/>
    <row r="570" hidden="1" s="59"/>
    <row r="571" hidden="1" s="59"/>
    <row r="572" hidden="1" s="59"/>
    <row r="573" hidden="1" s="59"/>
    <row r="574" hidden="1" s="59"/>
    <row r="575" hidden="1" s="59"/>
    <row r="576" hidden="1" s="59"/>
    <row r="577" hidden="1" s="59"/>
    <row r="578" hidden="1" s="59"/>
    <row r="579" hidden="1" s="59"/>
    <row r="580" hidden="1" s="59"/>
    <row r="581" hidden="1" s="59"/>
    <row r="582" hidden="1" s="59"/>
    <row r="583" hidden="1" s="59"/>
    <row r="584" hidden="1" s="59"/>
    <row r="585" hidden="1" s="59"/>
    <row r="586" hidden="1" s="59"/>
    <row r="587" hidden="1" s="59"/>
    <row r="588" hidden="1" s="59"/>
    <row r="589" hidden="1" s="59"/>
    <row r="590" hidden="1" s="59"/>
    <row r="591" hidden="1" s="59"/>
    <row r="592" hidden="1" s="59"/>
    <row r="593" hidden="1" s="59"/>
    <row r="594" hidden="1" s="59"/>
    <row r="595" hidden="1" s="59"/>
    <row r="596" hidden="1" s="59"/>
    <row r="597" hidden="1" s="59"/>
    <row r="598" hidden="1" s="59"/>
    <row r="599" hidden="1" s="59"/>
    <row r="600" hidden="1" s="59"/>
    <row r="601" hidden="1" s="59"/>
    <row r="602" hidden="1" s="59"/>
    <row r="603" hidden="1" s="59"/>
    <row r="604" hidden="1" s="59"/>
    <row r="606" hidden="1" s="59"/>
    <row r="607" hidden="1" s="59"/>
    <row r="608" hidden="1" s="59"/>
    <row r="609" hidden="1" s="59"/>
    <row r="610" hidden="1" s="59"/>
    <row r="611" hidden="1" s="59"/>
    <row r="612" hidden="1" s="59"/>
    <row r="613" hidden="1" s="59"/>
    <row r="614" hidden="1" s="59"/>
    <row r="615" hidden="1" s="59"/>
    <row r="616" hidden="1" s="59"/>
    <row r="617" hidden="1" s="59"/>
    <row r="618" hidden="1" s="59"/>
    <row r="619" hidden="1" s="59"/>
    <row r="620" hidden="1" s="59"/>
    <row r="621" hidden="1" s="59"/>
    <row r="622" hidden="1" s="59"/>
    <row r="623" hidden="1" s="59"/>
    <row r="624" hidden="1" s="59"/>
    <row r="625" hidden="1" s="59"/>
    <row r="626" hidden="1" s="59"/>
    <row r="627" hidden="1" s="59"/>
    <row r="628" hidden="1" s="59"/>
    <row r="629" hidden="1" s="59"/>
    <row r="630" hidden="1" s="59"/>
    <row r="631" hidden="1" s="59"/>
    <row r="632" hidden="1" s="59"/>
    <row r="633" hidden="1" s="59"/>
    <row r="634" hidden="1" s="59"/>
    <row r="635" hidden="1" s="59"/>
    <row r="636" hidden="1" s="59"/>
    <row r="637" hidden="1" s="59"/>
    <row r="638" hidden="1" s="59"/>
    <row r="639" hidden="1" s="59"/>
    <row r="640" hidden="1" s="59"/>
    <row r="641" hidden="1" s="59"/>
    <row r="642" hidden="1" s="59"/>
    <row r="643" hidden="1" s="59"/>
    <row r="644" hidden="1" s="59"/>
    <row r="645" hidden="1" s="59"/>
    <row r="646" hidden="1" s="59"/>
    <row r="647" hidden="1" s="59"/>
    <row r="648" hidden="1" s="59"/>
    <row r="649" hidden="1" s="59"/>
    <row r="650" hidden="1" s="59"/>
    <row r="651" hidden="1" s="59"/>
    <row r="652" hidden="1" s="59"/>
    <row r="653" hidden="1" s="59"/>
    <row r="654" hidden="1" s="59"/>
    <row r="655" hidden="1" s="59"/>
    <row r="656" hidden="1" s="59"/>
    <row r="657" hidden="1" s="59"/>
    <row r="658" hidden="1" s="59"/>
    <row r="659" hidden="1" s="59"/>
    <row r="660" hidden="1" s="59"/>
    <row r="661" hidden="1" s="59"/>
    <row r="662" hidden="1" s="59"/>
    <row r="663" hidden="1" s="59"/>
    <row r="664" hidden="1" s="59"/>
    <row r="665" hidden="1" s="59"/>
    <row r="666" hidden="1" s="59"/>
    <row r="667" hidden="1" s="59"/>
    <row r="668" hidden="1" s="59"/>
    <row r="669" hidden="1" s="59"/>
    <row r="670" hidden="1" s="59"/>
    <row r="671" hidden="1" s="59"/>
    <row r="672" hidden="1" s="59"/>
    <row r="673" hidden="1" s="59"/>
    <row r="674" hidden="1" s="59"/>
    <row r="675" hidden="1" s="59"/>
    <row r="676" hidden="1" s="59"/>
    <row r="677" hidden="1" s="59"/>
    <row r="678" hidden="1" s="59"/>
    <row r="679" hidden="1" s="59"/>
    <row r="680" hidden="1" s="59"/>
    <row r="681" hidden="1" s="59"/>
    <row r="682" hidden="1" s="59"/>
    <row r="683" hidden="1" s="59"/>
    <row r="684" hidden="1" s="59"/>
    <row r="685" hidden="1" s="59"/>
    <row r="686" hidden="1" s="59"/>
    <row r="687" hidden="1" s="59"/>
    <row r="688" hidden="1" s="59"/>
    <row r="689" hidden="1" s="59"/>
    <row r="690" hidden="1" s="59"/>
    <row r="691" hidden="1" s="59"/>
    <row r="692" hidden="1" s="59"/>
    <row r="693" hidden="1" s="59"/>
    <row r="694" hidden="1" s="59"/>
    <row r="695" hidden="1" s="59"/>
    <row r="696" hidden="1" s="59"/>
    <row r="697" hidden="1" s="59"/>
    <row r="698" hidden="1" s="59"/>
    <row r="699" hidden="1" s="59"/>
    <row r="700" hidden="1" s="59"/>
    <row r="701" hidden="1" s="59"/>
    <row r="702" hidden="1" s="59"/>
    <row r="703" hidden="1" s="59"/>
    <row r="704" hidden="1" s="59"/>
    <row r="705" hidden="1" s="59"/>
    <row r="706" hidden="1" s="59"/>
    <row r="707" hidden="1" s="59"/>
    <row r="708" hidden="1" s="59"/>
    <row r="709" hidden="1" s="59"/>
    <row r="711" hidden="1" s="59"/>
    <row r="712" hidden="1" s="59"/>
    <row r="713" hidden="1" s="59"/>
    <row r="714" hidden="1" s="59"/>
    <row r="715" hidden="1" s="59"/>
    <row r="716" hidden="1" s="59"/>
    <row r="717" hidden="1" s="59"/>
    <row r="718" hidden="1" s="59"/>
    <row r="719" hidden="1" s="59"/>
    <row r="720" hidden="1" s="59"/>
    <row r="721" hidden="1" s="59"/>
    <row r="722" hidden="1" s="59"/>
    <row r="723" hidden="1" s="59"/>
    <row r="724" hidden="1" s="59"/>
    <row r="725" hidden="1" s="59"/>
    <row r="726" hidden="1" s="59"/>
    <row r="727" hidden="1" s="59"/>
    <row r="728" hidden="1" s="59"/>
    <row r="729" hidden="1" s="59"/>
    <row r="730" hidden="1" s="59"/>
    <row r="731" hidden="1" s="59"/>
    <row r="732" hidden="1" s="59"/>
    <row r="733" hidden="1" s="59"/>
    <row r="734" hidden="1" s="59"/>
    <row r="735" hidden="1" s="59"/>
    <row r="736" hidden="1" s="59"/>
    <row r="737" hidden="1" s="59"/>
    <row r="738" hidden="1" s="59"/>
    <row r="739" hidden="1" s="59"/>
    <row r="740" hidden="1" s="59"/>
    <row r="741" hidden="1" s="59"/>
    <row r="742" hidden="1" s="59"/>
    <row r="743" hidden="1" s="59"/>
    <row r="744" hidden="1" s="59"/>
    <row r="745" hidden="1" s="59"/>
    <row r="746" hidden="1" s="59"/>
    <row r="747" hidden="1" s="59"/>
    <row r="748" hidden="1" s="59"/>
    <row r="749" hidden="1" s="59"/>
    <row r="750" hidden="1" s="59"/>
    <row r="751" hidden="1" s="59"/>
    <row r="752" hidden="1" s="59"/>
    <row r="753" hidden="1" s="59"/>
    <row r="754" hidden="1" s="59"/>
    <row r="755" hidden="1" s="59"/>
    <row r="756" hidden="1" s="59"/>
    <row r="757" hidden="1" s="59"/>
    <row r="758" hidden="1" s="59"/>
    <row r="759" hidden="1" s="59"/>
    <row r="760" hidden="1" s="59"/>
    <row r="761" hidden="1" s="59"/>
    <row r="762" hidden="1" s="59"/>
    <row r="763" hidden="1" s="59"/>
    <row r="764" hidden="1" s="59"/>
    <row r="765" hidden="1" s="59"/>
    <row r="766" hidden="1" s="59"/>
    <row r="767" hidden="1" s="59"/>
    <row r="768" hidden="1" s="59"/>
    <row r="769" hidden="1" s="59"/>
    <row r="770" hidden="1" s="59"/>
    <row r="771" hidden="1" s="59"/>
    <row r="772" hidden="1" s="59"/>
    <row r="773" hidden="1" s="59"/>
    <row r="774" hidden="1" s="59"/>
    <row r="775" hidden="1" s="59"/>
    <row r="776" hidden="1" s="59"/>
    <row r="777" hidden="1" s="59"/>
    <row r="778" hidden="1" s="59"/>
    <row r="779" hidden="1" s="59"/>
    <row r="780" hidden="1" s="59"/>
    <row r="781" hidden="1" s="59"/>
    <row r="782" hidden="1" s="59"/>
    <row r="783" hidden="1" s="59"/>
    <row r="784" hidden="1" s="59"/>
    <row r="785" hidden="1" s="59"/>
    <row r="786" hidden="1" s="59"/>
    <row r="787" hidden="1" s="59"/>
    <row r="788" hidden="1" s="59"/>
    <row r="789" hidden="1" s="59"/>
    <row r="790" hidden="1" s="59"/>
    <row r="791" hidden="1" s="59"/>
    <row r="792" hidden="1" s="59"/>
    <row r="793" hidden="1" s="59"/>
    <row r="794" hidden="1" s="59"/>
    <row r="795" hidden="1" s="59"/>
    <row r="796" hidden="1" s="59"/>
    <row r="797" hidden="1" s="59"/>
    <row r="798" hidden="1" s="59"/>
    <row r="799" hidden="1" s="59"/>
    <row r="800" hidden="1" s="59"/>
    <row r="801" hidden="1" s="59"/>
    <row r="802" hidden="1" s="59"/>
    <row r="803" hidden="1" s="59"/>
    <row r="804" hidden="1" s="59"/>
    <row r="805" hidden="1" s="59"/>
    <row r="806" hidden="1" s="59"/>
    <row r="807" hidden="1" s="59"/>
    <row r="808" hidden="1" s="59"/>
    <row r="809" hidden="1" s="59"/>
    <row r="810" hidden="1" s="59"/>
    <row r="811" hidden="1" s="59"/>
    <row r="812" hidden="1" s="59"/>
    <row r="813" hidden="1" s="59"/>
    <row r="814" hidden="1" s="59"/>
    <row r="815" hidden="1" s="59"/>
    <row r="816" hidden="1" s="59"/>
    <row r="817" hidden="1" s="59"/>
    <row r="818" hidden="1" s="59"/>
    <row r="819" hidden="1" s="59"/>
    <row r="820" hidden="1" s="59"/>
    <row r="821" hidden="1" s="59"/>
    <row r="822" hidden="1" s="59"/>
    <row r="823" hidden="1" s="59"/>
    <row r="825" hidden="1" s="59"/>
    <row r="826" hidden="1" s="59"/>
    <row r="827" hidden="1" s="59"/>
    <row r="828" hidden="1" s="59"/>
    <row r="829" hidden="1" s="59"/>
    <row r="830" hidden="1" s="59"/>
    <row r="831" hidden="1" s="59"/>
    <row r="832" hidden="1" s="59"/>
    <row r="833" hidden="1" s="59"/>
    <row r="834" hidden="1" s="59"/>
    <row r="835" hidden="1" s="59"/>
    <row r="836" hidden="1" s="59"/>
    <row r="837" hidden="1" s="59"/>
    <row r="838" hidden="1" s="59"/>
    <row r="839" hidden="1" s="59"/>
    <row r="840" hidden="1" s="59"/>
    <row r="841" hidden="1" s="59"/>
    <row r="842" hidden="1" s="59"/>
    <row r="843" hidden="1" s="59"/>
    <row r="844" hidden="1" s="59"/>
    <row r="845" hidden="1" s="59"/>
    <row r="846" hidden="1" s="59"/>
    <row r="847" hidden="1" s="59"/>
    <row r="848" hidden="1" s="59"/>
    <row r="849" hidden="1" s="59"/>
    <row r="850" hidden="1" s="59"/>
    <row r="851" hidden="1" s="59"/>
    <row r="852" hidden="1" s="59"/>
    <row r="853" hidden="1" s="59"/>
    <row r="854" hidden="1" s="59"/>
    <row r="855" hidden="1" s="59"/>
    <row r="856" hidden="1" s="59"/>
    <row r="857" hidden="1" s="59"/>
    <row r="858" hidden="1" s="59"/>
    <row r="859" hidden="1" s="59"/>
    <row r="860" hidden="1" s="59"/>
    <row r="861" hidden="1" s="59"/>
    <row r="862" hidden="1" s="59"/>
    <row r="863" hidden="1" s="59"/>
    <row r="864" hidden="1" s="59"/>
    <row r="865" hidden="1" s="59"/>
    <row r="866" hidden="1" s="59"/>
    <row r="867" hidden="1" s="59"/>
    <row r="868" hidden="1" s="59"/>
    <row r="869" hidden="1" s="59"/>
    <row r="870" hidden="1" s="59"/>
    <row r="871" hidden="1" s="59"/>
    <row r="872" hidden="1" s="59"/>
    <row r="873" hidden="1" s="59"/>
    <row r="874" hidden="1" s="59"/>
    <row r="875" hidden="1" s="59"/>
    <row r="876" hidden="1" s="59"/>
    <row r="877" hidden="1" s="59"/>
    <row r="878" hidden="1" s="59"/>
    <row r="879" hidden="1" s="59"/>
    <row r="880" hidden="1" s="59"/>
    <row r="881" hidden="1" s="59"/>
    <row r="882" hidden="1" s="59"/>
    <row r="883" hidden="1" s="59"/>
    <row r="884" hidden="1" s="59"/>
    <row r="885" hidden="1" s="59"/>
    <row r="886" hidden="1" s="59"/>
    <row r="887" hidden="1" s="59"/>
    <row r="888" hidden="1" s="59"/>
    <row r="889" hidden="1" s="59"/>
    <row r="891" hidden="1" s="59"/>
    <row r="892" hidden="1" s="59"/>
    <row r="893" hidden="1" s="59"/>
    <row r="894" hidden="1" s="59"/>
    <row r="895" hidden="1" s="59"/>
    <row r="896" hidden="1" s="59"/>
    <row r="897" hidden="1" s="59"/>
    <row r="898" hidden="1" s="59"/>
    <row r="899" hidden="1" s="59"/>
    <row r="900" hidden="1" s="59"/>
    <row r="901" hidden="1" s="59"/>
    <row r="902" hidden="1" s="59"/>
    <row r="903" hidden="1" s="59"/>
    <row r="904" hidden="1" s="59"/>
    <row r="905" hidden="1" s="59"/>
    <row r="906" hidden="1" s="59"/>
    <row r="907" hidden="1" s="59"/>
    <row r="908" hidden="1" s="59"/>
    <row r="909" hidden="1" s="59"/>
    <row r="910" hidden="1" s="59"/>
    <row r="911" hidden="1" s="59"/>
    <row r="912" hidden="1" s="59"/>
    <row r="913" hidden="1" s="59"/>
    <row r="914" hidden="1" s="59"/>
    <row r="915" hidden="1" s="59"/>
    <row r="916" hidden="1" s="59"/>
    <row r="917" hidden="1" s="59"/>
    <row r="919" hidden="1" s="59"/>
    <row r="920" hidden="1" s="59"/>
    <row r="921" hidden="1" s="59"/>
    <row r="922" hidden="1" s="59"/>
    <row r="923" hidden="1" s="59"/>
    <row r="924" hidden="1" s="59"/>
    <row r="925" hidden="1" s="59"/>
    <row r="927" hidden="1" s="59"/>
    <row r="928" hidden="1" s="59"/>
    <row r="929" hidden="1" s="59"/>
    <row r="930" hidden="1" s="59"/>
    <row r="931" hidden="1" s="59"/>
    <row r="932" hidden="1" s="59"/>
    <row r="933" hidden="1" s="59"/>
    <row r="934" hidden="1" s="59"/>
    <row r="935" hidden="1" s="59"/>
    <row r="936" hidden="1" s="59"/>
    <row r="937" hidden="1" s="59"/>
    <row r="938" hidden="1" s="59"/>
    <row r="939" hidden="1" s="59"/>
    <row r="940" hidden="1" s="59"/>
    <row r="941" hidden="1" s="59"/>
    <row r="942" hidden="1" s="59"/>
    <row r="943" hidden="1" s="59"/>
    <row r="944" hidden="1" s="59"/>
    <row r="945" hidden="1" s="59"/>
    <row r="946" hidden="1" s="59"/>
    <row r="947" hidden="1" s="59"/>
    <row r="948" hidden="1" s="59"/>
    <row r="949" hidden="1" s="59"/>
    <row r="950" hidden="1" s="59"/>
    <row r="951" hidden="1" s="59"/>
    <row r="952" hidden="1" s="59"/>
    <row r="953" hidden="1" s="59"/>
    <row r="954" hidden="1" s="59"/>
    <row r="955" hidden="1" s="59"/>
    <row r="956" hidden="1" s="59"/>
    <row r="957" hidden="1" s="59"/>
    <row r="958" hidden="1" s="59"/>
    <row r="959" hidden="1" s="59"/>
    <row r="960" hidden="1" s="59"/>
    <row r="961" hidden="1" s="59"/>
    <row r="962" hidden="1" s="59"/>
    <row r="963" hidden="1" s="59"/>
    <row r="964" hidden="1" s="59"/>
    <row r="965" hidden="1" s="59"/>
    <row r="966" hidden="1" s="59"/>
    <row r="967" hidden="1" s="59"/>
    <row r="968" hidden="1" s="59"/>
    <row r="969" hidden="1" s="59"/>
    <row r="970" hidden="1" s="59"/>
    <row r="971" hidden="1" s="59"/>
    <row r="972" hidden="1" s="59"/>
    <row r="973" hidden="1" s="59"/>
    <row r="974" hidden="1" s="59"/>
    <row r="975" hidden="1" s="59"/>
    <row r="976" hidden="1" s="59"/>
    <row r="977" hidden="1" s="59"/>
    <row r="978" hidden="1" s="59"/>
    <row r="979" hidden="1" s="59"/>
    <row r="980" hidden="1" s="59"/>
    <row r="981" hidden="1" s="59"/>
    <row r="982" hidden="1" s="59"/>
    <row r="984" hidden="1" s="59"/>
    <row r="985" hidden="1" s="59"/>
    <row r="986" hidden="1" s="59"/>
    <row r="987" hidden="1" s="59"/>
    <row r="988" hidden="1" s="59"/>
    <row r="989" hidden="1" s="59"/>
    <row r="990" hidden="1" s="59"/>
    <row r="991" hidden="1" s="59"/>
    <row r="992" hidden="1" s="59"/>
    <row r="993" hidden="1" s="59"/>
    <row r="994" hidden="1" s="59"/>
    <row r="995" hidden="1" s="59"/>
    <row r="996" hidden="1" s="59"/>
    <row r="997" hidden="1" s="59"/>
    <row r="998" hidden="1" s="59"/>
    <row r="999" hidden="1" s="59"/>
    <row r="1000" hidden="1" s="59"/>
    <row r="1001" hidden="1" s="59"/>
    <row r="1002" hidden="1" s="59"/>
    <row r="1003" hidden="1" s="59"/>
    <row r="1004" hidden="1" s="59"/>
    <row r="1005" hidden="1" s="59"/>
    <row r="1006" hidden="1" s="59"/>
    <row r="1007" hidden="1" s="59"/>
    <row r="1008" hidden="1" s="59"/>
    <row r="1009" hidden="1" s="59"/>
    <row r="1010" hidden="1" s="59"/>
    <row r="1011" hidden="1" s="59"/>
    <row r="1012" hidden="1" s="59"/>
    <row r="1013" hidden="1" s="59"/>
    <row r="1014" hidden="1" s="59"/>
    <row r="1015" hidden="1" s="59"/>
    <row r="1016" hidden="1" s="59"/>
    <row r="1017" hidden="1" s="59"/>
    <row r="1018" hidden="1" s="59"/>
    <row r="1019" hidden="1" s="59"/>
    <row r="1020" hidden="1" s="59"/>
    <row r="1021" hidden="1" s="59"/>
    <row r="1022" hidden="1" s="59"/>
    <row r="1023" hidden="1" s="59"/>
    <row r="1024" hidden="1" s="59"/>
    <row r="1025" hidden="1" s="59"/>
    <row r="1026" hidden="1" s="59"/>
    <row r="1027" hidden="1" s="59"/>
    <row r="1028" hidden="1" s="59"/>
    <row r="1029" hidden="1" s="59"/>
    <row r="1030" hidden="1" s="59"/>
    <row r="1031" hidden="1" s="59"/>
    <row r="1032" hidden="1" s="59"/>
    <row r="1033" hidden="1" s="59"/>
    <row r="1034" hidden="1" s="59"/>
    <row r="1035" hidden="1" s="59"/>
    <row r="1037" hidden="1" s="59"/>
    <row r="1038" hidden="1" s="59"/>
    <row r="1039" hidden="1" s="59"/>
    <row r="1040" hidden="1" s="59"/>
    <row r="1041" hidden="1" s="59"/>
    <row r="1042" hidden="1" s="59"/>
    <row r="1043" hidden="1" s="59"/>
    <row r="1044" hidden="1" s="59"/>
    <row r="1045" hidden="1" s="59"/>
    <row r="1046" hidden="1" s="59"/>
    <row r="1047" hidden="1" s="59"/>
    <row r="1048" hidden="1" s="59"/>
    <row r="1049" hidden="1" s="59"/>
    <row r="1050" hidden="1" s="59"/>
    <row r="1051" hidden="1" s="59"/>
    <row r="1052" hidden="1" s="59"/>
    <row r="1053" hidden="1" s="59"/>
    <row r="1054" hidden="1" s="59"/>
    <row r="1055" hidden="1" s="59"/>
    <row r="1056" hidden="1" s="59"/>
    <row r="1057" hidden="1" s="59"/>
    <row r="1058" hidden="1" s="59"/>
    <row r="1059" hidden="1" s="59"/>
    <row r="1060" hidden="1" s="59"/>
    <row r="1061" hidden="1" s="59"/>
    <row r="1062" hidden="1" s="59"/>
    <row r="1063" hidden="1" s="59"/>
    <row r="1064" hidden="1" s="59"/>
    <row r="1065" hidden="1" s="59"/>
    <row r="1066" hidden="1" s="59"/>
    <row r="1067" hidden="1" s="59"/>
    <row r="1068" hidden="1" s="59"/>
    <row r="1069" hidden="1" s="59"/>
    <row r="1070" hidden="1" s="59"/>
    <row r="1071" hidden="1" s="59"/>
    <row r="1072" hidden="1" s="59"/>
    <row r="1073" hidden="1" s="59"/>
    <row r="1074" hidden="1" s="59"/>
    <row r="1075" hidden="1" s="59"/>
    <row r="1076" hidden="1" s="59"/>
    <row r="1077" hidden="1" s="59"/>
    <row r="1078" hidden="1" s="59"/>
    <row r="1079" hidden="1" s="59"/>
    <row r="1080" hidden="1" s="59"/>
    <row r="1081" hidden="1" s="59"/>
    <row r="1082" hidden="1" s="59"/>
    <row r="1083" hidden="1" s="59"/>
    <row r="1084" hidden="1" s="59"/>
    <row r="1085" hidden="1" s="59"/>
    <row r="1086" hidden="1" s="59"/>
    <row r="1087" hidden="1" s="59"/>
    <row r="1088" hidden="1" s="59"/>
    <row r="1089" hidden="1" s="59"/>
    <row r="1090" hidden="1" s="59"/>
    <row r="1091" hidden="1" s="59"/>
    <row r="1092" hidden="1" s="59"/>
    <row r="1093" hidden="1" s="59"/>
    <row r="1094" hidden="1" s="59"/>
    <row r="1095" hidden="1" s="59"/>
    <row r="1096" hidden="1" s="59"/>
    <row r="1097" hidden="1" s="59"/>
    <row r="1098" hidden="1" s="59"/>
    <row r="1099" hidden="1" s="59"/>
    <row r="1100" hidden="1" s="59"/>
    <row r="1101" hidden="1" s="59"/>
    <row r="1102" hidden="1" s="59"/>
    <row r="1103" hidden="1" s="59"/>
    <row r="1104" hidden="1" s="59"/>
    <row r="1105" hidden="1" s="59"/>
    <row r="1106" hidden="1" s="59"/>
    <row r="1107" hidden="1" s="59"/>
    <row r="1108" hidden="1" s="59"/>
    <row r="1109" hidden="1" s="59"/>
    <row r="1110" hidden="1" s="59"/>
    <row r="1111" hidden="1" s="59"/>
    <row r="1112" hidden="1" s="59"/>
    <row r="1113" hidden="1" s="59"/>
    <row r="1114" hidden="1" s="59"/>
    <row r="1115" hidden="1" s="59"/>
    <row r="1116" hidden="1" s="59"/>
    <row r="1117" hidden="1" s="59"/>
    <row r="1118" hidden="1" s="59"/>
    <row r="1119" hidden="1" s="59"/>
    <row r="1120" hidden="1" s="59"/>
    <row r="1121" hidden="1" s="59"/>
    <row r="1122" hidden="1" s="59"/>
    <row r="1123" hidden="1" s="59"/>
    <row r="1124" hidden="1" s="59"/>
    <row r="1125" hidden="1" s="59"/>
    <row r="1126" hidden="1" s="59"/>
    <row r="1127" hidden="1" s="59"/>
    <row r="1128" hidden="1" s="59"/>
    <row r="1129" hidden="1" s="59"/>
    <row r="1130" hidden="1" s="59"/>
    <row r="1131" hidden="1" s="59"/>
    <row r="1132" hidden="1" s="59"/>
    <row r="1133" hidden="1" s="59"/>
    <row r="1134" hidden="1" s="59"/>
    <row r="1135" hidden="1" s="59"/>
    <row r="1136" hidden="1" s="59"/>
    <row r="1137" hidden="1" s="59"/>
    <row r="1138" hidden="1" s="59"/>
    <row r="1139" hidden="1" s="59"/>
    <row r="1140" hidden="1" s="59"/>
    <row r="1141" hidden="1" s="59"/>
    <row r="1142" hidden="1" s="59"/>
    <row r="1143" hidden="1" s="59"/>
    <row r="1144" hidden="1" s="59"/>
    <row r="1145" hidden="1" s="59"/>
    <row r="1146" hidden="1" s="59"/>
    <row r="1147" hidden="1" s="59"/>
    <row r="1148" hidden="1" s="59"/>
    <row r="1149" hidden="1" s="59"/>
    <row r="1150" hidden="1" s="59"/>
    <row r="1151" hidden="1" s="59"/>
    <row r="1152" hidden="1" s="59"/>
    <row r="1153" hidden="1" s="59"/>
    <row r="1154" hidden="1" s="59"/>
    <row r="1155" hidden="1" s="59"/>
    <row r="1156" hidden="1" s="59"/>
    <row r="1157" hidden="1" s="59"/>
    <row r="1158" hidden="1" s="59"/>
    <row r="1159" hidden="1" s="59"/>
    <row r="1160" hidden="1" s="59"/>
    <row r="1161" hidden="1" s="59"/>
    <row r="1162" hidden="1" s="59"/>
    <row r="1163" hidden="1" s="59"/>
    <row r="1164" hidden="1" s="59"/>
    <row r="1165" hidden="1" s="59"/>
    <row r="1166" hidden="1" s="59"/>
    <row r="1167" hidden="1" s="59"/>
    <row r="1168" hidden="1" s="59"/>
    <row r="1169" hidden="1" s="59"/>
    <row r="1170" hidden="1" s="59"/>
    <row r="1171" hidden="1" s="59"/>
    <row r="1172" hidden="1" s="59"/>
    <row r="1173" hidden="1" s="59"/>
    <row r="1174" hidden="1" s="59"/>
    <row r="1175" hidden="1" s="59"/>
    <row r="1176" hidden="1" s="59"/>
    <row r="1177" hidden="1" s="59"/>
    <row r="1178" hidden="1" s="59"/>
    <row r="1179" hidden="1" s="59"/>
    <row r="1180" hidden="1" s="59"/>
    <row r="1181" hidden="1" s="59"/>
    <row r="1182" hidden="1" s="59"/>
    <row r="1183" hidden="1" s="59"/>
    <row r="1184" hidden="1" s="59"/>
    <row r="1185" hidden="1" s="59"/>
    <row r="1186" hidden="1" s="59"/>
    <row r="1187" hidden="1" s="59"/>
    <row r="1188" hidden="1" s="59"/>
    <row r="1189" hidden="1" s="59"/>
    <row r="1190" hidden="1" s="59"/>
    <row r="1191" hidden="1" s="59"/>
    <row r="1192" hidden="1" s="59"/>
    <row r="1193" hidden="1" s="59"/>
    <row r="1194" hidden="1" s="59"/>
    <row r="1195" hidden="1" s="59"/>
    <row r="1196" hidden="1" s="59"/>
    <row r="1197" hidden="1" s="59"/>
    <row r="1198" hidden="1" s="59"/>
    <row r="1199" hidden="1" s="59"/>
    <row r="1200" hidden="1" s="59"/>
    <row r="1201" hidden="1" s="59"/>
    <row r="1202" hidden="1" s="59"/>
    <row r="1203" hidden="1" s="59"/>
    <row r="1204" hidden="1" s="59"/>
    <row r="1205" hidden="1" s="59"/>
    <row r="1206" hidden="1" s="59"/>
    <row r="1207" hidden="1" s="59"/>
    <row r="1208" hidden="1" s="59"/>
    <row r="1209" hidden="1" s="59"/>
    <row r="1210" hidden="1" s="59"/>
    <row r="1211" hidden="1" s="59"/>
    <row r="1212" hidden="1" s="59"/>
    <row r="1213" hidden="1" s="59"/>
    <row r="1214" hidden="1" s="59"/>
    <row r="1215" hidden="1" s="59"/>
    <row r="1216" hidden="1" s="59"/>
    <row r="1217" hidden="1" s="59"/>
    <row r="1218" hidden="1" s="59"/>
    <row r="1219" hidden="1" s="59"/>
    <row r="1220" hidden="1" s="59"/>
    <row r="1221" hidden="1" s="59"/>
    <row r="1222" hidden="1" s="59"/>
    <row r="1223" hidden="1" s="59"/>
    <row r="1224" hidden="1" s="59"/>
    <row r="1225" hidden="1" s="59"/>
    <row r="1226" hidden="1" s="59"/>
    <row r="1227" hidden="1" s="59"/>
    <row r="1228" hidden="1" s="59"/>
    <row r="1229" hidden="1" s="59"/>
    <row r="1230" hidden="1" s="59"/>
    <row r="1231" hidden="1" s="59"/>
    <row r="1232" hidden="1" s="59"/>
    <row r="1233" hidden="1" s="59"/>
    <row r="1235" hidden="1" s="59"/>
    <row r="1236" hidden="1" s="59"/>
    <row r="1237" hidden="1" s="59"/>
    <row r="1238" hidden="1" s="59"/>
    <row r="1239" hidden="1" s="59"/>
    <row r="1240" hidden="1" s="59"/>
    <row r="1241" hidden="1" s="59"/>
    <row r="1242" hidden="1" s="59"/>
    <row r="1243" hidden="1" s="59"/>
    <row r="1244" hidden="1" s="59"/>
    <row r="1245" hidden="1" s="59"/>
    <row r="1246" hidden="1" s="59"/>
    <row r="1247" hidden="1" s="59"/>
    <row r="1248" hidden="1" s="59"/>
    <row r="1249" hidden="1" s="59"/>
    <row r="1250" hidden="1" s="59"/>
    <row r="1251" hidden="1" s="59"/>
    <row r="1252" hidden="1" s="59"/>
    <row r="1253" hidden="1" s="59"/>
    <row r="1254" hidden="1" s="59"/>
    <row r="1255" hidden="1" s="59"/>
    <row r="1256" hidden="1" s="59"/>
    <row r="1257" hidden="1" s="59"/>
    <row r="1258" hidden="1" s="59"/>
    <row r="1259" hidden="1" s="59"/>
    <row r="1260" hidden="1" s="59"/>
    <row r="1261" hidden="1" s="59"/>
    <row r="1262" hidden="1" s="59"/>
    <row r="1263" hidden="1" s="59"/>
    <row r="1264" hidden="1" s="59"/>
    <row r="1265" hidden="1" s="59"/>
    <row r="1266" hidden="1" s="59"/>
    <row r="1267" hidden="1" s="59"/>
    <row r="1268" hidden="1" s="59"/>
    <row r="1269" hidden="1" s="59"/>
    <row r="1270" hidden="1" s="59"/>
    <row r="1271" hidden="1" s="59"/>
    <row r="1272" hidden="1" s="59"/>
    <row r="1273" hidden="1" s="59"/>
    <row r="1274" hidden="1" s="59"/>
    <row r="1275" hidden="1" s="59"/>
    <row r="1276" hidden="1" s="59"/>
    <row r="1277" hidden="1" s="59"/>
    <row r="1278" hidden="1" s="59"/>
    <row r="1279" hidden="1" s="59"/>
    <row r="1280" hidden="1" s="59"/>
    <row r="1281" hidden="1" s="59"/>
    <row r="1282" hidden="1" s="59"/>
    <row r="1283" hidden="1" s="59"/>
    <row r="1284" hidden="1" s="59"/>
    <row r="1285" hidden="1" s="59"/>
    <row r="1286" hidden="1" s="59"/>
    <row r="1287" hidden="1" s="59"/>
    <row r="1288" hidden="1" s="59"/>
    <row r="1289" hidden="1" s="59"/>
    <row r="1291" hidden="1" s="59"/>
    <row r="1292" hidden="1" s="59"/>
    <row r="1293" hidden="1" s="59"/>
    <row r="1294" hidden="1" s="59"/>
    <row r="1295" hidden="1" s="59"/>
    <row r="1296" hidden="1" s="59"/>
    <row r="1297" hidden="1" s="59"/>
    <row r="1298" hidden="1" s="59"/>
    <row r="1299" hidden="1" s="59"/>
    <row r="1300" hidden="1" s="59"/>
    <row r="1301" hidden="1" s="59"/>
    <row r="1302" hidden="1" s="59"/>
    <row r="1303" hidden="1" s="59"/>
    <row r="1304" hidden="1" s="59"/>
    <row r="1305" hidden="1" s="59"/>
    <row r="1306" hidden="1" s="59"/>
    <row r="1307" hidden="1" s="59"/>
    <row r="1308" hidden="1" s="59"/>
    <row r="1309" hidden="1" s="59"/>
    <row r="1310" hidden="1" s="59"/>
    <row r="1311" hidden="1" s="59"/>
    <row r="1312" hidden="1" s="59"/>
    <row r="1313" hidden="1" s="59"/>
    <row r="1314" hidden="1" s="59"/>
    <row r="1315" hidden="1" s="59"/>
    <row r="1316" hidden="1" s="59"/>
    <row r="1317" hidden="1" s="59"/>
    <row r="1318" hidden="1" s="59"/>
    <row r="1319" hidden="1" s="59"/>
    <row r="1320" hidden="1" s="59"/>
    <row r="1321" hidden="1" s="59"/>
    <row r="1322" hidden="1" s="59"/>
    <row r="1323" hidden="1" s="59"/>
    <row r="1324" hidden="1" s="59"/>
    <row r="1325" hidden="1" s="59"/>
    <row r="1326" hidden="1" s="59"/>
    <row r="1327" hidden="1" s="59"/>
    <row r="1329" hidden="1" s="59"/>
    <row r="1330" hidden="1" s="59"/>
    <row r="1331" hidden="1" s="59"/>
    <row r="1332" hidden="1" s="59"/>
    <row r="1333" hidden="1" s="59"/>
    <row r="1334" hidden="1" s="59"/>
    <row r="1335" hidden="1" s="59"/>
    <row r="1336" hidden="1" s="59"/>
    <row r="1337" hidden="1" s="59"/>
    <row r="1338" hidden="1" s="59"/>
    <row r="1339" hidden="1" s="59"/>
    <row r="1341" hidden="1" s="59"/>
    <row r="1342" hidden="1" s="59"/>
    <row r="1343" hidden="1" s="59"/>
    <row r="1344" hidden="1" s="59"/>
    <row r="1345" hidden="1" s="59"/>
    <row r="1346" hidden="1" s="59"/>
    <row r="1348" hidden="1" s="59"/>
    <row r="1349" hidden="1" s="59"/>
    <row r="1350" hidden="1" s="59"/>
    <row r="1351" hidden="1" s="59"/>
    <row r="1352" hidden="1" s="59"/>
    <row r="1353" hidden="1" s="59"/>
    <row r="1354" hidden="1" s="59"/>
    <row r="1355" hidden="1" s="59"/>
    <row r="1356" hidden="1" s="59"/>
    <row r="1357" hidden="1" s="59"/>
    <row r="1358" hidden="1" s="59"/>
    <row r="1359" hidden="1" s="59"/>
    <row r="1360" hidden="1" s="59"/>
    <row r="1361" hidden="1" s="59"/>
    <row r="1362" hidden="1" s="59"/>
    <row r="1363" hidden="1" s="59"/>
    <row r="1364" hidden="1" s="59"/>
    <row r="1365" hidden="1" s="59"/>
    <row r="1366" hidden="1" s="59"/>
    <row r="1367" hidden="1" s="59"/>
    <row r="1368" hidden="1" s="59"/>
    <row r="1369" hidden="1" s="59"/>
    <row r="1370" hidden="1" s="59"/>
    <row r="1371" hidden="1" s="59"/>
    <row r="1372" hidden="1" s="59"/>
    <row r="1373" hidden="1" s="59"/>
    <row r="1374" hidden="1" s="59"/>
    <row r="1375" hidden="1" s="59"/>
    <row r="1376" hidden="1" s="59"/>
    <row r="1377" hidden="1" s="59"/>
    <row r="1378" hidden="1" s="59"/>
    <row r="1379" hidden="1" s="59"/>
    <row r="1380" hidden="1" s="59"/>
    <row r="1381" hidden="1" s="59"/>
    <row r="1382" hidden="1" s="59"/>
    <row r="1383" hidden="1" s="59"/>
    <row r="1384" hidden="1" s="59"/>
    <row r="1385" hidden="1" s="59"/>
    <row r="1386" hidden="1" s="59"/>
    <row r="1387" hidden="1" s="59"/>
    <row r="1388" hidden="1" s="59"/>
    <row r="1389" hidden="1" s="59"/>
    <row r="1390" hidden="1" s="59"/>
    <row r="1391" hidden="1" s="59"/>
    <row r="1392" hidden="1" s="59"/>
    <row r="1393" hidden="1" s="59"/>
    <row r="1394" hidden="1" s="59"/>
    <row r="1395" hidden="1" s="59"/>
    <row r="1396" hidden="1" s="59"/>
    <row r="1397" hidden="1" s="59"/>
    <row r="1398" hidden="1" s="59"/>
    <row r="1399" hidden="1" s="59"/>
    <row r="1400" hidden="1" s="59"/>
    <row r="1401" hidden="1" s="59"/>
    <row r="1402" hidden="1" s="59"/>
    <row r="1403" hidden="1" s="59"/>
    <row r="1404" hidden="1" s="59"/>
    <row r="1405" hidden="1" s="59"/>
    <row r="1406" hidden="1" s="59"/>
    <row r="1407" hidden="1" s="59"/>
    <row r="1408" hidden="1" s="59"/>
    <row r="1409" hidden="1" s="59"/>
    <row r="1410" hidden="1" s="59"/>
    <row r="1411" hidden="1" s="59"/>
    <row r="1412" hidden="1" s="59"/>
    <row r="1413" hidden="1" s="59"/>
    <row r="1414" hidden="1" s="59"/>
    <row r="1415" hidden="1" s="59"/>
    <row r="1416" hidden="1" s="59"/>
    <row r="1417" hidden="1" s="59"/>
    <row r="1418" hidden="1" s="59"/>
    <row r="1419" hidden="1" s="59"/>
    <row r="1420" hidden="1" s="59"/>
    <row r="1421" hidden="1" s="59"/>
    <row r="1422" hidden="1" s="59"/>
    <row r="1423" hidden="1" s="59"/>
    <row r="1424" hidden="1" s="59"/>
    <row r="1426" hidden="1" s="59"/>
    <row r="1427" hidden="1" s="59"/>
    <row r="1428" hidden="1" s="59"/>
    <row r="1429" hidden="1" s="59"/>
    <row r="1430" hidden="1" s="59"/>
    <row r="1431" hidden="1" s="59"/>
    <row r="1432" hidden="1" s="59"/>
    <row r="1433" hidden="1" s="59"/>
    <row r="1434" hidden="1" s="59"/>
    <row r="1435" hidden="1" s="59"/>
    <row r="1436" hidden="1" s="59"/>
    <row r="1437" hidden="1" s="59"/>
    <row r="1438" hidden="1" s="59"/>
    <row r="1439" hidden="1" s="59"/>
    <row r="1440" hidden="1" s="59"/>
    <row r="1441" hidden="1" s="59"/>
    <row r="1442" hidden="1" s="59"/>
    <row r="1443" hidden="1" s="59"/>
    <row r="1444" hidden="1" s="59"/>
    <row r="1445" hidden="1" s="59"/>
    <row r="1446" hidden="1" s="59"/>
    <row r="1447" hidden="1" s="59"/>
    <row r="1448" hidden="1" s="59"/>
    <row r="1449" hidden="1" s="59"/>
    <row r="1450" hidden="1" s="59"/>
    <row r="1451" hidden="1" s="59"/>
    <row r="1452" hidden="1" s="59"/>
    <row r="1453" hidden="1" s="59"/>
    <row r="1454" hidden="1" s="59"/>
    <row r="1455" hidden="1" s="59"/>
    <row r="1456" hidden="1" s="59"/>
    <row r="1457" hidden="1" s="59"/>
    <row r="1458" hidden="1" s="59"/>
    <row r="1459" hidden="1" s="59"/>
    <row r="1460" hidden="1" s="59"/>
    <row r="1461" hidden="1" s="59"/>
    <row r="1462" hidden="1" s="59"/>
    <row r="1463" hidden="1" s="59"/>
    <row r="1464" hidden="1" s="59"/>
    <row r="1465" hidden="1" s="59"/>
    <row r="1466" hidden="1" s="59"/>
    <row r="1467" hidden="1" s="59"/>
    <row r="1468" hidden="1" s="59"/>
    <row r="1469" hidden="1" s="59"/>
    <row r="1470" hidden="1" s="59"/>
    <row r="1471" hidden="1" s="59"/>
    <row r="1472" hidden="1" s="59"/>
    <row r="1473" hidden="1" s="59"/>
    <row r="1474" hidden="1" s="59"/>
    <row r="1475" hidden="1" s="59"/>
    <row r="1476" hidden="1" s="59"/>
    <row r="1477" hidden="1" s="59"/>
    <row r="1478" hidden="1" s="59"/>
    <row r="1479" hidden="1" s="59"/>
    <row r="1480" hidden="1" s="59"/>
    <row r="1481" hidden="1" s="59"/>
    <row r="1482" hidden="1" s="59"/>
    <row r="1483" hidden="1" s="59"/>
    <row r="1485" hidden="1" s="59"/>
    <row r="1486" hidden="1" s="59"/>
    <row r="1487" hidden="1" s="59"/>
    <row r="1488" hidden="1" s="59"/>
    <row r="1489" hidden="1" s="59"/>
    <row r="1490" hidden="1" s="59"/>
    <row r="1491" hidden="1" s="59"/>
    <row r="1492" hidden="1" s="59"/>
    <row r="1493" hidden="1" s="59"/>
    <row r="1494" hidden="1" s="59"/>
    <row r="1495" hidden="1" s="59"/>
    <row r="1496" hidden="1" s="59"/>
    <row r="1497" hidden="1" s="59"/>
    <row r="1498" hidden="1" s="59"/>
    <row r="1499" hidden="1" s="59"/>
    <row r="1500" hidden="1" s="59"/>
    <row r="1502" hidden="1" s="59"/>
    <row r="1503" hidden="1" s="59"/>
    <row r="1504" hidden="1" s="59"/>
    <row r="1505" hidden="1" s="59"/>
    <row r="1506" hidden="1" s="59"/>
    <row r="1507" hidden="1" s="59"/>
    <row r="1508" hidden="1" s="59"/>
    <row r="1509" hidden="1" s="59"/>
    <row r="1510" hidden="1" s="59"/>
    <row r="1511" hidden="1" s="59"/>
    <row r="1512" hidden="1" s="59"/>
    <row r="1513" hidden="1" s="59"/>
    <row r="1514" hidden="1" s="59"/>
    <row r="1515" hidden="1" s="59"/>
    <row r="1516" hidden="1" s="59"/>
    <row r="1517" hidden="1" s="59"/>
    <row r="1518" hidden="1" s="59"/>
    <row r="1519" hidden="1" s="59"/>
    <row r="1520" hidden="1" s="59"/>
    <row r="1521" hidden="1" s="59"/>
    <row r="1522" hidden="1" s="59"/>
    <row r="1523" hidden="1" s="59"/>
    <row r="1524" hidden="1" s="59"/>
    <row r="1525" hidden="1" s="59"/>
    <row r="1526" hidden="1" s="59"/>
    <row r="1527" hidden="1" s="59"/>
    <row r="1528" hidden="1" s="59"/>
    <row r="1529" hidden="1" s="59"/>
    <row r="1530" hidden="1" s="59"/>
    <row r="1531" hidden="1" s="59"/>
    <row r="1532" hidden="1" s="59"/>
    <row r="1533" hidden="1" s="59"/>
    <row r="1534" hidden="1" s="59"/>
    <row r="1535" hidden="1" s="59"/>
    <row r="1536" hidden="1" s="59"/>
    <row r="1537" hidden="1" s="59"/>
    <row r="1538" hidden="1" s="59"/>
    <row r="1539" hidden="1" s="59"/>
    <row r="1540" hidden="1" s="59"/>
    <row r="1541" hidden="1" s="59"/>
    <row r="1542" hidden="1" s="59"/>
    <row r="1543" hidden="1" s="59"/>
    <row r="1544" hidden="1" s="59"/>
    <row r="1545" hidden="1" s="59"/>
    <row r="1546" hidden="1" s="59"/>
    <row r="1547" hidden="1" s="59"/>
    <row r="1548" hidden="1" s="59"/>
    <row r="1549" hidden="1" s="59"/>
    <row r="1550" hidden="1" s="59"/>
    <row r="1551" hidden="1" s="59"/>
    <row r="1552" hidden="1" s="59"/>
    <row r="1553" hidden="1" s="59"/>
    <row r="1554" hidden="1" s="59"/>
    <row r="1555" hidden="1" s="59"/>
    <row r="1556" hidden="1" s="59"/>
    <row r="1557" hidden="1" s="59"/>
    <row r="1558" hidden="1" s="59"/>
    <row r="1559" hidden="1" s="59"/>
    <row r="1560" hidden="1" s="59"/>
    <row r="1561" hidden="1" s="59"/>
    <row r="1562" hidden="1" s="59"/>
    <row r="1563" hidden="1" s="59"/>
    <row r="1564" hidden="1" s="59"/>
    <row r="1565" hidden="1" s="59"/>
    <row r="1566" hidden="1" s="59"/>
    <row r="1567" hidden="1" s="59"/>
    <row r="1568" hidden="1" s="59"/>
    <row r="1569" hidden="1" s="59"/>
    <row r="1570" hidden="1" s="59"/>
    <row r="1571" hidden="1" s="59"/>
    <row r="1572" hidden="1" s="59"/>
    <row r="1573" hidden="1" s="59"/>
    <row r="1574" hidden="1" s="59"/>
    <row r="1575" hidden="1" s="59"/>
    <row r="1576" hidden="1" s="59"/>
    <row r="1577" hidden="1" s="59"/>
    <row r="1578" hidden="1" s="59"/>
    <row r="1579" hidden="1" s="59"/>
    <row r="1580" hidden="1" s="59"/>
    <row r="1581" hidden="1" s="59"/>
    <row r="1582" hidden="1" s="59"/>
    <row r="1583" hidden="1" s="59"/>
    <row r="1584" hidden="1" s="59"/>
    <row r="1585" hidden="1" s="59"/>
    <row r="1586" hidden="1" s="59"/>
    <row r="1587" hidden="1" s="59"/>
    <row r="1588" hidden="1" s="59"/>
    <row r="1589" hidden="1" s="59"/>
    <row r="1590" hidden="1" s="59"/>
    <row r="1591" hidden="1" s="59"/>
    <row r="1592" hidden="1" s="59"/>
    <row r="1593" hidden="1" s="59"/>
    <row r="1594" hidden="1" s="59"/>
    <row r="1595" hidden="1" s="59"/>
    <row r="1596" hidden="1" s="59"/>
    <row r="1597" hidden="1" s="59"/>
    <row r="1598" hidden="1" s="59"/>
    <row r="1599" hidden="1" s="59"/>
    <row r="1600" hidden="1" s="59"/>
    <row r="1601" hidden="1" s="59"/>
    <row r="1602" hidden="1" s="59"/>
    <row r="1603" hidden="1" s="59"/>
    <row r="1604" hidden="1" s="59"/>
    <row r="1605" hidden="1" s="59"/>
    <row r="1606" hidden="1" s="59"/>
    <row r="1607" hidden="1" s="59"/>
    <row r="1608" hidden="1" s="59"/>
    <row r="1609" hidden="1" s="59"/>
    <row r="1610" hidden="1" s="59"/>
    <row r="1611" hidden="1" s="59"/>
    <row r="1612" hidden="1" s="59"/>
    <row r="1613" hidden="1" s="59"/>
    <row r="1614" hidden="1" s="59"/>
    <row r="1615" hidden="1" s="59"/>
    <row r="1616" hidden="1" s="59"/>
    <row r="1617" hidden="1" s="59"/>
    <row r="1618" hidden="1" s="59"/>
    <row r="1619" hidden="1" s="59"/>
    <row r="1620" hidden="1" s="59"/>
    <row r="1621" hidden="1" s="59"/>
    <row r="1622" hidden="1" s="59"/>
    <row r="1623" hidden="1" s="59"/>
    <row r="1624" hidden="1" s="59"/>
    <row r="1625" hidden="1" s="59"/>
    <row r="1626" hidden="1" s="59"/>
    <row r="1627" hidden="1" s="59"/>
    <row r="1628" hidden="1" s="59"/>
    <row r="1629" hidden="1" s="59"/>
    <row r="1630" hidden="1" s="59"/>
    <row r="1631" hidden="1" s="59"/>
    <row r="1632" hidden="1" s="59"/>
    <row r="1633" hidden="1" s="59"/>
    <row r="1634" hidden="1" s="59"/>
    <row r="1635" hidden="1" s="59"/>
    <row r="1636" hidden="1" s="59"/>
    <row r="1637" hidden="1" s="59"/>
    <row r="1638" hidden="1" s="59"/>
    <row r="1639" hidden="1" s="59"/>
    <row r="1640" hidden="1" s="59"/>
    <row r="1641" hidden="1" s="59"/>
    <row r="1642" hidden="1" s="59"/>
    <row r="1643" hidden="1" s="59"/>
    <row r="1644" hidden="1" s="59"/>
    <row r="1645" hidden="1" s="59"/>
    <row r="1646" hidden="1" s="59"/>
    <row r="1647" hidden="1" s="59"/>
    <row r="1648" hidden="1" s="59"/>
    <row r="1649" hidden="1" s="59"/>
    <row r="1650" hidden="1" s="59"/>
    <row r="1651" hidden="1" s="59"/>
    <row r="1652" hidden="1" s="59"/>
    <row r="1653" hidden="1" s="59"/>
    <row r="1654" hidden="1" s="59"/>
    <row r="1655" hidden="1" s="59"/>
    <row r="1656" hidden="1" s="59"/>
    <row r="1657" hidden="1" s="59"/>
    <row r="1658" hidden="1" s="59"/>
    <row r="1659" hidden="1" s="59"/>
    <row r="1660" hidden="1" s="59"/>
    <row r="1661" hidden="1" s="59"/>
    <row r="1662" hidden="1" s="59"/>
    <row r="1663" hidden="1" s="59"/>
    <row r="1664" hidden="1" s="59"/>
    <row r="1665" hidden="1" s="59"/>
    <row r="1666" hidden="1" s="59"/>
    <row r="1667" hidden="1" s="59"/>
    <row r="1668" hidden="1" s="59"/>
    <row r="1669" hidden="1" s="59"/>
    <row r="1670" hidden="1" s="59"/>
    <row r="1671" hidden="1" s="59"/>
    <row r="1672" hidden="1" s="59"/>
    <row r="1673" hidden="1" s="59"/>
    <row r="1674" hidden="1" s="59"/>
    <row r="1675" hidden="1" s="59"/>
    <row r="1676" hidden="1" s="59"/>
    <row r="1677" hidden="1" s="59"/>
    <row r="1678" hidden="1" s="59"/>
    <row r="1679" hidden="1" s="59"/>
    <row r="1680" hidden="1" s="59"/>
    <row r="1681" hidden="1" s="59"/>
    <row r="1682" hidden="1" s="59"/>
    <row r="1683" hidden="1" s="59"/>
    <row r="1684" hidden="1" s="59"/>
    <row r="1685" hidden="1" s="59"/>
    <row r="1686" hidden="1" s="59"/>
    <row r="1687" hidden="1" s="59"/>
    <row r="1688" hidden="1" s="59"/>
    <row r="1689" hidden="1" s="59"/>
    <row r="1690" hidden="1" s="59"/>
    <row r="1691" hidden="1" s="59"/>
    <row r="1692" hidden="1" s="59"/>
    <row r="1693" hidden="1" s="59"/>
    <row r="1694" hidden="1" s="59"/>
    <row r="1695" hidden="1" s="59"/>
    <row r="1696" hidden="1" s="59"/>
    <row r="1698" hidden="1" s="59"/>
    <row r="1699" hidden="1" s="59"/>
    <row r="1700" hidden="1" s="59"/>
    <row r="1701" hidden="1" s="59"/>
    <row r="1702" hidden="1" s="59"/>
    <row r="1703" hidden="1" s="59"/>
    <row r="1704" hidden="1" s="59"/>
    <row r="1706" hidden="1" s="59"/>
    <row r="1708" hidden="1" s="59"/>
    <row r="1709" hidden="1" s="59"/>
    <row r="1710" hidden="1" s="59"/>
    <row r="1712" hidden="1" s="59"/>
    <row r="1713" hidden="1" s="59"/>
    <row r="1714" hidden="1" s="59"/>
    <row r="1715" hidden="1" s="59"/>
    <row r="1717" hidden="1" s="59"/>
    <row r="1718" hidden="1" s="59"/>
    <row r="1719" hidden="1" s="59"/>
    <row r="1725" hidden="1" s="59"/>
    <row r="1726" hidden="1" s="59"/>
    <row r="1727" hidden="1" s="59"/>
    <row r="1728" hidden="1" s="59"/>
    <row r="1729" hidden="1" s="59"/>
    <row r="1730" hidden="1" s="59"/>
    <row r="1731" hidden="1" s="59"/>
    <row r="1732" hidden="1" s="59"/>
    <row r="1733" hidden="1" s="59"/>
    <row r="1734" hidden="1" s="59"/>
    <row r="1735" hidden="1" s="59"/>
    <row r="1736" hidden="1" s="59"/>
    <row r="1737" hidden="1" s="59"/>
    <row r="1738" hidden="1" s="59"/>
    <row r="1739" hidden="1" s="59"/>
    <row r="1740" hidden="1" s="59"/>
    <row r="1741" hidden="1" s="59"/>
    <row r="1742" hidden="1" s="59"/>
    <row r="1743" hidden="1" s="59"/>
    <row r="1744" hidden="1" s="59"/>
    <row r="1745" hidden="1" s="59"/>
    <row r="1746" hidden="1" s="59"/>
    <row r="1747" hidden="1" s="59"/>
    <row r="1748" hidden="1" s="59"/>
    <row r="1749" hidden="1" s="59"/>
    <row r="1751" hidden="1" s="59"/>
    <row r="1752" hidden="1" s="59"/>
    <row r="1753" hidden="1" s="59"/>
    <row r="1754" hidden="1" s="59"/>
    <row r="1755" hidden="1" s="59"/>
    <row r="1756" hidden="1" s="59"/>
    <row r="1757" hidden="1" s="59"/>
    <row r="1758" hidden="1" s="59"/>
    <row r="1759" hidden="1" s="59"/>
    <row r="1760" hidden="1" s="59"/>
    <row r="1761" hidden="1" s="59"/>
    <row r="1762" hidden="1" s="59"/>
    <row r="1763" hidden="1" s="59"/>
    <row r="1764" hidden="1" s="59"/>
    <row r="1765" hidden="1" s="59"/>
    <row r="1766" hidden="1" s="59"/>
    <row r="1767" hidden="1" s="59"/>
    <row r="1768" hidden="1" s="59"/>
    <row r="1769" hidden="1" s="59"/>
    <row r="1770" hidden="1" s="59"/>
    <row r="1771" hidden="1" s="59"/>
    <row r="1772" hidden="1" s="59"/>
    <row r="1773" hidden="1" s="59"/>
    <row r="1774" hidden="1" s="59"/>
    <row r="1775" hidden="1" s="59"/>
    <row r="1776" hidden="1" s="59"/>
    <row r="1777" hidden="1" s="59"/>
    <row r="1778" hidden="1" s="59"/>
    <row r="1779" hidden="1" s="59"/>
    <row r="1780" hidden="1" s="59"/>
    <row r="1781" hidden="1" s="59"/>
    <row r="1782" hidden="1" s="59"/>
    <row r="1783" hidden="1" s="59"/>
    <row r="1784" hidden="1" s="59"/>
    <row r="1785" hidden="1" s="59"/>
    <row r="1786" hidden="1" s="59"/>
    <row r="1787" hidden="1" s="59"/>
    <row r="1788" hidden="1" s="59"/>
    <row r="1789" hidden="1" s="59"/>
    <row r="1790" hidden="1" s="59"/>
    <row r="1791" hidden="1" s="59"/>
    <row r="1792" hidden="1" s="59"/>
    <row r="1793" hidden="1" s="59"/>
    <row r="1794" hidden="1" s="59"/>
    <row r="1795" hidden="1" s="59"/>
    <row r="1796" hidden="1" s="59"/>
    <row r="1797" hidden="1" s="59"/>
    <row r="1798" hidden="1" s="59"/>
    <row r="1799" hidden="1" s="59"/>
    <row r="1800" hidden="1" s="59"/>
    <row r="1801" hidden="1" s="59"/>
    <row r="1802" hidden="1" s="59"/>
    <row r="1803" hidden="1" s="59"/>
    <row r="1804" hidden="1" s="59"/>
    <row r="1805" hidden="1" s="59"/>
    <row r="1806" hidden="1" s="59"/>
    <row r="1807" hidden="1" s="59"/>
    <row r="1808" hidden="1" s="59"/>
    <row r="1809" hidden="1" s="59"/>
    <row r="1810" hidden="1" s="59"/>
    <row r="1811" hidden="1" s="59"/>
    <row r="1812" hidden="1" s="59"/>
    <row r="1813" hidden="1" s="59"/>
    <row r="1814" hidden="1" s="59"/>
    <row r="1815" hidden="1" s="59"/>
    <row r="1816" hidden="1" s="59"/>
    <row r="1817" hidden="1" s="59"/>
    <row r="1818" hidden="1" s="59"/>
    <row r="1819" hidden="1" s="59"/>
    <row r="1820" hidden="1" s="59"/>
    <row r="1821" hidden="1" s="59"/>
    <row r="1822" hidden="1" s="59"/>
    <row r="1823" hidden="1" s="59"/>
    <row r="1824" hidden="1" s="59"/>
    <row r="1825" hidden="1" s="59"/>
    <row r="1826" hidden="1" s="59"/>
    <row r="1827" hidden="1" s="59"/>
    <row r="1828" hidden="1" s="59"/>
    <row r="1829" hidden="1" s="59"/>
    <row r="1830" hidden="1" s="59"/>
    <row r="1831" hidden="1" s="59"/>
    <row r="1832" hidden="1" s="59"/>
    <row r="1833" hidden="1" s="59"/>
    <row r="1834" hidden="1" s="59"/>
    <row r="1835" hidden="1" s="59"/>
    <row r="1836" hidden="1" s="59"/>
    <row r="1837" hidden="1" s="59"/>
    <row r="1838" hidden="1" s="59"/>
    <row r="1839" hidden="1" s="59"/>
    <row r="1840" hidden="1" s="59"/>
    <row r="1841" hidden="1" s="59"/>
    <row r="1842" hidden="1" s="59"/>
    <row r="1843" hidden="1" s="59"/>
    <row r="1844" hidden="1" s="59"/>
    <row r="1845" hidden="1" s="59"/>
    <row r="1846" hidden="1" s="59"/>
    <row r="1847" hidden="1" s="59"/>
    <row r="1848" hidden="1" s="59"/>
    <row r="1849" hidden="1" s="59"/>
    <row r="1850" hidden="1" s="59"/>
    <row r="1851" hidden="1" s="59"/>
    <row r="1852" hidden="1" s="59"/>
    <row r="1853" hidden="1" s="59"/>
    <row r="1854" hidden="1" s="59"/>
    <row r="1855" hidden="1" s="59"/>
    <row r="1856" hidden="1" s="59"/>
    <row r="1857" hidden="1" s="59"/>
    <row r="1858" hidden="1" s="59"/>
    <row r="1859" hidden="1" s="59"/>
    <row r="1860" hidden="1" s="59"/>
    <row r="1861" hidden="1" s="59"/>
    <row r="1862" hidden="1" s="59"/>
    <row r="1863" hidden="1" s="59"/>
    <row r="1864" hidden="1" s="59"/>
    <row r="1865" hidden="1" s="59"/>
    <row r="1866" hidden="1" s="59"/>
    <row r="1867" hidden="1" s="59"/>
    <row r="1868" hidden="1" s="59"/>
    <row r="1869" hidden="1" s="59"/>
    <row r="1870" hidden="1" s="59"/>
    <row r="1871" hidden="1" s="59"/>
    <row r="1872" hidden="1" s="59"/>
    <row r="1873" hidden="1" s="59"/>
    <row r="1874" hidden="1" s="59"/>
    <row r="1875" hidden="1" s="59"/>
    <row r="1876" hidden="1" s="59"/>
    <row r="1877" hidden="1" s="59"/>
    <row r="1878" hidden="1" s="59"/>
    <row r="1879" hidden="1" s="59"/>
    <row r="1880" hidden="1" s="59"/>
    <row r="1881" hidden="1" s="59"/>
    <row r="1882" hidden="1" s="59"/>
    <row r="1883" hidden="1" s="59"/>
    <row r="1884" hidden="1" s="59"/>
    <row r="1885" hidden="1" s="59"/>
    <row r="1886" hidden="1" s="59"/>
    <row r="1887" hidden="1" s="59"/>
    <row r="1888" hidden="1" s="59"/>
    <row r="1889" hidden="1" s="59"/>
    <row r="1890" hidden="1" s="59"/>
    <row r="1891" hidden="1" s="59"/>
    <row r="1892" hidden="1" s="59"/>
    <row r="1893" hidden="1" s="59"/>
    <row r="1894" hidden="1" s="59"/>
    <row r="1895" hidden="1" s="59"/>
    <row r="1897" hidden="1" s="59"/>
    <row r="1898" hidden="1" s="59"/>
    <row r="1899" hidden="1" s="59"/>
    <row r="1900" hidden="1" s="59"/>
    <row r="1901" hidden="1" s="59"/>
    <row r="1902" hidden="1" s="59"/>
    <row r="1903" hidden="1" s="59"/>
    <row r="1904" hidden="1" s="59"/>
    <row r="1905" hidden="1" s="59"/>
    <row r="1906" hidden="1" s="59"/>
    <row r="1907" hidden="1" s="59"/>
    <row r="1908" hidden="1" s="59"/>
    <row r="1909" hidden="1" s="59"/>
    <row r="1910" hidden="1" s="59"/>
    <row r="1911" hidden="1" s="59"/>
    <row r="1912" hidden="1" s="59"/>
    <row r="1913" hidden="1" s="59"/>
    <row r="1914" hidden="1" s="59"/>
    <row r="1915" hidden="1" s="59"/>
    <row r="1916" hidden="1" s="59"/>
    <row r="1917" hidden="1" s="59"/>
    <row r="1918" hidden="1" s="59"/>
    <row r="1919" hidden="1" s="59"/>
    <row r="1920" hidden="1" s="59"/>
    <row r="1921" hidden="1" s="59"/>
    <row r="1922" hidden="1" s="59"/>
    <row r="1923" hidden="1" s="59"/>
    <row r="1924" hidden="1" s="59"/>
    <row r="1925" hidden="1" s="59"/>
    <row r="1926" hidden="1" s="59"/>
    <row r="1927" hidden="1" s="59"/>
    <row r="1928" hidden="1" s="59"/>
    <row r="1929" hidden="1" s="59"/>
    <row r="1930" hidden="1" s="59"/>
    <row r="1931" hidden="1" s="59"/>
    <row r="1932" hidden="1" s="59"/>
    <row r="1933" hidden="1" s="59"/>
    <row r="1934" hidden="1" s="59"/>
    <row r="1935" hidden="1" s="59"/>
    <row r="1936" hidden="1" s="59"/>
    <row r="1937" hidden="1" s="59"/>
    <row r="1938" hidden="1" s="59"/>
    <row r="1939" hidden="1" s="59"/>
    <row r="1940" hidden="1" s="59"/>
    <row r="1941" hidden="1" s="59"/>
    <row r="1942" hidden="1" s="59"/>
    <row r="1943" hidden="1" s="59"/>
    <row r="1944" hidden="1" s="59"/>
    <row r="1945" hidden="1" s="59"/>
    <row r="1946" hidden="1" s="59"/>
    <row r="1947" hidden="1" s="59"/>
    <row r="1948" hidden="1" s="59"/>
    <row r="1949" hidden="1" s="59"/>
    <row r="1950" hidden="1" s="59"/>
    <row r="1951" hidden="1" s="59"/>
    <row r="1952" hidden="1" s="59"/>
    <row r="1953" hidden="1" s="59"/>
    <row r="1954" hidden="1" s="59"/>
    <row r="1955" hidden="1" s="59"/>
    <row r="1956" hidden="1" s="59"/>
    <row r="1957" hidden="1" s="59"/>
    <row r="1958" hidden="1" s="59"/>
    <row r="1959" hidden="1" s="59"/>
    <row r="1960" hidden="1" s="59"/>
    <row r="1961" hidden="1" s="59"/>
    <row r="1962" hidden="1" s="59"/>
    <row r="1963" hidden="1" s="59"/>
    <row r="1964" hidden="1" s="59"/>
    <row r="1965" hidden="1" s="59"/>
    <row r="1966" hidden="1" s="59"/>
    <row r="1967" hidden="1" s="59"/>
    <row r="1968" hidden="1" s="59"/>
    <row r="1969" hidden="1" s="59"/>
    <row r="1970" hidden="1" s="59"/>
    <row r="1971" hidden="1" s="59"/>
    <row r="1972" hidden="1" s="59"/>
    <row r="1973" hidden="1" s="59"/>
    <row r="1974" hidden="1" s="59"/>
    <row r="1975" hidden="1" s="59"/>
    <row r="1976" hidden="1" s="59"/>
    <row r="1977" hidden="1" s="59"/>
    <row r="1978" hidden="1" s="59"/>
    <row r="1979" hidden="1" s="59"/>
    <row r="1980" hidden="1" s="59"/>
    <row r="1981" hidden="1" s="59"/>
    <row r="1982" hidden="1" s="59"/>
    <row r="1983" hidden="1" s="59"/>
    <row r="1985" hidden="1" s="59"/>
    <row r="1986" hidden="1" s="59"/>
    <row r="1987" hidden="1" s="59"/>
    <row r="1988" hidden="1" s="59"/>
    <row r="1989" hidden="1" s="59"/>
    <row r="1990" hidden="1" s="59"/>
    <row r="1991" hidden="1" s="59"/>
    <row r="1992" hidden="1" s="59"/>
    <row r="1993" hidden="1" s="59"/>
    <row r="1994" hidden="1" s="59"/>
    <row r="1995" hidden="1" s="59"/>
    <row r="1996" hidden="1" s="59"/>
    <row r="1997" hidden="1" s="59"/>
    <row r="1998" hidden="1" s="59"/>
    <row r="1999" hidden="1" s="59"/>
    <row r="2000" hidden="1" s="59"/>
    <row r="2002" hidden="1" s="59"/>
    <row r="2003" hidden="1" s="59"/>
    <row r="2004" hidden="1" s="59"/>
    <row r="2005" hidden="1" s="59"/>
    <row r="2006" hidden="1" s="59"/>
    <row r="2007" hidden="1" s="59"/>
    <row r="2008" hidden="1" s="59"/>
    <row r="2009" hidden="1" s="59"/>
    <row r="2010" hidden="1" s="59"/>
    <row r="2011" hidden="1" s="59"/>
    <row r="2012" hidden="1" s="59"/>
    <row r="2013" hidden="1" s="59"/>
    <row r="2014" hidden="1" s="59"/>
    <row r="2015" hidden="1" s="59"/>
    <row r="2016" hidden="1" s="59"/>
    <row r="2017" hidden="1" s="59"/>
    <row r="2018" hidden="1" s="59"/>
    <row r="2019" hidden="1" s="59"/>
    <row r="2020" hidden="1" s="59"/>
    <row r="2021" hidden="1" s="59"/>
    <row r="2022" hidden="1" s="59"/>
    <row r="2023" hidden="1" s="59"/>
    <row r="2024" hidden="1" s="59"/>
    <row r="2025" hidden="1" s="59"/>
    <row r="2026" hidden="1" s="59"/>
    <row r="2027" hidden="1" s="59"/>
    <row r="2028" hidden="1" s="59"/>
    <row r="2029" hidden="1" s="59"/>
    <row r="2030" hidden="1" s="59"/>
    <row r="2031" hidden="1" s="59"/>
    <row r="2032" hidden="1" s="59"/>
    <row r="2033" hidden="1" s="59"/>
    <row r="2034" hidden="1" s="59"/>
    <row r="2035" hidden="1" s="59"/>
    <row r="2036" hidden="1" s="59"/>
    <row r="2037" hidden="1" s="59"/>
    <row r="2038" hidden="1" s="59"/>
    <row r="2039" hidden="1" s="59"/>
    <row r="2040" hidden="1" s="59"/>
    <row r="2041" hidden="1" s="59"/>
    <row r="2042" hidden="1" s="59"/>
    <row r="2043" hidden="1" s="59"/>
    <row r="2044" hidden="1" s="59"/>
    <row r="2045" hidden="1" s="59"/>
    <row r="2046" hidden="1" s="59"/>
    <row r="2047" hidden="1" s="59"/>
    <row r="2048" hidden="1" s="59"/>
    <row r="2049" hidden="1" s="59"/>
    <row r="2050" hidden="1" s="59"/>
    <row r="2051" hidden="1" s="59"/>
    <row r="2052" hidden="1" s="59"/>
    <row r="2053" hidden="1" s="59"/>
    <row r="2054" hidden="1" s="59"/>
    <row r="2055" hidden="1" s="59"/>
    <row r="2056" hidden="1" s="59"/>
    <row r="2057" hidden="1" s="59"/>
    <row r="2058" hidden="1" s="59"/>
    <row r="2059" hidden="1" s="59"/>
    <row r="2060" hidden="1" s="59"/>
    <row r="2061" hidden="1" s="59"/>
    <row r="2062" hidden="1" s="59"/>
    <row r="2063" hidden="1" s="59"/>
    <row r="2064" hidden="1" s="59"/>
    <row r="2065" hidden="1" s="59"/>
    <row r="2066" hidden="1" s="59"/>
    <row r="2067" hidden="1" s="59"/>
    <row r="2068" hidden="1" s="59"/>
    <row r="2069" hidden="1" s="59"/>
    <row r="2070" hidden="1" s="59"/>
    <row r="2071" hidden="1" s="59"/>
    <row r="2072" hidden="1" s="59"/>
    <row r="2073" hidden="1" s="59"/>
    <row r="2074" hidden="1" s="59"/>
    <row r="2075" hidden="1" s="59"/>
    <row r="2076" hidden="1" s="59"/>
    <row r="2077" hidden="1" s="59"/>
    <row r="2078" hidden="1" s="59"/>
    <row r="2079" hidden="1" s="59"/>
    <row r="2080" hidden="1" s="59"/>
    <row r="2081" hidden="1" s="59"/>
    <row r="2082" hidden="1" s="59"/>
    <row r="2083" hidden="1" s="59"/>
    <row r="2084" hidden="1" s="59"/>
    <row r="2085" hidden="1" s="59"/>
    <row r="2086" hidden="1" s="59"/>
    <row r="2087" hidden="1" s="59"/>
    <row r="2088" hidden="1" s="59"/>
    <row r="2089" hidden="1" s="59"/>
    <row r="2090" hidden="1" s="59"/>
    <row r="2091" hidden="1" s="59"/>
    <row r="2092" hidden="1" s="59"/>
    <row r="2093" hidden="1" s="59"/>
    <row r="2094" hidden="1" s="59"/>
    <row r="2095" hidden="1" s="59"/>
    <row r="2096" hidden="1" s="59"/>
    <row r="2097" hidden="1" s="59"/>
    <row r="2098" hidden="1" s="59"/>
    <row r="2099" hidden="1" s="59"/>
    <row r="2100" hidden="1" s="59"/>
    <row r="2102" hidden="1" s="59"/>
    <row r="2103" hidden="1" s="59"/>
    <row r="2104" hidden="1" s="59"/>
    <row r="2105" hidden="1" s="59"/>
    <row r="2106" hidden="1" s="59"/>
    <row r="2107" hidden="1" s="59"/>
    <row r="2108" hidden="1" s="59"/>
    <row r="2109" hidden="1" s="59"/>
    <row r="2110" hidden="1" s="59"/>
    <row r="2111" hidden="1" s="59"/>
    <row r="2112" hidden="1" s="59"/>
    <row r="2113" hidden="1" s="59"/>
    <row r="2114" hidden="1" s="59"/>
    <row r="2115" hidden="1" s="59"/>
    <row r="2116" hidden="1" s="59"/>
    <row r="2117" hidden="1" s="59"/>
    <row r="2118" hidden="1" s="59"/>
    <row r="2119" hidden="1" s="59"/>
    <row r="2120" hidden="1" s="59"/>
    <row r="2121" hidden="1" s="59"/>
    <row r="2122" hidden="1" s="59"/>
    <row r="2123" hidden="1" s="59"/>
    <row r="2124" hidden="1" s="59"/>
    <row r="2125" hidden="1" s="59"/>
    <row r="2126" hidden="1" s="59"/>
    <row r="2127" hidden="1" s="59"/>
    <row r="2128" hidden="1" s="59"/>
    <row r="2129" hidden="1" s="59"/>
    <row r="2130" hidden="1" s="59"/>
    <row r="2131" hidden="1" s="59"/>
    <row r="2132" hidden="1" s="59"/>
    <row r="2133" hidden="1" s="59"/>
    <row r="2134" hidden="1" s="59"/>
    <row r="2135" hidden="1" s="59"/>
    <row r="2136" hidden="1" s="59"/>
    <row r="2137" hidden="1" s="59"/>
    <row r="2138" hidden="1" s="59"/>
    <row r="2139" hidden="1" s="59"/>
    <row r="2140" hidden="1" s="59"/>
    <row r="2141" hidden="1" s="59"/>
    <row r="2142" hidden="1" s="59"/>
    <row r="2143" hidden="1" s="59"/>
    <row r="2144" hidden="1" s="59"/>
    <row r="2145" hidden="1" s="59"/>
    <row r="2146" hidden="1" s="59"/>
    <row r="2147" hidden="1" s="59"/>
    <row r="2148" hidden="1" s="59"/>
    <row r="2149" hidden="1" s="59"/>
    <row r="2150" hidden="1" s="59"/>
    <row r="2151" hidden="1" s="59"/>
    <row r="2152" hidden="1" s="59"/>
    <row r="2153" hidden="1" s="59"/>
    <row r="2154" hidden="1" s="59"/>
    <row r="2155" hidden="1" s="59"/>
    <row r="2156" hidden="1" s="59"/>
    <row r="2157" hidden="1" s="59"/>
    <row r="2158" hidden="1" s="59"/>
    <row r="2159" hidden="1" s="59"/>
    <row r="2160" hidden="1" s="59"/>
    <row r="2161" hidden="1" s="59"/>
    <row r="2162" hidden="1" s="59"/>
    <row r="2163" hidden="1" s="59"/>
    <row r="2164" hidden="1" s="59"/>
    <row r="2165" hidden="1" s="59"/>
    <row r="2167" hidden="1" s="59"/>
    <row r="2168" hidden="1" s="59"/>
    <row r="2169" hidden="1" s="59"/>
    <row r="2170" hidden="1" s="59"/>
    <row r="2171" hidden="1" s="59"/>
    <row r="2172" hidden="1" s="59"/>
    <row r="2173" hidden="1" s="59"/>
    <row r="2174" hidden="1" s="59"/>
    <row r="2175" hidden="1" s="59"/>
    <row r="2176" hidden="1" s="59"/>
    <row r="2177" hidden="1" s="59"/>
    <row r="2178" hidden="1" s="59"/>
    <row r="2179" hidden="1" s="59"/>
    <row r="2180" hidden="1" s="59"/>
    <row r="2181" hidden="1" s="59"/>
    <row r="2182" hidden="1" s="59"/>
    <row r="2183" hidden="1" s="59"/>
    <row r="2184" hidden="1" s="59"/>
    <row r="2185" hidden="1" s="59"/>
    <row r="2187" hidden="1" s="59"/>
    <row r="2188" hidden="1" s="59"/>
    <row r="2189" hidden="1" s="59"/>
    <row r="2190" hidden="1" s="59"/>
    <row r="2191" hidden="1" s="59"/>
    <row r="2192" hidden="1" s="59"/>
    <row r="2193" hidden="1" s="59"/>
    <row r="2194" hidden="1" s="59"/>
    <row r="2195" hidden="1" s="59"/>
    <row r="2196" hidden="1" s="59"/>
    <row r="2197" hidden="1" s="59"/>
    <row r="2198" hidden="1" s="59"/>
    <row r="2199" hidden="1" s="59"/>
    <row r="2200" hidden="1" s="59"/>
    <row r="2201" hidden="1" s="59"/>
    <row r="2202" hidden="1" s="59"/>
    <row r="2203" hidden="1" s="59"/>
    <row r="2204" hidden="1" s="59"/>
    <row r="2205" hidden="1" s="59"/>
    <row r="2206" hidden="1" s="59"/>
    <row r="2207" hidden="1" s="59"/>
    <row r="2208" hidden="1" s="59"/>
    <row r="2209" hidden="1" s="59"/>
    <row r="2210" hidden="1" s="59"/>
    <row r="2211" hidden="1" s="59"/>
    <row r="2212" hidden="1" s="59"/>
    <row r="2213" hidden="1" s="59"/>
    <row r="2214" hidden="1" s="59"/>
    <row r="2215" hidden="1" s="59"/>
    <row r="2216" hidden="1" s="59"/>
    <row r="2217" hidden="1" s="59"/>
    <row r="2218" hidden="1" s="59"/>
    <row r="2219" hidden="1" s="59"/>
    <row r="2220" hidden="1" s="59"/>
    <row r="2221" hidden="1" s="59"/>
    <row r="2222" hidden="1" s="59"/>
    <row r="2223" hidden="1" s="59"/>
    <row r="2224" hidden="1" s="59"/>
    <row r="2225" hidden="1" s="59"/>
    <row r="2226" hidden="1" s="59"/>
    <row r="2227" hidden="1" s="59"/>
    <row r="2228" hidden="1" s="59"/>
    <row r="2229" hidden="1" s="59"/>
    <row r="2230" hidden="1" s="59"/>
    <row r="2231" hidden="1" s="59"/>
    <row r="2232" hidden="1" s="59"/>
    <row r="2233" hidden="1" s="59"/>
    <row r="2234" hidden="1" s="59"/>
    <row r="2235" hidden="1" s="59"/>
    <row r="2236" hidden="1" s="59"/>
    <row r="2237" hidden="1" s="59"/>
    <row r="2238" hidden="1" s="59"/>
    <row r="2239" hidden="1" s="59"/>
    <row r="2240" hidden="1" s="59"/>
    <row r="2241" hidden="1" s="59"/>
    <row r="2242" hidden="1" s="59"/>
    <row r="2243" hidden="1" s="59"/>
    <row r="2244" hidden="1" s="59"/>
    <row r="2245" hidden="1" s="59"/>
    <row r="2246" hidden="1" s="59"/>
    <row r="2247" hidden="1" s="59"/>
    <row r="2248" hidden="1" s="59"/>
    <row r="2249" hidden="1" s="59"/>
    <row r="2250" hidden="1" s="59"/>
    <row r="2251" hidden="1" s="59"/>
    <row r="2252" hidden="1" s="59"/>
    <row r="2253" hidden="1" s="59"/>
    <row r="2254" hidden="1" s="59"/>
    <row r="2255" hidden="1" s="59"/>
    <row r="2256" hidden="1" s="59"/>
    <row r="2257" hidden="1" s="59"/>
    <row r="2258" hidden="1" s="59"/>
    <row r="2259" hidden="1" s="59"/>
    <row r="2260" hidden="1" s="59"/>
    <row r="2261" hidden="1" s="59"/>
    <row r="2262" hidden="1" s="59"/>
    <row r="2263" hidden="1" s="59"/>
    <row r="2264" hidden="1" s="59"/>
    <row r="2265" hidden="1" s="59"/>
    <row r="2266" hidden="1" s="59"/>
    <row r="2267" hidden="1" s="59"/>
    <row r="2268" hidden="1" s="59"/>
    <row r="2269" hidden="1" s="59"/>
    <row r="2270" hidden="1" s="59"/>
    <row r="2271" hidden="1" s="59"/>
    <row r="2272" hidden="1" s="59"/>
    <row r="2273" hidden="1" s="59"/>
    <row r="2274" hidden="1" s="59"/>
    <row r="2275" hidden="1" s="59"/>
    <row r="2276" hidden="1" s="59"/>
    <row r="2277" hidden="1" s="59"/>
    <row r="2278" hidden="1" s="59"/>
    <row r="2279" hidden="1" s="59"/>
    <row r="2280" hidden="1" s="59"/>
    <row r="2281" hidden="1" s="59"/>
    <row r="2282" hidden="1" s="59"/>
    <row r="2283" hidden="1" s="59"/>
    <row r="2284" hidden="1" s="59"/>
    <row r="2285" hidden="1" s="59"/>
    <row r="2286" hidden="1" s="59"/>
    <row r="2287" hidden="1" s="59"/>
    <row r="2288" hidden="1" s="59"/>
    <row r="2289" hidden="1" s="59"/>
    <row r="2290" hidden="1" s="59"/>
    <row r="2291" hidden="1" s="59"/>
    <row r="2292" hidden="1" s="59"/>
    <row r="2293" hidden="1" s="59"/>
    <row r="2294" hidden="1" s="59"/>
    <row r="2295" hidden="1" s="59"/>
    <row r="2296" hidden="1" s="59"/>
    <row r="2297" hidden="1" s="59"/>
    <row r="2298" hidden="1" s="59"/>
    <row r="2299" hidden="1" s="59"/>
    <row r="2300" hidden="1" s="59"/>
    <row r="2301" hidden="1" s="59"/>
    <row r="2302" hidden="1" s="59"/>
    <row r="2303" hidden="1" s="59"/>
    <row r="2304" hidden="1" s="59"/>
    <row r="2305" hidden="1" s="59"/>
    <row r="2306" hidden="1" s="59"/>
    <row r="2307" hidden="1" s="59"/>
    <row r="2308" hidden="1" s="59"/>
    <row r="2309" hidden="1" s="59"/>
    <row r="2310" hidden="1" s="59"/>
    <row r="2311" hidden="1" s="59"/>
    <row r="2312" hidden="1" s="59"/>
    <row r="2313" hidden="1" s="59"/>
    <row r="2314" hidden="1" s="59"/>
    <row r="2315" hidden="1" s="59"/>
    <row r="2316" hidden="1" s="59"/>
    <row r="2317" hidden="1" s="59"/>
    <row r="2318" hidden="1" s="59"/>
    <row r="2319" hidden="1" s="59"/>
    <row r="2320" hidden="1" s="59"/>
    <row r="2321" hidden="1" s="59"/>
    <row r="2322" hidden="1" s="59"/>
    <row r="2323" hidden="1" s="59"/>
    <row r="2324" hidden="1" s="59"/>
    <row r="2325" hidden="1" s="59"/>
    <row r="2326" hidden="1" s="59"/>
    <row r="2327" hidden="1" s="59"/>
    <row r="2328" hidden="1" s="59"/>
    <row r="2329" hidden="1" s="59"/>
    <row r="2330" hidden="1" s="59"/>
    <row r="2331" hidden="1" s="59"/>
    <row r="2332" hidden="1" s="59"/>
    <row r="2333" hidden="1" s="59"/>
    <row r="2334" hidden="1" s="59"/>
    <row r="2335" hidden="1" s="59"/>
    <row r="2336" hidden="1" s="59"/>
    <row r="2337" hidden="1" s="59"/>
    <row r="2338" hidden="1" s="59"/>
    <row r="2339" hidden="1" s="59"/>
    <row r="2340" hidden="1" s="59"/>
    <row r="2341" hidden="1" s="59"/>
    <row r="2342" hidden="1" s="59"/>
    <row r="2343" hidden="1" s="59"/>
    <row r="2344" hidden="1" s="59"/>
    <row r="2345" hidden="1" s="59"/>
    <row r="2346" hidden="1" s="59"/>
    <row r="2347" hidden="1" s="59"/>
    <row r="2348" hidden="1" s="59"/>
    <row r="2349" hidden="1" s="59"/>
    <row r="2350" hidden="1" s="59"/>
    <row r="2351" hidden="1" s="59"/>
    <row r="2352" hidden="1" s="59"/>
    <row r="2353" hidden="1" s="59"/>
    <row r="2354" hidden="1" s="59"/>
    <row r="2356" hidden="1" s="59"/>
    <row r="2357" hidden="1" s="59"/>
    <row r="2358" hidden="1" s="59"/>
    <row r="2359" hidden="1" s="59"/>
    <row r="2360" hidden="1" s="59"/>
    <row r="2361" hidden="1" s="59"/>
    <row r="2362" hidden="1" s="59"/>
    <row r="2363" hidden="1" s="59"/>
    <row r="2364" hidden="1" s="59"/>
    <row r="2365" hidden="1" s="59"/>
    <row r="2366" hidden="1" s="59"/>
    <row r="2367" hidden="1" s="59"/>
    <row r="2368" hidden="1" s="59"/>
    <row r="2369" hidden="1" s="59"/>
    <row r="2370" hidden="1" s="59"/>
    <row r="2371" hidden="1" s="59"/>
    <row r="2372" hidden="1" s="59"/>
    <row r="2373" hidden="1" s="59"/>
    <row r="2374" hidden="1" s="59"/>
    <row r="2375" hidden="1" s="59"/>
    <row r="2376" hidden="1" s="59"/>
    <row r="2377" hidden="1" s="59"/>
    <row r="2378" hidden="1" s="59"/>
    <row r="2379" hidden="1" s="59"/>
    <row r="2380" hidden="1" s="59"/>
    <row r="2381" hidden="1" s="59"/>
    <row r="2382" hidden="1" s="59"/>
    <row r="2383" hidden="1" s="59"/>
    <row r="2384" hidden="1" s="59"/>
    <row r="2385" hidden="1" s="59"/>
    <row r="2386" hidden="1" s="59"/>
    <row r="2387" hidden="1" s="59"/>
    <row r="2388" hidden="1" s="59"/>
    <row r="2389" hidden="1" s="59"/>
    <row r="2390" hidden="1" s="59"/>
    <row r="2391" hidden="1" s="59"/>
    <row r="2392" hidden="1" s="59"/>
    <row r="2393" hidden="1" s="59"/>
    <row r="2394" hidden="1" s="59"/>
    <row r="2395" hidden="1" s="59"/>
    <row r="2396" hidden="1" s="59"/>
    <row r="2397" hidden="1" s="59"/>
    <row r="2398" hidden="1" s="59"/>
    <row r="2399" hidden="1" s="59"/>
    <row r="2400" hidden="1" s="59"/>
    <row r="2401" hidden="1" s="59"/>
    <row r="2402" hidden="1" s="59"/>
    <row r="2403" hidden="1" s="59"/>
    <row r="2404" hidden="1" s="59"/>
    <row r="2405" hidden="1" s="59"/>
    <row r="2406" hidden="1" s="59"/>
    <row r="2407" hidden="1" s="59"/>
    <row r="2408" hidden="1" s="59"/>
    <row r="2409" hidden="1" s="59"/>
    <row r="2410" hidden="1" s="59"/>
    <row r="2411" hidden="1" s="59"/>
    <row r="2412" hidden="1" s="59"/>
    <row r="2413" hidden="1" s="59"/>
    <row r="2414" hidden="1" s="59"/>
    <row r="2415" hidden="1" s="59"/>
    <row r="2416" hidden="1" s="59"/>
    <row r="2417" hidden="1" s="59"/>
    <row r="2418" hidden="1" s="59"/>
    <row r="2419" hidden="1" s="59"/>
    <row r="2420" hidden="1" s="59"/>
    <row r="2421" hidden="1" s="59"/>
    <row r="2422" hidden="1" s="59"/>
    <row r="2423" hidden="1" s="59"/>
    <row r="2424" hidden="1" s="59"/>
    <row r="2425" hidden="1" s="59"/>
    <row r="2426" hidden="1" s="59"/>
    <row r="2427" hidden="1" s="59"/>
    <row r="2428" hidden="1" s="59"/>
    <row r="2429" hidden="1" s="59"/>
    <row r="2431" hidden="1" s="59"/>
    <row r="2432" hidden="1" s="59"/>
    <row r="2433" hidden="1" s="59"/>
    <row r="2434" hidden="1" s="59"/>
    <row r="2435" hidden="1" s="59"/>
    <row r="2436" hidden="1" s="59"/>
    <row r="2437" hidden="1" s="59"/>
    <row r="2438" hidden="1" s="59"/>
    <row r="2439" hidden="1" s="59"/>
    <row r="2440" hidden="1" s="59"/>
    <row r="2441" hidden="1" s="59"/>
    <row r="2442" hidden="1" s="59"/>
    <row r="2443" hidden="1" s="59"/>
    <row r="2444" hidden="1" s="59"/>
    <row r="2445" hidden="1" s="59"/>
    <row r="2446" hidden="1" s="59"/>
    <row r="2447" hidden="1" s="59"/>
    <row r="2448" hidden="1" s="59"/>
    <row r="2449" hidden="1" s="59"/>
    <row r="2450" hidden="1" s="59"/>
    <row r="2451" hidden="1" s="59"/>
    <row r="2452" hidden="1" s="59"/>
    <row r="2453" hidden="1" s="59"/>
    <row r="2454" hidden="1" s="59"/>
    <row r="2455" hidden="1" s="59"/>
    <row r="2456" hidden="1" s="59"/>
    <row r="2457" hidden="1" s="59"/>
    <row r="2458" hidden="1" s="59"/>
    <row r="2459" hidden="1" s="59"/>
    <row r="2460" hidden="1" s="59"/>
    <row r="2461" hidden="1" s="59"/>
    <row r="2462" hidden="1" s="59"/>
    <row r="2463" hidden="1" s="59"/>
    <row r="2464" hidden="1" s="59"/>
    <row r="2465" hidden="1" s="59"/>
    <row r="2466" hidden="1" s="59"/>
    <row r="2467" hidden="1" s="59"/>
    <row r="2468" hidden="1" s="59"/>
    <row r="2469" hidden="1" s="59"/>
    <row r="2470" hidden="1" s="59"/>
    <row r="2471" hidden="1" s="59"/>
    <row r="2472" hidden="1" s="59"/>
    <row r="2473" hidden="1" s="59"/>
    <row r="2474" hidden="1" s="59"/>
    <row r="2475" hidden="1" s="59"/>
    <row r="2476" hidden="1" s="59"/>
    <row r="2477" hidden="1" s="59"/>
    <row r="2478" hidden="1" s="59"/>
    <row r="2479" hidden="1" s="59"/>
    <row r="2480" hidden="1" s="59"/>
    <row r="2481" hidden="1" s="59"/>
    <row r="2482" hidden="1" s="59"/>
    <row r="2483" hidden="1" s="59"/>
    <row r="2484" hidden="1" s="59"/>
    <row r="2485" hidden="1" s="59"/>
    <row r="2486" hidden="1" s="59"/>
    <row r="2487" hidden="1" s="59"/>
    <row r="2488" hidden="1" s="59"/>
    <row r="2489" hidden="1" s="59"/>
    <row r="2490" hidden="1" s="59"/>
    <row r="2491" hidden="1" s="59"/>
    <row r="2492" hidden="1" s="59"/>
    <row r="2494" hidden="1" s="59"/>
    <row r="2495" hidden="1" s="59"/>
    <row r="2496" hidden="1" s="59"/>
    <row r="2497" hidden="1" s="59"/>
    <row r="2498" hidden="1" s="59"/>
    <row r="2499" hidden="1" s="59"/>
    <row r="2500" hidden="1" s="59"/>
    <row r="2501" hidden="1" s="59"/>
    <row r="2502" hidden="1" s="59"/>
    <row r="2503" hidden="1" s="59"/>
    <row r="2504" hidden="1" s="59"/>
    <row r="2505" hidden="1" s="59"/>
    <row r="2506" hidden="1" s="59"/>
    <row r="2507" hidden="1" s="59"/>
    <row r="2508" hidden="1" s="59"/>
    <row r="2509" hidden="1" s="59"/>
    <row r="2510" hidden="1" s="59"/>
    <row r="2511" hidden="1" s="59"/>
    <row r="2512" hidden="1" s="59"/>
    <row r="2513" hidden="1" s="59"/>
    <row r="2514" hidden="1" s="59"/>
    <row r="2515" hidden="1" s="59"/>
    <row r="2516" hidden="1" s="59"/>
    <row r="2517" hidden="1" s="59"/>
    <row r="2518" hidden="1" s="59"/>
    <row r="2519" hidden="1" s="59"/>
    <row r="2520" hidden="1" s="59"/>
    <row r="2521" hidden="1" s="59"/>
    <row r="2522" hidden="1" s="59"/>
    <row r="2523" hidden="1" s="59"/>
    <row r="2524" hidden="1" s="59"/>
    <row r="2525" hidden="1" s="59"/>
    <row r="2526" hidden="1" s="59"/>
    <row r="2527" hidden="1" s="59"/>
    <row r="2528" hidden="1" s="59"/>
    <row r="2529" hidden="1" s="59"/>
    <row r="2530" hidden="1" s="59"/>
    <row r="2531" hidden="1" s="59"/>
    <row r="2532" hidden="1" s="59"/>
    <row r="2533" hidden="1" s="59"/>
    <row r="2534" hidden="1" s="59"/>
    <row r="2535" hidden="1" s="59"/>
    <row r="2536" hidden="1" s="59"/>
    <row r="2537" hidden="1" s="59"/>
    <row r="2538" hidden="1" s="59"/>
    <row r="2539" hidden="1" s="59"/>
    <row r="2540" hidden="1" s="59"/>
    <row r="2541" hidden="1" s="59"/>
    <row r="2542" hidden="1" s="59"/>
    <row r="2543" hidden="1" s="59"/>
    <row r="2544" hidden="1" s="59"/>
    <row r="2545" hidden="1" s="59"/>
    <row r="2546" hidden="1" s="59"/>
    <row r="2547" hidden="1" s="59"/>
    <row r="2548" hidden="1" s="59"/>
    <row r="2549" hidden="1" s="59"/>
    <row r="2550" hidden="1" s="59"/>
    <row r="2551" hidden="1" s="59"/>
    <row r="2552" hidden="1" s="59"/>
    <row r="2553" hidden="1" s="59"/>
    <row r="2554" hidden="1" s="59"/>
    <row r="2555" hidden="1" s="59"/>
    <row r="2556" hidden="1" s="59"/>
    <row r="2557" hidden="1" s="59"/>
    <row r="2558" hidden="1" s="59"/>
    <row r="2559" hidden="1" s="59"/>
    <row r="2560" hidden="1" s="59"/>
    <row r="2561" hidden="1" s="59"/>
    <row r="2562" hidden="1" s="59"/>
    <row r="2564" hidden="1" s="59"/>
    <row r="2565" hidden="1" s="59"/>
    <row r="2566" hidden="1" s="59"/>
    <row r="2567" hidden="1" s="59"/>
    <row r="2568" hidden="1" s="59"/>
    <row r="2569" hidden="1" s="59"/>
    <row r="2570" hidden="1" s="59"/>
    <row r="2571" hidden="1" s="59"/>
    <row r="2572" hidden="1" s="59"/>
    <row r="2573" hidden="1" s="59"/>
    <row r="2575" hidden="1" s="59"/>
    <row r="2576" hidden="1" s="59"/>
    <row r="2577" hidden="1" s="59"/>
    <row r="2578" hidden="1" s="59"/>
    <row r="2579" hidden="1" s="59"/>
    <row r="2580" hidden="1" s="59"/>
    <row r="2581" hidden="1" s="59"/>
    <row r="2582" hidden="1" s="59"/>
    <row r="2583" hidden="1" s="59"/>
    <row r="2584" hidden="1" s="59"/>
    <row r="2585" hidden="1" s="59"/>
    <row r="2586" hidden="1" s="59"/>
    <row r="2587" hidden="1" s="59"/>
    <row r="2588" hidden="1" s="59"/>
    <row r="2589" hidden="1" s="59"/>
    <row r="2590" hidden="1" s="59"/>
    <row r="2591" hidden="1" s="59"/>
    <row r="2592" hidden="1" s="59"/>
    <row r="2593" hidden="1" s="59"/>
    <row r="2594" hidden="1" s="59"/>
    <row r="2595" hidden="1" s="59"/>
    <row r="2596" hidden="1" s="59"/>
    <row r="2597" hidden="1" s="59"/>
    <row r="2598" hidden="1" s="59"/>
    <row r="2599" hidden="1" s="59"/>
    <row r="2600" hidden="1" s="59"/>
    <row r="2602" hidden="1" s="59"/>
    <row r="2603" hidden="1" s="59"/>
    <row r="2604" hidden="1" s="59"/>
    <row r="2605" hidden="1" s="59"/>
    <row r="2606" hidden="1" s="59"/>
    <row r="2607" hidden="1" s="59"/>
    <row r="2608" hidden="1" s="59"/>
    <row r="2609" hidden="1" s="59"/>
    <row r="2610" hidden="1" s="59"/>
    <row r="2611" hidden="1" s="59"/>
    <row r="2612" hidden="1" s="59"/>
    <row r="2613" hidden="1" s="59"/>
    <row r="2614" hidden="1" s="59"/>
    <row r="2615" hidden="1" s="59"/>
    <row r="2616" hidden="1" s="59"/>
    <row r="2617" hidden="1" s="59"/>
    <row r="2618" hidden="1" s="59"/>
    <row r="2620" hidden="1" s="59"/>
    <row r="2621" hidden="1" s="59"/>
    <row r="2622" hidden="1" s="59"/>
    <row r="2623" hidden="1" s="59"/>
    <row r="2624" hidden="1" s="59"/>
    <row r="2625" hidden="1" s="59"/>
    <row r="2626" hidden="1" s="59"/>
    <row r="2627" hidden="1" s="59"/>
    <row r="2628" hidden="1" s="59"/>
    <row r="2629" hidden="1" s="59"/>
    <row r="2630" hidden="1" s="59"/>
    <row r="2631" hidden="1" s="59"/>
    <row r="2632" hidden="1" s="59"/>
    <row r="2633" hidden="1" s="59"/>
    <row r="2634" hidden="1" s="59"/>
    <row r="2635" hidden="1" s="59"/>
    <row r="2636" hidden="1" s="59"/>
    <row r="2637" hidden="1" s="59"/>
    <row r="2638" hidden="1" s="59"/>
    <row r="2639" hidden="1" s="59"/>
    <row r="2640" hidden="1" s="59"/>
    <row r="2641" hidden="1" s="59"/>
    <row r="2642" hidden="1" s="59"/>
    <row r="2643" hidden="1" s="59"/>
    <row r="2644" hidden="1" s="59"/>
    <row r="2645" hidden="1" s="59"/>
    <row r="2646" hidden="1" s="59"/>
    <row r="2647" hidden="1" s="59"/>
    <row r="2648" hidden="1" s="59"/>
    <row r="2649" hidden="1" s="59"/>
    <row r="2650" hidden="1" s="59"/>
    <row r="2651" hidden="1" s="59"/>
    <row r="2652" hidden="1" s="59"/>
    <row r="2653" hidden="1" s="59"/>
    <row r="2654" hidden="1" s="59"/>
    <row r="2655" hidden="1" s="59"/>
    <row r="2656" hidden="1" s="59"/>
    <row r="2657" hidden="1" s="59"/>
    <row r="2658" hidden="1" s="59"/>
    <row r="2659" hidden="1" s="59"/>
    <row r="2660" hidden="1" s="59"/>
    <row r="2661" hidden="1" s="59"/>
    <row r="2662" hidden="1" s="59"/>
    <row r="2663" hidden="1" s="59"/>
    <row r="2664" hidden="1" s="59"/>
    <row r="2665" hidden="1" s="59"/>
    <row r="2666" hidden="1" s="59"/>
    <row r="2667" hidden="1" s="59"/>
    <row r="2669" hidden="1" s="59"/>
    <row r="2670" hidden="1" s="59"/>
    <row r="2671" hidden="1" s="59"/>
    <row r="2672" hidden="1" s="59"/>
    <row r="2673" hidden="1" s="59"/>
    <row r="2674" hidden="1" s="59"/>
    <row r="2675" hidden="1" s="59"/>
    <row r="2676" hidden="1" s="59"/>
    <row r="2677" hidden="1" s="59"/>
    <row r="2678" hidden="1" s="59"/>
    <row r="2679" hidden="1" s="59"/>
    <row r="2680" hidden="1" s="59"/>
    <row r="2681" hidden="1" s="59"/>
    <row r="2682" hidden="1" s="59"/>
    <row r="2683" hidden="1" s="59"/>
    <row r="2685" hidden="1" s="59"/>
    <row r="2686" hidden="1" s="59"/>
    <row r="2687" hidden="1" s="59"/>
    <row r="2688" hidden="1" s="59"/>
    <row r="2689" hidden="1" s="59"/>
    <row r="2690" hidden="1" s="59"/>
    <row r="2691" hidden="1" s="59"/>
    <row r="2692" hidden="1" s="59"/>
    <row r="2693" hidden="1" s="59"/>
    <row r="2694" hidden="1" s="59"/>
    <row r="2695" hidden="1" s="59"/>
    <row r="2696" hidden="1" s="59"/>
    <row r="2697" hidden="1" s="59"/>
    <row r="2698" hidden="1" s="59"/>
    <row r="2699" hidden="1" s="59"/>
    <row r="2700" hidden="1" s="59"/>
    <row r="2701" hidden="1" s="59"/>
    <row r="2702" hidden="1" s="59"/>
    <row r="2703" hidden="1" s="59"/>
    <row r="2704" hidden="1" s="59"/>
    <row r="2705" hidden="1" s="59"/>
    <row r="2706" hidden="1" s="59"/>
    <row r="2707" hidden="1" s="59"/>
    <row r="2708" hidden="1" s="59"/>
    <row r="2709" hidden="1" s="59"/>
    <row r="2710" hidden="1" s="59"/>
    <row r="2711" hidden="1" s="59"/>
    <row r="2712" hidden="1" s="59"/>
    <row r="2713" hidden="1" s="59"/>
    <row r="2714" hidden="1" s="59"/>
    <row r="2715" hidden="1" s="59"/>
    <row r="2716" hidden="1" s="59"/>
    <row r="2717" hidden="1" s="59"/>
    <row r="2718" hidden="1" s="59"/>
    <row r="2719" hidden="1" s="59"/>
    <row r="2720" hidden="1" s="59"/>
    <row r="2721" hidden="1" s="59"/>
    <row r="2722" hidden="1" s="59"/>
    <row r="2724" hidden="1" s="59"/>
    <row r="2725" hidden="1" s="59"/>
    <row r="2726" hidden="1" s="59"/>
    <row r="2727" hidden="1" s="59"/>
    <row r="2728" hidden="1" s="59"/>
    <row r="2729" hidden="1" s="59"/>
    <row r="2730" hidden="1" s="59"/>
    <row r="2731" hidden="1" s="59"/>
    <row r="2732" hidden="1" s="59"/>
    <row r="2733" hidden="1" s="59"/>
    <row r="2734" hidden="1" s="59"/>
    <row r="2735" hidden="1" s="59"/>
    <row r="2736" hidden="1" s="59"/>
    <row r="2737" hidden="1" s="59"/>
    <row r="2738" hidden="1" s="59"/>
    <row r="2739" hidden="1" s="59"/>
    <row r="2740" hidden="1" s="59"/>
    <row r="2741" hidden="1" s="59"/>
    <row r="2742" hidden="1" s="59"/>
    <row r="2743" hidden="1" s="59"/>
    <row r="2744" hidden="1" s="59"/>
    <row r="2745" hidden="1" s="59"/>
    <row r="2746" hidden="1" s="59"/>
    <row r="2747" hidden="1" s="59"/>
    <row r="2748" hidden="1" s="59"/>
    <row r="2749" hidden="1" s="59"/>
    <row r="2750" hidden="1" s="59"/>
    <row r="2751" hidden="1" s="59"/>
    <row r="2752" hidden="1" s="59"/>
    <row r="2753" hidden="1" s="59"/>
    <row r="2754" hidden="1" s="59"/>
    <row r="2755" hidden="1" s="59"/>
    <row r="2756" hidden="1" s="59"/>
    <row r="2757" hidden="1" s="59"/>
    <row r="2758" hidden="1" s="59"/>
    <row r="2759" hidden="1" s="59"/>
    <row r="2760" hidden="1" s="59"/>
    <row r="2761" hidden="1" s="59"/>
    <row r="2762" hidden="1" s="59"/>
    <row r="2763" hidden="1" s="59"/>
    <row r="2764" hidden="1" s="59"/>
    <row r="2765" hidden="1" s="59"/>
    <row r="2766" hidden="1" s="59"/>
    <row r="2767" hidden="1" s="59"/>
    <row r="2768" hidden="1" s="59"/>
    <row r="2769" hidden="1" s="59"/>
    <row r="2770" hidden="1" s="59"/>
    <row r="2771" hidden="1" s="59"/>
    <row r="2772" hidden="1" s="59"/>
    <row r="2774" hidden="1" s="59"/>
    <row r="2775" hidden="1" s="59"/>
    <row r="2776" hidden="1" s="59"/>
    <row r="2777" hidden="1" s="59"/>
    <row r="2778" hidden="1" s="59"/>
    <row r="2779" hidden="1" s="59"/>
    <row r="2780" hidden="1" s="59"/>
    <row r="2781" hidden="1" s="59"/>
    <row r="2782" hidden="1" s="59"/>
    <row r="2783" hidden="1" s="59"/>
    <row r="2784" hidden="1" s="59"/>
    <row r="2785" hidden="1" s="59"/>
    <row r="2786" hidden="1" s="59"/>
    <row r="2787" hidden="1" s="59"/>
    <row r="2788" hidden="1" s="59"/>
    <row r="2789" hidden="1" s="59"/>
    <row r="2790" hidden="1" s="59"/>
    <row r="2791" hidden="1" s="59"/>
    <row r="2792" hidden="1" s="59"/>
    <row r="2793" hidden="1" s="59"/>
    <row r="2794" hidden="1" s="59"/>
    <row r="2795" hidden="1" s="59"/>
    <row r="2796" hidden="1" s="59"/>
    <row r="2797" hidden="1" s="59"/>
    <row r="2798" hidden="1" s="59"/>
    <row r="2799" hidden="1" s="59"/>
    <row r="2800" hidden="1" s="59"/>
    <row r="2801" hidden="1" s="59"/>
    <row r="2802" hidden="1" s="59"/>
    <row r="2803" hidden="1" s="59"/>
    <row r="2804" hidden="1" s="59"/>
    <row r="2805" hidden="1" s="59"/>
    <row r="2806" hidden="1" s="59"/>
    <row r="2807" hidden="1" s="59"/>
    <row r="2808" hidden="1" s="59"/>
    <row r="2809" hidden="1" s="59"/>
    <row r="2810" hidden="1" s="59"/>
    <row r="2811" hidden="1" s="59"/>
    <row r="2812" hidden="1" s="59"/>
    <row r="2813" hidden="1" s="59"/>
    <row r="2814" hidden="1" s="59"/>
    <row r="2815" hidden="1" s="59"/>
    <row r="2816" hidden="1" s="59"/>
    <row r="2817" hidden="1" s="59"/>
    <row r="2818" hidden="1" s="59"/>
    <row r="2819" hidden="1" s="59"/>
    <row r="2820" hidden="1" s="59"/>
    <row r="2821" hidden="1" s="59"/>
    <row r="2822" hidden="1" s="59"/>
    <row r="2823" hidden="1" s="59"/>
    <row r="2824" hidden="1" s="59"/>
    <row r="2825" hidden="1" s="59"/>
    <row r="2826" hidden="1" s="59"/>
    <row r="2827" hidden="1" s="59"/>
    <row r="2828" hidden="1" s="59"/>
    <row r="2829" hidden="1" s="59"/>
    <row r="2830" hidden="1" s="59"/>
    <row r="2831" hidden="1" s="59"/>
    <row r="2832" hidden="1" s="59"/>
    <row r="2833" hidden="1" s="59"/>
    <row r="2834" hidden="1" s="59"/>
    <row r="2835" hidden="1" s="59"/>
    <row r="2836" hidden="1" s="59"/>
    <row r="2837" hidden="1" s="59"/>
    <row r="2838" hidden="1" s="59"/>
    <row r="2839" hidden="1" s="59"/>
    <row r="2840" hidden="1" s="59"/>
    <row r="2841" hidden="1" s="59"/>
    <row r="2842" hidden="1" s="59"/>
    <row r="2843" hidden="1" s="59"/>
    <row r="2844" hidden="1" s="59"/>
    <row r="2845" hidden="1" s="59"/>
    <row r="2846" hidden="1" s="59"/>
    <row r="2847" hidden="1" s="59"/>
    <row r="2848" hidden="1" s="59"/>
    <row r="2849" hidden="1" s="59"/>
    <row r="2850" hidden="1" s="59"/>
    <row r="2851" hidden="1" s="59"/>
    <row r="2852" hidden="1" s="59"/>
    <row r="2853" hidden="1" s="59"/>
    <row r="2854" hidden="1" s="59"/>
    <row r="2855" hidden="1" s="59"/>
    <row r="2856" hidden="1" s="59"/>
    <row r="2857" hidden="1" s="59"/>
    <row r="2858" hidden="1" s="59"/>
    <row r="2859" hidden="1" s="59"/>
    <row r="2860" hidden="1" s="59"/>
    <row r="2861" hidden="1" s="59"/>
    <row r="2862" hidden="1" s="59"/>
    <row r="2863" hidden="1" s="59"/>
    <row r="2864" hidden="1" s="59"/>
    <row r="2865" hidden="1" s="59"/>
    <row r="2866" hidden="1" s="59"/>
    <row r="2867" hidden="1" s="59"/>
    <row r="2868" hidden="1" s="59"/>
    <row r="2869" hidden="1" s="59"/>
    <row r="2870" hidden="1" s="59"/>
    <row r="2871" hidden="1" s="59"/>
    <row r="2872" hidden="1" s="59"/>
    <row r="2873" hidden="1" s="59"/>
    <row r="2874" hidden="1" s="59"/>
    <row r="2875" hidden="1" s="59"/>
    <row r="2876" hidden="1" s="59"/>
    <row r="2877" hidden="1" s="59"/>
    <row r="2878" hidden="1" s="59"/>
    <row r="2879" hidden="1" s="59"/>
    <row r="2880" hidden="1" s="59"/>
    <row r="2881" hidden="1" s="59"/>
    <row r="2882" hidden="1" s="59"/>
    <row r="2883" hidden="1" s="59"/>
    <row r="2884" hidden="1" s="59"/>
    <row r="2885" hidden="1" s="59"/>
    <row r="2886" hidden="1" s="59"/>
    <row r="2887" hidden="1" s="59"/>
    <row r="2888" hidden="1" s="59"/>
    <row r="2889" hidden="1" s="59"/>
    <row r="2890" hidden="1" s="59"/>
    <row r="2891" hidden="1" s="59"/>
    <row r="2892" hidden="1" s="59"/>
    <row r="2893" hidden="1" s="59"/>
    <row r="2894" hidden="1" s="59"/>
    <row r="2895" hidden="1" s="59"/>
    <row r="2896" hidden="1" s="59"/>
    <row r="2897" hidden="1" s="59"/>
    <row r="2898" hidden="1" s="59"/>
    <row r="2899" hidden="1" s="59"/>
    <row r="2900" hidden="1" s="59"/>
    <row r="2901" hidden="1" s="59"/>
    <row r="2902" hidden="1" s="59"/>
    <row r="2903" hidden="1" s="59"/>
    <row r="2904" hidden="1" s="59"/>
    <row r="2905" hidden="1" s="59"/>
    <row r="2906" hidden="1" s="59"/>
    <row r="2907" hidden="1" s="59"/>
    <row r="2908" hidden="1" s="59"/>
    <row r="2909" hidden="1" s="59"/>
    <row r="2910" hidden="1" s="59"/>
    <row r="2911" hidden="1" s="59"/>
    <row r="2912" hidden="1" s="59"/>
    <row r="2913" hidden="1" s="59"/>
    <row r="2914" hidden="1" s="59"/>
    <row r="2915" hidden="1" s="59"/>
    <row r="2916" hidden="1" s="59"/>
    <row r="2917" hidden="1" s="59"/>
    <row r="2918" hidden="1" s="59"/>
    <row r="2919" hidden="1" s="59"/>
    <row r="2920" hidden="1" s="59"/>
    <row r="2921" hidden="1" s="59"/>
    <row r="2922" hidden="1" s="59"/>
    <row r="2923" hidden="1" s="59"/>
    <row r="2924" hidden="1" s="59"/>
    <row r="2925" hidden="1" s="59"/>
    <row r="2926" hidden="1" s="59"/>
    <row r="2927" hidden="1" s="59"/>
    <row r="2928" hidden="1" s="59"/>
    <row r="2929" hidden="1" s="59"/>
    <row r="2930" hidden="1" s="59"/>
    <row r="2931" hidden="1" s="59"/>
    <row r="2932" hidden="1" s="59"/>
    <row r="2933" hidden="1" s="59"/>
    <row r="2934" hidden="1" s="59"/>
    <row r="2935" hidden="1" s="59"/>
    <row r="2936" hidden="1" s="59"/>
    <row r="2937" hidden="1" s="59"/>
    <row r="2938" hidden="1" s="59"/>
    <row r="2939" hidden="1" s="59"/>
    <row r="2940" hidden="1" s="59"/>
    <row r="2941" hidden="1" s="59"/>
    <row r="2942" hidden="1" s="59"/>
    <row r="2943" hidden="1" s="59"/>
    <row r="2944" hidden="1" s="59"/>
    <row r="2945" hidden="1" s="59"/>
    <row r="2946" hidden="1" s="59"/>
    <row r="2947" hidden="1" s="59"/>
    <row r="2948" hidden="1" s="59"/>
    <row r="2949" hidden="1" s="59"/>
    <row r="2950" hidden="1" s="59"/>
    <row r="2951" hidden="1" s="59"/>
    <row r="2952" hidden="1" s="59"/>
    <row r="2953" hidden="1" s="59"/>
    <row r="2954" hidden="1" s="59"/>
    <row r="2955" hidden="1" s="59"/>
    <row r="2956" hidden="1" s="59"/>
    <row r="2957" hidden="1" s="59"/>
    <row r="2958" hidden="1" s="59"/>
    <row r="2959" hidden="1" s="59"/>
    <row r="2960" hidden="1" s="59"/>
    <row r="2961" hidden="1" s="59"/>
    <row r="2962" hidden="1" s="59"/>
    <row r="2963" hidden="1" s="59"/>
    <row r="2964" hidden="1" s="59"/>
    <row r="2965" hidden="1" s="59"/>
    <row r="2966" hidden="1" s="59"/>
    <row r="2967" hidden="1" s="59"/>
    <row r="2968" hidden="1" s="59"/>
    <row r="2969" hidden="1" s="59"/>
    <row r="2970" hidden="1" s="59"/>
    <row r="2971" hidden="1" s="59"/>
    <row r="2972" hidden="1" s="59"/>
    <row r="2973" hidden="1" s="59"/>
    <row r="2974" hidden="1" s="59"/>
    <row r="2975" hidden="1" s="59"/>
    <row r="2976" hidden="1" s="59"/>
    <row r="2977" hidden="1" s="59"/>
    <row r="2978" hidden="1" s="59"/>
    <row r="2979" hidden="1" s="59"/>
    <row r="2980" hidden="1" s="59"/>
    <row r="2981" hidden="1" s="59"/>
    <row r="2982" hidden="1" s="59"/>
    <row r="2983" hidden="1" s="59"/>
    <row r="2984" hidden="1" s="59"/>
    <row r="2985" hidden="1" s="59"/>
    <row r="2986" hidden="1" s="59"/>
    <row r="2987" hidden="1" s="59"/>
    <row r="2988" hidden="1" s="59"/>
    <row r="2989" hidden="1" s="59"/>
    <row r="2990" hidden="1" s="59"/>
    <row r="2991" hidden="1" s="59"/>
    <row r="2992" hidden="1" s="59"/>
    <row r="2993" hidden="1" s="59"/>
    <row r="2994" hidden="1" s="59"/>
    <row r="2995" hidden="1" s="59"/>
    <row r="2996" hidden="1" s="59"/>
    <row r="2997" hidden="1" s="59"/>
    <row r="2998" hidden="1" s="59"/>
    <row r="2999" hidden="1" s="59"/>
    <row r="3000" hidden="1" s="59"/>
    <row r="3001" hidden="1" s="59"/>
    <row r="3002" hidden="1" s="59"/>
    <row r="3003" hidden="1" s="59"/>
    <row r="3004" hidden="1" s="59"/>
    <row r="3005" hidden="1" s="59"/>
    <row r="3006" hidden="1" s="59"/>
    <row r="3007" hidden="1" s="59"/>
    <row r="3008" hidden="1" s="59"/>
    <row r="3009" hidden="1" s="59"/>
    <row r="3010" hidden="1" s="59"/>
    <row r="3011" hidden="1" s="59"/>
    <row r="3012" hidden="1" s="59"/>
    <row r="3013" hidden="1" s="59"/>
    <row r="3014" hidden="1" s="59"/>
    <row r="3015" hidden="1" s="59"/>
    <row r="3016" hidden="1" s="59"/>
    <row r="3017" hidden="1" s="59"/>
    <row r="3018" hidden="1" s="59"/>
    <row r="3019" hidden="1" s="59"/>
    <row r="3020" hidden="1" s="59"/>
    <row r="3021" hidden="1" s="59"/>
    <row r="3022" hidden="1" s="59"/>
    <row r="3023" hidden="1" s="59"/>
    <row r="3024" hidden="1" s="59"/>
    <row r="3025" hidden="1" s="59"/>
    <row r="3026" hidden="1" s="59"/>
    <row r="3027" hidden="1" s="59"/>
    <row r="3028" hidden="1" s="59"/>
    <row r="3029" hidden="1" s="59"/>
    <row r="3030" hidden="1" s="59"/>
    <row r="3031" hidden="1" s="59"/>
    <row r="3032" hidden="1" s="59"/>
    <row r="3033" hidden="1" s="59"/>
    <row r="3034" hidden="1" s="59"/>
    <row r="3035" hidden="1" s="59"/>
    <row r="3036" hidden="1" s="59"/>
    <row r="3037" hidden="1" s="59"/>
    <row r="3038" hidden="1" s="59"/>
    <row r="3039" hidden="1" s="59"/>
    <row r="3041" hidden="1" s="59"/>
    <row r="3042" hidden="1" s="59"/>
    <row r="3043" hidden="1" s="59"/>
    <row r="3044" hidden="1" s="59"/>
    <row r="3045" hidden="1" s="59"/>
    <row r="3046" hidden="1" s="59"/>
    <row r="3047" hidden="1" s="59"/>
    <row r="3048" hidden="1" s="59"/>
    <row r="3049" hidden="1" s="59"/>
    <row r="3050" hidden="1" s="59"/>
    <row r="3051" hidden="1" s="59"/>
    <row r="3052" hidden="1" s="59"/>
    <row r="3053" hidden="1" s="59"/>
    <row r="3054" hidden="1" s="59"/>
    <row r="3055" hidden="1" s="59"/>
    <row r="3056" hidden="1" s="59"/>
    <row r="3057" hidden="1" s="59"/>
    <row r="3058" hidden="1" s="59"/>
    <row r="3059" hidden="1" s="59"/>
    <row r="3060" hidden="1" s="59"/>
    <row r="3061" hidden="1" s="59"/>
    <row r="3062" hidden="1" s="59"/>
    <row r="3063" hidden="1" s="59"/>
    <row r="3064" hidden="1" s="59"/>
    <row r="3065" hidden="1" s="59"/>
    <row r="3066" hidden="1" s="59"/>
    <row r="3067" hidden="1" s="59"/>
    <row r="3068" hidden="1" s="59"/>
    <row r="3069" hidden="1" s="59"/>
    <row r="3070" hidden="1" s="59"/>
    <row r="3071" hidden="1" s="59"/>
    <row r="3072" hidden="1" s="59"/>
    <row r="3073" hidden="1" s="59"/>
    <row r="3074" hidden="1" s="59"/>
    <row r="3075" hidden="1" s="59"/>
    <row r="3076" hidden="1" s="59"/>
    <row r="3077" hidden="1" s="59"/>
    <row r="3078" hidden="1" s="59"/>
    <row r="3079" hidden="1" s="59"/>
    <row r="3080" hidden="1" s="59"/>
    <row r="3081" hidden="1" s="59"/>
    <row r="3082" hidden="1" s="59"/>
    <row r="3083" hidden="1" s="59"/>
    <row r="3084" hidden="1" s="59"/>
    <row r="3085" hidden="1" s="59"/>
    <row r="3086" hidden="1" s="59"/>
    <row r="3087" hidden="1" s="59"/>
    <row r="3088" hidden="1" s="59"/>
    <row r="3089" hidden="1" s="59"/>
    <row r="3090" hidden="1" s="59"/>
    <row r="3091" hidden="1" s="59"/>
    <row r="3092" hidden="1" s="59"/>
    <row r="3093" hidden="1" s="59"/>
    <row r="3094" hidden="1" s="59"/>
    <row r="3095" hidden="1" s="59"/>
    <row r="3096" hidden="1" s="59"/>
    <row r="3097" hidden="1" s="59"/>
    <row r="3098" hidden="1" s="59"/>
    <row r="3099" hidden="1" s="59"/>
    <row r="3100" hidden="1" s="59"/>
    <row r="3101" hidden="1" s="59"/>
    <row r="3102" hidden="1" s="59"/>
    <row r="3103" hidden="1" s="59"/>
    <row r="3104" hidden="1" s="59"/>
    <row r="3105" hidden="1" s="59"/>
    <row r="3106" hidden="1" s="59"/>
    <row r="3107" hidden="1" s="59"/>
    <row r="3108" hidden="1" s="59"/>
    <row r="3109" hidden="1" s="59"/>
    <row r="3110" hidden="1" s="59"/>
    <row r="3111" hidden="1" s="59"/>
    <row r="3112" hidden="1" s="59"/>
    <row r="3113" hidden="1" s="59"/>
    <row r="3114" hidden="1" s="59"/>
    <row r="3115" hidden="1" s="59"/>
    <row r="3116" hidden="1" s="59"/>
    <row r="3117" hidden="1" s="59"/>
    <row r="3118" hidden="1" s="59"/>
    <row r="3119" hidden="1" s="59"/>
    <row r="3120" hidden="1" s="59"/>
    <row r="3121" hidden="1" s="59"/>
    <row r="3122" hidden="1" s="59"/>
    <row r="3123" hidden="1" s="59"/>
    <row r="3124" hidden="1" s="59"/>
    <row r="3125" hidden="1" s="59"/>
    <row r="3126" hidden="1" s="59"/>
    <row r="3127" hidden="1" s="59"/>
    <row r="3128" hidden="1" s="59"/>
    <row r="3129" hidden="1" s="59"/>
    <row r="3130" hidden="1" s="59"/>
    <row r="3131" hidden="1" s="59"/>
    <row r="3132" hidden="1" s="59"/>
    <row r="3133" hidden="1" s="59"/>
    <row r="3134" hidden="1" s="59"/>
    <row r="3135" hidden="1" s="59"/>
    <row r="3136" hidden="1" s="59"/>
    <row r="3137" hidden="1" s="59"/>
    <row r="3138" hidden="1" s="59"/>
    <row r="3139" hidden="1" s="59"/>
    <row r="3140" hidden="1" s="59"/>
    <row r="3141" hidden="1" s="59"/>
    <row r="3142" hidden="1" s="59"/>
    <row r="3143" hidden="1" s="59"/>
    <row r="3144" hidden="1" s="59"/>
    <row r="3145" hidden="1" s="59"/>
    <row r="3146" hidden="1" s="59"/>
    <row r="3147" hidden="1" s="59"/>
    <row r="3148" hidden="1" s="59"/>
    <row r="3149" hidden="1" s="59"/>
    <row r="3150" hidden="1" s="59"/>
    <row r="3151" hidden="1" s="59"/>
    <row r="3152" hidden="1" s="59"/>
    <row r="3153" hidden="1" s="59"/>
    <row r="3154" hidden="1" s="59"/>
    <row r="3155" hidden="1" s="59"/>
    <row r="3156" hidden="1" s="59"/>
    <row r="3157" hidden="1" s="59"/>
    <row r="3158" hidden="1" s="59"/>
    <row r="3159" hidden="1" s="59"/>
    <row r="3160" hidden="1" s="59"/>
    <row r="3161" hidden="1" s="59"/>
    <row r="3162" hidden="1" s="59"/>
    <row r="3163" hidden="1" s="59"/>
    <row r="3164" hidden="1" s="59"/>
    <row r="3165" hidden="1" s="59"/>
    <row r="3166" hidden="1" s="59"/>
    <row r="3167" hidden="1" s="59"/>
    <row r="3168" hidden="1" s="59"/>
    <row r="3169" hidden="1" s="59"/>
    <row r="3170" hidden="1" s="59"/>
    <row r="3171" hidden="1" s="59"/>
    <row r="3172" hidden="1" s="59"/>
    <row r="3173" hidden="1" s="59"/>
    <row r="3174" hidden="1" s="59"/>
    <row r="3175" hidden="1" s="59"/>
    <row r="3176" hidden="1" s="59"/>
    <row r="3177" hidden="1" s="59"/>
    <row r="3178" hidden="1" s="59"/>
    <row r="3179" hidden="1" s="59"/>
    <row r="3180" hidden="1" s="59"/>
    <row r="3181" hidden="1" s="59"/>
    <row r="3182" hidden="1" s="59"/>
    <row r="3184" hidden="1" s="59"/>
    <row r="3185" hidden="1" s="59"/>
    <row r="3186" hidden="1" s="59"/>
    <row r="3187" hidden="1" s="59"/>
    <row r="3188" hidden="1" s="59"/>
    <row r="3189" hidden="1" s="59"/>
    <row r="3190" hidden="1" s="59"/>
    <row r="3191" hidden="1" s="59"/>
    <row r="3192" hidden="1" s="59"/>
    <row r="3193" hidden="1" s="59"/>
    <row r="3194" hidden="1" s="59"/>
    <row r="3195" hidden="1" s="59"/>
    <row r="3196" hidden="1" s="59"/>
    <row r="3197" hidden="1" s="59"/>
    <row r="3198" hidden="1" s="59"/>
    <row r="3199" hidden="1" s="59"/>
    <row r="3200" hidden="1" s="59"/>
    <row r="3201" hidden="1" s="59"/>
    <row r="3202" hidden="1" s="59"/>
    <row r="3203" hidden="1" s="59"/>
    <row r="3204" hidden="1" s="59"/>
    <row r="3205" hidden="1" s="59"/>
    <row r="3206" hidden="1" s="59"/>
    <row r="3207" hidden="1" s="59"/>
    <row r="3208" hidden="1" s="59"/>
    <row r="3209" hidden="1" s="59"/>
    <row r="3210" hidden="1" s="59"/>
    <row r="3211" hidden="1" s="59"/>
    <row r="3212" hidden="1" s="59"/>
    <row r="3213" hidden="1" s="59"/>
    <row r="3214" hidden="1" s="59"/>
    <row r="3215" hidden="1" s="59"/>
    <row r="3216" hidden="1" s="59"/>
    <row r="3217" hidden="1" s="59"/>
    <row r="3218" hidden="1" s="59"/>
    <row r="3219" hidden="1" s="59"/>
    <row r="3220" hidden="1" s="59"/>
    <row r="3221" hidden="1" s="59"/>
    <row r="3222" hidden="1" s="59"/>
    <row r="3223" hidden="1" s="59"/>
    <row r="3224" hidden="1" s="59"/>
    <row r="3225" hidden="1" s="59"/>
    <row r="3226" hidden="1" s="59"/>
    <row r="3227" hidden="1" s="59"/>
    <row r="3228" hidden="1" s="59"/>
    <row r="3229" hidden="1" s="59"/>
    <row r="3230" hidden="1" s="59"/>
    <row r="3231" hidden="1" s="59"/>
    <row r="3232" hidden="1" s="59"/>
    <row r="3233" hidden="1" s="59"/>
    <row r="3234" hidden="1" s="59"/>
    <row r="3235" hidden="1" s="59"/>
    <row r="3236" hidden="1" s="59"/>
    <row r="3237" hidden="1" s="59"/>
    <row r="3238" hidden="1" s="59"/>
    <row r="3239" hidden="1" s="59"/>
    <row r="3240" hidden="1" s="59"/>
    <row r="3241" hidden="1" s="59"/>
    <row r="3242" hidden="1" s="59"/>
    <row r="3243" hidden="1" s="59"/>
    <row r="3244" hidden="1" s="59"/>
    <row r="3245" hidden="1" s="59"/>
    <row r="3246" hidden="1" s="59"/>
    <row r="3247" hidden="1" s="59"/>
    <row r="3248" hidden="1" s="59"/>
    <row r="3249" hidden="1" s="59"/>
    <row r="3250" hidden="1" s="59"/>
    <row r="3251" hidden="1" s="59"/>
    <row r="3252" hidden="1" s="59"/>
    <row r="3253" hidden="1" s="59"/>
    <row r="3254" hidden="1" s="59"/>
    <row r="3255" hidden="1" s="59"/>
    <row r="3256" hidden="1" s="59"/>
    <row r="3257" hidden="1" s="59"/>
    <row r="3258" hidden="1" s="59"/>
    <row r="3259" hidden="1" s="59"/>
    <row r="3260" hidden="1" s="59"/>
    <row r="3261" hidden="1" s="59"/>
    <row r="3263" hidden="1" s="59"/>
    <row r="3264" hidden="1" s="59"/>
    <row r="3265" hidden="1" s="59"/>
    <row r="3266" hidden="1" s="59"/>
    <row r="3267" hidden="1" s="59"/>
    <row r="3268" hidden="1" s="59"/>
    <row r="3269" hidden="1" s="59"/>
    <row r="3270" hidden="1" s="59"/>
    <row r="3271" hidden="1" s="59"/>
    <row r="3272" hidden="1" s="59"/>
    <row r="3273" hidden="1" s="59"/>
    <row r="3274" hidden="1" s="59"/>
    <row r="3275" hidden="1" s="59"/>
    <row r="3276" hidden="1" s="59"/>
    <row r="3277" hidden="1" s="59"/>
    <row r="3278" hidden="1" s="59"/>
    <row r="3279" hidden="1" s="59"/>
    <row r="3280" hidden="1" s="59"/>
    <row r="3281" hidden="1" s="59"/>
    <row r="3282" hidden="1" s="59"/>
    <row r="3283" hidden="1" s="59"/>
    <row r="3284" hidden="1" s="59"/>
    <row r="3285" hidden="1" s="59"/>
    <row r="3286" hidden="1" s="59"/>
    <row r="3287" hidden="1" s="59"/>
    <row r="3288" hidden="1" s="59"/>
    <row r="3289" hidden="1" s="59"/>
    <row r="3290" hidden="1" s="59"/>
    <row r="3291" hidden="1" s="59"/>
    <row r="3292" hidden="1" s="59"/>
    <row r="3293" hidden="1" s="59"/>
    <row r="3294" hidden="1" s="59"/>
    <row r="3295" hidden="1" s="59"/>
    <row r="3296" hidden="1" s="59"/>
    <row r="3297" hidden="1" s="59"/>
    <row r="3298" hidden="1" s="59"/>
    <row r="3299" hidden="1" s="59"/>
    <row r="3300" hidden="1" s="59"/>
    <row r="3301" hidden="1" s="59"/>
    <row r="3302" hidden="1" s="59"/>
    <row r="3303" hidden="1" s="59"/>
    <row r="3304" hidden="1" s="59"/>
    <row r="3305" hidden="1" s="59"/>
    <row r="3306" hidden="1" s="59"/>
    <row r="3307" hidden="1" s="59"/>
    <row r="3308" hidden="1" s="59"/>
    <row r="3309" hidden="1" s="59"/>
    <row r="3310" hidden="1" s="59"/>
    <row r="3311" hidden="1" s="59"/>
    <row r="3312" hidden="1" s="59"/>
    <row r="3313" hidden="1" s="59"/>
    <row r="3314" hidden="1" s="59"/>
    <row r="3315" hidden="1" s="59"/>
    <row r="3316" hidden="1" s="59"/>
    <row r="3317" hidden="1" s="59"/>
    <row r="3318" hidden="1" s="59"/>
    <row r="3319" hidden="1" s="59"/>
    <row r="3320" hidden="1" s="59"/>
    <row r="3321" hidden="1" s="59"/>
    <row r="3322" hidden="1" s="59"/>
    <row r="3323" hidden="1" s="59"/>
    <row r="3324" hidden="1" s="59"/>
    <row r="3325" hidden="1" s="59"/>
    <row r="3326" hidden="1" s="59"/>
    <row r="3327" hidden="1" s="59"/>
    <row r="3328" hidden="1" s="59"/>
    <row r="3329" hidden="1" s="59"/>
    <row r="3330" hidden="1" s="59"/>
    <row r="3331" hidden="1" s="59"/>
    <row r="3333" hidden="1" s="59"/>
    <row r="3334" hidden="1" s="59"/>
    <row r="3335" hidden="1" s="59"/>
    <row r="3336" hidden="1" s="59"/>
    <row r="3337" hidden="1" s="59"/>
    <row r="3338" hidden="1" s="59"/>
    <row r="3339" hidden="1" s="59"/>
    <row r="3340" hidden="1" s="59"/>
    <row r="3341" hidden="1" s="59"/>
    <row r="3342" hidden="1" s="59"/>
    <row r="3343" hidden="1" s="59"/>
    <row r="3344" hidden="1" s="59"/>
    <row r="3345" hidden="1" s="59"/>
    <row r="3346" hidden="1" s="59"/>
    <row r="3347" hidden="1" s="59"/>
    <row r="3348" hidden="1" s="59"/>
    <row r="3349" hidden="1" s="59"/>
    <row r="3350" hidden="1" s="59"/>
    <row r="3351" hidden="1" s="59"/>
    <row r="3352" hidden="1" s="59"/>
    <row r="3353" hidden="1" s="59"/>
    <row r="3354" hidden="1" s="59"/>
    <row r="3355" hidden="1" s="59"/>
    <row r="3356" hidden="1" s="59"/>
    <row r="3357" hidden="1" s="59"/>
    <row r="3358" hidden="1" s="59"/>
    <row r="3359" hidden="1" s="59"/>
    <row r="3360" hidden="1" s="59"/>
    <row r="3361" hidden="1" s="59"/>
    <row r="3362" hidden="1" s="59"/>
    <row r="3363" hidden="1" s="59"/>
    <row r="3364" hidden="1" s="59"/>
    <row r="3365" hidden="1" s="59"/>
    <row r="3366" hidden="1" s="59"/>
    <row r="3367" hidden="1" s="59"/>
    <row r="3368" hidden="1" s="59"/>
    <row r="3369" hidden="1" s="59"/>
    <row r="3370" hidden="1" s="59"/>
    <row r="3371" hidden="1" s="59"/>
    <row r="3372" hidden="1" s="59"/>
    <row r="3373" hidden="1" s="59"/>
    <row r="3374" hidden="1" s="59"/>
    <row r="3375" hidden="1" s="59"/>
    <row r="3376" hidden="1" s="59"/>
    <row r="3377" hidden="1" s="59"/>
    <row r="3378" hidden="1" s="59"/>
    <row r="3379" hidden="1" s="59"/>
    <row r="3380" hidden="1" s="59"/>
    <row r="3381" hidden="1" s="59"/>
    <row r="3382" hidden="1" s="59"/>
    <row r="3383" hidden="1" s="59"/>
    <row r="3384" hidden="1" s="59"/>
    <row r="3385" hidden="1" s="59"/>
    <row r="3386" hidden="1" s="59"/>
    <row r="3387" hidden="1" s="59"/>
    <row r="3388" hidden="1" s="59"/>
    <row r="3389" hidden="1" s="59"/>
    <row r="3390" hidden="1" s="59"/>
    <row r="3391" hidden="1" s="59"/>
    <row r="3392" hidden="1" s="59"/>
    <row r="3393" hidden="1" s="59"/>
    <row r="3394" hidden="1" s="59"/>
    <row r="3395" hidden="1" s="59"/>
    <row r="3396" hidden="1" s="59"/>
    <row r="3397" hidden="1" s="59"/>
    <row r="3398" hidden="1" s="59"/>
    <row r="3400" hidden="1" s="59"/>
    <row r="3401" hidden="1" s="59"/>
    <row r="3402" hidden="1" s="59"/>
    <row r="3403" hidden="1" s="59"/>
    <row r="3404" hidden="1" s="59"/>
    <row r="3405" hidden="1" s="59"/>
    <row r="3406" hidden="1" s="59"/>
    <row r="3407" hidden="1" s="59"/>
    <row r="3408" hidden="1" s="59"/>
    <row r="3409" hidden="1" s="59"/>
    <row r="3410" hidden="1" s="59"/>
    <row r="3411" hidden="1" s="59"/>
    <row r="3412" hidden="1" s="59"/>
    <row r="3413" hidden="1" s="59"/>
    <row r="3414" hidden="1" s="59"/>
    <row r="3415" hidden="1" s="59"/>
    <row r="3416" hidden="1" s="59"/>
    <row r="3417" hidden="1" s="59"/>
    <row r="3418" hidden="1" s="59"/>
    <row r="3419" hidden="1" s="59"/>
    <row r="3420" hidden="1" s="59"/>
    <row r="3421" hidden="1" s="59"/>
    <row r="3422" hidden="1" s="59"/>
    <row r="3423" hidden="1" s="59"/>
    <row r="3424" hidden="1" s="59"/>
    <row r="3425" hidden="1" s="59"/>
    <row r="3426" hidden="1" s="59"/>
    <row r="3427" hidden="1" s="59"/>
    <row r="3428" hidden="1" s="59"/>
    <row r="3429" hidden="1" s="59"/>
    <row r="3430" hidden="1" s="59"/>
    <row r="3431" hidden="1" s="59"/>
    <row r="3432" hidden="1" s="59"/>
    <row r="3433" hidden="1" s="59"/>
    <row r="3434" hidden="1" s="59"/>
    <row r="3435" hidden="1" s="59"/>
    <row r="3436" hidden="1" s="59"/>
    <row r="3437" hidden="1" s="59"/>
    <row r="3438" hidden="1" s="59"/>
    <row r="3439" hidden="1" s="59"/>
    <row r="3440" hidden="1" s="59"/>
    <row r="3441" hidden="1" s="59"/>
    <row r="3442" hidden="1" s="59"/>
    <row r="3443" hidden="1" s="59"/>
    <row r="3444" hidden="1" s="59"/>
    <row r="3445" hidden="1" s="59"/>
    <row r="3446" hidden="1" s="59"/>
    <row r="3447" hidden="1" s="59"/>
    <row r="3448" hidden="1" s="59"/>
    <row r="3449" hidden="1" s="59"/>
    <row r="3450" hidden="1" s="59"/>
    <row r="3451" hidden="1" s="59"/>
    <row r="3452" hidden="1" s="59"/>
    <row r="3453" hidden="1" s="59"/>
    <row r="3454" hidden="1" s="59"/>
    <row r="3455" hidden="1" s="59"/>
    <row r="3456" hidden="1" s="59"/>
    <row r="3457" hidden="1" s="59"/>
    <row r="3458" hidden="1" s="59"/>
    <row r="3459" hidden="1" s="59"/>
    <row r="3460" hidden="1" s="59"/>
    <row r="3461" hidden="1" s="59"/>
    <row r="3462" hidden="1" s="59"/>
    <row r="3463" hidden="1" s="59"/>
    <row r="3464" hidden="1" s="59"/>
    <row r="3465" hidden="1" s="59"/>
    <row r="3466" hidden="1" s="59"/>
    <row r="3467" hidden="1" s="59"/>
    <row r="3468" hidden="1" s="59"/>
    <row r="3469" hidden="1" s="59"/>
    <row r="3470" hidden="1" s="59"/>
    <row r="3471" hidden="1" s="59"/>
    <row r="3472" hidden="1" s="59"/>
    <row r="3473" hidden="1" s="59"/>
    <row r="3474" hidden="1" s="59"/>
    <row r="3475" hidden="1" s="59"/>
    <row r="3476" hidden="1" s="59"/>
    <row r="3477" hidden="1" s="59"/>
    <row r="3478" hidden="1" s="59"/>
    <row r="3479" hidden="1" s="59"/>
    <row r="3480" hidden="1" s="59"/>
    <row r="3481" hidden="1" s="59"/>
    <row r="3482" hidden="1" s="59"/>
    <row r="3483" hidden="1" s="59"/>
    <row r="3484" hidden="1" s="59"/>
    <row r="3485" hidden="1" s="59"/>
    <row r="3486" hidden="1" s="59"/>
    <row r="3487" hidden="1" s="59"/>
    <row r="3488" hidden="1" s="59"/>
    <row r="3489" hidden="1" s="59"/>
    <row r="3490" hidden="1" s="59"/>
    <row r="3491" hidden="1" s="59"/>
    <row r="3492" hidden="1" s="59"/>
    <row r="3493" hidden="1" s="59"/>
    <row r="3494" hidden="1" s="59"/>
    <row r="3495" hidden="1" s="59"/>
    <row r="3496" hidden="1" s="59"/>
    <row r="3497" hidden="1" s="59"/>
    <row r="3498" hidden="1" s="59"/>
    <row r="3499" hidden="1" s="59"/>
    <row r="3500" hidden="1" s="59"/>
    <row r="3501" hidden="1" s="59"/>
    <row r="3502" hidden="1" s="59"/>
    <row r="3503" hidden="1" s="59"/>
    <row r="3504" hidden="1" s="59"/>
    <row r="3505" hidden="1" s="59"/>
    <row r="3506" hidden="1" s="59"/>
    <row r="3507" hidden="1" s="59"/>
    <row r="3508" hidden="1" s="59"/>
    <row r="3509" hidden="1" s="59"/>
    <row r="3510" hidden="1" s="59"/>
    <row r="3511" hidden="1" s="59"/>
    <row r="3512" hidden="1" s="59"/>
    <row r="3513" hidden="1" s="59"/>
    <row r="3514" hidden="1" s="59"/>
    <row r="3515" hidden="1" s="59"/>
    <row r="3516" hidden="1" s="59"/>
    <row r="3517" hidden="1" s="59"/>
    <row r="3518" hidden="1" s="59"/>
    <row r="3519" hidden="1" s="59"/>
    <row r="3520" hidden="1" s="59"/>
    <row r="3521" hidden="1" s="59"/>
    <row r="3522" hidden="1" s="59"/>
    <row r="3523" hidden="1" s="59"/>
    <row r="3524" hidden="1" s="59"/>
    <row r="3525" hidden="1" s="59"/>
    <row r="3526" hidden="1" s="59"/>
    <row r="3527" hidden="1" s="59"/>
    <row r="3528" hidden="1" s="59"/>
    <row r="3529" hidden="1" s="59"/>
    <row r="3530" hidden="1" s="59"/>
    <row r="3531" hidden="1" s="59"/>
    <row r="3532" hidden="1" s="59"/>
    <row r="3533" hidden="1" s="59"/>
    <row r="3534" hidden="1" s="59"/>
    <row r="3535" hidden="1" s="59"/>
    <row r="3536" hidden="1" s="59"/>
    <row r="3537" hidden="1" s="59"/>
    <row r="3538" hidden="1" s="59"/>
    <row r="3539" hidden="1" s="59"/>
    <row r="3540" hidden="1" s="59"/>
    <row r="3541" hidden="1" s="59"/>
    <row r="3542" hidden="1" s="59"/>
    <row r="3543" hidden="1" s="59"/>
    <row r="3544" hidden="1" s="59"/>
    <row r="3545" hidden="1" s="59"/>
    <row r="3546" hidden="1" s="59"/>
    <row r="3547" hidden="1" s="59"/>
    <row r="3548" hidden="1" s="59"/>
    <row r="3549" hidden="1" s="59"/>
    <row r="3550" hidden="1" s="59"/>
    <row r="3551" hidden="1" s="59"/>
    <row r="3552" hidden="1" s="59"/>
    <row r="3553" hidden="1" s="59"/>
    <row r="3554" hidden="1" s="59"/>
    <row r="3555" hidden="1" s="59"/>
    <row r="3556" hidden="1" s="59"/>
    <row r="3557" hidden="1" s="59"/>
    <row r="3558" hidden="1" s="59"/>
    <row r="3559" hidden="1" s="59"/>
    <row r="3560" hidden="1" s="59"/>
    <row r="3561" hidden="1" s="59"/>
    <row r="3562" hidden="1" s="59"/>
    <row r="3563" hidden="1" s="59"/>
    <row r="3564" hidden="1" s="59"/>
    <row r="3565" hidden="1" s="59"/>
    <row r="3566" hidden="1" s="59"/>
    <row r="3567" hidden="1" s="59"/>
    <row r="3568" hidden="1" s="59"/>
    <row r="3569" hidden="1" s="59"/>
    <row r="3570" hidden="1" s="59"/>
    <row r="3571" hidden="1" s="59"/>
    <row r="3572" hidden="1" s="59"/>
    <row r="3573" hidden="1" s="59"/>
    <row r="3574" hidden="1" s="59"/>
    <row r="3575" hidden="1" s="59"/>
    <row r="3576" hidden="1" s="59"/>
    <row r="3577" hidden="1" s="59"/>
    <row r="3578" hidden="1" s="59"/>
    <row r="3579" hidden="1" s="59"/>
    <row r="3580" hidden="1" s="59"/>
    <row r="3581" hidden="1" s="59"/>
    <row r="3582" hidden="1" s="59"/>
    <row r="3583" hidden="1" s="59"/>
    <row r="3584" hidden="1" s="59"/>
    <row r="3585" hidden="1" s="59"/>
    <row r="3586" hidden="1" s="59"/>
    <row r="3587" hidden="1" s="59"/>
    <row r="3588" hidden="1" s="59"/>
    <row r="3589" hidden="1" s="59"/>
    <row r="3590" hidden="1" s="59"/>
    <row r="3591" hidden="1" s="59"/>
    <row r="3592" hidden="1" s="59"/>
    <row r="3593" hidden="1" s="59"/>
    <row r="3594" hidden="1" s="59"/>
    <row r="3595" hidden="1" s="59"/>
    <row r="3596" hidden="1" s="59"/>
    <row r="3597" hidden="1" s="59"/>
    <row r="3598" hidden="1" s="59"/>
    <row r="3599" hidden="1" s="59"/>
    <row r="3600" hidden="1" s="59"/>
    <row r="3601" hidden="1" s="59"/>
    <row r="3602" hidden="1" s="59"/>
    <row r="3603" hidden="1" s="59"/>
    <row r="3604" hidden="1" s="59"/>
    <row r="3605" hidden="1" s="59"/>
    <row r="3606" hidden="1" s="59"/>
    <row r="3607" hidden="1" s="59"/>
    <row r="3608" hidden="1" s="59"/>
    <row r="3609" hidden="1" s="59"/>
    <row r="3610" hidden="1" s="59"/>
    <row r="3611" hidden="1" s="59"/>
    <row r="3612" hidden="1" s="59"/>
    <row r="3613" hidden="1" s="59"/>
    <row r="3614" hidden="1" s="59"/>
    <row r="3615" hidden="1" s="59"/>
    <row r="3616" hidden="1" s="59"/>
    <row r="3617" hidden="1" s="59"/>
    <row r="3618" hidden="1" s="59"/>
    <row r="3619" hidden="1" s="59"/>
    <row r="3620" hidden="1" s="59"/>
    <row r="3621" hidden="1" s="59"/>
    <row r="3622" hidden="1" s="59"/>
    <row r="3623" hidden="1" s="59"/>
    <row r="3624" hidden="1" s="59"/>
    <row r="3625" hidden="1" s="59"/>
    <row r="3626" hidden="1" s="59"/>
    <row r="3627" hidden="1" s="59"/>
    <row r="3628" hidden="1" s="59"/>
    <row r="3629" hidden="1" s="59"/>
    <row r="3630" hidden="1" s="59"/>
    <row r="3631" hidden="1" s="59"/>
    <row r="3632" hidden="1" s="59"/>
    <row r="3633" hidden="1" s="59"/>
    <row r="3634" hidden="1" s="59"/>
    <row r="3635" hidden="1" s="59"/>
    <row r="3636" hidden="1" s="59"/>
    <row r="3637" hidden="1" s="59"/>
    <row r="3638" hidden="1" s="59"/>
    <row r="3639" hidden="1" s="59"/>
    <row r="3640" hidden="1" s="59"/>
    <row r="3641" hidden="1" s="59"/>
    <row r="3642" hidden="1" s="59"/>
    <row r="3643" hidden="1" s="59"/>
    <row r="3644" hidden="1" s="59"/>
    <row r="3645" hidden="1" s="59"/>
    <row r="3646" hidden="1" s="59"/>
    <row r="3647" hidden="1" s="59"/>
    <row r="3648" hidden="1" s="59"/>
    <row r="3649" hidden="1" s="59"/>
    <row r="3650" hidden="1" s="59"/>
    <row r="3651" hidden="1" s="59"/>
    <row r="3652" hidden="1" s="59"/>
    <row r="3653" hidden="1" s="59"/>
    <row r="3654" hidden="1" s="59"/>
    <row r="3655" hidden="1" s="59"/>
    <row r="3656" hidden="1" s="59"/>
    <row r="3657" hidden="1" s="59"/>
    <row r="3658" hidden="1" s="59"/>
    <row r="3659" hidden="1" s="59"/>
    <row r="3660" hidden="1" s="59"/>
    <row r="3661" hidden="1" s="59"/>
    <row r="3662" hidden="1" s="59"/>
    <row r="3663" hidden="1" s="59"/>
    <row r="3664" hidden="1" s="59"/>
    <row r="3665" hidden="1" s="59"/>
    <row r="3666" hidden="1" s="59"/>
    <row r="3667" hidden="1" s="59"/>
    <row r="3668" hidden="1" s="59"/>
    <row r="3669" hidden="1" s="59"/>
    <row r="3670" hidden="1" s="59"/>
    <row r="3671" hidden="1" s="59"/>
    <row r="3672" hidden="1" s="59"/>
    <row r="3673" hidden="1" s="59"/>
    <row r="3674" hidden="1" s="59"/>
    <row r="3675" hidden="1" s="59"/>
    <row r="3676" hidden="1" s="59"/>
    <row r="3677" hidden="1" s="59"/>
    <row r="3678" hidden="1" s="59"/>
    <row r="3679" hidden="1" s="59"/>
    <row r="3680" hidden="1" s="59"/>
    <row r="3681" hidden="1" s="59"/>
    <row r="3682" hidden="1" s="59"/>
    <row r="3683" hidden="1" s="59"/>
    <row r="3684" hidden="1" s="59"/>
    <row r="3685" hidden="1" s="59"/>
    <row r="3686" hidden="1" s="59"/>
    <row r="3687" hidden="1" s="59"/>
    <row r="3688" hidden="1" s="59"/>
    <row r="3689" hidden="1" s="59"/>
    <row r="3690" hidden="1" s="59"/>
    <row r="3691" hidden="1" s="59"/>
    <row r="3692" hidden="1" s="59"/>
    <row r="3693" hidden="1" s="59"/>
    <row r="3694" hidden="1" s="59"/>
    <row r="3695" hidden="1" s="59"/>
    <row r="3696" hidden="1" s="59"/>
    <row r="3697" hidden="1" s="59"/>
    <row r="3698" hidden="1" s="59"/>
    <row r="3699" hidden="1" s="59"/>
    <row r="3700" hidden="1" s="59"/>
    <row r="3704" hidden="1" s="59"/>
    <row r="3705" hidden="1" s="59"/>
    <row r="3706" hidden="1" s="59"/>
    <row r="3707" hidden="1" s="59"/>
    <row r="3708" hidden="1" s="59"/>
    <row r="3709" hidden="1" s="59"/>
    <row r="3710" hidden="1" s="59"/>
    <row r="3711" hidden="1" s="59"/>
    <row r="3712" hidden="1" s="59"/>
    <row r="3713" hidden="1" s="59"/>
    <row r="3714" hidden="1" s="59"/>
    <row r="3715" hidden="1" s="59"/>
    <row r="3716" hidden="1" s="59"/>
    <row r="3717" hidden="1" s="59"/>
    <row r="3718" hidden="1" s="59"/>
    <row r="3719" hidden="1" s="59"/>
    <row r="3720" hidden="1" s="59"/>
    <row r="3721" hidden="1" s="59"/>
    <row r="3722" hidden="1" s="59"/>
    <row r="3723" hidden="1" s="59"/>
    <row r="3724" hidden="1" s="59"/>
    <row r="3725" hidden="1" s="59"/>
    <row r="3726" hidden="1" s="59"/>
    <row r="3727" hidden="1" s="59"/>
    <row r="3728" hidden="1" s="59"/>
    <row r="3729" hidden="1" s="59"/>
    <row r="3730" hidden="1" s="59"/>
    <row r="3731" hidden="1" s="59"/>
    <row r="3732" hidden="1" s="59"/>
    <row r="3733" hidden="1" s="59"/>
    <row r="3734" hidden="1" s="59"/>
    <row r="3735" hidden="1" s="59"/>
    <row r="3736" hidden="1" s="59"/>
    <row r="3737" hidden="1" s="59"/>
    <row r="3738" hidden="1" s="59"/>
    <row r="3739" hidden="1" s="59"/>
    <row r="3740" hidden="1" s="59"/>
    <row r="3741" hidden="1" s="59"/>
    <row r="3742" hidden="1" s="59"/>
    <row r="3743" hidden="1" s="59"/>
    <row r="3744" hidden="1" s="59"/>
    <row r="3745" hidden="1" s="59"/>
    <row r="3746" hidden="1" s="59"/>
    <row r="3747" hidden="1" s="59"/>
    <row r="3748" hidden="1" s="59"/>
    <row r="3749" hidden="1" s="59"/>
    <row r="3750" hidden="1" s="59"/>
    <row r="3751" hidden="1" s="59"/>
    <row r="3752" hidden="1" s="59"/>
    <row r="3753" hidden="1" s="59"/>
    <row r="3754" hidden="1" s="59"/>
    <row r="3755" hidden="1" s="59"/>
    <row r="3756" hidden="1" s="59"/>
    <row r="3757" hidden="1" s="59"/>
    <row r="3758" hidden="1" s="59"/>
    <row r="3759" hidden="1" s="59"/>
    <row r="3760" hidden="1" s="59"/>
    <row r="3761" hidden="1" s="59"/>
    <row r="3762" hidden="1" s="59"/>
    <row r="3763" hidden="1" s="59"/>
    <row r="3764" hidden="1" s="59"/>
    <row r="3765" hidden="1" s="59"/>
    <row r="3766" hidden="1" s="59"/>
    <row r="3767" hidden="1" s="59"/>
    <row r="3768" hidden="1" s="59"/>
    <row r="3769" hidden="1" s="59"/>
    <row r="3770" hidden="1" s="59"/>
    <row r="3771" hidden="1" s="59"/>
    <row r="3772" hidden="1" s="59"/>
    <row r="3773" hidden="1" s="59"/>
    <row r="3774" hidden="1" s="59"/>
    <row r="3775" hidden="1" s="59"/>
    <row r="3776" hidden="1" s="59"/>
    <row r="3777" hidden="1" s="59"/>
    <row r="3778" hidden="1" s="59"/>
    <row r="3779" hidden="1" s="59"/>
    <row r="3780" hidden="1" s="59"/>
    <row r="3781" hidden="1" s="59"/>
    <row r="3782" hidden="1" s="59"/>
    <row r="3783" hidden="1" s="59"/>
    <row r="3784" hidden="1" s="59"/>
    <row r="3785" hidden="1" s="59"/>
    <row r="3786" hidden="1" s="59"/>
    <row r="3787" hidden="1" s="59"/>
    <row r="3788" hidden="1" s="59"/>
    <row r="3789" hidden="1" s="59"/>
    <row r="3790" hidden="1" s="59"/>
    <row r="3791" hidden="1" s="59"/>
    <row r="3792" hidden="1" s="59"/>
    <row r="3793" hidden="1" s="59"/>
    <row r="3794" hidden="1" s="59"/>
    <row r="3795" hidden="1" s="59"/>
    <row r="3796" hidden="1" s="59"/>
    <row r="3797" hidden="1" s="59"/>
    <row r="3798" hidden="1" s="59"/>
    <row r="3799" hidden="1" s="59"/>
    <row r="3800" hidden="1" s="59"/>
    <row r="3801" hidden="1" s="59"/>
    <row r="3802" hidden="1" s="59"/>
    <row r="3803" hidden="1" s="59"/>
    <row r="3804" hidden="1" s="59"/>
    <row r="3805" hidden="1" s="59"/>
    <row r="3806" hidden="1" s="59"/>
    <row r="3807" hidden="1" s="59"/>
    <row r="3808" hidden="1" s="59"/>
    <row r="3809" hidden="1" s="59"/>
    <row r="3810" hidden="1" s="59"/>
    <row r="3811" hidden="1" s="59"/>
    <row r="3812" hidden="1" s="59"/>
    <row r="3813" hidden="1" s="59"/>
    <row r="3814" hidden="1" s="59"/>
    <row r="3815" hidden="1" s="59"/>
    <row r="3816" hidden="1" s="59"/>
    <row r="3817" hidden="1" s="59"/>
    <row r="3818" hidden="1" s="59"/>
    <row r="3819" hidden="1" s="59"/>
    <row r="3820" hidden="1" s="59"/>
    <row r="3822" hidden="1" s="59"/>
    <row r="3823" hidden="1" s="59"/>
    <row r="3824" hidden="1" s="59"/>
    <row r="3825" hidden="1" s="59"/>
    <row r="3826" hidden="1" s="59"/>
    <row r="3827" hidden="1" s="59"/>
    <row r="3828" hidden="1" s="59"/>
    <row r="3829" hidden="1" s="59"/>
    <row r="3830" hidden="1" s="59"/>
    <row r="3831" hidden="1" s="59"/>
    <row r="3832" hidden="1" s="59"/>
    <row r="3833" hidden="1" s="59"/>
    <row r="3835" hidden="1" s="59"/>
    <row r="3836" hidden="1" s="59"/>
    <row r="3837" hidden="1" s="59"/>
    <row r="3838" hidden="1" s="59"/>
    <row r="3839" hidden="1" s="59"/>
    <row r="3840" hidden="1" s="59"/>
    <row r="3841" hidden="1" s="59"/>
    <row r="3842" hidden="1" s="59"/>
    <row r="3843" hidden="1" s="59"/>
    <row r="3844" hidden="1" s="59"/>
    <row r="3845" hidden="1" s="59"/>
    <row r="3846" hidden="1" s="59"/>
    <row r="3847" hidden="1" s="59"/>
    <row r="3848" hidden="1" s="59"/>
    <row r="3849" hidden="1" s="59"/>
    <row r="3850" hidden="1" s="59"/>
    <row r="3851" hidden="1" s="59"/>
    <row r="3852" hidden="1" s="59"/>
    <row r="3853" hidden="1" s="59"/>
    <row r="3854" hidden="1" s="59"/>
    <row r="3855" hidden="1" s="59"/>
    <row r="3856" hidden="1" s="59"/>
    <row r="3857" hidden="1" s="59"/>
    <row r="3858" hidden="1" s="59"/>
    <row r="3859" hidden="1" s="59"/>
    <row r="3860" hidden="1" s="59"/>
    <row r="3861" hidden="1" s="59"/>
    <row r="3862" hidden="1" s="59"/>
    <row r="3863" hidden="1" s="59"/>
    <row r="3864" hidden="1" s="59"/>
    <row r="3865" hidden="1" s="59"/>
    <row r="3866" hidden="1" s="59"/>
    <row r="3867" hidden="1" s="59"/>
    <row r="3868" hidden="1" s="59"/>
    <row r="3869" hidden="1" s="59"/>
    <row r="3870" hidden="1" s="59"/>
    <row r="3871" hidden="1" s="59"/>
    <row r="3872" hidden="1" s="59"/>
    <row r="3873" hidden="1" s="59"/>
    <row r="3874" hidden="1" s="59"/>
    <row r="3875" hidden="1" s="59"/>
    <row r="3876" hidden="1" s="59"/>
    <row r="3877" hidden="1" s="59"/>
    <row r="3878" hidden="1" s="59"/>
    <row r="3879" hidden="1" s="59"/>
    <row r="3880" hidden="1" s="59"/>
    <row r="3881" hidden="1" s="59"/>
    <row r="3882" hidden="1" s="59"/>
    <row r="3883" hidden="1" s="59"/>
    <row r="3884" hidden="1" s="59"/>
    <row r="3885" hidden="1" s="59"/>
    <row r="3886" hidden="1" s="59"/>
    <row r="3887" hidden="1" s="59"/>
    <row r="3888" hidden="1" s="59"/>
    <row r="3889" hidden="1" s="59"/>
    <row r="3890" hidden="1" s="59"/>
    <row r="3891" hidden="1" s="59"/>
    <row r="3892" hidden="1" s="59"/>
    <row r="3893" hidden="1" s="59"/>
    <row r="3894" hidden="1" s="59"/>
    <row r="3895" hidden="1" s="59"/>
    <row r="3896" hidden="1" s="59"/>
    <row r="3897" hidden="1" s="59"/>
    <row r="3898" hidden="1" s="59"/>
    <row r="3899" hidden="1" s="59"/>
    <row r="3900" hidden="1" s="59"/>
    <row r="3901" hidden="1" s="59"/>
    <row r="3902" hidden="1" s="59"/>
    <row r="3903" hidden="1" s="59"/>
    <row r="3904" hidden="1" s="59"/>
    <row r="3905" hidden="1" s="59"/>
    <row r="3906" hidden="1" s="59"/>
    <row r="3907" hidden="1" s="59"/>
    <row r="3908" hidden="1" s="59"/>
    <row r="3909" hidden="1" s="59"/>
    <row r="3910" hidden="1" s="59"/>
    <row r="3911" hidden="1" s="59"/>
    <row r="3912" hidden="1" s="59"/>
    <row r="3913" hidden="1" s="59"/>
    <row r="3914" hidden="1" s="59"/>
    <row r="3915" hidden="1" s="59"/>
    <row r="3916" hidden="1" s="59"/>
    <row r="3917" hidden="1" s="59"/>
    <row r="3918" hidden="1" s="59"/>
    <row r="3919" hidden="1" s="59"/>
    <row r="3920" hidden="1" s="59"/>
    <row r="3921" hidden="1" s="59"/>
    <row r="3922" hidden="1" s="59"/>
    <row r="3924" hidden="1" s="59"/>
    <row r="3925" hidden="1" s="59"/>
    <row r="3926" hidden="1" s="59"/>
    <row r="3927" hidden="1" s="59"/>
    <row r="3928" hidden="1" s="59"/>
    <row r="3929" hidden="1" s="59"/>
    <row r="3930" hidden="1" s="59"/>
    <row r="3931" hidden="1" s="59"/>
    <row r="3932" hidden="1" s="59"/>
    <row r="3933" hidden="1" s="59"/>
    <row r="3934" hidden="1" s="59"/>
    <row r="3935" hidden="1" s="59"/>
    <row r="3936" hidden="1" s="59"/>
    <row r="3937" hidden="1" s="59"/>
    <row r="3938" hidden="1" s="59"/>
    <row r="3939" hidden="1" s="59"/>
    <row r="3940" hidden="1" s="59"/>
    <row r="3941" hidden="1" s="59"/>
    <row r="3942" hidden="1" s="59"/>
    <row r="3943" hidden="1" s="59"/>
    <row r="3944" hidden="1" s="59"/>
    <row r="3945" hidden="1" s="59"/>
    <row r="3946" hidden="1" s="59"/>
    <row r="3947" hidden="1" s="59"/>
    <row r="3948" hidden="1" s="59"/>
    <row r="3949" hidden="1" s="59"/>
    <row r="3950" hidden="1" s="59"/>
    <row r="3951" hidden="1" s="59"/>
    <row r="3952" hidden="1" s="59"/>
    <row r="3953" hidden="1" s="59"/>
    <row r="3954" hidden="1" s="59"/>
    <row r="3955" hidden="1" s="59"/>
    <row r="3956" hidden="1" s="59"/>
    <row r="3957" hidden="1" s="59"/>
    <row r="3958" hidden="1" s="59"/>
    <row r="3959" hidden="1" s="59"/>
    <row r="3960" hidden="1" s="59"/>
    <row r="3961" hidden="1" s="59"/>
    <row r="3962" hidden="1" s="59"/>
    <row r="3963" hidden="1" s="59"/>
    <row r="3964" hidden="1" s="59"/>
    <row r="3965" hidden="1" s="59"/>
    <row r="3966" hidden="1" s="59"/>
    <row r="3967" hidden="1" s="59"/>
    <row r="3968" hidden="1" s="59"/>
    <row r="3969" hidden="1" s="59"/>
    <row r="3970" hidden="1" s="59"/>
    <row r="3971" hidden="1" s="59"/>
    <row r="3972" hidden="1" s="59"/>
    <row r="3973" hidden="1" s="59"/>
    <row r="3974" hidden="1" s="59"/>
    <row r="3975" hidden="1" s="59"/>
    <row r="3976" hidden="1" s="59"/>
    <row r="3977" hidden="1" s="59"/>
    <row r="3978" hidden="1" s="59"/>
    <row r="3979" hidden="1" s="59"/>
    <row r="3980" hidden="1" s="59"/>
    <row r="3981" hidden="1" s="59"/>
    <row r="3982" hidden="1" s="59"/>
    <row r="3983" hidden="1" s="59"/>
    <row r="3984" hidden="1" s="59"/>
    <row r="3985" hidden="1" s="59"/>
    <row r="3986" hidden="1" s="59"/>
    <row r="3987" hidden="1" s="59"/>
    <row r="3988" hidden="1" s="59"/>
    <row r="3989" hidden="1" s="59"/>
    <row r="3990" hidden="1" s="59"/>
    <row r="3991" hidden="1" s="59"/>
    <row r="3992" hidden="1" s="59"/>
    <row r="3993" hidden="1" s="59"/>
    <row r="3994" hidden="1" s="59"/>
    <row r="3995" hidden="1" s="59"/>
    <row r="3996" hidden="1" s="59"/>
    <row r="3997" hidden="1" s="59"/>
    <row r="3998" hidden="1" s="59"/>
    <row r="3999" hidden="1" s="59"/>
    <row r="4000" hidden="1" s="59"/>
    <row r="4001" hidden="1" s="59"/>
    <row r="4002" hidden="1" s="59"/>
    <row r="4004" hidden="1" s="59"/>
    <row r="4005" hidden="1" s="59"/>
    <row r="4006" hidden="1" s="59"/>
    <row r="4007" hidden="1" s="59"/>
    <row r="4008" hidden="1" s="59"/>
    <row r="4009" hidden="1" s="59"/>
    <row r="4010" hidden="1" s="59"/>
    <row r="4011" hidden="1" s="59"/>
    <row r="4012" hidden="1" s="59"/>
    <row r="4013" hidden="1" s="59"/>
    <row r="4014" hidden="1" s="59"/>
    <row r="4015" hidden="1" s="59"/>
    <row r="4016" hidden="1" s="59"/>
    <row r="4017" hidden="1" s="59"/>
    <row r="4018" hidden="1" s="59"/>
    <row r="4019" hidden="1" s="59"/>
    <row r="4020" hidden="1" s="59"/>
    <row r="4021" hidden="1" s="59"/>
    <row r="4022" hidden="1" s="59"/>
    <row r="4023" hidden="1" s="59"/>
    <row r="4024" hidden="1" s="59"/>
    <row r="4025" hidden="1" s="59"/>
    <row r="4026" hidden="1" s="59"/>
    <row r="4027" hidden="1" s="59"/>
    <row r="4028" hidden="1" s="59"/>
    <row r="4029" hidden="1" s="59"/>
    <row r="4030" hidden="1" s="59"/>
    <row r="4031" hidden="1" s="59"/>
    <row r="4032" hidden="1" s="59"/>
    <row r="4033" hidden="1" s="59"/>
    <row r="4034" hidden="1" s="59"/>
    <row r="4035" hidden="1" s="59"/>
    <row r="4036" hidden="1" s="59"/>
    <row r="4038" hidden="1" s="59"/>
    <row r="4039" hidden="1" s="59"/>
    <row r="4040" hidden="1" s="59"/>
    <row r="4041" hidden="1" s="59"/>
    <row r="4042" hidden="1" s="59"/>
    <row r="4043" hidden="1" s="59"/>
    <row r="4044" hidden="1" s="59"/>
    <row r="4045" hidden="1" s="59"/>
    <row r="4046" hidden="1" s="59"/>
    <row r="4047" hidden="1" s="59"/>
    <row r="4048" hidden="1" s="59"/>
    <row r="4049" hidden="1" s="59"/>
    <row r="4050" hidden="1" s="59"/>
    <row r="4051" hidden="1" s="59"/>
    <row r="4052" hidden="1" s="59"/>
    <row r="4053" hidden="1" s="59"/>
    <row r="4054" hidden="1" s="59"/>
    <row r="4055" hidden="1" s="59"/>
    <row r="4056" hidden="1" s="59"/>
    <row r="4057" hidden="1" s="59"/>
    <row r="4058" hidden="1" s="59"/>
    <row r="4059" hidden="1" s="59"/>
    <row r="4060" hidden="1" s="59"/>
    <row r="4061" hidden="1" s="59"/>
    <row r="4062" hidden="1" s="59"/>
    <row r="4063" hidden="1" s="59"/>
    <row r="4064" hidden="1" s="59"/>
    <row r="4065" hidden="1" s="59"/>
    <row r="4066" hidden="1" s="59"/>
    <row r="4067" hidden="1" s="59"/>
    <row r="4068" hidden="1" s="59"/>
    <row r="4069" hidden="1" s="59"/>
    <row r="4070" hidden="1" s="59"/>
    <row r="4071" hidden="1" s="59"/>
    <row r="4072" hidden="1" s="59"/>
    <row r="4073" hidden="1" s="59"/>
    <row r="4074" hidden="1" s="59"/>
    <row r="4075" hidden="1" s="59"/>
    <row r="4076" hidden="1" s="59"/>
    <row r="4077" hidden="1" s="59"/>
    <row r="4078" hidden="1" s="59"/>
    <row r="4079" hidden="1" s="59"/>
    <row r="4080" hidden="1" s="59"/>
    <row r="4081" hidden="1" s="59"/>
    <row r="4082" hidden="1" s="59"/>
    <row r="4083" hidden="1" s="59"/>
    <row r="4084" hidden="1" s="59"/>
    <row r="4085" hidden="1" s="59"/>
    <row r="4086" hidden="1" s="59"/>
    <row r="4087" hidden="1" s="59"/>
    <row r="4088" hidden="1" s="59"/>
    <row r="4089" hidden="1" s="59"/>
    <row r="4090" hidden="1" s="59"/>
    <row r="4091" hidden="1" s="59"/>
    <row r="4092" hidden="1" s="59"/>
    <row r="4093" hidden="1" s="59"/>
    <row r="4094" hidden="1" s="59"/>
    <row r="4095" hidden="1" s="59"/>
    <row r="4096" hidden="1" s="59"/>
    <row r="4097" hidden="1" s="59"/>
    <row r="4098" hidden="1" s="59"/>
    <row r="4099" hidden="1" s="59"/>
    <row r="4100" hidden="1" s="59"/>
    <row r="4101" hidden="1" s="59"/>
    <row r="4102" hidden="1" s="59"/>
    <row r="4103" hidden="1" s="59"/>
    <row r="4104" hidden="1" s="59"/>
    <row r="4105" hidden="1" s="59"/>
    <row r="4106" hidden="1" s="59"/>
    <row r="4107" hidden="1" s="59"/>
    <row r="4108" hidden="1" s="59"/>
    <row r="4109" hidden="1" s="59"/>
    <row r="4110" hidden="1" s="59"/>
    <row r="4111" hidden="1" s="59"/>
    <row r="4112" hidden="1" s="59"/>
    <row r="4113" hidden="1" s="59"/>
    <row r="4114" hidden="1" s="59"/>
    <row r="4115" hidden="1" s="59"/>
    <row r="4116" hidden="1" s="59"/>
    <row r="4117" hidden="1" s="59"/>
    <row r="4118" hidden="1" s="59"/>
    <row r="4119" hidden="1" s="59"/>
    <row r="4120" hidden="1" s="59"/>
    <row r="4121" hidden="1" s="59"/>
    <row r="4122" hidden="1" s="59"/>
    <row r="4123" hidden="1" s="59"/>
    <row r="4124" hidden="1" s="59"/>
    <row r="4125" hidden="1" s="59"/>
    <row r="4126" hidden="1" s="59"/>
    <row r="4127" hidden="1" s="59"/>
    <row r="4128" hidden="1" s="59"/>
    <row r="4129" hidden="1" s="59"/>
    <row r="4130" hidden="1" s="59"/>
    <row r="4131" hidden="1" s="59"/>
    <row r="4132" hidden="1" s="59"/>
    <row r="4133" hidden="1" s="59"/>
    <row r="4134" hidden="1" s="59"/>
    <row r="4135" hidden="1" s="59"/>
    <row r="4136" hidden="1" s="59"/>
    <row r="4137" hidden="1" s="59"/>
    <row r="4138" hidden="1" s="59"/>
    <row r="4139" hidden="1" s="59"/>
    <row r="4140" hidden="1" s="59"/>
    <row r="4141" hidden="1" s="59"/>
    <row r="4142" hidden="1" s="59"/>
    <row r="4143" hidden="1" s="59"/>
    <row r="4144" hidden="1" s="59"/>
    <row r="4145" hidden="1" s="59"/>
    <row r="4146" hidden="1" s="59"/>
    <row r="4147" hidden="1" s="59"/>
    <row r="4148" hidden="1" s="59"/>
    <row r="4149" hidden="1" s="59"/>
    <row r="4150" hidden="1" s="59"/>
    <row r="4151" hidden="1" s="59"/>
    <row r="4152" hidden="1" s="59"/>
    <row r="4153" hidden="1" s="59"/>
    <row r="4154" hidden="1" s="59"/>
    <row r="4155" hidden="1" s="59"/>
    <row r="4156" hidden="1" s="59"/>
    <row r="4157" hidden="1" s="59"/>
    <row r="4158" hidden="1" s="59"/>
    <row r="4159" hidden="1" s="59"/>
    <row r="4160" hidden="1" s="59"/>
    <row r="4161" hidden="1" s="59"/>
    <row r="4162" hidden="1" s="59"/>
    <row r="4163" hidden="1" s="59"/>
    <row r="4164" hidden="1" s="59"/>
    <row r="4165" hidden="1" s="59"/>
    <row r="4166" hidden="1" s="59"/>
    <row r="4167" hidden="1" s="59"/>
    <row r="4168" hidden="1" s="59"/>
    <row r="4169" hidden="1" s="59"/>
    <row r="4170" hidden="1" s="59"/>
    <row r="4171" hidden="1" s="59"/>
    <row r="4172" hidden="1" s="59"/>
    <row r="4173" hidden="1" s="59"/>
    <row r="4174" hidden="1" s="59"/>
    <row r="4175" hidden="1" s="59"/>
    <row r="4176" hidden="1" s="59"/>
    <row r="4177" hidden="1" s="59"/>
    <row r="4178" hidden="1" s="59"/>
    <row r="4179" hidden="1" s="59"/>
    <row r="4180" hidden="1" s="59"/>
    <row r="4181" hidden="1" s="59"/>
    <row r="4182" hidden="1" s="59"/>
    <row r="4183" hidden="1" s="59"/>
    <row r="4184" hidden="1" s="59"/>
    <row r="4185" hidden="1" s="59"/>
    <row r="4186" hidden="1" s="59"/>
    <row r="4187" hidden="1" s="59"/>
    <row r="4188" hidden="1" s="59"/>
    <row r="4189" hidden="1" s="59"/>
    <row r="4190" hidden="1" s="59"/>
    <row r="4191" hidden="1" s="59"/>
    <row r="4192" hidden="1" s="59"/>
    <row r="4193" hidden="1" s="59"/>
    <row r="4194" hidden="1" s="59"/>
    <row r="4195" hidden="1" s="59"/>
    <row r="4196" hidden="1" s="59"/>
    <row r="4197" hidden="1" s="59"/>
    <row r="4198" hidden="1" s="59"/>
    <row r="4199" hidden="1" s="59"/>
    <row r="4200" hidden="1" s="59"/>
    <row r="4201" hidden="1" s="59"/>
    <row r="4202" hidden="1" s="59"/>
    <row r="4203" hidden="1" s="59"/>
    <row r="4204" hidden="1" s="59"/>
    <row r="4205" hidden="1" s="59"/>
    <row r="4206" hidden="1" s="59"/>
    <row r="4207" hidden="1" s="59"/>
    <row r="4208" hidden="1" s="59"/>
    <row r="4209" hidden="1" s="59"/>
    <row r="4210" hidden="1" s="59"/>
    <row r="4211" hidden="1" s="59"/>
    <row r="4212" hidden="1" s="59"/>
    <row r="4213" hidden="1" s="59"/>
    <row r="4214" hidden="1" s="59"/>
    <row r="4215" hidden="1" s="59"/>
    <row r="4216" hidden="1" s="59"/>
    <row r="4217" hidden="1" s="59"/>
    <row r="4218" hidden="1" s="59"/>
    <row r="4219" hidden="1" s="59"/>
    <row r="4220" hidden="1" s="59"/>
    <row r="4221" hidden="1" s="59"/>
    <row r="4222" hidden="1" s="59"/>
    <row r="4223" hidden="1" s="59"/>
    <row r="4224" hidden="1" s="59"/>
    <row r="4225" hidden="1" s="59"/>
    <row r="4226" hidden="1" s="59"/>
    <row r="4227" hidden="1" s="59"/>
    <row r="4228" hidden="1" s="59"/>
    <row r="4229" hidden="1" s="59"/>
    <row r="4230" hidden="1" s="59"/>
    <row r="4231" hidden="1" s="59"/>
    <row r="4232" hidden="1" s="59"/>
    <row r="4233" hidden="1" s="59"/>
    <row r="4234" hidden="1" s="59"/>
    <row r="4235" hidden="1" s="59"/>
    <row r="4236" hidden="1" s="59"/>
    <row r="4238" hidden="1" s="59"/>
    <row r="4239" hidden="1" s="59"/>
    <row r="4240" hidden="1" s="59"/>
    <row r="4241" hidden="1" s="59"/>
    <row r="4242" hidden="1" s="59"/>
    <row r="4243" hidden="1" s="59"/>
    <row r="4244" hidden="1" s="59"/>
    <row r="4245" hidden="1" s="59"/>
    <row r="4246" hidden="1" s="59"/>
    <row r="4247" hidden="1" s="59"/>
    <row r="4248" hidden="1" s="59"/>
    <row r="4249" hidden="1" s="59"/>
    <row r="4250" hidden="1" s="59"/>
    <row r="4251" hidden="1" s="59"/>
    <row r="4252" hidden="1" s="59"/>
    <row r="4253" hidden="1" s="59"/>
    <row r="4254" hidden="1" s="59"/>
    <row r="4255" hidden="1" s="59"/>
    <row r="4256" hidden="1" s="59"/>
    <row r="4257" hidden="1" s="59"/>
    <row r="4258" hidden="1" s="59"/>
    <row r="4259" hidden="1" s="59"/>
    <row r="4260" hidden="1" s="59"/>
    <row r="4261" hidden="1" s="59"/>
    <row r="4262" hidden="1" s="59"/>
    <row r="4263" hidden="1" s="59"/>
    <row r="4264" hidden="1" s="59"/>
    <row r="4265" hidden="1" s="59"/>
    <row r="4266" hidden="1" s="59"/>
    <row r="4267" hidden="1" s="59"/>
    <row r="4268" hidden="1" s="59"/>
    <row r="4269" hidden="1" s="59"/>
    <row r="4270" hidden="1" s="59"/>
    <row r="4271" hidden="1" s="59"/>
    <row r="4272" hidden="1" s="59"/>
    <row r="4273" hidden="1" s="59"/>
    <row r="4274" hidden="1" s="59"/>
    <row r="4275" hidden="1" s="59"/>
    <row r="4276" hidden="1" s="59"/>
    <row r="4277" hidden="1" s="59"/>
    <row r="4278" hidden="1" s="59"/>
    <row r="4279" hidden="1" s="59"/>
    <row r="4280" hidden="1" s="59"/>
    <row r="4281" hidden="1" s="59"/>
    <row r="4282" hidden="1" s="59"/>
    <row r="4283" hidden="1" s="59"/>
    <row r="4284" hidden="1" s="59"/>
    <row r="4285" hidden="1" s="59"/>
    <row r="4286" hidden="1" s="59"/>
    <row r="4287" hidden="1" s="59"/>
    <row r="4288" hidden="1" s="59"/>
    <row r="4289" hidden="1" s="59"/>
    <row r="4290" hidden="1" s="59"/>
    <row r="4291" hidden="1" s="59"/>
    <row r="4292" hidden="1" s="59"/>
    <row r="4293" hidden="1" s="59"/>
    <row r="4294" hidden="1" s="59"/>
    <row r="4295" hidden="1" s="59"/>
    <row r="4296" hidden="1" s="59"/>
    <row r="4297" hidden="1" s="59"/>
    <row r="4298" hidden="1" s="59"/>
    <row r="4299" hidden="1" s="59"/>
    <row r="4300" hidden="1" s="59"/>
    <row r="4301" hidden="1" s="59"/>
    <row r="4302" hidden="1" s="59"/>
    <row r="4303" hidden="1" s="59"/>
    <row r="4304" hidden="1" s="59"/>
    <row r="4305" hidden="1" s="59"/>
    <row r="4306" hidden="1" s="59"/>
    <row r="4307" hidden="1" s="59"/>
    <row r="4308" hidden="1" s="59"/>
    <row r="4309" hidden="1" s="59"/>
    <row r="4310" hidden="1" s="59"/>
    <row r="4311" hidden="1" s="59"/>
    <row r="4312" hidden="1" s="59"/>
    <row r="4313" hidden="1" s="59"/>
    <row r="4314" hidden="1" s="59"/>
    <row r="4315" hidden="1" s="59"/>
    <row r="4316" hidden="1" s="59"/>
    <row r="4317" hidden="1" s="59"/>
    <row r="4318" hidden="1" s="59"/>
    <row r="4319" hidden="1" s="59"/>
    <row r="4320" hidden="1" s="59"/>
    <row r="4321" hidden="1" s="59"/>
    <row r="4322" hidden="1" s="59"/>
    <row r="4323" hidden="1" s="59"/>
    <row r="4324" hidden="1" s="59"/>
    <row r="4325" hidden="1" s="59"/>
    <row r="4326" hidden="1" s="59"/>
    <row r="4327" hidden="1" s="59"/>
    <row r="4328" hidden="1" s="59"/>
    <row r="4329" hidden="1" s="59"/>
    <row r="4330" hidden="1" s="59"/>
    <row r="4331" hidden="1" s="59"/>
    <row r="4332" hidden="1" s="59"/>
    <row r="4333" hidden="1" s="59"/>
    <row r="4334" hidden="1" s="59"/>
    <row r="4335" hidden="1" s="59"/>
    <row r="4336" hidden="1" s="59"/>
    <row r="4337" hidden="1" s="59"/>
    <row r="4338" hidden="1" s="59"/>
    <row r="4339" hidden="1" s="59"/>
    <row r="4340" hidden="1" s="59"/>
    <row r="4341" hidden="1" s="59"/>
    <row r="4342" hidden="1" s="59"/>
    <row r="4343" hidden="1" s="59"/>
    <row r="4344" hidden="1" s="59"/>
    <row r="4345" hidden="1" s="59"/>
    <row r="4346" hidden="1" s="59"/>
    <row r="4347" hidden="1" s="59"/>
    <row r="4348" hidden="1" s="59"/>
    <row r="4349" hidden="1" s="59"/>
    <row r="4351" hidden="1" s="59"/>
    <row r="4352" hidden="1" s="59"/>
    <row r="4353" hidden="1" s="59"/>
    <row r="4354" hidden="1" s="59"/>
    <row r="4355" hidden="1" s="59"/>
    <row r="4356" hidden="1" s="59"/>
    <row r="4357" hidden="1" s="59"/>
    <row r="4358" hidden="1" s="59"/>
    <row r="4359" hidden="1" s="59"/>
    <row r="4360" hidden="1" s="59"/>
    <row r="4361" hidden="1" s="59"/>
    <row r="4362" hidden="1" s="59"/>
    <row r="4363" hidden="1" s="59"/>
    <row r="4364" hidden="1" s="59"/>
    <row r="4365" hidden="1" s="59"/>
    <row r="4366" hidden="1" s="59"/>
    <row r="4367" hidden="1" s="59"/>
    <row r="4368" hidden="1" s="59"/>
    <row r="4369" hidden="1" s="59"/>
    <row r="4370" hidden="1" s="59"/>
    <row r="4371" hidden="1" s="59"/>
    <row r="4372" hidden="1" s="59"/>
    <row r="4373" hidden="1" s="59"/>
    <row r="4374" hidden="1" s="59"/>
    <row r="4375" hidden="1" s="59"/>
    <row r="4376" hidden="1" s="59"/>
    <row r="4377" hidden="1" s="59"/>
    <row r="4378" hidden="1" s="59"/>
    <row r="4379" hidden="1" s="59"/>
    <row r="4380" hidden="1" s="59"/>
    <row r="4381" hidden="1" s="59"/>
    <row r="4382" hidden="1" s="59"/>
    <row r="4383" hidden="1" s="59"/>
    <row r="4384" hidden="1" s="59"/>
    <row r="4385" hidden="1" s="59"/>
    <row r="4386" hidden="1" s="59"/>
    <row r="4387" hidden="1" s="59"/>
    <row r="4388" hidden="1" s="59"/>
    <row r="4389" hidden="1" s="59"/>
    <row r="4390" hidden="1" s="59"/>
    <row r="4391" hidden="1" s="59"/>
    <row r="4392" hidden="1" s="59"/>
    <row r="4393" hidden="1" s="59"/>
    <row r="4394" hidden="1" s="59"/>
    <row r="4397" hidden="1" s="59"/>
    <row r="4398" hidden="1" s="59"/>
    <row r="4399" hidden="1" s="59"/>
    <row r="4400" hidden="1" s="59"/>
    <row r="4401" hidden="1" s="59"/>
    <row r="4402" hidden="1" s="59"/>
    <row r="4403" hidden="1" s="59"/>
    <row r="4404" hidden="1" s="59"/>
    <row r="4405" hidden="1" s="59"/>
    <row r="4406" hidden="1" s="59"/>
    <row r="4407" hidden="1" s="59"/>
    <row r="4408" hidden="1" s="59"/>
    <row r="4409" hidden="1" s="59"/>
    <row r="4410" hidden="1" s="59"/>
    <row r="4411" hidden="1" s="59"/>
    <row r="4412" hidden="1" s="59"/>
    <row r="4413" hidden="1" s="59"/>
    <row r="4414" hidden="1" s="59"/>
    <row r="4415" hidden="1" s="59"/>
    <row r="4416" hidden="1" s="59"/>
    <row r="4417" hidden="1" s="59"/>
    <row r="4418" hidden="1" s="59"/>
    <row r="4419" hidden="1" s="59"/>
    <row r="4420" hidden="1" s="59"/>
    <row r="4421" hidden="1" s="59"/>
    <row r="4422" hidden="1" s="59"/>
    <row r="4423" hidden="1" s="59"/>
    <row r="4424" hidden="1" s="59"/>
    <row r="4425" hidden="1" s="59"/>
    <row r="4426" hidden="1" s="59"/>
    <row r="4427" hidden="1" s="59"/>
    <row r="4428" hidden="1" s="59"/>
    <row r="4429" hidden="1" s="59"/>
    <row r="4430" hidden="1" s="59"/>
    <row r="4431" hidden="1" s="59"/>
    <row r="4432" hidden="1" s="59"/>
    <row r="4433" hidden="1" s="59"/>
    <row r="4434" hidden="1" s="59"/>
    <row r="4435" hidden="1" s="59"/>
    <row r="4436" hidden="1" s="59"/>
    <row r="4437" hidden="1" s="59"/>
    <row r="4438" hidden="1" s="59"/>
    <row r="4439" hidden="1" s="59"/>
    <row r="4440" hidden="1" s="59"/>
    <row r="4441" hidden="1" s="59"/>
    <row r="4442" hidden="1" s="59"/>
    <row r="4443" hidden="1" s="59"/>
    <row r="4444" hidden="1" s="59"/>
    <row r="4445" hidden="1" s="59"/>
    <row r="4446" hidden="1" s="59"/>
    <row r="4447" hidden="1" s="59"/>
    <row r="4448" hidden="1" s="59"/>
    <row r="4449" hidden="1" s="59"/>
    <row r="4450" hidden="1" s="59"/>
    <row r="4451" hidden="1" s="59"/>
    <row r="4452" hidden="1" s="59"/>
    <row r="4453" hidden="1" s="59"/>
    <row r="4455" hidden="1" s="59"/>
    <row r="4456" hidden="1" s="59"/>
    <row r="4457" hidden="1" s="59"/>
    <row r="4458" hidden="1" s="59"/>
    <row r="4459" hidden="1" s="59"/>
    <row r="4460" hidden="1" s="59"/>
    <row r="4461" hidden="1" s="59"/>
    <row r="4462" hidden="1" s="59"/>
    <row r="4463" hidden="1" s="59"/>
    <row r="4464" hidden="1" s="59"/>
    <row r="4465" hidden="1" s="59"/>
    <row r="4466" hidden="1" s="59"/>
    <row r="4467" hidden="1" s="59"/>
    <row r="4468" hidden="1" s="59"/>
    <row r="4469" hidden="1" s="59"/>
    <row r="4470" hidden="1" s="59"/>
    <row r="4471" hidden="1" s="59"/>
    <row r="4472" hidden="1" s="59"/>
    <row r="4473" hidden="1" s="59"/>
    <row r="4474" hidden="1" s="59"/>
    <row r="4475" hidden="1" s="59"/>
    <row r="4476" hidden="1" s="59"/>
    <row r="4477" hidden="1" s="59"/>
    <row r="4478" hidden="1" s="59"/>
    <row r="4479" hidden="1" s="59"/>
    <row r="4480" hidden="1" s="59"/>
    <row r="4481" hidden="1" s="59"/>
    <row r="4482" hidden="1" s="59"/>
    <row r="4483" hidden="1" s="59"/>
    <row r="4484" hidden="1" s="59"/>
    <row r="4485" hidden="1" s="59"/>
    <row r="4486" hidden="1" s="59"/>
    <row r="4487" hidden="1" s="59"/>
    <row r="4488" hidden="1" s="59"/>
    <row r="4489" hidden="1" s="59"/>
    <row r="4490" hidden="1" s="59"/>
    <row r="4491" hidden="1" s="59"/>
    <row r="4492" hidden="1" s="59"/>
    <row r="4493" hidden="1" s="59"/>
    <row r="4494" hidden="1" s="59"/>
    <row r="4495" hidden="1" s="59"/>
    <row r="4496" hidden="1" s="59"/>
    <row r="4497" hidden="1" s="59"/>
    <row r="4498" hidden="1" s="59"/>
    <row r="4499" hidden="1" s="59"/>
    <row r="4500" hidden="1" s="59"/>
    <row r="4501" hidden="1" s="59"/>
    <row r="4502" hidden="1" s="59"/>
    <row r="4503" hidden="1" s="59"/>
    <row r="4504" hidden="1" s="59"/>
    <row r="4505" hidden="1" s="59"/>
    <row r="4507" hidden="1" s="59"/>
    <row r="4508" hidden="1" s="59"/>
    <row r="4509" hidden="1" s="59"/>
    <row r="4510" hidden="1" s="59"/>
    <row r="4511" hidden="1" s="59"/>
    <row r="4512" hidden="1" s="59"/>
    <row r="4513" hidden="1" s="59"/>
    <row r="4514" hidden="1" s="59"/>
    <row r="4515" hidden="1" s="59"/>
    <row r="4516" hidden="1" s="59"/>
    <row r="4517" hidden="1" s="59"/>
    <row r="4518" hidden="1" s="59"/>
    <row r="4519" hidden="1" s="59"/>
    <row r="4520" hidden="1" s="59"/>
    <row r="4521" hidden="1" s="59"/>
    <row r="4522" hidden="1" s="59"/>
    <row r="4523" hidden="1" s="59"/>
    <row r="4524" hidden="1" s="59"/>
    <row r="4525" hidden="1" s="59"/>
    <row r="4526" hidden="1" s="59"/>
    <row r="4527" hidden="1" s="59"/>
    <row r="4528" hidden="1" s="59"/>
    <row r="4529" hidden="1" s="59"/>
    <row r="4530" hidden="1" s="59"/>
    <row r="4531" hidden="1" s="59"/>
    <row r="4532" hidden="1" s="59"/>
    <row r="4533" hidden="1" s="59"/>
    <row r="4534" hidden="1" s="59"/>
    <row r="4535" hidden="1" s="59"/>
    <row r="4536" hidden="1" s="59"/>
    <row r="4537" hidden="1" s="59"/>
    <row r="4538" hidden="1" s="59"/>
    <row r="4539" hidden="1" s="59"/>
    <row r="4540" hidden="1" s="59"/>
    <row r="4541" hidden="1" s="59"/>
    <row r="4542" hidden="1" s="59"/>
    <row r="4543" hidden="1" s="59"/>
    <row r="4544" hidden="1" s="59"/>
    <row r="4545" hidden="1" s="59"/>
    <row r="4546" hidden="1" s="59"/>
    <row r="4548" hidden="1" s="59"/>
    <row r="4549" hidden="1" s="59"/>
    <row r="4550" hidden="1" s="59"/>
    <row r="4551" hidden="1" s="59"/>
    <row r="4552" hidden="1" s="59"/>
    <row r="4553" hidden="1" s="59"/>
    <row r="4554" hidden="1" s="59"/>
    <row r="4555" hidden="1" s="59"/>
    <row r="4556" hidden="1" s="59"/>
    <row r="4557" hidden="1" s="59"/>
    <row r="4558" hidden="1" s="59"/>
    <row r="4559" hidden="1" s="59"/>
    <row r="4560" hidden="1" s="59"/>
    <row r="4561" hidden="1" s="59"/>
    <row r="4562" hidden="1" s="59"/>
    <row r="4563" hidden="1" s="59"/>
    <row r="4564" hidden="1" s="59"/>
    <row r="4565" hidden="1" s="59"/>
    <row r="4566" hidden="1" s="59"/>
    <row r="4567" hidden="1" s="59"/>
    <row r="4568" hidden="1" s="59"/>
    <row r="4569" hidden="1" s="59"/>
    <row r="4570" hidden="1" s="59"/>
    <row r="4571" hidden="1" s="59"/>
    <row r="4572" hidden="1" s="59"/>
    <row r="4573" hidden="1" s="59"/>
    <row r="4574" hidden="1" s="59"/>
    <row r="4575" hidden="1" s="59"/>
    <row r="4576" hidden="1" s="59"/>
    <row r="4577" hidden="1" s="59"/>
    <row r="4578" hidden="1" s="59"/>
    <row r="4579" hidden="1" s="59"/>
    <row r="4580" hidden="1" s="59"/>
    <row r="4581" hidden="1" s="59"/>
    <row r="4582" hidden="1" s="59"/>
    <row r="4583" hidden="1" s="59"/>
    <row r="4584" hidden="1" s="59"/>
    <row r="4585" hidden="1" s="59"/>
    <row r="4586" hidden="1" s="59"/>
    <row r="4587" hidden="1" s="59"/>
    <row r="4588" hidden="1" s="59"/>
    <row r="4589" hidden="1" s="59"/>
    <row r="4590" hidden="1" s="59"/>
    <row r="4591" hidden="1" s="59"/>
    <row r="4592" hidden="1" s="59"/>
    <row r="4593" hidden="1" s="59"/>
    <row r="4594" hidden="1" s="59"/>
    <row r="4595" hidden="1" s="59"/>
    <row r="4596" hidden="1" s="59"/>
    <row r="4597" hidden="1" s="59"/>
    <row r="4598" hidden="1" s="59"/>
    <row r="4599" hidden="1" s="59"/>
    <row r="4600" hidden="1" s="59"/>
    <row r="4601" hidden="1" s="59"/>
    <row r="4602" hidden="1" s="59"/>
    <row r="4603" hidden="1" s="59"/>
    <row r="4604" hidden="1" s="59"/>
    <row r="4605" hidden="1" s="59"/>
    <row r="4606" hidden="1" s="59"/>
    <row r="4607" hidden="1" s="59"/>
    <row r="4608" hidden="1" s="59"/>
    <row r="4609" hidden="1" s="59"/>
    <row r="4610" hidden="1" s="59"/>
    <row r="4611" hidden="1" s="59"/>
    <row r="4612" hidden="1" s="59"/>
    <row r="4613" hidden="1" s="59"/>
    <row r="4614" hidden="1" s="59"/>
    <row r="4615" hidden="1" s="59"/>
    <row r="4616" hidden="1" s="59"/>
    <row r="4617" hidden="1" s="59"/>
    <row r="4618" hidden="1" s="59"/>
    <row r="4619" hidden="1" s="59"/>
    <row r="4620" hidden="1" s="59"/>
    <row r="4621" hidden="1" s="59"/>
    <row r="4622" hidden="1" s="59"/>
    <row r="4623" hidden="1" s="59"/>
    <row r="4624" hidden="1" s="59"/>
    <row r="4625" hidden="1" s="59"/>
    <row r="4626" hidden="1" s="59"/>
    <row r="4627" hidden="1" s="59"/>
    <row r="4628" hidden="1" s="59"/>
    <row r="4629" hidden="1" s="59"/>
    <row r="4630" hidden="1" s="59"/>
    <row r="4631" hidden="1" s="59"/>
    <row r="4632" hidden="1" s="59"/>
    <row r="4633" hidden="1" s="59"/>
    <row r="4634" hidden="1" s="59"/>
    <row r="4635" hidden="1" s="59"/>
    <row r="4636" hidden="1" s="59"/>
    <row r="4637" hidden="1" s="59"/>
    <row r="4638" hidden="1" s="59"/>
    <row r="4639" hidden="1" s="59"/>
    <row r="4640" hidden="1" s="59"/>
    <row r="4641" hidden="1" s="59"/>
    <row r="4642" hidden="1" s="59"/>
    <row r="4643" hidden="1" s="59"/>
    <row r="4644" hidden="1" s="59"/>
    <row r="4645" hidden="1" s="59"/>
    <row r="4646" hidden="1" s="59"/>
    <row r="4647" hidden="1" s="59"/>
    <row r="4648" hidden="1" s="59"/>
    <row r="4649" hidden="1" s="59"/>
    <row r="4650" hidden="1" s="59"/>
    <row r="4651" hidden="1" s="59"/>
    <row r="4652" hidden="1" s="59"/>
    <row r="4653" hidden="1" s="59"/>
    <row r="4654" hidden="1" s="59"/>
    <row r="4655" hidden="1" s="59"/>
    <row r="4656" hidden="1" s="59"/>
    <row r="4657" hidden="1" s="59"/>
    <row r="4658" hidden="1" s="59"/>
    <row r="4659" hidden="1" s="59"/>
    <row r="4660" hidden="1" s="59"/>
    <row r="4661" hidden="1" s="59"/>
    <row r="4662" hidden="1" s="59"/>
    <row r="4663" hidden="1" s="59"/>
    <row r="4664" hidden="1" s="59"/>
    <row r="4665" hidden="1" s="59"/>
    <row r="4666" hidden="1" s="59"/>
    <row r="4667" hidden="1" s="59"/>
    <row r="4668" hidden="1" s="59"/>
    <row r="4669" hidden="1" s="59"/>
    <row r="4670" hidden="1" s="59"/>
    <row r="4671" hidden="1" s="59"/>
    <row r="4672" hidden="1" s="59"/>
    <row r="4673" hidden="1" s="59"/>
    <row r="4674" hidden="1" s="59"/>
    <row r="4675" hidden="1" s="59"/>
    <row r="4676" hidden="1" s="59"/>
    <row r="4677" hidden="1" s="59"/>
    <row r="4678" hidden="1" s="59"/>
    <row r="4679" hidden="1" s="59"/>
    <row r="4680" hidden="1" s="59"/>
    <row r="4681" hidden="1" s="59"/>
    <row r="4682" hidden="1" s="59"/>
    <row r="4684" hidden="1" s="59"/>
    <row r="4685" hidden="1" s="59"/>
    <row r="4686" hidden="1" s="59"/>
    <row r="4687" hidden="1" s="59"/>
    <row r="4688" hidden="1" s="59"/>
    <row r="4689" hidden="1" s="59"/>
    <row r="4690" hidden="1" s="59"/>
    <row r="4691" hidden="1" s="59"/>
    <row r="4692" hidden="1" s="59"/>
    <row r="4693" hidden="1" s="59"/>
    <row r="4694" hidden="1" s="59"/>
    <row r="4695" hidden="1" s="59"/>
    <row r="4696" hidden="1" s="59"/>
    <row r="4697" hidden="1" s="59"/>
    <row r="4698" hidden="1" s="59"/>
    <row r="4699" hidden="1" s="59"/>
    <row r="4700" hidden="1" s="59"/>
    <row r="4701" hidden="1" s="59"/>
    <row r="4702" hidden="1" s="59"/>
    <row r="4703" hidden="1" s="59"/>
    <row r="4704" hidden="1" s="59"/>
    <row r="4705" hidden="1" s="59"/>
    <row r="4706" hidden="1" s="59"/>
    <row r="4707" hidden="1" s="59"/>
    <row r="4709" hidden="1" s="59"/>
    <row r="4710" hidden="1" s="59"/>
    <row r="4711" hidden="1" s="59"/>
    <row r="4712" hidden="1" s="59"/>
    <row r="4713" hidden="1" s="59"/>
    <row r="4714" hidden="1" s="59"/>
    <row r="4715" hidden="1" s="59"/>
    <row r="4716" hidden="1" s="59"/>
    <row r="4717" hidden="1" s="59"/>
    <row r="4718" hidden="1" s="59"/>
    <row r="4719" hidden="1" s="59"/>
    <row r="4720" hidden="1" s="59"/>
    <row r="4721" hidden="1" s="59"/>
    <row r="4722" hidden="1" s="59"/>
    <row r="4723" hidden="1" s="59"/>
    <row r="4724" hidden="1" s="59"/>
    <row r="4725" hidden="1" s="59"/>
    <row r="4726" hidden="1" s="59"/>
    <row r="4727" hidden="1" s="59"/>
    <row r="4729" hidden="1" s="59"/>
    <row r="4730" hidden="1" s="59"/>
    <row r="4731" hidden="1" s="59"/>
    <row r="4732" hidden="1" s="59"/>
    <row r="4733" hidden="1" s="59"/>
    <row r="4734" hidden="1" s="59"/>
    <row r="4735" hidden="1" s="59"/>
    <row r="4736" hidden="1" s="59"/>
    <row r="4737" hidden="1" s="59"/>
    <row r="4738" hidden="1" s="59"/>
    <row r="4739" hidden="1" s="59"/>
    <row r="4740" hidden="1" s="59"/>
    <row r="4741" hidden="1" s="59"/>
    <row r="4742" hidden="1" s="59"/>
    <row r="4743" hidden="1" s="59"/>
    <row r="4744" hidden="1" s="59"/>
    <row r="4745" hidden="1" s="59"/>
    <row r="4746" hidden="1" s="59"/>
    <row r="4747" hidden="1" s="59"/>
    <row r="4748" hidden="1" s="59"/>
    <row r="4749" hidden="1" s="59"/>
    <row r="4750" hidden="1" s="59"/>
    <row r="4751" hidden="1" s="59"/>
    <row r="4752" hidden="1" s="59"/>
    <row r="4753" hidden="1" s="59"/>
    <row r="4754" hidden="1" s="59"/>
    <row r="4755" hidden="1" s="59"/>
    <row r="4756" hidden="1" s="59"/>
    <row r="4757" hidden="1" s="59"/>
    <row r="4758" hidden="1" s="59"/>
    <row r="4759" hidden="1" s="59"/>
    <row r="4760" hidden="1" s="59"/>
    <row r="4761" hidden="1" s="59"/>
    <row r="4762" hidden="1" s="59"/>
    <row r="4763" hidden="1" s="59"/>
    <row r="4764" hidden="1" s="59"/>
    <row r="4765" hidden="1" s="59"/>
    <row r="4766" hidden="1" s="59"/>
    <row r="4767" hidden="1" s="59"/>
    <row r="4770" hidden="1" s="59"/>
    <row r="4771" hidden="1" s="59"/>
    <row r="4772" hidden="1" s="59"/>
    <row r="4773" hidden="1" s="59"/>
    <row r="4774" hidden="1" s="59"/>
    <row r="4775" hidden="1" s="59"/>
    <row r="4776" hidden="1" s="59"/>
    <row r="4777" hidden="1" s="59"/>
    <row r="4778" hidden="1" s="59"/>
    <row r="4779" hidden="1" s="59"/>
    <row r="4780" hidden="1" s="59"/>
    <row r="4781" hidden="1" s="59"/>
    <row r="4782" hidden="1" s="59"/>
    <row r="4783" hidden="1" s="59"/>
    <row r="4784" hidden="1" s="59"/>
    <row r="4785" hidden="1" s="59"/>
    <row r="4786" hidden="1" s="59"/>
    <row r="4787" hidden="1" s="59"/>
    <row r="4788" hidden="1" s="59"/>
    <row r="4789" hidden="1" s="59"/>
    <row r="4790" hidden="1" s="59"/>
    <row r="4791" hidden="1" s="59"/>
    <row r="4792" hidden="1" s="59"/>
    <row r="4793" hidden="1" s="59"/>
    <row r="4794" hidden="1" s="59"/>
    <row r="4795" hidden="1" s="59"/>
    <row r="4796" hidden="1" s="59"/>
    <row r="4797" hidden="1" s="59"/>
    <row r="4798" hidden="1" s="59"/>
    <row r="4799" hidden="1" s="59"/>
    <row r="4800" hidden="1" s="59"/>
    <row r="4801" hidden="1" s="59"/>
    <row r="4802" hidden="1" s="59"/>
    <row r="4803" hidden="1" s="59"/>
    <row r="4804" hidden="1" s="59"/>
    <row r="4805" hidden="1" s="59"/>
    <row r="4806" hidden="1" s="59"/>
    <row r="4807" hidden="1" s="59"/>
    <row r="4808" hidden="1" s="59"/>
    <row r="4809" hidden="1" s="59"/>
    <row r="4810" hidden="1" s="59"/>
    <row r="4811" hidden="1" s="59"/>
    <row r="4812" hidden="1" s="59"/>
    <row r="4813" hidden="1" s="59"/>
    <row r="4814" hidden="1" s="59"/>
    <row r="4815" hidden="1" s="59"/>
    <row r="4816" hidden="1" s="59"/>
    <row r="4817" hidden="1" s="59"/>
    <row r="4818" hidden="1" s="59"/>
    <row r="4819" hidden="1" s="59"/>
    <row r="4820" hidden="1" s="59"/>
    <row r="4821" hidden="1" s="59"/>
    <row r="4822" hidden="1" s="59"/>
    <row r="4823" hidden="1" s="59"/>
    <row r="4824" hidden="1" s="59"/>
    <row r="4825" hidden="1" s="59"/>
    <row r="4826" hidden="1" s="59"/>
    <row r="4827" hidden="1" s="59"/>
    <row r="4828" hidden="1" s="59"/>
    <row r="4829" hidden="1" s="59"/>
    <row r="4830" hidden="1" s="59"/>
    <row r="4831" hidden="1" s="59"/>
    <row r="4832" hidden="1" s="59"/>
    <row r="4833" hidden="1" s="59"/>
    <row r="4834" hidden="1" s="59"/>
    <row r="4835" hidden="1" s="59"/>
    <row r="4836" hidden="1" s="59"/>
    <row r="4837" hidden="1" s="59"/>
    <row r="4838" hidden="1" s="59"/>
    <row r="4839" hidden="1" s="59"/>
    <row r="4840" hidden="1" s="59"/>
    <row r="4841" hidden="1" s="59"/>
    <row r="4842" hidden="1" s="59"/>
    <row r="4843" hidden="1" s="59"/>
    <row r="4844" hidden="1" s="59"/>
    <row r="4845" hidden="1" s="59"/>
    <row r="4846" hidden="1" s="59"/>
    <row r="4847" hidden="1" s="59"/>
    <row r="4848" hidden="1" s="59"/>
    <row r="4849" hidden="1" s="59"/>
    <row r="4850" hidden="1" s="59"/>
    <row r="4851" hidden="1" s="59"/>
    <row r="4852" hidden="1" s="59"/>
    <row r="4853" hidden="1" s="59"/>
    <row r="4854" hidden="1" s="59"/>
    <row r="4855" hidden="1" s="59"/>
    <row r="4856" hidden="1" s="59"/>
    <row r="4857" hidden="1" s="59"/>
    <row r="4858" hidden="1" s="59"/>
    <row r="4859" hidden="1" s="59"/>
    <row r="4860" hidden="1" s="59"/>
    <row r="4861" hidden="1" s="59"/>
    <row r="4862" hidden="1" s="59"/>
    <row r="4863" hidden="1" s="59"/>
    <row r="4864" hidden="1" s="59"/>
    <row r="4865" hidden="1" s="59"/>
    <row r="4866" hidden="1" s="59"/>
    <row r="4867" hidden="1" s="59"/>
    <row r="4868" hidden="1" s="59"/>
    <row r="4869" hidden="1" s="59"/>
    <row r="4870" hidden="1" s="59"/>
    <row r="4871" hidden="1" s="59"/>
    <row r="4872" hidden="1" s="59"/>
    <row r="4873" hidden="1" s="59"/>
    <row r="4876" hidden="1" s="59"/>
    <row r="4877" hidden="1" s="59"/>
    <row r="4878" hidden="1" s="59"/>
    <row r="4879" hidden="1" s="59"/>
    <row r="4880" hidden="1" s="59"/>
    <row r="4881" hidden="1" s="59"/>
    <row r="4882" hidden="1" s="59"/>
    <row r="4883" hidden="1" s="59"/>
    <row r="4884" hidden="1" s="59"/>
    <row r="4885" hidden="1" s="59"/>
    <row r="4886" hidden="1" s="59"/>
    <row r="4887" hidden="1" s="59"/>
    <row r="4888" hidden="1" s="59"/>
    <row r="4889" hidden="1" s="59"/>
    <row r="4890" hidden="1" s="59"/>
    <row r="4891" hidden="1" s="59"/>
    <row r="4892" hidden="1" s="59"/>
    <row r="4893" hidden="1" s="59"/>
    <row r="4894" hidden="1" s="59"/>
    <row r="4895" hidden="1" s="59"/>
    <row r="4896" hidden="1" s="59"/>
    <row r="4897" hidden="1" s="59"/>
    <row r="4898" hidden="1" s="59"/>
    <row r="4899" hidden="1" s="59"/>
    <row r="4900" hidden="1" s="59"/>
    <row r="4901" hidden="1" s="59"/>
    <row r="4902" hidden="1" s="59"/>
    <row r="4903" hidden="1" s="59"/>
    <row r="4904" hidden="1" s="59"/>
    <row r="4905" hidden="1" s="59"/>
    <row r="4906" hidden="1" s="59"/>
    <row r="4907" hidden="1" s="59"/>
    <row r="4908" hidden="1" s="59"/>
    <row r="4909" hidden="1" s="59"/>
    <row r="4910" hidden="1" s="59"/>
    <row r="4911" hidden="1" s="59"/>
    <row r="4912" hidden="1" s="59"/>
    <row r="4913" hidden="1" s="59"/>
    <row r="4914" hidden="1" s="59"/>
    <row r="4915" hidden="1" s="59"/>
    <row r="4916" hidden="1" s="59"/>
    <row r="4917" hidden="1" s="59"/>
    <row r="4918" hidden="1" s="59"/>
    <row r="4919" hidden="1" s="59"/>
    <row r="4920" hidden="1" s="59"/>
    <row r="4921" hidden="1" s="59"/>
    <row r="4922" hidden="1" s="59"/>
    <row r="4923" hidden="1" s="59"/>
    <row r="4924" hidden="1" s="59"/>
    <row r="4925" hidden="1" s="59"/>
    <row r="4926" hidden="1" s="59"/>
    <row r="4927" hidden="1" s="59"/>
    <row r="4928" hidden="1" s="59"/>
    <row r="4929" hidden="1" s="59"/>
    <row r="4930" hidden="1" s="59"/>
    <row r="4931" hidden="1" s="59"/>
    <row r="4932" hidden="1" s="59"/>
    <row r="4933" hidden="1" s="59"/>
    <row r="4934" hidden="1" s="59"/>
    <row r="4935" hidden="1" s="59"/>
    <row r="4936" hidden="1" s="59"/>
    <row r="4937" hidden="1" s="59"/>
    <row r="4938" hidden="1" s="59"/>
    <row r="4939" hidden="1" s="59"/>
    <row r="4940" hidden="1" s="59"/>
    <row r="4941" hidden="1" s="59"/>
    <row r="4942" hidden="1" s="59"/>
    <row r="4943" hidden="1" s="59"/>
    <row r="4944" hidden="1" s="59"/>
    <row r="4945" hidden="1" s="59"/>
    <row r="4946" hidden="1" s="59"/>
    <row r="4947" hidden="1" s="59"/>
    <row r="4948" hidden="1" s="59"/>
    <row r="4949" hidden="1" s="59"/>
    <row r="4950" hidden="1" s="59"/>
    <row r="4951" hidden="1" s="59"/>
    <row r="4952" hidden="1" s="59"/>
    <row r="4953" hidden="1" s="59"/>
    <row r="4955" hidden="1" s="59"/>
    <row r="4956" hidden="1" s="59"/>
    <row r="4957" hidden="1" s="59"/>
    <row r="4958" hidden="1" s="59"/>
    <row r="4959" hidden="1" s="59"/>
    <row r="4960" hidden="1" s="59"/>
    <row r="4961" hidden="1" s="59"/>
    <row r="4962" hidden="1" s="59"/>
    <row r="4963" hidden="1" s="59"/>
    <row r="4964" hidden="1" s="59"/>
    <row r="4965" hidden="1" s="59"/>
    <row r="4966" hidden="1" s="59"/>
    <row r="4968" hidden="1" s="59"/>
    <row r="4969" hidden="1" s="59"/>
    <row r="4970" hidden="1" s="59"/>
    <row r="4971" hidden="1" s="59"/>
    <row r="4972" hidden="1" s="59"/>
    <row r="4973" hidden="1" s="59"/>
    <row r="4974" hidden="1" s="59"/>
    <row r="4975" hidden="1" s="59"/>
    <row r="4976" hidden="1" s="59"/>
    <row r="4977" hidden="1" s="59"/>
    <row r="4978" hidden="1" s="59"/>
    <row r="4979" hidden="1" s="59"/>
    <row r="4980" hidden="1" s="59"/>
    <row r="4981" hidden="1" s="59"/>
    <row r="4982" hidden="1" s="59"/>
    <row r="4983" hidden="1" s="59"/>
    <row r="4984" hidden="1" s="59"/>
    <row r="4985" hidden="1" s="59"/>
    <row r="4986" hidden="1" s="59"/>
    <row r="4987" hidden="1" s="59"/>
    <row r="4988" hidden="1" s="59"/>
    <row r="4989" hidden="1" s="59"/>
    <row r="4990" hidden="1" s="59"/>
    <row r="4991" hidden="1" s="59"/>
    <row r="4992" hidden="1" s="59"/>
    <row r="4993" hidden="1" s="59"/>
    <row r="4994" hidden="1" s="59"/>
    <row r="4995" hidden="1" s="59"/>
    <row r="4996" hidden="1" s="59"/>
    <row r="4997" hidden="1" s="59"/>
    <row r="4998" hidden="1" s="59"/>
    <row r="4999" hidden="1" s="59"/>
    <row r="5000" hidden="1" s="59"/>
    <row r="5001" hidden="1" s="59"/>
    <row r="5002" hidden="1" s="59"/>
    <row r="5003" hidden="1" s="59"/>
    <row r="5004" hidden="1" s="59"/>
    <row r="5005" hidden="1" s="59"/>
    <row r="5006" hidden="1" s="59"/>
    <row r="5007" hidden="1" s="59"/>
    <row r="5008" hidden="1" s="59"/>
    <row r="5009" hidden="1" s="59"/>
    <row r="5010" hidden="1" s="59"/>
    <row r="5011" hidden="1" s="59"/>
    <row r="5012" hidden="1" s="59"/>
    <row r="5013" hidden="1" s="59"/>
    <row r="5014" hidden="1" s="59"/>
    <row r="5015" hidden="1" s="59"/>
    <row r="5016" hidden="1" s="59"/>
    <row r="5017" hidden="1" s="59"/>
    <row r="5018" hidden="1" s="59"/>
    <row r="5019" hidden="1" s="59"/>
    <row r="5020" hidden="1" s="59"/>
    <row r="5021" hidden="1" s="59"/>
    <row r="5023" hidden="1" s="59"/>
    <row r="5024" hidden="1" s="59"/>
    <row r="5025" hidden="1" s="59"/>
    <row r="5026" hidden="1" s="59"/>
    <row r="5027" hidden="1" s="59"/>
    <row r="5028" hidden="1" s="59"/>
    <row r="5029" hidden="1" s="59"/>
    <row r="5030" hidden="1" s="59"/>
    <row r="5031" hidden="1" s="59"/>
    <row r="5032" hidden="1" s="59"/>
    <row r="5033" hidden="1" s="59"/>
    <row r="5034" hidden="1" s="59"/>
    <row r="5035" hidden="1" s="59"/>
    <row r="5036" hidden="1" s="59"/>
    <row r="5037" hidden="1" s="59"/>
    <row r="5038" hidden="1" s="59"/>
    <row r="5039" hidden="1" s="59"/>
    <row r="5040" hidden="1" s="59"/>
    <row r="5041" hidden="1" s="59"/>
    <row r="5042" hidden="1" s="59"/>
    <row r="5043" hidden="1" s="59"/>
    <row r="5044" hidden="1" s="59"/>
    <row r="5045" hidden="1" s="59"/>
    <row r="5046" hidden="1" s="59"/>
    <row r="5047" hidden="1" s="59"/>
    <row r="5049" hidden="1" s="59"/>
    <row r="5050" hidden="1" s="59"/>
    <row r="5051" hidden="1" s="59"/>
    <row r="5052" hidden="1" s="59"/>
    <row r="5053" hidden="1" s="59"/>
    <row r="5054" hidden="1" s="59"/>
    <row r="5055" hidden="1" s="59"/>
    <row r="5056" hidden="1" s="59"/>
    <row r="5057" hidden="1" s="59"/>
    <row r="5058" hidden="1" s="59"/>
    <row r="5059" hidden="1" s="59"/>
    <row r="5060" hidden="1" s="59"/>
    <row r="5061" hidden="1" s="59"/>
    <row r="5062" hidden="1" s="59"/>
    <row r="5063" hidden="1" s="59"/>
    <row r="5064" hidden="1" s="59"/>
    <row r="5065" hidden="1" s="59"/>
    <row r="5066" hidden="1" s="59"/>
    <row r="5067" hidden="1" s="59"/>
    <row r="5068" hidden="1" s="59"/>
    <row r="5069" hidden="1" s="59"/>
    <row r="5070" hidden="1" s="59"/>
    <row r="5071" hidden="1" s="59"/>
    <row r="5072" hidden="1" s="59"/>
    <row r="5073" hidden="1" s="59"/>
    <row r="5074" hidden="1" s="59"/>
    <row r="5075" hidden="1" s="59"/>
    <row r="5076" hidden="1" s="59"/>
    <row r="5077" hidden="1" s="59"/>
    <row r="5078" hidden="1" s="59"/>
    <row r="5079" hidden="1" s="59"/>
    <row r="5080" hidden="1" s="59"/>
    <row r="5081" hidden="1" s="59"/>
    <row r="5082" hidden="1" s="59"/>
    <row r="5083" hidden="1" s="59"/>
    <row r="5084" hidden="1" s="59"/>
    <row r="5085" hidden="1" s="59"/>
    <row r="5086" hidden="1" s="59"/>
    <row r="5087" hidden="1" s="59"/>
    <row r="5088" hidden="1" s="59"/>
    <row r="5089" hidden="1" s="59"/>
    <row r="5090" hidden="1" s="59"/>
    <row r="5091" hidden="1" s="59"/>
    <row r="5092" hidden="1" s="59"/>
    <row r="5093" hidden="1" s="59"/>
    <row r="5094" hidden="1" s="59"/>
    <row r="5095" hidden="1" s="59"/>
    <row r="5096" hidden="1" s="59"/>
    <row r="5097" hidden="1" s="59"/>
    <row r="5098" hidden="1" s="59"/>
    <row r="5099" hidden="1" s="59"/>
    <row r="5100" hidden="1" s="59"/>
    <row r="5101" hidden="1" s="59"/>
    <row r="5102" hidden="1" s="59"/>
    <row r="5103" hidden="1" s="59"/>
    <row r="5104" hidden="1" s="59"/>
    <row r="5105" hidden="1" s="59"/>
    <row r="5106" hidden="1" s="59"/>
    <row r="5107" hidden="1" s="59"/>
    <row r="5108" hidden="1" s="59"/>
    <row r="5109" hidden="1" s="59"/>
    <row r="5110" hidden="1" s="59"/>
    <row r="5111" hidden="1" s="59"/>
    <row r="5112" hidden="1" s="59"/>
    <row r="5113" hidden="1" s="59"/>
    <row r="5114" hidden="1" s="59"/>
    <row r="5115" hidden="1" s="59"/>
    <row r="5116" hidden="1" s="59"/>
    <row r="5117" hidden="1" s="59"/>
    <row r="5118" hidden="1" s="59"/>
    <row r="5119" hidden="1" s="59"/>
    <row r="5120" hidden="1" s="59"/>
    <row r="5121" hidden="1" s="59"/>
    <row r="5122" hidden="1" s="59"/>
    <row r="5123" hidden="1" s="59"/>
    <row r="5124" hidden="1" s="59"/>
    <row r="5125" hidden="1" s="59"/>
    <row r="5126" hidden="1" s="59"/>
    <row r="5127" hidden="1" s="59"/>
    <row r="5129" hidden="1" s="59"/>
    <row r="5130" hidden="1" s="59"/>
    <row r="5131" hidden="1" s="59"/>
    <row r="5132" hidden="1" s="59"/>
    <row r="5133" hidden="1" s="59"/>
    <row r="5135" hidden="1" s="59"/>
    <row r="5137" hidden="1" s="59"/>
    <row r="5139" hidden="1" s="59"/>
    <row r="5140" hidden="1" s="59"/>
    <row r="5141" hidden="1" s="59"/>
    <row r="5142" hidden="1" s="59"/>
    <row r="5143" hidden="1" s="59"/>
    <row r="5144" hidden="1" s="59"/>
    <row r="5145" hidden="1" s="59"/>
    <row r="5146" hidden="1" s="59"/>
    <row r="5147" hidden="1" s="59"/>
    <row r="5148" hidden="1" s="59"/>
    <row r="5149" hidden="1" s="59"/>
    <row r="5150" hidden="1" s="59"/>
    <row r="5151" hidden="1" s="59"/>
    <row r="5153" hidden="1" s="59"/>
    <row r="5154" hidden="1" s="59"/>
    <row r="5155" hidden="1" s="59"/>
    <row r="5156" hidden="1" s="59"/>
    <row r="5157" hidden="1" s="59"/>
    <row r="5158" hidden="1" s="59"/>
    <row r="5159" hidden="1" s="59"/>
    <row r="5160" hidden="1" s="59"/>
    <row r="5161" hidden="1" s="59"/>
    <row r="5162" hidden="1" s="59"/>
    <row r="5163" hidden="1" s="59"/>
    <row r="5164" hidden="1" s="59"/>
    <row r="5165" hidden="1" s="59"/>
    <row r="5166" hidden="1" s="59"/>
    <row r="5167" hidden="1" s="59"/>
    <row r="5168" hidden="1" s="59"/>
    <row r="5169" hidden="1" s="59"/>
    <row r="5170" hidden="1" s="59"/>
    <row r="5171" hidden="1" s="59"/>
    <row r="5172" hidden="1" s="59"/>
    <row r="5173" hidden="1" s="59"/>
    <row r="5174" hidden="1" s="59"/>
    <row r="5175" hidden="1" s="59"/>
    <row r="5176" hidden="1" s="59"/>
    <row r="5177" hidden="1" s="59"/>
    <row r="5178" hidden="1" s="59"/>
    <row r="5179" hidden="1" s="59"/>
    <row r="5180" hidden="1" s="59"/>
    <row r="5181" hidden="1" s="59"/>
    <row r="5182" hidden="1" s="59"/>
    <row r="5183" hidden="1" s="59"/>
    <row r="5184" hidden="1" s="59"/>
    <row r="5185" hidden="1" s="59"/>
    <row r="5186" hidden="1" s="59"/>
    <row r="5187" hidden="1" s="59"/>
    <row r="5188" hidden="1" s="59"/>
    <row r="5189" hidden="1" s="59"/>
    <row r="5190" hidden="1" s="59"/>
    <row r="5191" hidden="1" s="59"/>
    <row r="5192" hidden="1" s="59"/>
    <row r="5193" hidden="1" s="59"/>
    <row r="5194" hidden="1" s="59"/>
    <row r="5195" hidden="1" s="59"/>
    <row r="5196" hidden="1" s="59"/>
    <row r="5197" hidden="1" s="59"/>
    <row r="5198" hidden="1" s="59"/>
    <row r="5199" hidden="1" s="59"/>
    <row r="5200" hidden="1" s="59"/>
    <row r="5201" hidden="1" s="59"/>
    <row r="5202" hidden="1" s="59"/>
    <row r="5203" hidden="1" s="59"/>
    <row r="5204" hidden="1" s="59"/>
    <row r="5205" hidden="1" s="59"/>
    <row r="5206" hidden="1" s="59"/>
    <row r="5207" hidden="1" s="59"/>
    <row r="5208" hidden="1" s="59"/>
    <row r="5209" hidden="1" s="59"/>
    <row r="5210" hidden="1" s="59"/>
    <row r="5211" hidden="1" s="59"/>
    <row r="5212" hidden="1" s="59"/>
    <row r="5213" hidden="1" s="59"/>
    <row r="5214" hidden="1" s="59"/>
    <row r="5215" hidden="1" s="59"/>
    <row r="5216" hidden="1" s="59"/>
    <row r="5217" hidden="1" s="59"/>
    <row r="5218" hidden="1" s="59"/>
    <row r="5219" hidden="1" s="59"/>
    <row r="5220" hidden="1" s="59"/>
    <row r="5221" hidden="1" s="59"/>
    <row r="5223" hidden="1" s="59"/>
    <row r="5224" hidden="1" s="59"/>
    <row r="5225" hidden="1" s="59"/>
    <row r="5226" hidden="1" s="59"/>
    <row r="5227" hidden="1" s="59"/>
    <row r="5228" hidden="1" s="59"/>
    <row r="5229" hidden="1" s="59"/>
    <row r="5230" hidden="1" s="59"/>
    <row r="5231" hidden="1" s="59"/>
    <row r="5232" hidden="1" s="59"/>
    <row r="5233" hidden="1" s="59"/>
    <row r="5234" hidden="1" s="59"/>
    <row r="5235" hidden="1" s="59"/>
    <row r="5236" hidden="1" s="59"/>
    <row r="5237" hidden="1" s="59"/>
    <row r="5238" hidden="1" s="59"/>
    <row r="5239" hidden="1" s="59"/>
    <row r="5240" hidden="1" s="59"/>
    <row r="5241" hidden="1" s="59"/>
    <row r="5242" hidden="1" s="59"/>
    <row r="5243" hidden="1" s="59"/>
    <row r="5244" hidden="1" s="59"/>
    <row r="5245" hidden="1" s="59"/>
    <row r="5246" hidden="1" s="59"/>
    <row r="5247" hidden="1" s="59"/>
    <row r="5248" hidden="1" s="59"/>
    <row r="5249" hidden="1" s="59"/>
    <row r="5250" hidden="1" s="59"/>
    <row r="5251" hidden="1" s="59"/>
    <row r="5252" hidden="1" s="59"/>
    <row r="5253" hidden="1" s="59"/>
    <row r="5254" hidden="1" s="59"/>
    <row r="5255" hidden="1" s="59"/>
    <row r="5256" hidden="1" s="59"/>
    <row r="5257" hidden="1" s="59"/>
    <row r="5258" hidden="1" s="59"/>
    <row r="5259" hidden="1" s="59"/>
    <row r="5260" hidden="1" s="59"/>
    <row r="5261" hidden="1" s="59"/>
    <row r="5262" hidden="1" s="59"/>
    <row r="5263" hidden="1" s="59"/>
    <row r="5264" hidden="1" s="59"/>
    <row r="5265" hidden="1" s="59"/>
    <row r="5266" hidden="1" s="59"/>
    <row r="5267" hidden="1" s="59"/>
    <row r="5268" hidden="1" s="59"/>
    <row r="5269" hidden="1" s="59"/>
    <row r="5270" hidden="1" s="59"/>
    <row r="5271" hidden="1" s="59"/>
    <row r="5272" hidden="1" s="59"/>
    <row r="5273" hidden="1" s="59"/>
    <row r="5274" hidden="1" s="59"/>
    <row r="5275" hidden="1" s="59"/>
    <row r="5276" hidden="1" s="59"/>
    <row r="5277" hidden="1" s="59"/>
    <row r="5278" hidden="1" s="59"/>
    <row r="5279" hidden="1" s="59"/>
    <row r="5280" hidden="1" s="59"/>
    <row r="5281" hidden="1" s="59"/>
    <row r="5282" hidden="1" s="59"/>
    <row r="5283" hidden="1" s="59"/>
    <row r="5284" hidden="1" s="59"/>
    <row r="5285" hidden="1" s="59"/>
    <row r="5286" hidden="1" s="59"/>
    <row r="5287" hidden="1" s="59"/>
    <row r="5288" hidden="1" s="59"/>
    <row r="5289" hidden="1" s="59"/>
    <row r="5290" hidden="1" s="59"/>
    <row r="5291" hidden="1" s="59"/>
    <row r="5292" hidden="1" s="59"/>
    <row r="5293" hidden="1" s="59"/>
    <row r="5294" hidden="1" s="59"/>
    <row r="5295" hidden="1" s="59"/>
    <row r="5296" hidden="1" s="59"/>
    <row r="5297" hidden="1" s="59"/>
    <row r="5298" hidden="1" s="59"/>
    <row r="5299" hidden="1" s="59"/>
    <row r="5300" hidden="1" s="59"/>
    <row r="5301" hidden="1" s="59"/>
    <row r="5302" hidden="1" s="59"/>
    <row r="5303" hidden="1" s="59"/>
    <row r="5304" hidden="1" s="59"/>
    <row r="5305" hidden="1" s="59"/>
    <row r="5306" hidden="1" s="59"/>
    <row r="5307" hidden="1" s="59"/>
    <row r="5308" hidden="1" s="59"/>
    <row r="5309" hidden="1" s="59"/>
    <row r="5310" hidden="1" s="59"/>
    <row r="5311" hidden="1" s="59"/>
    <row r="5312" hidden="1" s="59"/>
    <row r="5313" hidden="1" s="59"/>
    <row r="5314" hidden="1" s="59"/>
    <row r="5315" hidden="1" s="59"/>
    <row r="5316" hidden="1" s="59"/>
    <row r="5317" hidden="1" s="59"/>
    <row r="5318" hidden="1" s="59"/>
    <row r="5319" hidden="1" s="59"/>
    <row r="5320" hidden="1" s="59"/>
    <row r="5321" hidden="1" s="59"/>
    <row r="5322" hidden="1" s="59"/>
    <row r="5323" hidden="1" s="59"/>
    <row r="5324" hidden="1" s="59"/>
    <row r="5325" hidden="1" s="59"/>
    <row r="5326" hidden="1" s="59"/>
    <row r="5327" hidden="1" s="59"/>
    <row r="5328" hidden="1" s="59"/>
    <row r="5329" hidden="1" s="59"/>
    <row r="5330" hidden="1" s="59"/>
    <row r="5331" hidden="1" s="59"/>
    <row r="5332" hidden="1" s="59"/>
    <row r="5333" hidden="1" s="59"/>
    <row r="5334" hidden="1" s="59"/>
    <row r="5335" hidden="1" s="59"/>
    <row r="5336" hidden="1" s="59"/>
    <row r="5337" hidden="1" s="59"/>
    <row r="5338" hidden="1" s="59"/>
    <row r="5339" hidden="1" s="59"/>
    <row r="5340" hidden="1" s="59"/>
    <row r="5341" hidden="1" s="59"/>
    <row r="5342" hidden="1" s="59"/>
    <row r="5343" hidden="1" s="59"/>
    <row r="5344" hidden="1" s="59"/>
    <row r="5345" hidden="1" s="59"/>
    <row r="5346" hidden="1" s="59"/>
    <row r="5347" hidden="1" s="59"/>
    <row r="5348" hidden="1" s="59"/>
    <row r="5349" hidden="1" s="59"/>
    <row r="5350" hidden="1" s="59"/>
    <row r="5351" hidden="1" s="59"/>
    <row r="5352" hidden="1" s="59"/>
    <row r="5353" hidden="1" s="59"/>
    <row r="5354" hidden="1" s="59"/>
    <row r="5355" hidden="1" s="59"/>
    <row r="5356" hidden="1" s="59"/>
    <row r="5357" hidden="1" s="59"/>
    <row r="5358" hidden="1" s="59"/>
    <row r="5359" hidden="1" s="59"/>
    <row r="5360" hidden="1" s="59"/>
    <row r="5361" hidden="1" s="59"/>
    <row r="5362" hidden="1" s="59"/>
    <row r="5363" hidden="1" s="59"/>
    <row r="5364" hidden="1" s="59"/>
    <row r="5365" hidden="1" s="59"/>
    <row r="5366" hidden="1" s="59"/>
    <row r="5367" hidden="1" s="59"/>
    <row r="5368" hidden="1" s="59"/>
    <row r="5369" hidden="1" s="59"/>
    <row r="5370" hidden="1" s="59"/>
    <row r="5371" hidden="1" s="59"/>
    <row r="5372" hidden="1" s="59"/>
    <row r="5373" hidden="1" s="59"/>
    <row r="5374" hidden="1" s="59"/>
    <row r="5375" hidden="1" s="59"/>
    <row r="5376" hidden="1" s="59"/>
    <row r="5377" hidden="1" s="59"/>
    <row r="5378" hidden="1" s="59"/>
    <row r="5379" hidden="1" s="59"/>
    <row r="5380" hidden="1" s="59"/>
    <row r="5381" hidden="1" s="59"/>
    <row r="5382" hidden="1" s="59"/>
    <row r="5383" hidden="1" s="59"/>
    <row r="5384" hidden="1" s="59"/>
    <row r="5385" hidden="1" s="59"/>
    <row r="5386" hidden="1" s="59"/>
    <row r="5387" hidden="1" s="59"/>
    <row r="5388" hidden="1" s="59"/>
    <row r="5389" hidden="1" s="59"/>
    <row r="5390" hidden="1" s="59"/>
    <row r="5391" hidden="1" s="59"/>
    <row r="5392" hidden="1" s="59"/>
    <row r="5393" hidden="1" s="59"/>
    <row r="5394" hidden="1" s="59"/>
    <row r="5395" hidden="1" s="59"/>
    <row r="5396" hidden="1" s="59"/>
    <row r="5397" hidden="1" s="59"/>
    <row r="5398" hidden="1" s="59"/>
    <row r="5399" hidden="1" s="59"/>
    <row r="5400" hidden="1" s="59"/>
    <row r="5401" hidden="1" s="59"/>
    <row r="5402" hidden="1" s="59"/>
    <row r="5403" hidden="1" s="59"/>
    <row r="5404" hidden="1" s="59"/>
    <row r="5405" hidden="1" s="59"/>
    <row r="5406" hidden="1" s="59"/>
    <row r="5407" hidden="1" s="59"/>
    <row r="5408" hidden="1" s="59"/>
    <row r="5409" hidden="1" s="59"/>
    <row r="5410" hidden="1" s="59"/>
    <row r="5411" hidden="1" s="59"/>
    <row r="5412" hidden="1" s="59"/>
    <row r="5413" hidden="1" s="59"/>
    <row r="5414" hidden="1" s="59"/>
    <row r="5415" hidden="1" s="59"/>
    <row r="5416" hidden="1" s="59"/>
    <row r="5417" hidden="1" s="59"/>
    <row r="5418" hidden="1" s="59"/>
    <row r="5419" hidden="1" s="59"/>
    <row r="5420" hidden="1" s="59"/>
    <row r="5421" hidden="1" s="59"/>
    <row r="5422" hidden="1" s="59"/>
    <row r="5423" hidden="1" s="59"/>
    <row r="5424" hidden="1" s="59"/>
    <row r="5425" hidden="1" s="59"/>
    <row r="5426" hidden="1" s="59"/>
    <row r="5427" hidden="1" s="59"/>
    <row r="5428" hidden="1" s="59"/>
    <row r="5429" hidden="1" s="59"/>
    <row r="5430" hidden="1" s="59"/>
    <row r="5431" hidden="1" s="59"/>
    <row r="5432" hidden="1" s="59"/>
    <row r="5433" hidden="1" s="59"/>
    <row r="5434" hidden="1" s="59"/>
    <row r="5435" hidden="1" s="59"/>
    <row r="5436" hidden="1" s="59"/>
    <row r="5437" hidden="1" s="59"/>
    <row r="5438" hidden="1" s="59"/>
    <row r="5439" hidden="1" s="59"/>
    <row r="5440" hidden="1" s="59"/>
    <row r="5441" hidden="1" s="59"/>
    <row r="5442" hidden="1" s="59"/>
    <row r="5443" hidden="1" s="59"/>
    <row r="5444" hidden="1" s="59"/>
    <row r="5445" hidden="1" s="59"/>
    <row r="5446" hidden="1" s="59"/>
    <row r="5447" hidden="1" s="59"/>
    <row r="5448" hidden="1" s="59"/>
    <row r="5449" hidden="1" s="59"/>
    <row r="5450" hidden="1" s="59"/>
    <row r="5451" hidden="1" s="59"/>
    <row r="5452" hidden="1" s="59"/>
    <row r="5453" hidden="1" s="59"/>
    <row r="5454" hidden="1" s="59"/>
    <row r="5455" hidden="1" s="59"/>
    <row r="5456" hidden="1" s="59"/>
    <row r="5457" hidden="1" s="59"/>
    <row r="5458" hidden="1" s="59"/>
    <row r="5459" hidden="1" s="59"/>
    <row r="5460" hidden="1" s="59"/>
    <row r="5461" hidden="1" s="59"/>
    <row r="5462" hidden="1" s="59"/>
    <row r="5463" hidden="1" s="59"/>
    <row r="5464" hidden="1" s="59"/>
    <row r="5465" hidden="1" s="59"/>
    <row r="5466" hidden="1" s="59"/>
    <row r="5467" hidden="1" s="59"/>
    <row r="5468" hidden="1" s="59"/>
    <row r="5469" hidden="1" s="59"/>
    <row r="5470" hidden="1" s="59"/>
    <row r="5471" hidden="1" s="59"/>
    <row r="5472" hidden="1" s="59"/>
    <row r="5473" hidden="1" s="59"/>
    <row r="5474" hidden="1" s="59"/>
    <row r="5475" hidden="1" s="59"/>
    <row r="5476" hidden="1" s="59"/>
    <row r="5477" hidden="1" s="59"/>
    <row r="5478" hidden="1" s="59"/>
    <row r="5479" hidden="1" s="59"/>
    <row r="5480" hidden="1" s="59"/>
    <row r="5481" hidden="1" s="59"/>
    <row r="5482" hidden="1" s="59"/>
    <row r="5483" hidden="1" s="59"/>
    <row r="5484" hidden="1" s="59"/>
    <row r="5485" hidden="1" s="59"/>
    <row r="5486" hidden="1" s="59"/>
    <row r="5487" hidden="1" s="59"/>
    <row r="5488" hidden="1" s="59"/>
    <row r="5489" hidden="1" s="59"/>
    <row r="5490" hidden="1" s="59"/>
    <row r="5491" hidden="1" s="59"/>
    <row r="5492" hidden="1" s="59"/>
    <row r="5493" hidden="1" s="59"/>
    <row r="5494" hidden="1" s="59"/>
    <row r="5495" hidden="1" s="59"/>
    <row r="5496" hidden="1" s="59"/>
    <row r="5497" hidden="1" s="59"/>
    <row r="5498" hidden="1" s="59"/>
    <row r="5499" hidden="1" s="59"/>
    <row r="5500" hidden="1" s="59"/>
    <row r="5501" hidden="1" s="59"/>
    <row r="5502" hidden="1" s="59"/>
    <row r="5503" hidden="1" s="59"/>
    <row r="5504" hidden="1" s="59"/>
    <row r="5505" hidden="1" s="59"/>
    <row r="5506" hidden="1" s="59"/>
    <row r="5507" hidden="1" s="59"/>
    <row r="5508" hidden="1" s="59"/>
    <row r="5509" hidden="1" s="59"/>
    <row r="5510" hidden="1" s="59"/>
    <row r="5511" hidden="1" s="59"/>
    <row r="5512" hidden="1" s="59"/>
    <row r="5513" hidden="1" s="59"/>
    <row r="5514" hidden="1" s="59"/>
    <row r="5515" hidden="1" s="59"/>
    <row r="5516" hidden="1" s="59"/>
    <row r="5517" hidden="1" s="59"/>
    <row r="5518" hidden="1" s="59"/>
    <row r="5519" hidden="1" s="59"/>
    <row r="5520" hidden="1" s="59"/>
    <row r="5521" hidden="1" s="59"/>
    <row r="5522" hidden="1" s="59"/>
    <row r="5523" hidden="1" s="59"/>
    <row r="5524" hidden="1" s="59"/>
    <row r="5525" hidden="1" s="59"/>
    <row r="5526" hidden="1" s="59"/>
    <row r="5527" hidden="1" s="59"/>
    <row r="5528" hidden="1" s="59"/>
    <row r="5529" hidden="1" s="59"/>
    <row r="5530" hidden="1" s="59"/>
    <row r="5531" hidden="1" s="59"/>
    <row r="5532" hidden="1" s="59"/>
    <row r="5533" hidden="1" s="59"/>
    <row r="5534" hidden="1" s="59"/>
    <row r="5535" hidden="1" s="59"/>
    <row r="5536" hidden="1" s="59"/>
    <row r="5537" hidden="1" s="59"/>
    <row r="5538" hidden="1" s="59"/>
    <row r="5539" hidden="1" s="59"/>
    <row r="5540" hidden="1" s="59"/>
    <row r="5541" hidden="1" s="59"/>
    <row r="5542" hidden="1" s="59"/>
    <row r="5543" hidden="1" s="59"/>
    <row r="5544" hidden="1" s="59"/>
    <row r="5545" hidden="1" s="59"/>
    <row r="5546" hidden="1" s="59"/>
    <row r="5547" hidden="1" s="59"/>
    <row r="5548" hidden="1" s="59"/>
    <row r="5549" hidden="1" s="59"/>
    <row r="5550" hidden="1" s="59"/>
    <row r="5551" hidden="1" s="59"/>
    <row r="5552" hidden="1" s="59"/>
    <row r="5553" hidden="1" s="59"/>
    <row r="5554" hidden="1" s="59"/>
    <row r="5555" hidden="1" s="59"/>
    <row r="5556" hidden="1" s="59"/>
    <row r="5557" hidden="1" s="59"/>
    <row r="5558" hidden="1" s="59"/>
    <row r="5559" hidden="1" s="59"/>
    <row r="5560" hidden="1" s="59"/>
    <row r="5561" hidden="1" s="59"/>
    <row r="5562" hidden="1" s="59"/>
    <row r="5563" hidden="1" s="59"/>
    <row r="5564" hidden="1" s="59"/>
    <row r="5565" hidden="1" s="59"/>
    <row r="5566" hidden="1" s="59"/>
    <row r="5567" hidden="1" s="59"/>
    <row r="5568" hidden="1" s="59"/>
    <row r="5569" hidden="1" s="59"/>
    <row r="5570" hidden="1" s="59"/>
    <row r="5571" hidden="1" s="59"/>
    <row r="5572" hidden="1" s="59"/>
    <row r="5573" hidden="1" s="59"/>
    <row r="5574" hidden="1" s="59"/>
    <row r="5575" hidden="1" s="59"/>
    <row r="5576" hidden="1" s="59"/>
    <row r="5577" hidden="1" s="59"/>
    <row r="5578" hidden="1" s="59"/>
    <row r="5579" hidden="1" s="59"/>
    <row r="5580" hidden="1" s="59"/>
    <row r="5581" hidden="1" s="59"/>
    <row r="5582" hidden="1" s="59"/>
    <row r="5583" hidden="1" s="59"/>
    <row r="5584" hidden="1" s="59"/>
    <row r="5585" hidden="1" s="59"/>
    <row r="5586" hidden="1" s="59"/>
    <row r="5587" hidden="1" s="59"/>
    <row r="5588" hidden="1" s="59"/>
    <row r="5589" hidden="1" s="59"/>
    <row r="5590" hidden="1" s="59"/>
    <row r="5591" hidden="1" s="59"/>
    <row r="5592" hidden="1" s="59"/>
    <row r="5593" hidden="1" s="59"/>
    <row r="5594" hidden="1" s="59"/>
    <row r="5595" hidden="1" s="59"/>
    <row r="5596" hidden="1" s="59"/>
    <row r="5597" hidden="1" s="59"/>
    <row r="5598" hidden="1" s="59"/>
    <row r="5599" hidden="1" s="59"/>
    <row r="5600" hidden="1" s="59"/>
    <row r="5601" hidden="1" s="59"/>
    <row r="5603" hidden="1" s="59"/>
    <row r="5604" hidden="1" s="59"/>
    <row r="5605" hidden="1" s="59"/>
    <row r="5606" hidden="1" s="59"/>
    <row r="5607" hidden="1" s="59"/>
    <row r="5608" hidden="1" s="59"/>
    <row r="5609" hidden="1" s="59"/>
    <row r="5610" hidden="1" s="59"/>
    <row r="5611" hidden="1" s="59"/>
    <row r="5612" hidden="1" s="59"/>
    <row r="5613" hidden="1" s="59"/>
    <row r="5615" hidden="1" s="59"/>
    <row r="5616" hidden="1" s="59"/>
    <row r="5617" hidden="1" s="59"/>
    <row r="5618" hidden="1" s="59"/>
    <row r="5619" hidden="1" s="59"/>
    <row r="5620" hidden="1" s="59"/>
    <row r="5621" hidden="1" s="59"/>
    <row r="5622" hidden="1" s="59"/>
    <row r="5623" hidden="1" s="59"/>
    <row r="5624" hidden="1" s="59"/>
    <row r="5625" hidden="1" s="59"/>
    <row r="5626" hidden="1" s="59"/>
    <row r="5627" hidden="1" s="59"/>
    <row r="5628" hidden="1" s="59"/>
    <row r="5629" hidden="1" s="59"/>
    <row r="5630" hidden="1" s="59"/>
    <row r="5631" hidden="1" s="59"/>
    <row r="5632" hidden="1" s="59"/>
    <row r="5633" hidden="1" s="59"/>
    <row r="5634" hidden="1" s="59"/>
    <row r="5635" hidden="1" s="59"/>
    <row r="5636" hidden="1" s="59"/>
    <row r="5637" hidden="1" s="59"/>
    <row r="5638" hidden="1" s="59"/>
    <row r="5639" hidden="1" s="59"/>
    <row r="5640" hidden="1" s="59"/>
    <row r="5641" hidden="1" s="59"/>
    <row r="5642" hidden="1" s="59"/>
    <row r="5643" hidden="1" s="59"/>
    <row r="5644" hidden="1" s="59"/>
    <row r="5645" hidden="1" s="59"/>
    <row r="5646" hidden="1" s="59"/>
    <row r="5647" hidden="1" s="59"/>
    <row r="5648" hidden="1" s="59"/>
    <row r="5649" hidden="1" s="59"/>
    <row r="5650" hidden="1" s="59"/>
    <row r="5651" hidden="1" s="59"/>
    <row r="5652" hidden="1" s="59"/>
    <row r="5653" hidden="1" s="59"/>
    <row r="5654" hidden="1" s="59"/>
    <row r="5655" hidden="1" s="59"/>
    <row r="5656" hidden="1" s="59"/>
    <row r="5657" hidden="1" s="59"/>
    <row r="5659" hidden="1" s="59"/>
    <row r="5660" hidden="1" s="59"/>
    <row r="5661" hidden="1" s="59"/>
    <row r="5662" hidden="1" s="59"/>
    <row r="5663" hidden="1" s="59"/>
    <row r="5664" hidden="1" s="59"/>
    <row r="5665" hidden="1" s="59"/>
    <row r="5666" hidden="1" s="59"/>
    <row r="5667" hidden="1" s="59"/>
    <row r="5668" hidden="1" s="59"/>
    <row r="5669" hidden="1" s="59"/>
    <row r="5670" hidden="1" s="59"/>
    <row r="5671" hidden="1" s="59"/>
    <row r="5672" hidden="1" s="59"/>
    <row r="5673" hidden="1" s="59"/>
    <row r="5674" hidden="1" s="59"/>
    <row r="5675" hidden="1" s="59"/>
    <row r="5676" hidden="1" s="59"/>
    <row r="5677" hidden="1" s="59"/>
    <row r="5678" hidden="1" s="59"/>
    <row r="5679" hidden="1" s="59"/>
    <row r="5680" hidden="1" s="59"/>
    <row r="5681" hidden="1" s="59"/>
    <row r="5682" hidden="1" s="59"/>
    <row r="5683" hidden="1" s="59"/>
    <row r="5684" hidden="1" s="59"/>
    <row r="5685" hidden="1" s="59"/>
    <row r="5686" hidden="1" s="59"/>
    <row r="5687" hidden="1" s="59"/>
    <row r="5688" hidden="1" s="59"/>
    <row r="5689" hidden="1" s="59"/>
    <row r="5690" hidden="1" s="59"/>
    <row r="5691" hidden="1" s="59"/>
    <row r="5692" hidden="1" s="59"/>
    <row r="5693" hidden="1" s="59"/>
    <row r="5694" hidden="1" s="59"/>
    <row r="5695" hidden="1" s="59"/>
    <row r="5696" hidden="1" s="59"/>
    <row r="5697" hidden="1" s="59"/>
    <row r="5698" hidden="1" s="59"/>
    <row r="5699" hidden="1" s="59"/>
    <row r="5700" hidden="1" s="59"/>
    <row r="5701" hidden="1" s="59"/>
    <row r="5702" hidden="1" s="59"/>
    <row r="5703" hidden="1" s="59"/>
    <row r="5704" hidden="1" s="59"/>
    <row r="5705" hidden="1" s="59"/>
    <row r="5706" hidden="1" s="59"/>
    <row r="5707" hidden="1" s="59"/>
    <row r="5708" hidden="1" s="59"/>
    <row r="5709" hidden="1" s="59"/>
    <row r="5710" hidden="1" s="59"/>
    <row r="5711" hidden="1" s="59"/>
    <row r="5712" hidden="1" s="59"/>
    <row r="5713" hidden="1" s="59"/>
    <row r="5714" hidden="1" s="59"/>
    <row r="5715" hidden="1" s="59"/>
    <row r="5716" hidden="1" s="59"/>
    <row r="5717" hidden="1" s="59"/>
    <row r="5718" hidden="1" s="59"/>
    <row r="5719" hidden="1" s="59"/>
    <row r="5720" hidden="1" s="59"/>
    <row r="5721" hidden="1" s="59"/>
    <row r="5722" hidden="1" s="59"/>
    <row r="5723" hidden="1" s="59"/>
    <row r="5724" hidden="1" s="59"/>
    <row r="5725" hidden="1" s="59"/>
    <row r="5726" hidden="1" s="59"/>
    <row r="5727" hidden="1" s="59"/>
    <row r="5728" hidden="1" s="59"/>
    <row r="5729" hidden="1" s="59"/>
    <row r="5730" hidden="1" s="59"/>
    <row r="5731" hidden="1" s="59"/>
    <row r="5732" hidden="1" s="59"/>
    <row r="5733" hidden="1" s="59"/>
    <row r="5734" hidden="1" s="59"/>
    <row r="5735" hidden="1" s="59"/>
    <row r="5736" hidden="1" s="59"/>
    <row r="5737" hidden="1" s="59"/>
    <row r="5738" hidden="1" s="59"/>
    <row r="5739" hidden="1" s="59"/>
    <row r="5740" hidden="1" s="59"/>
    <row r="5741" hidden="1" s="59"/>
    <row r="5742" hidden="1" s="59"/>
    <row r="5743" hidden="1" s="59"/>
    <row r="5744" hidden="1" s="59"/>
    <row r="5745" hidden="1" s="59"/>
    <row r="5746" hidden="1" s="59"/>
    <row r="5747" hidden="1" s="59"/>
    <row r="5748" hidden="1" s="59"/>
    <row r="5749" hidden="1" s="59"/>
    <row r="5750" hidden="1" s="59"/>
    <row r="5751" hidden="1" s="59"/>
    <row r="5752" hidden="1" s="59"/>
    <row r="5753" hidden="1" s="59"/>
    <row r="5754" hidden="1" s="59"/>
    <row r="5755" hidden="1" s="59"/>
    <row r="5756" hidden="1" s="59"/>
    <row r="5757" hidden="1" s="59"/>
    <row r="5758" hidden="1" s="59"/>
    <row r="5759" hidden="1" s="59"/>
    <row r="5760" hidden="1" s="59"/>
    <row r="5761" hidden="1" s="59"/>
    <row r="5762" hidden="1" s="59"/>
    <row r="5763" hidden="1" s="59"/>
    <row r="5764" hidden="1" s="59"/>
    <row r="5765" hidden="1" s="59"/>
    <row r="5766" hidden="1" s="59"/>
    <row r="5767" hidden="1" s="59"/>
    <row r="5768" hidden="1" s="59"/>
    <row r="5769" hidden="1" s="59"/>
    <row r="5770" hidden="1" s="59"/>
    <row r="5771" hidden="1" s="59"/>
    <row r="5772" hidden="1" s="59"/>
    <row r="5773" hidden="1" s="59"/>
    <row r="5774" hidden="1" s="59"/>
    <row r="5775" hidden="1" s="59"/>
    <row r="5776" hidden="1" s="59"/>
    <row r="5777" hidden="1" s="59"/>
    <row r="5778" hidden="1" s="59"/>
    <row r="5779" hidden="1" s="59"/>
    <row r="5780" hidden="1" s="59"/>
    <row r="5781" hidden="1" s="59"/>
    <row r="5782" hidden="1" s="59"/>
    <row r="5783" hidden="1" s="59"/>
    <row r="5784" hidden="1" s="59"/>
    <row r="5785" hidden="1" s="59"/>
    <row r="5786" hidden="1" s="59"/>
    <row r="5787" hidden="1" s="59"/>
    <row r="5788" hidden="1" s="59"/>
    <row r="5789" hidden="1" s="59"/>
    <row r="5790" hidden="1" s="59"/>
    <row r="5791" hidden="1" s="59"/>
    <row r="5792" hidden="1" s="59"/>
    <row r="5793" hidden="1" s="59"/>
    <row r="5794" hidden="1" s="59"/>
    <row r="5795" hidden="1" s="59"/>
    <row r="5796" hidden="1" s="59"/>
    <row r="5797" hidden="1" s="59"/>
    <row r="5798" hidden="1" s="59"/>
    <row r="5799" hidden="1" s="59"/>
    <row r="5800" hidden="1" s="59"/>
    <row r="5801" hidden="1" s="59"/>
    <row r="5802" hidden="1" s="59"/>
    <row r="5803" hidden="1" s="59"/>
    <row r="5804" hidden="1" s="59"/>
    <row r="5805" hidden="1" s="59"/>
    <row r="5806" hidden="1" s="59"/>
    <row r="5807" hidden="1" s="59"/>
    <row r="5808" hidden="1" s="59"/>
    <row r="5809" hidden="1" s="59"/>
    <row r="5810" hidden="1" s="59"/>
    <row r="5811" hidden="1" s="59"/>
    <row r="5812" hidden="1" s="59"/>
    <row r="5813" hidden="1" s="59"/>
    <row r="5814" hidden="1" s="59"/>
    <row r="5815" hidden="1" s="59"/>
    <row r="5816" hidden="1" s="59"/>
    <row r="5817" hidden="1" s="59"/>
    <row r="5818" hidden="1" s="59"/>
    <row r="5819" hidden="1" s="59"/>
    <row r="5820" hidden="1" s="59"/>
    <row r="5821" hidden="1" s="59"/>
    <row r="5822" hidden="1" s="59"/>
    <row r="5823" hidden="1" s="59"/>
    <row r="5824" hidden="1" s="59"/>
    <row r="5825" hidden="1" s="59"/>
    <row r="5826" hidden="1" s="59"/>
    <row r="5827" hidden="1" s="59"/>
    <row r="5828" hidden="1" s="59"/>
    <row r="5829" hidden="1" s="59"/>
    <row r="5830" hidden="1" s="59"/>
    <row r="5831" hidden="1" s="59"/>
    <row r="5832" hidden="1" s="59"/>
    <row r="5833" hidden="1" s="59"/>
    <row r="5834" hidden="1" s="59"/>
    <row r="5835" hidden="1" s="59"/>
    <row r="5836" hidden="1" s="59"/>
    <row r="5837" hidden="1" s="59"/>
    <row r="5838" hidden="1" s="59"/>
    <row r="5839" hidden="1" s="59"/>
    <row r="5840" hidden="1" s="59"/>
    <row r="5841" hidden="1" s="59"/>
    <row r="5842" hidden="1" s="59"/>
    <row r="5843" hidden="1" s="59"/>
    <row r="5844" hidden="1" s="59"/>
    <row r="5845" hidden="1" s="59"/>
    <row r="5846" hidden="1" s="59"/>
    <row r="5847" hidden="1" s="59"/>
    <row r="5848" hidden="1" s="59"/>
    <row r="5849" hidden="1" s="59"/>
    <row r="5850" hidden="1" s="59"/>
    <row r="5851" hidden="1" s="59"/>
    <row r="5852" hidden="1" s="59"/>
    <row r="5853" hidden="1" s="59"/>
    <row r="5854" hidden="1" s="59"/>
    <row r="5855" hidden="1" s="59"/>
    <row r="5856" hidden="1" s="59"/>
    <row r="5857" hidden="1" s="59"/>
    <row r="5858" hidden="1" s="59"/>
    <row r="5859" hidden="1" s="59"/>
    <row r="5860" hidden="1" s="59"/>
    <row r="5861" hidden="1" s="59"/>
    <row r="5862" hidden="1" s="59"/>
    <row r="5863" hidden="1" s="59"/>
    <row r="5864" hidden="1" s="59"/>
    <row r="5865" hidden="1" s="59"/>
    <row r="5866" hidden="1" s="59"/>
    <row r="5867" hidden="1" s="59"/>
    <row r="5868" hidden="1" s="59"/>
    <row r="5869" hidden="1" s="59"/>
    <row r="5870" hidden="1" s="59"/>
    <row r="5871" hidden="1" s="59"/>
    <row r="5872" hidden="1" s="59"/>
    <row r="5873" hidden="1" s="59"/>
    <row r="5874" hidden="1" s="59"/>
    <row r="5875" hidden="1" s="59"/>
    <row r="5876" hidden="1" s="59"/>
    <row r="5877" hidden="1" s="59"/>
    <row r="5878" hidden="1" s="59"/>
    <row r="5879" hidden="1" s="59"/>
    <row r="5880" hidden="1" s="59"/>
    <row r="5881" hidden="1" s="59"/>
    <row r="5882" hidden="1" s="59"/>
    <row r="5883" hidden="1" s="59"/>
    <row r="5884" hidden="1" s="59"/>
    <row r="5885" hidden="1" s="59"/>
    <row r="5886" hidden="1" s="59"/>
    <row r="5887" hidden="1" s="59"/>
    <row r="5888" hidden="1" s="59"/>
    <row r="5889" hidden="1" s="59"/>
    <row r="5890" hidden="1" s="59"/>
    <row r="5891" hidden="1" s="59"/>
    <row r="5892" hidden="1" s="59"/>
    <row r="5893" hidden="1" s="59"/>
    <row r="5894" hidden="1" s="59"/>
    <row r="5895" hidden="1" s="59"/>
    <row r="5896" hidden="1" s="59"/>
    <row r="5897" hidden="1" s="59"/>
    <row r="5898" hidden="1" s="59"/>
    <row r="5899" hidden="1" s="59"/>
    <row r="5900" hidden="1" s="59"/>
    <row r="5901" hidden="1" s="59"/>
    <row r="5902" hidden="1" s="59"/>
    <row r="5903" hidden="1" s="59"/>
    <row r="5904" hidden="1" s="59"/>
    <row r="5905" hidden="1" s="59"/>
    <row r="5906" hidden="1" s="59"/>
    <row r="5907" hidden="1" s="59"/>
    <row r="5908" hidden="1" s="59"/>
    <row r="5909" hidden="1" s="59"/>
    <row r="5910" hidden="1" s="59"/>
    <row r="5911" hidden="1" s="59"/>
    <row r="5912" hidden="1" s="59"/>
    <row r="5913" hidden="1" s="59"/>
    <row r="5914" hidden="1" s="59"/>
    <row r="5915" hidden="1" s="59"/>
    <row r="5916" hidden="1" s="59"/>
    <row r="5917" hidden="1" s="59"/>
    <row r="5918" hidden="1" s="59"/>
    <row r="5919" hidden="1" s="59"/>
    <row r="5920" hidden="1" s="59"/>
    <row r="5921" hidden="1" s="59"/>
    <row r="5922" hidden="1" s="59"/>
    <row r="5923" hidden="1" s="59"/>
    <row r="5924" hidden="1" s="59"/>
    <row r="5925" hidden="1" s="59"/>
    <row r="5926" hidden="1" s="59"/>
    <row r="5927" hidden="1" s="59"/>
    <row r="5928" hidden="1" s="59"/>
    <row r="5929" hidden="1" s="59"/>
    <row r="5930" hidden="1" s="59"/>
    <row r="5931" hidden="1" s="59"/>
    <row r="5932" hidden="1" s="59"/>
    <row r="5933" hidden="1" s="59"/>
    <row r="5934" hidden="1" s="59"/>
    <row r="5935" hidden="1" s="59"/>
    <row r="5936" hidden="1" s="59"/>
    <row r="5937" hidden="1" s="59"/>
    <row r="5938" hidden="1" s="59"/>
    <row r="5939" hidden="1" s="59"/>
    <row r="5940" hidden="1" s="59"/>
    <row r="5941" hidden="1" s="59"/>
    <row r="5943" hidden="1" s="59"/>
    <row r="5944" hidden="1" s="59"/>
    <row r="5945" hidden="1" s="59"/>
    <row r="5946" hidden="1" s="59"/>
    <row r="5947" hidden="1" s="59"/>
    <row r="5948" hidden="1" s="59"/>
    <row r="5949" hidden="1" s="59"/>
    <row r="5950" hidden="1" s="59"/>
    <row r="5951" hidden="1" s="59"/>
    <row r="5952" hidden="1" s="59"/>
    <row r="5953" hidden="1" s="59"/>
    <row r="5954" hidden="1" s="59"/>
    <row r="5955" hidden="1" s="59"/>
    <row r="5956" hidden="1" s="59"/>
    <row r="5957" hidden="1" s="59"/>
    <row r="5958" hidden="1" s="59"/>
    <row r="5959" hidden="1" s="59"/>
    <row r="5960" hidden="1" s="59"/>
    <row r="5961" hidden="1" s="59"/>
    <row r="5962" hidden="1" s="59"/>
    <row r="5963" hidden="1" s="59"/>
    <row r="5964" hidden="1" s="59"/>
    <row r="5965" hidden="1" s="59"/>
    <row r="5966" hidden="1" s="59"/>
    <row r="5967" hidden="1" s="59"/>
    <row r="5968" hidden="1" s="59"/>
    <row r="5969" hidden="1" s="59"/>
    <row r="5970" hidden="1" s="59"/>
    <row r="5971" hidden="1" s="59"/>
    <row r="5972" hidden="1" s="59"/>
    <row r="5973" hidden="1" s="59"/>
    <row r="5974" hidden="1" s="59"/>
    <row r="5975" hidden="1" s="59"/>
    <row r="5976" hidden="1" s="59"/>
    <row r="5977" hidden="1" s="59"/>
    <row r="5978" hidden="1" s="59"/>
    <row r="5979" hidden="1" s="59"/>
    <row r="5980" hidden="1" s="59"/>
    <row r="5981" hidden="1" s="59"/>
    <row r="5982" hidden="1" s="59"/>
    <row r="5983" hidden="1" s="59"/>
    <row r="5984" hidden="1" s="59"/>
    <row r="5985" hidden="1" s="59"/>
    <row r="5986" hidden="1" s="59"/>
    <row r="5987" hidden="1" s="59"/>
    <row r="5988" hidden="1" s="59"/>
    <row r="5989" hidden="1" s="59"/>
    <row r="5990" hidden="1" s="59"/>
    <row r="5991" hidden="1" s="59"/>
    <row r="5992" hidden="1" s="59"/>
    <row r="5993" hidden="1" s="59"/>
    <row r="5994" hidden="1" s="59"/>
    <row r="5995" hidden="1" s="59"/>
    <row r="5996" hidden="1" s="59"/>
    <row r="5997" hidden="1" s="59"/>
    <row r="5998" hidden="1" s="59"/>
    <row r="5999" hidden="1" s="59"/>
    <row r="6000" hidden="1" s="59"/>
    <row r="6001" hidden="1" s="59"/>
    <row r="6002" hidden="1" s="59"/>
    <row r="6003" hidden="1" s="59"/>
    <row r="6004" hidden="1" s="59"/>
    <row r="6005" hidden="1" s="59"/>
    <row r="6006" hidden="1" s="59"/>
    <row r="6007" hidden="1" s="59"/>
    <row r="6008" hidden="1" s="59"/>
    <row r="6009" hidden="1" s="59"/>
    <row r="6010" hidden="1" s="59"/>
    <row r="6011" hidden="1" s="59"/>
    <row r="6012" hidden="1" s="59"/>
    <row r="6013" hidden="1" s="59"/>
    <row r="6014" hidden="1" s="59"/>
    <row r="6015" hidden="1" s="59"/>
    <row r="6016" hidden="1" s="59"/>
    <row r="6017" hidden="1" s="59"/>
    <row r="6018" hidden="1" s="59"/>
    <row r="6019" hidden="1" s="59"/>
    <row r="6020" hidden="1" s="59"/>
    <row r="6021" hidden="1" s="59"/>
    <row r="6022" hidden="1" s="59"/>
    <row r="6023" hidden="1" s="59"/>
    <row r="6024" hidden="1" s="59"/>
    <row r="6025" hidden="1" s="59"/>
    <row r="6026" hidden="1" s="59"/>
    <row r="6027" hidden="1" s="59"/>
    <row r="6028" hidden="1" s="59"/>
    <row r="6029" hidden="1" s="59"/>
    <row r="6030" hidden="1" s="59"/>
    <row r="6031" hidden="1" s="59"/>
    <row r="6032" hidden="1" s="59"/>
    <row r="6033" hidden="1" s="59"/>
    <row r="6034" hidden="1" s="59"/>
    <row r="6035" hidden="1" s="59"/>
    <row r="6036" hidden="1" s="59"/>
    <row r="6037" hidden="1" s="59"/>
    <row r="6038" hidden="1" s="59"/>
    <row r="6039" hidden="1" s="59"/>
    <row r="6040" hidden="1" s="59"/>
    <row r="6041" hidden="1" s="59"/>
    <row r="6042" hidden="1" s="59"/>
    <row r="6043" hidden="1" s="59"/>
    <row r="6044" hidden="1" s="59"/>
    <row r="6045" hidden="1" s="59"/>
    <row r="6046" hidden="1" s="59"/>
    <row r="6047" hidden="1" s="59"/>
    <row r="6048" hidden="1" s="59"/>
    <row r="6049" hidden="1" s="59"/>
    <row r="6050" hidden="1" s="59"/>
    <row r="6051" hidden="1" s="59"/>
    <row r="6052" hidden="1" s="59"/>
    <row r="6053" hidden="1" s="59"/>
    <row r="6054" hidden="1" s="59"/>
    <row r="6055" hidden="1" s="59"/>
    <row r="6056" hidden="1" s="59"/>
    <row r="6057" hidden="1" s="59"/>
    <row r="6058" hidden="1" s="59"/>
    <row r="6059" hidden="1" s="59"/>
    <row r="6060" hidden="1" s="59"/>
    <row r="6061" hidden="1" s="59"/>
    <row r="6062" hidden="1" s="59"/>
    <row r="6063" hidden="1" s="59"/>
    <row r="6064" hidden="1" s="59"/>
    <row r="6065" hidden="1" s="59"/>
    <row r="6066" hidden="1" s="59"/>
    <row r="6067" hidden="1" s="59"/>
    <row r="6068" hidden="1" s="59"/>
    <row r="6069" hidden="1" s="59"/>
    <row r="6070" hidden="1" s="59"/>
    <row r="6071" hidden="1" s="59"/>
    <row r="6072" hidden="1" s="59"/>
    <row r="6073" hidden="1" s="59"/>
    <row r="6074" hidden="1" s="59"/>
    <row r="6075" hidden="1" s="59"/>
    <row r="6076" hidden="1" s="59"/>
    <row r="6077" hidden="1" s="59"/>
    <row r="6078" hidden="1" s="59"/>
    <row r="6079" hidden="1" s="59"/>
    <row r="6080" hidden="1" s="59"/>
    <row r="6081" hidden="1" s="59"/>
    <row r="6082" hidden="1" s="59"/>
    <row r="6083" hidden="1" s="59"/>
    <row r="6084" hidden="1" s="59"/>
    <row r="6085" hidden="1" s="59"/>
    <row r="6086" hidden="1" s="59"/>
    <row r="6087" hidden="1" s="59"/>
    <row r="6088" hidden="1" s="59"/>
    <row r="6089" hidden="1" s="59"/>
    <row r="6090" hidden="1" s="59"/>
    <row r="6091" hidden="1" s="59"/>
    <row r="6092" hidden="1" s="59"/>
    <row r="6093" hidden="1" s="59"/>
    <row r="6094" hidden="1" s="59"/>
    <row r="6095" hidden="1" s="59"/>
    <row r="6096" hidden="1" s="59"/>
    <row r="6097" hidden="1" s="59"/>
    <row r="6098" hidden="1" s="59"/>
    <row r="6099" hidden="1" s="59"/>
    <row r="6100" hidden="1" s="59"/>
    <row r="6101" hidden="1" s="59"/>
    <row r="6102" hidden="1" s="59"/>
    <row r="6103" hidden="1" s="59"/>
    <row r="6104" hidden="1" s="59"/>
    <row r="6105" hidden="1" s="59"/>
    <row r="6106" hidden="1" s="59"/>
    <row r="6107" hidden="1" s="59"/>
    <row r="6108" hidden="1" s="59"/>
    <row r="6109" hidden="1" s="59"/>
    <row r="6110" hidden="1" s="59"/>
    <row r="6111" hidden="1" s="59"/>
    <row r="6112" hidden="1" s="59"/>
    <row r="6113" hidden="1" s="59"/>
    <row r="6114" hidden="1" s="59"/>
    <row r="6115" hidden="1" s="59"/>
    <row r="6116" hidden="1" s="59"/>
    <row r="6117" hidden="1" s="59"/>
    <row r="6118" hidden="1" s="59"/>
    <row r="6119" hidden="1" s="59"/>
    <row r="6120" hidden="1" s="59"/>
    <row r="6121" hidden="1" s="59"/>
    <row r="6122" hidden="1" s="59"/>
    <row r="6123" hidden="1" s="59"/>
    <row r="6124" hidden="1" s="59"/>
    <row r="6125" hidden="1" s="59"/>
    <row r="6126" hidden="1" s="59"/>
    <row r="6127" hidden="1" s="59"/>
    <row r="6128" hidden="1" s="59"/>
    <row r="6129" hidden="1" s="59"/>
    <row r="6130" hidden="1" s="59"/>
    <row r="6131" hidden="1" s="59"/>
    <row r="6132" hidden="1" s="59"/>
    <row r="6133" hidden="1" s="59"/>
    <row r="6134" hidden="1" s="59"/>
    <row r="6135" hidden="1" s="59"/>
    <row r="6136" hidden="1" s="59"/>
    <row r="6137" hidden="1" s="59"/>
    <row r="6138" hidden="1" s="59"/>
    <row r="6139" hidden="1" s="59"/>
    <row r="6140" hidden="1" s="59"/>
    <row r="6141" hidden="1" s="59"/>
    <row r="6142" hidden="1" s="59"/>
    <row r="6143" hidden="1" s="59"/>
    <row r="6144" hidden="1" s="59"/>
    <row r="6145" hidden="1" s="59"/>
    <row r="6146" hidden="1" s="59"/>
    <row r="6147" hidden="1" s="59"/>
    <row r="6148" hidden="1" s="59"/>
    <row r="6149" hidden="1" s="59"/>
    <row r="6150" hidden="1" s="59"/>
    <row r="6151" hidden="1" s="59"/>
    <row r="6152" hidden="1" s="59"/>
    <row r="6153" hidden="1" s="59"/>
    <row r="6154" hidden="1" s="59"/>
    <row r="6155" hidden="1" s="59"/>
    <row r="6156" hidden="1" s="59"/>
    <row r="6157" hidden="1" s="59"/>
    <row r="6158" hidden="1" s="59"/>
    <row r="6159" hidden="1" s="59"/>
    <row r="6160" hidden="1" s="59"/>
    <row r="6161" hidden="1" s="59"/>
    <row r="6162" hidden="1" s="59"/>
    <row r="6163" hidden="1" s="59"/>
    <row r="6164" hidden="1" s="59"/>
    <row r="6165" hidden="1" s="59"/>
    <row r="6166" hidden="1" s="59"/>
    <row r="6167" hidden="1" s="59"/>
    <row r="6168" hidden="1" s="59"/>
    <row r="6169" hidden="1" s="59"/>
    <row r="6170" hidden="1" s="59"/>
    <row r="6171" hidden="1" s="59"/>
    <row r="6172" hidden="1" s="59"/>
    <row r="6173" hidden="1" s="59"/>
    <row r="6174" hidden="1" s="59"/>
    <row r="6175" hidden="1" s="59"/>
    <row r="6176" hidden="1" s="59"/>
    <row r="6177" hidden="1" s="59"/>
    <row r="6178" hidden="1" s="59"/>
    <row r="6179" hidden="1" s="59"/>
    <row r="6180" hidden="1" s="59"/>
    <row r="6181" hidden="1" s="59"/>
    <row r="6182" hidden="1" s="59"/>
    <row r="6183" hidden="1" s="59"/>
    <row r="6184" hidden="1" s="59"/>
    <row r="6185" hidden="1" s="59"/>
    <row r="6186" hidden="1" s="59"/>
    <row r="6188" hidden="1" s="59"/>
    <row r="6189" hidden="1" s="59"/>
    <row r="6190" hidden="1" s="59"/>
    <row r="6191" hidden="1" s="59"/>
    <row r="6192" hidden="1" s="59"/>
    <row r="6193" hidden="1" s="59"/>
    <row r="6194" hidden="1" s="59"/>
    <row r="6195" hidden="1" s="59"/>
    <row r="6196" hidden="1" s="59"/>
    <row r="6197" hidden="1" s="59"/>
    <row r="6198" hidden="1" s="59"/>
    <row r="6199" hidden="1" s="59"/>
    <row r="6200" hidden="1" s="59"/>
    <row r="6201" hidden="1" s="59"/>
    <row r="6202" hidden="1" s="59"/>
    <row r="6203" hidden="1" s="59"/>
    <row r="6204" hidden="1" s="59"/>
    <row r="6205" hidden="1" s="59"/>
    <row r="6206" hidden="1" s="59"/>
    <row r="6207" hidden="1" s="59"/>
    <row r="6208" hidden="1" s="59"/>
    <row r="6209" hidden="1" s="59"/>
    <row r="6210" hidden="1" s="59"/>
    <row r="6211" hidden="1" s="59"/>
    <row r="6212" hidden="1" s="59"/>
    <row r="6213" hidden="1" s="59"/>
    <row r="6214" hidden="1" s="59"/>
    <row r="6215" hidden="1" s="59"/>
    <row r="6216" hidden="1" s="59"/>
    <row r="6217" hidden="1" s="59"/>
    <row r="6218" hidden="1" s="59"/>
    <row r="6219" hidden="1" s="59"/>
    <row r="6220" hidden="1" s="59"/>
    <row r="6221" hidden="1" s="59"/>
    <row r="6222" hidden="1" s="59"/>
    <row r="6223" hidden="1" s="59"/>
    <row r="6224" hidden="1" s="59"/>
    <row r="6225" hidden="1" s="59"/>
    <row r="6226" hidden="1" s="59"/>
    <row r="6227" hidden="1" s="59"/>
    <row r="6228" hidden="1" s="59"/>
    <row r="6229" hidden="1" s="59"/>
    <row r="6230" hidden="1" s="59"/>
    <row r="6231" hidden="1" s="59"/>
    <row r="6232" hidden="1" s="59"/>
    <row r="6233" hidden="1" s="59"/>
    <row r="6234" hidden="1" s="59"/>
    <row r="6235" hidden="1" s="59"/>
    <row r="6236" hidden="1" s="59"/>
    <row r="6237" hidden="1" s="59"/>
    <row r="6238" hidden="1" s="59"/>
    <row r="6239" hidden="1" s="59"/>
    <row r="6240" hidden="1" s="59"/>
    <row r="6241" hidden="1" s="59"/>
    <row r="6242" hidden="1" s="59"/>
    <row r="6243" hidden="1" s="59"/>
    <row r="6244" hidden="1" s="59"/>
    <row r="6245" hidden="1" s="59"/>
    <row r="6246" hidden="1" s="59"/>
    <row r="6247" hidden="1" s="59"/>
    <row r="6248" hidden="1" s="59"/>
    <row r="6249" hidden="1" s="59"/>
    <row r="6250" hidden="1" s="59"/>
    <row r="6251" hidden="1" s="59"/>
    <row r="6252" hidden="1" s="59"/>
    <row r="6253" hidden="1" s="59"/>
    <row r="6254" hidden="1" s="59"/>
    <row r="6255" hidden="1" s="59"/>
    <row r="6256" hidden="1" s="59"/>
    <row r="6257" hidden="1" s="59"/>
    <row r="6258" hidden="1" s="59"/>
    <row r="6259" hidden="1" s="59"/>
    <row r="6260" hidden="1" s="59"/>
    <row r="6261" hidden="1" s="59"/>
    <row r="6262" hidden="1" s="59"/>
    <row r="6263" hidden="1" s="59"/>
    <row r="6264" hidden="1" s="59"/>
    <row r="6265" hidden="1" s="59"/>
    <row r="6266" hidden="1" s="59"/>
    <row r="6267" hidden="1" s="59"/>
    <row r="6268" hidden="1" s="59"/>
    <row r="6269" hidden="1" s="59"/>
    <row r="6270" hidden="1" s="59"/>
    <row r="6271" hidden="1" s="59"/>
    <row r="6272" hidden="1" s="59"/>
    <row r="6273" hidden="1" s="59"/>
    <row r="6274" hidden="1" s="59"/>
    <row r="6275" hidden="1" s="59"/>
    <row r="6276" hidden="1" s="59"/>
    <row r="6277" hidden="1" s="59"/>
    <row r="6278" hidden="1" s="59"/>
    <row r="6279" hidden="1" s="59"/>
    <row r="6280" hidden="1" s="59"/>
    <row r="6281" hidden="1" s="59"/>
    <row r="6282" hidden="1" s="59"/>
    <row r="6283" hidden="1" s="59"/>
    <row r="6284" hidden="1" s="59"/>
    <row r="6285" hidden="1" s="59"/>
    <row r="6286" hidden="1" s="59"/>
    <row r="6287" hidden="1" s="59"/>
    <row r="6288" hidden="1" s="59"/>
    <row r="6289" hidden="1" s="59"/>
    <row r="6290" hidden="1" s="59"/>
    <row r="6291" hidden="1" s="59"/>
    <row r="6292" hidden="1" s="59"/>
    <row r="6293" hidden="1" s="59"/>
    <row r="6294" hidden="1" s="59"/>
    <row r="6295" hidden="1" s="59"/>
    <row r="6296" hidden="1" s="59"/>
    <row r="6297" hidden="1" s="59"/>
    <row r="6298" hidden="1" s="59"/>
    <row r="6299" hidden="1" s="59"/>
    <row r="6300" hidden="1" s="59"/>
    <row r="6301" hidden="1" s="59"/>
    <row r="6302" hidden="1" s="59"/>
    <row r="6303" hidden="1" s="59"/>
    <row r="6304" hidden="1" s="59"/>
    <row r="6305" hidden="1" s="59"/>
    <row r="6306" hidden="1" s="59"/>
    <row r="6307" hidden="1" s="59"/>
    <row r="6308" hidden="1" s="59"/>
    <row r="6309" hidden="1" s="59"/>
    <row r="6310" hidden="1" s="59"/>
    <row r="6311" hidden="1" s="59"/>
    <row r="6312" hidden="1" s="59"/>
    <row r="6313" hidden="1" s="59"/>
    <row r="6314" hidden="1" s="59"/>
    <row r="6315" hidden="1" s="59"/>
    <row r="6316" hidden="1" s="59"/>
    <row r="6317" hidden="1" s="59"/>
    <row r="6318" hidden="1" s="59"/>
    <row r="6319" hidden="1" s="59"/>
    <row r="6320" hidden="1" s="59"/>
    <row r="6321" hidden="1" s="59"/>
    <row r="6322" hidden="1" s="59"/>
    <row r="6323" hidden="1" s="59"/>
    <row r="6324" hidden="1" s="59"/>
    <row r="6325" hidden="1" s="59"/>
    <row r="6326" hidden="1" s="59"/>
    <row r="6327" hidden="1" s="59"/>
    <row r="6328" hidden="1" s="59"/>
    <row r="6329" hidden="1" s="59"/>
    <row r="6330" hidden="1" s="59"/>
    <row r="6331" hidden="1" s="59"/>
    <row r="6332" hidden="1" s="59"/>
    <row r="6333" hidden="1" s="59"/>
    <row r="6334" hidden="1" s="59"/>
    <row r="6335" hidden="1" s="59"/>
    <row r="6336" hidden="1" s="59"/>
    <row r="6337" hidden="1" s="59"/>
    <row r="6338" hidden="1" s="59"/>
    <row r="6339" hidden="1" s="59"/>
    <row r="6340" hidden="1" s="59"/>
    <row r="6341" hidden="1" s="59"/>
    <row r="6342" hidden="1" s="59"/>
    <row r="6343" hidden="1" s="59"/>
    <row r="6344" hidden="1" s="59"/>
    <row r="6345" hidden="1" s="59"/>
    <row r="6346" hidden="1" s="59"/>
    <row r="6347" hidden="1" s="59"/>
    <row r="6348" hidden="1" s="59"/>
    <row r="6349" hidden="1" s="59"/>
    <row r="6350" hidden="1" s="59"/>
    <row r="6351" hidden="1" s="59"/>
    <row r="6352" hidden="1" s="59"/>
    <row r="6353" hidden="1" s="59"/>
    <row r="6354" hidden="1" s="59"/>
    <row r="6355" hidden="1" s="59"/>
    <row r="6356" hidden="1" s="59"/>
    <row r="6357" hidden="1" s="59"/>
    <row r="6358" hidden="1" s="59"/>
    <row r="6359" hidden="1" s="59"/>
    <row r="6360" hidden="1" s="59"/>
    <row r="6361" hidden="1" s="59"/>
    <row r="6362" hidden="1" s="59"/>
    <row r="6363" hidden="1" s="59"/>
    <row r="6364" hidden="1" s="59"/>
    <row r="6365" hidden="1" s="59"/>
    <row r="6366" hidden="1" s="59"/>
    <row r="6367" hidden="1" s="59"/>
    <row r="6368" hidden="1" s="59"/>
    <row r="6369" hidden="1" s="59"/>
    <row r="6370" hidden="1" s="59"/>
    <row r="6371" hidden="1" s="59"/>
    <row r="6372" hidden="1" s="59"/>
    <row r="6373" hidden="1" s="59"/>
    <row r="6374" hidden="1" s="59"/>
    <row r="6375" hidden="1" s="59"/>
    <row r="6376" hidden="1" s="59"/>
    <row r="6377" hidden="1" s="59"/>
    <row r="6378" hidden="1" s="59"/>
    <row r="6379" hidden="1" s="59"/>
    <row r="6380" hidden="1" s="59"/>
    <row r="6381" hidden="1" s="59"/>
    <row r="6382" hidden="1" s="59"/>
    <row r="6383" hidden="1" s="59"/>
    <row r="6384" hidden="1" s="59"/>
    <row r="6385" hidden="1" s="59"/>
    <row r="6386" hidden="1" s="59"/>
    <row r="6387" hidden="1" s="59"/>
    <row r="6388" hidden="1" s="59"/>
    <row r="6389" hidden="1" s="59"/>
    <row r="6390" hidden="1" s="59"/>
    <row r="6391" hidden="1" s="59"/>
    <row r="6392" hidden="1" s="59"/>
    <row r="6393" hidden="1" s="59"/>
    <row r="6394" hidden="1" s="59"/>
    <row r="6395" hidden="1" s="59"/>
    <row r="6396" hidden="1" s="59"/>
    <row r="6397" hidden="1" s="59"/>
    <row r="6398" hidden="1" s="59"/>
    <row r="6399" hidden="1" s="59"/>
    <row r="6400" hidden="1" s="59"/>
    <row r="6401" hidden="1" s="59"/>
    <row r="6402" hidden="1" s="59"/>
    <row r="6403" hidden="1" s="59"/>
    <row r="6404" hidden="1" s="59"/>
    <row r="6405" hidden="1" s="59"/>
    <row r="6406" hidden="1" s="59"/>
    <row r="6407" hidden="1" s="59"/>
    <row r="6408" hidden="1" s="59"/>
    <row r="6409" hidden="1" s="59"/>
    <row r="6410" hidden="1" s="59"/>
    <row r="6411" hidden="1" s="59"/>
    <row r="6412" hidden="1" s="59"/>
    <row r="6413" hidden="1" s="59"/>
    <row r="6414" hidden="1" s="59"/>
    <row r="6415" hidden="1" s="59"/>
    <row r="6416" hidden="1" s="59"/>
    <row r="6417" hidden="1" s="59"/>
    <row r="6418" hidden="1" s="59"/>
    <row r="6419" hidden="1" s="59"/>
    <row r="6420" hidden="1" s="59"/>
    <row r="6421" hidden="1" s="59"/>
    <row r="6422" hidden="1" s="59"/>
    <row r="6423" hidden="1" s="59"/>
    <row r="6424" hidden="1" s="59"/>
    <row r="6425" hidden="1" s="59"/>
    <row r="6426" hidden="1" s="59"/>
    <row r="6427" hidden="1" s="59"/>
    <row r="6428" hidden="1" s="59"/>
    <row r="6429" hidden="1" s="59"/>
    <row r="6430" hidden="1" s="59"/>
    <row r="6431" hidden="1" s="59"/>
    <row r="6432" hidden="1" s="59"/>
    <row r="6433" hidden="1" s="59"/>
    <row r="6434" hidden="1" s="59"/>
    <row r="6435" hidden="1" s="59"/>
    <row r="6436" hidden="1" s="59"/>
    <row r="6437" hidden="1" s="59"/>
    <row r="6438" hidden="1" s="59"/>
    <row r="6439" hidden="1" s="59"/>
    <row r="6440" hidden="1" s="59"/>
    <row r="6441" hidden="1" s="59"/>
    <row r="6442" hidden="1" s="59"/>
    <row r="6443" hidden="1" s="59"/>
    <row r="6444" hidden="1" s="59"/>
    <row r="6445" hidden="1" s="59"/>
    <row r="6446" hidden="1" s="59"/>
    <row r="6447" hidden="1" s="59"/>
    <row r="6448" hidden="1" s="59"/>
    <row r="6449" hidden="1" s="59"/>
    <row r="6450" hidden="1" s="59"/>
    <row r="6451" hidden="1" s="59"/>
    <row r="6452" hidden="1" s="59"/>
    <row r="6453" hidden="1" s="59"/>
    <row r="6454" hidden="1" s="59"/>
    <row r="6455" hidden="1" s="59"/>
    <row r="6456" hidden="1" s="59"/>
    <row r="6457" hidden="1" s="59"/>
    <row r="6458" hidden="1" s="59"/>
    <row r="6459" hidden="1" s="59"/>
    <row r="6460" hidden="1" s="59"/>
    <row r="6461" hidden="1" s="59"/>
    <row r="6462" hidden="1" s="59"/>
    <row r="6464" hidden="1" s="59"/>
    <row r="6465" hidden="1" s="59"/>
    <row r="6466" hidden="1" s="59"/>
    <row r="6467" hidden="1" s="59"/>
    <row r="6468" hidden="1" s="59"/>
    <row r="6469" hidden="1" s="59"/>
    <row r="6470" hidden="1" s="59"/>
    <row r="6472" hidden="1" s="59"/>
    <row r="6474" hidden="1" s="59"/>
    <row r="6476" hidden="1" s="59"/>
    <row r="6478" hidden="1" s="59"/>
    <row r="6480" hidden="1" s="59"/>
    <row r="6481" hidden="1" s="59"/>
    <row r="6482" hidden="1" s="59"/>
    <row r="6483" hidden="1" s="59"/>
    <row r="6485" hidden="1" s="59"/>
    <row r="6486" hidden="1" s="59"/>
    <row r="6487" hidden="1" s="59"/>
    <row r="6488" hidden="1" s="59"/>
    <row r="6489" hidden="1" s="59"/>
    <row r="6490" hidden="1" s="59"/>
    <row r="6491" hidden="1" s="59"/>
    <row r="6492" hidden="1" s="59"/>
    <row r="6493" hidden="1" s="59"/>
    <row r="6494" hidden="1" s="59"/>
    <row r="6495" hidden="1" s="59"/>
    <row r="6496" hidden="1" s="59"/>
    <row r="6497" hidden="1" s="59"/>
    <row r="6498" hidden="1" s="59"/>
    <row r="6500" hidden="1" s="59"/>
    <row r="6501" hidden="1" s="59"/>
    <row r="6502" hidden="1" s="59"/>
    <row r="6503" hidden="1" s="59"/>
    <row r="6504" hidden="1" s="59"/>
    <row r="6505" hidden="1" s="59"/>
    <row r="6506" hidden="1" s="59"/>
    <row r="6507" hidden="1" s="59"/>
    <row r="6508" hidden="1" s="59"/>
    <row r="6509" hidden="1" s="59"/>
    <row r="6510" hidden="1" s="59"/>
    <row r="6511" hidden="1" s="59"/>
    <row r="6512" hidden="1" s="59"/>
    <row r="6513" hidden="1" s="59"/>
    <row r="6514" hidden="1" s="59"/>
    <row r="6515" hidden="1" s="59"/>
    <row r="6516" hidden="1" s="59"/>
    <row r="6517" hidden="1" s="59"/>
    <row r="6518" hidden="1" s="59"/>
    <row r="6519" hidden="1" s="59"/>
    <row r="6520" hidden="1" s="59"/>
    <row r="6521" hidden="1" s="59"/>
    <row r="6522" hidden="1" s="59"/>
    <row r="6523" hidden="1" s="59"/>
    <row r="6524" hidden="1" s="59"/>
    <row r="6525" hidden="1" s="59"/>
    <row r="6526" hidden="1" s="59"/>
    <row r="6527" hidden="1" s="59"/>
    <row r="6528" hidden="1" s="59"/>
    <row r="6529" hidden="1" s="59"/>
    <row r="6530" hidden="1" s="59"/>
    <row r="6531" hidden="1" s="59"/>
    <row r="6532" hidden="1" s="59"/>
    <row r="6533" hidden="1" s="59"/>
    <row r="6534" hidden="1" s="59"/>
    <row r="6535" hidden="1" s="59"/>
    <row r="6536" hidden="1" s="59"/>
    <row r="6537" hidden="1" s="59"/>
    <row r="6538" hidden="1" s="59"/>
    <row r="6539" hidden="1" s="59"/>
    <row r="6540" hidden="1" s="59"/>
    <row r="6541" hidden="1" s="59"/>
    <row r="6542" hidden="1" s="59"/>
    <row r="6543" hidden="1" s="59"/>
    <row r="6544" hidden="1" s="59"/>
    <row r="6545" hidden="1" s="59"/>
    <row r="6546" hidden="1" s="59"/>
    <row r="6547" hidden="1" s="59"/>
    <row r="6548" hidden="1" s="59"/>
    <row r="6549" hidden="1" s="59"/>
    <row r="6550" hidden="1" s="59"/>
    <row r="6551" hidden="1" s="59"/>
    <row r="6552" hidden="1" s="59"/>
    <row r="6553" hidden="1" s="59"/>
    <row r="6554" hidden="1" s="59"/>
    <row r="6555" hidden="1" s="59"/>
    <row r="6556" hidden="1" s="59"/>
    <row r="6557" hidden="1" s="59"/>
    <row r="6559" hidden="1" s="59"/>
    <row r="6560" hidden="1" s="59"/>
    <row r="6561" hidden="1" s="59"/>
    <row r="6562" hidden="1" s="59"/>
    <row r="6563" hidden="1" s="59"/>
    <row r="6564" hidden="1" s="59"/>
    <row r="6565" hidden="1" s="59"/>
    <row r="6566" hidden="1" s="59"/>
    <row r="6567" hidden="1" s="59"/>
    <row r="6568" hidden="1" s="59"/>
    <row r="6570" hidden="1" s="59"/>
    <row r="6571" hidden="1" s="59"/>
    <row r="6572" hidden="1" s="59"/>
    <row r="6573" hidden="1" s="59"/>
    <row r="6574" hidden="1" s="59"/>
    <row r="6575" hidden="1" s="59"/>
    <row r="6576" hidden="1" s="59"/>
    <row r="6577" hidden="1" s="59"/>
    <row r="6578" hidden="1" s="59"/>
    <row r="6579" hidden="1" s="59"/>
    <row r="6580" hidden="1" s="59"/>
    <row r="6581" hidden="1" s="59"/>
    <row r="6582" hidden="1" s="59"/>
    <row r="6583" hidden="1" s="59"/>
    <row r="6584" hidden="1" s="59"/>
    <row r="6585" hidden="1" s="59"/>
    <row r="6586" hidden="1" s="59"/>
    <row r="6587" hidden="1" s="59"/>
    <row r="6588" hidden="1" s="59"/>
    <row r="6589" hidden="1" s="59"/>
    <row r="6590" hidden="1" s="59"/>
    <row r="6591" hidden="1" s="59"/>
    <row r="6592" hidden="1" s="59"/>
    <row r="6593" hidden="1" s="59"/>
    <row r="6594" hidden="1" s="59"/>
    <row r="6595" hidden="1" s="59"/>
    <row r="6596" hidden="1" s="59"/>
    <row r="6597" hidden="1" s="59"/>
    <row r="6598" hidden="1" s="59"/>
    <row r="6599" hidden="1" s="59"/>
    <row r="6600" hidden="1" s="59"/>
    <row r="6601" hidden="1" s="59"/>
    <row r="6602" hidden="1" s="59"/>
    <row r="6603" hidden="1" s="59"/>
    <row r="6604" hidden="1" s="59"/>
    <row r="6605" hidden="1" s="59"/>
    <row r="6606" hidden="1" s="59"/>
    <row r="6607" hidden="1" s="59"/>
    <row r="6608" hidden="1" s="59"/>
    <row r="6609" hidden="1" s="59"/>
    <row r="6610" hidden="1" s="59"/>
    <row r="6611" hidden="1" s="59"/>
    <row r="6612" hidden="1" s="59"/>
    <row r="6613" hidden="1" s="59"/>
    <row r="6614" hidden="1" s="59"/>
    <row r="6615" hidden="1" s="59"/>
    <row r="6616" hidden="1" s="59"/>
    <row r="6617" hidden="1" s="59"/>
    <row r="6618" hidden="1" s="59"/>
    <row r="6619" hidden="1" s="59"/>
    <row r="6620" hidden="1" s="59"/>
    <row r="6621" hidden="1" s="59"/>
    <row r="6622" hidden="1" s="59"/>
    <row r="6623" hidden="1" s="59"/>
    <row r="6624" hidden="1" s="59"/>
    <row r="6625" hidden="1" s="59"/>
    <row r="6626" hidden="1" s="59"/>
    <row r="6627" hidden="1" s="59"/>
    <row r="6628" hidden="1" s="59"/>
    <row r="6629" hidden="1" s="59"/>
    <row r="6630" hidden="1" s="59"/>
    <row r="6631" hidden="1" s="59"/>
    <row r="6632" hidden="1" s="59"/>
    <row r="6633" hidden="1" s="59"/>
    <row r="6634" hidden="1" s="59"/>
    <row r="6635" hidden="1" s="59"/>
    <row r="6636" hidden="1" s="59"/>
    <row r="6637" hidden="1" s="59"/>
    <row r="6638" hidden="1" s="59"/>
    <row r="6639" hidden="1" s="59"/>
    <row r="6640" hidden="1" s="59"/>
    <row r="6641" hidden="1" s="59"/>
    <row r="6642" hidden="1" s="59"/>
    <row r="6643" hidden="1" s="59"/>
    <row r="6644" hidden="1" s="59"/>
    <row r="6645" hidden="1" s="59"/>
    <row r="6646" hidden="1" s="59"/>
    <row r="6647" hidden="1" s="59"/>
    <row r="6648" hidden="1" s="59"/>
    <row r="6649" hidden="1" s="59"/>
    <row r="6650" hidden="1" s="59"/>
    <row r="6651" hidden="1" s="59"/>
    <row r="6652" hidden="1" s="59"/>
    <row r="6653" hidden="1" s="59"/>
    <row r="6654" hidden="1" s="59"/>
    <row r="6655" hidden="1" s="59"/>
    <row r="6656" hidden="1" s="59"/>
    <row r="6657" hidden="1" s="59"/>
    <row r="6658" hidden="1" s="59"/>
    <row r="6659" hidden="1" s="59"/>
    <row r="6660" hidden="1" s="59"/>
    <row r="6661" hidden="1" s="59"/>
    <row r="6662" hidden="1" s="59"/>
    <row r="6663" hidden="1" s="59"/>
    <row r="6664" hidden="1" s="59"/>
    <row r="6665" hidden="1" s="59"/>
    <row r="6666" hidden="1" s="59"/>
    <row r="6667" hidden="1" s="59"/>
    <row r="6668" hidden="1" s="59"/>
    <row r="6669" hidden="1" s="59"/>
    <row r="6670" hidden="1" s="59"/>
    <row r="6671" hidden="1" s="59"/>
    <row r="6672" hidden="1" s="59"/>
    <row r="6674" hidden="1" s="59"/>
    <row r="6675" hidden="1" s="59"/>
    <row r="6676" hidden="1" s="59"/>
    <row r="6677" hidden="1" s="59"/>
    <row r="6678" hidden="1" s="59"/>
    <row r="6679" hidden="1" s="59"/>
    <row r="6680" hidden="1" s="59"/>
    <row r="6681" hidden="1" s="59"/>
    <row r="6682" hidden="1" s="59"/>
    <row r="6683" hidden="1" s="59"/>
    <row r="6684" hidden="1" s="59"/>
    <row r="6685" hidden="1" s="59"/>
    <row r="6686" hidden="1" s="59"/>
    <row r="6687" hidden="1" s="59"/>
    <row r="6688" hidden="1" s="59"/>
    <row r="6689" hidden="1" s="59"/>
    <row r="6690" hidden="1" s="59"/>
    <row r="6691" hidden="1" s="59"/>
    <row r="6692" hidden="1" s="59"/>
    <row r="6693" hidden="1" s="59"/>
    <row r="6694" hidden="1" s="59"/>
    <row r="6695" hidden="1" s="59"/>
    <row r="6696" hidden="1" s="59"/>
    <row r="6697" hidden="1" s="59"/>
    <row r="6698" hidden="1" s="59"/>
    <row r="6699" hidden="1" s="59"/>
    <row r="6700" hidden="1" s="59"/>
    <row r="6701" hidden="1" s="59"/>
    <row r="6702" hidden="1" s="59"/>
    <row r="6703" hidden="1" s="59"/>
    <row r="6704" hidden="1" s="59"/>
    <row r="6705" hidden="1" s="59"/>
    <row r="6706" hidden="1" s="59"/>
    <row r="6707" hidden="1" s="59"/>
    <row r="6708" hidden="1" s="59"/>
    <row r="6709" hidden="1" s="59"/>
    <row r="6710" hidden="1" s="59"/>
    <row r="6711" hidden="1" s="59"/>
    <row r="6712" hidden="1" s="59"/>
    <row r="6713" hidden="1" s="59"/>
    <row r="6714" hidden="1" s="59"/>
    <row r="6715" hidden="1" s="59"/>
    <row r="6716" hidden="1" s="59"/>
    <row r="6717" hidden="1" s="59"/>
    <row r="6718" hidden="1" s="59"/>
    <row r="6719" hidden="1" s="59"/>
    <row r="6720" hidden="1" s="59"/>
    <row r="6721" hidden="1" s="59"/>
    <row r="6722" hidden="1" s="59"/>
    <row r="6723" hidden="1" s="59"/>
    <row r="6724" hidden="1" s="59"/>
    <row r="6725" hidden="1" s="59"/>
    <row r="6726" hidden="1" s="59"/>
    <row r="6727" hidden="1" s="59"/>
    <row r="6728" hidden="1" s="59"/>
    <row r="6729" hidden="1" s="59"/>
    <row r="6730" hidden="1" s="59"/>
    <row r="6731" hidden="1" s="59"/>
    <row r="6732" hidden="1" s="59"/>
    <row r="6733" hidden="1" s="59"/>
    <row r="6734" hidden="1" s="59"/>
    <row r="6735" hidden="1" s="59"/>
    <row r="6736" hidden="1" s="59"/>
    <row r="6737" hidden="1" s="59"/>
    <row r="6738" hidden="1" s="59"/>
    <row r="6739" hidden="1" s="59"/>
    <row r="6740" hidden="1" s="59"/>
    <row r="6741" hidden="1" s="59"/>
    <row r="6742" hidden="1" s="59"/>
    <row r="6743" hidden="1" s="59"/>
    <row r="6744" hidden="1" s="59"/>
    <row r="6745" hidden="1" s="59"/>
    <row r="6746" hidden="1" s="59"/>
    <row r="6747" hidden="1" s="59"/>
    <row r="6748" hidden="1" s="59"/>
    <row r="6749" hidden="1" s="59"/>
    <row r="6750" hidden="1" s="59"/>
    <row r="6751" hidden="1" s="59"/>
    <row r="6752" hidden="1" s="59"/>
    <row r="6753" hidden="1" s="59"/>
    <row r="6754" hidden="1" s="59"/>
    <row r="6755" hidden="1" s="59"/>
    <row r="6756" hidden="1" s="59"/>
    <row r="6757" hidden="1" s="59"/>
    <row r="6758" hidden="1" s="59"/>
    <row r="6759" hidden="1" s="59"/>
    <row r="6760" hidden="1" s="59"/>
    <row r="6761" hidden="1" s="59"/>
    <row r="6762" hidden="1" s="59"/>
    <row r="6763" hidden="1" s="59"/>
    <row r="6764" hidden="1" s="59"/>
    <row r="6765" hidden="1" s="59"/>
    <row r="6766" hidden="1" s="59"/>
    <row r="6767" hidden="1" s="59"/>
    <row r="6768" hidden="1" s="59"/>
    <row r="6769" hidden="1" s="59"/>
    <row r="6772" hidden="1" s="59"/>
    <row r="6773" hidden="1" s="59"/>
    <row r="6774" hidden="1" s="59"/>
    <row r="6775" hidden="1" s="59"/>
    <row r="6776" hidden="1" s="59"/>
    <row r="6777" hidden="1" s="59"/>
    <row r="6778" hidden="1" s="59"/>
    <row r="6779" hidden="1" s="59"/>
    <row r="6780" hidden="1" s="59"/>
    <row r="6781" hidden="1" s="59"/>
    <row r="6782" hidden="1" s="59"/>
    <row r="6783" hidden="1" s="59"/>
    <row r="6784" hidden="1" s="59"/>
    <row r="6785" hidden="1" s="59"/>
    <row r="6786" hidden="1" s="59"/>
    <row r="6787" hidden="1" s="59"/>
    <row r="6788" hidden="1" s="59"/>
    <row r="6789" hidden="1" s="59"/>
    <row r="6790" hidden="1" s="59"/>
    <row r="6791" hidden="1" s="59"/>
    <row r="6792" hidden="1" s="59"/>
    <row r="6793" hidden="1" s="59"/>
    <row r="6794" hidden="1" s="59"/>
    <row r="6795" hidden="1" s="59"/>
    <row r="6796" hidden="1" s="59"/>
    <row r="6797" hidden="1" s="59"/>
    <row r="6798" hidden="1" s="59"/>
    <row r="6799" hidden="1" s="59"/>
    <row r="6800" hidden="1" s="59"/>
    <row r="6801" hidden="1" s="59"/>
    <row r="6802" hidden="1" s="59"/>
    <row r="6803" hidden="1" s="59"/>
    <row r="6804" hidden="1" s="59"/>
    <row r="6805" hidden="1" s="59"/>
    <row r="6806" hidden="1" s="59"/>
    <row r="6807" hidden="1" s="59"/>
    <row r="6808" hidden="1" s="59"/>
    <row r="6809" hidden="1" s="59"/>
    <row r="6810" hidden="1" s="59"/>
    <row r="6811" hidden="1" s="59"/>
    <row r="6812" hidden="1" s="59"/>
    <row r="6813" hidden="1" s="59"/>
    <row r="6814" hidden="1" s="59"/>
    <row r="6815" hidden="1" s="59"/>
    <row r="6816" hidden="1" s="59"/>
    <row r="6817" hidden="1" s="59"/>
    <row r="6818" hidden="1" s="59"/>
    <row r="6819" hidden="1" s="59"/>
    <row r="6820" hidden="1" s="59"/>
    <row r="6821" hidden="1" s="59"/>
    <row r="6822" hidden="1" s="59"/>
    <row r="6823" hidden="1" s="59"/>
    <row r="6824" hidden="1" s="59"/>
    <row r="6826" hidden="1" s="59"/>
    <row r="6827" hidden="1" s="59"/>
    <row r="6828" hidden="1" s="59"/>
    <row r="6829" hidden="1" s="59"/>
    <row r="6830" hidden="1" s="59"/>
    <row r="6831" hidden="1" s="59"/>
    <row r="6832" hidden="1" s="59"/>
    <row r="6833" hidden="1" s="59"/>
    <row r="6834" hidden="1" s="59"/>
    <row r="6835" hidden="1" s="59"/>
    <row r="6836" hidden="1" s="59"/>
    <row r="6837" hidden="1" s="59"/>
    <row r="6838" hidden="1" s="59"/>
    <row r="6839" hidden="1" s="59"/>
    <row r="6840" hidden="1" s="59"/>
    <row r="6841" hidden="1" s="59"/>
    <row r="6842" hidden="1" s="59"/>
    <row r="6843" hidden="1" s="59"/>
    <row r="6844" hidden="1" s="59"/>
    <row r="6845" hidden="1" s="59"/>
    <row r="6846" hidden="1" s="59"/>
    <row r="6847" hidden="1" s="59"/>
    <row r="6848" hidden="1" s="59"/>
    <row r="6849" hidden="1" s="59"/>
    <row r="6850" hidden="1" s="59"/>
    <row r="6851" hidden="1" s="59"/>
    <row r="6852" hidden="1" s="59"/>
    <row r="6853" hidden="1" s="59"/>
    <row r="6854" hidden="1" s="59"/>
    <row r="6855" hidden="1" s="59"/>
    <row r="6856" hidden="1" s="59"/>
    <row r="6857" hidden="1" s="59"/>
    <row r="6858" hidden="1" s="59"/>
    <row r="6859" hidden="1" s="59"/>
    <row r="6860" hidden="1" s="59"/>
    <row r="6861" hidden="1" s="59"/>
    <row r="6862" hidden="1" s="59"/>
    <row r="6863" hidden="1" s="59"/>
    <row r="6864" hidden="1" s="59"/>
    <row r="6865" hidden="1" s="59"/>
    <row r="6867" hidden="1" s="59"/>
    <row r="6868" hidden="1" s="59"/>
    <row r="6869" hidden="1" s="59"/>
    <row r="6870" hidden="1" s="59"/>
    <row r="6871" hidden="1" s="59"/>
    <row r="6872" hidden="1" s="59"/>
    <row r="6873" hidden="1" s="59"/>
    <row r="6874" hidden="1" s="59"/>
    <row r="6875" hidden="1" s="59"/>
    <row r="6876" hidden="1" s="59"/>
    <row r="6877" hidden="1" s="59"/>
    <row r="6878" hidden="1" s="59"/>
    <row r="6879" hidden="1" s="59"/>
    <row r="6880" hidden="1" s="59"/>
    <row r="6881" hidden="1" s="59"/>
    <row r="6882" hidden="1" s="59"/>
    <row r="6883" hidden="1" s="59"/>
    <row r="6884" hidden="1" s="59"/>
    <row r="6885" hidden="1" s="59"/>
    <row r="6886" hidden="1" s="59"/>
    <row r="6887" hidden="1" s="59"/>
    <row r="6888" hidden="1" s="59"/>
    <row r="6889" hidden="1" s="59"/>
    <row r="6890" hidden="1" s="59"/>
    <row r="6891" hidden="1" s="59"/>
    <row r="6892" hidden="1" s="59"/>
    <row r="6893" hidden="1" s="59"/>
    <row r="6894" hidden="1" s="59"/>
    <row r="6895" hidden="1" s="59"/>
    <row r="6896" hidden="1" s="59"/>
    <row r="6897" hidden="1" s="59"/>
    <row r="6898" hidden="1" s="59"/>
    <row r="6899" hidden="1" s="59"/>
    <row r="6900" hidden="1" s="59"/>
    <row r="6901" hidden="1" s="59"/>
    <row r="6902" hidden="1" s="59"/>
    <row r="6903" hidden="1" s="59"/>
    <row r="6904" hidden="1" s="59"/>
    <row r="6905" hidden="1" s="59"/>
    <row r="6906" hidden="1" s="59"/>
    <row r="6907" hidden="1" s="59"/>
    <row r="6908" hidden="1" s="59"/>
    <row r="6909" hidden="1" s="59"/>
    <row r="6910" hidden="1" s="59"/>
    <row r="6911" hidden="1" s="59"/>
    <row r="6912" hidden="1" s="59"/>
    <row r="6913" hidden="1" s="59"/>
    <row r="6914" hidden="1" s="59"/>
    <row r="6915" hidden="1" s="59"/>
    <row r="6916" hidden="1" s="59"/>
    <row r="6917" hidden="1" s="59"/>
    <row r="6918" hidden="1" s="59"/>
    <row r="6919" hidden="1" s="59"/>
    <row r="6920" hidden="1" s="59"/>
    <row r="6921" hidden="1" s="59"/>
    <row r="6922" hidden="1" s="59"/>
    <row r="6923" hidden="1" s="59"/>
    <row r="6924" hidden="1" s="59"/>
    <row r="6925" hidden="1" s="59"/>
    <row r="6926" hidden="1" s="59"/>
    <row r="6927" hidden="1" s="59"/>
    <row r="6928" hidden="1" s="59"/>
    <row r="6929" hidden="1" s="59"/>
    <row r="6930" hidden="1" s="59"/>
    <row r="6931" hidden="1" s="59"/>
    <row r="6932" hidden="1" s="59"/>
    <row r="6933" hidden="1" s="59"/>
    <row r="6934" hidden="1" s="59"/>
    <row r="6935" hidden="1" s="59"/>
    <row r="6936" hidden="1" s="59"/>
    <row r="6937" hidden="1" s="59"/>
    <row r="6938" hidden="1" s="59"/>
    <row r="6939" hidden="1" s="59"/>
    <row r="6940" hidden="1" s="59"/>
    <row r="6941" hidden="1" s="59"/>
    <row r="6942" hidden="1" s="59"/>
    <row r="6943" hidden="1" s="59"/>
    <row r="6944" hidden="1" s="59"/>
    <row r="6945" hidden="1" s="59"/>
    <row r="6946" hidden="1" s="59"/>
    <row r="6947" hidden="1" s="59"/>
    <row r="6948" hidden="1" s="59"/>
    <row r="6949" hidden="1" s="59"/>
    <row r="6950" hidden="1" s="59"/>
    <row r="6951" hidden="1" s="59"/>
    <row r="6952" hidden="1" s="59"/>
    <row r="6953" hidden="1" s="59"/>
    <row r="6954" hidden="1" s="59"/>
    <row r="6955" hidden="1" s="59"/>
    <row r="6956" hidden="1" s="59"/>
    <row r="6957" hidden="1" s="59"/>
    <row r="6958" hidden="1" s="59"/>
    <row r="6959" hidden="1" s="59"/>
    <row r="6960" hidden="1" s="59"/>
    <row r="6961" hidden="1" s="59"/>
    <row r="6962" hidden="1" s="59"/>
    <row r="6963" hidden="1" s="59"/>
    <row r="6964" hidden="1" s="59"/>
    <row r="6965" hidden="1" s="59"/>
    <row r="6966" hidden="1" s="59"/>
    <row r="6967" hidden="1" s="59"/>
    <row r="6968" hidden="1" s="59"/>
    <row r="6969" hidden="1" s="59"/>
    <row r="6970" hidden="1" s="59"/>
    <row r="6972" hidden="1" s="59"/>
    <row r="6973" hidden="1" s="59"/>
    <row r="6974" hidden="1" s="59"/>
    <row r="6975" hidden="1" s="59"/>
    <row r="6976" hidden="1" s="59"/>
    <row r="6977" hidden="1" s="59"/>
    <row r="6978" hidden="1" s="59"/>
    <row r="6979" hidden="1" s="59"/>
    <row r="6980" hidden="1" s="59"/>
    <row r="6981" hidden="1" s="59"/>
    <row r="6982" hidden="1" s="59"/>
    <row r="6983" hidden="1" s="59"/>
    <row r="6984" hidden="1" s="59"/>
    <row r="6985" hidden="1" s="59"/>
    <row r="6986" hidden="1" s="59"/>
    <row r="6987" hidden="1" s="59"/>
    <row r="6988" hidden="1" s="59"/>
    <row r="6989" hidden="1" s="59"/>
    <row r="6990" hidden="1" s="59"/>
    <row r="6991" hidden="1" s="59"/>
    <row r="6992" hidden="1" s="59"/>
    <row r="6993" hidden="1" s="59"/>
    <row r="6994" hidden="1" s="59"/>
    <row r="6995" hidden="1" s="59"/>
    <row r="6996" hidden="1" s="59"/>
    <row r="6997" hidden="1" s="59"/>
    <row r="6998" hidden="1" s="59"/>
    <row r="6999" hidden="1" s="59"/>
    <row r="7000" hidden="1" s="59"/>
    <row r="7001" hidden="1" s="59"/>
    <row r="7002" hidden="1" s="59"/>
    <row r="7003" hidden="1" s="59"/>
    <row r="7004" hidden="1" s="59"/>
    <row r="7005" hidden="1" s="59"/>
    <row r="7006" hidden="1" s="59"/>
    <row r="7007" hidden="1" s="59"/>
    <row r="7008" hidden="1" s="59"/>
    <row r="7009" hidden="1" s="59"/>
    <row r="7010" hidden="1" s="59"/>
    <row r="7011" hidden="1" s="59"/>
    <row r="7012" hidden="1" s="59"/>
    <row r="7013" hidden="1" s="59"/>
    <row r="7014" hidden="1" s="59"/>
    <row r="7015" hidden="1" s="59"/>
    <row r="7016" hidden="1" s="59"/>
    <row r="7017" hidden="1" s="59"/>
    <row r="7018" hidden="1" s="59"/>
    <row r="7019" hidden="1" s="59"/>
    <row r="7020" hidden="1" s="59"/>
    <row r="7021" hidden="1" s="59"/>
    <row r="7022" hidden="1" s="59"/>
    <row r="7023" hidden="1" s="59"/>
    <row r="7024" hidden="1" s="59"/>
    <row r="7025" hidden="1" s="59"/>
    <row r="7026" hidden="1" s="59"/>
    <row r="7027" hidden="1" s="59"/>
    <row r="7028" hidden="1" s="59"/>
    <row r="7029" hidden="1" s="59"/>
    <row r="7030" hidden="1" s="59"/>
    <row r="7031" hidden="1" s="59"/>
    <row r="7032" hidden="1" s="59"/>
    <row r="7033" hidden="1" s="59"/>
    <row r="7034" hidden="1" s="59"/>
    <row r="7035" hidden="1" s="59"/>
    <row r="7036" hidden="1" s="59"/>
    <row r="7037" hidden="1" s="59"/>
    <row r="7038" hidden="1" s="59"/>
    <row r="7039" hidden="1" s="59"/>
    <row r="7040" hidden="1" s="59"/>
    <row r="7041" hidden="1" s="59"/>
    <row r="7042" hidden="1" s="59"/>
    <row r="7043" hidden="1" s="59"/>
    <row r="7044" hidden="1" s="59"/>
    <row r="7045" hidden="1" s="59"/>
    <row r="7046" hidden="1" s="59"/>
    <row r="7047" hidden="1" s="59"/>
    <row r="7048" hidden="1" s="59"/>
    <row r="7049" hidden="1" s="59"/>
    <row r="7050" hidden="1" s="59"/>
    <row r="7051" hidden="1" s="59"/>
    <row r="7052" hidden="1" s="59"/>
    <row r="7053" hidden="1" s="59"/>
    <row r="7054" hidden="1" s="59"/>
    <row r="7055" hidden="1" s="59"/>
    <row r="7056" hidden="1" s="59"/>
    <row r="7057" hidden="1" s="59"/>
    <row r="7058" hidden="1" s="59"/>
    <row r="7059" hidden="1" s="59"/>
    <row r="7060" hidden="1" s="59"/>
    <row r="7062" hidden="1" s="59"/>
    <row r="7065" hidden="1" s="59"/>
    <row r="7066" hidden="1" s="59"/>
    <row r="7067" hidden="1" s="59"/>
    <row r="7068" hidden="1" s="59"/>
    <row r="7069" hidden="1" s="59"/>
    <row r="7070" hidden="1" s="59"/>
    <row r="7071" hidden="1" s="59"/>
    <row r="7072" hidden="1" s="59"/>
    <row r="7073" hidden="1" s="59"/>
    <row r="7074" hidden="1" s="59"/>
    <row r="7075" hidden="1" s="59"/>
    <row r="7076" hidden="1" s="59"/>
    <row r="7077" hidden="1" s="59"/>
    <row r="7078" hidden="1" s="59"/>
    <row r="7079" hidden="1" s="59"/>
    <row r="7080" hidden="1" s="59"/>
    <row r="7081" hidden="1" s="59"/>
    <row r="7082" hidden="1" s="59"/>
    <row r="7084" hidden="1" s="59"/>
    <row r="7085" hidden="1" s="59"/>
    <row r="7086" hidden="1" s="59"/>
    <row r="7087" hidden="1" s="59"/>
    <row r="7088" hidden="1" s="59"/>
    <row r="7089" hidden="1" s="59"/>
    <row r="7090" hidden="1" s="59"/>
    <row r="7091" hidden="1" s="59"/>
    <row r="7092" hidden="1" s="59"/>
    <row r="7093" hidden="1" s="59"/>
    <row r="7094" hidden="1" s="59"/>
    <row r="7095" hidden="1" s="59"/>
    <row r="7096" hidden="1" s="59"/>
    <row r="7097" hidden="1" s="59"/>
    <row r="7098" hidden="1" s="59"/>
    <row r="7099" hidden="1" s="59"/>
    <row r="7100" hidden="1" s="59"/>
    <row r="7101" hidden="1" s="59"/>
    <row r="7102" hidden="1" s="59"/>
    <row r="7103" hidden="1" s="59"/>
    <row r="7104" hidden="1" s="59"/>
    <row r="7105" hidden="1" s="59"/>
    <row r="7106" hidden="1" s="59"/>
    <row r="7107" hidden="1" s="59"/>
    <row r="7108" hidden="1" s="59"/>
    <row r="7109" hidden="1" s="59"/>
    <row r="7110" hidden="1" s="59"/>
    <row r="7111" hidden="1" s="59"/>
    <row r="7112" hidden="1" s="59"/>
    <row r="7113" hidden="1" s="59"/>
    <row r="7114" hidden="1" s="59"/>
    <row r="7115" hidden="1" s="59"/>
    <row r="7116" hidden="1" s="59"/>
    <row r="7117" hidden="1" s="59"/>
    <row r="7118" hidden="1" s="59"/>
    <row r="7119" hidden="1" s="59"/>
    <row r="7120" hidden="1" s="59"/>
    <row r="7121" hidden="1" s="59"/>
    <row r="7122" hidden="1" s="59"/>
    <row r="7123" hidden="1" s="59"/>
    <row r="7124" hidden="1" s="59"/>
    <row r="7125" hidden="1" s="59"/>
    <row r="7126" hidden="1" s="59"/>
    <row r="7127" hidden="1" s="59"/>
    <row r="7128" hidden="1" s="59"/>
    <row r="7129" hidden="1" s="59"/>
    <row r="7130" hidden="1" s="59"/>
    <row r="7131" hidden="1" s="59"/>
    <row r="7132" hidden="1" s="59"/>
    <row r="7133" hidden="1" s="59"/>
    <row r="7134" hidden="1" s="59"/>
    <row r="7135" hidden="1" s="59"/>
    <row r="7136" hidden="1" s="59"/>
    <row r="7137" hidden="1" s="59"/>
    <row r="7138" hidden="1" s="59"/>
    <row r="7139" hidden="1" s="59"/>
    <row r="7140" hidden="1" s="59"/>
    <row r="7141" hidden="1" s="59"/>
    <row r="7142" hidden="1" s="59"/>
    <row r="7143" hidden="1" s="59"/>
    <row r="7144" hidden="1" s="59"/>
    <row r="7145" hidden="1" s="59"/>
    <row r="7146" hidden="1" s="59"/>
    <row r="7147" hidden="1" s="59"/>
    <row r="7148" hidden="1" s="59"/>
    <row r="7149" hidden="1" s="59"/>
    <row r="7150" hidden="1" s="59"/>
    <row r="7151" hidden="1" s="59"/>
    <row r="7152" hidden="1" s="59"/>
    <row r="7153" hidden="1" s="59"/>
    <row r="7154" hidden="1" s="59"/>
    <row r="7155" hidden="1" s="59"/>
    <row r="7156" hidden="1" s="59"/>
    <row r="7157" hidden="1" s="59"/>
    <row r="7158" hidden="1" s="59"/>
    <row r="7159" hidden="1" s="59"/>
    <row r="7160" hidden="1" s="59"/>
    <row r="7161" hidden="1" s="59"/>
    <row r="7162" hidden="1" s="59"/>
    <row r="7163" hidden="1" s="59"/>
    <row r="7164" hidden="1" s="59"/>
    <row r="7166" hidden="1" s="59"/>
    <row r="7167" hidden="1" s="59"/>
    <row r="7168" hidden="1" s="59"/>
    <row r="7169" hidden="1" s="59"/>
    <row r="7170" hidden="1" s="59"/>
    <row r="7171" hidden="1" s="59"/>
    <row r="7172" hidden="1" s="59"/>
    <row r="7173" hidden="1" s="59"/>
    <row r="7174" hidden="1" s="59"/>
    <row r="7175" hidden="1" s="59"/>
    <row r="7176" hidden="1" s="59"/>
    <row r="7177" hidden="1" s="59"/>
    <row r="7178" hidden="1" s="59"/>
    <row r="7179" hidden="1" s="59"/>
    <row r="7180" hidden="1" s="59"/>
    <row r="7181" hidden="1" s="59"/>
    <row r="7182" hidden="1" s="59"/>
    <row r="7183" hidden="1" s="59"/>
    <row r="7184" hidden="1" s="59"/>
    <row r="7185" hidden="1" s="59"/>
    <row r="7186" hidden="1" s="59"/>
    <row r="7187" hidden="1" s="59"/>
    <row r="7188" hidden="1" s="59"/>
    <row r="7189" hidden="1" s="59"/>
    <row r="7190" hidden="1" s="59"/>
    <row r="7191" hidden="1" s="59"/>
    <row r="7192" hidden="1" s="59"/>
    <row r="7193" hidden="1" s="59"/>
    <row r="7194" hidden="1" s="59"/>
    <row r="7195" hidden="1" s="59"/>
    <row r="7196" hidden="1" s="59"/>
    <row r="7197" hidden="1" s="59"/>
    <row r="7198" hidden="1" s="59"/>
    <row r="7199" hidden="1" s="59"/>
    <row r="7200" hidden="1" s="59"/>
    <row r="7201" hidden="1" s="59"/>
    <row r="7202" hidden="1" s="59"/>
    <row r="7203" hidden="1" s="59"/>
    <row r="7204" hidden="1" s="59"/>
    <row r="7205" hidden="1" s="59"/>
    <row r="7206" hidden="1" s="59"/>
    <row r="7207" hidden="1" s="59"/>
    <row r="7208" hidden="1" s="59"/>
    <row r="7209" hidden="1" s="59"/>
    <row r="7210" hidden="1" s="59"/>
    <row r="7211" hidden="1" s="59"/>
    <row r="7212" hidden="1" s="59"/>
    <row r="7213" hidden="1" s="59"/>
    <row r="7214" hidden="1" s="59"/>
    <row r="7215" hidden="1" s="59"/>
    <row r="7216" hidden="1" s="59"/>
    <row r="7217" hidden="1" s="59"/>
    <row r="7218" hidden="1" s="59"/>
    <row r="7219" hidden="1" s="59"/>
    <row r="7220" hidden="1" s="59"/>
    <row r="7221" hidden="1" s="59"/>
    <row r="7222" hidden="1" s="59"/>
    <row r="7223" hidden="1" s="59"/>
    <row r="7224" hidden="1" s="59"/>
    <row r="7225" hidden="1" s="59"/>
    <row r="7226" hidden="1" s="59"/>
    <row r="7227" hidden="1" s="59"/>
    <row r="7228" hidden="1" s="59"/>
    <row r="7229" hidden="1" s="59"/>
    <row r="7230" hidden="1" s="59"/>
    <row r="7231" hidden="1" s="59"/>
    <row r="7232" hidden="1" s="59"/>
    <row r="7233" hidden="1" s="59"/>
    <row r="7234" hidden="1" s="59"/>
    <row r="7235" hidden="1" s="59"/>
    <row r="7236" hidden="1" s="59"/>
    <row r="7237" hidden="1" s="59"/>
    <row r="7238" hidden="1" s="59"/>
    <row r="7239" hidden="1" s="59"/>
    <row r="7240" hidden="1" s="59"/>
    <row r="7241" hidden="1" s="59"/>
    <row r="7242" hidden="1" s="59"/>
    <row r="7243" hidden="1" s="59"/>
    <row r="7244" hidden="1" s="59"/>
    <row r="7245" hidden="1" s="59"/>
    <row r="7246" hidden="1" s="59"/>
    <row r="7247" hidden="1" s="59"/>
    <row r="7248" hidden="1" s="59"/>
    <row r="7249" hidden="1" s="59"/>
    <row r="7250" hidden="1" s="59"/>
    <row r="7251" hidden="1" s="59"/>
    <row r="7252" hidden="1" s="59"/>
    <row r="7253" hidden="1" s="59"/>
    <row r="7254" hidden="1" s="59"/>
    <row r="7255" hidden="1" s="59"/>
    <row r="7256" hidden="1" s="59"/>
    <row r="7257" hidden="1" s="59"/>
    <row r="7258" hidden="1" s="59"/>
    <row r="7259" hidden="1" s="59"/>
    <row r="7260" hidden="1" s="59"/>
    <row r="7261" hidden="1" s="59"/>
    <row r="7262" hidden="1" s="59"/>
    <row r="7263" hidden="1" s="59"/>
    <row r="7264" hidden="1" s="59"/>
    <row r="7265" hidden="1" s="59"/>
    <row r="7266" hidden="1" s="59"/>
    <row r="7267" hidden="1" s="59"/>
    <row r="7268" hidden="1" s="59"/>
    <row r="7269" hidden="1" s="59"/>
    <row r="7270" hidden="1" s="59"/>
    <row r="7271" hidden="1" s="59"/>
    <row r="7272" hidden="1" s="59"/>
    <row r="7273" hidden="1" s="59"/>
    <row r="7274" hidden="1" s="59"/>
    <row r="7275" hidden="1" s="59"/>
    <row r="7277" hidden="1" s="59"/>
    <row r="7278" hidden="1" s="59"/>
    <row r="7279" hidden="1" s="59"/>
    <row r="7280" hidden="1" s="59"/>
    <row r="7281" hidden="1" s="59"/>
    <row r="7282" hidden="1" s="59"/>
    <row r="7283" hidden="1" s="59"/>
    <row r="7284" hidden="1" s="59"/>
    <row r="7285" hidden="1" s="59"/>
    <row r="7286" hidden="1" s="59"/>
    <row r="7287" hidden="1" s="59"/>
    <row r="7288" hidden="1" s="59"/>
    <row r="7289" hidden="1" s="59"/>
    <row r="7290" hidden="1" s="59"/>
    <row r="7291" hidden="1" s="59"/>
    <row r="7292" hidden="1" s="59"/>
    <row r="7293" hidden="1" s="59"/>
    <row r="7294" hidden="1" s="59"/>
    <row r="7295" hidden="1" s="59"/>
    <row r="7296" hidden="1" s="59"/>
    <row r="7297" hidden="1" s="59"/>
    <row r="7298" hidden="1" s="59"/>
    <row r="7299" hidden="1" s="59"/>
    <row r="7300" hidden="1" s="59"/>
    <row r="7301" hidden="1" s="59"/>
    <row r="7302" hidden="1" s="59"/>
    <row r="7303" hidden="1" s="59"/>
    <row r="7304" hidden="1" s="59"/>
    <row r="7305" hidden="1" s="59"/>
    <row r="7306" hidden="1" s="59"/>
    <row r="7307" hidden="1" s="59"/>
    <row r="7308" hidden="1" s="59"/>
    <row r="7309" hidden="1" s="59"/>
    <row r="7310" hidden="1" s="59"/>
    <row r="7311" hidden="1" s="59"/>
    <row r="7312" hidden="1" s="59"/>
    <row r="7313" hidden="1" s="59"/>
    <row r="7314" hidden="1" s="59"/>
    <row r="7315" hidden="1" s="59"/>
    <row r="7316" hidden="1" s="59"/>
    <row r="7317" hidden="1" s="59"/>
    <row r="7318" hidden="1" s="59"/>
    <row r="7319" hidden="1" s="59"/>
    <row r="7321" hidden="1" s="59"/>
    <row r="7322" hidden="1" s="59"/>
    <row r="7323" hidden="1" s="59"/>
    <row r="7324" hidden="1" s="59"/>
    <row r="7325" hidden="1" s="59"/>
    <row r="7326" hidden="1" s="59"/>
    <row r="7327" hidden="1" s="59"/>
    <row r="7328" hidden="1" s="59"/>
    <row r="7329" hidden="1" s="59"/>
    <row r="7330" hidden="1" s="59"/>
    <row r="7331" hidden="1" s="59"/>
    <row r="7332" hidden="1" s="59"/>
    <row r="7333" hidden="1" s="59"/>
    <row r="7334" hidden="1" s="59"/>
    <row r="7335" hidden="1" s="59"/>
    <row r="7336" hidden="1" s="59"/>
    <row r="7337" hidden="1" s="59"/>
    <row r="7338" hidden="1" s="59"/>
    <row r="7339" hidden="1" s="59"/>
    <row r="7340" hidden="1" s="59"/>
    <row r="7341" hidden="1" s="59"/>
    <row r="7342" hidden="1" s="59"/>
    <row r="7343" hidden="1" s="59"/>
    <row r="7344" hidden="1" s="59"/>
    <row r="7345" hidden="1" s="59"/>
    <row r="7346" hidden="1" s="59"/>
    <row r="7347" hidden="1" s="59"/>
    <row r="7348" hidden="1" s="59"/>
    <row r="7349" hidden="1" s="59"/>
    <row r="7350" hidden="1" s="59"/>
    <row r="7351" hidden="1" s="59"/>
    <row r="7352" hidden="1" s="59"/>
    <row r="7353" hidden="1" s="59"/>
    <row r="7354" hidden="1" s="59"/>
    <row r="7355" hidden="1" s="59"/>
    <row r="7356" hidden="1" s="59"/>
    <row r="7357" hidden="1" s="59"/>
    <row r="7358" hidden="1" s="59"/>
    <row r="7359" hidden="1" s="59"/>
    <row r="7360" hidden="1" s="59"/>
    <row r="7361" hidden="1" s="59"/>
    <row r="7362" hidden="1" s="59"/>
    <row r="7363" hidden="1" s="59"/>
    <row r="7364" hidden="1" s="59"/>
    <row r="7365" hidden="1" s="59"/>
    <row r="7366" hidden="1" s="59"/>
    <row r="7367" hidden="1" s="59"/>
    <row r="7368" hidden="1" s="59"/>
    <row r="7369" hidden="1" s="59"/>
    <row r="7370" hidden="1" s="59"/>
    <row r="7371" hidden="1" s="59"/>
    <row r="7372" hidden="1" s="59"/>
    <row r="7373" hidden="1" s="59"/>
    <row r="7374" hidden="1" s="59"/>
    <row r="7375" hidden="1" s="59"/>
    <row r="7376" hidden="1" s="59"/>
    <row r="7377" hidden="1" s="59"/>
    <row r="7378" hidden="1" s="59"/>
    <row r="7379" hidden="1" s="59"/>
    <row r="7380" hidden="1" s="59"/>
    <row r="7381" hidden="1" s="59"/>
    <row r="7382" hidden="1" s="59"/>
    <row r="7383" hidden="1" s="59"/>
    <row r="7384" hidden="1" s="59"/>
    <row r="7385" hidden="1" s="59"/>
    <row r="7386" hidden="1" s="59"/>
    <row r="7387" hidden="1" s="59"/>
    <row r="7388" hidden="1" s="59"/>
    <row r="7389" hidden="1" s="59"/>
    <row r="7390" hidden="1" s="59"/>
    <row r="7391" hidden="1" s="59"/>
    <row r="7392" hidden="1" s="59"/>
    <row r="7393" hidden="1" s="59"/>
    <row r="7394" hidden="1" s="59"/>
    <row r="7395" hidden="1" s="59"/>
    <row r="7396" hidden="1" s="59"/>
    <row r="7397" hidden="1" s="59"/>
    <row r="7398" hidden="1" s="59"/>
    <row r="7399" hidden="1" s="59"/>
    <row r="7400" hidden="1" s="59"/>
    <row r="7401" hidden="1" s="59"/>
    <row r="7402" hidden="1" s="59"/>
    <row r="7403" hidden="1" s="59"/>
    <row r="7404" hidden="1" s="59"/>
    <row r="7405" hidden="1" s="59"/>
    <row r="7406" hidden="1" s="59"/>
    <row r="7407" hidden="1" s="59"/>
    <row r="7408" hidden="1" s="59"/>
    <row r="7409" hidden="1" s="59"/>
    <row r="7410" hidden="1" s="59"/>
    <row r="7411" hidden="1" s="59"/>
    <row r="7412" hidden="1" s="59"/>
    <row r="7413" hidden="1" s="59"/>
    <row r="7414" hidden="1" s="59"/>
    <row r="7415" hidden="1" s="59"/>
    <row r="7416" hidden="1" s="59"/>
    <row r="7417" hidden="1" s="59"/>
    <row r="7418" hidden="1" s="59"/>
    <row r="7419" hidden="1" s="59"/>
    <row r="7420" hidden="1" s="59"/>
    <row r="7421" hidden="1" s="59"/>
    <row r="7422" hidden="1" s="59"/>
    <row r="7423" hidden="1" s="59"/>
    <row r="7424" hidden="1" s="59"/>
    <row r="7425" hidden="1" s="59"/>
    <row r="7426" hidden="1" s="59"/>
    <row r="7427" hidden="1" s="59"/>
    <row r="7428" hidden="1" s="59"/>
    <row r="7429" hidden="1" s="59"/>
    <row r="7430" hidden="1" s="59"/>
    <row r="7431" hidden="1" s="59"/>
    <row r="7432" hidden="1" s="59"/>
    <row r="7433" hidden="1" s="59"/>
    <row r="7434" hidden="1" s="59"/>
    <row r="7435" hidden="1" s="59"/>
    <row r="7436" hidden="1" s="59"/>
    <row r="7437" hidden="1" s="59"/>
    <row r="7438" hidden="1" s="59"/>
    <row r="7439" hidden="1" s="59"/>
    <row r="7440" hidden="1" s="59"/>
    <row r="7441" hidden="1" s="59"/>
    <row r="7442" hidden="1" s="59"/>
    <row r="7443" hidden="1" s="59"/>
    <row r="7444" hidden="1" s="59"/>
    <row r="7445" hidden="1" s="59"/>
    <row r="7446" hidden="1" s="59"/>
    <row r="7447" hidden="1" s="59"/>
    <row r="7448" hidden="1" s="59"/>
    <row r="7449" hidden="1" s="59"/>
    <row r="7450" hidden="1" s="59"/>
    <row r="7451" hidden="1" s="59"/>
    <row r="7452" hidden="1" s="59"/>
    <row r="7453" hidden="1" s="59"/>
    <row r="7454" hidden="1" s="59"/>
    <row r="7455" hidden="1" s="59"/>
    <row r="7456" hidden="1" s="59"/>
    <row r="7457" hidden="1" s="59"/>
    <row r="7458" hidden="1" s="59"/>
    <row r="7459" hidden="1" s="59"/>
    <row r="7460" hidden="1" s="59"/>
    <row r="7461" hidden="1" s="59"/>
    <row r="7462" hidden="1" s="59"/>
    <row r="7463" hidden="1" s="59"/>
    <row r="7464" hidden="1" s="59"/>
    <row r="7465" hidden="1" s="59"/>
    <row r="7466" hidden="1" s="59"/>
    <row r="7467" hidden="1" s="59"/>
    <row r="7468" hidden="1" s="59"/>
    <row r="7469" hidden="1" s="59"/>
    <row r="7470" hidden="1" s="59"/>
    <row r="7471" hidden="1" s="59"/>
    <row r="7472" hidden="1" s="59"/>
    <row r="7473" hidden="1" s="59"/>
    <row r="7474" hidden="1" s="59"/>
    <row r="7475" hidden="1" s="59"/>
    <row r="7476" hidden="1" s="59"/>
    <row r="7477" hidden="1" s="59"/>
    <row r="7479" hidden="1" s="59"/>
    <row r="7480" hidden="1" s="59"/>
    <row r="7481" hidden="1" s="59"/>
    <row r="7482" hidden="1" s="59"/>
    <row r="7483" hidden="1" s="59"/>
    <row r="7484" hidden="1" s="59"/>
    <row r="7485" hidden="1" s="59"/>
    <row r="7486" hidden="1" s="59"/>
    <row r="7487" hidden="1" s="59"/>
    <row r="7488" hidden="1" s="59"/>
    <row r="7489" hidden="1" s="59"/>
    <row r="7490" hidden="1" s="59"/>
    <row r="7491" hidden="1" s="59"/>
    <row r="7492" hidden="1" s="59"/>
    <row r="7493" hidden="1" s="59"/>
    <row r="7494" hidden="1" s="59"/>
    <row r="7495" hidden="1" s="59"/>
    <row r="7496" hidden="1" s="59"/>
    <row r="7497" hidden="1" s="59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B1:BO4"/>
  <sheetViews>
    <sheetView tabSelected="1" topLeftCell="BU345" zoomScale="90" zoomScaleNormal="90" workbookViewId="0">
      <selection activeCell="CC384" sqref="CC384"/>
    </sheetView>
  </sheetViews>
  <sheetFormatPr baseColWidth="8" defaultRowHeight="15"/>
  <cols>
    <col width="10" customWidth="1" style="59" min="2" max="2"/>
    <col width="15.28515625" bestFit="1" customWidth="1" style="59" min="3" max="3"/>
    <col width="8" customWidth="1" style="59" min="4" max="4"/>
    <col width="14.28515625" customWidth="1" style="59" min="5" max="5"/>
    <col width="15" customWidth="1" style="59" min="6" max="6"/>
    <col width="15.7109375" customWidth="1" style="59" min="7" max="7"/>
    <col width="19.42578125" customWidth="1" style="59" min="8" max="8"/>
    <col width="9.140625" customWidth="1" style="59" min="9" max="9"/>
    <col width="8" customWidth="1" style="59" min="10" max="18"/>
    <col width="16.7109375" customWidth="1" style="59" min="19" max="19"/>
    <col width="14.7109375" customWidth="1" style="59" min="20" max="21"/>
    <col width="15.42578125" customWidth="1" style="59" min="22" max="22"/>
    <col width="9.85546875" customWidth="1" style="50" min="23" max="25"/>
    <col width="9.140625" customWidth="1" style="59" min="26" max="27"/>
    <col width="8.28515625" customWidth="1" style="59" min="28" max="28"/>
    <col width="11" customWidth="1" style="59" min="40" max="46"/>
    <col width="8.28515625" customWidth="1" style="59" min="47" max="49"/>
    <col width="8.28515625" customWidth="1" style="59" min="52" max="53"/>
    <col width="12.42578125" bestFit="1" customWidth="1" style="59" min="62" max="62"/>
    <col width="22.7109375" customWidth="1" style="59" min="70" max="70"/>
    <col width="15.140625" bestFit="1" customWidth="1" style="59" min="71" max="71"/>
    <col width="14.5703125" bestFit="1" customWidth="1" style="59" min="72" max="72"/>
    <col width="15.5703125" bestFit="1" customWidth="1" style="59" min="73" max="73"/>
    <col width="13.5703125" bestFit="1" customWidth="1" style="59" min="74" max="75"/>
    <col width="15.7109375" bestFit="1" customWidth="1" style="59" min="76" max="76"/>
    <col width="18.140625" customWidth="1" style="59" min="77" max="77"/>
    <col width="15.5703125" bestFit="1" customWidth="1" style="59" min="78" max="80"/>
    <col width="16.28515625" bestFit="1" customWidth="1" style="59" min="81" max="83"/>
    <col width="31" customWidth="1" style="59" min="84" max="84"/>
    <col width="22.140625" customWidth="1" style="59" min="85" max="85"/>
    <col width="15.5703125" bestFit="1" customWidth="1" style="59" min="86" max="86"/>
    <col width="15.5703125" customWidth="1" style="59" min="87" max="87"/>
    <col width="14.5703125" bestFit="1" customWidth="1" style="59" min="88" max="88"/>
  </cols>
  <sheetData>
    <row r="1">
      <c r="C1" s="317" t="n"/>
      <c r="BE1" s="49">
        <f>AVERAGE(BE24:BE145)</f>
        <v/>
      </c>
      <c r="BJ1" s="316">
        <f>AVERAGE(BJ24:BJ340)</f>
        <v/>
      </c>
      <c r="BM1" s="49">
        <f>AVERAGE(BM24:BM364)</f>
        <v/>
      </c>
      <c r="BN1" s="49">
        <f>AVERAGE(BN24:BN364)</f>
        <v/>
      </c>
      <c r="BO1" s="49" t="n"/>
    </row>
    <row r="2">
      <c r="B2" s="318" t="inlineStr">
        <is>
          <t>Quarter</t>
        </is>
      </c>
      <c r="C2" s="318" t="inlineStr">
        <is>
          <t>Date</t>
        </is>
      </c>
      <c r="D2" s="318" t="inlineStr">
        <is>
          <t>Transactions (ttm)</t>
        </is>
      </c>
      <c r="E2" s="318" t="inlineStr">
        <is>
          <t>Average Deal Size (ttm)</t>
        </is>
      </c>
      <c r="F2" s="318" t="inlineStr">
        <is>
          <t>Monthly Volume</t>
        </is>
      </c>
      <c r="G2" s="318" t="inlineStr">
        <is>
          <t>Transaction Volume (ttm)</t>
        </is>
      </c>
      <c r="H2" s="318" t="inlineStr">
        <is>
          <t>Trans. Vol. (ttm)</t>
        </is>
      </c>
      <c r="I2" s="318" t="inlineStr">
        <is>
          <t>yoy Change (%)</t>
        </is>
      </c>
      <c r="J2" s="318" t="inlineStr">
        <is>
          <t>Upper Quartile Cap Rate (ttm)</t>
        </is>
      </c>
      <c r="K2" s="318" t="inlineStr">
        <is>
          <t>Lower Quartile Cap Rate (ttm)</t>
        </is>
      </c>
      <c r="L2" s="318" t="inlineStr">
        <is>
          <t>Average Cap Rate (ttm)</t>
        </is>
      </c>
      <c r="M2" s="318" t="inlineStr">
        <is>
          <t>NM Average Cap (ttm)</t>
        </is>
      </c>
      <c r="N2" s="318" t="inlineStr">
        <is>
          <t>Non-NM Average Cap (ttm)</t>
        </is>
      </c>
      <c r="O2" s="318" t="inlineStr">
        <is>
          <t>10+ Year Cap (ttm)</t>
        </is>
      </c>
      <c r="P2" s="318" t="inlineStr">
        <is>
          <t>6 to 10 Year Cap (ttm)</t>
        </is>
      </c>
      <c r="Q2" s="318" t="inlineStr">
        <is>
          <t>Less than 5 Year Cap (ttm)</t>
        </is>
      </c>
      <c r="R2" s="318" t="inlineStr">
        <is>
          <t>Outside Firm Term (ttm)</t>
        </is>
      </c>
      <c r="S2" s="318" t="inlineStr">
        <is>
          <t>Private Volume (ttm)</t>
        </is>
      </c>
      <c r="T2" s="318" t="inlineStr">
        <is>
          <t>Public Listed/REIT Volume (ttm)</t>
        </is>
      </c>
      <c r="U2" s="318" t="inlineStr">
        <is>
          <t>Cross-Border Volume (ttm)</t>
        </is>
      </c>
      <c r="V2" s="318" t="inlineStr">
        <is>
          <t>Institutional Volume (ttm)</t>
        </is>
      </c>
      <c r="W2" s="50" t="inlineStr">
        <is>
          <t>Federal Cap</t>
        </is>
      </c>
      <c r="X2" s="50" t="inlineStr">
        <is>
          <t>State Cap</t>
        </is>
      </c>
      <c r="Y2" s="50" t="inlineStr">
        <is>
          <t>Municipal Cap</t>
        </is>
      </c>
      <c r="Z2" s="318" t="inlineStr">
        <is>
          <t>Private Count (ttm)</t>
        </is>
      </c>
      <c r="AA2" s="318" t="inlineStr">
        <is>
          <t>Public Listed/REIT Count (ttm)</t>
        </is>
      </c>
      <c r="AB2" s="318" t="inlineStr">
        <is>
          <t>Cross-Border Count (ttm)</t>
        </is>
      </c>
      <c r="AC2" s="318" t="inlineStr">
        <is>
          <t>Institutional Count (ttm)</t>
        </is>
      </c>
      <c r="AD2" s="318" t="inlineStr">
        <is>
          <t>DOM</t>
        </is>
      </c>
      <c r="AE2" s="318" t="inlineStr">
        <is>
          <t>% of Ask</t>
        </is>
      </c>
      <c r="AF2" s="318" t="inlineStr">
        <is>
          <t>Last Ask</t>
        </is>
      </c>
      <c r="AG2" s="318" t="inlineStr">
        <is>
          <t>Bid-Ask Spread</t>
        </is>
      </c>
      <c r="AH2" s="318" t="inlineStr">
        <is>
          <t>10-Year Treasury Yield</t>
        </is>
      </c>
      <c r="AI2" s="318" t="inlineStr">
        <is>
          <t>Low Assumed Loan Constant</t>
        </is>
      </c>
      <c r="AJ2" s="318" t="inlineStr">
        <is>
          <t>High Assumed Loan Constant</t>
        </is>
      </c>
      <c r="AK2" s="318" t="inlineStr">
        <is>
          <t>Price Change (ttm)</t>
        </is>
      </c>
      <c r="AL2" s="318" t="inlineStr">
        <is>
          <t>8+ Year Firm Ask (ttm)</t>
        </is>
      </c>
      <c r="AM2" s="318" t="inlineStr">
        <is>
          <t>8+ Year Firm Price Change (ttm)</t>
        </is>
      </c>
      <c r="AN2" s="318" t="inlineStr">
        <is>
          <t>First Generation Lease Commencements (ttm)</t>
        </is>
      </c>
      <c r="AO2" s="318" t="inlineStr">
        <is>
          <t>Renewed Leases (ttm)</t>
        </is>
      </c>
      <c r="AP2" s="318" t="inlineStr">
        <is>
          <t>Succeeding/Superseding Leases (ttm)</t>
        </is>
      </c>
      <c r="AQ2" s="318" t="inlineStr">
        <is>
          <t>Expired Leases (ttm)</t>
        </is>
      </c>
      <c r="AR2" s="318" t="inlineStr">
        <is>
          <t>Terminated Leases (ttm)</t>
        </is>
      </c>
      <c r="AS2" s="318" t="inlineStr">
        <is>
          <t>Net Change (ttm)</t>
        </is>
      </c>
      <c r="AT2" s="318" t="inlineStr">
        <is>
          <t>Total Current Leases (ttm)</t>
        </is>
      </c>
      <c r="AU2" s="318" t="inlineStr">
        <is>
          <t>Leases Extended (ttm)</t>
        </is>
      </c>
      <c r="AV2" s="318" t="inlineStr">
        <is>
          <t>Footprint Reduced (ttm)</t>
        </is>
      </c>
      <c r="AW2" s="318" t="inlineStr">
        <is>
          <t>Leases Expired (ttm)</t>
        </is>
      </c>
      <c r="AX2" s="318" t="inlineStr">
        <is>
          <t>Leases Up for Renewal (ttm)</t>
        </is>
      </c>
      <c r="AY2" s="318" t="inlineStr">
        <is>
          <t>Leases In Firm Term (ttm)</t>
        </is>
      </c>
      <c r="AZ2" s="318" t="inlineStr">
        <is>
          <t>Leases Outside Firm (ttm)</t>
        </is>
      </c>
      <c r="BA2" s="318" t="inlineStr">
        <is>
          <t>Leases Terminated (ttm)</t>
        </is>
      </c>
      <c r="BB2" s="318" t="inlineStr">
        <is>
          <t>Renewal Rent/SF</t>
        </is>
      </c>
      <c r="BC2" s="318" t="inlineStr">
        <is>
          <t>Upper Quartile</t>
        </is>
      </c>
      <c r="BD2" s="318" t="inlineStr">
        <is>
          <t>Lower Quartile</t>
        </is>
      </c>
      <c r="BE2" s="318" t="inlineStr">
        <is>
          <t>Average Renewal Rent CAGR</t>
        </is>
      </c>
      <c r="BF2" s="318" t="inlineStr">
        <is>
          <t>Tenure at Renewal</t>
        </is>
      </c>
      <c r="BG2" s="318" t="inlineStr">
        <is>
          <t>Average Lease Term</t>
        </is>
      </c>
      <c r="BH2" s="318" t="inlineStr">
        <is>
          <t>Renewal Count</t>
        </is>
      </c>
      <c r="BI2" s="318" t="inlineStr">
        <is>
          <t>Avg. Rent</t>
        </is>
      </c>
      <c r="BJ2" s="318" t="inlineStr">
        <is>
          <t>Valuation Index</t>
        </is>
      </c>
      <c r="BK2" s="318" t="inlineStr">
        <is>
          <t>YOY Change (%)2</t>
        </is>
      </c>
      <c r="BL2" s="318" t="inlineStr">
        <is>
          <t>Expenses PSF (ttm)</t>
        </is>
      </c>
      <c r="BM2" s="318" t="inlineStr">
        <is>
          <t>Cash Return Index</t>
        </is>
      </c>
      <c r="BN2" s="318" t="inlineStr">
        <is>
          <t>Leveraged Return Index</t>
        </is>
      </c>
      <c r="BO2" s="318" t="inlineStr">
        <is>
          <t>CPI</t>
        </is>
      </c>
    </row>
    <row r="3">
      <c r="B3" s="318" t="inlineStr">
        <is>
          <t>Q2-2025</t>
        </is>
      </c>
      <c r="C3" s="318" t="n">
        <v>45838</v>
      </c>
      <c r="D3" s="46">
        <f>COUNTIFS(Sold[DATE],"&gt;"&amp;EDATE(Charts[[#This Row],[Date]],-12),Sold[DATE],"&lt;="&amp;Charts[[#This Row],[Date]])</f>
        <v/>
      </c>
      <c r="E3" s="319">
        <f>AVERAGEIFS(Sold[SOLD PRICE],Sold[DATE],"&gt;"&amp;EDATE(Charts[[#This Row],[Date]],-12),Sold[DATE],"&lt;="&amp;Charts[[#This Row],[Date]])</f>
        <v/>
      </c>
      <c r="F3" s="319">
        <f>SUMIFS(Sold[SOLD PRICE],Sold[DATE],"&gt;"&amp;EDATE(Charts[[#This Row],[Date]],-1),Sold[DATE],"&lt;="&amp;Charts[[#This Row],[Date]])</f>
        <v/>
      </c>
      <c r="G3" s="319">
        <f>SUMIFS(Sold[SOLD PRICE],Sold[DATE],"&gt;"&amp;EDATE(Charts[[#This Row],[Date]],-12),Sold[DATE],"&lt;="&amp;Charts[[#This Row],[Date]])</f>
        <v/>
      </c>
      <c r="H3" s="319">
        <f>Charts[[#This Row],[Average Deal Size (ttm)]]*Charts[[#This Row],[Transactions (ttm)]]</f>
        <v/>
      </c>
      <c r="I3" s="182">
        <f>(Charts[[#This Row],[Trans. Vol. (ttm)]]-H15)/H15</f>
        <v/>
      </c>
      <c r="J3" s="49">
        <f t="array" ref="J3">PERCENTILE(IF(Sold[DATE]&gt;EDATE(Charts[[#This Row],[Date]],-12),IF(Sold[DATE]&lt;=Charts[[#This Row],[Date]],IF(Sold[SOLD CAP]&lt;&gt;"",Sold[SOLD CAP]))),0.75)</f>
        <v/>
      </c>
      <c r="K3" s="49">
        <f t="array" ref="K3">PERCENTILE(IF(Sold[DATE]&gt;EDATE(Charts[[#This Row],[Date]],-12),IF(Sold[DATE]&lt;=Charts[[#This Row],[Date]],IF(Sold[SOLD CAP]&lt;&gt;"",Sold[SOLD CAP]))),0.25)</f>
        <v/>
      </c>
      <c r="L3" s="49">
        <f>AVERAGEIFS(Sold[SOLD CAP],Sold[DATE],"&gt;"&amp;EDATE(Charts[[#This Row],[Date]],-12),Sold[DATE],"&lt;="&amp;Charts[[#This Row],[Date]])</f>
        <v/>
      </c>
      <c r="M3" s="49">
        <f>IFERROR(AVERAGEIFS(Sold[SOLD CAP],Sold[DATE],"&gt;"&amp;EDATE(Charts[[#This Row],[Date]],-12),Sold[DATE],"&lt;="&amp;Charts[[#This Row],[Date]],Sold[L. BROKER],"*sjc*",Sold[SOLD CAP],"&lt;=.09"),M8)</f>
        <v/>
      </c>
      <c r="N3" s="49">
        <f>IF(Charts[[#This Row],[Average Cap Rate (ttm)]]&gt;(AVERAGEIFS(Sold[SOLD CAP],Sold[L. BROKER],"&lt;&gt;*",Sold[L. BROKER],"&lt;&gt;*sjc*",Sold[DATE],"&gt;"&amp;EDATE(Charts[[#This Row],[Date]],-12),Sold[DATE],"&lt;="&amp;Charts[[#This Row],[Date]])),Charts[[#This Row],[Average Cap Rate (ttm)]],AVERAGEIFS(Sold[SOLD CAP],Sold[L. BROKER],"&lt;&gt;*",Sold[L. BROKER],"&lt;&gt;*sjc*",Sold[DATE],"&gt;"&amp;EDATE(Charts[[#This Row],[Date]],-12),Sold[DATE],"&lt;="&amp;Charts[[#This Row],[Date]]))</f>
        <v/>
      </c>
      <c r="O3" s="49">
        <f>IFERROR(AVERAGEIFS(Sold[SOLD CAP],Sold[FIRM],"&gt;="&amp;10,Sold[DATE],"&gt;"&amp;EDATE(Charts[[#This Row],[Date]],-12),Sold[DATE],"&lt;="&amp;Charts[[#This Row],[Date]]),#REF!)</f>
        <v/>
      </c>
      <c r="P3" s="49">
        <f>IFERROR(AVERAGEIFS(Sold[SOLD CAP],Sold[FIRM],"&gt;="&amp;6,Sold[FIRM],"&lt;"&amp;10,Sold[DATE],"&gt;"&amp;EDATE(Charts[[#This Row],[Date]],-12),Sold[DATE],"&lt;="&amp;Charts[[#This Row],[Date]]),#REF!)</f>
        <v/>
      </c>
      <c r="Q3" s="49">
        <f>IFERROR(AVERAGEIFS(Sold[SOLD CAP],Sold[FIRM],"&lt;"&amp;6,Sold[DATE],"&gt;"&amp;EDATE(Charts[[#This Row],[Date]],-12),Sold[DATE],"&lt;="&amp;Charts[[#This Row],[Date]]),#REF!)</f>
        <v/>
      </c>
      <c r="R3" s="49">
        <f>IFERROR(AVERAGEIFS(Sold[SOLD CAP],Sold[FIRM],"&lt;"&amp;0.5,Sold[DATE],"&gt;"&amp;EDATE(Charts[[#This Row],[Date]],-12),Sold[DATE],"&lt;="&amp;Charts[[#This Row],[Date]],Sold[FIRM],"&lt;&gt;"&amp;" "),#REF!)</f>
        <v/>
      </c>
      <c r="S3" s="320">
        <f>SUMIFS(Sold[SOLD PRICE],Sold[Type2],"*Private*",Sold[DATE],"&gt;"&amp;EDATE(Charts[[#This Row],[Date]],-12),Sold[DATE],"&lt;="&amp;Charts[[#This Row],[Date]])</f>
        <v/>
      </c>
      <c r="T3" s="320">
        <f>SUMIFS(Sold[SOLD PRICE],Sold[Type2],"*REIT*",Sold[DATE],"&gt;"&amp;EDATE(Charts[[#This Row],[Date]],-12),Sold[DATE],"&lt;="&amp;Charts[[#This Row],[Date]])</f>
        <v/>
      </c>
      <c r="U3" s="320">
        <f>SUMIFS(Sold[SOLD PRICE],Sold[Type2],"*Cross*",Sold[DATE],"&gt;"&amp;EDATE(Charts[[#This Row],[Date]],-12),Sold[DATE],"&lt;="&amp;Charts[[#This Row],[Date]])</f>
        <v/>
      </c>
      <c r="V3" s="320">
        <f>SUMIFS(Sold[SOLD PRICE],Sold[Type2],"*Institutional*",Sold[DATE],"&gt;"&amp;EDATE(Charts[[#This Row],[Date]],-12),Sold[DATE],"&lt;="&amp;Charts[[#This Row],[Date]])</f>
        <v/>
      </c>
      <c r="W3" s="49">
        <f>AVERAGEIFS(Sold[SOLD CAP],Sold[DATE],"&gt;"&amp;EDATE(Charts[[#This Row],[Date]],-12),Sold[DATE],"&lt;="&amp;Charts[[#This Row],[Date]],Sold[TYPE],"*Federal*")</f>
        <v/>
      </c>
      <c r="X3" s="49">
        <f>AVERAGEIFS(Sold[SOLD CAP],Sold[DATE],"&gt;"&amp;EDATE(Charts[[#This Row],[Date]],-12),Sold[DATE],"&lt;="&amp;Charts[[#This Row],[Date]],Sold[TYPE],"*State*")</f>
        <v/>
      </c>
      <c r="Y3" s="49">
        <f>IFERROR(AVERAGEIFS(Sold[SOLD CAP],Sold[DATE],"&gt;"&amp;EDATE(Charts[[#This Row],[Date]],-12),Sold[DATE],"&lt;="&amp;Charts[[#This Row],[Date]],Sold[TYPE],"*Municipal*"),Y8)</f>
        <v/>
      </c>
      <c r="Z3" s="177">
        <f>COUNTIFS(Sold[Type2],"*Private*",Sold[DATE],"&gt;"&amp;EDATE(Charts[[#This Row],[Date]],-12),Sold[DATE],"&lt;="&amp;Charts[[#This Row],[Date]])</f>
        <v/>
      </c>
      <c r="AA3" s="177">
        <f>COUNTIFS(Sold[Type2],"*REIT*",Sold[DATE],"&gt;"&amp;EDATE(Charts[[#This Row],[Date]],-12),Sold[DATE],"&lt;="&amp;Charts[[#This Row],[Date]])</f>
        <v/>
      </c>
      <c r="AB3" s="177">
        <f>COUNTIFS(Sold[Type2],"*Cross*",Sold[DATE],"&gt;"&amp;EDATE(Charts[[#This Row],[Date]],-12),Sold[DATE],"&lt;="&amp;Charts[[#This Row],[Date]])</f>
        <v/>
      </c>
      <c r="AC3" s="177">
        <f>COUNTIFS(Sold[Type2],"*Institutional*",Sold[DATE],"&gt;"&amp;EDATE(Charts[[#This Row],[Date]],-12),Sold[DATE],"&lt;="&amp;Charts[[#This Row],[Date]])</f>
        <v/>
      </c>
      <c r="AD3" s="177">
        <f>AVERAGEIFS(Sold[DOM],Sold[DATE],"&gt;"&amp;EDATE(Charts[[#This Row],[Date]],-12),Sold[DATE],"&lt;="&amp;Charts[[#This Row],[Date]])</f>
        <v/>
      </c>
      <c r="AE3" s="321">
        <f>AVERAGEIFS(Sold[% of Int Ach],Sold[DATE],"&lt;="&amp;C3,Sold[DATE],"&gt;"&amp;EDATE(Charts[[#This Row],[Date]],-12))</f>
        <v/>
      </c>
      <c r="AF3" s="49">
        <f>AVERAGEIFS(Sold[LAST CAP],Sold[DATE],"&lt;="&amp;Charts[[#This Row],[Date]],Sold[DATE],"&gt;"&amp;EDATE(Charts[[#This Row],[Date]],-12))</f>
        <v/>
      </c>
      <c r="AG3" s="49">
        <f>AVERAGEIFS(Sold[BID-ASK SPREAD],Sold[DATE],"&lt;="&amp;Charts[[#This Row],[Date]],Sold[DATE],"&gt;"&amp;EDATE(Charts[[#This Row],[Date]],-12))</f>
        <v/>
      </c>
      <c r="AH3" s="49" t="n">
        <v>0.04177</v>
      </c>
      <c r="AI3" s="49">
        <f>PMT((Charts[[#This Row],[10-Year Treasury Yield]]+0.018)/12,360,-1,0)*12</f>
        <v/>
      </c>
      <c r="AJ3" s="49">
        <f>PMT((Charts[[#This Row],[10-Year Treasury Yield]]+0.022)/12,360,-1,0)*12</f>
        <v/>
      </c>
      <c r="AK3" s="321">
        <f>COUNTIFS(Sold[PRICE CHG],"*Yes*",Sold[DATE],"&gt;"&amp;EDATE(Charts[[#This Row],[Date]],-12),Sold[DATE],"&lt;="&amp;Charts[[#This Row],[Date]])/COUNTIFS(Sold[DOM],"&lt;&gt;",Sold[DATE],"&gt;"&amp;EDATE(Charts[[#This Row],[Date]],-12),Sold[DATE],"&lt;="&amp;Charts[[#This Row],[Date]])</f>
        <v/>
      </c>
      <c r="AL3" s="49">
        <f>AVERAGEIFS(Sold[LAST CAP],Sold[DATE],"&gt;"&amp;EDATE(Charts[[#This Row],[Date]],-12),Sold[DATE],"&lt;="&amp;Charts[[#This Row],[Date]],Sold[FIRM],"&gt;="&amp;7.5)</f>
        <v/>
      </c>
      <c r="AM3" s="49">
        <f>COUNTIFS(Sold[PRICE CHG],"*Yes*",Sold[DATE],"&gt;"&amp;EDATE(Charts[[#This Row],[Date]],-12),Sold[DATE],"&lt;="&amp;Charts[[#This Row],[Date]],Sold[FIRM],"&gt;="&amp;7.5)/COUNTIFS(Sold[DOM],"&lt;&gt;",Sold[DATE],"&gt;"&amp;EDATE(Charts[[#This Row],[Date]],-12),Sold[DATE],"&lt;="&amp;Charts[[#This Row],[Date]],Sold[FIRM],"&gt;="&amp;7.5)</f>
        <v/>
      </c>
      <c r="AN3" s="177">
        <f>COUNTIFS(Ownership[COM],"&gt;"&amp;EDATE(Charts[[#This Row],[Date]],-12),Ownership[COM],"&lt;="&amp;Charts[[#This Row],[Date]],Ownership[Last],"New")</f>
        <v/>
      </c>
      <c r="AO3" s="177">
        <f>(COUNTIFS(Ownership[COM],"&gt;"&amp;EDATE(Charts[[#This Row],[Date]],-12),Ownership[COM],"&lt;="&amp;Charts[[#This Row],[Date]],Ownership[Last],"*replacing*"))+(COUNTIFS(Ownership[COM],"&gt;"&amp;EDATE(Charts[[#This Row],[Date]],-12),Ownership[COM],"&lt;="&amp;Charts[[#This Row],[Date]],Ownership[Last],"*renew*"))+(COUNTIFS(Ownership[COM],"&gt;"&amp;EDATE(Charts[[#This Row],[Date]],-12),Ownership[COM],"&lt;="&amp;Charts[[#This Row],[Date]],Ownership[Last],"*exten*"))</f>
        <v/>
      </c>
      <c r="AP3" s="177">
        <f>(COUNTIFS(Ownership[COM],"&gt;"&amp;EDATE(Charts[[#This Row],[Date]],-12),Ownership[COM],"&lt;="&amp;Charts[[#This Row],[Date]],Ownership[Last],"*succeed*"))+(COUNTIFS(Ownership[COM],"&gt;"&amp;EDATE(Charts[[#This Row],[Date]],-12),Ownership[COM],"&lt;="&amp;Charts[[#This Row],[Date]],Ownership[Last],"*superse*"))</f>
        <v/>
      </c>
      <c r="AQ3" s="177">
        <f>-COUNTIFS(Ownership[EXP],"&lt;="&amp;Charts[[#This Row],[Date]],Ownership[EXP],"&gt;"&amp;EDATE(Charts[[#This Row],[Date]],-12),Ownership[NEW],"#N/A")</f>
        <v/>
      </c>
      <c r="AR3" s="177">
        <f>Charts[[#This Row],[Expired Leases (ttm)]]+COUNTIFS(Ownership[EXP],"&lt;="&amp;Charts[[#This Row],[Date]],Ownership[EXP],"&gt;"&amp;EDATE(Charts[[#This Row],[Date]],-12),Ownership[NEW],"#N/A",Ownership[TERMN],"&lt;="&amp;EDATE(Charts[[#This Row],[Date]],-12))</f>
        <v/>
      </c>
      <c r="AS3" s="177">
        <f>Charts[[#This Row],[First Generation Lease Commencements (ttm)]]+Charts[[#This Row],[Renewed Leases (ttm)]]+Charts[[#This Row],[Succeeding/Superseding Leases (ttm)]]+Charts[[#This Row],[Expired Leases (ttm)]]+Charts[[#This Row],[Terminated Leases (ttm)]]</f>
        <v/>
      </c>
      <c r="AT3" s="177">
        <f>(COUNTIFS(Ownership[EXP],"&gt;="&amp;Charts[[#This Row],[Date]],Ownership[COM],"&lt;="&amp;Charts[[#This Row],[Date]],Ownership[NEW],"&lt;&gt;*#N/A*"))</f>
        <v/>
      </c>
      <c r="AU3" s="177">
        <f>COUNTIFS(Ownership[RENEWED],"*Yes*",Ownership[Date],"&gt;"&amp;EDATE(Charts[[#This Row],[Date]],-12),Ownership[Date],"&lt;="&amp;Charts[[#This Row],[Date]])</f>
        <v/>
      </c>
      <c r="AV3" s="177">
        <f>COUNTIFS(Ownership[RENEWED],"*Reduced*",Ownership[Date],"&gt;"&amp;EDATE(Charts[[#This Row],[Date]],-12),Ownership[Date],"&lt;="&amp;Charts[[#This Row],[Date]])</f>
        <v/>
      </c>
      <c r="AW3" s="177">
        <f>COUNTIFS(Ownership[RENEWED],"*No*",Ownership[Date],"&gt;"&amp;EDATE(Charts[[#This Row],[Date]],-12),Ownership[Date],"&lt;="&amp;Charts[[#This Row],[Date]])</f>
        <v/>
      </c>
      <c r="AX3" s="46">
        <f>SUM(Charts[[#This Row],[Leases Extended (ttm)]:[Leases Expired (ttm)]])</f>
        <v/>
      </c>
      <c r="AY3" s="46">
        <f>Charts[[#This Row],[Total Current Leases (ttm)]]-Charts[[#This Row],[Leases Outside Firm (ttm)]]</f>
        <v/>
      </c>
      <c r="AZ3" s="177">
        <f>COUNTIFS(Ownership[TERMN],"&lt;"&amp;C3,Ownership[EXP],"&gt;"&amp;C3)</f>
        <v/>
      </c>
      <c r="BA3" s="321">
        <f>-Charts[[#This Row],[Terminated Leases (ttm)]]/Charts[[#This Row],[Leases Outside Firm (ttm)]]</f>
        <v/>
      </c>
      <c r="BB3" s="322">
        <f>AVERAGEIFS(Ownership[FUTURE/SF],Ownership[FUTURE/SF],"&lt;&gt;"&amp;0,Ownership[EXP],"&gt;="&amp;EDATE(Charts[[#This Row],[Date]],-12),Ownership[EXP],"&lt;="&amp;Charts[[#This Row],[Date]])</f>
        <v/>
      </c>
      <c r="BC3" s="49">
        <f t="array" ref="BC3">PERCENTILE(IF(Ownership[EXP]&gt;EDATE(Charts[[#This Row],[Date]],-12),IF(Ownership[EXP]&lt;=Charts[[#This Row],[Date]],IF(Ownership[CAGR]&lt;&gt;0,Ownership[CAGR]))),0.75)</f>
        <v/>
      </c>
      <c r="BD3" s="49">
        <f t="array" ref="BD3">PERCENTILE(IF(Ownership[EXP]&gt;EDATE(Charts[[#This Row],[Date]],-12),IF(Ownership[EXP]&lt;=Charts[[#This Row],[Date]],IF(Ownership[CAGR]&lt;&gt;0,Ownership[CAGR]))),0.25)</f>
        <v/>
      </c>
      <c r="BE3" s="49">
        <f>AVERAGEIFS(Ownership[CAGR],Ownership[CAGR],"&lt;&gt;"&amp;0,Ownership[EXP],"&gt;="&amp;EDATE(Charts[[#This Row],[Date]],-12),Ownership[EXP],"&lt;="&amp;Charts[[#This Row],[Date]],Ownership[Term],"&gt;="&amp;3)</f>
        <v/>
      </c>
      <c r="BF3" s="323">
        <f>AVERAGEIFS(Ownership[Tenure at Com],Ownership[COM],"&gt;"&amp;EDATE(Charts[[#This Row],[Date]],-12),Ownership[COM],"&lt;="&amp;Charts[[#This Row],[Date]])</f>
        <v/>
      </c>
      <c r="BG3" s="323">
        <f>AVERAGEIFS(Ownership[Term],Ownership[COM],"&gt;"&amp;EDATE(Charts[[#This Row],[Date]],-12),Ownership[COM],"&lt;="&amp;Charts[[#This Row],[Date]])</f>
        <v/>
      </c>
      <c r="BH3" s="323">
        <f>AVERAGEIFS(Ownership['#ofRenewals],Ownership[COM],"&lt;="&amp;Charts[[#This Row],[Date]],Ownership[COM],"&gt;"&amp;EDATE(Charts[[#This Row],[Date]],-12))</f>
        <v/>
      </c>
      <c r="BI3" s="322">
        <f>AVERAGE(AVERAGEIFS(Ownership[GROSS/SF],Ownership[EXP],"&lt;="&amp;Charts[[#This Row],[Date]],Ownership[Term],"&gt;="&amp;0),AVERAGEIFS(Sold[GROSS/SF],Sold[EXP],"&lt;="&amp;Charts[[#This Row],[Date]],Sold[TERM],"&gt;="&amp;0))</f>
        <v/>
      </c>
      <c r="BJ3" s="323">
        <f>(Charts[[#This Row],[Avg. Rent]]-Charts[[#This Row],[Expenses PSF (ttm)]])/Charts[[#This Row],[Average Cap Rate (ttm)]]</f>
        <v/>
      </c>
      <c r="BK3" s="321">
        <f>(Charts[[#This Row],[Valuation Index]]-BJ15)/BJ15</f>
        <v/>
      </c>
      <c r="BL3" s="322">
        <f>AVERAGEIFS(Sold[GROSS/SF],Sold[DATE],"&lt;="&amp;Charts[[#This Row],[Date]],Sold[DATE],"&gt;"&amp;EDATE(Charts[[#This Row],[Date]],-12),Sold[GROSS/SF],"&lt;&gt;"&amp;0,Sold[NET/SF],"&lt;&gt;"&amp;0)-AVERAGEIFS(Sold[NET/SF],Sold[DATE],"&lt;="&amp;Charts[[#This Row],[Date]],Sold[DATE],"&gt;"&amp;EDATE(Charts[[#This Row],[Date]],-12),Sold[GROSS/SF],"&lt;&gt;"&amp;0,Sold[NET/SF],"&lt;&gt;"&amp;0)</f>
        <v/>
      </c>
      <c r="BM3" s="49">
        <f>(Charts[[#This Row],[Lower Quartile Cap Rate (ttm)]]*0.25)+(Charts[[#This Row],[Average Cap Rate (ttm)]]*0.5)+(Charts[[#This Row],[Upper Quartile Cap Rate (ttm)]]*0.25)</f>
        <v/>
      </c>
      <c r="BN3" s="49">
        <f>(1-((1/Charts[[#This Row],[Cash Return Index]])*0.5)*AVERAGE(Charts[[#This Row],[Low Assumed Loan Constant]:[High Assumed Loan Constant]]))/((1/Charts[[#This Row],[Cash Return Index]])*0.5)</f>
        <v/>
      </c>
      <c r="BO3" s="49" t="n"/>
    </row>
    <row r="4">
      <c r="C4" s="318" t="n">
        <v>45808</v>
      </c>
      <c r="D4" s="46">
        <f>COUNTIFS(Sold[DATE],"&gt;"&amp;EDATE(Charts[[#This Row],[Date]],-12),Sold[DATE],"&lt;="&amp;Charts[[#This Row],[Date]])</f>
        <v/>
      </c>
      <c r="E4" s="319">
        <f>AVERAGEIFS(Sold[SOLD PRICE],Sold[DATE],"&gt;"&amp;EDATE(Charts[[#This Row],[Date]],-12),Sold[DATE],"&lt;="&amp;Charts[[#This Row],[Date]])</f>
        <v/>
      </c>
      <c r="F4" s="319">
        <f>SUMIFS(Sold[SOLD PRICE],Sold[DATE],"&gt;"&amp;EDATE(Charts[[#This Row],[Date]],-1),Sold[DATE],"&lt;="&amp;Charts[[#This Row],[Date]])</f>
        <v/>
      </c>
      <c r="G4" s="319">
        <f>SUMIFS(Sold[SOLD PRICE],Sold[DATE],"&gt;"&amp;EDATE(Charts[[#This Row],[Date]],-12),Sold[DATE],"&lt;="&amp;Charts[[#This Row],[Date]])</f>
        <v/>
      </c>
      <c r="H4" s="319">
        <f>Charts[[#This Row],[Average Deal Size (ttm)]]*Charts[[#This Row],[Transactions (ttm)]]</f>
        <v/>
      </c>
      <c r="I4" s="182">
        <f>(Charts[[#This Row],[Trans. Vol. (ttm)]]-H16)/H16</f>
        <v/>
      </c>
      <c r="J4" s="49">
        <f t="array" ref="J4">PERCENTILE(IF(Sold[DATE]&gt;EDATE(Charts[[#This Row],[Date]],-12),IF(Sold[DATE]&lt;=Charts[[#This Row],[Date]],IF(Sold[SOLD CAP]&lt;&gt;"",Sold[SOLD CAP]))),0.75)</f>
        <v/>
      </c>
      <c r="K4" s="49">
        <f t="array" ref="K4">PERCENTILE(IF(Sold[DATE]&gt;EDATE(Charts[[#This Row],[Date]],-12),IF(Sold[DATE]&lt;=Charts[[#This Row],[Date]],IF(Sold[SOLD CAP]&lt;&gt;"",Sold[SOLD CAP]))),0.25)</f>
        <v/>
      </c>
      <c r="L4" s="49">
        <f>AVERAGEIFS(Sold[SOLD CAP],Sold[DATE],"&gt;"&amp;EDATE(Charts[[#This Row],[Date]],-12),Sold[DATE],"&lt;="&amp;Charts[[#This Row],[Date]])</f>
        <v/>
      </c>
      <c r="M4" s="49">
        <f>IFERROR(AVERAGEIFS(Sold[SOLD CAP],Sold[DATE],"&gt;"&amp;EDATE(Charts[[#This Row],[Date]],-12),Sold[DATE],"&lt;="&amp;Charts[[#This Row],[Date]],Sold[L. BROKER],"*sjc*",Sold[SOLD CAP],"&lt;=.09"),M9)</f>
        <v/>
      </c>
      <c r="N4" s="49">
        <f>IF(Charts[[#This Row],[Average Cap Rate (ttm)]]&gt;(AVERAGEIFS(Sold[SOLD CAP],Sold[L. BROKER],"&lt;&gt;*",Sold[L. BROKER],"&lt;&gt;*sjc*",Sold[DATE],"&gt;"&amp;EDATE(Charts[[#This Row],[Date]],-12),Sold[DATE],"&lt;="&amp;Charts[[#This Row],[Date]])),Charts[[#This Row],[Average Cap Rate (ttm)]],AVERAGEIFS(Sold[SOLD CAP],Sold[L. BROKER],"&lt;&gt;*",Sold[L. BROKER],"&lt;&gt;*sjc*",Sold[DATE],"&gt;"&amp;EDATE(Charts[[#This Row],[Date]],-12),Sold[DATE],"&lt;="&amp;Charts[[#This Row],[Date]]))</f>
        <v/>
      </c>
      <c r="O4" s="49">
        <f>IFERROR(AVERAGEIFS(Sold[SOLD CAP],Sold[FIRM],"&gt;="&amp;10,Sold[DATE],"&gt;"&amp;EDATE(Charts[[#This Row],[Date]],-12),Sold[DATE],"&lt;="&amp;Charts[[#This Row],[Date]]),#REF!)</f>
        <v/>
      </c>
      <c r="P4" s="49">
        <f>IFERROR(AVERAGEIFS(Sold[SOLD CAP],Sold[FIRM],"&gt;="&amp;6,Sold[FIRM],"&lt;"&amp;10,Sold[DATE],"&gt;"&amp;EDATE(Charts[[#This Row],[Date]],-12),Sold[DATE],"&lt;="&amp;Charts[[#This Row],[Date]]),#REF!)</f>
        <v/>
      </c>
      <c r="Q4" s="49">
        <f>IFERROR(AVERAGEIFS(Sold[SOLD CAP],Sold[FIRM],"&lt;"&amp;6,Sold[DATE],"&gt;"&amp;EDATE(Charts[[#This Row],[Date]],-12),Sold[DATE],"&lt;="&amp;Charts[[#This Row],[Date]]),#REF!)</f>
        <v/>
      </c>
      <c r="R4" s="49">
        <f>IFERROR(AVERAGEIFS(Sold[SOLD CAP],Sold[FIRM],"&lt;"&amp;0.5,Sold[DATE],"&gt;"&amp;EDATE(Charts[[#This Row],[Date]],-12),Sold[DATE],"&lt;="&amp;Charts[[#This Row],[Date]],Sold[FIRM],"&lt;&gt;"&amp;" "),#REF!)</f>
        <v/>
      </c>
      <c r="S4" s="320">
        <f>SUMIFS(Sold[SOLD PRICE],Sold[Type2],"*Private*",Sold[DATE],"&gt;"&amp;EDATE(Charts[[#This Row],[Date]],-12),Sold[DATE],"&lt;="&amp;Charts[[#This Row],[Date]])</f>
        <v/>
      </c>
      <c r="T4" s="320">
        <f>SUMIFS(Sold[SOLD PRICE],Sold[Type2],"*REIT*",Sold[DATE],"&gt;"&amp;EDATE(Charts[[#This Row],[Date]],-12),Sold[DATE],"&lt;="&amp;Charts[[#This Row],[Date]])</f>
        <v/>
      </c>
      <c r="U4" s="320">
        <f>SUMIFS(Sold[SOLD PRICE],Sold[Type2],"*Cross*",Sold[DATE],"&gt;"&amp;EDATE(Charts[[#This Row],[Date]],-12),Sold[DATE],"&lt;="&amp;Charts[[#This Row],[Date]])</f>
        <v/>
      </c>
      <c r="V4" s="320">
        <f>SUMIFS(Sold[SOLD PRICE],Sold[Type2],"*Institutional*",Sold[DATE],"&gt;"&amp;EDATE(Charts[[#This Row],[Date]],-12),Sold[DATE],"&lt;="&amp;Charts[[#This Row],[Date]])</f>
        <v/>
      </c>
      <c r="W4" s="49">
        <f>AVERAGEIFS(Sold[SOLD CAP],Sold[DATE],"&gt;"&amp;EDATE(Charts[[#This Row],[Date]],-12),Sold[DATE],"&lt;="&amp;Charts[[#This Row],[Date]],Sold[TYPE],"*Federal*")</f>
        <v/>
      </c>
      <c r="X4" s="49">
        <f>AVERAGEIFS(Sold[SOLD CAP],Sold[DATE],"&gt;"&amp;EDATE(Charts[[#This Row],[Date]],-12),Sold[DATE],"&lt;="&amp;Charts[[#This Row],[Date]],Sold[TYPE],"*State*")</f>
        <v/>
      </c>
      <c r="Y4" s="49">
        <f>IFERROR(AVERAGEIFS(Sold[SOLD CAP],Sold[DATE],"&gt;"&amp;EDATE(Charts[[#This Row],[Date]],-12),Sold[DATE],"&lt;="&amp;Charts[[#This Row],[Date]],Sold[TYPE],"*Municipal*"),Y9)</f>
        <v/>
      </c>
      <c r="Z4" s="177">
        <f>COUNTIFS(Sold[Type2],"*Private*",Sold[DATE],"&gt;"&amp;EDATE(Charts[[#This Row],[Date]],-12),Sold[DATE],"&lt;="&amp;Charts[[#This Row],[Date]])</f>
        <v/>
      </c>
      <c r="AA4" s="177">
        <f>COUNTIFS(Sold[Type2],"*REIT*",Sold[DATE],"&gt;"&amp;EDATE(Charts[[#This Row],[Date]],-12),Sold[DATE],"&lt;="&amp;Charts[[#This Row],[Date]])</f>
        <v/>
      </c>
      <c r="AB4" s="177">
        <f>COUNTIFS(Sold[Type2],"*Cross*",Sold[DATE],"&gt;"&amp;EDATE(Charts[[#This Row],[Date]],-12),Sold[DATE],"&lt;="&amp;Charts[[#This Row],[Date]])</f>
        <v/>
      </c>
      <c r="AC4" s="177">
        <f>COUNTIFS(Sold[Type2],"*Institutional*",Sold[DATE],"&gt;"&amp;EDATE(Charts[[#This Row],[Date]],-12),Sold[DATE],"&lt;="&amp;Charts[[#This Row],[Date]])</f>
        <v/>
      </c>
      <c r="AD4" s="177">
        <f>AVERAGEIFS(Sold[DOM],Sold[DATE],"&gt;"&amp;EDATE(Charts[[#This Row],[Date]],-12),Sold[DATE],"&lt;="&amp;Charts[[#This Row],[Date]])</f>
        <v/>
      </c>
      <c r="AE4" s="321">
        <f>AVERAGEIFS(Sold[% of Int Ach],Sold[DATE],"&lt;="&amp;C4,Sold[DATE],"&gt;"&amp;EDATE(Charts[[#This Row],[Date]],-12))</f>
        <v/>
      </c>
      <c r="AF4" s="49">
        <f>AVERAGEIFS(Sold[LAST CAP],Sold[DATE],"&lt;="&amp;Charts[[#This Row],[Date]],Sold[DATE],"&gt;"&amp;EDATE(Charts[[#This Row],[Date]],-12))</f>
        <v/>
      </c>
      <c r="AG4" s="49">
        <f>AVERAGEIFS(Sold[BID-ASK SPREAD],Sold[DATE],"&lt;="&amp;Charts[[#This Row],[Date]],Sold[DATE],"&gt;"&amp;EDATE(Charts[[#This Row],[Date]],-12))</f>
        <v/>
      </c>
      <c r="AH4" s="49" t="n">
        <v>0.04177</v>
      </c>
      <c r="AI4" s="49">
        <f>PMT((Charts[[#This Row],[10-Year Treasury Yield]]+0.018)/12,360,-1,0)*12</f>
        <v/>
      </c>
      <c r="AJ4" s="49">
        <f>PMT((Charts[[#This Row],[10-Year Treasury Yield]]+0.022)/12,360,-1,0)*12</f>
        <v/>
      </c>
      <c r="AK4" s="321">
        <f>COUNTIFS(Sold[PRICE CHG],"*Yes*",Sold[DATE],"&gt;"&amp;EDATE(Charts[[#This Row],[Date]],-12),Sold[DATE],"&lt;="&amp;Charts[[#This Row],[Date]])/COUNTIFS(Sold[DOM],"&lt;&gt;",Sold[DATE],"&gt;"&amp;EDATE(Charts[[#This Row],[Date]],-12),Sold[DATE],"&lt;="&amp;Charts[[#This Row],[Date]])</f>
        <v/>
      </c>
      <c r="AL4" s="49">
        <f>AVERAGEIFS(Sold[LAST CAP],Sold[DATE],"&gt;"&amp;EDATE(Charts[[#This Row],[Date]],-12),Sold[DATE],"&lt;="&amp;Charts[[#This Row],[Date]],Sold[FIRM],"&gt;="&amp;7.5)</f>
        <v/>
      </c>
      <c r="AM4" s="49">
        <f>COUNTIFS(Sold[PRICE CHG],"*Yes*",Sold[DATE],"&gt;"&amp;EDATE(Charts[[#This Row],[Date]],-12),Sold[DATE],"&lt;="&amp;Charts[[#This Row],[Date]],Sold[FIRM],"&gt;="&amp;7.5)/COUNTIFS(Sold[DOM],"&lt;&gt;",Sold[DATE],"&gt;"&amp;EDATE(Charts[[#This Row],[Date]],-12),Sold[DATE],"&lt;="&amp;Charts[[#This Row],[Date]],Sold[FIRM],"&gt;="&amp;7.5)</f>
        <v/>
      </c>
      <c r="AN4" s="177">
        <f>COUNTIFS(Ownership[COM],"&gt;"&amp;EDATE(Charts[[#This Row],[Date]],-12),Ownership[COM],"&lt;="&amp;Charts[[#This Row],[Date]],Ownership[Last],"New")</f>
        <v/>
      </c>
      <c r="AO4" s="177">
        <f>(COUNTIFS(Ownership[COM],"&gt;"&amp;EDATE(Charts[[#This Row],[Date]],-12),Ownership[COM],"&lt;="&amp;Charts[[#This Row],[Date]],Ownership[Last],"*replacing*"))+(COUNTIFS(Ownership[COM],"&gt;"&amp;EDATE(Charts[[#This Row],[Date]],-12),Ownership[COM],"&lt;="&amp;Charts[[#This Row],[Date]],Ownership[Last],"*renew*"))+(COUNTIFS(Ownership[COM],"&gt;"&amp;EDATE(Charts[[#This Row],[Date]],-12),Ownership[COM],"&lt;="&amp;Charts[[#This Row],[Date]],Ownership[Last],"*exten*"))</f>
        <v/>
      </c>
      <c r="AP4" s="177">
        <f>(COUNTIFS(Ownership[COM],"&gt;"&amp;EDATE(Charts[[#This Row],[Date]],-12),Ownership[COM],"&lt;="&amp;Charts[[#This Row],[Date]],Ownership[Last],"*succeed*"))+(COUNTIFS(Ownership[COM],"&gt;"&amp;EDATE(Charts[[#This Row],[Date]],-12),Ownership[COM],"&lt;="&amp;Charts[[#This Row],[Date]],Ownership[Last],"*superse*"))</f>
        <v/>
      </c>
      <c r="AQ4" s="177">
        <f>-COUNTIFS(Ownership[EXP],"&lt;="&amp;Charts[[#This Row],[Date]],Ownership[EXP],"&gt;"&amp;EDATE(Charts[[#This Row],[Date]],-12),Ownership[NEW],"#N/A")</f>
        <v/>
      </c>
      <c r="AR4" s="177">
        <f>Charts[[#This Row],[Expired Leases (ttm)]]+COUNTIFS(Ownership[EXP],"&lt;="&amp;Charts[[#This Row],[Date]],Ownership[EXP],"&gt;"&amp;EDATE(Charts[[#This Row],[Date]],-12),Ownership[NEW],"#N/A",Ownership[TERMN],"&lt;="&amp;EDATE(Charts[[#This Row],[Date]],-12))</f>
        <v/>
      </c>
      <c r="AS4" s="177">
        <f>Charts[[#This Row],[First Generation Lease Commencements (ttm)]]+Charts[[#This Row],[Renewed Leases (ttm)]]+Charts[[#This Row],[Succeeding/Superseding Leases (ttm)]]+Charts[[#This Row],[Expired Leases (ttm)]]+Charts[[#This Row],[Terminated Leases (ttm)]]</f>
        <v/>
      </c>
      <c r="AT4" s="177">
        <f>(COUNTIFS(Ownership[EXP],"&gt;="&amp;Charts[[#This Row],[Date]],Ownership[COM],"&lt;="&amp;Charts[[#This Row],[Date]],Ownership[NEW],"&lt;&gt;*#N/A*"))</f>
        <v/>
      </c>
      <c r="AU4" s="177">
        <f>COUNTIFS(Ownership[RENEWED],"*Yes*",Ownership[Date],"&gt;"&amp;EDATE(Charts[[#This Row],[Date]],-12),Ownership[Date],"&lt;="&amp;Charts[[#This Row],[Date]])</f>
        <v/>
      </c>
      <c r="AV4" s="177">
        <f>COUNTIFS(Ownership[RENEWED],"*Reduced*",Ownership[Date],"&gt;"&amp;EDATE(Charts[[#This Row],[Date]],-12),Ownership[Date],"&lt;="&amp;Charts[[#This Row],[Date]])</f>
        <v/>
      </c>
      <c r="AW4" s="177">
        <f>COUNTIFS(Ownership[RENEWED],"*No*",Ownership[Date],"&gt;"&amp;EDATE(Charts[[#This Row],[Date]],-12),Ownership[Date],"&lt;="&amp;Charts[[#This Row],[Date]])</f>
        <v/>
      </c>
      <c r="AX4" s="46">
        <f>SUM(Charts[[#This Row],[Leases Extended (ttm)]:[Leases Expired (ttm)]])</f>
        <v/>
      </c>
      <c r="AY4" s="46">
        <f>Charts[[#This Row],[Total Current Leases (ttm)]]-Charts[[#This Row],[Leases Outside Firm (ttm)]]</f>
        <v/>
      </c>
      <c r="AZ4" s="177">
        <f>COUNTIFS(Ownership[TERMN],"&lt;"&amp;C4,Ownership[EXP],"&gt;"&amp;C4)</f>
        <v/>
      </c>
      <c r="BA4" s="321">
        <f>-Charts[[#This Row],[Terminated Leases (ttm)]]/Charts[[#This Row],[Leases Outside Firm (ttm)]]</f>
        <v/>
      </c>
      <c r="BB4" s="322">
        <f>AVERAGEIFS(Ownership[FUTURE/SF],Ownership[FUTURE/SF],"&lt;&gt;"&amp;0,Ownership[EXP],"&gt;="&amp;EDATE(Charts[[#This Row],[Date]],-12),Ownership[EXP],"&lt;="&amp;Charts[[#This Row],[Date]])</f>
        <v/>
      </c>
      <c r="BC4" s="49">
        <f t="array" ref="BC4">PERCENTILE(IF(Ownership[EXP]&gt;EDATE(Charts[[#This Row],[Date]],-12),IF(Ownership[EXP]&lt;=Charts[[#This Row],[Date]],IF(Ownership[CAGR]&lt;&gt;0,Ownership[CAGR]))),0.75)</f>
        <v/>
      </c>
      <c r="BD4" s="49">
        <f t="array" ref="BD4">PERCENTILE(IF(Ownership[EXP]&gt;EDATE(Charts[[#This Row],[Date]],-12),IF(Ownership[EXP]&lt;=Charts[[#This Row],[Date]],IF(Ownership[CAGR]&lt;&gt;0,Ownership[CAGR]))),0.25)</f>
        <v/>
      </c>
      <c r="BE4" s="49">
        <f>AVERAGEIFS(Ownership[CAGR],Ownership[CAGR],"&lt;&gt;"&amp;0,Ownership[EXP],"&gt;="&amp;EDATE(Charts[[#This Row],[Date]],-12),Ownership[EXP],"&lt;="&amp;Charts[[#This Row],[Date]],Ownership[Term],"&gt;="&amp;3)</f>
        <v/>
      </c>
      <c r="BF4" s="323">
        <f>AVERAGEIFS(Ownership[Tenure at Com],Ownership[COM],"&gt;"&amp;EDATE(Charts[[#This Row],[Date]],-12),Ownership[COM],"&lt;="&amp;Charts[[#This Row],[Date]])</f>
        <v/>
      </c>
      <c r="BG4" s="323">
        <f>AVERAGEIFS(Ownership[Term],Ownership[COM],"&gt;"&amp;EDATE(Charts[[#This Row],[Date]],-12),Ownership[COM],"&lt;="&amp;Charts[[#This Row],[Date]])</f>
        <v/>
      </c>
      <c r="BH4" s="323">
        <f>AVERAGEIFS(Ownership['#ofRenewals],Ownership[COM],"&lt;="&amp;Charts[[#This Row],[Date]],Ownership[COM],"&gt;"&amp;EDATE(Charts[[#This Row],[Date]],-12))</f>
        <v/>
      </c>
      <c r="BI4" s="322">
        <f>AVERAGE(AVERAGEIFS(Ownership[GROSS/SF],Ownership[EXP],"&lt;="&amp;Charts[[#This Row],[Date]],Ownership[Term],"&gt;="&amp;0),AVERAGEIFS(Sold[GROSS/SF],Sold[EXP],"&lt;="&amp;Charts[[#This Row],[Date]],Sold[TERM],"&gt;="&amp;0))</f>
        <v/>
      </c>
      <c r="BJ4" s="323">
        <f>(Charts[[#This Row],[Avg. Rent]]-Charts[[#This Row],[Expenses PSF (ttm)]])/Charts[[#This Row],[Average Cap Rate (ttm)]]</f>
        <v/>
      </c>
      <c r="BK4" s="321">
        <f>(Charts[[#This Row],[Valuation Index]]-BJ16)/BJ16</f>
        <v/>
      </c>
      <c r="BL4" s="322">
        <f>AVERAGEIFS(Sold[GROSS/SF],Sold[DATE],"&lt;="&amp;Charts[[#This Row],[Date]],Sold[DATE],"&gt;"&amp;EDATE(Charts[[#This Row],[Date]],-12),Sold[GROSS/SF],"&lt;&gt;"&amp;0,Sold[NET/SF],"&lt;&gt;"&amp;0)-AVERAGEIFS(Sold[NET/SF],Sold[DATE],"&lt;="&amp;Charts[[#This Row],[Date]],Sold[DATE],"&gt;"&amp;EDATE(Charts[[#This Row],[Date]],-12),Sold[GROSS/SF],"&lt;&gt;"&amp;0,Sold[NET/SF],"&lt;&gt;"&amp;0)</f>
        <v/>
      </c>
      <c r="BM4" s="49">
        <f>(Charts[[#This Row],[Lower Quartile Cap Rate (ttm)]]*0.25)+(Charts[[#This Row],[Average Cap Rate (ttm)]]*0.5)+(Charts[[#This Row],[Upper Quartile Cap Rate (ttm)]]*0.25)</f>
        <v/>
      </c>
      <c r="BN4" s="49">
        <f>(1-((1/Charts[[#This Row],[Cash Return Index]])*0.5)*AVERAGE(Charts[[#This Row],[Low Assumed Loan Constant]:[High Assumed Loan Constant]]))/((1/Charts[[#This Row],[Cash Return Index]])*0.5)</f>
        <v/>
      </c>
      <c r="BO4" s="49" t="n"/>
    </row>
    <row r="147" ht="15.75" customHeight="1" s="59" thickBot="1"/>
    <row r="152" ht="15.75" customHeight="1" s="59" thickBot="1"/>
    <row r="156" ht="15.75" customHeight="1" s="59" thickBot="1"/>
    <row r="182" ht="15.75" customHeight="1" s="59" thickBot="1"/>
    <row r="191" ht="15.75" customHeight="1" s="59" thickBot="1"/>
  </sheetData>
  <mergeCells count="1">
    <mergeCell ref="CE371:CF371"/>
  </mergeCells>
  <pageMargins left="0.7" right="0.7" top="0.75" bottom="0.75" header="0.3" footer="0.3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M4"/>
  <sheetViews>
    <sheetView topLeftCell="BB1" workbookViewId="0">
      <selection activeCell="A1" sqref="A1"/>
    </sheetView>
  </sheetViews>
  <sheetFormatPr baseColWidth="8" defaultRowHeight="15"/>
  <cols>
    <col width="9.140625" customWidth="1" style="324" min="1" max="1"/>
    <col width="10" customWidth="1" style="324" min="2" max="2"/>
    <col width="9.140625" customWidth="1" style="324" min="3" max="3"/>
    <col width="9.28515625" customWidth="1" style="324" min="4" max="4"/>
    <col width="11.28515625" customWidth="1" style="324" min="5" max="5"/>
    <col width="10.7109375" customWidth="1" style="324" min="6" max="8"/>
    <col width="9.28515625" customWidth="1" style="324" min="9" max="27"/>
    <col width="9.28515625" customWidth="1" style="325" min="28" max="34"/>
    <col width="9.28515625" customWidth="1" style="324" min="35" max="51"/>
    <col width="9.140625" customWidth="1" style="324" min="52" max="57"/>
    <col width="10" bestFit="1" customWidth="1" style="324" min="58" max="58"/>
    <col width="11.42578125" customWidth="1" style="324" min="59" max="59"/>
    <col width="10" bestFit="1" customWidth="1" style="324" min="60" max="61"/>
    <col width="12.5703125" customWidth="1" style="324" min="62" max="62"/>
    <col width="10.85546875" customWidth="1" style="324" min="63" max="63"/>
    <col width="9.140625" customWidth="1" style="324" min="64" max="16384"/>
  </cols>
  <sheetData>
    <row r="1">
      <c r="D1" s="326">
        <f>AVERAGE(SSACharts[Transactions (ttm)])</f>
        <v/>
      </c>
    </row>
    <row r="2">
      <c r="B2" s="327" t="inlineStr">
        <is>
          <t>Quarter</t>
        </is>
      </c>
      <c r="C2" s="328" t="inlineStr">
        <is>
          <t>Date</t>
        </is>
      </c>
      <c r="D2" s="328" t="inlineStr">
        <is>
          <t>Transactions (ttm)</t>
        </is>
      </c>
      <c r="E2" s="328" t="inlineStr">
        <is>
          <t>Average Deal Size (ttm)</t>
        </is>
      </c>
      <c r="F2" s="328" t="inlineStr">
        <is>
          <t>Monthly Volume</t>
        </is>
      </c>
      <c r="G2" s="328" t="inlineStr">
        <is>
          <t>Transaction Volume (ttm)</t>
        </is>
      </c>
      <c r="H2" s="328" t="inlineStr">
        <is>
          <t>Trans. Vol. (ttm)</t>
        </is>
      </c>
      <c r="I2" s="328" t="inlineStr">
        <is>
          <t>y-o-y Change (%)</t>
        </is>
      </c>
      <c r="J2" s="328" t="inlineStr">
        <is>
          <t>Upper Quartile Cap Rate (ttm)</t>
        </is>
      </c>
      <c r="K2" s="328" t="inlineStr">
        <is>
          <t>Lower Quartile Cap Rate (ttm)</t>
        </is>
      </c>
      <c r="L2" s="328" t="inlineStr">
        <is>
          <t>Average Cap Rate (ttm)</t>
        </is>
      </c>
      <c r="M2" s="328" t="inlineStr">
        <is>
          <t>SJC Average Cap (ttm)</t>
        </is>
      </c>
      <c r="N2" s="328" t="inlineStr">
        <is>
          <t>Non-SJC Average Cap (ttm)</t>
        </is>
      </c>
      <c r="O2" s="328" t="inlineStr">
        <is>
          <t>3+ Year Cap (ttm)</t>
        </is>
      </c>
      <c r="P2" s="328" t="inlineStr">
        <is>
          <t>0 to 3 Year Cap (ttm)</t>
        </is>
      </c>
      <c r="Q2" s="328" t="inlineStr">
        <is>
          <t>2.5 to 5 Year Cap (ttm)</t>
        </is>
      </c>
      <c r="R2" s="328" t="inlineStr">
        <is>
          <t>Less than 2.5 Year Cap (ttm)</t>
        </is>
      </c>
      <c r="S2" s="328" t="inlineStr">
        <is>
          <t>Outside Firm Term (ttm)</t>
        </is>
      </c>
      <c r="T2" s="328" t="inlineStr">
        <is>
          <t>Private Volume (ttm)</t>
        </is>
      </c>
      <c r="U2" s="328" t="inlineStr">
        <is>
          <t>Public Listed/REIT Volume (ttm)</t>
        </is>
      </c>
      <c r="V2" s="328" t="inlineStr">
        <is>
          <t>Cross-Border Volume (ttm)</t>
        </is>
      </c>
      <c r="W2" s="328" t="inlineStr">
        <is>
          <t>Institutional Volume (ttm)</t>
        </is>
      </c>
      <c r="X2" s="328" t="inlineStr">
        <is>
          <t>Private Count (ttm)</t>
        </is>
      </c>
      <c r="Y2" s="328" t="inlineStr">
        <is>
          <t>Public Listed/REIT Count (ttm)</t>
        </is>
      </c>
      <c r="Z2" s="328" t="inlineStr">
        <is>
          <t>Cross-Border Count (ttm)</t>
        </is>
      </c>
      <c r="AA2" s="328" t="inlineStr">
        <is>
          <t>Institutional Count (ttm)</t>
        </is>
      </c>
      <c r="AB2" s="329" t="inlineStr">
        <is>
          <t>DOM</t>
        </is>
      </c>
      <c r="AC2" s="329" t="inlineStr">
        <is>
          <t>% of Ask</t>
        </is>
      </c>
      <c r="AD2" s="329" t="inlineStr">
        <is>
          <t>Last Ask</t>
        </is>
      </c>
      <c r="AE2" s="329" t="inlineStr">
        <is>
          <t>Bid-Ask Spread</t>
        </is>
      </c>
      <c r="AF2" s="329" t="inlineStr">
        <is>
          <t>10-Year Treasury Yield</t>
        </is>
      </c>
      <c r="AG2" s="329" t="inlineStr">
        <is>
          <t>Low Assumed Loan Constant</t>
        </is>
      </c>
      <c r="AH2" s="329" t="inlineStr">
        <is>
          <t>High Assumed Loan Constant</t>
        </is>
      </c>
      <c r="AI2" s="328" t="inlineStr">
        <is>
          <t>Price Change (ttm)</t>
        </is>
      </c>
      <c r="AJ2" s="328" t="inlineStr">
        <is>
          <t>3+ Year Firm Ask (ttm)</t>
        </is>
      </c>
      <c r="AK2" s="328" t="inlineStr">
        <is>
          <t>3+ Year Firm Price Change (ttm)</t>
        </is>
      </c>
      <c r="AL2" s="328" t="inlineStr">
        <is>
          <t>First Generation Lease Commencements (ttm)</t>
        </is>
      </c>
      <c r="AM2" s="328" t="inlineStr">
        <is>
          <t>Renewed Leases (ttm)</t>
        </is>
      </c>
      <c r="AN2" s="328" t="inlineStr">
        <is>
          <t>Succeeding/Superseding Leases (ttm)</t>
        </is>
      </c>
      <c r="AO2" s="328" t="inlineStr">
        <is>
          <t>Expired Leases (ttm)</t>
        </is>
      </c>
      <c r="AP2" s="328" t="inlineStr">
        <is>
          <t>Terminated Leases (ttm)</t>
        </is>
      </c>
      <c r="AQ2" s="328" t="inlineStr">
        <is>
          <t>Net Change (ttm)</t>
        </is>
      </c>
      <c r="AR2" s="328" t="inlineStr">
        <is>
          <t>Total Current Leases (ttm)</t>
        </is>
      </c>
      <c r="AS2" s="328" t="inlineStr">
        <is>
          <t>Leases Extended (ttm)</t>
        </is>
      </c>
      <c r="AT2" s="328" t="inlineStr">
        <is>
          <t>Footprint Reduced (ttm)</t>
        </is>
      </c>
      <c r="AU2" s="328" t="inlineStr">
        <is>
          <t>Leases Expired (ttm)</t>
        </is>
      </c>
      <c r="AV2" s="328" t="inlineStr">
        <is>
          <t>Leases Up for Renewal (ttm)</t>
        </is>
      </c>
      <c r="AW2" s="328" t="inlineStr">
        <is>
          <t>Leases In Firm Term (ttm)</t>
        </is>
      </c>
      <c r="AX2" s="328" t="inlineStr">
        <is>
          <t>Leases Outside Firm (ttm)</t>
        </is>
      </c>
      <c r="AY2" s="330" t="inlineStr">
        <is>
          <t>Leases Terminated (ttm)</t>
        </is>
      </c>
    </row>
    <row r="3">
      <c r="B3" s="324" t="inlineStr">
        <is>
          <t>Q4-2022</t>
        </is>
      </c>
      <c r="C3" s="324" t="n">
        <v>44926</v>
      </c>
      <c r="D3" s="189">
        <f>COUNTIFS(Sold[DATE],"&gt;"&amp;EDATE(SSACharts[[#This Row],[Date]],-12),Sold[DATE],"&lt;="&amp;SSACharts[[#This Row],[Date]],Sold[AGENCY],"*SSA*")</f>
        <v/>
      </c>
      <c r="E3" s="331">
        <f>AVERAGEIFS(Sold[SOLD PRICE],Sold[DATE],"&gt;"&amp;EDATE(SSACharts[[#This Row],[Date]],-12),Sold[DATE],"&lt;="&amp;SSACharts[[#This Row],[Date]],Sold[AGENCY],"*ssa*",Sold[SOLD PRICE],"&lt;"&amp;25000000)</f>
        <v/>
      </c>
      <c r="F3" s="332">
        <f>SUMIFS(Sold[SOLD PRICE],Sold[DATE],"&gt;"&amp;EDATE(SSACharts[[#This Row],[Date]],-1),Sold[DATE],"&lt;="&amp;SSACharts[[#This Row],[Date]],Sold[AGENCY],"*ssa*")</f>
        <v/>
      </c>
      <c r="G3" s="332">
        <f>SUMIFS(Sold[SOLD PRICE],Sold[DATE],"&gt;"&amp;EDATE(SSACharts[[#This Row],[Date]],-12),Sold[DATE],"&lt;="&amp;SSACharts[[#This Row],[Date]],Sold[AGENCY],"*ssa*")</f>
        <v/>
      </c>
      <c r="H3" s="332">
        <f>SSACharts[[#This Row],[Transactions (ttm)]]*SSACharts[[#This Row],[Average Deal Size (ttm)]]</f>
        <v/>
      </c>
      <c r="I3" s="205">
        <f>(SSACharts[[#This Row],[Trans. Vol. (ttm)]]-H14)/H14</f>
        <v/>
      </c>
      <c r="J3" s="191">
        <f t="array" ref="J3">PERCENTILE(IF(Sold[DATE]&gt;EDATE(SSACharts[[#This Row],[Date]],-12),IF(Sold[DATE]&lt;=SSACharts[[#This Row],[Date]],IF(Sold[SOLD CAP]&lt;&gt;"",IF(Sold[AGENCY]="ssa",Sold[SOLD CAP])))),0.75)</f>
        <v/>
      </c>
      <c r="K3" s="191">
        <f t="array" ref="K3">PERCENTILE(IF(Sold[DATE]&gt;EDATE(SSACharts[[#This Row],[Date]],-12),IF(Sold[DATE]&lt;=SSACharts[[#This Row],[Date]],IF(Sold[SOLD CAP]&lt;&gt;"",IF(Sold[AGENCY]="ssa",Sold[SOLD CAP])))),0.25)</f>
        <v/>
      </c>
      <c r="L3" s="191">
        <f>AVERAGEIFS(Sold[SOLD CAP],Sold[DATE],"&gt;"&amp;EDATE(SSACharts[[#This Row],[Date]],-12),Sold[DATE],"&lt;="&amp;SSACharts[[#This Row],[Date]],Sold[AGENCY],"*ssa*")</f>
        <v/>
      </c>
      <c r="M3" s="192">
        <f>IFERROR(AVERAGE(AVERAGEIFS(Sold[SOLD CAP],Sold[DATE],"&gt;"&amp;EDATE(SSACharts[[#This Row],[Date]],-12),Sold[DATE],"&lt;="&amp;SSACharts[[#This Row],[Date]],Sold[L. BROKER],"*sjc*",Sold[AGENCY],"*ssa*"),IFERROR(AVERAGEIFS(Sold[SOLD CAP],Sold[DATE],"&gt;"&amp;EDATE(SSACharts[[#This Row],[Date]],-12),Sold[DATE],"&lt;="&amp;SSACharts[[#This Row],[Date]],Sold[P. BROKER],"*sjc*",Sold[AGENCY],"*ssa*"),M2)),M2)</f>
        <v/>
      </c>
      <c r="N3" s="191">
        <f>IFERROR(AVERAGEIFS(Sold[SOLD CAP],Sold[L. BROKER],"&lt;&gt;*sjc*",Sold[L. BROKER],"&lt;&gt;0",Sold[P. BROKER],"&lt;&gt;*sjc*",Sold[DATE],"&gt;"&amp;EDATE(SSACharts[[#This Row],[Date]],-12),Sold[DATE],"&lt;="&amp;SSACharts[[#This Row],[Date]],Sold[AGENCY],"*ssa*",Sold[SOLD PRICE],"&lt;="&amp;10000000),N2)</f>
        <v/>
      </c>
      <c r="O3" s="192">
        <f>IFERROR(AVERAGEIFS(Sold[SOLD CAP],Sold[FIRM],"&gt;="&amp;3,Sold[DATE],"&gt;"&amp;EDATE(SSACharts[[#This Row],[Date]],-12),Sold[DATE],"&lt;="&amp;SSACharts[[#This Row],[Date]],Sold[AGENCY],"*ssa*"),O2)</f>
        <v/>
      </c>
      <c r="P3" s="192">
        <f>IFERROR(AVERAGEIFS(Sold[SOLD CAP],Sold[FIRM],"&gt;="&amp;0,Sold[FIRM],"&lt;"&amp;3,Sold[DATE],"&gt;"&amp;EDATE(SSACharts[[#This Row],[Date]],-12),Sold[DATE],"&lt;="&amp;SSACharts[[#This Row],[Date]],Sold[AGENCY],"*ssa*"),P2)</f>
        <v/>
      </c>
      <c r="Q3" s="191">
        <f>IFERROR(AVERAGEIFS(Sold[SOLD CAP],Sold[FIRM],"&gt;="&amp;2.5,Sold[FIRM],"&lt;"&amp;5,Sold[DATE],"&gt;"&amp;EDATE(SSACharts[[#This Row],[Date]],-12),Sold[DATE],"&lt;="&amp;SSACharts[[#This Row],[Date]],Sold[AGENCY],"*ssa*"),Q2)</f>
        <v/>
      </c>
      <c r="R3" s="191">
        <f>IFERROR(AVERAGEIFS(Sold[SOLD CAP],Sold[FIRM],"&lt;"&amp;2.5,Sold[FIRM],"&gt;="&amp;0,Sold[DATE],"&gt;"&amp;EDATE(SSACharts[[#This Row],[Date]],-12),Sold[DATE],"&lt;="&amp;SSACharts[[#This Row],[Date]],Sold[AGENCY],"*ssa*"),R2)</f>
        <v/>
      </c>
      <c r="S3" s="191">
        <f>IFERROR(AVERAGEIFS(Sold[SOLD CAP],Sold[FIRM],"&lt;"&amp;0,Sold[FIRM],"&lt;&gt;"&amp;" ",Sold[DATE],"&gt;"&amp;EDATE(SSACharts[[#This Row],[Date]],-12),Sold[DATE],"&lt;="&amp;SSACharts[[#This Row],[Date]],Sold[AGENCY],"*ssa*"),R2)</f>
        <v/>
      </c>
      <c r="AB3" s="200">
        <f>IFERROR(AVERAGEIFS(Sold[DOM],Sold[DATE],"&gt;"&amp;EDATE(SSACharts[[#This Row],[Date]],-12),Sold[DATE],"&lt;="&amp;SSACharts[[#This Row],[Date]],Sold[AGENCY],"*ssa*"),AB2)</f>
        <v/>
      </c>
      <c r="AC3" s="333">
        <f>IFERROR(AVERAGEIFS(Sold[% of Int Ach],Sold[DATE],"&lt;="&amp;C3,Sold[DATE],"&gt;"&amp;EDATE(SSACharts[[#This Row],[Date]],-12),Sold[AGENCY],"*ssa*"),AC2)</f>
        <v/>
      </c>
      <c r="AD3" s="192">
        <f>IFERROR(AVERAGEIFS(Sold[LAST CAP],Sold[DATE],"&lt;="&amp;SSACharts[[#This Row],[Date]],Sold[DATE],"&gt;"&amp;EDATE(SSACharts[[#This Row],[Date]],-12),Sold[AGENCY],"*ssa*"),AD2)</f>
        <v/>
      </c>
      <c r="AE3" s="192">
        <f>IFERROR(AVERAGEIFS(Sold[BID-ASK SPREAD],Sold[DATE],"&lt;="&amp;SSACharts[[#This Row],[Date]],Sold[DATE],"&gt;"&amp;EDATE(SSACharts[[#This Row],[Date]],-12),Sold[AGENCY],"*ssa*"),AE2)</f>
        <v/>
      </c>
      <c r="AF3" s="192" t="n">
        <v>0.0353</v>
      </c>
      <c r="AG3" s="192">
        <f>PMT((SSACharts[[#This Row],[10-Year Treasury Yield]]+0.018)/12,360,-1,0)*12</f>
        <v/>
      </c>
      <c r="AH3" s="192">
        <f>PMT((SSACharts[[#This Row],[10-Year Treasury Yield]]+0.022)/12,360,-1,0)*12</f>
        <v/>
      </c>
      <c r="AI3" s="333">
        <f>IFERROR(COUNTIFS(Sold[PRICE CHG],"*Yes*",Sold[DATE],"&gt;"&amp;EDATE(SSACharts[[#This Row],[Date]],-12),Sold[DATE],"&lt;="&amp;SSACharts[[#This Row],[Date]],Sold[AGENCY],"*ssa*")/COUNTIFS(Sold[DOM],"&lt;&gt;",Sold[DATE],"&gt;"&amp;EDATE(SSACharts[[#This Row],[Date]],-12),Sold[DATE],"&lt;="&amp;SSACharts[[#This Row],[Date]],Sold[AGENCY],"*ssa*"),AI2)</f>
        <v/>
      </c>
      <c r="AJ3" s="192">
        <f>IFERROR(AVERAGEIFS(Sold[LAST CAP],Sold[DATE],"&gt;"&amp;EDATE(SSACharts[[#This Row],[Date]],-12),Sold[DATE],"&lt;="&amp;SSACharts[[#This Row],[Date]],Sold[FIRM],"&gt;="&amp;3,Sold[AGENCY],"*ssa*"),AJ2)</f>
        <v/>
      </c>
      <c r="AK3" s="333">
        <f>IFERROR(COUNTIFS(Sold[PRICE CHG],"*Yes*",Sold[DATE],"&gt;"&amp;EDATE(SSACharts[[#This Row],[Date]],-12),Sold[DATE],"&lt;="&amp;SSACharts[[#This Row],[Date]],Sold[FIRM],"&gt;="&amp;3,Sold[AGENCY],"*ssa*")/COUNTIFS(Sold[DOM],"&lt;&gt;",Sold[DATE],"&gt;"&amp;EDATE(SSACharts[[#This Row],[Date]],-12),Sold[DATE],"&lt;="&amp;SSACharts[[#This Row],[Date]],Sold[FIRM],"&gt;="&amp;3,Sold[AGENCY],"*ssa*"),AK2)</f>
        <v/>
      </c>
      <c r="BD3" s="334" t="inlineStr">
        <is>
          <t>5 - GOVT COUNT &amp; DEAL SIZE CHART</t>
        </is>
      </c>
      <c r="BE3" s="318" t="n"/>
      <c r="BF3" s="318" t="n"/>
      <c r="BG3" s="318" t="n"/>
      <c r="BH3" s="318" t="n"/>
      <c r="BI3" s="335" t="n"/>
      <c r="BJ3" s="335" t="n"/>
      <c r="BK3" s="318" t="n"/>
      <c r="BL3" s="318" t="n"/>
      <c r="BM3" s="318" t="n"/>
    </row>
    <row r="4" ht="15.75" customHeight="1" s="59" thickBot="1">
      <c r="C4" s="324" t="n">
        <v>44895</v>
      </c>
      <c r="D4" s="189">
        <f>COUNTIFS(Sold[DATE],"&gt;"&amp;EDATE(SSACharts[[#This Row],[Date]],-12),Sold[DATE],"&lt;="&amp;SSACharts[[#This Row],[Date]],Sold[AGENCY],"*SSA*")</f>
        <v/>
      </c>
      <c r="E4" s="331">
        <f>AVERAGEIFS(Sold[SOLD PRICE],Sold[DATE],"&gt;"&amp;EDATE(SSACharts[[#This Row],[Date]],-12),Sold[DATE],"&lt;="&amp;SSACharts[[#This Row],[Date]],Sold[AGENCY],"*ssa*",Sold[SOLD PRICE],"&lt;"&amp;25000000)</f>
        <v/>
      </c>
      <c r="F4" s="332">
        <f>SUMIFS(Sold[SOLD PRICE],Sold[DATE],"&gt;"&amp;EDATE(SSACharts[[#This Row],[Date]],-1),Sold[DATE],"&lt;="&amp;SSACharts[[#This Row],[Date]],Sold[AGENCY],"*ssa*")</f>
        <v/>
      </c>
      <c r="G4" s="332">
        <f>SUMIFS(Sold[SOLD PRICE],Sold[DATE],"&gt;"&amp;EDATE(SSACharts[[#This Row],[Date]],-12),Sold[DATE],"&lt;="&amp;SSACharts[[#This Row],[Date]],Sold[AGENCY],"*ssa*")</f>
        <v/>
      </c>
      <c r="H4" s="332">
        <f>SSACharts[[#This Row],[Transactions (ttm)]]*SSACharts[[#This Row],[Average Deal Size (ttm)]]</f>
        <v/>
      </c>
      <c r="I4" s="205">
        <f>(SSACharts[[#This Row],[Trans. Vol. (ttm)]]-H15)/H15</f>
        <v/>
      </c>
      <c r="J4" s="191">
        <f t="array" ref="J4">PERCENTILE(IF(Sold[DATE]&gt;EDATE(SSACharts[[#This Row],[Date]],-12),IF(Sold[DATE]&lt;=SSACharts[[#This Row],[Date]],IF(Sold[SOLD CAP]&lt;&gt;"",IF(Sold[AGENCY]="ssa",Sold[SOLD CAP])))),0.75)</f>
        <v/>
      </c>
      <c r="K4" s="191">
        <f t="array" ref="K4">PERCENTILE(IF(Sold[DATE]&gt;EDATE(SSACharts[[#This Row],[Date]],-12),IF(Sold[DATE]&lt;=SSACharts[[#This Row],[Date]],IF(Sold[SOLD CAP]&lt;&gt;"",IF(Sold[AGENCY]="ssa",Sold[SOLD CAP])))),0.25)</f>
        <v/>
      </c>
      <c r="L4" s="191">
        <f>AVERAGEIFS(Sold[SOLD CAP],Sold[DATE],"&gt;"&amp;EDATE(SSACharts[[#This Row],[Date]],-12),Sold[DATE],"&lt;="&amp;SSACharts[[#This Row],[Date]],Sold[AGENCY],"*ssa*")</f>
        <v/>
      </c>
      <c r="M4" s="192">
        <f>IFERROR(AVERAGE(AVERAGEIFS(Sold[SOLD CAP],Sold[DATE],"&gt;"&amp;EDATE(SSACharts[[#This Row],[Date]],-12),Sold[DATE],"&lt;="&amp;SSACharts[[#This Row],[Date]],Sold[L. BROKER],"*sjc*",Sold[AGENCY],"*ssa*"),IFERROR(AVERAGEIFS(Sold[SOLD CAP],Sold[DATE],"&gt;"&amp;EDATE(SSACharts[[#This Row],[Date]],-12),Sold[DATE],"&lt;="&amp;SSACharts[[#This Row],[Date]],Sold[P. BROKER],"*sjc*",Sold[AGENCY],"*ssa*"),M3)),M3)</f>
        <v/>
      </c>
      <c r="N4" s="191">
        <f>IFERROR(AVERAGEIFS(Sold[SOLD CAP],Sold[L. BROKER],"&lt;&gt;*sjc*",Sold[L. BROKER],"&lt;&gt;0",Sold[P. BROKER],"&lt;&gt;*sjc*",Sold[DATE],"&gt;"&amp;EDATE(SSACharts[[#This Row],[Date]],-12),Sold[DATE],"&lt;="&amp;SSACharts[[#This Row],[Date]],Sold[AGENCY],"*ssa*",Sold[SOLD PRICE],"&lt;="&amp;10000000),N3)</f>
        <v/>
      </c>
      <c r="O4" s="192">
        <f>IFERROR(AVERAGEIFS(Sold[SOLD CAP],Sold[FIRM],"&gt;="&amp;3,Sold[DATE],"&gt;"&amp;EDATE(SSACharts[[#This Row],[Date]],-12),Sold[DATE],"&lt;="&amp;SSACharts[[#This Row],[Date]],Sold[AGENCY],"*ssa*"),O3)</f>
        <v/>
      </c>
      <c r="P4" s="192">
        <f>IFERROR(AVERAGEIFS(Sold[SOLD CAP],Sold[FIRM],"&gt;="&amp;0,Sold[FIRM],"&lt;"&amp;3,Sold[DATE],"&gt;"&amp;EDATE(SSACharts[[#This Row],[Date]],-12),Sold[DATE],"&lt;="&amp;SSACharts[[#This Row],[Date]],Sold[AGENCY],"*ssa*"),P3)</f>
        <v/>
      </c>
      <c r="Q4" s="191">
        <f>IFERROR(AVERAGEIFS(Sold[SOLD CAP],Sold[FIRM],"&gt;="&amp;2.5,Sold[FIRM],"&lt;"&amp;5,Sold[DATE],"&gt;"&amp;EDATE(SSACharts[[#This Row],[Date]],-12),Sold[DATE],"&lt;="&amp;SSACharts[[#This Row],[Date]],Sold[AGENCY],"*ssa*"),Q3)</f>
        <v/>
      </c>
      <c r="R4" s="191">
        <f>IFERROR(AVERAGEIFS(Sold[SOLD CAP],Sold[FIRM],"&lt;"&amp;2.5,Sold[FIRM],"&gt;="&amp;0,Sold[DATE],"&gt;"&amp;EDATE(SSACharts[[#This Row],[Date]],-12),Sold[DATE],"&lt;="&amp;SSACharts[[#This Row],[Date]],Sold[AGENCY],"*ssa*"),R3)</f>
        <v/>
      </c>
      <c r="S4" s="191">
        <f>IFERROR(AVERAGEIFS(Sold[SOLD CAP],Sold[FIRM],"&lt;"&amp;0,Sold[FIRM],"&lt;&gt;"&amp;" ",Sold[DATE],"&gt;"&amp;EDATE(SSACharts[[#This Row],[Date]],-12),Sold[DATE],"&lt;="&amp;SSACharts[[#This Row],[Date]],Sold[AGENCY],"*ssa*"),R3)</f>
        <v/>
      </c>
      <c r="AB4" s="200">
        <f>IFERROR(AVERAGEIFS(Sold[DOM],Sold[DATE],"&gt;"&amp;EDATE(SSACharts[[#This Row],[Date]],-12),Sold[DATE],"&lt;="&amp;SSACharts[[#This Row],[Date]],Sold[AGENCY],"*ssa*"),AB3)</f>
        <v/>
      </c>
      <c r="AC4" s="333">
        <f>IFERROR(AVERAGEIFS(Sold[% of Int Ach],Sold[DATE],"&lt;="&amp;C4,Sold[DATE],"&gt;"&amp;EDATE(SSACharts[[#This Row],[Date]],-12),Sold[AGENCY],"*ssa*"),AC3)</f>
        <v/>
      </c>
      <c r="AD4" s="192">
        <f>IFERROR(AVERAGEIFS(Sold[LAST CAP],Sold[DATE],"&lt;="&amp;SSACharts[[#This Row],[Date]],Sold[DATE],"&gt;"&amp;EDATE(SSACharts[[#This Row],[Date]],-12),Sold[AGENCY],"*ssa*"),AD3)</f>
        <v/>
      </c>
      <c r="AE4" s="192">
        <f>IFERROR(AVERAGEIFS(Sold[BID-ASK SPREAD],Sold[DATE],"&lt;="&amp;SSACharts[[#This Row],[Date]],Sold[DATE],"&gt;"&amp;EDATE(SSACharts[[#This Row],[Date]],-12),Sold[AGENCY],"*ssa*"),AE3)</f>
        <v/>
      </c>
      <c r="AF4" s="192" t="n">
        <v>0.0387</v>
      </c>
      <c r="AG4" s="192">
        <f>PMT((SSACharts[[#This Row],[10-Year Treasury Yield]]+0.018)/12,360,-1,0)*12</f>
        <v/>
      </c>
      <c r="AH4" s="192">
        <f>PMT((SSACharts[[#This Row],[10-Year Treasury Yield]]+0.022)/12,360,-1,0)*12</f>
        <v/>
      </c>
      <c r="AI4" s="333">
        <f>IFERROR(COUNTIFS(Sold[PRICE CHG],"*Yes*",Sold[DATE],"&gt;"&amp;EDATE(SSACharts[[#This Row],[Date]],-12),Sold[DATE],"&lt;="&amp;SSACharts[[#This Row],[Date]],Sold[AGENCY],"*ssa*")/COUNTIFS(Sold[DOM],"&lt;&gt;",Sold[DATE],"&gt;"&amp;EDATE(SSACharts[[#This Row],[Date]],-12),Sold[DATE],"&lt;="&amp;SSACharts[[#This Row],[Date]],Sold[AGENCY],"*ssa*"),AI3)</f>
        <v/>
      </c>
      <c r="AJ4" s="192">
        <f>IFERROR(AVERAGEIFS(Sold[LAST CAP],Sold[DATE],"&gt;"&amp;EDATE(SSACharts[[#This Row],[Date]],-12),Sold[DATE],"&lt;="&amp;SSACharts[[#This Row],[Date]],Sold[FIRM],"&gt;="&amp;3,Sold[AGENCY],"*ssa*"),AJ3)</f>
        <v/>
      </c>
      <c r="AK4" s="333">
        <f>IFERROR(COUNTIFS(Sold[PRICE CHG],"*Yes*",Sold[DATE],"&gt;"&amp;EDATE(SSACharts[[#This Row],[Date]],-12),Sold[DATE],"&lt;="&amp;SSACharts[[#This Row],[Date]],Sold[FIRM],"&gt;="&amp;3,Sold[AGENCY],"*ssa*")/COUNTIFS(Sold[DOM],"&lt;&gt;",Sold[DATE],"&gt;"&amp;EDATE(SSACharts[[#This Row],[Date]],-12),Sold[DATE],"&lt;="&amp;SSACharts[[#This Row],[Date]],Sold[FIRM],"&gt;="&amp;3,Sold[AGENCY],"*ssa*"),AK3)</f>
        <v/>
      </c>
      <c r="BD4" s="318" t="n"/>
      <c r="BE4" s="318" t="n"/>
      <c r="BF4" s="318" t="n"/>
      <c r="BG4" s="318" t="n"/>
      <c r="BH4" s="318" t="n"/>
      <c r="BI4" s="318" t="n"/>
      <c r="BJ4" s="318" t="n"/>
      <c r="BK4" s="318" t="n"/>
      <c r="BL4" s="318" t="n"/>
      <c r="BM4" s="318" t="n"/>
    </row>
    <row r="7" ht="15.75" customHeight="1" s="59" thickBot="1"/>
    <row r="38" ht="15.75" customHeight="1" s="59" thickBot="1"/>
    <row r="43" ht="15.75" customHeight="1" s="59" thickBot="1"/>
    <row r="112" ht="15.75" customHeight="1" s="59" thickBot="1"/>
    <row r="118" ht="15.75" customHeight="1" s="59" thickBot="1"/>
  </sheetData>
  <mergeCells count="1">
    <mergeCell ref="BG98:BH98"/>
  </mergeCells>
  <pageMargins left="0.7" right="0.7" top="0.75" bottom="0.75" header="0.3" footer="0.3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2:M125"/>
  <sheetViews>
    <sheetView topLeftCell="A41" workbookViewId="0">
      <selection activeCell="L111" sqref="L111"/>
    </sheetView>
  </sheetViews>
  <sheetFormatPr baseColWidth="8" defaultRowHeight="15"/>
  <cols>
    <col width="9.42578125" bestFit="1" customWidth="1" style="59" min="2" max="2"/>
    <col width="14.5703125" bestFit="1" customWidth="1" style="59" min="3" max="3"/>
    <col width="14.5703125" bestFit="1" customWidth="1" style="59" min="5" max="5"/>
    <col width="11.140625" bestFit="1" customWidth="1" style="59" min="6" max="6"/>
  </cols>
  <sheetData>
    <row r="2">
      <c r="G2" s="46">
        <f>SUM(F4:F36)/SUM(D4:D36)</f>
        <v/>
      </c>
      <c r="H2" s="336">
        <f>SUM(C4:C36)/SUM(F4:F36)</f>
        <v/>
      </c>
    </row>
    <row r="3">
      <c r="B3" t="inlineStr">
        <is>
          <t>Year Built</t>
        </is>
      </c>
      <c r="C3" t="inlineStr">
        <is>
          <t>Sum of Rent</t>
        </is>
      </c>
      <c r="D3" t="inlineStr">
        <is>
          <t>Count of Rent</t>
        </is>
      </c>
      <c r="E3" t="inlineStr">
        <is>
          <t>Average Rents</t>
        </is>
      </c>
      <c r="F3" t="inlineStr">
        <is>
          <t>Sum of RBA</t>
        </is>
      </c>
      <c r="G3" t="inlineStr">
        <is>
          <t>Average RBA</t>
        </is>
      </c>
      <c r="H3" t="inlineStr">
        <is>
          <t>Average RPSF</t>
        </is>
      </c>
      <c r="I3" t="inlineStr">
        <is>
          <t>Upper Quartile Rent</t>
        </is>
      </c>
      <c r="J3" t="inlineStr">
        <is>
          <t>Lower Quartile Rent</t>
        </is>
      </c>
      <c r="K3" t="inlineStr">
        <is>
          <t>Median Rent PSF</t>
        </is>
      </c>
    </row>
    <row r="4">
      <c r="B4" t="n">
        <v>2024</v>
      </c>
      <c r="C4" s="319">
        <f>SUMIFS(Sold[GROSS],Sold[BUILT],B4,Sold[GOV OCCP],"&gt;="&amp;0.5)+SUMIFS(Ownership[GROSS],Ownership[BUILT],B4,Ownership[OCCP],"&gt;="&amp;50)</f>
        <v/>
      </c>
      <c r="D4" s="46">
        <f>COUNTIFS(Sold[GROSS],"&gt;"&amp;0,Sold[BUILT],B4,Sold[GOV OCCP],"&gt;="&amp;0.5)+COUNTIFS(Ownership[GROSS],"&gt;"&amp;0,Ownership[BUILT],B4,Ownership[OCCP],"&gt;="&amp;50)</f>
        <v/>
      </c>
      <c r="E4" s="336">
        <f>C4/D4</f>
        <v/>
      </c>
      <c r="F4" s="46">
        <f>SUMIFS(Sold[RBA],Sold[BUILT],B4,Sold[GROSS],"&gt;"&amp;0,Sold[GOV OCCP],"&gt;="&amp;0.5)+SUMIFS(Ownership[SF LEASED],Ownership[BUILT],B4,Ownership[GROSS],"&gt;"&amp;0,Ownership[OCCP],"&gt;="&amp;50)</f>
        <v/>
      </c>
      <c r="G4" s="46">
        <f>F4/D4</f>
        <v/>
      </c>
      <c r="H4" s="336">
        <f>C4/F4</f>
        <v/>
      </c>
      <c r="I4" s="336">
        <f t="array" ref="I4">PERCENTILE(IF(Sold[BUILT]=B4,Sold[GROSS/SF]),0.75)</f>
        <v/>
      </c>
      <c r="J4" s="336">
        <f t="array" ref="J4">PERCENTILE(IF(Sold[BUILT]=B4,Sold[GROSS/SF]),0.25)</f>
        <v/>
      </c>
      <c r="K4" s="336">
        <f t="array" ref="K4">MEDIAN(IF(Sold[BUILT]=B4,Sold[GROSS/SF]))</f>
        <v/>
      </c>
      <c r="M4" s="334" t="inlineStr">
        <is>
          <t>15 - Rent by Year Built</t>
        </is>
      </c>
    </row>
    <row r="5">
      <c r="B5" t="n">
        <v>2023</v>
      </c>
      <c r="C5" s="319">
        <f>SUMIFS(Sold[GROSS],Sold[BUILT],B5,Sold[GOV OCCP],"&gt;="&amp;0.5)+SUMIFS(Ownership[GROSS],Ownership[BUILT],B5,Ownership[OCCP],"&gt;="&amp;50)</f>
        <v/>
      </c>
      <c r="D5" s="46">
        <f>COUNTIFS(Sold[GROSS],"&gt;"&amp;0,Sold[BUILT],B5,Sold[GOV OCCP],"&gt;="&amp;0.5)+COUNTIFS(Ownership[GROSS],"&gt;"&amp;0,Ownership[BUILT],B5,Ownership[OCCP],"&gt;="&amp;50)</f>
        <v/>
      </c>
      <c r="E5" s="336">
        <f>C5/D5</f>
        <v/>
      </c>
      <c r="F5" s="46">
        <f>SUMIFS(Sold[RBA],Sold[BUILT],B5,Sold[GROSS],"&gt;"&amp;0,Sold[GOV OCCP],"&gt;="&amp;0.5)+SUMIFS(Ownership[SF LEASED],Ownership[BUILT],B5,Ownership[GROSS],"&gt;"&amp;0,Ownership[OCCP],"&gt;="&amp;50)</f>
        <v/>
      </c>
      <c r="G5" s="46">
        <f>F5/D5</f>
        <v/>
      </c>
      <c r="H5" s="336">
        <f>C5/F5</f>
        <v/>
      </c>
      <c r="I5" s="336">
        <f t="array" ref="I5">PERCENTILE(IF(Sold[BUILT]=B5,Sold[GROSS/SF]),0.75)</f>
        <v/>
      </c>
      <c r="J5" s="336">
        <f t="array" ref="J5">PERCENTILE(IF(Sold[BUILT]=B5,Sold[GROSS/SF]),0.25)</f>
        <v/>
      </c>
      <c r="K5" s="336">
        <f t="array" ref="K5">MEDIAN(IF(Sold[BUILT]=B5,Sold[GROSS/SF]))</f>
        <v/>
      </c>
    </row>
    <row r="6">
      <c r="B6" t="n">
        <v>2022</v>
      </c>
      <c r="C6" s="319">
        <f>SUMIFS(Sold[GROSS],Sold[BUILT],B6,Sold[GOV OCCP],"&gt;="&amp;0.5)+SUMIFS(Ownership[GROSS],Ownership[BUILT],B6,Ownership[OCCP],"&gt;="&amp;50)</f>
        <v/>
      </c>
      <c r="D6" s="46">
        <f>COUNTIFS(Sold[GROSS],"&gt;"&amp;0,Sold[BUILT],B6,Sold[GOV OCCP],"&gt;="&amp;0.5)+COUNTIFS(Ownership[GROSS],"&gt;"&amp;0,Ownership[BUILT],B6,Ownership[OCCP],"&gt;="&amp;50)</f>
        <v/>
      </c>
      <c r="E6" s="336">
        <f>C6/D6</f>
        <v/>
      </c>
      <c r="F6" s="46">
        <f>SUMIFS(Sold[RBA],Sold[BUILT],B6,Sold[GROSS],"&gt;"&amp;0,Sold[GOV OCCP],"&gt;="&amp;0.5)+SUMIFS(Ownership[SF LEASED],Ownership[BUILT],B6,Ownership[GROSS],"&gt;"&amp;0,Ownership[OCCP],"&gt;="&amp;50)</f>
        <v/>
      </c>
      <c r="G6" s="46">
        <f>F6/D6</f>
        <v/>
      </c>
      <c r="H6" s="336">
        <f>C6/F6</f>
        <v/>
      </c>
      <c r="I6" s="336">
        <f t="array" ref="I6">PERCENTILE(IF(Sold[BUILT]=B6,Sold[GROSS/SF]),0.75)</f>
        <v/>
      </c>
      <c r="J6" s="336">
        <f t="array" ref="J6">PERCENTILE(IF(Sold[BUILT]=B6,Sold[GROSS/SF]),0.25)</f>
        <v/>
      </c>
      <c r="K6" s="336">
        <f t="array" ref="K6">MEDIAN(IF(Sold[BUILT]=B6,Sold[GROSS/SF]))</f>
        <v/>
      </c>
    </row>
    <row r="7">
      <c r="B7" t="n">
        <v>2021</v>
      </c>
      <c r="C7" s="319">
        <f>SUMIFS(Sold[GROSS],Sold[BUILT],B7,Sold[GOV OCCP],"&gt;="&amp;0.5)+SUMIFS(Ownership[GROSS],Ownership[BUILT],B7,Ownership[OCCP],"&gt;="&amp;50)</f>
        <v/>
      </c>
      <c r="D7" s="46">
        <f>COUNTIFS(Sold[GROSS],"&gt;"&amp;0,Sold[BUILT],B7,Sold[GOV OCCP],"&gt;="&amp;0.5)+COUNTIFS(Ownership[GROSS],"&gt;"&amp;0,Ownership[BUILT],B7,Ownership[OCCP],"&gt;="&amp;50)</f>
        <v/>
      </c>
      <c r="E7" s="336">
        <f>C7/D7</f>
        <v/>
      </c>
      <c r="F7" s="46">
        <f>SUMIFS(Sold[RBA],Sold[BUILT],B7,Sold[GROSS],"&gt;"&amp;0,Sold[GOV OCCP],"&gt;="&amp;0.5)+SUMIFS(Ownership[SF LEASED],Ownership[BUILT],B7,Ownership[GROSS],"&gt;"&amp;0,Ownership[OCCP],"&gt;="&amp;50)</f>
        <v/>
      </c>
      <c r="G7" s="46">
        <f>F7/D7</f>
        <v/>
      </c>
      <c r="H7" s="336">
        <f>C7/F7</f>
        <v/>
      </c>
      <c r="I7" s="336">
        <f t="array" ref="I7">PERCENTILE(IF(Sold[BUILT]=B7,Sold[GROSS/SF]),0.75)</f>
        <v/>
      </c>
      <c r="J7" s="336">
        <f t="array" ref="J7">PERCENTILE(IF(Sold[BUILT]=B7,Sold[GROSS/SF]),0.25)</f>
        <v/>
      </c>
      <c r="K7" s="336">
        <f t="array" ref="K7">MEDIAN(IF(Sold[BUILT]=B7,Sold[GROSS/SF]))</f>
        <v/>
      </c>
    </row>
    <row r="8">
      <c r="B8" t="n">
        <v>2020</v>
      </c>
      <c r="C8" s="319">
        <f>SUMIFS(Sold[GROSS],Sold[BUILT],B8,Sold[GOV OCCP],"&gt;="&amp;0.5)+SUMIFS(Ownership[GROSS],Ownership[BUILT],B8,Ownership[OCCP],"&gt;="&amp;50)</f>
        <v/>
      </c>
      <c r="D8" s="46">
        <f>COUNTIFS(Sold[GROSS],"&gt;"&amp;0,Sold[BUILT],B8,Sold[GOV OCCP],"&gt;="&amp;0.5)+COUNTIFS(Ownership[GROSS],"&gt;"&amp;0,Ownership[BUILT],B8,Ownership[OCCP],"&gt;="&amp;50)</f>
        <v/>
      </c>
      <c r="E8" s="336">
        <f>C8/D8</f>
        <v/>
      </c>
      <c r="F8" s="46">
        <f>SUMIFS(Sold[RBA],Sold[BUILT],B8,Sold[GROSS],"&gt;"&amp;0,Sold[GOV OCCP],"&gt;="&amp;0.5)+SUMIFS(Ownership[SF LEASED],Ownership[BUILT],B8,Ownership[GROSS],"&gt;"&amp;0,Ownership[OCCP],"&gt;="&amp;50)</f>
        <v/>
      </c>
      <c r="G8" s="46">
        <f>F8/D8</f>
        <v/>
      </c>
      <c r="H8" s="336">
        <f>C8/F8</f>
        <v/>
      </c>
      <c r="I8" s="336">
        <f t="array" ref="I8">PERCENTILE(IF(Sold[BUILT]=B8,Sold[GROSS/SF]),0.75)</f>
        <v/>
      </c>
      <c r="J8" s="336">
        <f t="array" ref="J8">PERCENTILE(IF(Sold[BUILT]=B8,Sold[GROSS/SF]),0.25)</f>
        <v/>
      </c>
      <c r="K8" s="336">
        <f t="array" ref="K8">MEDIAN(IF(Sold[BUILT]=B8,Sold[GROSS/SF]))</f>
        <v/>
      </c>
    </row>
    <row r="9">
      <c r="B9" t="n">
        <v>2019</v>
      </c>
      <c r="C9" s="319">
        <f>SUMIFS(Sold[GROSS],Sold[BUILT],B9,Sold[GOV OCCP],"&gt;="&amp;0.5)+SUMIFS(Ownership[GROSS],Ownership[BUILT],B9,Ownership[OCCP],"&gt;="&amp;50)</f>
        <v/>
      </c>
      <c r="D9" s="46">
        <f>COUNTIFS(Sold[GROSS],"&gt;"&amp;0,Sold[BUILT],B9,Sold[GOV OCCP],"&gt;="&amp;0.5)+COUNTIFS(Ownership[GROSS],"&gt;"&amp;0,Ownership[BUILT],B9,Ownership[OCCP],"&gt;="&amp;50)</f>
        <v/>
      </c>
      <c r="E9" s="336">
        <f>C9/D9</f>
        <v/>
      </c>
      <c r="F9" s="46">
        <f>SUMIFS(Sold[RBA],Sold[BUILT],B9,Sold[GROSS],"&gt;"&amp;0,Sold[GOV OCCP],"&gt;="&amp;0.5)+SUMIFS(Ownership[SF LEASED],Ownership[BUILT],B9,Ownership[GROSS],"&gt;"&amp;0,Ownership[OCCP],"&gt;="&amp;50)</f>
        <v/>
      </c>
      <c r="G9" s="46">
        <f>F9/D9</f>
        <v/>
      </c>
      <c r="H9" s="336">
        <f>C9/F9</f>
        <v/>
      </c>
      <c r="I9" s="336">
        <f t="array" ref="I9">PERCENTILE(IF(Sold[BUILT]=B9,Sold[GROSS/SF]),0.75)</f>
        <v/>
      </c>
      <c r="J9" s="336">
        <f t="array" ref="J9">PERCENTILE(IF(Sold[BUILT]=B9,Sold[GROSS/SF]),0.25)</f>
        <v/>
      </c>
      <c r="K9" s="336">
        <f t="array" ref="K9">MEDIAN(IF(Sold[BUILT]=B9,Sold[GROSS/SF]))</f>
        <v/>
      </c>
    </row>
    <row r="10">
      <c r="B10" t="n">
        <v>2018</v>
      </c>
      <c r="C10" s="319">
        <f>SUMIFS(Sold[GROSS],Sold[BUILT],B10,Sold[GOV OCCP],"&gt;="&amp;0.5)+SUMIFS(Ownership[GROSS],Ownership[BUILT],B10,Ownership[OCCP],"&gt;="&amp;50)</f>
        <v/>
      </c>
      <c r="D10" s="46">
        <f>COUNTIFS(Sold[GROSS],"&gt;"&amp;0,Sold[BUILT],B10,Sold[GOV OCCP],"&gt;="&amp;0.5)+COUNTIFS(Ownership[GROSS],"&gt;"&amp;0,Ownership[BUILT],B10,Ownership[OCCP],"&gt;="&amp;50)</f>
        <v/>
      </c>
      <c r="E10" s="336">
        <f>C10/D10</f>
        <v/>
      </c>
      <c r="F10" s="46">
        <f>SUMIFS(Sold[RBA],Sold[BUILT],B10,Sold[GROSS],"&gt;"&amp;0,Sold[GOV OCCP],"&gt;="&amp;0.5)+SUMIFS(Ownership[SF LEASED],Ownership[BUILT],B10,Ownership[GROSS],"&gt;"&amp;0,Ownership[OCCP],"&gt;="&amp;50)</f>
        <v/>
      </c>
      <c r="G10" s="46">
        <f>F10/D10</f>
        <v/>
      </c>
      <c r="H10" s="336">
        <f>C10/F10</f>
        <v/>
      </c>
      <c r="I10" s="336">
        <f t="array" ref="I10">PERCENTILE(IF(Sold[BUILT]=B10,Sold[GROSS/SF]),0.75)</f>
        <v/>
      </c>
      <c r="J10" s="336">
        <f t="array" ref="J10">PERCENTILE(IF(Sold[BUILT]=B10,Sold[GROSS/SF]),0.25)</f>
        <v/>
      </c>
      <c r="K10" s="336">
        <f t="array" ref="K10">MEDIAN(IF(Sold[BUILT]=B10,Sold[GROSS/SF]))</f>
        <v/>
      </c>
    </row>
    <row r="11">
      <c r="B11" t="n">
        <v>2017</v>
      </c>
      <c r="C11" s="319">
        <f>SUMIFS(Sold[GROSS],Sold[BUILT],B11,Sold[GOV OCCP],"&gt;="&amp;0.5)+SUMIFS(Ownership[GROSS],Ownership[BUILT],B11,Ownership[OCCP],"&gt;="&amp;50)</f>
        <v/>
      </c>
      <c r="D11" s="46">
        <f>COUNTIFS(Sold[GROSS],"&gt;"&amp;0,Sold[BUILT],B11,Sold[GOV OCCP],"&gt;="&amp;0.5)+COUNTIFS(Ownership[GROSS],"&gt;"&amp;0,Ownership[BUILT],B11,Ownership[OCCP],"&gt;="&amp;50)</f>
        <v/>
      </c>
      <c r="E11" s="336">
        <f>C11/D11</f>
        <v/>
      </c>
      <c r="F11" s="46">
        <f>SUMIFS(Sold[RBA],Sold[BUILT],B11,Sold[GROSS],"&gt;"&amp;0,Sold[GOV OCCP],"&gt;="&amp;0.5)+SUMIFS(Ownership[SF LEASED],Ownership[BUILT],B11,Ownership[GROSS],"&gt;"&amp;0,Ownership[OCCP],"&gt;="&amp;50)</f>
        <v/>
      </c>
      <c r="G11" s="46">
        <f>F11/D11</f>
        <v/>
      </c>
      <c r="H11" s="336">
        <f>C11/F11</f>
        <v/>
      </c>
      <c r="I11" s="336">
        <f t="array" ref="I11">PERCENTILE(IF(Sold[BUILT]=B11,Sold[GROSS/SF]),0.75)</f>
        <v/>
      </c>
      <c r="J11" s="336">
        <f t="array" ref="J11">PERCENTILE(IF(Sold[BUILT]=B11,Sold[GROSS/SF]),0.25)</f>
        <v/>
      </c>
      <c r="K11" s="336">
        <f t="array" ref="K11">MEDIAN(IF(Sold[BUILT]=B11,Sold[GROSS/SF]))</f>
        <v/>
      </c>
    </row>
    <row r="12">
      <c r="B12" t="n">
        <v>2016</v>
      </c>
      <c r="C12" s="319">
        <f>SUMIFS(Sold[GROSS],Sold[BUILT],B12,Sold[GOV OCCP],"&gt;="&amp;0.5)+SUMIFS(Ownership[GROSS],Ownership[BUILT],B12,Ownership[OCCP],"&gt;="&amp;50)</f>
        <v/>
      </c>
      <c r="D12" s="46">
        <f>COUNTIFS(Sold[GROSS],"&gt;"&amp;0,Sold[BUILT],B12,Sold[GOV OCCP],"&gt;="&amp;0.5)+COUNTIFS(Ownership[GROSS],"&gt;"&amp;0,Ownership[BUILT],B12,Ownership[OCCP],"&gt;="&amp;50)</f>
        <v/>
      </c>
      <c r="E12" s="336">
        <f>C12/D12</f>
        <v/>
      </c>
      <c r="F12" s="46">
        <f>SUMIFS(Sold[RBA],Sold[BUILT],B12,Sold[GROSS],"&gt;"&amp;0,Sold[GOV OCCP],"&gt;="&amp;0.5)+SUMIFS(Ownership[SF LEASED],Ownership[BUILT],B12,Ownership[GROSS],"&gt;"&amp;0,Ownership[OCCP],"&gt;="&amp;50)</f>
        <v/>
      </c>
      <c r="G12" s="46">
        <f>F12/D12</f>
        <v/>
      </c>
      <c r="H12" s="336">
        <f>C12/F12</f>
        <v/>
      </c>
      <c r="I12" s="336">
        <f t="array" ref="I12">PERCENTILE(IF(Sold[BUILT]=B12,Sold[GROSS/SF]),0.75)</f>
        <v/>
      </c>
      <c r="J12" s="336">
        <f t="array" ref="J12">PERCENTILE(IF(Sold[BUILT]=B12,Sold[GROSS/SF]),0.25)</f>
        <v/>
      </c>
      <c r="K12" s="336">
        <f t="array" ref="K12">MEDIAN(IF(Sold[BUILT]=B12,Sold[GROSS/SF]))</f>
        <v/>
      </c>
    </row>
    <row r="13">
      <c r="B13" t="n">
        <v>2015</v>
      </c>
      <c r="C13" s="319">
        <f>SUMIFS(Sold[GROSS],Sold[BUILT],B13,Sold[GOV OCCP],"&gt;="&amp;0.5)+SUMIFS(Ownership[GROSS],Ownership[BUILT],B13,Ownership[OCCP],"&gt;="&amp;50)</f>
        <v/>
      </c>
      <c r="D13" s="46">
        <f>COUNTIFS(Sold[GROSS],"&gt;"&amp;0,Sold[BUILT],B13,Sold[GOV OCCP],"&gt;="&amp;0.5)+COUNTIFS(Ownership[GROSS],"&gt;"&amp;0,Ownership[BUILT],B13,Ownership[OCCP],"&gt;="&amp;50)</f>
        <v/>
      </c>
      <c r="E13" s="336">
        <f>C13/D13</f>
        <v/>
      </c>
      <c r="F13" s="46">
        <f>SUMIFS(Sold[RBA],Sold[BUILT],B13,Sold[GROSS],"&gt;"&amp;0,Sold[GOV OCCP],"&gt;="&amp;0.5)+SUMIFS(Ownership[SF LEASED],Ownership[BUILT],B13,Ownership[GROSS],"&gt;"&amp;0,Ownership[OCCP],"&gt;="&amp;50)</f>
        <v/>
      </c>
      <c r="G13" s="46">
        <f>F13/D13</f>
        <v/>
      </c>
      <c r="H13" s="336">
        <f>C13/F13</f>
        <v/>
      </c>
      <c r="I13" s="336">
        <f t="array" ref="I13">PERCENTILE(IF(Sold[BUILT]=B13,Sold[GROSS/SF]),0.75)</f>
        <v/>
      </c>
      <c r="J13" s="336">
        <f t="array" ref="J13">PERCENTILE(IF(Sold[BUILT]=B13,Sold[GROSS/SF]),0.25)</f>
        <v/>
      </c>
      <c r="K13" s="336">
        <f t="array" ref="K13">MEDIAN(IF(Sold[BUILT]=B13,Sold[GROSS/SF]))</f>
        <v/>
      </c>
    </row>
    <row r="14">
      <c r="B14" t="n">
        <v>2014</v>
      </c>
      <c r="C14" s="319">
        <f>SUMIFS(Sold[GROSS],Sold[BUILT],B14,Sold[GOV OCCP],"&gt;="&amp;0.5)+SUMIFS(Ownership[GROSS],Ownership[BUILT],B14,Ownership[OCCP],"&gt;="&amp;50)</f>
        <v/>
      </c>
      <c r="D14" s="46">
        <f>COUNTIFS(Sold[GROSS],"&gt;"&amp;0,Sold[BUILT],B14,Sold[GOV OCCP],"&gt;="&amp;0.5)+COUNTIFS(Ownership[GROSS],"&gt;"&amp;0,Ownership[BUILT],B14,Ownership[OCCP],"&gt;="&amp;50)</f>
        <v/>
      </c>
      <c r="E14" s="336">
        <f>C14/D14</f>
        <v/>
      </c>
      <c r="F14" s="46">
        <f>SUMIFS(Sold[RBA],Sold[BUILT],B14,Sold[GROSS],"&gt;"&amp;0,Sold[GOV OCCP],"&gt;="&amp;0.5)+SUMIFS(Ownership[SF LEASED],Ownership[BUILT],B14,Ownership[GROSS],"&gt;"&amp;0,Ownership[OCCP],"&gt;="&amp;50)</f>
        <v/>
      </c>
      <c r="G14" s="46">
        <f>F14/D14</f>
        <v/>
      </c>
      <c r="H14" s="336">
        <f>C14/F14</f>
        <v/>
      </c>
      <c r="I14" s="336">
        <f t="array" ref="I14">PERCENTILE(IF(Sold[BUILT]=B14,Sold[GROSS/SF]),0.75)</f>
        <v/>
      </c>
      <c r="J14" s="336">
        <f t="array" ref="J14">PERCENTILE(IF(Sold[BUILT]=B14,Sold[GROSS/SF]),0.25)</f>
        <v/>
      </c>
      <c r="K14" s="336">
        <f t="array" ref="K14">MEDIAN(IF(Sold[BUILT]=B14,Sold[GROSS/SF]))</f>
        <v/>
      </c>
    </row>
    <row r="15">
      <c r="B15" t="n">
        <v>2013</v>
      </c>
      <c r="C15" s="319">
        <f>SUMIFS(Sold[GROSS],Sold[BUILT],B15,Sold[GOV OCCP],"&gt;="&amp;0.5)+SUMIFS(Ownership[GROSS],Ownership[BUILT],B15,Ownership[OCCP],"&gt;="&amp;50)</f>
        <v/>
      </c>
      <c r="D15" s="46">
        <f>COUNTIFS(Sold[GROSS],"&gt;"&amp;0,Sold[BUILT],B15,Sold[GOV OCCP],"&gt;="&amp;0.5)+COUNTIFS(Ownership[GROSS],"&gt;"&amp;0,Ownership[BUILT],B15,Ownership[OCCP],"&gt;="&amp;50)</f>
        <v/>
      </c>
      <c r="E15" s="336">
        <f>C15/D15</f>
        <v/>
      </c>
      <c r="F15" s="46">
        <f>SUMIFS(Sold[RBA],Sold[BUILT],B15,Sold[GROSS],"&gt;"&amp;0,Sold[GOV OCCP],"&gt;="&amp;0.5)+SUMIFS(Ownership[SF LEASED],Ownership[BUILT],B15,Ownership[GROSS],"&gt;"&amp;0,Ownership[OCCP],"&gt;="&amp;50)</f>
        <v/>
      </c>
      <c r="G15" s="46">
        <f>F15/D15</f>
        <v/>
      </c>
      <c r="H15" s="336">
        <f>C15/F15</f>
        <v/>
      </c>
      <c r="I15" s="336">
        <f t="array" ref="I15">PERCENTILE(IF(Sold[BUILT]=B15,Sold[GROSS/SF]),0.75)</f>
        <v/>
      </c>
      <c r="J15" s="336">
        <f t="array" ref="J15">PERCENTILE(IF(Sold[BUILT]=B15,Sold[GROSS/SF]),0.25)</f>
        <v/>
      </c>
      <c r="K15" s="336">
        <f t="array" ref="K15">MEDIAN(IF(Sold[BUILT]=B15,Sold[GROSS/SF]))</f>
        <v/>
      </c>
    </row>
    <row r="16">
      <c r="B16" t="n">
        <v>2012</v>
      </c>
      <c r="C16" s="319">
        <f>SUMIFS(Sold[GROSS],Sold[BUILT],B16,Sold[GOV OCCP],"&gt;="&amp;0.5)+SUMIFS(Ownership[GROSS],Ownership[BUILT],B16,Ownership[OCCP],"&gt;="&amp;50)</f>
        <v/>
      </c>
      <c r="D16" s="46">
        <f>COUNTIFS(Sold[GROSS],"&gt;"&amp;0,Sold[BUILT],B16,Sold[GOV OCCP],"&gt;="&amp;0.5)+COUNTIFS(Ownership[GROSS],"&gt;"&amp;0,Ownership[BUILT],B16,Ownership[OCCP],"&gt;="&amp;50)</f>
        <v/>
      </c>
      <c r="E16" s="336">
        <f>C16/D16</f>
        <v/>
      </c>
      <c r="F16" s="46">
        <f>SUMIFS(Sold[RBA],Sold[BUILT],B16,Sold[GROSS],"&gt;"&amp;0,Sold[GOV OCCP],"&gt;="&amp;0.5)+SUMIFS(Ownership[SF LEASED],Ownership[BUILT],B16,Ownership[GROSS],"&gt;"&amp;0,Ownership[OCCP],"&gt;="&amp;50)</f>
        <v/>
      </c>
      <c r="G16" s="46">
        <f>F16/D16</f>
        <v/>
      </c>
      <c r="H16" s="336">
        <f>C16/F16</f>
        <v/>
      </c>
      <c r="I16" s="336">
        <f t="array" ref="I16">PERCENTILE(IF(Sold[BUILT]=B16,Sold[GROSS/SF]),0.75)</f>
        <v/>
      </c>
      <c r="J16" s="336">
        <f t="array" ref="J16">PERCENTILE(IF(Sold[BUILT]=B16,Sold[GROSS/SF]),0.25)</f>
        <v/>
      </c>
      <c r="K16" s="336">
        <f t="array" ref="K16">MEDIAN(IF(Sold[BUILT]=B16,Sold[GROSS/SF]))</f>
        <v/>
      </c>
    </row>
    <row r="17">
      <c r="B17" t="n">
        <v>2011</v>
      </c>
      <c r="C17" s="319">
        <f>SUMIFS(Sold[GROSS],Sold[BUILT],B17,Sold[GOV OCCP],"&gt;="&amp;0.5)+SUMIFS(Ownership[GROSS],Ownership[BUILT],B17,Ownership[OCCP],"&gt;="&amp;50)</f>
        <v/>
      </c>
      <c r="D17" s="46">
        <f>COUNTIFS(Sold[GROSS],"&gt;"&amp;0,Sold[BUILT],B17,Sold[GOV OCCP],"&gt;="&amp;0.5)+COUNTIFS(Ownership[GROSS],"&gt;"&amp;0,Ownership[BUILT],B17,Ownership[OCCP],"&gt;="&amp;50)</f>
        <v/>
      </c>
      <c r="E17" s="336">
        <f>C17/D17</f>
        <v/>
      </c>
      <c r="F17" s="46">
        <f>SUMIFS(Sold[RBA],Sold[BUILT],B17,Sold[GROSS],"&gt;"&amp;0,Sold[GOV OCCP],"&gt;="&amp;0.5)+SUMIFS(Ownership[SF LEASED],Ownership[BUILT],B17,Ownership[GROSS],"&gt;"&amp;0,Ownership[OCCP],"&gt;="&amp;50)</f>
        <v/>
      </c>
      <c r="G17" s="46">
        <f>F17/D17</f>
        <v/>
      </c>
      <c r="H17" s="336">
        <f>C17/F17</f>
        <v/>
      </c>
      <c r="I17" s="336">
        <f t="array" ref="I17">PERCENTILE(IF(Sold[BUILT]=B17,Sold[GROSS/SF]),0.75)</f>
        <v/>
      </c>
      <c r="J17" s="336">
        <f t="array" ref="J17">PERCENTILE(IF(Sold[BUILT]=B17,Sold[GROSS/SF]),0.25)</f>
        <v/>
      </c>
      <c r="K17" s="336">
        <f t="array" ref="K17">MEDIAN(IF(Sold[BUILT]=B17,Sold[GROSS/SF]))</f>
        <v/>
      </c>
    </row>
    <row r="18">
      <c r="B18" t="n">
        <v>2010</v>
      </c>
      <c r="C18" s="319">
        <f>SUMIFS(Sold[GROSS],Sold[BUILT],B18,Sold[GOV OCCP],"&gt;="&amp;0.5)+SUMIFS(Ownership[GROSS],Ownership[BUILT],B18,Ownership[OCCP],"&gt;="&amp;50)</f>
        <v/>
      </c>
      <c r="D18" s="46">
        <f>COUNTIFS(Sold[GROSS],"&gt;"&amp;0,Sold[BUILT],B18,Sold[GOV OCCP],"&gt;="&amp;0.5)+COUNTIFS(Ownership[GROSS],"&gt;"&amp;0,Ownership[BUILT],B18,Ownership[OCCP],"&gt;="&amp;50)</f>
        <v/>
      </c>
      <c r="E18" s="336">
        <f>C18/D18</f>
        <v/>
      </c>
      <c r="F18" s="46">
        <f>SUMIFS(Sold[RBA],Sold[BUILT],B18,Sold[GROSS],"&gt;"&amp;0,Sold[GOV OCCP],"&gt;="&amp;0.5)+SUMIFS(Ownership[SF LEASED],Ownership[BUILT],B18,Ownership[GROSS],"&gt;"&amp;0,Ownership[OCCP],"&gt;="&amp;50)</f>
        <v/>
      </c>
      <c r="G18" s="46">
        <f>F18/D18</f>
        <v/>
      </c>
      <c r="H18" s="336">
        <f>C18/F18</f>
        <v/>
      </c>
      <c r="I18" s="336">
        <f t="array" ref="I18">PERCENTILE(IF(Sold[BUILT]=B18,Sold[GROSS/SF]),0.75)</f>
        <v/>
      </c>
      <c r="J18" s="336">
        <f t="array" ref="J18">PERCENTILE(IF(Sold[BUILT]=B18,Sold[GROSS/SF]),0.25)</f>
        <v/>
      </c>
      <c r="K18" s="336">
        <f t="array" ref="K18">MEDIAN(IF(Sold[BUILT]=B18,Sold[GROSS/SF]))</f>
        <v/>
      </c>
    </row>
    <row r="19">
      <c r="B19" t="n">
        <v>2009</v>
      </c>
      <c r="C19" s="319">
        <f>SUMIFS(Sold[GROSS],Sold[BUILT],B19,Sold[GOV OCCP],"&gt;="&amp;0.5)+SUMIFS(Ownership[GROSS],Ownership[BUILT],B19,Ownership[OCCP],"&gt;="&amp;50)</f>
        <v/>
      </c>
      <c r="D19" s="46">
        <f>COUNTIFS(Sold[GROSS],"&gt;"&amp;0,Sold[BUILT],B19,Sold[GOV OCCP],"&gt;="&amp;0.5)+COUNTIFS(Ownership[GROSS],"&gt;"&amp;0,Ownership[BUILT],B19,Ownership[OCCP],"&gt;="&amp;50)</f>
        <v/>
      </c>
      <c r="E19" s="336">
        <f>C19/D19</f>
        <v/>
      </c>
      <c r="F19" s="46">
        <f>SUMIFS(Sold[RBA],Sold[BUILT],B19,Sold[GROSS],"&gt;"&amp;0,Sold[GOV OCCP],"&gt;="&amp;0.5)+SUMIFS(Ownership[SF LEASED],Ownership[BUILT],B19,Ownership[GROSS],"&gt;"&amp;0,Ownership[OCCP],"&gt;="&amp;50)</f>
        <v/>
      </c>
      <c r="G19" s="46">
        <f>F19/D19</f>
        <v/>
      </c>
      <c r="H19" s="336">
        <f>C19/F19</f>
        <v/>
      </c>
      <c r="I19" s="336">
        <f t="array" ref="I19">PERCENTILE(IF(Sold[BUILT]=B19,Sold[GROSS/SF]),0.75)</f>
        <v/>
      </c>
      <c r="J19" s="336">
        <f t="array" ref="J19">PERCENTILE(IF(Sold[BUILT]=B19,Sold[GROSS/SF]),0.25)</f>
        <v/>
      </c>
      <c r="K19" s="336">
        <f t="array" ref="K19">MEDIAN(IF(Sold[BUILT]=B19,Sold[GROSS/SF]))</f>
        <v/>
      </c>
    </row>
    <row r="20">
      <c r="B20" t="n">
        <v>2008</v>
      </c>
      <c r="C20" s="319">
        <f>SUMIFS(Sold[GROSS],Sold[BUILT],B20,Sold[GOV OCCP],"&gt;="&amp;0.5)+SUMIFS(Ownership[GROSS],Ownership[BUILT],B20,Ownership[OCCP],"&gt;="&amp;50)</f>
        <v/>
      </c>
      <c r="D20" s="46">
        <f>COUNTIFS(Sold[GROSS],"&gt;"&amp;0,Sold[BUILT],B20,Sold[GOV OCCP],"&gt;="&amp;0.5)+COUNTIFS(Ownership[GROSS],"&gt;"&amp;0,Ownership[BUILT],B20,Ownership[OCCP],"&gt;="&amp;50)</f>
        <v/>
      </c>
      <c r="E20" s="336">
        <f>C20/D20</f>
        <v/>
      </c>
      <c r="F20" s="46">
        <f>SUMIFS(Sold[RBA],Sold[BUILT],B20,Sold[GROSS],"&gt;"&amp;0,Sold[GOV OCCP],"&gt;="&amp;0.5)+SUMIFS(Ownership[SF LEASED],Ownership[BUILT],B20,Ownership[GROSS],"&gt;"&amp;0,Ownership[OCCP],"&gt;="&amp;50)</f>
        <v/>
      </c>
      <c r="G20" s="46">
        <f>F20/D20</f>
        <v/>
      </c>
      <c r="H20" s="336">
        <f>C20/F20</f>
        <v/>
      </c>
      <c r="I20" s="336">
        <f t="array" ref="I20">PERCENTILE(IF(Sold[BUILT]=B20,Sold[GROSS/SF]),0.75)</f>
        <v/>
      </c>
      <c r="J20" s="336">
        <f t="array" ref="J20">PERCENTILE(IF(Sold[BUILT]=B20,Sold[GROSS/SF]),0.25)</f>
        <v/>
      </c>
      <c r="K20" s="336">
        <f t="array" ref="K20">MEDIAN(IF(Sold[BUILT]=B20,Sold[GROSS/SF]))</f>
        <v/>
      </c>
    </row>
    <row r="21">
      <c r="B21" t="n">
        <v>2007</v>
      </c>
      <c r="C21" s="319">
        <f>SUMIFS(Sold[GROSS],Sold[BUILT],B21,Sold[GOV OCCP],"&gt;="&amp;0.5)+SUMIFS(Ownership[GROSS],Ownership[BUILT],B21,Ownership[OCCP],"&gt;="&amp;50)</f>
        <v/>
      </c>
      <c r="D21" s="46">
        <f>COUNTIFS(Sold[GROSS],"&gt;"&amp;0,Sold[BUILT],B21,Sold[GOV OCCP],"&gt;="&amp;0.5)+COUNTIFS(Ownership[GROSS],"&gt;"&amp;0,Ownership[BUILT],B21,Ownership[OCCP],"&gt;="&amp;50)</f>
        <v/>
      </c>
      <c r="E21" s="336">
        <f>C21/D21</f>
        <v/>
      </c>
      <c r="F21" s="46">
        <f>SUMIFS(Sold[RBA],Sold[BUILT],B21,Sold[GROSS],"&gt;"&amp;0,Sold[GOV OCCP],"&gt;="&amp;0.5)+SUMIFS(Ownership[SF LEASED],Ownership[BUILT],B21,Ownership[GROSS],"&gt;"&amp;0,Ownership[OCCP],"&gt;="&amp;50)</f>
        <v/>
      </c>
      <c r="G21" s="46">
        <f>F21/D21</f>
        <v/>
      </c>
      <c r="H21" s="336">
        <f>C21/F21</f>
        <v/>
      </c>
      <c r="I21" s="336">
        <f t="array" ref="I21">PERCENTILE(IF(Sold[BUILT]=B21,Sold[GROSS/SF]),0.75)</f>
        <v/>
      </c>
      <c r="J21" s="336">
        <f t="array" ref="J21">PERCENTILE(IF(Sold[BUILT]=B21,Sold[GROSS/SF]),0.25)</f>
        <v/>
      </c>
      <c r="K21" s="336">
        <f t="array" ref="K21">MEDIAN(IF(Sold[BUILT]=B21,Sold[GROSS/SF]))</f>
        <v/>
      </c>
    </row>
    <row r="22">
      <c r="B22" t="n">
        <v>2006</v>
      </c>
      <c r="C22" s="319">
        <f>SUMIFS(Sold[GROSS],Sold[BUILT],B22,Sold[GOV OCCP],"&gt;="&amp;0.5)+SUMIFS(Ownership[GROSS],Ownership[BUILT],B22,Ownership[OCCP],"&gt;="&amp;50)</f>
        <v/>
      </c>
      <c r="D22" s="46">
        <f>COUNTIFS(Sold[GROSS],"&gt;"&amp;0,Sold[BUILT],B22,Sold[GOV OCCP],"&gt;="&amp;0.5)+COUNTIFS(Ownership[GROSS],"&gt;"&amp;0,Ownership[BUILT],B22,Ownership[OCCP],"&gt;="&amp;50)</f>
        <v/>
      </c>
      <c r="E22" s="336">
        <f>C22/D22</f>
        <v/>
      </c>
      <c r="F22" s="46">
        <f>SUMIFS(Sold[RBA],Sold[BUILT],B22,Sold[GROSS],"&gt;"&amp;0,Sold[GOV OCCP],"&gt;="&amp;0.5)+SUMIFS(Ownership[SF LEASED],Ownership[BUILT],B22,Ownership[GROSS],"&gt;"&amp;0,Ownership[OCCP],"&gt;="&amp;50)</f>
        <v/>
      </c>
      <c r="G22" s="46">
        <f>F22/D22</f>
        <v/>
      </c>
      <c r="H22" s="336">
        <f>C22/F22</f>
        <v/>
      </c>
      <c r="I22" s="336">
        <f t="array" ref="I22">PERCENTILE(IF(Sold[BUILT]=B22,Sold[GROSS/SF]),0.75)</f>
        <v/>
      </c>
      <c r="J22" s="336">
        <f t="array" ref="J22">PERCENTILE(IF(Sold[BUILT]=B22,Sold[GROSS/SF]),0.25)</f>
        <v/>
      </c>
      <c r="K22" s="336">
        <f t="array" ref="K22">MEDIAN(IF(Sold[BUILT]=B22,Sold[GROSS/SF]))</f>
        <v/>
      </c>
    </row>
    <row r="23">
      <c r="B23" t="n">
        <v>2005</v>
      </c>
      <c r="C23" s="319">
        <f>SUMIFS(Sold[GROSS],Sold[BUILT],B23,Sold[GOV OCCP],"&gt;="&amp;0.5)+SUMIFS(Ownership[GROSS],Ownership[BUILT],B23,Ownership[OCCP],"&gt;="&amp;50)</f>
        <v/>
      </c>
      <c r="D23" s="46">
        <f>COUNTIFS(Sold[GROSS],"&gt;"&amp;0,Sold[BUILT],B23,Sold[GOV OCCP],"&gt;="&amp;0.5)+COUNTIFS(Ownership[GROSS],"&gt;"&amp;0,Ownership[BUILT],B23,Ownership[OCCP],"&gt;="&amp;50)</f>
        <v/>
      </c>
      <c r="E23" s="336">
        <f>C23/D23</f>
        <v/>
      </c>
      <c r="F23" s="46">
        <f>SUMIFS(Sold[RBA],Sold[BUILT],B23,Sold[GROSS],"&gt;"&amp;0,Sold[GOV OCCP],"&gt;="&amp;0.5)+SUMIFS(Ownership[SF LEASED],Ownership[BUILT],B23,Ownership[GROSS],"&gt;"&amp;0,Ownership[OCCP],"&gt;="&amp;50)</f>
        <v/>
      </c>
      <c r="G23" s="46">
        <f>F23/D23</f>
        <v/>
      </c>
      <c r="H23" s="336">
        <f>C23/F23</f>
        <v/>
      </c>
      <c r="I23" s="336">
        <f t="array" ref="I23">PERCENTILE(IF(Sold[BUILT]=B23,Sold[GROSS/SF]),0.75)</f>
        <v/>
      </c>
      <c r="J23" s="336">
        <f t="array" ref="J23">PERCENTILE(IF(Sold[BUILT]=B23,Sold[GROSS/SF]),0.25)</f>
        <v/>
      </c>
      <c r="K23" s="336">
        <f t="array" ref="K23">MEDIAN(IF(Sold[BUILT]=B23,Sold[GROSS/SF]))</f>
        <v/>
      </c>
    </row>
    <row r="24">
      <c r="B24" t="n">
        <v>2004</v>
      </c>
      <c r="C24" s="319">
        <f>SUMIFS(Sold[GROSS],Sold[BUILT],B24,Sold[GOV OCCP],"&gt;="&amp;0.5)+SUMIFS(Ownership[GROSS],Ownership[BUILT],B24,Ownership[OCCP],"&gt;="&amp;50)</f>
        <v/>
      </c>
      <c r="D24" s="46">
        <f>COUNTIFS(Sold[GROSS],"&gt;"&amp;0,Sold[BUILT],B24,Sold[GOV OCCP],"&gt;="&amp;0.5)+COUNTIFS(Ownership[GROSS],"&gt;"&amp;0,Ownership[BUILT],B24,Ownership[OCCP],"&gt;="&amp;50)</f>
        <v/>
      </c>
      <c r="E24" s="336">
        <f>C24/D24</f>
        <v/>
      </c>
      <c r="F24" s="46">
        <f>SUMIFS(Sold[RBA],Sold[BUILT],B24,Sold[GROSS],"&gt;"&amp;0,Sold[GOV OCCP],"&gt;="&amp;0.5)+SUMIFS(Ownership[SF LEASED],Ownership[BUILT],B24,Ownership[GROSS],"&gt;"&amp;0,Ownership[OCCP],"&gt;="&amp;50)</f>
        <v/>
      </c>
      <c r="G24" s="46">
        <f>F24/D24</f>
        <v/>
      </c>
      <c r="H24" s="336">
        <f>C24/F24</f>
        <v/>
      </c>
      <c r="I24" s="336">
        <f t="array" ref="I24">PERCENTILE(IF(Sold[BUILT]=B24,Sold[GROSS/SF]),0.75)</f>
        <v/>
      </c>
      <c r="J24" s="336">
        <f t="array" ref="J24">PERCENTILE(IF(Sold[BUILT]=B24,Sold[GROSS/SF]),0.25)</f>
        <v/>
      </c>
      <c r="K24" s="336">
        <f t="array" ref="K24">MEDIAN(IF(Sold[BUILT]=B24,Sold[GROSS/SF]))</f>
        <v/>
      </c>
    </row>
    <row r="25">
      <c r="B25" t="n">
        <v>2003</v>
      </c>
      <c r="C25" s="319">
        <f>SUMIFS(Sold[GROSS],Sold[BUILT],B25,Sold[GOV OCCP],"&gt;="&amp;0.5)+SUMIFS(Ownership[GROSS],Ownership[BUILT],B25,Ownership[OCCP],"&gt;="&amp;50)</f>
        <v/>
      </c>
      <c r="D25" s="46">
        <f>COUNTIFS(Sold[GROSS],"&gt;"&amp;0,Sold[BUILT],B25,Sold[GOV OCCP],"&gt;="&amp;0.5)+COUNTIFS(Ownership[GROSS],"&gt;"&amp;0,Ownership[BUILT],B25,Ownership[OCCP],"&gt;="&amp;50)</f>
        <v/>
      </c>
      <c r="E25" s="336">
        <f>C25/D25</f>
        <v/>
      </c>
      <c r="F25" s="46">
        <f>SUMIFS(Sold[RBA],Sold[BUILT],B25,Sold[GROSS],"&gt;"&amp;0,Sold[GOV OCCP],"&gt;="&amp;0.5)+SUMIFS(Ownership[SF LEASED],Ownership[BUILT],B25,Ownership[GROSS],"&gt;"&amp;0,Ownership[OCCP],"&gt;="&amp;50)</f>
        <v/>
      </c>
      <c r="G25" s="46">
        <f>F25/D25</f>
        <v/>
      </c>
      <c r="H25" s="336">
        <f>C25/F25</f>
        <v/>
      </c>
      <c r="I25" s="336">
        <f t="array" ref="I25">PERCENTILE(IF(Sold[BUILT]=B25,Sold[GROSS/SF]),0.75)</f>
        <v/>
      </c>
      <c r="J25" s="336">
        <f t="array" ref="J25">PERCENTILE(IF(Sold[BUILT]=B25,Sold[GROSS/SF]),0.25)</f>
        <v/>
      </c>
      <c r="K25" s="336">
        <f t="array" ref="K25">MEDIAN(IF(Sold[BUILT]=B25,Sold[GROSS/SF]))</f>
        <v/>
      </c>
    </row>
    <row r="26">
      <c r="B26" t="n">
        <v>2002</v>
      </c>
      <c r="C26" s="319">
        <f>SUMIFS(Sold[GROSS],Sold[BUILT],B26,Sold[GOV OCCP],"&gt;="&amp;0.5)+SUMIFS(Ownership[GROSS],Ownership[BUILT],B26,Ownership[OCCP],"&gt;="&amp;50)</f>
        <v/>
      </c>
      <c r="D26" s="46">
        <f>COUNTIFS(Sold[GROSS],"&gt;"&amp;0,Sold[BUILT],B26,Sold[GOV OCCP],"&gt;="&amp;0.5)+COUNTIFS(Ownership[GROSS],"&gt;"&amp;0,Ownership[BUILT],B26,Ownership[OCCP],"&gt;="&amp;50)</f>
        <v/>
      </c>
      <c r="E26" s="336">
        <f>C26/D26</f>
        <v/>
      </c>
      <c r="F26" s="46">
        <f>SUMIFS(Sold[RBA],Sold[BUILT],B26,Sold[GROSS],"&gt;"&amp;0,Sold[GOV OCCP],"&gt;="&amp;0.5)+SUMIFS(Ownership[SF LEASED],Ownership[BUILT],B26,Ownership[GROSS],"&gt;"&amp;0,Ownership[OCCP],"&gt;="&amp;50)</f>
        <v/>
      </c>
      <c r="G26" s="46">
        <f>F26/D26</f>
        <v/>
      </c>
      <c r="H26" s="336">
        <f>C26/F26</f>
        <v/>
      </c>
      <c r="I26" s="336">
        <f t="array" ref="I26">PERCENTILE(IF(Sold[BUILT]=B26,Sold[GROSS/SF]),0.75)</f>
        <v/>
      </c>
      <c r="J26" s="336">
        <f t="array" ref="J26">PERCENTILE(IF(Sold[BUILT]=B26,Sold[GROSS/SF]),0.25)</f>
        <v/>
      </c>
      <c r="K26" s="336">
        <f t="array" ref="K26">MEDIAN(IF(Sold[BUILT]=B26,Sold[GROSS/SF]))</f>
        <v/>
      </c>
    </row>
    <row r="27">
      <c r="B27" t="n">
        <v>2001</v>
      </c>
      <c r="C27" s="319">
        <f>SUMIFS(Sold[GROSS],Sold[BUILT],B27,Sold[GOV OCCP],"&gt;="&amp;0.5)+SUMIFS(Ownership[GROSS],Ownership[BUILT],B27,Ownership[OCCP],"&gt;="&amp;50)</f>
        <v/>
      </c>
      <c r="D27" s="46">
        <f>COUNTIFS(Sold[GROSS],"&gt;"&amp;0,Sold[BUILT],B27,Sold[GOV OCCP],"&gt;="&amp;0.5)+COUNTIFS(Ownership[GROSS],"&gt;"&amp;0,Ownership[BUILT],B27,Ownership[OCCP],"&gt;="&amp;50)</f>
        <v/>
      </c>
      <c r="E27" s="336">
        <f>C27/D27</f>
        <v/>
      </c>
      <c r="F27" s="46">
        <f>SUMIFS(Sold[RBA],Sold[BUILT],B27,Sold[GROSS],"&gt;"&amp;0,Sold[GOV OCCP],"&gt;="&amp;0.5)+SUMIFS(Ownership[SF LEASED],Ownership[BUILT],B27,Ownership[GROSS],"&gt;"&amp;0,Ownership[OCCP],"&gt;="&amp;50)</f>
        <v/>
      </c>
      <c r="G27" s="46">
        <f>F27/D27</f>
        <v/>
      </c>
      <c r="H27" s="336">
        <f>C27/F27</f>
        <v/>
      </c>
      <c r="I27" s="336">
        <f t="array" ref="I27">PERCENTILE(IF(Sold[BUILT]=B27,Sold[GROSS/SF]),0.75)</f>
        <v/>
      </c>
      <c r="J27" s="336">
        <f t="array" ref="J27">PERCENTILE(IF(Sold[BUILT]=B27,Sold[GROSS/SF]),0.25)</f>
        <v/>
      </c>
      <c r="K27" s="336">
        <f t="array" ref="K27">MEDIAN(IF(Sold[BUILT]=B27,Sold[GROSS/SF]))</f>
        <v/>
      </c>
    </row>
    <row r="28">
      <c r="B28" t="n">
        <v>2000</v>
      </c>
      <c r="C28" s="319">
        <f>SUMIFS(Sold[GROSS],Sold[BUILT],B28,Sold[GOV OCCP],"&gt;="&amp;0.5)+SUMIFS(Ownership[GROSS],Ownership[BUILT],B28,Ownership[OCCP],"&gt;="&amp;50)</f>
        <v/>
      </c>
      <c r="D28" s="46">
        <f>COUNTIFS(Sold[GROSS],"&gt;"&amp;0,Sold[BUILT],B28,Sold[GOV OCCP],"&gt;="&amp;0.5)+COUNTIFS(Ownership[GROSS],"&gt;"&amp;0,Ownership[BUILT],B28,Ownership[OCCP],"&gt;="&amp;50)</f>
        <v/>
      </c>
      <c r="E28" s="336">
        <f>C28/D28</f>
        <v/>
      </c>
      <c r="F28" s="46">
        <f>SUMIFS(Sold[RBA],Sold[BUILT],B28,Sold[GROSS],"&gt;"&amp;0,Sold[GOV OCCP],"&gt;="&amp;0.5)+SUMIFS(Ownership[SF LEASED],Ownership[BUILT],B28,Ownership[GROSS],"&gt;"&amp;0,Ownership[OCCP],"&gt;="&amp;50)</f>
        <v/>
      </c>
      <c r="G28" s="46">
        <f>F28/D28</f>
        <v/>
      </c>
      <c r="H28" s="336">
        <f>C28/F28</f>
        <v/>
      </c>
      <c r="I28" s="336">
        <f t="array" ref="I28">PERCENTILE(IF(Sold[BUILT]=B28,Sold[GROSS/SF]),0.75)</f>
        <v/>
      </c>
      <c r="J28" s="336">
        <f t="array" ref="J28">PERCENTILE(IF(Sold[BUILT]=B28,Sold[GROSS/SF]),0.25)</f>
        <v/>
      </c>
      <c r="K28" s="336">
        <f t="array" ref="K28">MEDIAN(IF(Sold[BUILT]=B28,Sold[GROSS/SF]))</f>
        <v/>
      </c>
    </row>
    <row r="29">
      <c r="B29" t="n">
        <v>1999</v>
      </c>
      <c r="C29" s="319">
        <f>SUMIFS(Sold[GROSS],Sold[BUILT],B29,Sold[GOV OCCP],"&gt;="&amp;0.5)+SUMIFS(Ownership[GROSS],Ownership[BUILT],B29,Ownership[OCCP],"&gt;="&amp;50)</f>
        <v/>
      </c>
      <c r="D29" s="46">
        <f>COUNTIFS(Sold[GROSS],"&gt;"&amp;0,Sold[BUILT],B29,Sold[GOV OCCP],"&gt;="&amp;0.5)+COUNTIFS(Ownership[GROSS],"&gt;"&amp;0,Ownership[BUILT],B29,Ownership[OCCP],"&gt;="&amp;50)</f>
        <v/>
      </c>
      <c r="E29" s="336">
        <f>C29/D29</f>
        <v/>
      </c>
      <c r="F29" s="46">
        <f>SUMIFS(Sold[RBA],Sold[BUILT],B29,Sold[GROSS],"&gt;"&amp;0,Sold[GOV OCCP],"&gt;="&amp;0.5)+SUMIFS(Ownership[SF LEASED],Ownership[BUILT],B29,Ownership[GROSS],"&gt;"&amp;0,Ownership[OCCP],"&gt;="&amp;50)</f>
        <v/>
      </c>
      <c r="G29" s="46">
        <f>F29/D29</f>
        <v/>
      </c>
      <c r="H29" s="336">
        <f>C29/F29</f>
        <v/>
      </c>
      <c r="I29" s="336">
        <f t="array" ref="I29">PERCENTILE(IF(Sold[BUILT]=B29,Sold[GROSS/SF]),0.75)</f>
        <v/>
      </c>
      <c r="J29" s="336">
        <f t="array" ref="J29">PERCENTILE(IF(Sold[BUILT]=B29,Sold[GROSS/SF]),0.25)</f>
        <v/>
      </c>
      <c r="K29" s="336">
        <f t="array" ref="K29">MEDIAN(IF(Sold[BUILT]=B29,Sold[GROSS/SF]))</f>
        <v/>
      </c>
    </row>
    <row r="30">
      <c r="B30" t="n">
        <v>1998</v>
      </c>
      <c r="C30" s="319">
        <f>SUMIFS(Sold[GROSS],Sold[BUILT],B30,Sold[GOV OCCP],"&gt;="&amp;0.5)+SUMIFS(Ownership[GROSS],Ownership[BUILT],B30,Ownership[OCCP],"&gt;="&amp;50)</f>
        <v/>
      </c>
      <c r="D30" s="46">
        <f>COUNTIFS(Sold[GROSS],"&gt;"&amp;0,Sold[BUILT],B30,Sold[GOV OCCP],"&gt;="&amp;0.5)+COUNTIFS(Ownership[GROSS],"&gt;"&amp;0,Ownership[BUILT],B30,Ownership[OCCP],"&gt;="&amp;50)</f>
        <v/>
      </c>
      <c r="E30" s="336">
        <f>C30/D30</f>
        <v/>
      </c>
      <c r="F30" s="46">
        <f>SUMIFS(Sold[RBA],Sold[BUILT],B30,Sold[GROSS],"&gt;"&amp;0,Sold[GOV OCCP],"&gt;="&amp;0.5)+SUMIFS(Ownership[SF LEASED],Ownership[BUILT],B30,Ownership[GROSS],"&gt;"&amp;0,Ownership[OCCP],"&gt;="&amp;50)</f>
        <v/>
      </c>
      <c r="G30" s="46">
        <f>F30/D30</f>
        <v/>
      </c>
      <c r="H30" s="336">
        <f>C30/F30</f>
        <v/>
      </c>
      <c r="I30" s="336">
        <f t="array" ref="I30">PERCENTILE(IF(Sold[BUILT]=B30,Sold[GROSS/SF]),0.75)</f>
        <v/>
      </c>
      <c r="J30" s="336">
        <f t="array" ref="J30">PERCENTILE(IF(Sold[BUILT]=B30,Sold[GROSS/SF]),0.25)</f>
        <v/>
      </c>
      <c r="K30" s="336">
        <f t="array" ref="K30">MEDIAN(IF(Sold[BUILT]=B30,Sold[GROSS/SF]))</f>
        <v/>
      </c>
    </row>
    <row r="31">
      <c r="B31" t="n">
        <v>1997</v>
      </c>
      <c r="C31" s="319">
        <f>SUMIFS(Sold[GROSS],Sold[BUILT],B31,Sold[GOV OCCP],"&gt;="&amp;0.5)+SUMIFS(Ownership[GROSS],Ownership[BUILT],B31,Ownership[OCCP],"&gt;="&amp;50)</f>
        <v/>
      </c>
      <c r="D31" s="46">
        <f>COUNTIFS(Sold[GROSS],"&gt;"&amp;0,Sold[BUILT],B31,Sold[GOV OCCP],"&gt;="&amp;0.5)+COUNTIFS(Ownership[GROSS],"&gt;"&amp;0,Ownership[BUILT],B31,Ownership[OCCP],"&gt;="&amp;50)</f>
        <v/>
      </c>
      <c r="E31" s="336">
        <f>C31/D31</f>
        <v/>
      </c>
      <c r="F31" s="46">
        <f>SUMIFS(Sold[RBA],Sold[BUILT],B31,Sold[GROSS],"&gt;"&amp;0,Sold[GOV OCCP],"&gt;="&amp;0.5)+SUMIFS(Ownership[SF LEASED],Ownership[BUILT],B31,Ownership[GROSS],"&gt;"&amp;0,Ownership[OCCP],"&gt;="&amp;50)</f>
        <v/>
      </c>
      <c r="G31" s="46">
        <f>F31/D31</f>
        <v/>
      </c>
      <c r="H31" s="336">
        <f>C31/F31</f>
        <v/>
      </c>
      <c r="I31" s="336">
        <f t="array" ref="I31">PERCENTILE(IF(Sold[BUILT]=B31,Sold[GROSS/SF]),0.75)</f>
        <v/>
      </c>
      <c r="J31" s="336">
        <f t="array" ref="J31">PERCENTILE(IF(Sold[BUILT]=B31,Sold[GROSS/SF]),0.25)</f>
        <v/>
      </c>
      <c r="K31" s="336">
        <f t="array" ref="K31">MEDIAN(IF(Sold[BUILT]=B31,Sold[GROSS/SF]))</f>
        <v/>
      </c>
    </row>
    <row r="32">
      <c r="B32" t="n">
        <v>1996</v>
      </c>
      <c r="C32" s="319">
        <f>SUMIFS(Sold[GROSS],Sold[BUILT],B32,Sold[GOV OCCP],"&gt;="&amp;0.5)+SUMIFS(Ownership[GROSS],Ownership[BUILT],B32,Ownership[OCCP],"&gt;="&amp;50)</f>
        <v/>
      </c>
      <c r="D32" s="46">
        <f>COUNTIFS(Sold[GROSS],"&gt;"&amp;0,Sold[BUILT],B32,Sold[GOV OCCP],"&gt;="&amp;0.5)+COUNTIFS(Ownership[GROSS],"&gt;"&amp;0,Ownership[BUILT],B32,Ownership[OCCP],"&gt;="&amp;50)</f>
        <v/>
      </c>
      <c r="E32" s="336">
        <f>C32/D32</f>
        <v/>
      </c>
      <c r="F32" s="46">
        <f>SUMIFS(Sold[RBA],Sold[BUILT],B32,Sold[GROSS],"&gt;"&amp;0,Sold[GOV OCCP],"&gt;="&amp;0.5)+SUMIFS(Ownership[SF LEASED],Ownership[BUILT],B32,Ownership[GROSS],"&gt;"&amp;0,Ownership[OCCP],"&gt;="&amp;50)</f>
        <v/>
      </c>
      <c r="G32" s="46">
        <f>F32/D32</f>
        <v/>
      </c>
      <c r="H32" s="336">
        <f>C32/F32</f>
        <v/>
      </c>
      <c r="I32" s="336">
        <f t="array" ref="I32">PERCENTILE(IF(Sold[BUILT]=B32,Sold[GROSS/SF]),0.75)</f>
        <v/>
      </c>
      <c r="J32" s="336">
        <f t="array" ref="J32">PERCENTILE(IF(Sold[BUILT]=B32,Sold[GROSS/SF]),0.25)</f>
        <v/>
      </c>
      <c r="K32" s="336">
        <f t="array" ref="K32">MEDIAN(IF(Sold[BUILT]=B32,Sold[GROSS/SF]))</f>
        <v/>
      </c>
    </row>
    <row r="33">
      <c r="B33" t="n">
        <v>1995</v>
      </c>
      <c r="C33" s="319">
        <f>SUMIFS(Sold[GROSS],Sold[BUILT],B33,Sold[GOV OCCP],"&gt;="&amp;0.5)+SUMIFS(Ownership[GROSS],Ownership[BUILT],B33,Ownership[OCCP],"&gt;="&amp;50)</f>
        <v/>
      </c>
      <c r="D33" s="46">
        <f>COUNTIFS(Sold[GROSS],"&gt;"&amp;0,Sold[BUILT],B33,Sold[GOV OCCP],"&gt;="&amp;0.5)+COUNTIFS(Ownership[GROSS],"&gt;"&amp;0,Ownership[BUILT],B33,Ownership[OCCP],"&gt;="&amp;50)</f>
        <v/>
      </c>
      <c r="E33" s="336">
        <f>C33/D33</f>
        <v/>
      </c>
      <c r="F33" s="46">
        <f>SUMIFS(Sold[RBA],Sold[BUILT],B33,Sold[GROSS],"&gt;"&amp;0,Sold[GOV OCCP],"&gt;="&amp;0.5)+SUMIFS(Ownership[SF LEASED],Ownership[BUILT],B33,Ownership[GROSS],"&gt;"&amp;0,Ownership[OCCP],"&gt;="&amp;50)</f>
        <v/>
      </c>
      <c r="G33" s="46">
        <f>F33/D33</f>
        <v/>
      </c>
      <c r="H33" s="336">
        <f>C33/F33</f>
        <v/>
      </c>
      <c r="I33" s="336">
        <f t="array" ref="I33">PERCENTILE(IF(Sold[BUILT]=B33,Sold[GROSS/SF]),0.75)</f>
        <v/>
      </c>
      <c r="J33" s="336">
        <f t="array" ref="J33">PERCENTILE(IF(Sold[BUILT]=B33,Sold[GROSS/SF]),0.25)</f>
        <v/>
      </c>
      <c r="K33" s="336">
        <f t="array" ref="K33">MEDIAN(IF(Sold[BUILT]=B33,Sold[GROSS/SF]))</f>
        <v/>
      </c>
    </row>
    <row r="34">
      <c r="B34" t="n">
        <v>1994</v>
      </c>
      <c r="C34" s="319">
        <f>SUMIFS(Sold[GROSS],Sold[BUILT],B34,Sold[GOV OCCP],"&gt;="&amp;0.5)+SUMIFS(Ownership[GROSS],Ownership[BUILT],B34,Ownership[OCCP],"&gt;="&amp;50)</f>
        <v/>
      </c>
      <c r="D34" s="46">
        <f>COUNTIFS(Sold[GROSS],"&gt;"&amp;0,Sold[BUILT],B34,Sold[GOV OCCP],"&gt;="&amp;0.5)+COUNTIFS(Ownership[GROSS],"&gt;"&amp;0,Ownership[BUILT],B34,Ownership[OCCP],"&gt;="&amp;50)</f>
        <v/>
      </c>
      <c r="E34" s="336">
        <f>C34/D34</f>
        <v/>
      </c>
      <c r="F34" s="46">
        <f>SUMIFS(Sold[RBA],Sold[BUILT],B34,Sold[GROSS],"&gt;"&amp;0,Sold[GOV OCCP],"&gt;="&amp;0.5)+SUMIFS(Ownership[SF LEASED],Ownership[BUILT],B34,Ownership[GROSS],"&gt;"&amp;0,Ownership[OCCP],"&gt;="&amp;50)</f>
        <v/>
      </c>
      <c r="G34" s="46">
        <f>F34/D34</f>
        <v/>
      </c>
      <c r="H34" s="336">
        <f>C34/F34</f>
        <v/>
      </c>
      <c r="I34" s="336">
        <f t="array" ref="I34">PERCENTILE(IF(Sold[BUILT]=B34,Sold[GROSS/SF]),0.75)</f>
        <v/>
      </c>
      <c r="J34" s="336">
        <f t="array" ref="J34">PERCENTILE(IF(Sold[BUILT]=B34,Sold[GROSS/SF]),0.25)</f>
        <v/>
      </c>
      <c r="K34" s="336">
        <f t="array" ref="K34">MEDIAN(IF(Sold[BUILT]=B34,Sold[GROSS/SF]))</f>
        <v/>
      </c>
    </row>
    <row r="35">
      <c r="B35" t="n">
        <v>1993</v>
      </c>
      <c r="C35" s="319">
        <f>SUMIFS(Sold[GROSS],Sold[BUILT],B35,Sold[GOV OCCP],"&gt;="&amp;0.5)+SUMIFS(Ownership[GROSS],Ownership[BUILT],B35,Ownership[OCCP],"&gt;="&amp;50)</f>
        <v/>
      </c>
      <c r="D35" s="46">
        <f>COUNTIFS(Sold[GROSS],"&gt;"&amp;0,Sold[BUILT],B35,Sold[GOV OCCP],"&gt;="&amp;0.5)+COUNTIFS(Ownership[GROSS],"&gt;"&amp;0,Ownership[BUILT],B35,Ownership[OCCP],"&gt;="&amp;50)</f>
        <v/>
      </c>
      <c r="E35" s="336">
        <f>C35/D35</f>
        <v/>
      </c>
      <c r="F35" s="46">
        <f>SUMIFS(Sold[RBA],Sold[BUILT],B35,Sold[GROSS],"&gt;"&amp;0,Sold[GOV OCCP],"&gt;="&amp;0.5)+SUMIFS(Ownership[SF LEASED],Ownership[BUILT],B35,Ownership[GROSS],"&gt;"&amp;0,Ownership[OCCP],"&gt;="&amp;50)</f>
        <v/>
      </c>
      <c r="G35" s="46">
        <f>F35/D35</f>
        <v/>
      </c>
      <c r="H35" s="336">
        <f>C35/F35</f>
        <v/>
      </c>
      <c r="I35" s="336">
        <f t="array" ref="I35">PERCENTILE(IF(Sold[BUILT]=B35,Sold[GROSS/SF]),0.75)</f>
        <v/>
      </c>
      <c r="J35" s="336">
        <f t="array" ref="J35">PERCENTILE(IF(Sold[BUILT]=B35,Sold[GROSS/SF]),0.25)</f>
        <v/>
      </c>
      <c r="K35" s="336">
        <f t="array" ref="K35">MEDIAN(IF(Sold[BUILT]=B35,Sold[GROSS/SF]))</f>
        <v/>
      </c>
    </row>
    <row r="36">
      <c r="B36" t="n">
        <v>1992</v>
      </c>
      <c r="C36" s="319">
        <f>SUMIFS(Sold[GROSS],Sold[BUILT],B36,Sold[GOV OCCP],"&gt;="&amp;0.5)+SUMIFS(Ownership[GROSS],Ownership[BUILT],B36,Ownership[OCCP],"&gt;="&amp;50)</f>
        <v/>
      </c>
      <c r="D36" s="46">
        <f>COUNTIFS(Sold[GROSS],"&gt;"&amp;0,Sold[BUILT],B36,Sold[GOV OCCP],"&gt;="&amp;0.5)+COUNTIFS(Ownership[GROSS],"&gt;"&amp;0,Ownership[BUILT],B36,Ownership[OCCP],"&gt;="&amp;50)</f>
        <v/>
      </c>
      <c r="E36" s="336">
        <f>C36/D36</f>
        <v/>
      </c>
      <c r="F36" s="46">
        <f>SUMIFS(Sold[RBA],Sold[BUILT],B36,Sold[GROSS],"&gt;"&amp;0,Sold[GOV OCCP],"&gt;="&amp;0.5)+SUMIFS(Ownership[SF LEASED],Ownership[BUILT],B36,Ownership[GROSS],"&gt;"&amp;0,Ownership[OCCP],"&gt;="&amp;50)</f>
        <v/>
      </c>
      <c r="G36" s="46">
        <f>F36/D36</f>
        <v/>
      </c>
      <c r="H36" s="336">
        <f>C36/F36</f>
        <v/>
      </c>
      <c r="I36" s="336">
        <f t="array" ref="I36">PERCENTILE(IF(Sold[BUILT]=B36,Sold[GROSS/SF]),0.75)</f>
        <v/>
      </c>
      <c r="J36" s="336">
        <f t="array" ref="J36">PERCENTILE(IF(Sold[BUILT]=B36,Sold[GROSS/SF]),0.25)</f>
        <v/>
      </c>
      <c r="K36" s="336">
        <f t="array" ref="K36">MEDIAN(IF(Sold[BUILT]=B36,Sold[GROSS/SF]))</f>
        <v/>
      </c>
    </row>
    <row r="38">
      <c r="B38" s="318" t="inlineStr">
        <is>
          <t>State</t>
        </is>
      </c>
      <c r="C38" s="318" t="inlineStr">
        <is>
          <t>Sum of Rent</t>
        </is>
      </c>
      <c r="D38" s="318" t="inlineStr">
        <is>
          <t>Count of Rent</t>
        </is>
      </c>
      <c r="E38" s="318" t="inlineStr">
        <is>
          <t>Average Rents</t>
        </is>
      </c>
      <c r="F38" s="337" t="inlineStr">
        <is>
          <t>Sum of RBA</t>
        </is>
      </c>
      <c r="G38" s="318" t="inlineStr">
        <is>
          <t>Average RBA</t>
        </is>
      </c>
      <c r="H38" s="318" t="inlineStr">
        <is>
          <t>Average RPSF</t>
        </is>
      </c>
      <c r="I38" s="318" t="inlineStr">
        <is>
          <t>Upper Quartile Rent</t>
        </is>
      </c>
      <c r="J38" s="318" t="inlineStr">
        <is>
          <t>Lower Quartile Rent</t>
        </is>
      </c>
      <c r="K38" s="318" t="inlineStr">
        <is>
          <t>Median Rent PSF</t>
        </is>
      </c>
    </row>
    <row r="39">
      <c r="B39" s="318" t="inlineStr">
        <is>
          <t>AL</t>
        </is>
      </c>
      <c r="C39" s="319">
        <f>SUMIFS(Sold[GROSS],Sold[STATE],B39,Sold[GOV OCCP],"&gt;="&amp;0.5)+SUMIFS(Ownership[GROSS],Ownership[STATE],B39,Ownership[OCCP],"&gt;="&amp;50)</f>
        <v/>
      </c>
      <c r="D39" s="46">
        <f>COUNTIFS(Sold[GROSS],"&gt;"&amp;0,Sold[STATE],B39,Sold[GOV OCCP],"&gt;="&amp;0.5)+COUNTIFS(Ownership[GROSS],"&gt;"&amp;0,Ownership[STATE],B39,Ownership[OCCP],"&gt;="&amp;50)</f>
        <v/>
      </c>
      <c r="E39" s="336">
        <f>C39/D39</f>
        <v/>
      </c>
      <c r="F39" s="46">
        <f>SUMIFS(Sold[RBA],Sold[STATE],B39,Sold[GROSS],"&gt;"&amp;0,Sold[GOV OCCP],"&gt;="&amp;0.5)+SUMIFS(Ownership[SF LEASED],Ownership[STATE],B39,Ownership[GROSS],"&gt;"&amp;0,Ownership[OCCP],"&gt;="&amp;50)</f>
        <v/>
      </c>
      <c r="G39" s="46">
        <f>F39/D39</f>
        <v/>
      </c>
      <c r="H39" s="336">
        <f>C39/F39</f>
        <v/>
      </c>
      <c r="I39" s="336">
        <f t="array" ref="I39">PERCENTILE(IF(Ownership[STATE]=B39,Ownership[GROSS/SF]),0.75)</f>
        <v/>
      </c>
      <c r="J39" s="336">
        <f t="array" ref="J39">PERCENTILE(IF(Ownership[STATE]=B39,Ownership[GROSS/SF]),0.25)</f>
        <v/>
      </c>
      <c r="K39" s="336">
        <f t="array" ref="K39">MEDIAN(IF(Ownership[STATE]=B39,Ownership[GROSS/SF]))</f>
        <v/>
      </c>
    </row>
    <row r="40">
      <c r="B40" s="318" t="inlineStr">
        <is>
          <t>AK</t>
        </is>
      </c>
      <c r="C40" s="319">
        <f>SUMIFS(Sold[GROSS],Sold[STATE],B40,Sold[GOV OCCP],"&gt;="&amp;0.5)+SUMIFS(Ownership[GROSS],Ownership[STATE],B40,Ownership[OCCP],"&gt;="&amp;50)</f>
        <v/>
      </c>
      <c r="D40" s="46">
        <f>COUNTIFS(Sold[GROSS],"&gt;"&amp;0,Sold[STATE],B40,Sold[GOV OCCP],"&gt;="&amp;0.5)+COUNTIFS(Ownership[GROSS],"&gt;"&amp;0,Ownership[STATE],B40,Ownership[OCCP],"&gt;="&amp;50)</f>
        <v/>
      </c>
      <c r="E40" s="336">
        <f>C40/D40</f>
        <v/>
      </c>
      <c r="F40" s="46">
        <f>SUMIFS(Sold[RBA],Sold[STATE],B40,Sold[GROSS],"&gt;"&amp;0,Sold[GOV OCCP],"&gt;="&amp;0.5)+SUMIFS(Ownership[SF LEASED],Ownership[STATE],B40,Ownership[GROSS],"&gt;"&amp;0,Ownership[OCCP],"&gt;="&amp;50)</f>
        <v/>
      </c>
      <c r="G40" s="46">
        <f>F40/D40</f>
        <v/>
      </c>
      <c r="H40" s="336">
        <f>C40/F40</f>
        <v/>
      </c>
      <c r="I40" s="336">
        <f t="array" ref="I40">PERCENTILE(IF(Ownership[STATE]=B40,Ownership[GROSS/SF]),0.75)</f>
        <v/>
      </c>
      <c r="J40" s="336">
        <f t="array" ref="J40">PERCENTILE(IF(Ownership[STATE]=B40,Ownership[GROSS/SF]),0.25)</f>
        <v/>
      </c>
      <c r="K40" s="336">
        <f t="array" ref="K40">MEDIAN(IF(Ownership[STATE]=B40,Ownership[GROSS/SF]))</f>
        <v/>
      </c>
    </row>
    <row r="41">
      <c r="B41" s="318" t="inlineStr">
        <is>
          <t>AZ</t>
        </is>
      </c>
      <c r="C41" s="319">
        <f>SUMIFS(Sold[GROSS],Sold[STATE],B41,Sold[GOV OCCP],"&gt;="&amp;0.5)+SUMIFS(Ownership[GROSS],Ownership[STATE],B41,Ownership[OCCP],"&gt;="&amp;50)</f>
        <v/>
      </c>
      <c r="D41" s="46">
        <f>COUNTIFS(Sold[GROSS],"&gt;"&amp;0,Sold[STATE],B41,Sold[GOV OCCP],"&gt;="&amp;0.5)+COUNTIFS(Ownership[GROSS],"&gt;"&amp;0,Ownership[STATE],B41,Ownership[OCCP],"&gt;="&amp;50)</f>
        <v/>
      </c>
      <c r="E41" s="336">
        <f>C41/D41</f>
        <v/>
      </c>
      <c r="F41" s="46">
        <f>SUMIFS(Sold[RBA],Sold[STATE],B41,Sold[GROSS],"&gt;"&amp;0,Sold[GOV OCCP],"&gt;="&amp;0.5)+SUMIFS(Ownership[SF LEASED],Ownership[STATE],B41,Ownership[GROSS],"&gt;"&amp;0,Ownership[OCCP],"&gt;="&amp;50)</f>
        <v/>
      </c>
      <c r="G41" s="46">
        <f>F41/D41</f>
        <v/>
      </c>
      <c r="H41" s="336">
        <f>C41/F41</f>
        <v/>
      </c>
      <c r="I41" s="336">
        <f t="array" ref="I41">PERCENTILE(IF(Ownership[STATE]=B41,Ownership[GROSS/SF]),0.75)</f>
        <v/>
      </c>
      <c r="J41" s="336">
        <f t="array" ref="J41">PERCENTILE(IF(Ownership[STATE]=B41,Ownership[GROSS/SF]),0.25)</f>
        <v/>
      </c>
      <c r="K41" s="336">
        <f t="array" ref="K41">MEDIAN(IF(Ownership[STATE]=B41,Ownership[GROSS/SF]))</f>
        <v/>
      </c>
    </row>
    <row r="42">
      <c r="B42" s="318" t="inlineStr">
        <is>
          <t>AR</t>
        </is>
      </c>
      <c r="C42" s="319">
        <f>SUMIFS(Sold[GROSS],Sold[STATE],B42,Sold[GOV OCCP],"&gt;="&amp;0.5)+SUMIFS(Ownership[GROSS],Ownership[STATE],B42,Ownership[OCCP],"&gt;="&amp;50)</f>
        <v/>
      </c>
      <c r="D42" s="46">
        <f>COUNTIFS(Sold[GROSS],"&gt;"&amp;0,Sold[STATE],B42,Sold[GOV OCCP],"&gt;="&amp;0.5)+COUNTIFS(Ownership[GROSS],"&gt;"&amp;0,Ownership[STATE],B42,Ownership[OCCP],"&gt;="&amp;50)</f>
        <v/>
      </c>
      <c r="E42" s="336">
        <f>C42/D42</f>
        <v/>
      </c>
      <c r="F42" s="46">
        <f>SUMIFS(Sold[RBA],Sold[STATE],B42,Sold[GROSS],"&gt;"&amp;0,Sold[GOV OCCP],"&gt;="&amp;0.5)+SUMIFS(Ownership[SF LEASED],Ownership[STATE],B42,Ownership[GROSS],"&gt;"&amp;0,Ownership[OCCP],"&gt;="&amp;50)</f>
        <v/>
      </c>
      <c r="G42" s="46">
        <f>F42/D42</f>
        <v/>
      </c>
      <c r="H42" s="336">
        <f>C42/F42</f>
        <v/>
      </c>
      <c r="I42" s="336">
        <f t="array" ref="I42">PERCENTILE(IF(Ownership[STATE]=B42,Ownership[GROSS/SF]),0.75)</f>
        <v/>
      </c>
      <c r="J42" s="336">
        <f t="array" ref="J42">PERCENTILE(IF(Ownership[STATE]=B42,Ownership[GROSS/SF]),0.25)</f>
        <v/>
      </c>
      <c r="K42" s="336">
        <f t="array" ref="K42">MEDIAN(IF(Ownership[STATE]=B42,Ownership[GROSS/SF]))</f>
        <v/>
      </c>
      <c r="M42" s="334" t="inlineStr">
        <is>
          <t>18 - Rent Heat Map</t>
        </is>
      </c>
    </row>
    <row r="43">
      <c r="B43" s="318" t="inlineStr">
        <is>
          <t>CA</t>
        </is>
      </c>
      <c r="C43" s="319">
        <f>SUMIFS(Sold[GROSS],Sold[STATE],B43,Sold[GOV OCCP],"&gt;="&amp;0.5)+SUMIFS(Ownership[GROSS],Ownership[STATE],B43,Ownership[OCCP],"&gt;="&amp;50)</f>
        <v/>
      </c>
      <c r="D43" s="46">
        <f>COUNTIFS(Sold[GROSS],"&gt;"&amp;0,Sold[STATE],B43,Sold[GOV OCCP],"&gt;="&amp;0.5)+COUNTIFS(Ownership[GROSS],"&gt;"&amp;0,Ownership[STATE],B43,Ownership[OCCP],"&gt;="&amp;50)</f>
        <v/>
      </c>
      <c r="E43" s="336">
        <f>C43/D43</f>
        <v/>
      </c>
      <c r="F43" s="46">
        <f>SUMIFS(Sold[RBA],Sold[STATE],B43,Sold[GROSS],"&gt;"&amp;0,Sold[GOV OCCP],"&gt;="&amp;0.5)+SUMIFS(Ownership[SF LEASED],Ownership[STATE],B43,Ownership[GROSS],"&gt;"&amp;0,Ownership[OCCP],"&gt;="&amp;50)</f>
        <v/>
      </c>
      <c r="G43" s="46">
        <f>F43/D43</f>
        <v/>
      </c>
      <c r="H43" s="336">
        <f>C43/F43</f>
        <v/>
      </c>
      <c r="I43" s="336">
        <f t="array" ref="I43">PERCENTILE(IF(Ownership[STATE]=B43,Ownership[GROSS/SF]),0.75)</f>
        <v/>
      </c>
      <c r="J43" s="336">
        <f t="array" ref="J43">PERCENTILE(IF(Ownership[STATE]=B43,Ownership[GROSS/SF]),0.25)</f>
        <v/>
      </c>
      <c r="K43" s="336">
        <f t="array" ref="K43">MEDIAN(IF(Ownership[STATE]=B43,Ownership[GROSS/SF]))</f>
        <v/>
      </c>
    </row>
    <row r="44">
      <c r="B44" s="318" t="inlineStr">
        <is>
          <t>CO</t>
        </is>
      </c>
      <c r="C44" s="319">
        <f>SUMIFS(Sold[GROSS],Sold[STATE],B44,Sold[GOV OCCP],"&gt;="&amp;0.5)+SUMIFS(Ownership[GROSS],Ownership[STATE],B44,Ownership[OCCP],"&gt;="&amp;50)</f>
        <v/>
      </c>
      <c r="D44" s="46">
        <f>COUNTIFS(Sold[GROSS],"&gt;"&amp;0,Sold[STATE],B44,Sold[GOV OCCP],"&gt;="&amp;0.5)+COUNTIFS(Ownership[GROSS],"&gt;"&amp;0,Ownership[STATE],B44,Ownership[OCCP],"&gt;="&amp;50)</f>
        <v/>
      </c>
      <c r="E44" s="336">
        <f>C44/D44</f>
        <v/>
      </c>
      <c r="F44" s="46">
        <f>SUMIFS(Sold[RBA],Sold[STATE],B44,Sold[GROSS],"&gt;"&amp;0,Sold[GOV OCCP],"&gt;="&amp;0.5)+SUMIFS(Ownership[SF LEASED],Ownership[STATE],B44,Ownership[GROSS],"&gt;"&amp;0,Ownership[OCCP],"&gt;="&amp;50)</f>
        <v/>
      </c>
      <c r="G44" s="46">
        <f>F44/D44</f>
        <v/>
      </c>
      <c r="H44" s="336">
        <f>C44/F44</f>
        <v/>
      </c>
      <c r="I44" s="336">
        <f t="array" ref="I44">PERCENTILE(IF(Ownership[STATE]=B44,Ownership[GROSS/SF]),0.75)</f>
        <v/>
      </c>
      <c r="J44" s="336">
        <f t="array" ref="J44">PERCENTILE(IF(Ownership[STATE]=B44,Ownership[GROSS/SF]),0.25)</f>
        <v/>
      </c>
      <c r="K44" s="336">
        <f t="array" ref="K44">MEDIAN(IF(Ownership[STATE]=B44,Ownership[GROSS/SF]))</f>
        <v/>
      </c>
    </row>
    <row r="45">
      <c r="B45" s="318" t="inlineStr">
        <is>
          <t>CT</t>
        </is>
      </c>
      <c r="C45" s="319">
        <f>SUMIFS(Sold[GROSS],Sold[STATE],B45,Sold[GOV OCCP],"&gt;="&amp;0.5)+SUMIFS(Ownership[GROSS],Ownership[STATE],B45,Ownership[OCCP],"&gt;="&amp;50)</f>
        <v/>
      </c>
      <c r="D45" s="46">
        <f>COUNTIFS(Sold[GROSS],"&gt;"&amp;0,Sold[STATE],B45,Sold[GOV OCCP],"&gt;="&amp;0.5)+COUNTIFS(Ownership[GROSS],"&gt;"&amp;0,Ownership[STATE],B45,Ownership[OCCP],"&gt;="&amp;50)</f>
        <v/>
      </c>
      <c r="E45" s="336">
        <f>C45/D45</f>
        <v/>
      </c>
      <c r="F45" s="46">
        <f>SUMIFS(Sold[RBA],Sold[STATE],B45,Sold[GROSS],"&gt;"&amp;0,Sold[GOV OCCP],"&gt;="&amp;0.5)+SUMIFS(Ownership[SF LEASED],Ownership[STATE],B45,Ownership[GROSS],"&gt;"&amp;0,Ownership[OCCP],"&gt;="&amp;50)</f>
        <v/>
      </c>
      <c r="G45" s="46">
        <f>F45/D45</f>
        <v/>
      </c>
      <c r="H45" s="336">
        <f>C45/F45</f>
        <v/>
      </c>
      <c r="I45" s="336">
        <f t="array" ref="I45">PERCENTILE(IF(Ownership[STATE]=B45,Ownership[GROSS/SF]),0.75)</f>
        <v/>
      </c>
      <c r="J45" s="336">
        <f t="array" ref="J45">PERCENTILE(IF(Ownership[STATE]=B45,Ownership[GROSS/SF]),0.25)</f>
        <v/>
      </c>
      <c r="K45" s="336">
        <f t="array" ref="K45">MEDIAN(IF(Ownership[STATE]=B45,Ownership[GROSS/SF]))</f>
        <v/>
      </c>
    </row>
    <row r="46">
      <c r="B46" s="318" t="inlineStr">
        <is>
          <t>DE</t>
        </is>
      </c>
      <c r="C46" s="319">
        <f>SUMIFS(Sold[GROSS],Sold[STATE],B46,Sold[GOV OCCP],"&gt;="&amp;0.5)+SUMIFS(Ownership[GROSS],Ownership[STATE],B46,Ownership[OCCP],"&gt;="&amp;50)</f>
        <v/>
      </c>
      <c r="D46" s="46">
        <f>COUNTIFS(Sold[GROSS],"&gt;"&amp;0,Sold[STATE],B46,Sold[GOV OCCP],"&gt;="&amp;0.5)+COUNTIFS(Ownership[GROSS],"&gt;"&amp;0,Ownership[STATE],B46,Ownership[OCCP],"&gt;="&amp;50)</f>
        <v/>
      </c>
      <c r="E46" s="336">
        <f>C46/D46</f>
        <v/>
      </c>
      <c r="F46" s="46">
        <f>SUMIFS(Sold[RBA],Sold[STATE],B46,Sold[GROSS],"&gt;"&amp;0,Sold[GOV OCCP],"&gt;="&amp;0.5)+SUMIFS(Ownership[SF LEASED],Ownership[STATE],B46,Ownership[GROSS],"&gt;"&amp;0,Ownership[OCCP],"&gt;="&amp;50)</f>
        <v/>
      </c>
      <c r="G46" s="46">
        <f>F46/D46</f>
        <v/>
      </c>
      <c r="H46" s="336">
        <f>C46/F46</f>
        <v/>
      </c>
      <c r="I46" s="336">
        <f t="array" ref="I46">PERCENTILE(IF(Ownership[STATE]=B46,Ownership[GROSS/SF]),0.75)</f>
        <v/>
      </c>
      <c r="J46" s="336">
        <f t="array" ref="J46">PERCENTILE(IF(Ownership[STATE]=B46,Ownership[GROSS/SF]),0.25)</f>
        <v/>
      </c>
      <c r="K46" s="336">
        <f t="array" ref="K46">MEDIAN(IF(Ownership[STATE]=B46,Ownership[GROSS/SF]))</f>
        <v/>
      </c>
    </row>
    <row r="47">
      <c r="B47" s="318" t="inlineStr">
        <is>
          <t>DC</t>
        </is>
      </c>
      <c r="C47" s="319">
        <f>SUMIFS(Sold[GROSS],Sold[STATE],B47,Sold[GOV OCCP],"&gt;="&amp;0.5)+SUMIFS(Ownership[GROSS],Ownership[STATE],B47,Ownership[OCCP],"&gt;="&amp;50)</f>
        <v/>
      </c>
      <c r="D47" s="46">
        <f>COUNTIFS(Sold[GROSS],"&gt;"&amp;0,Sold[STATE],B47,Sold[GOV OCCP],"&gt;="&amp;0.5)+COUNTIFS(Ownership[GROSS],"&gt;"&amp;0,Ownership[STATE],B47,Ownership[OCCP],"&gt;="&amp;50)</f>
        <v/>
      </c>
      <c r="E47" s="336">
        <f>C47/D47</f>
        <v/>
      </c>
      <c r="F47" s="46">
        <f>SUMIFS(Sold[RBA],Sold[STATE],B47,Sold[GROSS],"&gt;"&amp;0,Sold[GOV OCCP],"&gt;="&amp;0.5)+SUMIFS(Ownership[SF LEASED],Ownership[STATE],B47,Ownership[GROSS],"&gt;"&amp;0,Ownership[OCCP],"&gt;="&amp;50)</f>
        <v/>
      </c>
      <c r="G47" s="46">
        <f>F47/D47</f>
        <v/>
      </c>
      <c r="H47" s="336">
        <f>C47/F47</f>
        <v/>
      </c>
      <c r="I47" s="336">
        <f t="array" ref="I47">PERCENTILE(IF(Ownership[STATE]=B47,Ownership[GROSS/SF]),0.75)</f>
        <v/>
      </c>
      <c r="J47" s="336">
        <f t="array" ref="J47">PERCENTILE(IF(Ownership[STATE]=B47,Ownership[GROSS/SF]),0.25)</f>
        <v/>
      </c>
      <c r="K47" s="336">
        <f t="array" ref="K47">MEDIAN(IF(Ownership[STATE]=B47,Ownership[GROSS/SF]))</f>
        <v/>
      </c>
    </row>
    <row r="48">
      <c r="B48" s="318" t="inlineStr">
        <is>
          <t>FL</t>
        </is>
      </c>
      <c r="C48" s="319">
        <f>SUMIFS(Sold[GROSS],Sold[STATE],B48,Sold[GOV OCCP],"&gt;="&amp;0.5)+SUMIFS(Ownership[GROSS],Ownership[STATE],B48,Ownership[OCCP],"&gt;="&amp;50)</f>
        <v/>
      </c>
      <c r="D48" s="46">
        <f>COUNTIFS(Sold[GROSS],"&gt;"&amp;0,Sold[STATE],B48,Sold[GOV OCCP],"&gt;="&amp;0.5)+COUNTIFS(Ownership[GROSS],"&gt;"&amp;0,Ownership[STATE],B48,Ownership[OCCP],"&gt;="&amp;50)</f>
        <v/>
      </c>
      <c r="E48" s="336">
        <f>C48/D48</f>
        <v/>
      </c>
      <c r="F48" s="46">
        <f>SUMIFS(Sold[RBA],Sold[STATE],B48,Sold[GROSS],"&gt;"&amp;0,Sold[GOV OCCP],"&gt;="&amp;0.5)+SUMIFS(Ownership[SF LEASED],Ownership[STATE],B48,Ownership[GROSS],"&gt;"&amp;0,Ownership[OCCP],"&gt;="&amp;50)</f>
        <v/>
      </c>
      <c r="G48" s="46">
        <f>F48/D48</f>
        <v/>
      </c>
      <c r="H48" s="336">
        <f>C48/F48</f>
        <v/>
      </c>
      <c r="I48" s="336">
        <f t="array" ref="I48">PERCENTILE(IF(Ownership[STATE]=B48,Ownership[GROSS/SF]),0.75)</f>
        <v/>
      </c>
      <c r="J48" s="336">
        <f t="array" ref="J48">PERCENTILE(IF(Ownership[STATE]=B48,Ownership[GROSS/SF]),0.25)</f>
        <v/>
      </c>
      <c r="K48" s="336">
        <f t="array" ref="K48">MEDIAN(IF(Ownership[STATE]=B48,Ownership[GROSS/SF]))</f>
        <v/>
      </c>
    </row>
    <row r="49">
      <c r="B49" s="318" t="inlineStr">
        <is>
          <t>GA</t>
        </is>
      </c>
      <c r="C49" s="319">
        <f>SUMIFS(Sold[GROSS],Sold[STATE],B49,Sold[GOV OCCP],"&gt;="&amp;0.5)+SUMIFS(Ownership[GROSS],Ownership[STATE],B49,Ownership[OCCP],"&gt;="&amp;50)</f>
        <v/>
      </c>
      <c r="D49" s="46">
        <f>COUNTIFS(Sold[GROSS],"&gt;"&amp;0,Sold[STATE],B49,Sold[GOV OCCP],"&gt;="&amp;0.5)+COUNTIFS(Ownership[GROSS],"&gt;"&amp;0,Ownership[STATE],B49,Ownership[OCCP],"&gt;="&amp;50)</f>
        <v/>
      </c>
      <c r="E49" s="336">
        <f>C49/D49</f>
        <v/>
      </c>
      <c r="F49" s="46">
        <f>SUMIFS(Sold[RBA],Sold[STATE],B49,Sold[GROSS],"&gt;"&amp;0,Sold[GOV OCCP],"&gt;="&amp;0.5)+SUMIFS(Ownership[SF LEASED],Ownership[STATE],B49,Ownership[GROSS],"&gt;"&amp;0,Ownership[OCCP],"&gt;="&amp;50)</f>
        <v/>
      </c>
      <c r="G49" s="46">
        <f>F49/D49</f>
        <v/>
      </c>
      <c r="H49" s="336">
        <f>C49/F49</f>
        <v/>
      </c>
      <c r="I49" s="336">
        <f t="array" ref="I49">PERCENTILE(IF(Ownership[STATE]=B49,Ownership[GROSS/SF]),0.75)</f>
        <v/>
      </c>
      <c r="J49" s="336">
        <f t="array" ref="J49">PERCENTILE(IF(Ownership[STATE]=B49,Ownership[GROSS/SF]),0.25)</f>
        <v/>
      </c>
      <c r="K49" s="336">
        <f t="array" ref="K49">MEDIAN(IF(Ownership[STATE]=B49,Ownership[GROSS/SF]))</f>
        <v/>
      </c>
    </row>
    <row r="50">
      <c r="B50" s="318" t="inlineStr">
        <is>
          <t>HI</t>
        </is>
      </c>
      <c r="C50" s="319">
        <f>SUMIFS(Sold[GROSS],Sold[STATE],B50,Sold[GOV OCCP],"&gt;="&amp;0.5)+SUMIFS(Ownership[GROSS],Ownership[STATE],B50,Ownership[OCCP],"&gt;="&amp;50)</f>
        <v/>
      </c>
      <c r="D50" s="46">
        <f>COUNTIFS(Sold[GROSS],"&gt;"&amp;0,Sold[STATE],B50,Sold[GOV OCCP],"&gt;="&amp;0.5)+COUNTIFS(Ownership[GROSS],"&gt;"&amp;0,Ownership[STATE],B50,Ownership[OCCP],"&gt;="&amp;50)</f>
        <v/>
      </c>
      <c r="E50" s="336">
        <f>C50/D50</f>
        <v/>
      </c>
      <c r="F50" s="46">
        <f>SUMIFS(Sold[RBA],Sold[STATE],B50,Sold[GROSS],"&gt;"&amp;0,Sold[GOV OCCP],"&gt;="&amp;0.5)+SUMIFS(Ownership[SF LEASED],Ownership[STATE],B50,Ownership[GROSS],"&gt;"&amp;0,Ownership[OCCP],"&gt;="&amp;50)</f>
        <v/>
      </c>
      <c r="G50" s="46">
        <f>F50/D50</f>
        <v/>
      </c>
      <c r="H50" s="336">
        <f>C50/F50</f>
        <v/>
      </c>
      <c r="I50" s="336">
        <f t="array" ref="I50">PERCENTILE(IF(Ownership[STATE]=B50,Ownership[GROSS/SF]),0.75)</f>
        <v/>
      </c>
      <c r="J50" s="336">
        <f t="array" ref="J50">PERCENTILE(IF(Ownership[STATE]=B50,Ownership[GROSS/SF]),0.25)</f>
        <v/>
      </c>
      <c r="K50" s="336">
        <f t="array" ref="K50">MEDIAN(IF(Ownership[STATE]=B50,Ownership[GROSS/SF]))</f>
        <v/>
      </c>
    </row>
    <row r="51">
      <c r="B51" s="318" t="inlineStr">
        <is>
          <t>ID</t>
        </is>
      </c>
      <c r="C51" s="319">
        <f>SUMIFS(Sold[GROSS],Sold[STATE],B51,Sold[GOV OCCP],"&gt;="&amp;0.5)+SUMIFS(Ownership[GROSS],Ownership[STATE],B51,Ownership[OCCP],"&gt;="&amp;50)</f>
        <v/>
      </c>
      <c r="D51" s="46">
        <f>COUNTIFS(Sold[GROSS],"&gt;"&amp;0,Sold[STATE],B51,Sold[GOV OCCP],"&gt;="&amp;0.5)+COUNTIFS(Ownership[GROSS],"&gt;"&amp;0,Ownership[STATE],B51,Ownership[OCCP],"&gt;="&amp;50)</f>
        <v/>
      </c>
      <c r="E51" s="336">
        <f>C51/D51</f>
        <v/>
      </c>
      <c r="F51" s="46">
        <f>SUMIFS(Sold[RBA],Sold[STATE],B51,Sold[GROSS],"&gt;"&amp;0,Sold[GOV OCCP],"&gt;="&amp;0.5)+SUMIFS(Ownership[SF LEASED],Ownership[STATE],B51,Ownership[GROSS],"&gt;"&amp;0,Ownership[OCCP],"&gt;="&amp;50)</f>
        <v/>
      </c>
      <c r="G51" s="46">
        <f>F51/D51</f>
        <v/>
      </c>
      <c r="H51" s="336">
        <f>C51/F51</f>
        <v/>
      </c>
      <c r="I51" s="336">
        <f t="array" ref="I51">PERCENTILE(IF(Ownership[STATE]=B51,Ownership[GROSS/SF]),0.75)</f>
        <v/>
      </c>
      <c r="J51" s="336">
        <f t="array" ref="J51">PERCENTILE(IF(Ownership[STATE]=B51,Ownership[GROSS/SF]),0.25)</f>
        <v/>
      </c>
      <c r="K51" s="336">
        <f t="array" ref="K51">MEDIAN(IF(Ownership[STATE]=B51,Ownership[GROSS/SF]))</f>
        <v/>
      </c>
    </row>
    <row r="52">
      <c r="B52" s="318" t="inlineStr">
        <is>
          <t>IL</t>
        </is>
      </c>
      <c r="C52" s="319">
        <f>SUMIFS(Sold[GROSS],Sold[STATE],B52,Sold[GOV OCCP],"&gt;="&amp;0.5)+SUMIFS(Ownership[GROSS],Ownership[STATE],B52,Ownership[OCCP],"&gt;="&amp;50)</f>
        <v/>
      </c>
      <c r="D52" s="46">
        <f>COUNTIFS(Sold[GROSS],"&gt;"&amp;0,Sold[STATE],B52,Sold[GOV OCCP],"&gt;="&amp;0.5)+COUNTIFS(Ownership[GROSS],"&gt;"&amp;0,Ownership[STATE],B52,Ownership[OCCP],"&gt;="&amp;50)</f>
        <v/>
      </c>
      <c r="E52" s="336">
        <f>C52/D52</f>
        <v/>
      </c>
      <c r="F52" s="46">
        <f>SUMIFS(Sold[RBA],Sold[STATE],B52,Sold[GROSS],"&gt;"&amp;0,Sold[GOV OCCP],"&gt;="&amp;0.5)+SUMIFS(Ownership[SF LEASED],Ownership[STATE],B52,Ownership[GROSS],"&gt;"&amp;0,Ownership[OCCP],"&gt;="&amp;50)</f>
        <v/>
      </c>
      <c r="G52" s="46">
        <f>F52/D52</f>
        <v/>
      </c>
      <c r="H52" s="336">
        <f>C52/F52</f>
        <v/>
      </c>
      <c r="I52" s="336">
        <f t="array" ref="I52">PERCENTILE(IF(Ownership[STATE]=B52,Ownership[GROSS/SF]),0.75)</f>
        <v/>
      </c>
      <c r="J52" s="336">
        <f t="array" ref="J52">PERCENTILE(IF(Ownership[STATE]=B52,Ownership[GROSS/SF]),0.25)</f>
        <v/>
      </c>
      <c r="K52" s="336">
        <f t="array" ref="K52">MEDIAN(IF(Ownership[STATE]=B52,Ownership[GROSS/SF]))</f>
        <v/>
      </c>
    </row>
    <row r="53">
      <c r="B53" s="318" t="inlineStr">
        <is>
          <t>IN</t>
        </is>
      </c>
      <c r="C53" s="319">
        <f>SUMIFS(Sold[GROSS],Sold[STATE],B53,Sold[GOV OCCP],"&gt;="&amp;0.5)+SUMIFS(Ownership[GROSS],Ownership[STATE],B53,Ownership[OCCP],"&gt;="&amp;50)</f>
        <v/>
      </c>
      <c r="D53" s="46">
        <f>COUNTIFS(Sold[GROSS],"&gt;"&amp;0,Sold[STATE],B53,Sold[GOV OCCP],"&gt;="&amp;0.5)+COUNTIFS(Ownership[GROSS],"&gt;"&amp;0,Ownership[STATE],B53,Ownership[OCCP],"&gt;="&amp;50)</f>
        <v/>
      </c>
      <c r="E53" s="336">
        <f>C53/D53</f>
        <v/>
      </c>
      <c r="F53" s="46">
        <f>SUMIFS(Sold[RBA],Sold[STATE],B53,Sold[GROSS],"&gt;"&amp;0,Sold[GOV OCCP],"&gt;="&amp;0.5)+SUMIFS(Ownership[SF LEASED],Ownership[STATE],B53,Ownership[GROSS],"&gt;"&amp;0,Ownership[OCCP],"&gt;="&amp;50)</f>
        <v/>
      </c>
      <c r="G53" s="46">
        <f>F53/D53</f>
        <v/>
      </c>
      <c r="H53" s="336">
        <f>C53/F53</f>
        <v/>
      </c>
      <c r="I53" s="336">
        <f t="array" ref="I53">PERCENTILE(IF(Ownership[STATE]=B53,Ownership[GROSS/SF]),0.75)</f>
        <v/>
      </c>
      <c r="J53" s="336">
        <f t="array" ref="J53">PERCENTILE(IF(Ownership[STATE]=B53,Ownership[GROSS/SF]),0.25)</f>
        <v/>
      </c>
      <c r="K53" s="336">
        <f t="array" ref="K53">MEDIAN(IF(Ownership[STATE]=B53,Ownership[GROSS/SF]))</f>
        <v/>
      </c>
    </row>
    <row r="54">
      <c r="B54" s="318" t="inlineStr">
        <is>
          <t>IA</t>
        </is>
      </c>
      <c r="C54" s="319">
        <f>SUMIFS(Sold[GROSS],Sold[STATE],B54,Sold[GOV OCCP],"&gt;="&amp;0.5)+SUMIFS(Ownership[GROSS],Ownership[STATE],B54,Ownership[OCCP],"&gt;="&amp;50)</f>
        <v/>
      </c>
      <c r="D54" s="46">
        <f>COUNTIFS(Sold[GROSS],"&gt;"&amp;0,Sold[STATE],B54,Sold[GOV OCCP],"&gt;="&amp;0.5)+COUNTIFS(Ownership[GROSS],"&gt;"&amp;0,Ownership[STATE],B54,Ownership[OCCP],"&gt;="&amp;50)</f>
        <v/>
      </c>
      <c r="E54" s="336">
        <f>C54/D54</f>
        <v/>
      </c>
      <c r="F54" s="46">
        <f>SUMIFS(Sold[RBA],Sold[STATE],B54,Sold[GROSS],"&gt;"&amp;0,Sold[GOV OCCP],"&gt;="&amp;0.5)+SUMIFS(Ownership[SF LEASED],Ownership[STATE],B54,Ownership[GROSS],"&gt;"&amp;0,Ownership[OCCP],"&gt;="&amp;50)</f>
        <v/>
      </c>
      <c r="G54" s="46">
        <f>F54/D54</f>
        <v/>
      </c>
      <c r="H54" s="336">
        <f>C54/F54</f>
        <v/>
      </c>
      <c r="I54" s="336">
        <f t="array" ref="I54">PERCENTILE(IF(Ownership[STATE]=B54,Ownership[GROSS/SF]),0.75)</f>
        <v/>
      </c>
      <c r="J54" s="336">
        <f t="array" ref="J54">PERCENTILE(IF(Ownership[STATE]=B54,Ownership[GROSS/SF]),0.25)</f>
        <v/>
      </c>
      <c r="K54" s="336">
        <f t="array" ref="K54">MEDIAN(IF(Ownership[STATE]=B54,Ownership[GROSS/SF]))</f>
        <v/>
      </c>
    </row>
    <row r="55">
      <c r="B55" s="318" t="inlineStr">
        <is>
          <t>KS</t>
        </is>
      </c>
      <c r="C55" s="319">
        <f>SUMIFS(Sold[GROSS],Sold[STATE],B55,Sold[GOV OCCP],"&gt;="&amp;0.5)+SUMIFS(Ownership[GROSS],Ownership[STATE],B55,Ownership[OCCP],"&gt;="&amp;50)</f>
        <v/>
      </c>
      <c r="D55" s="46">
        <f>COUNTIFS(Sold[GROSS],"&gt;"&amp;0,Sold[STATE],B55,Sold[GOV OCCP],"&gt;="&amp;0.5)+COUNTIFS(Ownership[GROSS],"&gt;"&amp;0,Ownership[STATE],B55,Ownership[OCCP],"&gt;="&amp;50)</f>
        <v/>
      </c>
      <c r="E55" s="336">
        <f>C55/D55</f>
        <v/>
      </c>
      <c r="F55" s="46">
        <f>SUMIFS(Sold[RBA],Sold[STATE],B55,Sold[GROSS],"&gt;"&amp;0,Sold[GOV OCCP],"&gt;="&amp;0.5)+SUMIFS(Ownership[SF LEASED],Ownership[STATE],B55,Ownership[GROSS],"&gt;"&amp;0,Ownership[OCCP],"&gt;="&amp;50)</f>
        <v/>
      </c>
      <c r="G55" s="46">
        <f>F55/D55</f>
        <v/>
      </c>
      <c r="H55" s="336">
        <f>C55/F55</f>
        <v/>
      </c>
      <c r="I55" s="336">
        <f t="array" ref="I55">PERCENTILE(IF(Ownership[STATE]=B55,Ownership[GROSS/SF]),0.75)</f>
        <v/>
      </c>
      <c r="J55" s="336">
        <f t="array" ref="J55">PERCENTILE(IF(Ownership[STATE]=B55,Ownership[GROSS/SF]),0.25)</f>
        <v/>
      </c>
      <c r="K55" s="336">
        <f t="array" ref="K55">MEDIAN(IF(Ownership[STATE]=B55,Ownership[GROSS/SF]))</f>
        <v/>
      </c>
    </row>
    <row r="56">
      <c r="B56" s="318" t="inlineStr">
        <is>
          <t>KY</t>
        </is>
      </c>
      <c r="C56" s="319">
        <f>SUMIFS(Sold[GROSS],Sold[STATE],B56,Sold[GOV OCCP],"&gt;="&amp;0.5)+SUMIFS(Ownership[GROSS],Ownership[STATE],B56,Ownership[OCCP],"&gt;="&amp;50)</f>
        <v/>
      </c>
      <c r="D56" s="46">
        <f>COUNTIFS(Sold[GROSS],"&gt;"&amp;0,Sold[STATE],B56,Sold[GOV OCCP],"&gt;="&amp;0.5)+COUNTIFS(Ownership[GROSS],"&gt;"&amp;0,Ownership[STATE],B56,Ownership[OCCP],"&gt;="&amp;50)</f>
        <v/>
      </c>
      <c r="E56" s="336">
        <f>C56/D56</f>
        <v/>
      </c>
      <c r="F56" s="46">
        <f>SUMIFS(Sold[RBA],Sold[STATE],B56,Sold[GROSS],"&gt;"&amp;0,Sold[GOV OCCP],"&gt;="&amp;0.5)+SUMIFS(Ownership[SF LEASED],Ownership[STATE],B56,Ownership[GROSS],"&gt;"&amp;0,Ownership[OCCP],"&gt;="&amp;50)</f>
        <v/>
      </c>
      <c r="G56" s="46">
        <f>F56/D56</f>
        <v/>
      </c>
      <c r="H56" s="336">
        <f>C56/F56</f>
        <v/>
      </c>
      <c r="I56" s="336">
        <f t="array" ref="I56">PERCENTILE(IF(Ownership[STATE]=B56,Ownership[GROSS/SF]),0.75)</f>
        <v/>
      </c>
      <c r="J56" s="336">
        <f t="array" ref="J56">PERCENTILE(IF(Ownership[STATE]=B56,Ownership[GROSS/SF]),0.25)</f>
        <v/>
      </c>
      <c r="K56" s="336">
        <f t="array" ref="K56">MEDIAN(IF(Ownership[STATE]=B56,Ownership[GROSS/SF]))</f>
        <v/>
      </c>
    </row>
    <row r="57">
      <c r="B57" s="318" t="inlineStr">
        <is>
          <t>LA</t>
        </is>
      </c>
      <c r="C57" s="319">
        <f>SUMIFS(Sold[GROSS],Sold[STATE],B57,Sold[GOV OCCP],"&gt;="&amp;0.5)+SUMIFS(Ownership[GROSS],Ownership[STATE],B57,Ownership[OCCP],"&gt;="&amp;50)</f>
        <v/>
      </c>
      <c r="D57" s="46">
        <f>COUNTIFS(Sold[GROSS],"&gt;"&amp;0,Sold[STATE],B57,Sold[GOV OCCP],"&gt;="&amp;0.5)+COUNTIFS(Ownership[GROSS],"&gt;"&amp;0,Ownership[STATE],B57,Ownership[OCCP],"&gt;="&amp;50)</f>
        <v/>
      </c>
      <c r="E57" s="336">
        <f>C57/D57</f>
        <v/>
      </c>
      <c r="F57" s="46">
        <f>SUMIFS(Sold[RBA],Sold[STATE],B57,Sold[GROSS],"&gt;"&amp;0,Sold[GOV OCCP],"&gt;="&amp;0.5)+SUMIFS(Ownership[SF LEASED],Ownership[STATE],B57,Ownership[GROSS],"&gt;"&amp;0,Ownership[OCCP],"&gt;="&amp;50)</f>
        <v/>
      </c>
      <c r="G57" s="46">
        <f>F57/D57</f>
        <v/>
      </c>
      <c r="H57" s="336">
        <f>C57/F57</f>
        <v/>
      </c>
      <c r="I57" s="336">
        <f t="array" ref="I57">PERCENTILE(IF(Ownership[STATE]=B57,Ownership[GROSS/SF]),0.75)</f>
        <v/>
      </c>
      <c r="J57" s="336">
        <f t="array" ref="J57">PERCENTILE(IF(Ownership[STATE]=B57,Ownership[GROSS/SF]),0.25)</f>
        <v/>
      </c>
      <c r="K57" s="336">
        <f t="array" ref="K57">MEDIAN(IF(Ownership[STATE]=B57,Ownership[GROSS/SF]))</f>
        <v/>
      </c>
    </row>
    <row r="58">
      <c r="B58" s="318" t="inlineStr">
        <is>
          <t>ME</t>
        </is>
      </c>
      <c r="C58" s="319">
        <f>SUMIFS(Sold[GROSS],Sold[STATE],B58,Sold[GOV OCCP],"&gt;="&amp;0.5)+SUMIFS(Ownership[GROSS],Ownership[STATE],B58,Ownership[OCCP],"&gt;="&amp;50)</f>
        <v/>
      </c>
      <c r="D58" s="46">
        <f>COUNTIFS(Sold[GROSS],"&gt;"&amp;0,Sold[STATE],B58,Sold[GOV OCCP],"&gt;="&amp;0.5)+COUNTIFS(Ownership[GROSS],"&gt;"&amp;0,Ownership[STATE],B58,Ownership[OCCP],"&gt;="&amp;50)</f>
        <v/>
      </c>
      <c r="E58" s="336">
        <f>C58/D58</f>
        <v/>
      </c>
      <c r="F58" s="46">
        <f>SUMIFS(Sold[RBA],Sold[STATE],B58,Sold[GROSS],"&gt;"&amp;0,Sold[GOV OCCP],"&gt;="&amp;0.5)+SUMIFS(Ownership[SF LEASED],Ownership[STATE],B58,Ownership[GROSS],"&gt;"&amp;0,Ownership[OCCP],"&gt;="&amp;50)</f>
        <v/>
      </c>
      <c r="G58" s="46">
        <f>F58/D58</f>
        <v/>
      </c>
      <c r="H58" s="336">
        <f>C58/F58</f>
        <v/>
      </c>
      <c r="I58" s="336">
        <f t="array" ref="I58">PERCENTILE(IF(Ownership[STATE]=B58,Ownership[GROSS/SF]),0.75)</f>
        <v/>
      </c>
      <c r="J58" s="336">
        <f t="array" ref="J58">PERCENTILE(IF(Ownership[STATE]=B58,Ownership[GROSS/SF]),0.25)</f>
        <v/>
      </c>
      <c r="K58" s="336">
        <f t="array" ref="K58">MEDIAN(IF(Ownership[STATE]=B58,Ownership[GROSS/SF]))</f>
        <v/>
      </c>
    </row>
    <row r="59">
      <c r="B59" s="318" t="inlineStr">
        <is>
          <t>MD</t>
        </is>
      </c>
      <c r="C59" s="319">
        <f>SUMIFS(Sold[GROSS],Sold[STATE],B59,Sold[GOV OCCP],"&gt;="&amp;0.5)+SUMIFS(Ownership[GROSS],Ownership[STATE],B59,Ownership[OCCP],"&gt;="&amp;50)</f>
        <v/>
      </c>
      <c r="D59" s="46">
        <f>COUNTIFS(Sold[GROSS],"&gt;"&amp;0,Sold[STATE],B59,Sold[GOV OCCP],"&gt;="&amp;0.5)+COUNTIFS(Ownership[GROSS],"&gt;"&amp;0,Ownership[STATE],B59,Ownership[OCCP],"&gt;="&amp;50)</f>
        <v/>
      </c>
      <c r="E59" s="336">
        <f>C59/D59</f>
        <v/>
      </c>
      <c r="F59" s="46">
        <f>SUMIFS(Sold[RBA],Sold[STATE],B59,Sold[GROSS],"&gt;"&amp;0,Sold[GOV OCCP],"&gt;="&amp;0.5)+SUMIFS(Ownership[SF LEASED],Ownership[STATE],B59,Ownership[GROSS],"&gt;"&amp;0,Ownership[OCCP],"&gt;="&amp;50)</f>
        <v/>
      </c>
      <c r="G59" s="46">
        <f>F59/D59</f>
        <v/>
      </c>
      <c r="H59" s="336">
        <f>C59/F59</f>
        <v/>
      </c>
      <c r="I59" s="336">
        <f t="array" ref="I59">PERCENTILE(IF(Ownership[STATE]=B59,Ownership[GROSS/SF]),0.75)</f>
        <v/>
      </c>
      <c r="J59" s="336">
        <f t="array" ref="J59">PERCENTILE(IF(Ownership[STATE]=B59,Ownership[GROSS/SF]),0.25)</f>
        <v/>
      </c>
      <c r="K59" s="336">
        <f t="array" ref="K59">MEDIAN(IF(Ownership[STATE]=B59,Ownership[GROSS/SF]))</f>
        <v/>
      </c>
    </row>
    <row r="60">
      <c r="B60" s="318" t="inlineStr">
        <is>
          <t>MA</t>
        </is>
      </c>
      <c r="C60" s="319">
        <f>SUMIFS(Sold[GROSS],Sold[STATE],B60,Sold[GOV OCCP],"&gt;="&amp;0.5)+SUMIFS(Ownership[GROSS],Ownership[STATE],B60,Ownership[OCCP],"&gt;="&amp;50)</f>
        <v/>
      </c>
      <c r="D60" s="46">
        <f>COUNTIFS(Sold[GROSS],"&gt;"&amp;0,Sold[STATE],B60,Sold[GOV OCCP],"&gt;="&amp;0.5)+COUNTIFS(Ownership[GROSS],"&gt;"&amp;0,Ownership[STATE],B60,Ownership[OCCP],"&gt;="&amp;50)</f>
        <v/>
      </c>
      <c r="E60" s="336">
        <f>C60/D60</f>
        <v/>
      </c>
      <c r="F60" s="46">
        <f>SUMIFS(Sold[RBA],Sold[STATE],B60,Sold[GROSS],"&gt;"&amp;0,Sold[GOV OCCP],"&gt;="&amp;0.5)+SUMIFS(Ownership[SF LEASED],Ownership[STATE],B60,Ownership[GROSS],"&gt;"&amp;0,Ownership[OCCP],"&gt;="&amp;50)</f>
        <v/>
      </c>
      <c r="G60" s="46">
        <f>F60/D60</f>
        <v/>
      </c>
      <c r="H60" s="336">
        <f>C60/F60</f>
        <v/>
      </c>
      <c r="I60" s="336">
        <f t="array" ref="I60">PERCENTILE(IF(Ownership[STATE]=B60,Ownership[GROSS/SF]),0.75)</f>
        <v/>
      </c>
      <c r="J60" s="336">
        <f t="array" ref="J60">PERCENTILE(IF(Ownership[STATE]=B60,Ownership[GROSS/SF]),0.25)</f>
        <v/>
      </c>
      <c r="K60" s="336">
        <f t="array" ref="K60">MEDIAN(IF(Ownership[STATE]=B60,Ownership[GROSS/SF]))</f>
        <v/>
      </c>
    </row>
    <row r="61">
      <c r="B61" s="318" t="inlineStr">
        <is>
          <t>MI</t>
        </is>
      </c>
      <c r="C61" s="319">
        <f>SUMIFS(Sold[GROSS],Sold[STATE],B61,Sold[GOV OCCP],"&gt;="&amp;0.5)+SUMIFS(Ownership[GROSS],Ownership[STATE],B61,Ownership[OCCP],"&gt;="&amp;50)</f>
        <v/>
      </c>
      <c r="D61" s="46">
        <f>COUNTIFS(Sold[GROSS],"&gt;"&amp;0,Sold[STATE],B61,Sold[GOV OCCP],"&gt;="&amp;0.5)+COUNTIFS(Ownership[GROSS],"&gt;"&amp;0,Ownership[STATE],B61,Ownership[OCCP],"&gt;="&amp;50)</f>
        <v/>
      </c>
      <c r="E61" s="336">
        <f>C61/D61</f>
        <v/>
      </c>
      <c r="F61" s="46">
        <f>SUMIFS(Sold[RBA],Sold[STATE],B61,Sold[GROSS],"&gt;"&amp;0,Sold[GOV OCCP],"&gt;="&amp;0.5)+SUMIFS(Ownership[SF LEASED],Ownership[STATE],B61,Ownership[GROSS],"&gt;"&amp;0,Ownership[OCCP],"&gt;="&amp;50)</f>
        <v/>
      </c>
      <c r="G61" s="46">
        <f>F61/D61</f>
        <v/>
      </c>
      <c r="H61" s="336">
        <f>C61/F61</f>
        <v/>
      </c>
      <c r="I61" s="336">
        <f t="array" ref="I61">PERCENTILE(IF(Ownership[STATE]=B61,Ownership[GROSS/SF]),0.75)</f>
        <v/>
      </c>
      <c r="J61" s="336">
        <f t="array" ref="J61">PERCENTILE(IF(Ownership[STATE]=B61,Ownership[GROSS/SF]),0.25)</f>
        <v/>
      </c>
      <c r="K61" s="336">
        <f t="array" ref="K61">MEDIAN(IF(Ownership[STATE]=B61,Ownership[GROSS/SF]))</f>
        <v/>
      </c>
    </row>
    <row r="62">
      <c r="B62" s="318" t="inlineStr">
        <is>
          <t>MN</t>
        </is>
      </c>
      <c r="C62" s="319">
        <f>SUMIFS(Sold[GROSS],Sold[STATE],B62,Sold[GOV OCCP],"&gt;="&amp;0.5)+SUMIFS(Ownership[GROSS],Ownership[STATE],B62,Ownership[OCCP],"&gt;="&amp;50)</f>
        <v/>
      </c>
      <c r="D62" s="46">
        <f>COUNTIFS(Sold[GROSS],"&gt;"&amp;0,Sold[STATE],B62,Sold[GOV OCCP],"&gt;="&amp;0.5)+COUNTIFS(Ownership[GROSS],"&gt;"&amp;0,Ownership[STATE],B62,Ownership[OCCP],"&gt;="&amp;50)</f>
        <v/>
      </c>
      <c r="E62" s="336">
        <f>C62/D62</f>
        <v/>
      </c>
      <c r="F62" s="46">
        <f>SUMIFS(Sold[RBA],Sold[STATE],B62,Sold[GROSS],"&gt;"&amp;0,Sold[GOV OCCP],"&gt;="&amp;0.5)+SUMIFS(Ownership[SF LEASED],Ownership[STATE],B62,Ownership[GROSS],"&gt;"&amp;0,Ownership[OCCP],"&gt;="&amp;50)</f>
        <v/>
      </c>
      <c r="G62" s="46">
        <f>F62/D62</f>
        <v/>
      </c>
      <c r="H62" s="336">
        <f>C62/F62</f>
        <v/>
      </c>
      <c r="I62" s="336">
        <f t="array" ref="I62">PERCENTILE(IF(Ownership[STATE]=B62,Ownership[GROSS/SF]),0.75)</f>
        <v/>
      </c>
      <c r="J62" s="336">
        <f t="array" ref="J62">PERCENTILE(IF(Ownership[STATE]=B62,Ownership[GROSS/SF]),0.25)</f>
        <v/>
      </c>
      <c r="K62" s="336">
        <f t="array" ref="K62">MEDIAN(IF(Ownership[STATE]=B62,Ownership[GROSS/SF]))</f>
        <v/>
      </c>
    </row>
    <row r="63">
      <c r="B63" s="318" t="inlineStr">
        <is>
          <t>MS</t>
        </is>
      </c>
      <c r="C63" s="319">
        <f>SUMIFS(Sold[GROSS],Sold[STATE],B63,Sold[GOV OCCP],"&gt;="&amp;0.5)+SUMIFS(Ownership[GROSS],Ownership[STATE],B63,Ownership[OCCP],"&gt;="&amp;50)</f>
        <v/>
      </c>
      <c r="D63" s="46">
        <f>COUNTIFS(Sold[GROSS],"&gt;"&amp;0,Sold[STATE],B63,Sold[GOV OCCP],"&gt;="&amp;0.5)+COUNTIFS(Ownership[GROSS],"&gt;"&amp;0,Ownership[STATE],B63,Ownership[OCCP],"&gt;="&amp;50)</f>
        <v/>
      </c>
      <c r="E63" s="336">
        <f>C63/D63</f>
        <v/>
      </c>
      <c r="F63" s="46">
        <f>SUMIFS(Sold[RBA],Sold[STATE],B63,Sold[GROSS],"&gt;"&amp;0,Sold[GOV OCCP],"&gt;="&amp;0.5)+SUMIFS(Ownership[SF LEASED],Ownership[STATE],B63,Ownership[GROSS],"&gt;"&amp;0,Ownership[OCCP],"&gt;="&amp;50)</f>
        <v/>
      </c>
      <c r="G63" s="46">
        <f>F63/D63</f>
        <v/>
      </c>
      <c r="H63" s="336">
        <f>C63/F63</f>
        <v/>
      </c>
      <c r="I63" s="336">
        <f t="array" ref="I63">PERCENTILE(IF(Ownership[STATE]=B63,Ownership[GROSS/SF]),0.75)</f>
        <v/>
      </c>
      <c r="J63" s="336">
        <f t="array" ref="J63">PERCENTILE(IF(Ownership[STATE]=B63,Ownership[GROSS/SF]),0.25)</f>
        <v/>
      </c>
      <c r="K63" s="336">
        <f t="array" ref="K63">MEDIAN(IF(Ownership[STATE]=B63,Ownership[GROSS/SF]))</f>
        <v/>
      </c>
    </row>
    <row r="64">
      <c r="B64" s="318" t="inlineStr">
        <is>
          <t>MO</t>
        </is>
      </c>
      <c r="C64" s="319">
        <f>SUMIFS(Sold[GROSS],Sold[STATE],B64,Sold[GOV OCCP],"&gt;="&amp;0.5)+SUMIFS(Ownership[GROSS],Ownership[STATE],B64,Ownership[OCCP],"&gt;="&amp;50)</f>
        <v/>
      </c>
      <c r="D64" s="46">
        <f>COUNTIFS(Sold[GROSS],"&gt;"&amp;0,Sold[STATE],B64,Sold[GOV OCCP],"&gt;="&amp;0.5)+COUNTIFS(Ownership[GROSS],"&gt;"&amp;0,Ownership[STATE],B64,Ownership[OCCP],"&gt;="&amp;50)</f>
        <v/>
      </c>
      <c r="E64" s="336">
        <f>C64/D64</f>
        <v/>
      </c>
      <c r="F64" s="46">
        <f>SUMIFS(Sold[RBA],Sold[STATE],B64,Sold[GROSS],"&gt;"&amp;0,Sold[GOV OCCP],"&gt;="&amp;0.5)+SUMIFS(Ownership[SF LEASED],Ownership[STATE],B64,Ownership[GROSS],"&gt;"&amp;0,Ownership[OCCP],"&gt;="&amp;50)</f>
        <v/>
      </c>
      <c r="G64" s="46">
        <f>F64/D64</f>
        <v/>
      </c>
      <c r="H64" s="336">
        <f>C64/F64</f>
        <v/>
      </c>
      <c r="I64" s="336">
        <f t="array" ref="I64">PERCENTILE(IF(Ownership[STATE]=B64,Ownership[GROSS/SF]),0.75)</f>
        <v/>
      </c>
      <c r="J64" s="336">
        <f t="array" ref="J64">PERCENTILE(IF(Ownership[STATE]=B64,Ownership[GROSS/SF]),0.25)</f>
        <v/>
      </c>
      <c r="K64" s="336">
        <f t="array" ref="K64">MEDIAN(IF(Ownership[STATE]=B64,Ownership[GROSS/SF]))</f>
        <v/>
      </c>
    </row>
    <row r="65">
      <c r="B65" s="318" t="inlineStr">
        <is>
          <t>MT</t>
        </is>
      </c>
      <c r="C65" s="319">
        <f>SUMIFS(Sold[GROSS],Sold[STATE],B65,Sold[GOV OCCP],"&gt;="&amp;0.5)+SUMIFS(Ownership[GROSS],Ownership[STATE],B65,Ownership[OCCP],"&gt;="&amp;50)</f>
        <v/>
      </c>
      <c r="D65" s="46">
        <f>COUNTIFS(Sold[GROSS],"&gt;"&amp;0,Sold[STATE],B65,Sold[GOV OCCP],"&gt;="&amp;0.5)+COUNTIFS(Ownership[GROSS],"&gt;"&amp;0,Ownership[STATE],B65,Ownership[OCCP],"&gt;="&amp;50)</f>
        <v/>
      </c>
      <c r="E65" s="336">
        <f>C65/D65</f>
        <v/>
      </c>
      <c r="F65" s="46">
        <f>SUMIFS(Sold[RBA],Sold[STATE],B65,Sold[GROSS],"&gt;"&amp;0,Sold[GOV OCCP],"&gt;="&amp;0.5)+SUMIFS(Ownership[SF LEASED],Ownership[STATE],B65,Ownership[GROSS],"&gt;"&amp;0,Ownership[OCCP],"&gt;="&amp;50)</f>
        <v/>
      </c>
      <c r="G65" s="46">
        <f>F65/D65</f>
        <v/>
      </c>
      <c r="H65" s="336">
        <f>C65/F65</f>
        <v/>
      </c>
      <c r="I65" s="336">
        <f t="array" ref="I65">PERCENTILE(IF(Ownership[STATE]=B65,Ownership[GROSS/SF]),0.75)</f>
        <v/>
      </c>
      <c r="J65" s="336">
        <f t="array" ref="J65">PERCENTILE(IF(Ownership[STATE]=B65,Ownership[GROSS/SF]),0.25)</f>
        <v/>
      </c>
      <c r="K65" s="336">
        <f t="array" ref="K65">MEDIAN(IF(Ownership[STATE]=B65,Ownership[GROSS/SF]))</f>
        <v/>
      </c>
    </row>
    <row r="66">
      <c r="B66" s="318" t="inlineStr">
        <is>
          <t>NE</t>
        </is>
      </c>
      <c r="C66" s="319">
        <f>SUMIFS(Sold[GROSS],Sold[STATE],B66,Sold[GOV OCCP],"&gt;="&amp;0.5)+SUMIFS(Ownership[GROSS],Ownership[STATE],B66,Ownership[OCCP],"&gt;="&amp;50)</f>
        <v/>
      </c>
      <c r="D66" s="46">
        <f>COUNTIFS(Sold[GROSS],"&gt;"&amp;0,Sold[STATE],B66,Sold[GOV OCCP],"&gt;="&amp;0.5)+COUNTIFS(Ownership[GROSS],"&gt;"&amp;0,Ownership[STATE],B66,Ownership[OCCP],"&gt;="&amp;50)</f>
        <v/>
      </c>
      <c r="E66" s="336">
        <f>C66/D66</f>
        <v/>
      </c>
      <c r="F66" s="46">
        <f>SUMIFS(Sold[RBA],Sold[STATE],B66,Sold[GROSS],"&gt;"&amp;0,Sold[GOV OCCP],"&gt;="&amp;0.5)+SUMIFS(Ownership[SF LEASED],Ownership[STATE],B66,Ownership[GROSS],"&gt;"&amp;0,Ownership[OCCP],"&gt;="&amp;50)</f>
        <v/>
      </c>
      <c r="G66" s="46">
        <f>F66/D66</f>
        <v/>
      </c>
      <c r="H66" s="336">
        <f>C66/F66</f>
        <v/>
      </c>
      <c r="I66" s="336">
        <f t="array" ref="I66">PERCENTILE(IF(Ownership[STATE]=B66,Ownership[GROSS/SF]),0.75)</f>
        <v/>
      </c>
      <c r="J66" s="336">
        <f t="array" ref="J66">PERCENTILE(IF(Ownership[STATE]=B66,Ownership[GROSS/SF]),0.25)</f>
        <v/>
      </c>
      <c r="K66" s="336">
        <f t="array" ref="K66">MEDIAN(IF(Ownership[STATE]=B66,Ownership[GROSS/SF]))</f>
        <v/>
      </c>
    </row>
    <row r="67">
      <c r="B67" s="318" t="inlineStr">
        <is>
          <t>NV</t>
        </is>
      </c>
      <c r="C67" s="319">
        <f>SUMIFS(Sold[GROSS],Sold[STATE],B67,Sold[GOV OCCP],"&gt;="&amp;0.5)+SUMIFS(Ownership[GROSS],Ownership[STATE],B67,Ownership[OCCP],"&gt;="&amp;50)</f>
        <v/>
      </c>
      <c r="D67" s="46">
        <f>COUNTIFS(Sold[GROSS],"&gt;"&amp;0,Sold[STATE],B67,Sold[GOV OCCP],"&gt;="&amp;0.5)+COUNTIFS(Ownership[GROSS],"&gt;"&amp;0,Ownership[STATE],B67,Ownership[OCCP],"&gt;="&amp;50)</f>
        <v/>
      </c>
      <c r="E67" s="336">
        <f>C67/D67</f>
        <v/>
      </c>
      <c r="F67" s="46">
        <f>SUMIFS(Sold[RBA],Sold[STATE],B67,Sold[GROSS],"&gt;"&amp;0,Sold[GOV OCCP],"&gt;="&amp;0.5)+SUMIFS(Ownership[SF LEASED],Ownership[STATE],B67,Ownership[GROSS],"&gt;"&amp;0,Ownership[OCCP],"&gt;="&amp;50)</f>
        <v/>
      </c>
      <c r="G67" s="46">
        <f>F67/D67</f>
        <v/>
      </c>
      <c r="H67" s="336">
        <f>C67/F67</f>
        <v/>
      </c>
      <c r="I67" s="336">
        <f t="array" ref="I67">PERCENTILE(IF(Ownership[STATE]=B67,Ownership[GROSS/SF]),0.75)</f>
        <v/>
      </c>
      <c r="J67" s="336">
        <f t="array" ref="J67">PERCENTILE(IF(Ownership[STATE]=B67,Ownership[GROSS/SF]),0.25)</f>
        <v/>
      </c>
      <c r="K67" s="336">
        <f t="array" ref="K67">MEDIAN(IF(Ownership[STATE]=B67,Ownership[GROSS/SF]))</f>
        <v/>
      </c>
    </row>
    <row r="68">
      <c r="B68" s="318" t="inlineStr">
        <is>
          <t>NH</t>
        </is>
      </c>
      <c r="C68" s="319">
        <f>SUMIFS(Sold[GROSS],Sold[STATE],B68,Sold[GOV OCCP],"&gt;="&amp;0.5)+SUMIFS(Ownership[GROSS],Ownership[STATE],B68,Ownership[OCCP],"&gt;="&amp;50)</f>
        <v/>
      </c>
      <c r="D68" s="46">
        <f>COUNTIFS(Sold[GROSS],"&gt;"&amp;0,Sold[STATE],B68,Sold[GOV OCCP],"&gt;="&amp;0.5)+COUNTIFS(Ownership[GROSS],"&gt;"&amp;0,Ownership[STATE],B68,Ownership[OCCP],"&gt;="&amp;50)</f>
        <v/>
      </c>
      <c r="E68" s="336">
        <f>C68/D68</f>
        <v/>
      </c>
      <c r="F68" s="46">
        <f>SUMIFS(Sold[RBA],Sold[STATE],B68,Sold[GROSS],"&gt;"&amp;0,Sold[GOV OCCP],"&gt;="&amp;0.5)+SUMIFS(Ownership[SF LEASED],Ownership[STATE],B68,Ownership[GROSS],"&gt;"&amp;0,Ownership[OCCP],"&gt;="&amp;50)</f>
        <v/>
      </c>
      <c r="G68" s="46">
        <f>F68/D68</f>
        <v/>
      </c>
      <c r="H68" s="336">
        <f>C68/F68</f>
        <v/>
      </c>
      <c r="I68" s="336">
        <f t="array" ref="I68">PERCENTILE(IF(Ownership[STATE]=B68,Ownership[GROSS/SF]),0.75)</f>
        <v/>
      </c>
      <c r="J68" s="336">
        <f t="array" ref="J68">PERCENTILE(IF(Ownership[STATE]=B68,Ownership[GROSS/SF]),0.25)</f>
        <v/>
      </c>
      <c r="K68" s="336">
        <f t="array" ref="K68">MEDIAN(IF(Ownership[STATE]=B68,Ownership[GROSS/SF]))</f>
        <v/>
      </c>
    </row>
    <row r="69">
      <c r="B69" s="318" t="inlineStr">
        <is>
          <t>NJ</t>
        </is>
      </c>
      <c r="C69" s="319">
        <f>SUMIFS(Sold[GROSS],Sold[STATE],B69,Sold[GOV OCCP],"&gt;="&amp;0.5)+SUMIFS(Ownership[GROSS],Ownership[STATE],B69,Ownership[OCCP],"&gt;="&amp;50)</f>
        <v/>
      </c>
      <c r="D69" s="46">
        <f>COUNTIFS(Sold[GROSS],"&gt;"&amp;0,Sold[STATE],B69,Sold[GOV OCCP],"&gt;="&amp;0.5)+COUNTIFS(Ownership[GROSS],"&gt;"&amp;0,Ownership[STATE],B69,Ownership[OCCP],"&gt;="&amp;50)</f>
        <v/>
      </c>
      <c r="E69" s="336">
        <f>C69/D69</f>
        <v/>
      </c>
      <c r="F69" s="46">
        <f>SUMIFS(Sold[RBA],Sold[STATE],B69,Sold[GROSS],"&gt;"&amp;0,Sold[GOV OCCP],"&gt;="&amp;0.5)+SUMIFS(Ownership[SF LEASED],Ownership[STATE],B69,Ownership[GROSS],"&gt;"&amp;0,Ownership[OCCP],"&gt;="&amp;50)</f>
        <v/>
      </c>
      <c r="G69" s="46">
        <f>F69/D69</f>
        <v/>
      </c>
      <c r="H69" s="336">
        <f>C69/F69</f>
        <v/>
      </c>
      <c r="I69" s="336">
        <f t="array" ref="I69">PERCENTILE(IF(Ownership[STATE]=B69,Ownership[GROSS/SF]),0.75)</f>
        <v/>
      </c>
      <c r="J69" s="336">
        <f t="array" ref="J69">PERCENTILE(IF(Ownership[STATE]=B69,Ownership[GROSS/SF]),0.25)</f>
        <v/>
      </c>
      <c r="K69" s="336">
        <f t="array" ref="K69">MEDIAN(IF(Ownership[STATE]=B69,Ownership[GROSS/SF]))</f>
        <v/>
      </c>
    </row>
    <row r="70">
      <c r="B70" s="318" t="inlineStr">
        <is>
          <t>NM</t>
        </is>
      </c>
      <c r="C70" s="319">
        <f>SUMIFS(Sold[GROSS],Sold[STATE],B70,Sold[GOV OCCP],"&gt;="&amp;0.5)+SUMIFS(Ownership[GROSS],Ownership[STATE],B70,Ownership[OCCP],"&gt;="&amp;50)</f>
        <v/>
      </c>
      <c r="D70" s="46">
        <f>COUNTIFS(Sold[GROSS],"&gt;"&amp;0,Sold[STATE],B70,Sold[GOV OCCP],"&gt;="&amp;0.5)+COUNTIFS(Ownership[GROSS],"&gt;"&amp;0,Ownership[STATE],B70,Ownership[OCCP],"&gt;="&amp;50)</f>
        <v/>
      </c>
      <c r="E70" s="336">
        <f>C70/D70</f>
        <v/>
      </c>
      <c r="F70" s="46">
        <f>SUMIFS(Sold[RBA],Sold[STATE],B70,Sold[GROSS],"&gt;"&amp;0,Sold[GOV OCCP],"&gt;="&amp;0.5)+SUMIFS(Ownership[SF LEASED],Ownership[STATE],B70,Ownership[GROSS],"&gt;"&amp;0,Ownership[OCCP],"&gt;="&amp;50)</f>
        <v/>
      </c>
      <c r="G70" s="46">
        <f>F70/D70</f>
        <v/>
      </c>
      <c r="H70" s="336">
        <f>C70/F70</f>
        <v/>
      </c>
      <c r="I70" s="336">
        <f t="array" ref="I70">PERCENTILE(IF(Ownership[STATE]=B70,Ownership[GROSS/SF]),0.75)</f>
        <v/>
      </c>
      <c r="J70" s="336">
        <f t="array" ref="J70">PERCENTILE(IF(Ownership[STATE]=B70,Ownership[GROSS/SF]),0.25)</f>
        <v/>
      </c>
      <c r="K70" s="336">
        <f t="array" ref="K70">MEDIAN(IF(Ownership[STATE]=B70,Ownership[GROSS/SF]))</f>
        <v/>
      </c>
    </row>
    <row r="71">
      <c r="B71" s="318" t="inlineStr">
        <is>
          <t>NY</t>
        </is>
      </c>
      <c r="C71" s="319">
        <f>SUMIFS(Sold[GROSS],Sold[STATE],B71,Sold[GOV OCCP],"&gt;="&amp;0.5)+SUMIFS(Ownership[GROSS],Ownership[STATE],B71,Ownership[OCCP],"&gt;="&amp;50)</f>
        <v/>
      </c>
      <c r="D71" s="46">
        <f>COUNTIFS(Sold[GROSS],"&gt;"&amp;0,Sold[STATE],B71,Sold[GOV OCCP],"&gt;="&amp;0.5)+COUNTIFS(Ownership[GROSS],"&gt;"&amp;0,Ownership[STATE],B71,Ownership[OCCP],"&gt;="&amp;50)</f>
        <v/>
      </c>
      <c r="E71" s="336">
        <f>C71/D71</f>
        <v/>
      </c>
      <c r="F71" s="46">
        <f>SUMIFS(Sold[RBA],Sold[STATE],B71,Sold[GROSS],"&gt;"&amp;0,Sold[GOV OCCP],"&gt;="&amp;0.5)+SUMIFS(Ownership[SF LEASED],Ownership[STATE],B71,Ownership[GROSS],"&gt;"&amp;0,Ownership[OCCP],"&gt;="&amp;50)</f>
        <v/>
      </c>
      <c r="G71" s="46">
        <f>F71/D71</f>
        <v/>
      </c>
      <c r="H71" s="336">
        <f>C71/F71</f>
        <v/>
      </c>
      <c r="I71" s="336">
        <f t="array" ref="I71">PERCENTILE(IF(Ownership[STATE]=B71,Ownership[GROSS/SF]),0.75)</f>
        <v/>
      </c>
      <c r="J71" s="336">
        <f t="array" ref="J71">PERCENTILE(IF(Ownership[STATE]=B71,Ownership[GROSS/SF]),0.25)</f>
        <v/>
      </c>
      <c r="K71" s="336">
        <f t="array" ref="K71">MEDIAN(IF(Ownership[STATE]=B71,Ownership[GROSS/SF]))</f>
        <v/>
      </c>
    </row>
    <row r="72">
      <c r="B72" s="318" t="inlineStr">
        <is>
          <t>NC</t>
        </is>
      </c>
      <c r="C72" s="319">
        <f>SUMIFS(Sold[GROSS],Sold[STATE],B72,Sold[GOV OCCP],"&gt;="&amp;0.5)+SUMIFS(Ownership[GROSS],Ownership[STATE],B72,Ownership[OCCP],"&gt;="&amp;50)</f>
        <v/>
      </c>
      <c r="D72" s="46">
        <f>COUNTIFS(Sold[GROSS],"&gt;"&amp;0,Sold[STATE],B72,Sold[GOV OCCP],"&gt;="&amp;0.5)+COUNTIFS(Ownership[GROSS],"&gt;"&amp;0,Ownership[STATE],B72,Ownership[OCCP],"&gt;="&amp;50)</f>
        <v/>
      </c>
      <c r="E72" s="336">
        <f>C72/D72</f>
        <v/>
      </c>
      <c r="F72" s="46">
        <f>SUMIFS(Sold[RBA],Sold[STATE],B72,Sold[GROSS],"&gt;"&amp;0,Sold[GOV OCCP],"&gt;="&amp;0.5)+SUMIFS(Ownership[SF LEASED],Ownership[STATE],B72,Ownership[GROSS],"&gt;"&amp;0,Ownership[OCCP],"&gt;="&amp;50)</f>
        <v/>
      </c>
      <c r="G72" s="46">
        <f>F72/D72</f>
        <v/>
      </c>
      <c r="H72" s="336">
        <f>C72/F72</f>
        <v/>
      </c>
      <c r="I72" s="336">
        <f t="array" ref="I72">PERCENTILE(IF(Ownership[STATE]=B72,Ownership[GROSS/SF]),0.75)</f>
        <v/>
      </c>
      <c r="J72" s="336">
        <f t="array" ref="J72">PERCENTILE(IF(Ownership[STATE]=B72,Ownership[GROSS/SF]),0.25)</f>
        <v/>
      </c>
      <c r="K72" s="336">
        <f t="array" ref="K72">MEDIAN(IF(Ownership[STATE]=B72,Ownership[GROSS/SF]))</f>
        <v/>
      </c>
    </row>
    <row r="73">
      <c r="B73" s="318" t="inlineStr">
        <is>
          <t>ND</t>
        </is>
      </c>
      <c r="C73" s="319">
        <f>SUMIFS(Sold[GROSS],Sold[STATE],B73,Sold[GOV OCCP],"&gt;="&amp;0.5)+SUMIFS(Ownership[GROSS],Ownership[STATE],B73,Ownership[OCCP],"&gt;="&amp;50)</f>
        <v/>
      </c>
      <c r="D73" s="46">
        <f>COUNTIFS(Sold[GROSS],"&gt;"&amp;0,Sold[STATE],B73,Sold[GOV OCCP],"&gt;="&amp;0.5)+COUNTIFS(Ownership[GROSS],"&gt;"&amp;0,Ownership[STATE],B73,Ownership[OCCP],"&gt;="&amp;50)</f>
        <v/>
      </c>
      <c r="E73" s="336">
        <f>C73/D73</f>
        <v/>
      </c>
      <c r="F73" s="46">
        <f>SUMIFS(Sold[RBA],Sold[STATE],B73,Sold[GROSS],"&gt;"&amp;0,Sold[GOV OCCP],"&gt;="&amp;0.5)+SUMIFS(Ownership[SF LEASED],Ownership[STATE],B73,Ownership[GROSS],"&gt;"&amp;0,Ownership[OCCP],"&gt;="&amp;50)</f>
        <v/>
      </c>
      <c r="G73" s="46">
        <f>F73/D73</f>
        <v/>
      </c>
      <c r="H73" s="336">
        <f>C73/F73</f>
        <v/>
      </c>
      <c r="I73" s="336">
        <f t="array" ref="I73">PERCENTILE(IF(Ownership[STATE]=B73,Ownership[GROSS/SF]),0.75)</f>
        <v/>
      </c>
      <c r="J73" s="336">
        <f t="array" ref="J73">PERCENTILE(IF(Ownership[STATE]=B73,Ownership[GROSS/SF]),0.25)</f>
        <v/>
      </c>
      <c r="K73" s="336">
        <f t="array" ref="K73">MEDIAN(IF(Ownership[STATE]=B73,Ownership[GROSS/SF]))</f>
        <v/>
      </c>
    </row>
    <row r="74">
      <c r="B74" s="318" t="inlineStr">
        <is>
          <t>OH</t>
        </is>
      </c>
      <c r="C74" s="319">
        <f>SUMIFS(Sold[GROSS],Sold[STATE],B74,Sold[GOV OCCP],"&gt;="&amp;0.5)+SUMIFS(Ownership[GROSS],Ownership[STATE],B74,Ownership[OCCP],"&gt;="&amp;50)</f>
        <v/>
      </c>
      <c r="D74" s="46">
        <f>COUNTIFS(Sold[GROSS],"&gt;"&amp;0,Sold[STATE],B74,Sold[GOV OCCP],"&gt;="&amp;0.5)+COUNTIFS(Ownership[GROSS],"&gt;"&amp;0,Ownership[STATE],B74,Ownership[OCCP],"&gt;="&amp;50)</f>
        <v/>
      </c>
      <c r="E74" s="336">
        <f>C74/D74</f>
        <v/>
      </c>
      <c r="F74" s="46">
        <f>SUMIFS(Sold[RBA],Sold[STATE],B74,Sold[GROSS],"&gt;"&amp;0,Sold[GOV OCCP],"&gt;="&amp;0.5)+SUMIFS(Ownership[SF LEASED],Ownership[STATE],B74,Ownership[GROSS],"&gt;"&amp;0,Ownership[OCCP],"&gt;="&amp;50)</f>
        <v/>
      </c>
      <c r="G74" s="46">
        <f>F74/D74</f>
        <v/>
      </c>
      <c r="H74" s="336">
        <f>C74/F74</f>
        <v/>
      </c>
      <c r="I74" s="336">
        <f t="array" ref="I74">PERCENTILE(IF(Ownership[STATE]=B74,Ownership[GROSS/SF]),0.75)</f>
        <v/>
      </c>
      <c r="J74" s="336">
        <f t="array" ref="J74">PERCENTILE(IF(Ownership[STATE]=B74,Ownership[GROSS/SF]),0.25)</f>
        <v/>
      </c>
      <c r="K74" s="336">
        <f t="array" ref="K74">MEDIAN(IF(Ownership[STATE]=B74,Ownership[GROSS/SF]))</f>
        <v/>
      </c>
    </row>
    <row r="75">
      <c r="B75" s="318" t="inlineStr">
        <is>
          <t>OK</t>
        </is>
      </c>
      <c r="C75" s="319">
        <f>SUMIFS(Sold[GROSS],Sold[STATE],B75,Sold[GOV OCCP],"&gt;="&amp;0.5)+SUMIFS(Ownership[GROSS],Ownership[STATE],B75,Ownership[OCCP],"&gt;="&amp;50)</f>
        <v/>
      </c>
      <c r="D75" s="46">
        <f>COUNTIFS(Sold[GROSS],"&gt;"&amp;0,Sold[STATE],B75,Sold[GOV OCCP],"&gt;="&amp;0.5)+COUNTIFS(Ownership[GROSS],"&gt;"&amp;0,Ownership[STATE],B75,Ownership[OCCP],"&gt;="&amp;50)</f>
        <v/>
      </c>
      <c r="E75" s="336">
        <f>C75/D75</f>
        <v/>
      </c>
      <c r="F75" s="46">
        <f>SUMIFS(Sold[RBA],Sold[STATE],B75,Sold[GROSS],"&gt;"&amp;0,Sold[GOV OCCP],"&gt;="&amp;0.5)+SUMIFS(Ownership[SF LEASED],Ownership[STATE],B75,Ownership[GROSS],"&gt;"&amp;0,Ownership[OCCP],"&gt;="&amp;50)</f>
        <v/>
      </c>
      <c r="G75" s="46">
        <f>F75/D75</f>
        <v/>
      </c>
      <c r="H75" s="336">
        <f>C75/F75</f>
        <v/>
      </c>
      <c r="I75" s="336">
        <f t="array" ref="I75">PERCENTILE(IF(Ownership[STATE]=B75,Ownership[GROSS/SF]),0.75)</f>
        <v/>
      </c>
      <c r="J75" s="336">
        <f t="array" ref="J75">PERCENTILE(IF(Ownership[STATE]=B75,Ownership[GROSS/SF]),0.25)</f>
        <v/>
      </c>
      <c r="K75" s="336">
        <f t="array" ref="K75">MEDIAN(IF(Ownership[STATE]=B75,Ownership[GROSS/SF]))</f>
        <v/>
      </c>
    </row>
    <row r="76">
      <c r="B76" s="318" t="inlineStr">
        <is>
          <t>OR</t>
        </is>
      </c>
      <c r="C76" s="319">
        <f>SUMIFS(Sold[GROSS],Sold[STATE],B76,Sold[GOV OCCP],"&gt;="&amp;0.5)+SUMIFS(Ownership[GROSS],Ownership[STATE],B76,Ownership[OCCP],"&gt;="&amp;50)</f>
        <v/>
      </c>
      <c r="D76" s="46">
        <f>COUNTIFS(Sold[GROSS],"&gt;"&amp;0,Sold[STATE],B76,Sold[GOV OCCP],"&gt;="&amp;0.5)+COUNTIFS(Ownership[GROSS],"&gt;"&amp;0,Ownership[STATE],B76,Ownership[OCCP],"&gt;="&amp;50)</f>
        <v/>
      </c>
      <c r="E76" s="336">
        <f>C76/D76</f>
        <v/>
      </c>
      <c r="F76" s="46">
        <f>SUMIFS(Sold[RBA],Sold[STATE],B76,Sold[GROSS],"&gt;"&amp;0,Sold[GOV OCCP],"&gt;="&amp;0.5)+SUMIFS(Ownership[SF LEASED],Ownership[STATE],B76,Ownership[GROSS],"&gt;"&amp;0,Ownership[OCCP],"&gt;="&amp;50)</f>
        <v/>
      </c>
      <c r="G76" s="46">
        <f>F76/D76</f>
        <v/>
      </c>
      <c r="H76" s="336">
        <f>C76/F76</f>
        <v/>
      </c>
      <c r="I76" s="336">
        <f t="array" ref="I76">PERCENTILE(IF(Ownership[STATE]=B76,Ownership[GROSS/SF]),0.75)</f>
        <v/>
      </c>
      <c r="J76" s="336">
        <f t="array" ref="J76">PERCENTILE(IF(Ownership[STATE]=B76,Ownership[GROSS/SF]),0.25)</f>
        <v/>
      </c>
      <c r="K76" s="336">
        <f t="array" ref="K76">MEDIAN(IF(Ownership[STATE]=B76,Ownership[GROSS/SF]))</f>
        <v/>
      </c>
    </row>
    <row r="77">
      <c r="B77" s="318" t="inlineStr">
        <is>
          <t>PA</t>
        </is>
      </c>
      <c r="C77" s="319">
        <f>SUMIFS(Sold[GROSS],Sold[STATE],B77,Sold[GOV OCCP],"&gt;="&amp;0.5)+SUMIFS(Ownership[GROSS],Ownership[STATE],B77,Ownership[OCCP],"&gt;="&amp;50)</f>
        <v/>
      </c>
      <c r="D77" s="46">
        <f>COUNTIFS(Sold[GROSS],"&gt;"&amp;0,Sold[STATE],B77,Sold[GOV OCCP],"&gt;="&amp;0.5)+COUNTIFS(Ownership[GROSS],"&gt;"&amp;0,Ownership[STATE],B77,Ownership[OCCP],"&gt;="&amp;50)</f>
        <v/>
      </c>
      <c r="E77" s="336">
        <f>C77/D77</f>
        <v/>
      </c>
      <c r="F77" s="46">
        <f>SUMIFS(Sold[RBA],Sold[STATE],B77,Sold[GROSS],"&gt;"&amp;0,Sold[GOV OCCP],"&gt;="&amp;0.5)+SUMIFS(Ownership[SF LEASED],Ownership[STATE],B77,Ownership[GROSS],"&gt;"&amp;0,Ownership[OCCP],"&gt;="&amp;50)</f>
        <v/>
      </c>
      <c r="G77" s="46">
        <f>F77/D77</f>
        <v/>
      </c>
      <c r="H77" s="336">
        <f>C77/F77</f>
        <v/>
      </c>
      <c r="I77" s="336">
        <f t="array" ref="I77">PERCENTILE(IF(Ownership[STATE]=B77,Ownership[GROSS/SF]),0.75)</f>
        <v/>
      </c>
      <c r="J77" s="336">
        <f t="array" ref="J77">PERCENTILE(IF(Ownership[STATE]=B77,Ownership[GROSS/SF]),0.25)</f>
        <v/>
      </c>
      <c r="K77" s="336">
        <f t="array" ref="K77">MEDIAN(IF(Ownership[STATE]=B77,Ownership[GROSS/SF]))</f>
        <v/>
      </c>
    </row>
    <row r="78">
      <c r="B78" s="318" t="inlineStr">
        <is>
          <t>RI</t>
        </is>
      </c>
      <c r="C78" s="319">
        <f>SUMIFS(Sold[GROSS],Sold[STATE],B78,Sold[GOV OCCP],"&gt;="&amp;0.5)+SUMIFS(Ownership[GROSS],Ownership[STATE],B78,Ownership[OCCP],"&gt;="&amp;50)</f>
        <v/>
      </c>
      <c r="D78" s="46">
        <f>COUNTIFS(Sold[GROSS],"&gt;"&amp;0,Sold[STATE],B78,Sold[GOV OCCP],"&gt;="&amp;0.5)+COUNTIFS(Ownership[GROSS],"&gt;"&amp;0,Ownership[STATE],B78,Ownership[OCCP],"&gt;="&amp;50)</f>
        <v/>
      </c>
      <c r="E78" s="336">
        <f>C78/D78</f>
        <v/>
      </c>
      <c r="F78" s="46">
        <f>SUMIFS(Sold[RBA],Sold[STATE],B78,Sold[GROSS],"&gt;"&amp;0,Sold[GOV OCCP],"&gt;="&amp;0.5)+SUMIFS(Ownership[SF LEASED],Ownership[STATE],B78,Ownership[GROSS],"&gt;"&amp;0,Ownership[OCCP],"&gt;="&amp;50)</f>
        <v/>
      </c>
      <c r="G78" s="46">
        <f>F78/D78</f>
        <v/>
      </c>
      <c r="H78" s="336">
        <f>C78/F78</f>
        <v/>
      </c>
      <c r="I78" s="336">
        <f t="array" ref="I78">PERCENTILE(IF(Ownership[STATE]=B78,Ownership[GROSS/SF]),0.75)</f>
        <v/>
      </c>
      <c r="J78" s="336">
        <f t="array" ref="J78">PERCENTILE(IF(Ownership[STATE]=B78,Ownership[GROSS/SF]),0.25)</f>
        <v/>
      </c>
      <c r="K78" s="336">
        <f t="array" ref="K78">MEDIAN(IF(Ownership[STATE]=B78,Ownership[GROSS/SF]))</f>
        <v/>
      </c>
    </row>
    <row r="79">
      <c r="B79" s="318" t="inlineStr">
        <is>
          <t>SC</t>
        </is>
      </c>
      <c r="C79" s="319">
        <f>SUMIFS(Sold[GROSS],Sold[STATE],B79,Sold[GOV OCCP],"&gt;="&amp;0.5)+SUMIFS(Ownership[GROSS],Ownership[STATE],B79,Ownership[OCCP],"&gt;="&amp;50)</f>
        <v/>
      </c>
      <c r="D79" s="46">
        <f>COUNTIFS(Sold[GROSS],"&gt;"&amp;0,Sold[STATE],B79,Sold[GOV OCCP],"&gt;="&amp;0.5)+COUNTIFS(Ownership[GROSS],"&gt;"&amp;0,Ownership[STATE],B79,Ownership[OCCP],"&gt;="&amp;50)</f>
        <v/>
      </c>
      <c r="E79" s="336">
        <f>C79/D79</f>
        <v/>
      </c>
      <c r="F79" s="46">
        <f>SUMIFS(Sold[RBA],Sold[STATE],B79,Sold[GROSS],"&gt;"&amp;0,Sold[GOV OCCP],"&gt;="&amp;0.5)+SUMIFS(Ownership[SF LEASED],Ownership[STATE],B79,Ownership[GROSS],"&gt;"&amp;0,Ownership[OCCP],"&gt;="&amp;50)</f>
        <v/>
      </c>
      <c r="G79" s="46">
        <f>F79/D79</f>
        <v/>
      </c>
      <c r="H79" s="336">
        <f>C79/F79</f>
        <v/>
      </c>
      <c r="I79" s="336">
        <f t="array" ref="I79">PERCENTILE(IF(Ownership[STATE]=B79,Ownership[GROSS/SF]),0.75)</f>
        <v/>
      </c>
      <c r="J79" s="336">
        <f t="array" ref="J79">PERCENTILE(IF(Ownership[STATE]=B79,Ownership[GROSS/SF]),0.25)</f>
        <v/>
      </c>
      <c r="K79" s="336">
        <f t="array" ref="K79">MEDIAN(IF(Ownership[STATE]=B79,Ownership[GROSS/SF]))</f>
        <v/>
      </c>
    </row>
    <row r="80">
      <c r="B80" s="318" t="inlineStr">
        <is>
          <t>SD</t>
        </is>
      </c>
      <c r="C80" s="319">
        <f>SUMIFS(Sold[GROSS],Sold[STATE],B80,Sold[GOV OCCP],"&gt;="&amp;0.5)+SUMIFS(Ownership[GROSS],Ownership[STATE],B80,Ownership[OCCP],"&gt;="&amp;50)</f>
        <v/>
      </c>
      <c r="D80" s="46">
        <f>COUNTIFS(Sold[GROSS],"&gt;"&amp;0,Sold[STATE],B80,Sold[GOV OCCP],"&gt;="&amp;0.5)+COUNTIFS(Ownership[GROSS],"&gt;"&amp;0,Ownership[STATE],B80,Ownership[OCCP],"&gt;="&amp;50)</f>
        <v/>
      </c>
      <c r="E80" s="336">
        <f>C80/D80</f>
        <v/>
      </c>
      <c r="F80" s="46">
        <f>SUMIFS(Sold[RBA],Sold[STATE],B80,Sold[GROSS],"&gt;"&amp;0,Sold[GOV OCCP],"&gt;="&amp;0.5)+SUMIFS(Ownership[SF LEASED],Ownership[STATE],B80,Ownership[GROSS],"&gt;"&amp;0,Ownership[OCCP],"&gt;="&amp;50)</f>
        <v/>
      </c>
      <c r="G80" s="46">
        <f>F80/D80</f>
        <v/>
      </c>
      <c r="H80" s="336">
        <f>C80/F80</f>
        <v/>
      </c>
      <c r="I80" s="336">
        <f t="array" ref="I80">PERCENTILE(IF(Ownership[STATE]=B80,Ownership[GROSS/SF]),0.75)</f>
        <v/>
      </c>
      <c r="J80" s="336">
        <f t="array" ref="J80">PERCENTILE(IF(Ownership[STATE]=B80,Ownership[GROSS/SF]),0.25)</f>
        <v/>
      </c>
      <c r="K80" s="336">
        <f t="array" ref="K80">MEDIAN(IF(Ownership[STATE]=B80,Ownership[GROSS/SF]))</f>
        <v/>
      </c>
    </row>
    <row r="81">
      <c r="B81" s="318" t="inlineStr">
        <is>
          <t>TN</t>
        </is>
      </c>
      <c r="C81" s="319">
        <f>SUMIFS(Sold[GROSS],Sold[STATE],B81,Sold[GOV OCCP],"&gt;="&amp;0.5)+SUMIFS(Ownership[GROSS],Ownership[STATE],B81,Ownership[OCCP],"&gt;="&amp;50)</f>
        <v/>
      </c>
      <c r="D81" s="46">
        <f>COUNTIFS(Sold[GROSS],"&gt;"&amp;0,Sold[STATE],B81,Sold[GOV OCCP],"&gt;="&amp;0.5)+COUNTIFS(Ownership[GROSS],"&gt;"&amp;0,Ownership[STATE],B81,Ownership[OCCP],"&gt;="&amp;50)</f>
        <v/>
      </c>
      <c r="E81" s="336">
        <f>C81/D81</f>
        <v/>
      </c>
      <c r="F81" s="46">
        <f>SUMIFS(Sold[RBA],Sold[STATE],B81,Sold[GROSS],"&gt;"&amp;0,Sold[GOV OCCP],"&gt;="&amp;0.5)+SUMIFS(Ownership[SF LEASED],Ownership[STATE],B81,Ownership[GROSS],"&gt;"&amp;0,Ownership[OCCP],"&gt;="&amp;50)</f>
        <v/>
      </c>
      <c r="G81" s="46">
        <f>F81/D81</f>
        <v/>
      </c>
      <c r="H81" s="336">
        <f>C81/F81</f>
        <v/>
      </c>
      <c r="I81" s="336">
        <f t="array" ref="I81">PERCENTILE(IF(Ownership[STATE]=B81,Ownership[GROSS/SF]),0.75)</f>
        <v/>
      </c>
      <c r="J81" s="336">
        <f t="array" ref="J81">PERCENTILE(IF(Ownership[STATE]=B81,Ownership[GROSS/SF]),0.25)</f>
        <v/>
      </c>
      <c r="K81" s="336">
        <f t="array" ref="K81">MEDIAN(IF(Ownership[STATE]=B81,Ownership[GROSS/SF]))</f>
        <v/>
      </c>
    </row>
    <row r="82">
      <c r="B82" s="318" t="inlineStr">
        <is>
          <t>TX</t>
        </is>
      </c>
      <c r="C82" s="319">
        <f>SUMIFS(Sold[GROSS],Sold[STATE],B82,Sold[GOV OCCP],"&gt;="&amp;0.5)+SUMIFS(Ownership[GROSS],Ownership[STATE],B82,Ownership[OCCP],"&gt;="&amp;50)</f>
        <v/>
      </c>
      <c r="D82" s="46">
        <f>COUNTIFS(Sold[GROSS],"&gt;"&amp;0,Sold[STATE],B82,Sold[GOV OCCP],"&gt;="&amp;0.5)+COUNTIFS(Ownership[GROSS],"&gt;"&amp;0,Ownership[STATE],B82,Ownership[OCCP],"&gt;="&amp;50)</f>
        <v/>
      </c>
      <c r="E82" s="336">
        <f>C82/D82</f>
        <v/>
      </c>
      <c r="F82" s="46">
        <f>SUMIFS(Sold[RBA],Sold[STATE],B82,Sold[GROSS],"&gt;"&amp;0,Sold[GOV OCCP],"&gt;="&amp;0.5)+SUMIFS(Ownership[SF LEASED],Ownership[STATE],B82,Ownership[GROSS],"&gt;"&amp;0,Ownership[OCCP],"&gt;="&amp;50)</f>
        <v/>
      </c>
      <c r="G82" s="46">
        <f>F82/D82</f>
        <v/>
      </c>
      <c r="H82" s="336">
        <f>C82/F82</f>
        <v/>
      </c>
      <c r="I82" s="336">
        <f t="array" ref="I82">PERCENTILE(IF(Ownership[STATE]=B82,Ownership[GROSS/SF]),0.75)</f>
        <v/>
      </c>
      <c r="J82" s="336">
        <f t="array" ref="J82">PERCENTILE(IF(Ownership[STATE]=B82,Ownership[GROSS/SF]),0.25)</f>
        <v/>
      </c>
      <c r="K82" s="336">
        <f t="array" ref="K82">MEDIAN(IF(Ownership[STATE]=B82,Ownership[GROSS/SF]))</f>
        <v/>
      </c>
    </row>
    <row r="83">
      <c r="B83" s="318" t="inlineStr">
        <is>
          <t>UT</t>
        </is>
      </c>
      <c r="C83" s="319">
        <f>SUMIFS(Sold[GROSS],Sold[STATE],B83,Sold[GOV OCCP],"&gt;="&amp;0.5)+SUMIFS(Ownership[GROSS],Ownership[STATE],B83,Ownership[OCCP],"&gt;="&amp;50)</f>
        <v/>
      </c>
      <c r="D83" s="46">
        <f>COUNTIFS(Sold[GROSS],"&gt;"&amp;0,Sold[STATE],B83,Sold[GOV OCCP],"&gt;="&amp;0.5)+COUNTIFS(Ownership[GROSS],"&gt;"&amp;0,Ownership[STATE],B83,Ownership[OCCP],"&gt;="&amp;50)</f>
        <v/>
      </c>
      <c r="E83" s="336">
        <f>C83/D83</f>
        <v/>
      </c>
      <c r="F83" s="46">
        <f>SUMIFS(Sold[RBA],Sold[STATE],B83,Sold[GROSS],"&gt;"&amp;0,Sold[GOV OCCP],"&gt;="&amp;0.5)+SUMIFS(Ownership[SF LEASED],Ownership[STATE],B83,Ownership[GROSS],"&gt;"&amp;0,Ownership[OCCP],"&gt;="&amp;50)</f>
        <v/>
      </c>
      <c r="G83" s="46">
        <f>F83/D83</f>
        <v/>
      </c>
      <c r="H83" s="336">
        <f>C83/F83</f>
        <v/>
      </c>
      <c r="I83" s="336">
        <f t="array" ref="I83">PERCENTILE(IF(Ownership[STATE]=B83,Ownership[GROSS/SF]),0.75)</f>
        <v/>
      </c>
      <c r="J83" s="336">
        <f t="array" ref="J83">PERCENTILE(IF(Ownership[STATE]=B83,Ownership[GROSS/SF]),0.25)</f>
        <v/>
      </c>
      <c r="K83" s="336">
        <f t="array" ref="K83">MEDIAN(IF(Ownership[STATE]=B83,Ownership[GROSS/SF]))</f>
        <v/>
      </c>
    </row>
    <row r="84">
      <c r="B84" s="318" t="inlineStr">
        <is>
          <t>VT</t>
        </is>
      </c>
      <c r="C84" s="319">
        <f>SUMIFS(Sold[GROSS],Sold[STATE],B84,Sold[GOV OCCP],"&gt;="&amp;0.5)+SUMIFS(Ownership[GROSS],Ownership[STATE],B84,Ownership[OCCP],"&gt;="&amp;50)</f>
        <v/>
      </c>
      <c r="D84" s="46">
        <f>COUNTIFS(Sold[GROSS],"&gt;"&amp;0,Sold[STATE],B84,Sold[GOV OCCP],"&gt;="&amp;0.5)+COUNTIFS(Ownership[GROSS],"&gt;"&amp;0,Ownership[STATE],B84,Ownership[OCCP],"&gt;="&amp;50)</f>
        <v/>
      </c>
      <c r="E84" s="336">
        <f>C84/D84</f>
        <v/>
      </c>
      <c r="F84" s="46">
        <f>SUMIFS(Sold[RBA],Sold[STATE],B84,Sold[GROSS],"&gt;"&amp;0,Sold[GOV OCCP],"&gt;="&amp;0.5)+SUMIFS(Ownership[SF LEASED],Ownership[STATE],B84,Ownership[GROSS],"&gt;"&amp;0,Ownership[OCCP],"&gt;="&amp;50)</f>
        <v/>
      </c>
      <c r="G84" s="46">
        <f>F84/D84</f>
        <v/>
      </c>
      <c r="H84" s="336">
        <f>C84/F84</f>
        <v/>
      </c>
      <c r="I84" s="336">
        <f t="array" ref="I84">PERCENTILE(IF(Ownership[STATE]=B84,Ownership[GROSS/SF]),0.75)</f>
        <v/>
      </c>
      <c r="J84" s="336">
        <f t="array" ref="J84">PERCENTILE(IF(Ownership[STATE]=B84,Ownership[GROSS/SF]),0.25)</f>
        <v/>
      </c>
      <c r="K84" s="336">
        <f t="array" ref="K84">MEDIAN(IF(Ownership[STATE]=B84,Ownership[GROSS/SF]))</f>
        <v/>
      </c>
    </row>
    <row r="85">
      <c r="B85" s="318" t="inlineStr">
        <is>
          <t>VA</t>
        </is>
      </c>
      <c r="C85" s="319">
        <f>SUMIFS(Sold[GROSS],Sold[STATE],B85,Sold[GOV OCCP],"&gt;="&amp;0.5)+SUMIFS(Ownership[GROSS],Ownership[STATE],B85,Ownership[OCCP],"&gt;="&amp;50)</f>
        <v/>
      </c>
      <c r="D85" s="46">
        <f>COUNTIFS(Sold[GROSS],"&gt;"&amp;0,Sold[STATE],B85,Sold[GOV OCCP],"&gt;="&amp;0.5)+COUNTIFS(Ownership[GROSS],"&gt;"&amp;0,Ownership[STATE],B85,Ownership[OCCP],"&gt;="&amp;50)</f>
        <v/>
      </c>
      <c r="E85" s="336">
        <f>C85/D85</f>
        <v/>
      </c>
      <c r="F85" s="46">
        <f>SUMIFS(Sold[RBA],Sold[STATE],B85,Sold[GROSS],"&gt;"&amp;0,Sold[GOV OCCP],"&gt;="&amp;0.5)+SUMIFS(Ownership[SF LEASED],Ownership[STATE],B85,Ownership[GROSS],"&gt;"&amp;0,Ownership[OCCP],"&gt;="&amp;50)</f>
        <v/>
      </c>
      <c r="G85" s="46">
        <f>F85/D85</f>
        <v/>
      </c>
      <c r="H85" s="336">
        <f>C85/F85</f>
        <v/>
      </c>
      <c r="I85" s="336">
        <f t="array" ref="I85">PERCENTILE(IF(Ownership[STATE]=B85,Ownership[GROSS/SF]),0.75)</f>
        <v/>
      </c>
      <c r="J85" s="336">
        <f t="array" ref="J85">PERCENTILE(IF(Ownership[STATE]=B85,Ownership[GROSS/SF]),0.25)</f>
        <v/>
      </c>
      <c r="K85" s="336">
        <f t="array" ref="K85">MEDIAN(IF(Ownership[STATE]=B85,Ownership[GROSS/SF]))</f>
        <v/>
      </c>
    </row>
    <row r="86">
      <c r="B86" s="318" t="inlineStr">
        <is>
          <t>WA</t>
        </is>
      </c>
      <c r="C86" s="319">
        <f>SUMIFS(Sold[GROSS],Sold[STATE],B86,Sold[GOV OCCP],"&gt;="&amp;0.5)+SUMIFS(Ownership[GROSS],Ownership[STATE],B86,Ownership[OCCP],"&gt;="&amp;50)</f>
        <v/>
      </c>
      <c r="D86" s="46">
        <f>COUNTIFS(Sold[GROSS],"&gt;"&amp;0,Sold[STATE],B86,Sold[GOV OCCP],"&gt;="&amp;0.5)+COUNTIFS(Ownership[GROSS],"&gt;"&amp;0,Ownership[STATE],B86,Ownership[OCCP],"&gt;="&amp;50)</f>
        <v/>
      </c>
      <c r="E86" s="336">
        <f>C86/D86</f>
        <v/>
      </c>
      <c r="F86" s="46">
        <f>SUMIFS(Sold[RBA],Sold[STATE],B86,Sold[GROSS],"&gt;"&amp;0,Sold[GOV OCCP],"&gt;="&amp;0.5)+SUMIFS(Ownership[SF LEASED],Ownership[STATE],B86,Ownership[GROSS],"&gt;"&amp;0,Ownership[OCCP],"&gt;="&amp;50)</f>
        <v/>
      </c>
      <c r="G86" s="46">
        <f>F86/D86</f>
        <v/>
      </c>
      <c r="H86" s="336">
        <f>C86/F86</f>
        <v/>
      </c>
      <c r="I86" s="336">
        <f t="array" ref="I86">PERCENTILE(IF(Ownership[STATE]=B86,Ownership[GROSS/SF]),0.75)</f>
        <v/>
      </c>
      <c r="J86" s="336">
        <f t="array" ref="J86">PERCENTILE(IF(Ownership[STATE]=B86,Ownership[GROSS/SF]),0.25)</f>
        <v/>
      </c>
      <c r="K86" s="336">
        <f t="array" ref="K86">MEDIAN(IF(Ownership[STATE]=B86,Ownership[GROSS/SF]))</f>
        <v/>
      </c>
    </row>
    <row r="87">
      <c r="B87" s="318" t="inlineStr">
        <is>
          <t>WV</t>
        </is>
      </c>
      <c r="C87" s="319">
        <f>SUMIFS(Sold[GROSS],Sold[STATE],B87,Sold[GOV OCCP],"&gt;="&amp;0.5)+SUMIFS(Ownership[GROSS],Ownership[STATE],B87,Ownership[OCCP],"&gt;="&amp;50)</f>
        <v/>
      </c>
      <c r="D87" s="46">
        <f>COUNTIFS(Sold[GROSS],"&gt;"&amp;0,Sold[STATE],B87,Sold[GOV OCCP],"&gt;="&amp;0.5)+COUNTIFS(Ownership[GROSS],"&gt;"&amp;0,Ownership[STATE],B87,Ownership[OCCP],"&gt;="&amp;50)</f>
        <v/>
      </c>
      <c r="E87" s="336">
        <f>C87/D87</f>
        <v/>
      </c>
      <c r="F87" s="46">
        <f>SUMIFS(Sold[RBA],Sold[STATE],B87,Sold[GROSS],"&gt;"&amp;0,Sold[GOV OCCP],"&gt;="&amp;0.5)+SUMIFS(Ownership[SF LEASED],Ownership[STATE],B87,Ownership[GROSS],"&gt;"&amp;0,Ownership[OCCP],"&gt;="&amp;50)</f>
        <v/>
      </c>
      <c r="G87" s="46">
        <f>F87/D87</f>
        <v/>
      </c>
      <c r="H87" s="336">
        <f>C87/F87</f>
        <v/>
      </c>
      <c r="I87" s="336">
        <f t="array" ref="I87">PERCENTILE(IF(Ownership[STATE]=B87,Ownership[GROSS/SF]),0.75)</f>
        <v/>
      </c>
      <c r="J87" s="336">
        <f t="array" ref="J87">PERCENTILE(IF(Ownership[STATE]=B87,Ownership[GROSS/SF]),0.25)</f>
        <v/>
      </c>
      <c r="K87" s="336">
        <f t="array" ref="K87">MEDIAN(IF(Ownership[STATE]=B87,Ownership[GROSS/SF]))</f>
        <v/>
      </c>
    </row>
    <row r="88">
      <c r="B88" s="318" t="inlineStr">
        <is>
          <t>WI</t>
        </is>
      </c>
      <c r="C88" s="319">
        <f>SUMIFS(Sold[GROSS],Sold[STATE],B88,Sold[GOV OCCP],"&gt;="&amp;0.5)+SUMIFS(Ownership[GROSS],Ownership[STATE],B88,Ownership[OCCP],"&gt;="&amp;50)</f>
        <v/>
      </c>
      <c r="D88" s="46">
        <f>COUNTIFS(Sold[GROSS],"&gt;"&amp;0,Sold[STATE],B88,Sold[GOV OCCP],"&gt;="&amp;0.5)+COUNTIFS(Ownership[GROSS],"&gt;"&amp;0,Ownership[STATE],B88,Ownership[OCCP],"&gt;="&amp;50)</f>
        <v/>
      </c>
      <c r="E88" s="336">
        <f>C88/D88</f>
        <v/>
      </c>
      <c r="F88" s="46">
        <f>SUMIFS(Sold[RBA],Sold[STATE],B88,Sold[GROSS],"&gt;"&amp;0,Sold[GOV OCCP],"&gt;="&amp;0.5)+SUMIFS(Ownership[SF LEASED],Ownership[STATE],B88,Ownership[GROSS],"&gt;"&amp;0,Ownership[OCCP],"&gt;="&amp;50)</f>
        <v/>
      </c>
      <c r="G88" s="46">
        <f>F88/D88</f>
        <v/>
      </c>
      <c r="H88" s="336">
        <f>C88/F88</f>
        <v/>
      </c>
      <c r="I88" s="336">
        <f t="array" ref="I88">PERCENTILE(IF(Ownership[STATE]=B88,Ownership[GROSS/SF]),0.75)</f>
        <v/>
      </c>
      <c r="J88" s="336">
        <f t="array" ref="J88">PERCENTILE(IF(Ownership[STATE]=B88,Ownership[GROSS/SF]),0.25)</f>
        <v/>
      </c>
      <c r="K88" s="336">
        <f t="array" ref="K88">MEDIAN(IF(Ownership[STATE]=B88,Ownership[GROSS/SF]))</f>
        <v/>
      </c>
    </row>
    <row r="89">
      <c r="B89" s="318" t="inlineStr">
        <is>
          <t>WY</t>
        </is>
      </c>
      <c r="C89" s="319">
        <f>SUMIFS(Sold[GROSS],Sold[STATE],B89,Sold[GOV OCCP],"&gt;="&amp;0.5)+SUMIFS(Ownership[GROSS],Ownership[STATE],B89,Ownership[OCCP],"&gt;="&amp;50)</f>
        <v/>
      </c>
      <c r="D89" s="46">
        <f>COUNTIFS(Sold[GROSS],"&gt;"&amp;0,Sold[STATE],B89,Sold[GOV OCCP],"&gt;="&amp;0.5)+COUNTIFS(Ownership[GROSS],"&gt;"&amp;0,Ownership[STATE],B89,Ownership[OCCP],"&gt;="&amp;50)</f>
        <v/>
      </c>
      <c r="E89" s="336">
        <f>C89/D89</f>
        <v/>
      </c>
      <c r="F89" s="46">
        <f>SUMIFS(Sold[RBA],Sold[STATE],B89,Sold[GROSS],"&gt;"&amp;0,Sold[GOV OCCP],"&gt;="&amp;0.5)+SUMIFS(Ownership[SF LEASED],Ownership[STATE],B89,Ownership[GROSS],"&gt;"&amp;0,Ownership[OCCP],"&gt;="&amp;50)</f>
        <v/>
      </c>
      <c r="G89" s="46">
        <f>F89/D89</f>
        <v/>
      </c>
      <c r="H89" s="336">
        <f>C89/F89</f>
        <v/>
      </c>
      <c r="I89" s="336">
        <f t="array" ref="I89">PERCENTILE(IF(Ownership[STATE]=B89,Ownership[GROSS/SF]),0.75)</f>
        <v/>
      </c>
      <c r="J89" s="336">
        <f t="array" ref="J89">PERCENTILE(IF(Ownership[STATE]=B89,Ownership[GROSS/SF]),0.25)</f>
        <v/>
      </c>
      <c r="K89" s="336">
        <f t="array" ref="K89">MEDIAN(IF(Ownership[STATE]=B89,Ownership[GROSS/SF]))</f>
        <v/>
      </c>
    </row>
    <row r="91">
      <c r="A91" s="318" t="n">
        <v>45657</v>
      </c>
      <c r="B91" t="inlineStr">
        <is>
          <t>Year Commenced</t>
        </is>
      </c>
      <c r="C91" t="inlineStr">
        <is>
          <t>Sum of Rent</t>
        </is>
      </c>
      <c r="D91" t="inlineStr">
        <is>
          <t>Count of Rent</t>
        </is>
      </c>
      <c r="E91" t="inlineStr">
        <is>
          <t>Average Rents</t>
        </is>
      </c>
      <c r="F91" t="inlineStr">
        <is>
          <t>Sum of RBA</t>
        </is>
      </c>
      <c r="G91" t="inlineStr">
        <is>
          <t>Average RBA</t>
        </is>
      </c>
      <c r="H91" t="inlineStr">
        <is>
          <t>Average RPSF</t>
        </is>
      </c>
      <c r="I91" t="inlineStr">
        <is>
          <t>Upper Quartile Rent</t>
        </is>
      </c>
      <c r="J91" t="inlineStr">
        <is>
          <t>Lower Quartile Rent</t>
        </is>
      </c>
      <c r="K91" t="inlineStr">
        <is>
          <t>Median Rent PSF</t>
        </is>
      </c>
      <c r="M91" s="334" t="inlineStr">
        <is>
          <t>16 - Case for Renewal</t>
        </is>
      </c>
    </row>
    <row r="92">
      <c r="A92" s="318" t="n">
        <v>45291</v>
      </c>
      <c r="B92" t="n">
        <v>2023</v>
      </c>
      <c r="C92" s="319">
        <f>SUMIFS(Ownership[GROSS],Ownership[COM],"&gt;"&amp;A93,Ownership[COM],"&lt;="&amp;A92,Ownership[OCCP],"&gt;="&amp;50)</f>
        <v/>
      </c>
      <c r="D92" s="46">
        <f>COUNTIFS(Ownership[GROSS],"&gt;"&amp;0,Ownership[COM],"&gt;"&amp;A93,Ownership[COM],"&lt;="&amp;A92,Ownership[OCCP],"&gt;="&amp;50)</f>
        <v/>
      </c>
      <c r="E92" s="336">
        <f>C92/D92</f>
        <v/>
      </c>
      <c r="F92" s="46">
        <f>SUMIFS(Ownership[SF LEASED],Ownership[COM],"&gt;"&amp;A93,Ownership[COM],"&lt;="&amp;A92,Ownership[GROSS],"&gt;"&amp;0,Ownership[OCCP],"&gt;="&amp;50)</f>
        <v/>
      </c>
      <c r="G92" s="46">
        <f>F92/D92</f>
        <v/>
      </c>
      <c r="H92" s="336">
        <f>C92/F92</f>
        <v/>
      </c>
      <c r="M92" s="338" t="n"/>
    </row>
    <row r="93">
      <c r="A93" s="318">
        <f>EDATE(A92,-12)</f>
        <v/>
      </c>
      <c r="B93" t="n">
        <v>2022</v>
      </c>
      <c r="C93" s="319">
        <f>SUMIFS(Ownership[GROSS],Ownership[COM],"&gt;"&amp;A94,Ownership[COM],"&lt;="&amp;A93,Ownership[OCCP],"&gt;="&amp;50)</f>
        <v/>
      </c>
      <c r="D93" s="46">
        <f>COUNTIFS(Ownership[GROSS],"&gt;"&amp;0,Ownership[COM],"&gt;"&amp;A94,Ownership[COM],"&lt;="&amp;A93,Ownership[OCCP],"&gt;="&amp;50)</f>
        <v/>
      </c>
      <c r="E93" s="336">
        <f>C93/D93</f>
        <v/>
      </c>
      <c r="F93" s="46">
        <f>SUMIFS(Ownership[SF LEASED],Ownership[COM],"&gt;"&amp;A94,Ownership[COM],"&lt;="&amp;A93,Ownership[GROSS],"&gt;"&amp;0,Ownership[OCCP],"&gt;="&amp;50)</f>
        <v/>
      </c>
      <c r="G93" s="46">
        <f>F93/D93</f>
        <v/>
      </c>
      <c r="H93" s="336">
        <f>C93/F93</f>
        <v/>
      </c>
      <c r="I93" s="336" t="n"/>
      <c r="J93" s="336" t="n"/>
      <c r="K93" s="336" t="n"/>
    </row>
    <row r="94">
      <c r="A94" s="318">
        <f>EDATE(A93,-12)</f>
        <v/>
      </c>
      <c r="B94" t="n">
        <v>2021</v>
      </c>
      <c r="C94" s="319">
        <f>SUMIFS(Ownership[GROSS],Ownership[COM],"&gt;"&amp;A95,Ownership[COM],"&lt;="&amp;A94,Ownership[OCCP],"&gt;="&amp;50)</f>
        <v/>
      </c>
      <c r="D94" s="46">
        <f>COUNTIFS(Ownership[GROSS],"&gt;"&amp;0,Ownership[COM],"&gt;"&amp;A95,Ownership[COM],"&lt;="&amp;A94,Ownership[OCCP],"&gt;="&amp;50)</f>
        <v/>
      </c>
      <c r="E94" s="336">
        <f>C94/D94</f>
        <v/>
      </c>
      <c r="F94" s="46">
        <f>SUMIFS(Ownership[SF LEASED],Ownership[COM],"&gt;"&amp;A95,Ownership[COM],"&lt;="&amp;A94,Ownership[GROSS],"&gt;"&amp;0,Ownership[OCCP],"&gt;="&amp;50)</f>
        <v/>
      </c>
      <c r="G94" s="46">
        <f>F94/D94</f>
        <v/>
      </c>
      <c r="H94" s="336">
        <f>C94/F94</f>
        <v/>
      </c>
      <c r="I94" s="336" t="n"/>
      <c r="J94" s="336" t="n"/>
      <c r="K94" s="336" t="n"/>
    </row>
    <row r="95">
      <c r="A95" s="318">
        <f>EDATE(A94,-12)</f>
        <v/>
      </c>
      <c r="B95" t="n">
        <v>2020</v>
      </c>
      <c r="C95" s="319">
        <f>SUMIFS(Ownership[GROSS],Ownership[COM],"&gt;"&amp;A96,Ownership[COM],"&lt;="&amp;A95,Ownership[OCCP],"&gt;="&amp;50)</f>
        <v/>
      </c>
      <c r="D95" s="46">
        <f>COUNTIFS(Ownership[GROSS],"&gt;"&amp;0,Ownership[COM],"&gt;"&amp;A96,Ownership[COM],"&lt;="&amp;A95,Ownership[OCCP],"&gt;="&amp;50)</f>
        <v/>
      </c>
      <c r="E95" s="336">
        <f>C95/D95</f>
        <v/>
      </c>
      <c r="F95" s="46">
        <f>SUMIFS(Ownership[SF LEASED],Ownership[COM],"&gt;"&amp;A96,Ownership[COM],"&lt;="&amp;A95,Ownership[GROSS],"&gt;"&amp;0,Ownership[OCCP],"&gt;="&amp;50)</f>
        <v/>
      </c>
      <c r="G95" s="46">
        <f>F95/D95</f>
        <v/>
      </c>
      <c r="H95" s="336">
        <f>C95/F95</f>
        <v/>
      </c>
      <c r="I95" s="336" t="n"/>
      <c r="J95" s="336" t="n"/>
      <c r="K95" s="336" t="n"/>
    </row>
    <row r="96">
      <c r="A96" s="318">
        <f>EDATE(A95,-12)</f>
        <v/>
      </c>
      <c r="B96" t="n">
        <v>2019</v>
      </c>
      <c r="C96" s="319">
        <f>SUMIFS(Ownership[GROSS],Ownership[COM],"&gt;"&amp;A97,Ownership[COM],"&lt;="&amp;A96,Ownership[OCCP],"&gt;="&amp;50)</f>
        <v/>
      </c>
      <c r="D96" s="46">
        <f>COUNTIFS(Ownership[GROSS],"&gt;"&amp;0,Ownership[COM],"&gt;"&amp;A97,Ownership[COM],"&lt;="&amp;A96,Ownership[OCCP],"&gt;="&amp;50)</f>
        <v/>
      </c>
      <c r="E96" s="336">
        <f>C96/D96</f>
        <v/>
      </c>
      <c r="F96" s="46">
        <f>SUMIFS(Ownership[SF LEASED],Ownership[COM],"&gt;"&amp;A97,Ownership[COM],"&lt;="&amp;A96,Ownership[GROSS],"&gt;"&amp;0,Ownership[OCCP],"&gt;="&amp;50)</f>
        <v/>
      </c>
      <c r="G96" s="46">
        <f>F96/D96</f>
        <v/>
      </c>
      <c r="H96" s="336">
        <f>C96/F96</f>
        <v/>
      </c>
      <c r="I96" s="336" t="n"/>
      <c r="J96" s="336" t="n"/>
      <c r="K96" s="336" t="n"/>
    </row>
    <row r="97">
      <c r="A97" s="318">
        <f>EDATE(A96,-12)</f>
        <v/>
      </c>
      <c r="B97" t="n">
        <v>2018</v>
      </c>
      <c r="C97" s="319">
        <f>SUMIFS(Ownership[GROSS],Ownership[COM],"&gt;"&amp;A98,Ownership[COM],"&lt;="&amp;A97,Ownership[OCCP],"&gt;="&amp;50)</f>
        <v/>
      </c>
      <c r="D97" s="46">
        <f>COUNTIFS(Ownership[GROSS],"&gt;"&amp;0,Ownership[COM],"&gt;"&amp;A98,Ownership[COM],"&lt;="&amp;A97,Ownership[OCCP],"&gt;="&amp;50)</f>
        <v/>
      </c>
      <c r="E97" s="336">
        <f>C97/D97</f>
        <v/>
      </c>
      <c r="F97" s="46">
        <f>SUMIFS(Ownership[SF LEASED],Ownership[COM],"&gt;"&amp;A98,Ownership[COM],"&lt;="&amp;A97,Ownership[GROSS],"&gt;"&amp;0,Ownership[OCCP],"&gt;="&amp;50)</f>
        <v/>
      </c>
      <c r="G97" s="46">
        <f>F97/D97</f>
        <v/>
      </c>
      <c r="H97" s="336">
        <f>C97/F97</f>
        <v/>
      </c>
      <c r="I97" s="336" t="n"/>
      <c r="J97" s="336" t="n"/>
      <c r="K97" s="336" t="n"/>
    </row>
    <row r="98">
      <c r="A98" s="318">
        <f>EDATE(A97,-12)</f>
        <v/>
      </c>
      <c r="B98" t="n">
        <v>2017</v>
      </c>
      <c r="C98" s="319">
        <f>SUMIFS(Ownership[GROSS],Ownership[COM],"&gt;"&amp;A99,Ownership[COM],"&lt;="&amp;A98,Ownership[OCCP],"&gt;="&amp;50)</f>
        <v/>
      </c>
      <c r="D98" s="46">
        <f>COUNTIFS(Ownership[GROSS],"&gt;"&amp;0,Ownership[COM],"&gt;"&amp;A99,Ownership[COM],"&lt;="&amp;A98,Ownership[OCCP],"&gt;="&amp;50)</f>
        <v/>
      </c>
      <c r="E98" s="336">
        <f>C98/D98</f>
        <v/>
      </c>
      <c r="F98" s="46">
        <f>SUMIFS(Ownership[SF LEASED],Ownership[COM],"&gt;"&amp;A99,Ownership[COM],"&lt;="&amp;A98,Ownership[GROSS],"&gt;"&amp;0,Ownership[OCCP],"&gt;="&amp;50)</f>
        <v/>
      </c>
      <c r="G98" s="46">
        <f>F98/D98</f>
        <v/>
      </c>
      <c r="H98" s="336">
        <f>C98/F98</f>
        <v/>
      </c>
      <c r="I98" s="336" t="n"/>
      <c r="J98" s="336" t="n"/>
      <c r="K98" s="336" t="n"/>
    </row>
    <row r="99">
      <c r="A99" s="318">
        <f>EDATE(A98,-12)</f>
        <v/>
      </c>
      <c r="B99" t="n">
        <v>2016</v>
      </c>
      <c r="C99" s="319">
        <f>SUMIFS(Ownership[GROSS],Ownership[COM],"&gt;"&amp;A100,Ownership[COM],"&lt;="&amp;A99,Ownership[OCCP],"&gt;="&amp;50)</f>
        <v/>
      </c>
      <c r="D99" s="46">
        <f>COUNTIFS(Ownership[GROSS],"&gt;"&amp;0,Ownership[COM],"&gt;"&amp;A100,Ownership[COM],"&lt;="&amp;A99,Ownership[OCCP],"&gt;="&amp;50)</f>
        <v/>
      </c>
      <c r="E99" s="336">
        <f>C99/D99</f>
        <v/>
      </c>
      <c r="F99" s="46">
        <f>SUMIFS(Ownership[SF LEASED],Ownership[COM],"&gt;"&amp;A100,Ownership[COM],"&lt;="&amp;A99,Ownership[GROSS],"&gt;"&amp;0,Ownership[OCCP],"&gt;="&amp;50)</f>
        <v/>
      </c>
      <c r="G99" s="46">
        <f>F99/D99</f>
        <v/>
      </c>
      <c r="H99" s="336">
        <f>C99/F99</f>
        <v/>
      </c>
      <c r="I99" s="336" t="n"/>
      <c r="J99" s="336" t="n"/>
      <c r="K99" s="336" t="n"/>
    </row>
    <row r="100">
      <c r="A100" s="318">
        <f>EDATE(A99,-12)</f>
        <v/>
      </c>
      <c r="B100" t="n">
        <v>2015</v>
      </c>
      <c r="C100" s="319">
        <f>SUMIFS(Ownership[GROSS],Ownership[COM],"&gt;"&amp;A101,Ownership[COM],"&lt;="&amp;A100,Ownership[OCCP],"&gt;="&amp;50)</f>
        <v/>
      </c>
      <c r="D100" s="46">
        <f>COUNTIFS(Ownership[GROSS],"&gt;"&amp;0,Ownership[COM],"&gt;"&amp;A101,Ownership[COM],"&lt;="&amp;A100,Ownership[OCCP],"&gt;="&amp;50)</f>
        <v/>
      </c>
      <c r="E100" s="336">
        <f>C100/D100</f>
        <v/>
      </c>
      <c r="F100" s="46">
        <f>SUMIFS(Ownership[SF LEASED],Ownership[COM],"&gt;"&amp;A101,Ownership[COM],"&lt;="&amp;A100,Ownership[GROSS],"&gt;"&amp;0,Ownership[OCCP],"&gt;="&amp;50)</f>
        <v/>
      </c>
      <c r="G100" s="46">
        <f>F100/D100</f>
        <v/>
      </c>
      <c r="H100" s="336">
        <f>C100/F100</f>
        <v/>
      </c>
      <c r="I100" s="336" t="n"/>
      <c r="J100" s="336" t="n"/>
      <c r="K100" s="336" t="n"/>
    </row>
    <row r="101">
      <c r="A101" s="318">
        <f>EDATE(A100,-12)</f>
        <v/>
      </c>
      <c r="B101" t="n">
        <v>2014</v>
      </c>
      <c r="C101" s="319">
        <f>SUMIFS(Ownership[GROSS],Ownership[COM],"&gt;"&amp;A102,Ownership[COM],"&lt;="&amp;A101,Ownership[OCCP],"&gt;="&amp;50)</f>
        <v/>
      </c>
      <c r="D101" s="46">
        <f>COUNTIFS(Ownership[GROSS],"&gt;"&amp;0,Ownership[COM],"&gt;"&amp;A102,Ownership[COM],"&lt;="&amp;A101,Ownership[OCCP],"&gt;="&amp;50)</f>
        <v/>
      </c>
      <c r="E101" s="336">
        <f>C101/D101</f>
        <v/>
      </c>
      <c r="F101" s="46">
        <f>SUMIFS(Ownership[SF LEASED],Ownership[COM],"&gt;"&amp;A102,Ownership[COM],"&lt;="&amp;A101,Ownership[GROSS],"&gt;"&amp;0,Ownership[OCCP],"&gt;="&amp;50)</f>
        <v/>
      </c>
      <c r="G101" s="46">
        <f>F101/D101</f>
        <v/>
      </c>
      <c r="H101" s="336">
        <f>C101/F101</f>
        <v/>
      </c>
      <c r="I101" s="336" t="n"/>
      <c r="J101" s="336" t="n"/>
      <c r="K101" s="336" t="n"/>
    </row>
    <row r="102">
      <c r="A102" s="318">
        <f>EDATE(A101,-12)</f>
        <v/>
      </c>
      <c r="B102" t="n">
        <v>2013</v>
      </c>
      <c r="C102" s="319">
        <f>SUMIFS(Ownership[GROSS],Ownership[COM],"&gt;"&amp;A103,Ownership[COM],"&lt;="&amp;A102,Ownership[OCCP],"&gt;="&amp;50)</f>
        <v/>
      </c>
      <c r="D102" s="46">
        <f>COUNTIFS(Ownership[GROSS],"&gt;"&amp;0,Ownership[COM],"&gt;"&amp;A103,Ownership[COM],"&lt;="&amp;A102,Ownership[OCCP],"&gt;="&amp;50)</f>
        <v/>
      </c>
      <c r="E102" s="336">
        <f>C102/D102</f>
        <v/>
      </c>
      <c r="F102" s="46">
        <f>SUMIFS(Ownership[SF LEASED],Ownership[COM],"&gt;"&amp;A103,Ownership[COM],"&lt;="&amp;A102,Ownership[GROSS],"&gt;"&amp;0,Ownership[OCCP],"&gt;="&amp;50)</f>
        <v/>
      </c>
      <c r="G102" s="46">
        <f>F102/D102</f>
        <v/>
      </c>
      <c r="H102" s="336">
        <f>C102/F102</f>
        <v/>
      </c>
      <c r="I102" s="336" t="n"/>
      <c r="J102" s="336" t="n"/>
      <c r="K102" s="336" t="n"/>
    </row>
    <row r="103">
      <c r="A103" s="318">
        <f>EDATE(A102,-12)</f>
        <v/>
      </c>
      <c r="B103" t="n">
        <v>2012</v>
      </c>
      <c r="C103" s="319">
        <f>SUMIFS(Ownership[GROSS],Ownership[COM],"&gt;"&amp;A104,Ownership[COM],"&lt;="&amp;A103,Ownership[OCCP],"&gt;="&amp;50)</f>
        <v/>
      </c>
      <c r="D103" s="46">
        <f>COUNTIFS(Ownership[GROSS],"&gt;"&amp;0,Ownership[COM],"&gt;"&amp;A104,Ownership[COM],"&lt;="&amp;A103,Ownership[OCCP],"&gt;="&amp;50)</f>
        <v/>
      </c>
      <c r="E103" s="336">
        <f>C103/D103</f>
        <v/>
      </c>
      <c r="F103" s="46">
        <f>SUMIFS(Ownership[SF LEASED],Ownership[COM],"&gt;"&amp;A104,Ownership[COM],"&lt;="&amp;A103,Ownership[GROSS],"&gt;"&amp;0,Ownership[OCCP],"&gt;="&amp;50)</f>
        <v/>
      </c>
      <c r="G103" s="46">
        <f>F103/D103</f>
        <v/>
      </c>
      <c r="H103" s="336">
        <f>C103/F103</f>
        <v/>
      </c>
      <c r="I103" s="336" t="n"/>
      <c r="J103" s="336" t="n"/>
      <c r="K103" s="336" t="n"/>
    </row>
    <row r="104">
      <c r="A104" s="318">
        <f>EDATE(A103,-12)</f>
        <v/>
      </c>
      <c r="B104" t="n">
        <v>2011</v>
      </c>
      <c r="C104" s="319">
        <f>SUMIFS(Ownership[GROSS],Ownership[COM],"&gt;"&amp;A105,Ownership[COM],"&lt;="&amp;A104,Ownership[OCCP],"&gt;="&amp;50)</f>
        <v/>
      </c>
      <c r="D104" s="46">
        <f>COUNTIFS(Ownership[GROSS],"&gt;"&amp;0,Ownership[COM],"&gt;"&amp;A105,Ownership[COM],"&lt;="&amp;A104,Ownership[OCCP],"&gt;="&amp;50)</f>
        <v/>
      </c>
      <c r="E104" s="336">
        <f>C104/D104</f>
        <v/>
      </c>
      <c r="F104" s="46">
        <f>SUMIFS(Ownership[SF LEASED],Ownership[COM],"&gt;"&amp;A105,Ownership[COM],"&lt;="&amp;A104,Ownership[GROSS],"&gt;"&amp;0,Ownership[OCCP],"&gt;="&amp;50)</f>
        <v/>
      </c>
      <c r="G104" s="46">
        <f>F104/D104</f>
        <v/>
      </c>
      <c r="H104" s="336">
        <f>C104/F104</f>
        <v/>
      </c>
      <c r="I104" s="336" t="n"/>
      <c r="J104" s="336" t="n"/>
      <c r="K104" s="336" t="n"/>
    </row>
    <row r="105">
      <c r="A105" s="318">
        <f>EDATE(A104,-12)</f>
        <v/>
      </c>
      <c r="B105" t="n">
        <v>2010</v>
      </c>
      <c r="C105" s="319">
        <f>SUMIFS(Ownership[GROSS],Ownership[COM],"&gt;"&amp;A106,Ownership[COM],"&lt;="&amp;A105,Ownership[OCCP],"&gt;="&amp;50)</f>
        <v/>
      </c>
      <c r="D105" s="46">
        <f>COUNTIFS(Ownership[GROSS],"&gt;"&amp;0,Ownership[COM],"&gt;"&amp;A106,Ownership[COM],"&lt;="&amp;A105,Ownership[OCCP],"&gt;="&amp;50)</f>
        <v/>
      </c>
      <c r="E105" s="336">
        <f>C105/D105</f>
        <v/>
      </c>
      <c r="F105" s="46">
        <f>SUMIFS(Ownership[SF LEASED],Ownership[COM],"&gt;"&amp;A106,Ownership[COM],"&lt;="&amp;A105,Ownership[GROSS],"&gt;"&amp;0,Ownership[OCCP],"&gt;="&amp;50)</f>
        <v/>
      </c>
      <c r="G105" s="46">
        <f>F105/D105</f>
        <v/>
      </c>
      <c r="H105" s="336">
        <f>C105/F105</f>
        <v/>
      </c>
      <c r="I105" s="336" t="n"/>
      <c r="J105" s="336" t="n"/>
      <c r="K105" s="336" t="n"/>
    </row>
    <row r="106">
      <c r="A106" s="318">
        <f>EDATE(A105,-12)</f>
        <v/>
      </c>
      <c r="B106" t="n">
        <v>2009</v>
      </c>
      <c r="C106" s="319">
        <f>SUMIFS(Ownership[GROSS],Ownership[COM],"&gt;"&amp;A107,Ownership[COM],"&lt;="&amp;A106,Ownership[OCCP],"&gt;="&amp;50)</f>
        <v/>
      </c>
      <c r="D106" s="46">
        <f>COUNTIFS(Ownership[GROSS],"&gt;"&amp;0,Ownership[COM],"&gt;"&amp;A107,Ownership[COM],"&lt;="&amp;A106,Ownership[OCCP],"&gt;="&amp;50)</f>
        <v/>
      </c>
      <c r="E106" s="336">
        <f>C106/D106</f>
        <v/>
      </c>
      <c r="F106" s="46">
        <f>SUMIFS(Ownership[SF LEASED],Ownership[COM],"&gt;"&amp;A107,Ownership[COM],"&lt;="&amp;A106,Ownership[GROSS],"&gt;"&amp;0,Ownership[OCCP],"&gt;="&amp;50)</f>
        <v/>
      </c>
      <c r="G106" s="46">
        <f>F106/D106</f>
        <v/>
      </c>
      <c r="H106" s="336">
        <f>C106/F106</f>
        <v/>
      </c>
      <c r="I106" s="336" t="n"/>
      <c r="J106" s="336" t="n"/>
      <c r="K106" s="336" t="n"/>
    </row>
    <row r="107">
      <c r="A107" s="318">
        <f>EDATE(A106,-12)</f>
        <v/>
      </c>
      <c r="B107" t="n">
        <v>2008</v>
      </c>
      <c r="C107" s="319">
        <f>SUMIFS(Ownership[GROSS],Ownership[COM],"&gt;"&amp;A108,Ownership[COM],"&lt;="&amp;A107,Ownership[OCCP],"&gt;="&amp;50)</f>
        <v/>
      </c>
      <c r="D107" s="46">
        <f>COUNTIFS(Ownership[GROSS],"&gt;"&amp;0,Ownership[COM],"&gt;"&amp;A108,Ownership[COM],"&lt;="&amp;A107,Ownership[OCCP],"&gt;="&amp;50)</f>
        <v/>
      </c>
      <c r="E107" s="336">
        <f>C107/D107</f>
        <v/>
      </c>
      <c r="F107" s="46">
        <f>SUMIFS(Ownership[SF LEASED],Ownership[COM],"&gt;"&amp;A108,Ownership[COM],"&lt;="&amp;A107,Ownership[GROSS],"&gt;"&amp;0,Ownership[OCCP],"&gt;="&amp;50)</f>
        <v/>
      </c>
      <c r="G107" s="46">
        <f>F107/D107</f>
        <v/>
      </c>
      <c r="H107" s="336">
        <f>C107/F107</f>
        <v/>
      </c>
      <c r="I107" s="336" t="n"/>
      <c r="J107" s="336" t="n"/>
      <c r="K107" s="336" t="n"/>
    </row>
    <row r="108">
      <c r="A108" s="318">
        <f>EDATE(A107,-12)</f>
        <v/>
      </c>
      <c r="B108" t="n">
        <v>2007</v>
      </c>
      <c r="C108" s="319">
        <f>SUMIFS(Ownership[GROSS],Ownership[COM],"&gt;"&amp;A109,Ownership[COM],"&lt;="&amp;A108,Ownership[OCCP],"&gt;="&amp;50)</f>
        <v/>
      </c>
      <c r="D108" s="46">
        <f>COUNTIFS(Ownership[GROSS],"&gt;"&amp;0,Ownership[COM],"&gt;"&amp;A109,Ownership[COM],"&lt;="&amp;A108,Ownership[OCCP],"&gt;="&amp;50)</f>
        <v/>
      </c>
      <c r="E108" s="336">
        <f>C108/D108</f>
        <v/>
      </c>
      <c r="F108" s="46">
        <f>SUMIFS(Ownership[SF LEASED],Ownership[COM],"&gt;"&amp;A109,Ownership[COM],"&lt;="&amp;A108,Ownership[GROSS],"&gt;"&amp;0,Ownership[OCCP],"&gt;="&amp;50)</f>
        <v/>
      </c>
      <c r="G108" s="46">
        <f>F108/D108</f>
        <v/>
      </c>
      <c r="H108" s="336">
        <f>C108/F108</f>
        <v/>
      </c>
      <c r="I108" s="336" t="n"/>
      <c r="J108" s="336" t="n"/>
      <c r="K108" s="336" t="n"/>
    </row>
    <row r="109">
      <c r="A109" s="318">
        <f>EDATE(A108,-12)</f>
        <v/>
      </c>
      <c r="B109" t="n">
        <v>2006</v>
      </c>
      <c r="C109" s="319">
        <f>SUMIFS(Ownership[GROSS],Ownership[COM],"&gt;"&amp;A110,Ownership[COM],"&lt;="&amp;A109,Ownership[OCCP],"&gt;="&amp;50)</f>
        <v/>
      </c>
      <c r="D109" s="46">
        <f>COUNTIFS(Ownership[GROSS],"&gt;"&amp;0,Ownership[COM],"&gt;"&amp;A110,Ownership[COM],"&lt;="&amp;A109,Ownership[OCCP],"&gt;="&amp;50)</f>
        <v/>
      </c>
      <c r="E109" s="336">
        <f>C109/D109</f>
        <v/>
      </c>
      <c r="F109" s="46">
        <f>SUMIFS(Ownership[SF LEASED],Ownership[COM],"&gt;"&amp;A110,Ownership[COM],"&lt;="&amp;A109,Ownership[GROSS],"&gt;"&amp;0,Ownership[OCCP],"&gt;="&amp;50)</f>
        <v/>
      </c>
      <c r="G109" s="46">
        <f>F109/D109</f>
        <v/>
      </c>
      <c r="H109" s="336">
        <f>C109/F109</f>
        <v/>
      </c>
      <c r="I109" s="336" t="n"/>
      <c r="J109" s="336" t="n"/>
      <c r="K109" s="336" t="n"/>
    </row>
    <row r="110">
      <c r="A110" s="318">
        <f>EDATE(A109,-12)</f>
        <v/>
      </c>
      <c r="B110" t="n">
        <v>2005</v>
      </c>
      <c r="C110" s="319">
        <f>SUMIFS(Ownership[GROSS],Ownership[COM],"&gt;"&amp;A111,Ownership[COM],"&lt;="&amp;A110,Ownership[OCCP],"&gt;="&amp;50)</f>
        <v/>
      </c>
      <c r="D110" s="46">
        <f>COUNTIFS(Ownership[GROSS],"&gt;"&amp;0,Ownership[COM],"&gt;"&amp;A111,Ownership[COM],"&lt;="&amp;A110,Ownership[OCCP],"&gt;="&amp;50)</f>
        <v/>
      </c>
      <c r="E110" s="336">
        <f>C110/D110</f>
        <v/>
      </c>
      <c r="F110" s="46">
        <f>SUMIFS(Ownership[SF LEASED],Ownership[COM],"&gt;"&amp;A111,Ownership[COM],"&lt;="&amp;A110,Ownership[GROSS],"&gt;"&amp;0,Ownership[OCCP],"&gt;="&amp;50)</f>
        <v/>
      </c>
      <c r="G110" s="46">
        <f>F110/D110</f>
        <v/>
      </c>
      <c r="H110" s="336">
        <f>C110/F110</f>
        <v/>
      </c>
      <c r="I110" s="336" t="n"/>
      <c r="J110" s="336" t="n"/>
      <c r="K110" s="336" t="n"/>
    </row>
    <row r="111">
      <c r="A111" s="318">
        <f>EDATE(A110,-12)</f>
        <v/>
      </c>
      <c r="B111" t="n">
        <v>2004</v>
      </c>
      <c r="C111" s="319">
        <f>SUMIFS(Ownership[GROSS],Ownership[COM],"&gt;"&amp;A112,Ownership[COM],"&lt;="&amp;A111,Ownership[OCCP],"&gt;="&amp;50)</f>
        <v/>
      </c>
      <c r="D111" s="46">
        <f>COUNTIFS(Ownership[GROSS],"&gt;"&amp;0,Ownership[COM],"&gt;"&amp;A112,Ownership[COM],"&lt;="&amp;A111,Ownership[OCCP],"&gt;="&amp;50)</f>
        <v/>
      </c>
      <c r="E111" s="336">
        <f>C111/D111</f>
        <v/>
      </c>
      <c r="F111" s="46">
        <f>SUMIFS(Ownership[SF LEASED],Ownership[COM],"&gt;"&amp;A112,Ownership[COM],"&lt;="&amp;A111,Ownership[GROSS],"&gt;"&amp;0,Ownership[OCCP],"&gt;="&amp;50)</f>
        <v/>
      </c>
      <c r="G111" s="46">
        <f>F111/D111</f>
        <v/>
      </c>
      <c r="H111" s="336">
        <f>C111/F111</f>
        <v/>
      </c>
      <c r="I111" s="336" t="n"/>
      <c r="J111" s="336" t="n"/>
      <c r="K111" s="336" t="n"/>
    </row>
    <row r="112">
      <c r="A112" s="318">
        <f>EDATE(A111,-12)</f>
        <v/>
      </c>
      <c r="B112" t="n">
        <v>2003</v>
      </c>
      <c r="C112" s="319">
        <f>SUMIFS(Ownership[GROSS],Ownership[COM],"&gt;"&amp;A113,Ownership[COM],"&lt;="&amp;A112,Ownership[OCCP],"&gt;="&amp;50)</f>
        <v/>
      </c>
      <c r="D112" s="46">
        <f>COUNTIFS(Ownership[GROSS],"&gt;"&amp;0,Ownership[COM],"&gt;"&amp;A113,Ownership[COM],"&lt;="&amp;A112,Ownership[OCCP],"&gt;="&amp;50)</f>
        <v/>
      </c>
      <c r="E112" s="336">
        <f>C112/D112</f>
        <v/>
      </c>
      <c r="F112" s="46">
        <f>SUMIFS(Ownership[SF LEASED],Ownership[COM],"&gt;"&amp;A113,Ownership[COM],"&lt;="&amp;A112,Ownership[GROSS],"&gt;"&amp;0,Ownership[OCCP],"&gt;="&amp;50)</f>
        <v/>
      </c>
      <c r="G112" s="46">
        <f>F112/D112</f>
        <v/>
      </c>
      <c r="H112" s="336">
        <f>C112/F112</f>
        <v/>
      </c>
      <c r="I112" s="336" t="n"/>
      <c r="J112" s="336" t="n"/>
      <c r="K112" s="336" t="n"/>
    </row>
    <row r="113">
      <c r="A113" s="318">
        <f>EDATE(A112,-12)</f>
        <v/>
      </c>
      <c r="B113" t="n">
        <v>2002</v>
      </c>
      <c r="C113" s="319">
        <f>SUMIFS(Ownership[GROSS],Ownership[COM],"&gt;"&amp;A114,Ownership[COM],"&lt;="&amp;A113,Ownership[OCCP],"&gt;="&amp;50)</f>
        <v/>
      </c>
      <c r="D113" s="46">
        <f>COUNTIFS(Ownership[GROSS],"&gt;"&amp;0,Ownership[COM],"&gt;"&amp;A114,Ownership[COM],"&lt;="&amp;A113,Ownership[OCCP],"&gt;="&amp;50)</f>
        <v/>
      </c>
      <c r="E113" s="336">
        <f>C113/D113</f>
        <v/>
      </c>
      <c r="F113" s="46">
        <f>SUMIFS(Ownership[SF LEASED],Ownership[COM],"&gt;"&amp;A114,Ownership[COM],"&lt;="&amp;A113,Ownership[GROSS],"&gt;"&amp;0,Ownership[OCCP],"&gt;="&amp;50)</f>
        <v/>
      </c>
      <c r="G113" s="46">
        <f>F113/D113</f>
        <v/>
      </c>
      <c r="H113" s="336">
        <f>C113/F113</f>
        <v/>
      </c>
      <c r="I113" s="336" t="n"/>
      <c r="J113" s="336" t="n"/>
      <c r="K113" s="336" t="n"/>
    </row>
    <row r="114">
      <c r="A114" s="318">
        <f>EDATE(A113,-12)</f>
        <v/>
      </c>
      <c r="B114" t="n">
        <v>2001</v>
      </c>
      <c r="C114" s="319">
        <f>SUMIFS(Ownership[GROSS],Ownership[COM],"&gt;"&amp;A115,Ownership[COM],"&lt;="&amp;A114,Ownership[OCCP],"&gt;="&amp;50)</f>
        <v/>
      </c>
      <c r="D114" s="46">
        <f>COUNTIFS(Ownership[GROSS],"&gt;"&amp;0,Ownership[COM],"&gt;"&amp;A115,Ownership[COM],"&lt;="&amp;A114,Ownership[OCCP],"&gt;="&amp;50)</f>
        <v/>
      </c>
      <c r="E114" s="336">
        <f>C114/D114</f>
        <v/>
      </c>
      <c r="F114" s="46">
        <f>SUMIFS(Ownership[SF LEASED],Ownership[COM],"&gt;"&amp;A115,Ownership[COM],"&lt;="&amp;A114,Ownership[GROSS],"&gt;"&amp;0,Ownership[OCCP],"&gt;="&amp;50)</f>
        <v/>
      </c>
      <c r="G114" s="46">
        <f>F114/D114</f>
        <v/>
      </c>
      <c r="H114" s="336">
        <f>C114/F114</f>
        <v/>
      </c>
      <c r="I114" s="336" t="n"/>
      <c r="J114" s="336" t="n"/>
      <c r="K114" s="336" t="n"/>
    </row>
    <row r="115">
      <c r="A115" s="318">
        <f>EDATE(A114,-12)</f>
        <v/>
      </c>
      <c r="B115" t="n">
        <v>2000</v>
      </c>
      <c r="C115" s="319">
        <f>SUMIFS(Ownership[GROSS],Ownership[COM],"&gt;"&amp;A116,Ownership[COM],"&lt;="&amp;A115,Ownership[OCCP],"&gt;="&amp;50)</f>
        <v/>
      </c>
      <c r="D115" s="46">
        <f>COUNTIFS(Ownership[GROSS],"&gt;"&amp;0,Ownership[COM],"&gt;"&amp;A116,Ownership[COM],"&lt;="&amp;A115,Ownership[OCCP],"&gt;="&amp;50)</f>
        <v/>
      </c>
      <c r="E115" s="336">
        <f>C115/D115</f>
        <v/>
      </c>
      <c r="F115" s="46">
        <f>SUMIFS(Ownership[SF LEASED],Ownership[COM],"&gt;"&amp;A116,Ownership[COM],"&lt;="&amp;A115,Ownership[GROSS],"&gt;"&amp;0,Ownership[OCCP],"&gt;="&amp;50)</f>
        <v/>
      </c>
      <c r="G115" s="46">
        <f>F115/D115</f>
        <v/>
      </c>
      <c r="H115" s="336">
        <f>C115/F115</f>
        <v/>
      </c>
      <c r="I115" s="336" t="n"/>
      <c r="J115" s="336" t="n"/>
      <c r="K115" s="336" t="n"/>
    </row>
    <row r="116">
      <c r="A116" s="318">
        <f>EDATE(A115,-12)</f>
        <v/>
      </c>
      <c r="B116" t="n">
        <v>1999</v>
      </c>
      <c r="C116" s="319">
        <f>SUMIFS(Ownership[GROSS],Ownership[COM],"&gt;"&amp;A117,Ownership[COM],"&lt;="&amp;A116,Ownership[OCCP],"&gt;="&amp;50)</f>
        <v/>
      </c>
      <c r="D116" s="46">
        <f>COUNTIFS(Ownership[GROSS],"&gt;"&amp;0,Ownership[COM],"&gt;"&amp;A117,Ownership[COM],"&lt;="&amp;A116,Ownership[OCCP],"&gt;="&amp;50)</f>
        <v/>
      </c>
      <c r="E116" s="336">
        <f>C116/D116</f>
        <v/>
      </c>
      <c r="F116" s="46">
        <f>SUMIFS(Ownership[SF LEASED],Ownership[COM],"&gt;"&amp;A117,Ownership[COM],"&lt;="&amp;A116,Ownership[GROSS],"&gt;"&amp;0,Ownership[OCCP],"&gt;="&amp;50)</f>
        <v/>
      </c>
      <c r="G116" s="46">
        <f>F116/D116</f>
        <v/>
      </c>
      <c r="H116" s="336">
        <f>C116/F116</f>
        <v/>
      </c>
      <c r="I116" s="336" t="n"/>
      <c r="J116" s="336" t="n"/>
      <c r="K116" s="336" t="n"/>
    </row>
    <row r="117">
      <c r="A117" s="318">
        <f>EDATE(A116,-12)</f>
        <v/>
      </c>
      <c r="B117" t="n">
        <v>1998</v>
      </c>
      <c r="C117" s="319">
        <f>SUMIFS(Ownership[GROSS],Ownership[COM],"&gt;"&amp;A118,Ownership[COM],"&lt;="&amp;A117,Ownership[OCCP],"&gt;="&amp;50)</f>
        <v/>
      </c>
      <c r="D117" s="46">
        <f>COUNTIFS(Ownership[GROSS],"&gt;"&amp;0,Ownership[COM],"&gt;"&amp;A118,Ownership[COM],"&lt;="&amp;A117,Ownership[OCCP],"&gt;="&amp;50)</f>
        <v/>
      </c>
      <c r="E117" s="336">
        <f>C117/D117</f>
        <v/>
      </c>
      <c r="F117" s="46">
        <f>SUMIFS(Ownership[SF LEASED],Ownership[COM],"&gt;"&amp;A118,Ownership[COM],"&lt;="&amp;A117,Ownership[GROSS],"&gt;"&amp;0,Ownership[OCCP],"&gt;="&amp;50)</f>
        <v/>
      </c>
      <c r="G117" s="46">
        <f>F117/D117</f>
        <v/>
      </c>
      <c r="H117" s="336">
        <f>C117/F117</f>
        <v/>
      </c>
      <c r="I117" s="336" t="n"/>
      <c r="J117" s="336" t="n"/>
      <c r="K117" s="336" t="n"/>
    </row>
    <row r="118">
      <c r="A118" s="318">
        <f>EDATE(A117,-12)</f>
        <v/>
      </c>
      <c r="B118" t="n">
        <v>1997</v>
      </c>
      <c r="C118" s="319">
        <f>SUMIFS(Ownership[GROSS],Ownership[COM],"&gt;"&amp;A119,Ownership[COM],"&lt;="&amp;A118,Ownership[OCCP],"&gt;="&amp;50)</f>
        <v/>
      </c>
      <c r="D118" s="46">
        <f>COUNTIFS(Ownership[GROSS],"&gt;"&amp;0,Ownership[COM],"&gt;"&amp;A119,Ownership[COM],"&lt;="&amp;A118,Ownership[OCCP],"&gt;="&amp;50)</f>
        <v/>
      </c>
      <c r="E118" s="336">
        <f>C118/D118</f>
        <v/>
      </c>
      <c r="F118" s="46">
        <f>SUMIFS(Ownership[SF LEASED],Ownership[COM],"&gt;"&amp;A119,Ownership[COM],"&lt;="&amp;A118,Ownership[GROSS],"&gt;"&amp;0,Ownership[OCCP],"&gt;="&amp;50)</f>
        <v/>
      </c>
      <c r="G118" s="46">
        <f>F118/D118</f>
        <v/>
      </c>
      <c r="H118" s="336">
        <f>C118/F118</f>
        <v/>
      </c>
      <c r="I118" s="336" t="n"/>
      <c r="J118" s="336" t="n"/>
      <c r="K118" s="336" t="n"/>
    </row>
    <row r="119">
      <c r="A119" s="318">
        <f>EDATE(A118,-12)</f>
        <v/>
      </c>
      <c r="B119" t="n">
        <v>1996</v>
      </c>
      <c r="C119" s="319">
        <f>SUMIFS(Ownership[GROSS],Ownership[COM],"&gt;"&amp;A120,Ownership[COM],"&lt;="&amp;A119,Ownership[OCCP],"&gt;="&amp;50)</f>
        <v/>
      </c>
      <c r="D119" s="46">
        <f>COUNTIFS(Ownership[GROSS],"&gt;"&amp;0,Ownership[COM],"&gt;"&amp;A120,Ownership[COM],"&lt;="&amp;A119,Ownership[OCCP],"&gt;="&amp;50)</f>
        <v/>
      </c>
      <c r="E119" s="336">
        <f>C119/D119</f>
        <v/>
      </c>
      <c r="F119" s="46">
        <f>SUMIFS(Ownership[SF LEASED],Ownership[COM],"&gt;"&amp;A120,Ownership[COM],"&lt;="&amp;A119,Ownership[GROSS],"&gt;"&amp;0,Ownership[OCCP],"&gt;="&amp;50)</f>
        <v/>
      </c>
      <c r="G119" s="46">
        <f>F119/D119</f>
        <v/>
      </c>
      <c r="H119" s="336">
        <f>C119/F119</f>
        <v/>
      </c>
      <c r="I119" s="336" t="n"/>
      <c r="J119" s="336" t="n"/>
      <c r="K119" s="336" t="n"/>
    </row>
    <row r="120">
      <c r="A120" s="318">
        <f>EDATE(A119,-12)</f>
        <v/>
      </c>
      <c r="B120" t="n">
        <v>1995</v>
      </c>
      <c r="C120" s="319">
        <f>SUMIFS(Ownership[GROSS],Ownership[COM],"&gt;"&amp;A121,Ownership[COM],"&lt;="&amp;A120,Ownership[OCCP],"&gt;="&amp;50)</f>
        <v/>
      </c>
      <c r="D120" s="46">
        <f>COUNTIFS(Ownership[GROSS],"&gt;"&amp;0,Ownership[COM],"&gt;"&amp;A121,Ownership[COM],"&lt;="&amp;A120,Ownership[OCCP],"&gt;="&amp;50)</f>
        <v/>
      </c>
      <c r="E120" s="336">
        <f>C120/D120</f>
        <v/>
      </c>
      <c r="F120" s="46">
        <f>SUMIFS(Ownership[SF LEASED],Ownership[COM],"&gt;"&amp;A121,Ownership[COM],"&lt;="&amp;A120,Ownership[GROSS],"&gt;"&amp;0,Ownership[OCCP],"&gt;="&amp;50)</f>
        <v/>
      </c>
      <c r="G120" s="46">
        <f>F120/D120</f>
        <v/>
      </c>
      <c r="H120" s="336">
        <f>C120/F120</f>
        <v/>
      </c>
      <c r="I120" s="336" t="n"/>
      <c r="J120" s="336" t="n"/>
      <c r="K120" s="336" t="n"/>
    </row>
    <row r="121">
      <c r="A121" s="318">
        <f>EDATE(A120,-12)</f>
        <v/>
      </c>
      <c r="B121" t="n">
        <v>1994</v>
      </c>
      <c r="C121" s="319">
        <f>SUMIFS(Ownership[GROSS],Ownership[COM],"&gt;"&amp;A122,Ownership[COM],"&lt;="&amp;A121,Ownership[OCCP],"&gt;="&amp;50)</f>
        <v/>
      </c>
      <c r="D121" s="46">
        <f>COUNTIFS(Ownership[GROSS],"&gt;"&amp;0,Ownership[COM],"&gt;"&amp;A122,Ownership[COM],"&lt;="&amp;A121,Ownership[OCCP],"&gt;="&amp;50)</f>
        <v/>
      </c>
      <c r="E121" s="336">
        <f>C121/D121</f>
        <v/>
      </c>
      <c r="F121" s="46">
        <f>SUMIFS(Ownership[SF LEASED],Ownership[COM],"&gt;"&amp;A122,Ownership[COM],"&lt;="&amp;A121,Ownership[GROSS],"&gt;"&amp;0,Ownership[OCCP],"&gt;="&amp;50)</f>
        <v/>
      </c>
      <c r="G121" s="46">
        <f>F121/D121</f>
        <v/>
      </c>
      <c r="H121" s="336">
        <f>C121/F121</f>
        <v/>
      </c>
      <c r="I121" s="336" t="n"/>
      <c r="J121" s="336" t="n"/>
      <c r="K121" s="336" t="n"/>
    </row>
    <row r="122">
      <c r="A122" s="318">
        <f>EDATE(A121,-12)</f>
        <v/>
      </c>
      <c r="B122" t="n">
        <v>1993</v>
      </c>
      <c r="C122" s="319">
        <f>SUMIFS(Ownership[GROSS],Ownership[COM],"&gt;"&amp;A123,Ownership[COM],"&lt;="&amp;A122,Ownership[OCCP],"&gt;="&amp;50)</f>
        <v/>
      </c>
      <c r="D122" s="46">
        <f>COUNTIFS(Ownership[GROSS],"&gt;"&amp;0,Ownership[COM],"&gt;"&amp;A123,Ownership[COM],"&lt;="&amp;A122,Ownership[OCCP],"&gt;="&amp;50)</f>
        <v/>
      </c>
      <c r="E122" s="336">
        <f>C122/D122</f>
        <v/>
      </c>
      <c r="F122" s="46">
        <f>SUMIFS(Ownership[SF LEASED],Ownership[COM],"&gt;"&amp;A123,Ownership[COM],"&lt;="&amp;A122,Ownership[GROSS],"&gt;"&amp;0,Ownership[OCCP],"&gt;="&amp;50)</f>
        <v/>
      </c>
      <c r="G122" s="46">
        <f>F122/D122</f>
        <v/>
      </c>
      <c r="H122" s="336">
        <f>C122/F122</f>
        <v/>
      </c>
      <c r="I122" s="336" t="n"/>
      <c r="J122" s="336" t="n"/>
      <c r="K122" s="336" t="n"/>
    </row>
    <row r="123">
      <c r="A123" s="318">
        <f>EDATE(A122,-12)</f>
        <v/>
      </c>
      <c r="B123" t="n">
        <v>1992</v>
      </c>
      <c r="C123" s="319">
        <f>SUMIFS(Ownership[GROSS],Ownership[COM],"&gt;"&amp;A124,Ownership[COM],"&lt;="&amp;A123,Ownership[OCCP],"&gt;="&amp;50)</f>
        <v/>
      </c>
      <c r="D123" s="46">
        <f>COUNTIFS(Ownership[GROSS],"&gt;"&amp;0,Ownership[COM],"&gt;"&amp;A124,Ownership[COM],"&lt;="&amp;A123,Ownership[OCCP],"&gt;="&amp;50)</f>
        <v/>
      </c>
      <c r="E123" s="336">
        <f>C123/D123</f>
        <v/>
      </c>
      <c r="F123" s="46">
        <f>SUMIFS(Ownership[SF LEASED],Ownership[COM],"&gt;"&amp;A124,Ownership[COM],"&lt;="&amp;A123,Ownership[GROSS],"&gt;"&amp;0,Ownership[OCCP],"&gt;="&amp;50)</f>
        <v/>
      </c>
      <c r="G123" s="46">
        <f>F123/D123</f>
        <v/>
      </c>
      <c r="H123" s="336">
        <f>C123/F123</f>
        <v/>
      </c>
      <c r="I123" s="336" t="n"/>
      <c r="J123" s="336" t="n"/>
      <c r="K123" s="336" t="n"/>
    </row>
    <row r="124">
      <c r="A124" s="318">
        <f>EDATE(A123,-12)</f>
        <v/>
      </c>
      <c r="B124" t="n">
        <v>1991</v>
      </c>
      <c r="C124" s="319">
        <f>SUMIFS(Ownership[GROSS],Ownership[COM],"&gt;"&amp;A125,Ownership[COM],"&lt;="&amp;A124,Ownership[OCCP],"&gt;="&amp;50)</f>
        <v/>
      </c>
      <c r="D124" s="46">
        <f>COUNTIFS(Ownership[GROSS],"&gt;"&amp;0,Ownership[COM],"&gt;"&amp;A125,Ownership[COM],"&lt;="&amp;A124,Ownership[OCCP],"&gt;="&amp;50)</f>
        <v/>
      </c>
      <c r="E124" s="336">
        <f>C124/D124</f>
        <v/>
      </c>
      <c r="F124" s="46">
        <f>SUMIFS(Ownership[SF LEASED],Ownership[COM],"&gt;"&amp;A125,Ownership[COM],"&lt;="&amp;A124,Ownership[GROSS],"&gt;"&amp;0,Ownership[OCCP],"&gt;="&amp;50)</f>
        <v/>
      </c>
      <c r="G124" s="46">
        <f>F124/D124</f>
        <v/>
      </c>
      <c r="H124" s="336">
        <f>C124/F124</f>
        <v/>
      </c>
      <c r="I124" s="336" t="n"/>
      <c r="J124" s="336" t="n"/>
      <c r="K124" s="336" t="n"/>
    </row>
    <row r="125">
      <c r="A125" s="318">
        <f>EDATE(A124,-12)</f>
        <v/>
      </c>
      <c r="B125" t="n">
        <v>1990</v>
      </c>
      <c r="C125" s="319">
        <f>SUMIFS(Ownership[GROSS],Ownership[COM],"&gt;"&amp;A126,Ownership[COM],"&lt;="&amp;A125,Ownership[OCCP],"&gt;="&amp;50)</f>
        <v/>
      </c>
      <c r="D125" s="46">
        <f>COUNTIFS(Ownership[GROSS],"&gt;"&amp;0,Ownership[COM],"&gt;"&amp;A126,Ownership[COM],"&lt;="&amp;A125,Ownership[OCCP],"&gt;="&amp;50)</f>
        <v/>
      </c>
      <c r="E125" s="336">
        <f>C125/D125</f>
        <v/>
      </c>
      <c r="F125" s="46">
        <f>SUMIFS(Ownership[SF LEASED],Ownership[COM],"&gt;"&amp;A126,Ownership[COM],"&lt;="&amp;A125,Ownership[GROSS],"&gt;"&amp;0,Ownership[OCCP],"&gt;="&amp;50)</f>
        <v/>
      </c>
      <c r="G125" s="46">
        <f>F125/D125</f>
        <v/>
      </c>
      <c r="H125" s="336">
        <f>C125/F125</f>
        <v/>
      </c>
      <c r="I125" s="336" t="n"/>
      <c r="J125" s="336" t="n"/>
      <c r="K125" s="33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4.140625" bestFit="1" customWidth="1" style="59" min="1" max="1"/>
    <col width="13.7109375" bestFit="1" customWidth="1" style="46" min="2" max="2"/>
    <col width="17.85546875" bestFit="1" customWidth="1" style="319" min="3" max="3"/>
  </cols>
  <sheetData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4.140625" bestFit="1" customWidth="1" style="59" min="1" max="1"/>
    <col width="17.85546875" bestFit="1" customWidth="1" style="319" min="2" max="2"/>
    <col width="13.7109375" bestFit="1" customWidth="1" style="114" min="3" max="3"/>
    <col width="19.85546875" bestFit="1" customWidth="1" style="113" min="4" max="4"/>
  </cols>
  <sheetData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>
  <sheetPr codeName="Sheet11">
    <outlinePr summaryBelow="1" summaryRight="1"/>
    <pageSetUpPr/>
  </sheetPr>
  <dimension ref="B1:N39"/>
  <sheetViews>
    <sheetView workbookViewId="0">
      <selection activeCell="A1" sqref="A1"/>
    </sheetView>
  </sheetViews>
  <sheetFormatPr baseColWidth="8" defaultRowHeight="15"/>
  <cols>
    <col width="18.140625" bestFit="1" customWidth="1" style="59" min="2" max="2"/>
    <col width="15.5703125" bestFit="1" customWidth="1" style="59" min="3" max="3"/>
    <col width="12" bestFit="1" customWidth="1" style="59" min="4" max="4"/>
    <col width="13.7109375" bestFit="1" customWidth="1" style="59" min="5" max="5"/>
    <col width="14.28515625" bestFit="1" customWidth="1" style="59" min="7" max="7"/>
    <col width="15.140625" bestFit="1" customWidth="1" style="59" min="9" max="9"/>
    <col width="15.5703125" bestFit="1" customWidth="1" style="59" min="10" max="10"/>
    <col width="10.5703125" bestFit="1" customWidth="1" style="59" min="11" max="11"/>
    <col width="12.7109375" bestFit="1" customWidth="1" style="59" min="12" max="12"/>
    <col width="14.28515625" bestFit="1" customWidth="1" style="59" min="14" max="14"/>
  </cols>
  <sheetData>
    <row r="1">
      <c r="B1" s="339" t="inlineStr">
        <is>
          <t>ALL TIME</t>
        </is>
      </c>
      <c r="C1" s="339" t="n"/>
      <c r="D1" s="339" t="n"/>
      <c r="E1" s="339" t="n"/>
      <c r="F1" s="339" t="n"/>
      <c r="I1" s="339" t="inlineStr">
        <is>
          <t>ALL TIME</t>
        </is>
      </c>
      <c r="J1" s="339" t="n"/>
      <c r="K1" s="339" t="n"/>
      <c r="L1" s="339" t="n"/>
      <c r="M1" s="339" t="n"/>
      <c r="N1" s="302" t="n"/>
    </row>
    <row r="2">
      <c r="B2" s="340" t="inlineStr">
        <is>
          <t>Broker</t>
        </is>
      </c>
      <c r="C2" s="340" t="inlineStr">
        <is>
          <t>Volume</t>
        </is>
      </c>
      <c r="D2" s="340" t="inlineStr">
        <is>
          <t>Deal Count</t>
        </is>
      </c>
      <c r="E2" s="340" t="inlineStr">
        <is>
          <t>Avg. Size</t>
        </is>
      </c>
      <c r="F2" s="340" t="inlineStr">
        <is>
          <t>Avg. Cap</t>
        </is>
      </c>
      <c r="G2" s="340" t="inlineStr">
        <is>
          <t>Market Share</t>
        </is>
      </c>
      <c r="I2" s="340" t="inlineStr">
        <is>
          <t>Firm</t>
        </is>
      </c>
      <c r="J2" s="340" t="inlineStr">
        <is>
          <t>Volume</t>
        </is>
      </c>
      <c r="K2" s="340" t="inlineStr">
        <is>
          <t>Deal Count</t>
        </is>
      </c>
      <c r="L2" s="340" t="inlineStr">
        <is>
          <t>Avg. Size</t>
        </is>
      </c>
      <c r="M2" s="340" t="inlineStr">
        <is>
          <t>Avg. Cap</t>
        </is>
      </c>
      <c r="N2" s="341" t="inlineStr">
        <is>
          <t>Market Share</t>
        </is>
      </c>
    </row>
    <row r="3">
      <c r="B3" s="318" t="inlineStr">
        <is>
          <t>Travis Trautvetter</t>
        </is>
      </c>
      <c r="C3" s="319">
        <f>SUMIFS(Sold[SOLD PRICE],Sold[L. BROKER],"*traut*")+SUMIFS(Sold[SOLD PRICE],Sold[P. BROKER],"*traut*")</f>
        <v/>
      </c>
      <c r="D3" s="46">
        <f>COUNTIFS(Sold[L. BROKER],"*Traut*")+COUNTIFS(Sold[P. BROKER],"*traut*")</f>
        <v/>
      </c>
      <c r="E3" s="319">
        <f>C3/D3</f>
        <v/>
      </c>
      <c r="F3" s="49">
        <f>AVERAGE((AVERAGEIFS(Sold[SOLD CAP],Sold[L. BROKER],"*Traut*")),(AVERAGEIFS(Sold[SOLD CAP],Sold[P. BROKER],"*traut*")))</f>
        <v/>
      </c>
      <c r="G3" s="321">
        <f>D3/Sold[[#Totals],[DATE]]</f>
        <v/>
      </c>
      <c r="I3" s="302" t="inlineStr">
        <is>
          <t>M&amp;M</t>
        </is>
      </c>
      <c r="J3" s="342">
        <f>SUMIFS(Sold[SOLD PRICE],Sold[L. BROKER],"*M&amp;M*")+SUMIFS(Sold[SOLD PRICE],Sold[P. BROKER],"*M&amp;M*")</f>
        <v/>
      </c>
      <c r="K3" s="110">
        <f>COUNTIFS(Sold[L. BROKER],"*M&amp;M*")+COUNTIFS(Sold[P. BROKER],"*M&amp;M*")</f>
        <v/>
      </c>
      <c r="L3" s="342">
        <f>J3/K3</f>
        <v/>
      </c>
      <c r="M3" s="111">
        <f>AVERAGEIFS(Sold[SOLD CAP],Sold[L. BROKER],"*M&amp;M*")</f>
        <v/>
      </c>
      <c r="N3" s="343">
        <f>K3/Sold[[#Totals],[DATE]]</f>
        <v/>
      </c>
    </row>
    <row r="4">
      <c r="B4" s="318" t="inlineStr">
        <is>
          <t>Geoff Ficke</t>
        </is>
      </c>
      <c r="C4" s="319">
        <f>SUMIFS(Sold[SOLD PRICE],Sold[L. BROKER],"*ficke*")+SUMIFS(Sold[SOLD PRICE],Sold[P. BROKER],"*ficke*")</f>
        <v/>
      </c>
      <c r="D4" s="46">
        <f>COUNTIFS(Sold[L. BROKER],"*ficke*")+COUNTIFS(Sold[P. BROKER],"*ficke*")</f>
        <v/>
      </c>
      <c r="E4" s="319">
        <f>C4/D4</f>
        <v/>
      </c>
      <c r="F4" s="49">
        <f>AVERAGE((AVERAGEIFS(Sold[SOLD CAP],Sold[L. BROKER],"*Ficke*")),(AVERAGEIFS(Sold[SOLD CAP],Sold[P. BROKER],"*Ficke*")))</f>
        <v/>
      </c>
      <c r="G4" s="321">
        <f>D4/Sold[[#Totals],[DATE]]</f>
        <v/>
      </c>
      <c r="I4" s="302" t="inlineStr">
        <is>
          <t>C&amp;W</t>
        </is>
      </c>
      <c r="J4" s="342">
        <f>SUMIFS(Sold[SOLD PRICE],Sold[L. BROKER],"*C&amp;W*")+SUMIFS(Sold[SOLD PRICE],Sold[P. BROKER],"*C&amp;W*")</f>
        <v/>
      </c>
      <c r="K4" s="110">
        <f>COUNTIFS(Sold[L. BROKER],"*C&amp;W*")+COUNTIFS(Sold[P. BROKER],"*C&amp;W*")</f>
        <v/>
      </c>
      <c r="L4" s="342">
        <f>J4/K4</f>
        <v/>
      </c>
      <c r="M4" s="111">
        <f>AVERAGEIFS(Sold[SOLD CAP],Sold[L. BROKER],"*C&amp;W*")</f>
        <v/>
      </c>
      <c r="N4" s="343">
        <f>K4/Sold[[#Totals],[DATE]]</f>
        <v/>
      </c>
    </row>
    <row r="5">
      <c r="B5" s="318" t="inlineStr">
        <is>
          <t>Jamie Harrison</t>
        </is>
      </c>
      <c r="C5" s="319">
        <f>SUMIFS(Sold[SOLD PRICE],Sold[L. BROKER],"*Harrison*")+SUMIFS(Sold[SOLD PRICE],Sold[P. BROKER],"*Harrison*")</f>
        <v/>
      </c>
      <c r="D5" s="46">
        <f>COUNTIFS(Sold[L. BROKER],"*Harrison*")+COUNTIFS(Sold[P. BROKER],"*Harrison*")</f>
        <v/>
      </c>
      <c r="E5" s="319">
        <f>C5/D5</f>
        <v/>
      </c>
      <c r="F5" s="49">
        <f>AVERAGE((AVERAGEIFS(Sold[SOLD CAP],Sold[L. BROKER],"*Harrison*")),(AVERAGEIFS(Sold[SOLD CAP],Sold[P. BROKER],"*Harrison*")))</f>
        <v/>
      </c>
      <c r="G5" s="321">
        <f>D5/Sold[[#Totals],[DATE]]</f>
        <v/>
      </c>
      <c r="I5" s="302" t="inlineStr">
        <is>
          <t>CBRE</t>
        </is>
      </c>
      <c r="J5" s="342">
        <f>SUMIFS(Sold[SOLD PRICE],Sold[L. BROKER],"*CBRE*")+SUMIFS(Sold[SOLD PRICE],Sold[P. BROKER],"*CBRE*")</f>
        <v/>
      </c>
      <c r="K5" s="110">
        <f>COUNTIFS(Sold[L. BROKER],"*CBRE*")+COUNTIFS(Sold[P. BROKER],"*CBRE*")</f>
        <v/>
      </c>
      <c r="L5" s="342">
        <f>J5/K5</f>
        <v/>
      </c>
      <c r="M5" s="111">
        <f>AVERAGEIFS(Sold[SOLD CAP],Sold[L. BROKER],"*CBRE*")</f>
        <v/>
      </c>
      <c r="N5" s="343">
        <f>K5/Sold[[#Totals],[DATE]]</f>
        <v/>
      </c>
    </row>
    <row r="6">
      <c r="B6" s="318" t="inlineStr">
        <is>
          <t>William Collins</t>
        </is>
      </c>
      <c r="C6" s="319">
        <f>SUMIFS(Sold[SOLD PRICE],Sold[L. BROKER],"*Collins*")+SUMIFS(Sold[SOLD PRICE],Sold[P. BROKER],"*Collins*")</f>
        <v/>
      </c>
      <c r="D6" s="46">
        <f>COUNTIFS(Sold[L. BROKER],"*Collins*")+COUNTIFS(Sold[P. BROKER],"*Collins*")</f>
        <v/>
      </c>
      <c r="E6" s="319">
        <f>C6/D6</f>
        <v/>
      </c>
      <c r="F6" s="49">
        <f>AVERAGEIFS(Sold[SOLD CAP],Sold[L. BROKER],"*Collins*")</f>
        <v/>
      </c>
      <c r="G6" s="321">
        <f>D6/Sold[[#Totals],[DATE]]</f>
        <v/>
      </c>
      <c r="I6" s="302" t="inlineStr">
        <is>
          <t>SJC</t>
        </is>
      </c>
      <c r="J6" s="342">
        <f>SUMIFS(Sold[SOLD PRICE],Sold[L. BROKER],"*SJC*")+SUMIFS(Sold[SOLD PRICE],Sold[P. BROKER],"*SJC*")</f>
        <v/>
      </c>
      <c r="K6" s="110">
        <f>COUNTIFS(Sold[L. BROKER],"*SJC*")+COUNTIFS(Sold[P. BROKER],"*SJC*")</f>
        <v/>
      </c>
      <c r="L6" s="342">
        <f>J6/K6</f>
        <v/>
      </c>
      <c r="M6" s="111">
        <f>AVERAGEIFS(Sold[SOLD CAP],Sold[L. BROKER],"*SJC*")</f>
        <v/>
      </c>
      <c r="N6" s="343">
        <f>K6/Sold[[#Totals],[DATE]]</f>
        <v/>
      </c>
    </row>
    <row r="7">
      <c r="B7" s="318" t="inlineStr">
        <is>
          <t>Karen Wells</t>
        </is>
      </c>
      <c r="C7" s="319">
        <f>SUMIFS(Sold[SOLD PRICE],Sold[L. BROKER],"*wells*")+SUMIFS(Sold[SOLD PRICE],Sold[P. BROKER],"*wells*")</f>
        <v/>
      </c>
      <c r="D7" s="46">
        <f>COUNTIFS(Sold[L. BROKER],"*wells*")+COUNTIFS(Sold[P. BROKER],"*wells*")</f>
        <v/>
      </c>
      <c r="E7" s="319">
        <f>C7/D7</f>
        <v/>
      </c>
      <c r="F7" s="49">
        <f>AVERAGE((AVERAGEIFS(Sold[SOLD CAP],Sold[L. BROKER],"*Wells*")),(AVERAGEIFS(Sold[SOLD CAP],Sold[P. BROKER],"*Wells*")))</f>
        <v/>
      </c>
      <c r="G7" s="321">
        <f>D7/Sold[[#Totals],[DATE]]</f>
        <v/>
      </c>
      <c r="I7" s="302" t="inlineStr">
        <is>
          <t>Colliers</t>
        </is>
      </c>
      <c r="J7" s="342">
        <f>SUMIFS(Sold[SOLD PRICE],Sold[L. BROKER],"*Colliers*")+SUMIFS(Sold[SOLD PRICE],Sold[P. BROKER],"*Colliers*")</f>
        <v/>
      </c>
      <c r="K7" s="110">
        <f>COUNTIFS(Sold[L. BROKER],"*Colliers*")+COUNTIFS(Sold[P. BROKER],"*Colliers*")</f>
        <v/>
      </c>
      <c r="L7" s="342">
        <f>J7/K7</f>
        <v/>
      </c>
      <c r="M7" s="111">
        <f>AVERAGEIFS(Sold[SOLD CAP],Sold[L. BROKER],"*Colliers*")</f>
        <v/>
      </c>
      <c r="N7" s="343">
        <f>K7/Sold[[#Totals],[DATE]]</f>
        <v/>
      </c>
    </row>
    <row r="8">
      <c r="B8" s="318" t="inlineStr">
        <is>
          <t>Andy Gallas</t>
        </is>
      </c>
      <c r="C8" s="319">
        <f>SUMIFS(Sold[SOLD PRICE],Sold[L. BROKER],"*gallas*")+SUMIFS(Sold[SOLD PRICE],Sold[P. BROKER],"*gallas*")</f>
        <v/>
      </c>
      <c r="D8" s="46">
        <f>COUNTIFS(Sold[L. BROKER],"*gallas*")+COUNTIFS(Sold[P. BROKER],"*gallas*")</f>
        <v/>
      </c>
      <c r="E8" s="319">
        <f>C8/D8</f>
        <v/>
      </c>
      <c r="F8" s="49">
        <f>AVERAGE((AVERAGEIFS(Sold[SOLD CAP],Sold[L. BROKER],"*Gallas*")),(AVERAGEIFS(Sold[SOLD CAP],Sold[P. BROKER],"*Gallas*")))</f>
        <v/>
      </c>
      <c r="G8" s="321">
        <f>D8/Sold[[#Totals],[DATE]]</f>
        <v/>
      </c>
      <c r="I8" s="302" t="inlineStr">
        <is>
          <t>JLL</t>
        </is>
      </c>
      <c r="J8" s="342">
        <f>SUMIFS(Sold[SOLD PRICE],Sold[L. BROKER],"*JLL*")+SUMIFS(Sold[SOLD PRICE],Sold[P. BROKER],"*JLL*")</f>
        <v/>
      </c>
      <c r="K8" s="110">
        <f>COUNTIFS(Sold[L. BROKER],"*JLL*")+COUNTIFS(Sold[P. BROKER],"*JLL*")</f>
        <v/>
      </c>
      <c r="L8" s="342">
        <f>J8/K8</f>
        <v/>
      </c>
      <c r="M8" s="111">
        <f>AVERAGEIFS(Sold[SOLD CAP],Sold[L. BROKER],"*JLL*")</f>
        <v/>
      </c>
      <c r="N8" s="343">
        <f>K8/Sold[[#Totals],[DATE]]</f>
        <v/>
      </c>
    </row>
    <row r="9">
      <c r="B9" s="318" t="inlineStr">
        <is>
          <t>Bob Cottle</t>
        </is>
      </c>
      <c r="C9" s="319">
        <f>SUMIFS(Sold[SOLD PRICE],Sold[L. BROKER],"*Cottle*")+SUMIFS(Sold[SOLD PRICE],Sold[P. BROKER],"*Cottle*")</f>
        <v/>
      </c>
      <c r="D9" s="46">
        <f>COUNTIFS(Sold[L. BROKER],"*Cottle*")+COUNTIFS(Sold[P. BROKER],"*Cottle*")</f>
        <v/>
      </c>
      <c r="E9" s="319">
        <f>C9/D9</f>
        <v/>
      </c>
      <c r="F9" s="49">
        <f>AVERAGEIFS(Sold[SOLD CAP],Sold[L. BROKER],"*Cottle*")</f>
        <v/>
      </c>
      <c r="G9" s="321">
        <f>D9/Sold[[#Totals],[DATE]]</f>
        <v/>
      </c>
      <c r="I9" s="302" t="inlineStr">
        <is>
          <t>Newmark</t>
        </is>
      </c>
      <c r="J9" s="342">
        <f>SUMIFS(Sold[SOLD PRICE],Sold[L. BROKER],"*newmark*")+SUMIFS(Sold[SOLD PRICE],Sold[P. BROKER],"*newmark*")</f>
        <v/>
      </c>
      <c r="K9" s="110">
        <f>COUNTIFS(Sold[L. BROKER],"*newmark*")+COUNTIFS(Sold[P. BROKER],"*newmark*")</f>
        <v/>
      </c>
      <c r="L9" s="342">
        <f>J9/K9</f>
        <v/>
      </c>
      <c r="M9" s="111">
        <f>AVERAGEIFS(Sold[SOLD CAP],Sold[L. BROKER],"*newmark*")</f>
        <v/>
      </c>
      <c r="N9" s="343">
        <f>K9/Sold[[#Totals],[DATE]]</f>
        <v/>
      </c>
    </row>
    <row r="10">
      <c r="B10" s="318" t="inlineStr">
        <is>
          <t>Darrin Kennedy</t>
        </is>
      </c>
      <c r="C10" s="319">
        <f>SUMIFS(Sold[SOLD PRICE],Sold[L. BROKER],"*Kennedy*")+SUMIFS(Sold[SOLD PRICE],Sold[P. BROKER],"*Kennedy*")</f>
        <v/>
      </c>
      <c r="D10" s="46">
        <f>COUNTIFS(Sold[L. BROKER],"*Kennedy*")+COUNTIFS(Sold[P. BROKER],"*Kennedy*")</f>
        <v/>
      </c>
      <c r="E10" s="319">
        <f>C10/D10</f>
        <v/>
      </c>
      <c r="F10" s="49">
        <f>AVERAGEIFS(Sold[SOLD CAP],Sold[L. BROKER],"*Kennedy*")</f>
        <v/>
      </c>
      <c r="G10" s="321">
        <f>D10/Sold[[#Totals],[DATE]]</f>
        <v/>
      </c>
      <c r="I10" s="302" t="inlineStr">
        <is>
          <t>Capital Pacific</t>
        </is>
      </c>
      <c r="J10" s="342">
        <f>SUMIFS(Sold[SOLD PRICE],Sold[L. BROKER],"*CP;*")+SUMIFS(Sold[SOLD PRICE],Sold[P. BROKER],"*CP;*")</f>
        <v/>
      </c>
      <c r="K10" s="110">
        <f>COUNTIFS(Sold[L. BROKER],"*CP;*")+COUNTIFS(Sold[P. BROKER],"*CP;*")</f>
        <v/>
      </c>
      <c r="L10" s="342">
        <f>J10/K10</f>
        <v/>
      </c>
      <c r="M10" s="111">
        <f>AVERAGEIFS(Sold[SOLD CAP],Sold[L. BROKER],"*CP;*")</f>
        <v/>
      </c>
      <c r="N10" s="343">
        <f>K10/Sold[[#Totals],[DATE]]</f>
        <v/>
      </c>
    </row>
    <row r="11">
      <c r="B11" s="318" t="inlineStr">
        <is>
          <t>Scott Briggs</t>
        </is>
      </c>
      <c r="C11" s="319">
        <f>SUMIFS(Sold[SOLD PRICE],Sold[L. BROKER],"*briggs*")+SUMIFS(Sold[SOLD PRICE],Sold[P. BROKER],"*briggs*")</f>
        <v/>
      </c>
      <c r="D11" s="46">
        <f>COUNTIFS(Sold[L. BROKER],"*briggs*")+COUNTIFS(Sold[P. BROKER],"*briggs*")</f>
        <v/>
      </c>
      <c r="E11" s="319">
        <f>C11/D11</f>
        <v/>
      </c>
      <c r="F11" s="49">
        <f>(AVERAGEIFS(Sold[SOLD CAP],Sold[L. BROKER],"*Briggs*"))</f>
        <v/>
      </c>
      <c r="G11" s="321">
        <f>D11/Sold[[#Totals],[DATE]]</f>
        <v/>
      </c>
      <c r="I11" s="302" t="inlineStr">
        <is>
          <t>Touchstone</t>
        </is>
      </c>
      <c r="J11" s="342">
        <f>SUMIFS(Sold[SOLD PRICE],Sold[L. BROKER],"*TCP;*")+SUMIFS(Sold[SOLD PRICE],Sold[P. BROKER],"*TCP;*")</f>
        <v/>
      </c>
      <c r="K11" s="110">
        <f>COUNTIFS(Sold[L. BROKER],"*TCP;*")+COUNTIFS(Sold[P. BROKER],"*TCP;*")</f>
        <v/>
      </c>
      <c r="L11" s="342">
        <f>J11/K11</f>
        <v/>
      </c>
      <c r="M11" s="111">
        <f>AVERAGEIFS(Sold[SOLD CAP],Sold[L. BROKER],"*TCP*")</f>
        <v/>
      </c>
      <c r="N11" s="343">
        <f>K11/Sold[[#Totals],[DATE]]</f>
        <v/>
      </c>
    </row>
    <row r="12">
      <c r="B12" s="318" t="inlineStr">
        <is>
          <t>Alex Mobin</t>
        </is>
      </c>
      <c r="C12" s="319">
        <f>SUMIFS(Sold[SOLD PRICE],Sold[L. BROKER],"*Mobin*")+SUMIFS(Sold[SOLD PRICE],Sold[P. BROKER],"*Mobin*")</f>
        <v/>
      </c>
      <c r="D12" s="46">
        <f>COUNTIFS(Sold[L. BROKER],"*Mobin*")+COUNTIFS(Sold[P. BROKER],"*Mobin*")</f>
        <v/>
      </c>
      <c r="E12" s="319">
        <f>C12/D12</f>
        <v/>
      </c>
      <c r="F12" s="49">
        <f>AVERAGE((AVERAGEIFS(Sold[SOLD CAP],Sold[L. BROKER],"*Mobin*")),(AVERAGEIFS(Sold[SOLD CAP],Sold[P. BROKER],"*Mobin*")))</f>
        <v/>
      </c>
      <c r="G12" s="321">
        <f>D12/Sold[[#Totals],[DATE]]</f>
        <v/>
      </c>
      <c r="I12" s="302" t="inlineStr">
        <is>
          <t>Bear Wells</t>
        </is>
      </c>
      <c r="J12" s="342">
        <f>SUMIFS(Sold[SOLD PRICE],Sold[L. BROKER],"*BW;*")+SUMIFS(Sold[SOLD PRICE],Sold[P. BROKER],"*BW;*")</f>
        <v/>
      </c>
      <c r="K12" s="110">
        <f>COUNTIFS(Sold[L. BROKER],"*BW;*")+COUNTIFS(Sold[P. BROKER],"*BW;*")</f>
        <v/>
      </c>
      <c r="L12" s="342">
        <f>J12/K12</f>
        <v/>
      </c>
      <c r="M12" s="111">
        <f>AVERAGEIFS(Sold[SOLD CAP],Sold[L. BROKER],"*BW;*")</f>
        <v/>
      </c>
      <c r="N12" s="343">
        <f>K12/Sold[[#Totals],[DATE]]</f>
        <v/>
      </c>
    </row>
    <row r="13">
      <c r="B13" s="318" t="inlineStr">
        <is>
          <t>Justin Fenn</t>
        </is>
      </c>
      <c r="C13" s="319">
        <f>SUMIFS(Sold[SOLD PRICE],Sold[L. BROKER],"*fenn*")+SUMIFS(Sold[SOLD PRICE],Sold[P. BROKER],"*fenn*")</f>
        <v/>
      </c>
      <c r="D13" s="46">
        <f>COUNTIFS(Sold[L. BROKER],"*fenn*")+COUNTIFS(Sold[P. BROKER],"*fenn*")</f>
        <v/>
      </c>
      <c r="E13" s="319">
        <f>C13/D13</f>
        <v/>
      </c>
      <c r="F13" s="49">
        <f>AVERAGEIFS(Sold[SOLD CAP],Sold[L. BROKER],"*Fenn*")</f>
        <v/>
      </c>
      <c r="G13" s="321">
        <f>D13/Sold[[#Totals],[DATE]]</f>
        <v/>
      </c>
      <c r="I13" s="302" t="inlineStr">
        <is>
          <t>SVN</t>
        </is>
      </c>
      <c r="J13" s="342">
        <f>SUMIFS(Sold[SOLD PRICE],Sold[L. BROKER],"*SVN*")+SUMIFS(Sold[SOLD PRICE],Sold[P. BROKER],"*SVN*")</f>
        <v/>
      </c>
      <c r="K13" s="110">
        <f>COUNTIFS(Sold[L. BROKER],"*SVN*")+COUNTIFS(Sold[P. BROKER],"*SVN*")</f>
        <v/>
      </c>
      <c r="L13" s="342">
        <f>J13/K13</f>
        <v/>
      </c>
      <c r="M13" s="111">
        <f>AVERAGEIFS(Sold[SOLD CAP],Sold[L. BROKER],"*SVN*")</f>
        <v/>
      </c>
      <c r="N13" s="343">
        <f>K13/Sold[[#Totals],[DATE]]</f>
        <v/>
      </c>
    </row>
    <row r="14">
      <c r="B14" s="318" t="inlineStr">
        <is>
          <t>Tim Strange</t>
        </is>
      </c>
      <c r="C14" s="319">
        <f>SUMIFS(Sold[SOLD PRICE],Sold[L. BROKER],"*Strange*")+SUMIFS(Sold[SOLD PRICE],Sold[P. BROKER],"*Strange*")</f>
        <v/>
      </c>
      <c r="D14" s="46">
        <f>COUNTIFS(Sold[L. BROKER],"*Strange*")+COUNTIFS(Sold[P. BROKER],"*Strange*")</f>
        <v/>
      </c>
      <c r="E14" s="319">
        <f>C14/D14</f>
        <v/>
      </c>
      <c r="F14" s="49">
        <f>AVERAGE((AVERAGEIFS(Sold[SOLD CAP],Sold[L. BROKER],"*Strange*")),(AVERAGEIFS(Sold[SOLD CAP],Sold[P. BROKER],"*Strange*")))</f>
        <v/>
      </c>
      <c r="G14" s="321">
        <f>D14/Sold[[#Totals],[DATE]]</f>
        <v/>
      </c>
      <c r="I14" s="302" t="inlineStr">
        <is>
          <t>Avison Young</t>
        </is>
      </c>
      <c r="J14" s="342">
        <f>SUMIFS(Sold[SOLD PRICE],Sold[L. BROKER],"*AY;*")+SUMIFS(Sold[SOLD PRICE],Sold[P. BROKER],"*AY;*")</f>
        <v/>
      </c>
      <c r="K14" s="110">
        <f>COUNTIFS(Sold[L. BROKER],"*AY;*")+COUNTIFS(Sold[P. BROKER],"*AY;*")</f>
        <v/>
      </c>
      <c r="L14" s="342">
        <f>J14/K14</f>
        <v/>
      </c>
      <c r="M14" s="111">
        <f>AVERAGEIFS(Sold[SOLD CAP],Sold[L. BROKER],"*AY;*")</f>
        <v/>
      </c>
      <c r="N14" s="343">
        <f>K14/Sold[[#Totals],[DATE]]</f>
        <v/>
      </c>
    </row>
    <row r="15">
      <c r="B15" s="318" t="inlineStr">
        <is>
          <t>James Molloy</t>
        </is>
      </c>
      <c r="C15" s="319">
        <f>SUMIFS(Sold[SOLD PRICE],Sold[L. BROKER],"*Molloy*")+SUMIFS(Sold[SOLD PRICE],Sold[P. BROKER],"*Molloy*")</f>
        <v/>
      </c>
      <c r="D15" s="46">
        <f>COUNTIFS(Sold[L. BROKER],"*Molloy*")+COUNTIFS(Sold[P. BROKER],"*Molloy*")</f>
        <v/>
      </c>
      <c r="E15" s="319">
        <f>C15/D15</f>
        <v/>
      </c>
      <c r="F15" s="49">
        <f>AVERAGEIFS(Sold[SOLD CAP],Sold[L. BROKER],"*Molloy*")</f>
        <v/>
      </c>
      <c r="G15" s="321">
        <f>D15/Sold[[#Totals],[DATE]]</f>
        <v/>
      </c>
      <c r="I15" s="302" t="inlineStr">
        <is>
          <t>Avery Postal</t>
        </is>
      </c>
      <c r="J15" s="342">
        <f>SUMIFS(Sold[SOLD PRICE],Sold[L. BROKER],"*Avery*")+SUMIFS(Sold[SOLD PRICE],Sold[P. BROKER],"*Avery*")</f>
        <v/>
      </c>
      <c r="K15" s="110">
        <f>COUNTIFS(Sold[L. BROKER],"*Avery*")+COUNTIFS(Sold[P. BROKER],"*Avery*")</f>
        <v/>
      </c>
      <c r="L15" s="342">
        <f>J15/K15</f>
        <v/>
      </c>
      <c r="M15" s="111">
        <f>AVERAGEIFS(Sold[SOLD CAP],Sold[L. BROKER],"*Avery*")</f>
        <v/>
      </c>
      <c r="N15" s="343">
        <f>K15/Sold[[#Totals],[DATE]]</f>
        <v/>
      </c>
    </row>
    <row r="16">
      <c r="B16" s="318" t="inlineStr">
        <is>
          <t>Marc Rampulla</t>
        </is>
      </c>
      <c r="C16" s="319">
        <f>SUMIFS(Sold[SOLD PRICE],Sold[L. BROKER],"*Rampulla*")+SUMIFS(Sold[SOLD PRICE],Sold[P. BROKER],"*Rampulla*")</f>
        <v/>
      </c>
      <c r="D16" s="46">
        <f>COUNTIFS(Sold[L. BROKER],"*Rampulla*")+COUNTIFS(Sold[P. BROKER],"*Rampulla*")</f>
        <v/>
      </c>
      <c r="E16" s="319">
        <f>C16/D16</f>
        <v/>
      </c>
      <c r="F16" s="49">
        <f>AVERAGEIFS(Sold[SOLD CAP],Sold[L. BROKER],"*Rampulla*")</f>
        <v/>
      </c>
      <c r="G16" s="321">
        <f>D16/Sold[[#Totals],[DATE]]</f>
        <v/>
      </c>
      <c r="I16" s="302" t="inlineStr">
        <is>
          <t>Bull Realty</t>
        </is>
      </c>
      <c r="J16" s="342">
        <f>SUMIFS(Sold[SOLD PRICE],Sold[L. BROKER],"*BR;*")+SUMIFS(Sold[SOLD PRICE],Sold[P. BROKER],"*BR;*")</f>
        <v/>
      </c>
      <c r="K16" s="110">
        <f>COUNTIFS(Sold[L. BROKER],"*BR;*")+COUNTIFS(Sold[P. BROKER],"*BR;*")</f>
        <v/>
      </c>
      <c r="L16" s="342">
        <f>J16/K16</f>
        <v/>
      </c>
      <c r="M16" s="111">
        <f>AVERAGEIFS(Sold[SOLD CAP],Sold[L. BROKER],"*BR;*")</f>
        <v/>
      </c>
      <c r="N16" s="343">
        <f>K16/Sold[[#Totals],[DATE]]</f>
        <v/>
      </c>
    </row>
    <row r="17">
      <c r="C17" s="319" t="n"/>
      <c r="D17" s="46" t="n"/>
      <c r="E17" s="319" t="n"/>
      <c r="F17" s="49" t="n"/>
      <c r="G17" s="321" t="n"/>
      <c r="I17" s="302" t="inlineStr">
        <is>
          <t>Sands</t>
        </is>
      </c>
      <c r="J17" s="342">
        <f>SUMIFS(Sold[SOLD PRICE],Sold[L. BROKER],"*SIG*")+SUMIFS(Sold[SOLD PRICE],Sold[P. BROKER],"*SIG*")</f>
        <v/>
      </c>
      <c r="K17" s="110">
        <f>COUNTIFS(Sold[L. BROKER],"*SIG*")+COUNTIFS(Sold[P. BROKER],"*SIG*")</f>
        <v/>
      </c>
      <c r="L17" s="342">
        <f>J17/K17</f>
        <v/>
      </c>
      <c r="M17" s="111">
        <f>AVERAGEIFS(Sold[SOLD CAP],Sold[L. BROKER],"*SIG*")</f>
        <v/>
      </c>
      <c r="N17" s="343">
        <f>K17/Sold[[#Totals],[DATE]]</f>
        <v/>
      </c>
    </row>
    <row r="18">
      <c r="C18" s="319" t="n"/>
      <c r="D18" s="46" t="n"/>
      <c r="E18" s="319" t="n"/>
      <c r="F18" s="49" t="n"/>
      <c r="G18" s="321" t="n"/>
      <c r="I18" s="302" t="inlineStr">
        <is>
          <t>Matthews</t>
        </is>
      </c>
      <c r="J18" s="342">
        <f>SUMIFS(Sold[SOLD PRICE],Sold[L. BROKER],"*Matthews*")+SUMIFS(Sold[SOLD PRICE],Sold[P. BROKER],"*Matthews*")</f>
        <v/>
      </c>
      <c r="K18" s="110">
        <f>COUNTIFS(Sold[L. BROKER],"*Matthews*")+COUNTIFS(Sold[P. BROKER],"*Matthews*")</f>
        <v/>
      </c>
      <c r="L18" s="342">
        <f>J18/K18</f>
        <v/>
      </c>
      <c r="M18" s="111">
        <f>AVERAGEIFS(Sold[SOLD CAP],Sold[L. BROKER],"*Matthews*")</f>
        <v/>
      </c>
      <c r="N18" s="343">
        <f>K18/Sold[[#Totals],[DATE]]</f>
        <v/>
      </c>
    </row>
    <row r="19">
      <c r="C19" s="319" t="n"/>
      <c r="D19" s="46" t="n"/>
      <c r="E19" s="319" t="n"/>
      <c r="F19" s="49" t="n"/>
      <c r="G19" s="321" t="n"/>
      <c r="I19" s="302" t="inlineStr">
        <is>
          <t>SRS</t>
        </is>
      </c>
      <c r="J19" s="342">
        <f>SUMIFS(Sold[SOLD PRICE],Sold[L. BROKER],"*SRS*")+SUMIFS(Sold[SOLD PRICE],Sold[P. BROKER],"*SRS*")</f>
        <v/>
      </c>
      <c r="K19" s="110">
        <f>COUNTIFS(Sold[L. BROKER],"*SRS*")+COUNTIFS(Sold[P. BROKER],"*SRS*")</f>
        <v/>
      </c>
      <c r="L19" s="342">
        <f>J19/K19</f>
        <v/>
      </c>
      <c r="M19" s="111">
        <f>AVERAGEIFS(Sold[SOLD CAP],Sold[L. BROKER],"*SRS*")</f>
        <v/>
      </c>
      <c r="N19" s="343">
        <f>K19/Sold[[#Totals],[DATE]]</f>
        <v/>
      </c>
    </row>
    <row r="20">
      <c r="I20" s="302" t="n"/>
      <c r="J20" s="342" t="n"/>
      <c r="K20" s="110" t="n"/>
      <c r="L20" s="342" t="n"/>
      <c r="M20" s="111" t="n"/>
      <c r="N20" s="302" t="n"/>
    </row>
    <row r="21">
      <c r="B21" s="339" t="inlineStr">
        <is>
          <t>TTM</t>
        </is>
      </c>
      <c r="C21" s="339" t="n">
        <v>45382</v>
      </c>
      <c r="D21" s="339">
        <f>C21-366</f>
        <v/>
      </c>
      <c r="E21" s="339" t="n"/>
      <c r="I21" s="339" t="inlineStr">
        <is>
          <t>TTM</t>
        </is>
      </c>
      <c r="J21" s="339">
        <f>C21</f>
        <v/>
      </c>
      <c r="K21" s="339">
        <f>D21</f>
        <v/>
      </c>
      <c r="L21" s="339" t="n"/>
      <c r="M21" s="302" t="n"/>
      <c r="N21" s="302" t="n"/>
    </row>
    <row r="22">
      <c r="B22" s="340" t="inlineStr">
        <is>
          <t>Broker</t>
        </is>
      </c>
      <c r="C22" s="340" t="inlineStr">
        <is>
          <t>Volume</t>
        </is>
      </c>
      <c r="D22" s="340" t="inlineStr">
        <is>
          <t>Deal Count</t>
        </is>
      </c>
      <c r="E22" s="340" t="inlineStr">
        <is>
          <t>Avg. Size</t>
        </is>
      </c>
      <c r="F22" s="340" t="inlineStr">
        <is>
          <t>Avg. Cap</t>
        </is>
      </c>
      <c r="G22" s="340" t="inlineStr">
        <is>
          <t>Market Share</t>
        </is>
      </c>
      <c r="I22" s="340" t="inlineStr">
        <is>
          <t>Firm</t>
        </is>
      </c>
      <c r="J22" s="340" t="inlineStr">
        <is>
          <t>Volume</t>
        </is>
      </c>
      <c r="K22" s="340" t="inlineStr">
        <is>
          <t>Deal Count</t>
        </is>
      </c>
      <c r="L22" s="340" t="inlineStr">
        <is>
          <t>Avg. Size</t>
        </is>
      </c>
      <c r="M22" s="340" t="inlineStr">
        <is>
          <t>Avg. Cap</t>
        </is>
      </c>
      <c r="N22" s="341" t="inlineStr">
        <is>
          <t>Market Share</t>
        </is>
      </c>
    </row>
    <row r="23">
      <c r="B23" s="318" t="inlineStr">
        <is>
          <t>Geoff Ficke</t>
        </is>
      </c>
      <c r="C23" s="319">
        <f>SUMIFS(Sold[SOLD PRICE],Sold[L. BROKER],"*ficke*",Sold[DATE],"&lt;="&amp;$C$21,Sold[DATE],"&gt;"&amp;$D$21)+SUMIFS(Sold[SOLD PRICE],Sold[P. BROKER],"*ficke*",Sold[DATE],"&lt;="&amp;$C$21,Sold[DATE],"&gt;"&amp;$D$21)</f>
        <v/>
      </c>
      <c r="D23" s="46">
        <f>COUNTIFS(Sold[L. BROKER],"*ficke*",Sold[DATE],"&lt;="&amp;$C$21,Sold[DATE],"&gt;"&amp;$D$21)+COUNTIFS(Sold[P. BROKER],"*ficke*",Sold[DATE],"&lt;="&amp;$C$21,Sold[DATE],"&gt;"&amp;$D$21)</f>
        <v/>
      </c>
      <c r="E23" s="319">
        <f>C23/D23</f>
        <v/>
      </c>
      <c r="F23" s="49">
        <f>(AVERAGEIFS(Sold[SOLD CAP],Sold[L. BROKER],"*Ficke*",Sold[DATE],"&gt;"&amp;D20,Sold[DATE],"&lt;="&amp;C20))</f>
        <v/>
      </c>
      <c r="G23" s="321">
        <f>D23/'All Charts'!$BS$92</f>
        <v/>
      </c>
      <c r="I23" s="302" t="inlineStr">
        <is>
          <t>SJC</t>
        </is>
      </c>
      <c r="J23" s="342">
        <f>SUMIFS(Sold[SOLD PRICE],Sold[L. BROKER],"*SJC*",Sold[DATE],"&gt;="&amp;$K$21,Sold[DATE],"&lt;="&amp;$J$21)+SUMIFS(Sold[SOLD PRICE],Sold[P. BROKER],"*sjc*",Sold[DATE],"&gt;="&amp;$K$21,Sold[DATE],"&lt;="&amp;$J$21)</f>
        <v/>
      </c>
      <c r="K23" s="110">
        <f>COUNTIFS(Sold[L. BROKER],"*sjc*",Sold[DATE],"&gt;="&amp;$K$21,Sold[DATE],"&lt;="&amp;$J$21)+COUNTIFS(Sold[P. BROKER],"*sjc*",Sold[DATE],"&gt;="&amp;$K$21,Sold[DATE],"&lt;="&amp;$J$21)</f>
        <v/>
      </c>
      <c r="L23" s="342">
        <f>J23/K23</f>
        <v/>
      </c>
      <c r="M23" s="111">
        <f>AVERAGEIFS(Sold[SOLD CAP],Sold[L. BROKER],"*SJC*",Sold[DATE],"&gt;="&amp;$K$21,Sold[DATE],"&lt;="&amp;$J$21)</f>
        <v/>
      </c>
      <c r="N23" s="343">
        <f>K23/'All Charts'!$BS$92</f>
        <v/>
      </c>
    </row>
    <row r="24">
      <c r="B24" s="318" t="inlineStr">
        <is>
          <t>Travis Trautvetter</t>
        </is>
      </c>
      <c r="C24" s="319">
        <f>SUMIFS(Sold[SOLD PRICE],Sold[L. BROKER],"*traut*",Sold[DATE],"&lt;="&amp;$C$21,Sold[DATE],"&gt;"&amp;$D$21)+SUMIFS(Sold[SOLD PRICE],Sold[P. BROKER],"*traut*",Sold[DATE],"&lt;="&amp;$C$21,Sold[DATE],"&gt;"&amp;$D$21)</f>
        <v/>
      </c>
      <c r="D24" s="46">
        <f>COUNTIFS(Sold[L. BROKER],"*Traut*",Sold[DATE],"&lt;="&amp;$C$21,Sold[DATE],"&gt;"&amp;$D$21)+COUNTIFS(Sold[P. BROKER],"*traut*",Sold[DATE],"&lt;="&amp;$C$21,Sold[DATE],"&gt;"&amp;$D$21)</f>
        <v/>
      </c>
      <c r="E24" s="319">
        <f>C24/D24</f>
        <v/>
      </c>
      <c r="F24" s="49">
        <f>(AVERAGEIFS(Sold[SOLD CAP],Sold[L. BROKER],"*Traut*",Sold[DATE],"&gt;"&amp;D22,Sold[DATE],"&lt;="&amp;C22))</f>
        <v/>
      </c>
      <c r="G24" s="321">
        <f>D24/'All Charts'!$BS$92</f>
        <v/>
      </c>
      <c r="I24" s="302" t="inlineStr">
        <is>
          <t>C&amp;W</t>
        </is>
      </c>
      <c r="J24" s="342">
        <f>SUMIFS(Sold[SOLD PRICE],Sold[L. BROKER],"*C&amp;W*",Sold[DATE],"&gt;="&amp;$K$21,Sold[DATE],"&lt;="&amp;$J$21)+SUMIFS(Sold[SOLD PRICE],Sold[P. BROKER],"*C&amp;W*",Sold[DATE],"&gt;="&amp;$K$21,Sold[DATE],"&lt;="&amp;$J$21)</f>
        <v/>
      </c>
      <c r="K24" s="110">
        <f>COUNTIFS(Sold[L. BROKER],"*C&amp;W*",Sold[DATE],"&gt;="&amp;$K$21,Sold[DATE],"&lt;="&amp;$J$21)+COUNTIFS(Sold[P. BROKER],"*C&amp;W*",Sold[DATE],"&gt;="&amp;$K$21,Sold[DATE],"&lt;="&amp;$J$21)</f>
        <v/>
      </c>
      <c r="L24" s="342">
        <f>J24/K24</f>
        <v/>
      </c>
      <c r="M24" s="111">
        <f>AVERAGEIFS(Sold[SOLD CAP],Sold[L. BROKER],"*C&amp;W*",Sold[DATE],"&gt;="&amp;$K$21,Sold[DATE],"&lt;="&amp;$J$21)</f>
        <v/>
      </c>
      <c r="N24" s="343">
        <f>K24/'All Charts'!$BS$92</f>
        <v/>
      </c>
    </row>
    <row r="25">
      <c r="B25" s="318" t="inlineStr">
        <is>
          <t>Scott Briggs</t>
        </is>
      </c>
      <c r="C25" s="319">
        <f>SUMIFS(Sold[SOLD PRICE],Sold[L. BROKER],"*briggs*",Sold[DATE],"&lt;="&amp;$C$21,Sold[DATE],"&gt;"&amp;$D$21)+SUMIFS(Sold[SOLD PRICE],Sold[P. BROKER],"*briggs*",Sold[DATE],"&lt;="&amp;$C$21,Sold[DATE],"&gt;"&amp;$D$21)</f>
        <v/>
      </c>
      <c r="D25" s="46">
        <f>COUNTIFS(Sold[L. BROKER],"*briggs*",Sold[DATE],"&lt;="&amp;$C$21,Sold[DATE],"&gt;"&amp;$D$21)+COUNTIFS(Sold[P. BROKER],"*briggs*",Sold[DATE],"&lt;="&amp;$C$21,Sold[DATE],"&gt;"&amp;$D$21)</f>
        <v/>
      </c>
      <c r="E25" s="319">
        <f>C25/D25</f>
        <v/>
      </c>
      <c r="F25" s="49">
        <f>(AVERAGEIFS(Sold[SOLD CAP],Sold[L. BROKER],"*Briggs*",Sold[DATE],"&gt;"&amp;D21,Sold[DATE],"&lt;="&amp;C21))</f>
        <v/>
      </c>
      <c r="G25" s="321">
        <f>D25/'All Charts'!$BS$92</f>
        <v/>
      </c>
      <c r="I25" s="302" t="inlineStr">
        <is>
          <t>Colliers</t>
        </is>
      </c>
      <c r="J25" s="342">
        <f>SUMIFS(Sold[SOLD PRICE],Sold[L. BROKER],"*Colliers*",Sold[DATE],"&gt;="&amp;$K$21,Sold[DATE],"&lt;="&amp;$J$21)+SUMIFS(Sold[SOLD PRICE],Sold[P. BROKER],"*Colliers*",Sold[DATE],"&gt;="&amp;$K$21,Sold[DATE],"&lt;="&amp;$J$21)</f>
        <v/>
      </c>
      <c r="K25" s="110">
        <f>COUNTIFS(Sold[L. BROKER],"*colliers*",Sold[DATE],"&gt;="&amp;$K$21,Sold[DATE],"&lt;="&amp;$J$21)+COUNTIFS(Sold[P. BROKER],"*colliers*",Sold[DATE],"&gt;="&amp;$K$21,Sold[DATE],"&lt;="&amp;$J$21)</f>
        <v/>
      </c>
      <c r="L25" s="342">
        <f>J25/K25</f>
        <v/>
      </c>
      <c r="M25" s="111">
        <f>AVERAGEIFS(Sold[SOLD CAP],Sold[L. BROKER],"*Colliers*",Sold[DATE],"&gt;="&amp;$K$21,Sold[DATE],"&lt;="&amp;$J$21)</f>
        <v/>
      </c>
      <c r="N25" s="343">
        <f>K25/'All Charts'!$BS$92</f>
        <v/>
      </c>
    </row>
    <row r="26">
      <c r="B26" s="318" t="inlineStr">
        <is>
          <t>Jamie Harrison</t>
        </is>
      </c>
      <c r="C26" s="319">
        <f>SUMIFS(Sold[SOLD PRICE],Sold[L. BROKER],"*Harrison*",Sold[DATE],"&lt;="&amp;$C$21,Sold[DATE],"&gt;"&amp;$D$21)+SUMIFS(Sold[SOLD PRICE],Sold[P. BROKER],"*Harrison*",Sold[DATE],"&lt;="&amp;$C$21,Sold[DATE],"&gt;"&amp;$D$21)</f>
        <v/>
      </c>
      <c r="D26" s="46">
        <f>COUNTIFS(Sold[L. BROKER],"*Harrison*",Sold[DATE],"&lt;="&amp;$C$21,Sold[DATE],"&gt;"&amp;$D$21)+COUNTIFS(Sold[P. BROKER],"*Harrison*",Sold[DATE],"&lt;="&amp;$C$21,Sold[DATE],"&gt;"&amp;$D$21)</f>
        <v/>
      </c>
      <c r="E26" s="319">
        <f>C26/D26</f>
        <v/>
      </c>
      <c r="F26" s="49">
        <f>(AVERAGEIFS(Sold[SOLD CAP],Sold[L. BROKER],"*Harrison*",Sold[DATE],"&gt;"&amp;D14,Sold[DATE],"&lt;="&amp;C14))</f>
        <v/>
      </c>
      <c r="G26" s="321">
        <f>D26/'All Charts'!$BS$92</f>
        <v/>
      </c>
      <c r="I26" s="302" t="inlineStr">
        <is>
          <t>M&amp;M</t>
        </is>
      </c>
      <c r="J26" s="342">
        <f>SUMIFS(Sold[SOLD PRICE],Sold[L. BROKER],"*M&amp;M*",Sold[DATE],"&gt;="&amp;$K$21,Sold[DATE],"&lt;="&amp;$J$21)+SUMIFS(Sold[SOLD PRICE],Sold[P. BROKER],"*M&amp;M*",Sold[DATE],"&gt;="&amp;$K$21,Sold[DATE],"&lt;="&amp;$J$21)</f>
        <v/>
      </c>
      <c r="K26" s="110">
        <f>COUNTIFS(Sold[L. BROKER],"*M&amp;M*",Sold[DATE],"&gt;="&amp;$K$21,Sold[DATE],"&lt;="&amp;$J$21)+COUNTIFS(Sold[P. BROKER],"*M&amp;M*",Sold[DATE],"&gt;="&amp;$K$21,Sold[DATE],"&lt;="&amp;$J$21)</f>
        <v/>
      </c>
      <c r="L26" s="342">
        <f>J26/K26</f>
        <v/>
      </c>
      <c r="M26" s="111">
        <f>AVERAGEIFS(Sold[SOLD CAP],Sold[L. BROKER],"*M&amp;M*",Sold[DATE],"&gt;="&amp;$K$21,Sold[DATE],"&lt;="&amp;$J$21)</f>
        <v/>
      </c>
      <c r="N26" s="343">
        <f>K26/'All Charts'!$BS$92</f>
        <v/>
      </c>
    </row>
    <row r="27">
      <c r="B27" s="318" t="inlineStr">
        <is>
          <t>Karen Wells</t>
        </is>
      </c>
      <c r="C27" s="319">
        <f>SUMIFS(Sold[SOLD PRICE],Sold[L. BROKER],"*wells*",Sold[DATE],"&lt;="&amp;$C$21,Sold[DATE],"&gt;"&amp;$D$21)+SUMIFS(Sold[SOLD PRICE],Sold[P. BROKER],"*wells*",Sold[DATE],"&lt;="&amp;$C$21,Sold[DATE],"&gt;"&amp;$D$21)</f>
        <v/>
      </c>
      <c r="D27" s="46">
        <f>COUNTIFS(Sold[L. BROKER],"*wells*",Sold[DATE],"&lt;="&amp;$C$21,Sold[DATE],"&gt;"&amp;$D$21)+COUNTIFS(Sold[P. BROKER],"*wells*",Sold[DATE],"&lt;="&amp;$C$21,Sold[DATE],"&gt;"&amp;$D$21)</f>
        <v/>
      </c>
      <c r="E27" s="319">
        <f>C27/D27</f>
        <v/>
      </c>
      <c r="F27" s="49">
        <f>(AVERAGEIFS(Sold[SOLD CAP],Sold[L. BROKER],"*Wells*",Sold[DATE],"&gt;"&amp;D22,Sold[DATE],"&lt;="&amp;C22))</f>
        <v/>
      </c>
      <c r="G27" s="321">
        <f>D27/'All Charts'!$BS$92</f>
        <v/>
      </c>
      <c r="I27" s="302" t="inlineStr">
        <is>
          <t>Capital Pacific</t>
        </is>
      </c>
      <c r="J27" s="342">
        <f>SUMIFS(Sold[SOLD PRICE],Sold[L. BROKER],"*CP;*",Sold[DATE],"&gt;="&amp;$K$21,Sold[DATE],"&lt;="&amp;$J$21)+SUMIFS(Sold[SOLD PRICE],Sold[P. BROKER],"*CP;*",Sold[DATE],"&gt;="&amp;$K$21,Sold[DATE],"&lt;="&amp;$J$21)</f>
        <v/>
      </c>
      <c r="K27" s="110">
        <f>COUNTIFS(Sold[L. BROKER],"*CP;*",Sold[DATE],"&gt;="&amp;$K$21,Sold[DATE],"&lt;="&amp;$J$21)+COUNTIFS(Sold[P. BROKER],"*cp;*",Sold[DATE],"&gt;="&amp;$K$21,Sold[DATE],"&lt;="&amp;$J$21)</f>
        <v/>
      </c>
      <c r="L27" s="342">
        <f>J27/K27</f>
        <v/>
      </c>
      <c r="M27" s="111">
        <f>AVERAGEIFS(Sold[SOLD CAP],Sold[L. BROKER],"*CP;*",Sold[DATE],"&gt;="&amp;$K$21,Sold[DATE],"&lt;="&amp;$J$21)</f>
        <v/>
      </c>
      <c r="N27" s="343">
        <f>K27/'All Charts'!$BS$92</f>
        <v/>
      </c>
    </row>
    <row r="28">
      <c r="B28" s="318" t="inlineStr">
        <is>
          <t>Andy Gallas</t>
        </is>
      </c>
      <c r="C28" s="319">
        <f>SUMIFS(Sold[SOLD PRICE],Sold[L. BROKER],"*gallas*",Sold[DATE],"&lt;="&amp;$C$21,Sold[DATE],"&gt;"&amp;$D$21)+SUMIFS(Sold[SOLD PRICE],Sold[P. BROKER],"*gallas*",Sold[DATE],"&lt;="&amp;$C$21,Sold[DATE],"&gt;"&amp;$D$21)</f>
        <v/>
      </c>
      <c r="D28" s="46">
        <f>COUNTIFS(Sold[L. BROKER],"*gallas*",Sold[DATE],"&lt;="&amp;$C$21,Sold[DATE],"&gt;"&amp;$D$21)+COUNTIFS(Sold[P. BROKER],"*gallas*",Sold[DATE],"&lt;="&amp;$C$21,Sold[DATE],"&gt;"&amp;$D$21)</f>
        <v/>
      </c>
      <c r="E28" s="319">
        <f>C28/D28</f>
        <v/>
      </c>
      <c r="F28" s="49">
        <f>(AVERAGEIFS(Sold[SOLD CAP],Sold[L. BROKER],"*Gallas*",Sold[DATE],"&gt;"&amp;D22,Sold[DATE],"&lt;="&amp;C22))</f>
        <v/>
      </c>
      <c r="G28" s="321">
        <f>D28/'All Charts'!$BS$92</f>
        <v/>
      </c>
      <c r="I28" s="302" t="inlineStr">
        <is>
          <t>CBRE</t>
        </is>
      </c>
      <c r="J28" s="342">
        <f>SUMIFS(Sold[SOLD PRICE],Sold[L. BROKER],"*CBRE*",Sold[DATE],"&gt;="&amp;$K$21,Sold[DATE],"&lt;="&amp;$J$21)+SUMIFS(Sold[SOLD PRICE],Sold[P. BROKER],"*CBRE*",Sold[DATE],"&gt;="&amp;$K$21,Sold[DATE],"&lt;="&amp;$J$21)</f>
        <v/>
      </c>
      <c r="K28" s="110">
        <f>COUNTIFS(Sold[L. BROKER],"*CBRE*",Sold[DATE],"&gt;="&amp;$K$21,Sold[DATE],"&lt;="&amp;$J$21)+COUNTIFS(Sold[P. BROKER],"*cbre*",Sold[DATE],"&gt;="&amp;$K$21,Sold[DATE],"&lt;="&amp;$J$21)</f>
        <v/>
      </c>
      <c r="L28" s="342">
        <f>J28/K28</f>
        <v/>
      </c>
      <c r="M28" s="111">
        <f>AVERAGEIFS(Sold[SOLD CAP],Sold[L. BROKER],"*CBRE*",Sold[DATE],"&gt;="&amp;$K$21,Sold[DATE],"&lt;="&amp;$J$21)</f>
        <v/>
      </c>
      <c r="N28" s="343">
        <f>K28/'All Charts'!$BS$92</f>
        <v/>
      </c>
    </row>
    <row r="29">
      <c r="B29" s="318" t="inlineStr">
        <is>
          <t>Alex Mobin</t>
        </is>
      </c>
      <c r="C29" s="319">
        <f>SUMIFS(Sold[SOLD PRICE],Sold[L. BROKER],"*Mobin*",Sold[DATE],"&lt;="&amp;$C$21,Sold[DATE],"&gt;"&amp;$D$21)+SUMIFS(Sold[SOLD PRICE],Sold[P. BROKER],"*Mobin*",Sold[DATE],"&lt;="&amp;$C$21,Sold[DATE],"&gt;"&amp;$D$21)</f>
        <v/>
      </c>
      <c r="D29" s="46">
        <f>COUNTIFS(Sold[L. BROKER],"*Mobin*",Sold[DATE],"&lt;="&amp;$C$21,Sold[DATE],"&gt;"&amp;$D$21)+COUNTIFS(Sold[P. BROKER],"*Mobin*",Sold[DATE],"&lt;="&amp;$C$21,Sold[DATE],"&gt;"&amp;$D$21)</f>
        <v/>
      </c>
      <c r="E29" s="319">
        <f>C29/D29</f>
        <v/>
      </c>
      <c r="F29" s="49">
        <f>(AVERAGEIFS(Sold[SOLD CAP],Sold[L. BROKER],"*Mobin*",Sold[DATE],"&gt;"&amp;D18,Sold[DATE],"&lt;="&amp;C18))</f>
        <v/>
      </c>
      <c r="G29" s="321">
        <f>D29/'All Charts'!$BS$92</f>
        <v/>
      </c>
      <c r="I29" s="302" t="inlineStr">
        <is>
          <t>Newmark</t>
        </is>
      </c>
      <c r="J29" s="342">
        <f>SUMIFS(Sold[SOLD PRICE],Sold[L. BROKER],"*Newmark*",Sold[DATE],"&gt;="&amp;$K$21,Sold[DATE],"&lt;="&amp;$J$21)+SUMIFS(Sold[SOLD PRICE],Sold[P. BROKER],"*Newmark*",Sold[DATE],"&gt;="&amp;$K$21,Sold[DATE],"&lt;="&amp;$J$21)</f>
        <v/>
      </c>
      <c r="K29" s="110">
        <f>COUNTIFS(Sold[L. BROKER],"*newmark*",Sold[DATE],"&gt;="&amp;$K$21,Sold[DATE],"&lt;="&amp;$J$21)+COUNTIFS(Sold[P. BROKER],"*newmark*",Sold[DATE],"&gt;="&amp;$K$21,Sold[DATE],"&lt;="&amp;$J$21)</f>
        <v/>
      </c>
      <c r="L29" s="342">
        <f>J29/K29</f>
        <v/>
      </c>
      <c r="M29" s="111">
        <f>AVERAGEIFS(Sold[SOLD CAP],Sold[L. BROKER],"*Newmark*",Sold[DATE],"&gt;="&amp;$K$21,Sold[DATE],"&lt;="&amp;$J$21)</f>
        <v/>
      </c>
      <c r="N29" s="343">
        <f>K29/'All Charts'!$BS$92</f>
        <v/>
      </c>
    </row>
    <row r="30">
      <c r="B30" s="318" t="inlineStr">
        <is>
          <t>Justin Fenn</t>
        </is>
      </c>
      <c r="C30" s="319">
        <f>SUMIFS(Sold[SOLD PRICE],Sold[L. BROKER],"*fenn*",Sold[DATE],"&lt;="&amp;$C$21,Sold[DATE],"&gt;"&amp;$D$21)+SUMIFS(Sold[SOLD PRICE],Sold[P. BROKER],"*fenn*",Sold[DATE],"&lt;="&amp;$C$21,Sold[DATE],"&gt;"&amp;$D$21)</f>
        <v/>
      </c>
      <c r="D30" s="46">
        <f>COUNTIFS(Sold[L. BROKER],"*fenn*",Sold[DATE],"&lt;="&amp;$C$21,Sold[DATE],"&gt;"&amp;$D$21)+COUNTIFS(Sold[P. BROKER],"*fenn*",Sold[DATE],"&lt;="&amp;$C$21,Sold[DATE],"&gt;"&amp;$D$21)</f>
        <v/>
      </c>
      <c r="E30" s="319">
        <f>C30/D30</f>
        <v/>
      </c>
      <c r="F30" s="49">
        <f>(AVERAGEIFS(Sold[SOLD CAP],Sold[L. BROKER],"*Fenn*",Sold[DATE],"&gt;"&amp;D23,Sold[DATE],"&lt;="&amp;C23))</f>
        <v/>
      </c>
      <c r="G30" s="321">
        <f>D30/'All Charts'!$BS$92</f>
        <v/>
      </c>
      <c r="I30" s="302" t="inlineStr">
        <is>
          <t>Touchstone</t>
        </is>
      </c>
      <c r="J30" s="342">
        <f>SUMIFS(Sold[SOLD PRICE],Sold[L. BROKER],"*TCP*",Sold[DATE],"&gt;="&amp;$K$21,Sold[DATE],"&lt;="&amp;$J$21)+SUMIFS(Sold[SOLD PRICE],Sold[P. BROKER],"*TCP*",Sold[DATE],"&gt;="&amp;$K$21,Sold[DATE],"&lt;="&amp;$J$21)</f>
        <v/>
      </c>
      <c r="K30" s="110">
        <f>COUNTIFS(Sold[L. BROKER],"*TCP*",Sold[DATE],"&gt;="&amp;$K$21,Sold[DATE],"&lt;="&amp;$J$21)+COUNTIFS(Sold[P. BROKER],"*TCP*",Sold[DATE],"&gt;="&amp;$K$21,Sold[DATE],"&lt;="&amp;$J$21)</f>
        <v/>
      </c>
      <c r="L30" s="342">
        <f>J30/K30</f>
        <v/>
      </c>
      <c r="M30" s="111">
        <f>AVERAGEIFS(Sold[SOLD CAP],Sold[L. BROKER],"*TCP*",Sold[DATE],"&gt;="&amp;$K$21,Sold[DATE],"&lt;="&amp;$J$21)</f>
        <v/>
      </c>
      <c r="N30" s="343">
        <f>K30/'All Charts'!$BS$92</f>
        <v/>
      </c>
    </row>
    <row r="31">
      <c r="B31" s="318" t="inlineStr">
        <is>
          <t>Bob Cottle</t>
        </is>
      </c>
      <c r="C31" s="319">
        <f>SUMIFS(Sold[SOLD PRICE],Sold[L. BROKER],"*Cottle*",Sold[DATE],"&lt;="&amp;$C$21,Sold[DATE],"&gt;"&amp;$D$21)+SUMIFS(Sold[SOLD PRICE],Sold[P. BROKER],"*Cottle*",Sold[DATE],"&lt;="&amp;$C$21,Sold[DATE],"&gt;"&amp;$D$21)</f>
        <v/>
      </c>
      <c r="D31" s="46">
        <f>COUNTIFS(Sold[L. BROKER],"*Cottle*",Sold[DATE],"&lt;="&amp;$C$21,Sold[DATE],"&gt;"&amp;$D$21)+COUNTIFS(Sold[P. BROKER],"*Cottle*",Sold[DATE],"&lt;="&amp;$C$21,Sold[DATE],"&gt;"&amp;$D$21)</f>
        <v/>
      </c>
      <c r="E31" s="319">
        <f>C31/D31</f>
        <v/>
      </c>
      <c r="F31" s="49">
        <f>(AVERAGEIFS(Sold[SOLD CAP],Sold[L. BROKER],"*Cottle*",Sold[DATE],"&gt;"&amp;D23,Sold[DATE],"&lt;="&amp;C23))</f>
        <v/>
      </c>
      <c r="G31" s="321">
        <f>D31/'All Charts'!$BS$92</f>
        <v/>
      </c>
      <c r="I31" s="302" t="inlineStr">
        <is>
          <t>Bear Wells</t>
        </is>
      </c>
      <c r="J31" s="342">
        <f>SUMIFS(Sold[SOLD PRICE],Sold[L. BROKER],"*BW;*",Sold[DATE],"&gt;="&amp;$K$21,Sold[DATE],"&lt;="&amp;$J$21)+SUMIFS(Sold[SOLD PRICE],Sold[P. BROKER],"*BW;*",Sold[DATE],"&gt;="&amp;$K$21,Sold[DATE],"&lt;="&amp;$J$21)</f>
        <v/>
      </c>
      <c r="K31" s="110">
        <f>COUNTIFS(Sold[L. BROKER],"*bw;*",Sold[DATE],"&gt;="&amp;$K$21,Sold[DATE],"&lt;="&amp;$J$21)+COUNTIFS(Sold[P. BROKER],"*bw;*",Sold[DATE],"&gt;="&amp;$K$21,Sold[DATE],"&lt;="&amp;$J$21)</f>
        <v/>
      </c>
      <c r="L31" s="342">
        <f>J31/K31</f>
        <v/>
      </c>
      <c r="M31" s="111">
        <f>AVERAGEIFS(Sold[SOLD CAP],Sold[L. BROKER],"*BW;*",Sold[DATE],"&gt;="&amp;$K$21,Sold[DATE],"&lt;="&amp;$J$21)</f>
        <v/>
      </c>
      <c r="N31" s="343">
        <f>K31/'All Charts'!$BS$92</f>
        <v/>
      </c>
    </row>
    <row r="32">
      <c r="B32" s="318" t="inlineStr">
        <is>
          <t>Darrin Kennedy</t>
        </is>
      </c>
      <c r="C32" s="319">
        <f>SUMIFS(Sold[SOLD PRICE],Sold[L. BROKER],"*Kennedy*",Sold[DATE],"&lt;="&amp;$C$21,Sold[DATE],"&gt;"&amp;$D$21)+SUMIFS(Sold[SOLD PRICE],Sold[P. BROKER],"*Kennedy*",Sold[DATE],"&lt;="&amp;$C$21,Sold[DATE],"&gt;"&amp;$D$21)</f>
        <v/>
      </c>
      <c r="D32" s="46">
        <f>COUNTIFS(Sold[L. BROKER],"*Kennedy*",Sold[DATE],"&lt;="&amp;$C$21,Sold[DATE],"&gt;"&amp;$D$21)+COUNTIFS(Sold[P. BROKER],"*Kennedy*",Sold[DATE],"&lt;="&amp;$C$21,Sold[DATE],"&gt;"&amp;$D$21)</f>
        <v/>
      </c>
      <c r="E32" s="319">
        <f>C32/D32</f>
        <v/>
      </c>
      <c r="F32" s="49">
        <f>(AVERAGEIFS(Sold[SOLD CAP],Sold[L. BROKER],"*Kennedy*",Sold[DATE],"&gt;"&amp;D23,Sold[DATE],"&lt;="&amp;C23))</f>
        <v/>
      </c>
      <c r="G32" s="321">
        <f>D32/'All Charts'!$BS$92</f>
        <v/>
      </c>
      <c r="I32" s="302" t="inlineStr">
        <is>
          <t>Bull Realty</t>
        </is>
      </c>
      <c r="J32" s="342">
        <f>SUMIFS(Sold[SOLD PRICE],Sold[L. BROKER],"*BR;*",Sold[DATE],"&gt;="&amp;$K$21,Sold[DATE],"&lt;="&amp;$J$21)+SUMIFS(Sold[SOLD PRICE],Sold[P. BROKER],"*BR;*",Sold[DATE],"&gt;="&amp;$K$21,Sold[DATE],"&lt;="&amp;$J$21)</f>
        <v/>
      </c>
      <c r="K32" s="110">
        <f>COUNTIFS(Sold[L. BROKER],"*br;*",Sold[DATE],"&gt;="&amp;$K$21,Sold[DATE],"&lt;="&amp;$J$21)+COUNTIFS(Sold[P. BROKER],"*br;*",Sold[DATE],"&gt;="&amp;$K$21,Sold[DATE],"&lt;="&amp;$J$21)</f>
        <v/>
      </c>
      <c r="L32" s="342">
        <f>J32/K32</f>
        <v/>
      </c>
      <c r="M32" s="111">
        <f>AVERAGEIFS(Sold[SOLD CAP],Sold[L. BROKER],"*BR;*",Sold[DATE],"&gt;="&amp;$K$21,Sold[DATE],"&lt;="&amp;$J$21)</f>
        <v/>
      </c>
      <c r="N32" s="343">
        <f>K32/'All Charts'!$BS$92</f>
        <v/>
      </c>
    </row>
    <row r="33">
      <c r="B33" s="318" t="inlineStr">
        <is>
          <t>Tim Strange</t>
        </is>
      </c>
      <c r="C33" s="319">
        <f>SUMIFS(Sold[SOLD PRICE],Sold[L. BROKER],"*Strange*",Sold[DATE],"&lt;="&amp;$C$21,Sold[DATE],"&gt;"&amp;$D$21)+SUMIFS(Sold[SOLD PRICE],Sold[P. BROKER],"*Strange*",Sold[DATE],"&lt;="&amp;$C$21,Sold[DATE],"&gt;"&amp;$D$21)</f>
        <v/>
      </c>
      <c r="D33" s="46">
        <f>COUNTIFS(Sold[L. BROKER],"*Strange*",Sold[DATE],"&lt;="&amp;$C$21,Sold[DATE],"&gt;"&amp;$D$21)+COUNTIFS(Sold[P. BROKER],"*Strange*",Sold[DATE],"&lt;="&amp;$C$21,Sold[DATE],"&gt;"&amp;$D$21)</f>
        <v/>
      </c>
      <c r="E33" s="319">
        <f>C33/D33</f>
        <v/>
      </c>
      <c r="F33" s="49">
        <f>(AVERAGEIFS(Sold[SOLD CAP],Sold[L. BROKER],"*Strange*",Sold[DATE],"&gt;"&amp;D23,Sold[DATE],"&lt;="&amp;C23))</f>
        <v/>
      </c>
      <c r="G33" s="321">
        <f>D33/'All Charts'!$BS$92</f>
        <v/>
      </c>
      <c r="I33" s="302" t="inlineStr">
        <is>
          <t>JLL</t>
        </is>
      </c>
      <c r="J33" s="342">
        <f>SUMIFS(Sold[SOLD PRICE],Sold[L. BROKER],"*JLL*",Sold[DATE],"&gt;="&amp;$K$21,Sold[DATE],"&lt;="&amp;$J$21)+SUMIFS(Sold[SOLD PRICE],Sold[P. BROKER],"*JLL*",Sold[DATE],"&gt;="&amp;$K$21,Sold[DATE],"&lt;="&amp;$J$21)</f>
        <v/>
      </c>
      <c r="K33" s="110">
        <f>COUNTIFS(Sold[L. BROKER],"*jll*",Sold[DATE],"&gt;="&amp;$K$21,Sold[DATE],"&lt;="&amp;$J$21)+COUNTIFS(Sold[P. BROKER],"*jll*",Sold[DATE],"&gt;="&amp;$K$21,Sold[DATE],"&lt;="&amp;$J$21)</f>
        <v/>
      </c>
      <c r="L33" s="342">
        <f>J33/K33</f>
        <v/>
      </c>
      <c r="M33" s="111">
        <f>AVERAGEIFS(Sold[SOLD CAP],Sold[L. BROKER],"*JLL*",Sold[DATE],"&gt;="&amp;$K$21,Sold[DATE],"&lt;="&amp;$J$21)</f>
        <v/>
      </c>
      <c r="N33" s="343">
        <f>K33/'All Charts'!$BS$92</f>
        <v/>
      </c>
    </row>
    <row r="34">
      <c r="F34" s="49" t="n"/>
      <c r="I34" s="302" t="inlineStr">
        <is>
          <t>SVN</t>
        </is>
      </c>
      <c r="J34" s="342">
        <f>SUMIFS(Sold[SOLD PRICE],Sold[L. BROKER],"*SVN*",Sold[DATE],"&gt;="&amp;$K$21,Sold[DATE],"&lt;="&amp;$J$21)+SUMIFS(Sold[SOLD PRICE],Sold[P. BROKER],"*SVN*",Sold[DATE],"&gt;="&amp;$K$21,Sold[DATE],"&lt;="&amp;$J$21)</f>
        <v/>
      </c>
      <c r="K34" s="110">
        <f>COUNTIFS(Sold[L. BROKER],"*SVN*",Sold[DATE],"&gt;="&amp;$K$21,Sold[DATE],"&lt;="&amp;$J$21)+COUNTIFS(Sold[P. BROKER],"*SVN*",Sold[DATE],"&gt;="&amp;$K$21,Sold[DATE],"&lt;="&amp;$J$21)</f>
        <v/>
      </c>
      <c r="L34" s="342">
        <f>J34/K34</f>
        <v/>
      </c>
      <c r="M34" s="111">
        <f>AVERAGEIFS(Sold[SOLD CAP],Sold[L. BROKER],"*SVN*",Sold[DATE],"&gt;="&amp;$K$21,Sold[DATE],"&lt;="&amp;$J$21)</f>
        <v/>
      </c>
      <c r="N34" s="343">
        <f>K34/'All Charts'!$BS$92</f>
        <v/>
      </c>
    </row>
    <row r="35">
      <c r="I35" s="302" t="inlineStr">
        <is>
          <t>Avison Young</t>
        </is>
      </c>
      <c r="J35" s="342">
        <f>SUMIFS(Sold[SOLD PRICE],Sold[L. BROKER],"*ay;*",Sold[DATE],"&gt;="&amp;$K$21,Sold[DATE],"&lt;="&amp;$J$21)+SUMIFS(Sold[SOLD PRICE],Sold[P. BROKER],"*ay;*",Sold[DATE],"&gt;="&amp;$K$21,Sold[DATE],"&lt;="&amp;$J$21)</f>
        <v/>
      </c>
      <c r="K35" s="110">
        <f>COUNTIFS(Sold[L. BROKER],"*ay;*",Sold[DATE],"&gt;="&amp;$K$21,Sold[DATE],"&lt;="&amp;$J$21)+COUNTIFS(Sold[P. BROKER],"*ay;*",Sold[DATE],"&gt;="&amp;$K$21,Sold[DATE],"&lt;="&amp;$J$21)</f>
        <v/>
      </c>
      <c r="L35" s="342">
        <f>J35/K35</f>
        <v/>
      </c>
      <c r="M35" s="111">
        <f>AVERAGEIFS(Sold[SOLD CAP],Sold[L. BROKER],"*ay;*",Sold[DATE],"&gt;="&amp;$K$21,Sold[DATE],"&lt;="&amp;$J$21)</f>
        <v/>
      </c>
      <c r="N35" s="343">
        <f>K35/'All Charts'!$BS$92</f>
        <v/>
      </c>
    </row>
    <row r="36">
      <c r="I36" s="302" t="inlineStr">
        <is>
          <t>Avery Postal</t>
        </is>
      </c>
      <c r="J36" s="342">
        <f>SUMIFS(Sold[SOLD PRICE],Sold[L. BROKER],"*Avery*",Sold[DATE],"&gt;="&amp;$K$21,Sold[DATE],"&lt;="&amp;$J$21)+SUMIFS(Sold[SOLD PRICE],Sold[P. BROKER],"*Avery*",Sold[DATE],"&gt;="&amp;$K$21,Sold[DATE],"&lt;="&amp;$J$21)</f>
        <v/>
      </c>
      <c r="K36" s="110">
        <f>COUNTIFS(Sold[L. BROKER],"*avery*",Sold[DATE],"&gt;="&amp;$K$21,Sold[DATE],"&lt;="&amp;$J$21)+COUNTIFS(Sold[P. BROKER],"*avery*",Sold[DATE],"&gt;="&amp;$K$21,Sold[DATE],"&lt;="&amp;$J$21)</f>
        <v/>
      </c>
      <c r="L36" s="342">
        <f>J36/K36</f>
        <v/>
      </c>
      <c r="M36" s="111">
        <f>AVERAGEIFS(Sold[SOLD CAP],Sold[L. BROKER],"*avery*",Sold[DATE],"&gt;="&amp;$K$21,Sold[DATE],"&lt;="&amp;$J$21)</f>
        <v/>
      </c>
      <c r="N36" s="343">
        <f>K36/'All Charts'!$BS$92</f>
        <v/>
      </c>
    </row>
    <row r="37">
      <c r="I37" s="302" t="inlineStr">
        <is>
          <t>Sands</t>
        </is>
      </c>
      <c r="J37" s="342">
        <f>SUMIFS(Sold[SOLD PRICE],Sold[L. BROKER],"*SIG;*",Sold[DATE],"&gt;="&amp;$K$21,Sold[DATE],"&lt;="&amp;$J$21)+SUMIFS(Sold[SOLD PRICE],Sold[P. BROKER],"*SIG*",Sold[DATE],"&gt;="&amp;$K$21,Sold[DATE],"&lt;="&amp;$J$21)</f>
        <v/>
      </c>
      <c r="K37" s="110">
        <f>COUNTIFS(Sold[L. BROKER],"*sig;*",Sold[DATE],"&gt;="&amp;$K$21,Sold[DATE],"&lt;="&amp;$J$21)+COUNTIFS(Sold[P. BROKER],"*sig;*",Sold[DATE],"&gt;="&amp;$K$21,Sold[DATE],"&lt;="&amp;$J$21)</f>
        <v/>
      </c>
      <c r="L37" s="342">
        <f>J37/K37</f>
        <v/>
      </c>
      <c r="M37" s="111">
        <f>AVERAGEIFS(Sold[SOLD CAP],Sold[L. BROKER],"*SIG;*",Sold[DATE],"&gt;="&amp;$K$21,Sold[DATE],"&lt;="&amp;$J$21)</f>
        <v/>
      </c>
      <c r="N37" s="343">
        <f>K37/'All Charts'!$BS$92</f>
        <v/>
      </c>
    </row>
    <row r="38">
      <c r="I38" s="302" t="inlineStr">
        <is>
          <t>Matthews</t>
        </is>
      </c>
      <c r="J38" s="342">
        <f>SUMIFS(Sold[SOLD PRICE],Sold[L. BROKER],"*Matthews*",Sold[DATE],"&gt;="&amp;$K$21,Sold[DATE],"&lt;="&amp;$J$21)+SUMIFS(Sold[SOLD PRICE],Sold[P. BROKER],"*Matthews*",Sold[DATE],"&gt;="&amp;$K$21,Sold[DATE],"&lt;="&amp;$J$21)</f>
        <v/>
      </c>
      <c r="K38" s="110">
        <f>COUNTIFS(Sold[L. BROKER],"*matthews*",Sold[DATE],"&gt;="&amp;$K$21,Sold[DATE],"&lt;="&amp;$J$21)+COUNTIFS(Sold[P. BROKER],"*matthews**",Sold[DATE],"&gt;="&amp;$K$21,Sold[DATE],"&lt;="&amp;$J$21)</f>
        <v/>
      </c>
      <c r="L38" s="342">
        <f>J38/K38</f>
        <v/>
      </c>
      <c r="M38" s="111">
        <f>AVERAGEIFS(Sold[SOLD CAP],Sold[L. BROKER],"*matthews*",Sold[DATE],"&gt;="&amp;$K$21,Sold[DATE],"&lt;="&amp;$J$21)</f>
        <v/>
      </c>
      <c r="N38" s="343">
        <f>K38/'All Charts'!$BS$92</f>
        <v/>
      </c>
    </row>
    <row r="39">
      <c r="I39" s="302" t="inlineStr">
        <is>
          <t>SRS</t>
        </is>
      </c>
      <c r="J39" s="342">
        <f>SUMIFS(Sold[SOLD PRICE],Sold[L. BROKER],"*SRS*",Sold[DATE],"&gt;="&amp;$K$21,Sold[DATE],"&lt;="&amp;$J$21)+SUMIFS(Sold[SOLD PRICE],Sold[P. BROKER],"*SRS*",Sold[DATE],"&gt;="&amp;$K$21,Sold[DATE],"&lt;="&amp;$J$21)</f>
        <v/>
      </c>
      <c r="K39" s="110">
        <f>COUNTIFS(Sold[L. BROKER],"*srs*",Sold[DATE],"&gt;="&amp;$K$21,Sold[DATE],"&lt;="&amp;$J$21)+COUNTIFS(Sold[P. BROKER],"*srs*",Sold[DATE],"&gt;="&amp;$K$21,Sold[DATE],"&lt;="&amp;$J$21)</f>
        <v/>
      </c>
      <c r="L39" s="342">
        <f>J39/K39</f>
        <v/>
      </c>
      <c r="M39" s="111">
        <f>AVERAGEIFS(Sold[SOLD CAP],Sold[L. BROKER],"*srs*",Sold[DATE],"&gt;="&amp;$K$21,Sold[DATE],"&lt;="&amp;$J$21)</f>
        <v/>
      </c>
      <c r="N39" s="343">
        <f>K39/'All Charts'!$BS$92</f>
        <v/>
      </c>
    </row>
  </sheetData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J2"/>
  <sheetViews>
    <sheetView workbookViewId="0">
      <selection activeCell="A1" sqref="A1"/>
    </sheetView>
  </sheetViews>
  <sheetFormatPr baseColWidth="8" defaultRowHeight="15"/>
  <cols>
    <col width="31" customWidth="1" style="59" min="2" max="2"/>
    <col width="18.7109375" customWidth="1" style="59" min="3" max="3"/>
    <col width="23.7109375" customWidth="1" style="59" min="4" max="4"/>
    <col width="18.5703125" customWidth="1" style="59" min="5" max="5"/>
    <col width="23.5703125" customWidth="1" style="59" min="6" max="6"/>
    <col width="15" customWidth="1" style="59" min="7" max="7"/>
    <col width="20" customWidth="1" style="59" min="8" max="8"/>
    <col width="14.85546875" customWidth="1" style="59" min="9" max="9"/>
    <col width="19.85546875" customWidth="1" style="59" min="10" max="10"/>
    <col width="13.140625" customWidth="1" style="59" min="11" max="11"/>
    <col width="15.140625" customWidth="1" style="59" min="12" max="12"/>
    <col width="15.85546875" customWidth="1" style="59" min="13" max="13"/>
    <col width="12.7109375" customWidth="1" style="59" min="14" max="14"/>
    <col width="13.42578125" customWidth="1" style="59" min="15" max="15"/>
    <col width="14.42578125" customWidth="1" style="59" min="16" max="16"/>
    <col width="15.140625" customWidth="1" style="59" min="17" max="17"/>
    <col width="11.5703125" customWidth="1" style="59" min="18" max="18"/>
    <col width="12.28515625" customWidth="1" style="59" min="19" max="19"/>
    <col width="10.85546875" customWidth="1" style="59" min="20" max="20"/>
    <col width="26.85546875" customWidth="1" style="59" min="21" max="21"/>
    <col width="31.85546875" customWidth="1" style="59" min="22" max="22"/>
    <col width="16.140625" customWidth="1" style="59" min="23" max="23"/>
    <col width="15.28515625" customWidth="1" style="59" min="24" max="24"/>
    <col width="18.85546875" customWidth="1" style="59" min="25" max="25"/>
    <col width="19" customWidth="1" style="59" min="26" max="26"/>
    <col width="10.42578125" customWidth="1" style="59" min="27" max="27"/>
    <col width="12" customWidth="1" style="59" min="28" max="28"/>
    <col width="23.42578125" customWidth="1" style="59" min="29" max="29"/>
    <col width="20.140625" customWidth="1" style="59" min="30" max="30"/>
    <col width="19.85546875" customWidth="1" style="59" min="31" max="31"/>
    <col width="24.85546875" customWidth="1" style="59" min="32" max="32"/>
    <col width="19" customWidth="1" style="59" min="33" max="33"/>
    <col width="24" customWidth="1" style="59" min="34" max="34"/>
    <col width="12.42578125" customWidth="1" style="59" min="35" max="35"/>
    <col width="17.42578125" customWidth="1" style="59" min="36" max="36"/>
    <col width="13.85546875" customWidth="1" style="59" min="37" max="37"/>
    <col width="18.85546875" customWidth="1" style="59" min="38" max="38"/>
    <col width="17.28515625" customWidth="1" style="59" min="39" max="39"/>
    <col width="22.28515625" customWidth="1" style="59" min="40" max="40"/>
    <col width="13.42578125" customWidth="1" style="59" min="41" max="41"/>
    <col width="18.42578125" customWidth="1" style="59" min="42" max="42"/>
    <col width="23.85546875" customWidth="1" style="59" min="43" max="43"/>
    <col width="28.85546875" customWidth="1" style="59" min="44" max="44"/>
    <col width="18.5703125" customWidth="1" style="59" min="46" max="46"/>
    <col width="14.28515625" customWidth="1" style="59" min="47" max="47"/>
    <col width="36.28515625" customWidth="1" style="59" min="48" max="48"/>
    <col width="41.28515625" customWidth="1" style="59" min="49" max="49"/>
    <col width="36.28515625" customWidth="1" style="59" min="50" max="50"/>
    <col width="13.5703125" customWidth="1" style="59" min="51" max="51"/>
    <col width="22.28515625" customWidth="1" style="59" min="52" max="52"/>
    <col width="32" customWidth="1" style="59" min="53" max="53"/>
    <col width="26.85546875" customWidth="1" style="59" min="54" max="54"/>
    <col width="30.42578125" customWidth="1" style="59" min="55" max="55"/>
    <col width="27" customWidth="1" style="59" min="56" max="56"/>
    <col width="42" customWidth="1" style="59" min="57" max="57"/>
    <col width="30.42578125" customWidth="1" style="59" min="58" max="58"/>
    <col width="26.5703125" customWidth="1" style="59" min="59" max="59"/>
    <col width="41.5703125" customWidth="1" style="59" min="60" max="60"/>
    <col width="30" customWidth="1" style="59" min="61" max="61"/>
    <col width="17.7109375" customWidth="1" style="59" min="62" max="62"/>
    <col width="20.7109375" customWidth="1" style="59" min="63" max="63"/>
    <col width="25.7109375" customWidth="1" style="59" min="64" max="64"/>
    <col width="37" customWidth="1" style="59" min="65" max="65"/>
    <col width="28.5703125" customWidth="1" style="59" min="66" max="66"/>
    <col width="13.42578125" customWidth="1" style="59" min="67" max="67"/>
    <col width="25.28515625" customWidth="1" style="59" min="68" max="68"/>
    <col width="30.28515625" customWidth="1" style="59" min="69" max="69"/>
    <col width="32.140625" customWidth="1" style="59" min="70" max="70"/>
    <col width="37.140625" customWidth="1" style="59" min="71" max="71"/>
    <col width="12" customWidth="1" style="59" min="72" max="72"/>
    <col width="30.140625" customWidth="1" style="59" min="73" max="73"/>
    <col width="27.7109375" customWidth="1" style="59" min="74" max="74"/>
    <col width="33.28515625" customWidth="1" style="59" min="75" max="75"/>
    <col width="31.42578125" customWidth="1" style="59" min="76" max="76"/>
    <col width="17" customWidth="1" style="59" min="77" max="77"/>
    <col width="22" customWidth="1" style="59" min="78" max="78"/>
    <col width="22.140625" customWidth="1" style="59" min="79" max="79"/>
    <col width="22.5703125" customWidth="1" style="59" min="80" max="80"/>
    <col width="17.28515625" customWidth="1" style="59" min="81" max="81"/>
    <col width="15" customWidth="1" style="59" min="82" max="82"/>
    <col width="23.42578125" customWidth="1" style="59" min="83" max="83"/>
    <col width="24.28515625" customWidth="1" style="59" min="84" max="84"/>
    <col width="30" customWidth="1" style="59" min="85" max="85"/>
    <col width="19.28515625" customWidth="1" style="59" min="86" max="86"/>
    <col width="53" customWidth="1" style="59" min="87" max="87"/>
    <col width="54.85546875" customWidth="1" style="59" min="88" max="88"/>
    <col width="15" customWidth="1" style="59" min="89" max="89"/>
    <col width="20.42578125" customWidth="1" style="59" min="90" max="90"/>
    <col width="17.28515625" customWidth="1" style="59" min="91" max="91"/>
    <col width="30.85546875" customWidth="1" style="59" min="92" max="92"/>
    <col width="31.85546875" customWidth="1" style="59" min="93" max="93"/>
    <col width="21.85546875" customWidth="1" style="59" min="94" max="94"/>
    <col width="23.7109375" customWidth="1" style="59" min="95" max="95"/>
    <col width="28.5703125" customWidth="1" style="59" min="96" max="96"/>
    <col width="32.5703125" customWidth="1" style="59" min="97" max="97"/>
    <col width="16.85546875" customWidth="1" style="59" min="98" max="98"/>
    <col width="24.85546875" customWidth="1" style="59" min="99" max="99"/>
    <col width="15.140625" customWidth="1" style="59" min="100" max="100"/>
    <col width="20.140625" customWidth="1" style="59" min="101" max="101"/>
    <col width="17.85546875" customWidth="1" style="59" min="102" max="102"/>
    <col width="22.85546875" customWidth="1" style="59" min="103" max="103"/>
    <col width="33.85546875" customWidth="1" style="59" min="104" max="104"/>
    <col width="21.140625" customWidth="1" style="59" min="105" max="105"/>
    <col width="24.85546875" customWidth="1" style="59" min="106" max="106"/>
    <col width="20.140625" customWidth="1" style="59" min="107" max="107"/>
    <col width="14.28515625" customWidth="1" style="59" min="108" max="108"/>
    <col width="40.5703125" customWidth="1" style="59" min="109" max="109"/>
    <col width="34.7109375" customWidth="1" style="59" min="110" max="110"/>
    <col width="31.85546875" customWidth="1" style="59" min="111" max="111"/>
    <col width="17.42578125" customWidth="1" style="59" min="112" max="112"/>
    <col width="22.42578125" customWidth="1" style="59" min="113" max="113"/>
    <col width="18.7109375" customWidth="1" style="59" min="114" max="114"/>
  </cols>
  <sheetData>
    <row r="1">
      <c r="B1" s="114" t="n">
        <v>1</v>
      </c>
      <c r="C1" s="114">
        <f>B1+1</f>
        <v/>
      </c>
      <c r="D1" s="114">
        <f>C1+1</f>
        <v/>
      </c>
      <c r="E1" s="114">
        <f>D1+1</f>
        <v/>
      </c>
      <c r="F1" s="114">
        <f>E1+1</f>
        <v/>
      </c>
      <c r="G1" s="114">
        <f>F1+1</f>
        <v/>
      </c>
      <c r="H1" s="114">
        <f>G1+1</f>
        <v/>
      </c>
      <c r="I1" s="114">
        <f>H1+1</f>
        <v/>
      </c>
      <c r="J1" s="114">
        <f>I1+1</f>
        <v/>
      </c>
      <c r="K1" s="114">
        <f>J1+1</f>
        <v/>
      </c>
      <c r="L1" s="114">
        <f>K1+1</f>
        <v/>
      </c>
      <c r="M1" s="114">
        <f>L1+1</f>
        <v/>
      </c>
      <c r="N1" s="114">
        <f>M1+1</f>
        <v/>
      </c>
      <c r="O1" s="114">
        <f>N1+1</f>
        <v/>
      </c>
      <c r="P1" s="114">
        <f>O1+1</f>
        <v/>
      </c>
      <c r="Q1" s="114">
        <f>P1+1</f>
        <v/>
      </c>
      <c r="R1" s="114">
        <f>Q1+1</f>
        <v/>
      </c>
      <c r="S1" s="114">
        <f>R1+1</f>
        <v/>
      </c>
      <c r="T1" s="114">
        <f>S1+1</f>
        <v/>
      </c>
      <c r="U1" s="114">
        <f>T1+1</f>
        <v/>
      </c>
      <c r="V1" s="114">
        <f>U1+1</f>
        <v/>
      </c>
      <c r="W1" s="114">
        <f>V1+1</f>
        <v/>
      </c>
      <c r="X1" s="114">
        <f>W1+1</f>
        <v/>
      </c>
      <c r="Y1" s="114">
        <f>X1+1</f>
        <v/>
      </c>
      <c r="Z1" s="114">
        <f>Y1+1</f>
        <v/>
      </c>
      <c r="AA1" s="114">
        <f>Z1+1</f>
        <v/>
      </c>
      <c r="AB1" s="114">
        <f>AA1+1</f>
        <v/>
      </c>
      <c r="AC1" s="114">
        <f>AB1+1</f>
        <v/>
      </c>
      <c r="AD1" s="114">
        <f>AC1+1</f>
        <v/>
      </c>
      <c r="AE1" s="114">
        <f>AD1+1</f>
        <v/>
      </c>
      <c r="AF1" s="114">
        <f>AE1+1</f>
        <v/>
      </c>
      <c r="AG1" s="114">
        <f>AF1+1</f>
        <v/>
      </c>
      <c r="AH1" s="114">
        <f>AG1+1</f>
        <v/>
      </c>
      <c r="AI1" s="114">
        <f>AH1+1</f>
        <v/>
      </c>
      <c r="AJ1" s="114">
        <f>AI1+1</f>
        <v/>
      </c>
      <c r="AK1" s="114">
        <f>AJ1+1</f>
        <v/>
      </c>
      <c r="AL1" s="114">
        <f>AK1+1</f>
        <v/>
      </c>
      <c r="AM1" s="114">
        <f>AL1+1</f>
        <v/>
      </c>
      <c r="AN1" s="114">
        <f>AM1+1</f>
        <v/>
      </c>
      <c r="AO1" s="114">
        <f>AN1+1</f>
        <v/>
      </c>
      <c r="AP1" s="114">
        <f>AO1+1</f>
        <v/>
      </c>
      <c r="AQ1" s="114">
        <f>AP1+1</f>
        <v/>
      </c>
      <c r="AR1" s="114">
        <f>AQ1+1</f>
        <v/>
      </c>
      <c r="AS1" s="114">
        <f>AR1+1</f>
        <v/>
      </c>
      <c r="AT1" s="114">
        <f>AS1+1</f>
        <v/>
      </c>
      <c r="AU1" s="114">
        <f>AT1+1</f>
        <v/>
      </c>
      <c r="AV1" s="114">
        <f>AU1+1</f>
        <v/>
      </c>
      <c r="AW1" s="114">
        <f>AV1+1</f>
        <v/>
      </c>
      <c r="AX1" s="114">
        <f>AW1+1</f>
        <v/>
      </c>
      <c r="AY1" s="114">
        <f>AX1+1</f>
        <v/>
      </c>
      <c r="AZ1" s="114">
        <f>AY1+1</f>
        <v/>
      </c>
      <c r="BA1" s="114">
        <f>AZ1+1</f>
        <v/>
      </c>
      <c r="BB1" s="114">
        <f>BA1+1</f>
        <v/>
      </c>
      <c r="BC1" s="114">
        <f>BB1+1</f>
        <v/>
      </c>
      <c r="BD1" s="114">
        <f>BC1+1</f>
        <v/>
      </c>
      <c r="BE1" s="114">
        <f>BD1+1</f>
        <v/>
      </c>
      <c r="BF1" s="114">
        <f>BE1+1</f>
        <v/>
      </c>
      <c r="BG1" s="114">
        <f>BF1+1</f>
        <v/>
      </c>
      <c r="BH1" s="114">
        <f>BG1+1</f>
        <v/>
      </c>
      <c r="BI1" s="114">
        <f>BH1+1</f>
        <v/>
      </c>
      <c r="BJ1" s="114">
        <f>BI1+1</f>
        <v/>
      </c>
      <c r="BK1" s="114">
        <f>BJ1+1</f>
        <v/>
      </c>
      <c r="BL1" s="114">
        <f>BK1+1</f>
        <v/>
      </c>
      <c r="BM1" s="114">
        <f>BL1+1</f>
        <v/>
      </c>
      <c r="BN1" s="114">
        <f>BM1+1</f>
        <v/>
      </c>
      <c r="BO1" s="114">
        <f>BN1+1</f>
        <v/>
      </c>
      <c r="BP1" s="114">
        <f>BO1+1</f>
        <v/>
      </c>
      <c r="BQ1" s="114">
        <f>BP1+1</f>
        <v/>
      </c>
      <c r="BR1" s="114">
        <f>BQ1+1</f>
        <v/>
      </c>
      <c r="BS1" s="114">
        <f>BR1+1</f>
        <v/>
      </c>
      <c r="BT1" s="114">
        <f>BS1+1</f>
        <v/>
      </c>
      <c r="BU1" s="114">
        <f>BT1+1</f>
        <v/>
      </c>
      <c r="BV1" s="114">
        <f>BU1+1</f>
        <v/>
      </c>
      <c r="BW1" s="114">
        <f>BV1+1</f>
        <v/>
      </c>
      <c r="BX1" s="114">
        <f>BW1+1</f>
        <v/>
      </c>
      <c r="BY1" s="114">
        <f>BX1+1</f>
        <v/>
      </c>
      <c r="BZ1" s="114">
        <f>BY1+1</f>
        <v/>
      </c>
      <c r="CA1" s="114">
        <f>BZ1+1</f>
        <v/>
      </c>
      <c r="CB1" s="114">
        <f>CA1+1</f>
        <v/>
      </c>
      <c r="CC1" s="114">
        <f>CB1+1</f>
        <v/>
      </c>
      <c r="CD1" s="114">
        <f>CC1+1</f>
        <v/>
      </c>
      <c r="CE1" s="114">
        <f>CD1+1</f>
        <v/>
      </c>
      <c r="CF1" s="114">
        <f>CE1+1</f>
        <v/>
      </c>
      <c r="CG1" s="114">
        <f>CF1+1</f>
        <v/>
      </c>
      <c r="CH1" s="114">
        <f>CG1+1</f>
        <v/>
      </c>
      <c r="CI1" s="114">
        <f>CH1+1</f>
        <v/>
      </c>
      <c r="CJ1" s="114">
        <f>CI1+1</f>
        <v/>
      </c>
      <c r="CK1" s="114">
        <f>CJ1+1</f>
        <v/>
      </c>
      <c r="CL1" s="114">
        <f>CK1+1</f>
        <v/>
      </c>
      <c r="CM1" s="114">
        <f>CL1+1</f>
        <v/>
      </c>
      <c r="CN1" s="114">
        <f>CM1+1</f>
        <v/>
      </c>
      <c r="CO1" s="114">
        <f>CN1+1</f>
        <v/>
      </c>
      <c r="CP1" s="114">
        <f>CO1+1</f>
        <v/>
      </c>
      <c r="CQ1" s="114">
        <f>CP1+1</f>
        <v/>
      </c>
      <c r="CR1" s="114">
        <f>CQ1+1</f>
        <v/>
      </c>
      <c r="CS1" s="114">
        <f>CR1+1</f>
        <v/>
      </c>
      <c r="CT1" s="114">
        <f>CS1+1</f>
        <v/>
      </c>
      <c r="CU1" s="114">
        <f>CT1+1</f>
        <v/>
      </c>
      <c r="CV1" s="114">
        <f>CU1+1</f>
        <v/>
      </c>
      <c r="CW1" s="114">
        <f>CV1+1</f>
        <v/>
      </c>
      <c r="CX1" s="114">
        <f>CW1+1</f>
        <v/>
      </c>
      <c r="CY1" s="114">
        <f>CX1+1</f>
        <v/>
      </c>
      <c r="CZ1" s="114">
        <f>CY1+1</f>
        <v/>
      </c>
      <c r="DA1" s="114">
        <f>CZ1+1</f>
        <v/>
      </c>
      <c r="DB1" s="114">
        <f>DA1+1</f>
        <v/>
      </c>
      <c r="DC1" s="114">
        <f>DB1+1</f>
        <v/>
      </c>
      <c r="DD1" s="114">
        <f>DC1+1</f>
        <v/>
      </c>
      <c r="DE1" s="114">
        <f>DD1+1</f>
        <v/>
      </c>
      <c r="DF1" s="114">
        <f>DE1+1</f>
        <v/>
      </c>
      <c r="DG1" s="114">
        <f>DF1+1</f>
        <v/>
      </c>
      <c r="DH1" s="114">
        <f>DG1+1</f>
        <v/>
      </c>
      <c r="DI1" s="114">
        <f>DH1+1</f>
        <v/>
      </c>
      <c r="DJ1" s="114">
        <f>DI1+1</f>
        <v/>
      </c>
    </row>
    <row r="2">
      <c r="B2" s="318" t="inlineStr">
        <is>
          <t>Real Property Unique Identifier</t>
        </is>
      </c>
      <c r="C2" s="318" t="inlineStr">
        <is>
          <t>Reporting Agency</t>
        </is>
      </c>
      <c r="D2" s="318" t="inlineStr">
        <is>
          <t>Reporting Agency Code</t>
        </is>
      </c>
      <c r="E2" s="318" t="inlineStr">
        <is>
          <t>Reporting Bureau</t>
        </is>
      </c>
      <c r="F2" s="318" t="inlineStr">
        <is>
          <t>Reporting Bureau Code</t>
        </is>
      </c>
      <c r="G2" s="318" t="inlineStr">
        <is>
          <t>Using Agency</t>
        </is>
      </c>
      <c r="H2" s="318" t="inlineStr">
        <is>
          <t>Using Agency Code</t>
        </is>
      </c>
      <c r="I2" s="318" t="inlineStr">
        <is>
          <t>Using Bureau</t>
        </is>
      </c>
      <c r="J2" s="318" t="inlineStr">
        <is>
          <t>Using Bureau Code</t>
        </is>
      </c>
      <c r="K2" s="318" t="inlineStr">
        <is>
          <t>US/Foreign</t>
        </is>
      </c>
      <c r="L2" s="318" t="inlineStr">
        <is>
          <t>Country Code</t>
        </is>
      </c>
      <c r="M2" s="318" t="inlineStr">
        <is>
          <t>Country Name</t>
        </is>
      </c>
      <c r="N2" s="318" t="inlineStr">
        <is>
          <t>State Code</t>
        </is>
      </c>
      <c r="O2" s="318" t="inlineStr">
        <is>
          <t>State Name</t>
        </is>
      </c>
      <c r="P2" s="318" t="inlineStr">
        <is>
          <t>County Code</t>
        </is>
      </c>
      <c r="Q2" s="318" t="inlineStr">
        <is>
          <t>County Name</t>
        </is>
      </c>
      <c r="R2" s="318" t="inlineStr">
        <is>
          <t>City Code</t>
        </is>
      </c>
      <c r="S2" s="318" t="inlineStr">
        <is>
          <t>City Name</t>
        </is>
      </c>
      <c r="T2" s="318" t="inlineStr">
        <is>
          <t>Zip Code</t>
        </is>
      </c>
      <c r="U2" s="318" t="inlineStr">
        <is>
          <t>Core-based Statistical Area</t>
        </is>
      </c>
      <c r="V2" s="318" t="inlineStr">
        <is>
          <t>Core-based Statistical Area Code</t>
        </is>
      </c>
      <c r="W2" s="318" t="inlineStr">
        <is>
          <t>Street Address</t>
        </is>
      </c>
      <c r="X2" s="318" t="inlineStr">
        <is>
          <t>Installation Id</t>
        </is>
      </c>
      <c r="Y2" s="318" t="inlineStr">
        <is>
          <t>Installation Name</t>
        </is>
      </c>
      <c r="Z2" s="318" t="inlineStr">
        <is>
          <t>Sub Installation Id</t>
        </is>
      </c>
      <c r="AA2" s="318" t="inlineStr">
        <is>
          <t>Latitude</t>
        </is>
      </c>
      <c r="AB2" s="318" t="inlineStr">
        <is>
          <t>Longitude</t>
        </is>
      </c>
      <c r="AC2" s="318" t="inlineStr">
        <is>
          <t>Legal Interest Indicator</t>
        </is>
      </c>
      <c r="AD2" s="318" t="inlineStr">
        <is>
          <t>Legal Interest Code</t>
        </is>
      </c>
      <c r="AE2" s="318" t="inlineStr">
        <is>
          <t>Real Property Type</t>
        </is>
      </c>
      <c r="AF2" s="318" t="inlineStr">
        <is>
          <t>Real Property Type Code</t>
        </is>
      </c>
      <c r="AG2" s="318" t="inlineStr">
        <is>
          <t>Real Property Use</t>
        </is>
      </c>
      <c r="AH2" s="318" t="inlineStr">
        <is>
          <t>Real Property Use Code</t>
        </is>
      </c>
      <c r="AI2" s="318" t="inlineStr">
        <is>
          <t>Utilization</t>
        </is>
      </c>
      <c r="AJ2" s="318" t="inlineStr">
        <is>
          <t>Utilization Code</t>
        </is>
      </c>
      <c r="AK2" s="318" t="inlineStr">
        <is>
          <t>Asset Status</t>
        </is>
      </c>
      <c r="AL2" s="318" t="inlineStr">
        <is>
          <t>Asset Status Code</t>
        </is>
      </c>
      <c r="AM2" s="318" t="inlineStr">
        <is>
          <t>Historical Status</t>
        </is>
      </c>
      <c r="AN2" s="318" t="inlineStr">
        <is>
          <t>Historical Status Code</t>
        </is>
      </c>
      <c r="AO2" s="318" t="inlineStr">
        <is>
          <t>Field Office</t>
        </is>
      </c>
      <c r="AP2" s="318" t="inlineStr">
        <is>
          <t>Field Office Code</t>
        </is>
      </c>
      <c r="AQ2" s="318" t="inlineStr">
        <is>
          <t>Field Office Collocation</t>
        </is>
      </c>
      <c r="AR2" s="318" t="inlineStr">
        <is>
          <t>Field Office Collocation Code</t>
        </is>
      </c>
      <c r="AS2" s="318" t="inlineStr">
        <is>
          <t>Acres</t>
        </is>
      </c>
      <c r="AT2" s="318" t="inlineStr">
        <is>
          <t>Actual Sales Price</t>
        </is>
      </c>
      <c r="AU2" s="318" t="inlineStr">
        <is>
          <t>Building Age</t>
        </is>
      </c>
      <c r="AV2" s="318" t="inlineStr">
        <is>
          <t>Reason Cannot Currently Be Disposed</t>
        </is>
      </c>
      <c r="AW2" s="318" t="inlineStr">
        <is>
          <t>Reason Cannot Currently Be Disposed Code</t>
        </is>
      </c>
      <c r="AX2" s="318" t="inlineStr">
        <is>
          <t>Cannot Currently Be Disposed of Date</t>
        </is>
      </c>
      <c r="AY2" s="318" t="inlineStr">
        <is>
          <t>CFO Agency</t>
        </is>
      </c>
      <c r="AZ2" s="318" t="inlineStr">
        <is>
          <t>Congressional District</t>
        </is>
      </c>
      <c r="BA2" s="318" t="inlineStr">
        <is>
          <t>Consecutive Years Underutilized</t>
        </is>
      </c>
      <c r="BB2" s="318" t="inlineStr">
        <is>
          <t>Date Start of Underutilized</t>
        </is>
      </c>
      <c r="BC2" s="318" t="inlineStr">
        <is>
          <t>Determination to Dispose Date</t>
        </is>
      </c>
      <c r="BD2" s="318" t="inlineStr">
        <is>
          <t>Determine # of Contractors</t>
        </is>
      </c>
      <c r="BE2" s="318" t="inlineStr">
        <is>
          <t>Determine Number of Fed Contractors Code</t>
        </is>
      </c>
      <c r="BF2" s="318" t="inlineStr">
        <is>
          <t>Number of Federal Contractors</t>
        </is>
      </c>
      <c r="BG2" s="318" t="inlineStr">
        <is>
          <t>Determine # of Employees</t>
        </is>
      </c>
      <c r="BH2" s="318" t="inlineStr">
        <is>
          <t>Determine Number of Fed Employees Code</t>
        </is>
      </c>
      <c r="BI2" s="318" t="inlineStr">
        <is>
          <t>Number of Federal Employees</t>
        </is>
      </c>
      <c r="BJ2" s="318" t="inlineStr">
        <is>
          <t>Disposition Date</t>
        </is>
      </c>
      <c r="BK2" s="318" t="inlineStr">
        <is>
          <t>Disposition Method</t>
        </is>
      </c>
      <c r="BL2" s="318" t="inlineStr">
        <is>
          <t>Disposition Method Code</t>
        </is>
      </c>
      <c r="BM2" s="318" t="inlineStr">
        <is>
          <t>Estimated Future Capital Expenditures</t>
        </is>
      </c>
      <c r="BN2" s="318" t="inlineStr">
        <is>
          <t>Estimated Net Present Value</t>
        </is>
      </c>
      <c r="BO2" s="318" t="inlineStr">
        <is>
          <t>Excess Date</t>
        </is>
      </c>
      <c r="BP2" s="318" t="inlineStr">
        <is>
          <t>FASTA Disposal Exclusion</t>
        </is>
      </c>
      <c r="BQ2" s="318" t="inlineStr">
        <is>
          <t>FASTA Disposal Exclusion Code</t>
        </is>
      </c>
      <c r="BR2" s="318" t="inlineStr">
        <is>
          <t>FASTA Disposal Exclusion Reason</t>
        </is>
      </c>
      <c r="BS2" s="318" t="inlineStr">
        <is>
          <t>FASTA Disposal Exclusion Reason Code</t>
        </is>
      </c>
      <c r="BT2" s="318" t="inlineStr">
        <is>
          <t>FiscalYear</t>
        </is>
      </c>
      <c r="BU2" s="318" t="inlineStr">
        <is>
          <t>Historical Capital Expenditures</t>
        </is>
      </c>
      <c r="BV2" s="318" t="inlineStr">
        <is>
          <t>Lease Annual Rent to Lessor</t>
        </is>
      </c>
      <c r="BW2" s="318" t="inlineStr">
        <is>
          <t>Leased Annual Maintenance Costs</t>
        </is>
      </c>
      <c r="BX2" s="318" t="inlineStr">
        <is>
          <t>Leased Annual Operations Costs</t>
        </is>
      </c>
      <c r="BY2" s="318" t="inlineStr">
        <is>
          <t>Lease Authority</t>
        </is>
      </c>
      <c r="BZ2" s="318" t="inlineStr">
        <is>
          <t>Lease Authority Code</t>
        </is>
      </c>
      <c r="CA2" s="318" t="inlineStr">
        <is>
          <t>Lease Expiration Date</t>
        </is>
      </c>
      <c r="CB2" s="318" t="inlineStr">
        <is>
          <t>Lease Occupancy Date</t>
        </is>
      </c>
      <c r="CC2" s="318" t="inlineStr">
        <is>
          <t>Lease Start Date</t>
        </is>
      </c>
      <c r="CD2" s="318" t="inlineStr">
        <is>
          <t>Net Proceeds</t>
        </is>
      </c>
      <c r="CE2" s="318" t="inlineStr">
        <is>
          <t>Number of Days Excess</t>
        </is>
      </c>
      <c r="CF2" s="318" t="inlineStr">
        <is>
          <t>Number of Days Surplus</t>
        </is>
      </c>
      <c r="CG2" s="318" t="inlineStr">
        <is>
          <t>Number of Days Underutilized</t>
        </is>
      </c>
      <c r="CH2" s="318" t="inlineStr">
        <is>
          <t>Outgrant Indicator</t>
        </is>
      </c>
      <c r="CI2" s="318" t="inlineStr">
        <is>
          <t>Owned and Otherwise Managed Annual Operations Cost</t>
        </is>
      </c>
      <c r="CJ2" s="318" t="inlineStr">
        <is>
          <t>Owned and Otherwise Managed Annual Maintenance Cost</t>
        </is>
      </c>
      <c r="CK2" s="318" t="inlineStr">
        <is>
          <t>Repair Needs</t>
        </is>
      </c>
      <c r="CL2" s="318" t="inlineStr">
        <is>
          <t>Replacement Value</t>
        </is>
      </c>
      <c r="CM2" s="318" t="inlineStr">
        <is>
          <t>Condition Index</t>
        </is>
      </c>
      <c r="CN2" s="318" t="inlineStr">
        <is>
          <t>Report of Excess Accepted Date</t>
        </is>
      </c>
      <c r="CO2" s="318" t="inlineStr">
        <is>
          <t>Report of Excess Submitted Date</t>
        </is>
      </c>
      <c r="CP2" s="318" t="inlineStr">
        <is>
          <t>Reduce the Footprint</t>
        </is>
      </c>
      <c r="CQ2" s="318" t="inlineStr">
        <is>
          <t>Square Feet (Buildings)</t>
        </is>
      </c>
      <c r="CR2" s="318" t="inlineStr">
        <is>
          <t>Square Feet Unit of Measure</t>
        </is>
      </c>
      <c r="CS2" s="318" t="inlineStr">
        <is>
          <t>SquareFeet UnitOfMeasure Code</t>
        </is>
      </c>
      <c r="CT2" s="318" t="inlineStr">
        <is>
          <t>Structural Units</t>
        </is>
      </c>
      <c r="CU2" s="318" t="inlineStr">
        <is>
          <t>Surplus Declaration Date</t>
        </is>
      </c>
      <c r="CV2" s="318" t="inlineStr">
        <is>
          <t>Sustainability</t>
        </is>
      </c>
      <c r="CW2" s="318" t="inlineStr">
        <is>
          <t>Sustainability Code</t>
        </is>
      </c>
      <c r="CX2" s="318" t="inlineStr">
        <is>
          <t>Unit Of Measure</t>
        </is>
      </c>
      <c r="CY2" s="318" t="inlineStr">
        <is>
          <t>Unit Of Measure Code</t>
        </is>
      </c>
      <c r="CZ2" s="318" t="inlineStr">
        <is>
          <t>Year Asset Reported Underutilized</t>
        </is>
      </c>
      <c r="DA2" s="318" t="inlineStr">
        <is>
          <t>Year of Construction</t>
        </is>
      </c>
      <c r="DB2" s="318" t="inlineStr">
        <is>
          <t>Outgrant Indicator Value</t>
        </is>
      </c>
      <c r="DC2" s="318" t="inlineStr">
        <is>
          <t>Asset Height Range</t>
        </is>
      </c>
      <c r="DD2" s="318" t="inlineStr">
        <is>
          <t>Asset Height</t>
        </is>
      </c>
      <c r="DE2" s="318" t="inlineStr">
        <is>
          <t>Asset Height Range Above Mean Sea Level</t>
        </is>
      </c>
      <c r="DF2" s="318" t="inlineStr">
        <is>
          <t>Asset Height Above Mean Sea Level</t>
        </is>
      </c>
      <c r="DG2" s="318" t="inlineStr">
        <is>
          <t>Elevation Above Mean Sea Level</t>
        </is>
      </c>
      <c r="DH2" s="318" t="inlineStr">
        <is>
          <t>FOIA Exemption</t>
        </is>
      </c>
      <c r="DI2" s="318" t="inlineStr">
        <is>
          <t>FOIA Exemption Code</t>
        </is>
      </c>
      <c r="DJ2" s="318" t="inlineStr">
        <is>
          <t>Statutory Citation</t>
        </is>
      </c>
    </row>
    <row r="3" hidden="1" s="59"/>
    <row r="4" hidden="1" s="59"/>
    <row r="5" hidden="1" s="59"/>
    <row r="6" hidden="1" s="59"/>
    <row r="7" hidden="1" s="59"/>
    <row r="8" hidden="1" s="59"/>
    <row r="9" hidden="1" s="59"/>
    <row r="10" hidden="1" s="59"/>
    <row r="11" hidden="1" s="59"/>
    <row r="12" hidden="1" s="59"/>
    <row r="13" hidden="1" s="59"/>
    <row r="14" hidden="1" s="59"/>
    <row r="15" hidden="1" s="59"/>
    <row r="16" hidden="1" s="59"/>
    <row r="17" hidden="1" s="59"/>
    <row r="18" hidden="1" s="59"/>
    <row r="19" hidden="1" s="59"/>
    <row r="20" hidden="1" s="59"/>
    <row r="21" hidden="1" s="59"/>
    <row r="22" hidden="1" s="59"/>
    <row r="23" hidden="1" s="59"/>
    <row r="24" hidden="1" s="59"/>
    <row r="25" hidden="1" s="59"/>
    <row r="26" hidden="1" s="59"/>
    <row r="27" hidden="1" s="59"/>
    <row r="28" hidden="1" s="59"/>
    <row r="29" hidden="1" s="59"/>
    <row r="30" hidden="1" s="59"/>
    <row r="31" hidden="1" s="59"/>
    <row r="32" hidden="1" s="59"/>
    <row r="33" hidden="1" s="59"/>
    <row r="34" hidden="1" s="59"/>
    <row r="35" hidden="1" s="59"/>
    <row r="36" hidden="1" s="59"/>
    <row r="37" hidden="1" s="59"/>
    <row r="38" hidden="1" s="59"/>
    <row r="39" hidden="1" s="59"/>
    <row r="40" hidden="1" s="59"/>
    <row r="41" hidden="1" s="59"/>
    <row r="42" hidden="1" s="59"/>
    <row r="43" hidden="1" s="59"/>
    <row r="44" hidden="1" s="59"/>
    <row r="45" hidden="1" s="59"/>
    <row r="46" hidden="1" s="59"/>
    <row r="47" hidden="1" s="59"/>
    <row r="48" hidden="1" s="59"/>
    <row r="49" hidden="1" s="59"/>
    <row r="50" hidden="1" s="59"/>
    <row r="51" hidden="1" s="59"/>
    <row r="52" hidden="1" s="59"/>
    <row r="53" hidden="1" s="59"/>
    <row r="54" hidden="1" s="59"/>
    <row r="55" hidden="1" s="59"/>
    <row r="56" hidden="1" s="59"/>
    <row r="57" hidden="1" s="59"/>
    <row r="58" hidden="1" s="59"/>
    <row r="59" hidden="1" s="59"/>
    <row r="60" hidden="1" s="59"/>
    <row r="61" hidden="1" s="59"/>
    <row r="62" hidden="1" s="59"/>
    <row r="63" hidden="1" s="59"/>
    <row r="64" hidden="1" s="59"/>
    <row r="65" hidden="1" s="59"/>
    <row r="66" hidden="1" s="59"/>
    <row r="67" hidden="1" s="59"/>
    <row r="68" hidden="1" s="59"/>
    <row r="69" hidden="1" s="59"/>
    <row r="70" hidden="1" s="59"/>
    <row r="71" hidden="1" s="59"/>
    <row r="72" hidden="1" s="59"/>
    <row r="73" hidden="1" s="59"/>
    <row r="74" hidden="1" s="59"/>
    <row r="75" hidden="1" s="59"/>
    <row r="76" hidden="1" s="59"/>
    <row r="77" hidden="1" s="59"/>
    <row r="78" hidden="1" s="59"/>
    <row r="79" hidden="1" s="59"/>
    <row r="80" hidden="1" s="59"/>
    <row r="81" hidden="1" s="59"/>
    <row r="82" hidden="1" s="59"/>
    <row r="83" hidden="1" s="59"/>
    <row r="84" hidden="1" s="59"/>
    <row r="85" hidden="1" s="59"/>
    <row r="86" hidden="1" s="59"/>
    <row r="87" hidden="1" s="59"/>
    <row r="88" hidden="1" s="59"/>
    <row r="89" hidden="1" s="59"/>
    <row r="90" hidden="1" s="59"/>
    <row r="91" hidden="1" s="59"/>
    <row r="92" hidden="1" s="59"/>
    <row r="93" hidden="1" s="59"/>
    <row r="94" hidden="1" s="59"/>
    <row r="95" hidden="1" s="59"/>
    <row r="96" hidden="1" s="59"/>
    <row r="97" hidden="1" s="59"/>
    <row r="98" hidden="1" s="59"/>
    <row r="99" hidden="1" s="59"/>
    <row r="100" hidden="1" s="59"/>
    <row r="101" hidden="1" s="59"/>
    <row r="102" hidden="1" s="59"/>
    <row r="103" hidden="1" s="59"/>
    <row r="104" hidden="1" s="59"/>
    <row r="105" hidden="1" s="59"/>
    <row r="106" hidden="1" s="59"/>
    <row r="107" hidden="1" s="59"/>
    <row r="108" hidden="1" s="59"/>
    <row r="109" hidden="1" s="59"/>
    <row r="110" hidden="1" s="59"/>
    <row r="111" hidden="1" s="59"/>
    <row r="112" hidden="1" s="59"/>
    <row r="113" hidden="1" s="59"/>
    <row r="114" hidden="1" s="59"/>
    <row r="115" hidden="1" s="59"/>
    <row r="116" hidden="1" s="59"/>
    <row r="117" hidden="1" s="59"/>
    <row r="118" hidden="1" s="59"/>
    <row r="119" hidden="1" s="59"/>
    <row r="120" hidden="1" s="59"/>
    <row r="121" hidden="1" s="59"/>
    <row r="122" hidden="1" s="59"/>
    <row r="123" hidden="1" s="59"/>
    <row r="124" hidden="1" s="59"/>
    <row r="125" hidden="1" s="59"/>
    <row r="126" hidden="1" s="59"/>
    <row r="127" hidden="1" s="59"/>
    <row r="128" hidden="1" s="59"/>
    <row r="129" hidden="1" s="59"/>
    <row r="130" hidden="1" s="59"/>
    <row r="131" hidden="1" s="59"/>
    <row r="132" hidden="1" s="59"/>
    <row r="133" hidden="1" s="59"/>
    <row r="134" hidden="1" s="59"/>
    <row r="135" hidden="1" s="59"/>
    <row r="136" hidden="1" s="59"/>
    <row r="137" hidden="1" s="59"/>
    <row r="138" hidden="1" s="59"/>
    <row r="139" hidden="1" s="59"/>
    <row r="140" hidden="1" s="59"/>
    <row r="141" hidden="1" s="59"/>
    <row r="142" hidden="1" s="59"/>
    <row r="143" hidden="1" s="59"/>
    <row r="144" hidden="1" s="59"/>
    <row r="145" hidden="1" s="59"/>
    <row r="146" hidden="1" s="59"/>
    <row r="147" hidden="1" s="59"/>
    <row r="148" hidden="1" s="59"/>
    <row r="149" hidden="1" s="59"/>
    <row r="150" hidden="1" s="59"/>
    <row r="151" hidden="1" s="59"/>
    <row r="152" hidden="1" s="59"/>
    <row r="153" hidden="1" s="59"/>
    <row r="154" hidden="1" s="59"/>
    <row r="155" hidden="1" s="59"/>
    <row r="156" hidden="1" s="59"/>
    <row r="157" hidden="1" s="59"/>
    <row r="158" hidden="1" s="59"/>
    <row r="159" hidden="1" s="59"/>
    <row r="160" hidden="1" s="59"/>
    <row r="161" hidden="1" s="59"/>
    <row r="162" hidden="1" s="59"/>
    <row r="163" hidden="1" s="59"/>
    <row r="164" hidden="1" s="59"/>
    <row r="165" hidden="1" s="59"/>
    <row r="166" hidden="1" s="59"/>
    <row r="167" hidden="1" s="59"/>
    <row r="168" hidden="1" s="59"/>
    <row r="169" hidden="1" s="59"/>
    <row r="170" hidden="1" s="59"/>
    <row r="171" hidden="1" s="59"/>
    <row r="172" hidden="1" s="59"/>
    <row r="173" hidden="1" s="59"/>
    <row r="174" hidden="1" s="59"/>
    <row r="175" hidden="1" s="59"/>
    <row r="176" hidden="1" s="59"/>
    <row r="177" hidden="1" s="59"/>
    <row r="178" hidden="1" s="59"/>
    <row r="179" hidden="1" s="59"/>
    <row r="180" hidden="1" s="59"/>
    <row r="181" hidden="1" s="59"/>
    <row r="182" hidden="1" s="59"/>
    <row r="183" hidden="1" s="59"/>
    <row r="184" hidden="1" s="59"/>
    <row r="185" hidden="1" s="59"/>
    <row r="186" hidden="1" s="59"/>
    <row r="187" hidden="1" s="59"/>
    <row r="188" hidden="1" s="59"/>
    <row r="189" hidden="1" s="59"/>
    <row r="190" hidden="1" s="59"/>
    <row r="191" hidden="1" s="59"/>
    <row r="192" hidden="1" s="59"/>
    <row r="193" hidden="1" s="59"/>
    <row r="194" hidden="1" s="59"/>
    <row r="195" hidden="1" s="59"/>
    <row r="196" hidden="1" s="59"/>
    <row r="197" hidden="1" s="59"/>
    <row r="198" hidden="1" s="59"/>
    <row r="199" hidden="1" s="59"/>
    <row r="200" hidden="1" s="59"/>
    <row r="201" hidden="1" s="59"/>
    <row r="202" hidden="1" s="59"/>
    <row r="203" hidden="1" s="59"/>
    <row r="204" hidden="1" s="59"/>
    <row r="205" hidden="1" s="59"/>
    <row r="206" hidden="1" s="59"/>
    <row r="207" hidden="1" s="59"/>
    <row r="208" hidden="1" s="59"/>
    <row r="209" hidden="1" s="59"/>
    <row r="210" hidden="1" s="59"/>
    <row r="211" hidden="1" s="59"/>
    <row r="212" hidden="1" s="59"/>
    <row r="213" hidden="1" s="59"/>
    <row r="214" hidden="1" s="59"/>
    <row r="215" hidden="1" s="59"/>
    <row r="216" hidden="1" s="59"/>
    <row r="217" hidden="1" s="59"/>
    <row r="218" hidden="1" s="59"/>
    <row r="219" hidden="1" s="59"/>
    <row r="220" hidden="1" s="59"/>
    <row r="221" hidden="1" s="59"/>
    <row r="222" hidden="1" s="59"/>
    <row r="223" hidden="1" s="59"/>
    <row r="224" hidden="1" s="59"/>
    <row r="225" hidden="1" s="59"/>
    <row r="226" hidden="1" s="59"/>
    <row r="227" hidden="1" s="59"/>
    <row r="228" hidden="1" s="59"/>
    <row r="229" hidden="1" s="59"/>
    <row r="230" hidden="1" s="59"/>
    <row r="231" hidden="1" s="59"/>
    <row r="232" hidden="1" s="59"/>
    <row r="233" hidden="1" s="59"/>
    <row r="234" hidden="1" s="59"/>
    <row r="235" hidden="1" s="59"/>
    <row r="236" hidden="1" s="59"/>
    <row r="237" hidden="1" s="59"/>
    <row r="238" hidden="1" s="59"/>
    <row r="239" hidden="1" s="59"/>
    <row r="240" hidden="1" s="59"/>
    <row r="241" hidden="1" s="59"/>
    <row r="242" hidden="1" s="59"/>
    <row r="243" hidden="1" s="59"/>
    <row r="244" hidden="1" s="59"/>
    <row r="245" hidden="1" s="59"/>
    <row r="246" hidden="1" s="59"/>
    <row r="247" hidden="1" s="59"/>
    <row r="248" hidden="1" s="59"/>
    <row r="249" hidden="1" s="59"/>
    <row r="250" hidden="1" s="59"/>
    <row r="251" hidden="1" s="59"/>
    <row r="252" hidden="1" s="59"/>
    <row r="253" hidden="1" s="59"/>
    <row r="254" hidden="1" s="59"/>
    <row r="255" hidden="1" s="59"/>
    <row r="256" hidden="1" s="59"/>
    <row r="257" hidden="1" s="59"/>
    <row r="258" hidden="1" s="59"/>
    <row r="259" hidden="1" s="59"/>
    <row r="260" hidden="1" s="59"/>
    <row r="261" hidden="1" s="59"/>
    <row r="262" hidden="1" s="59"/>
    <row r="263" hidden="1" s="59"/>
    <row r="264" hidden="1" s="59"/>
    <row r="265" hidden="1" s="59"/>
    <row r="266" hidden="1" s="59"/>
    <row r="267" hidden="1" s="59"/>
    <row r="268" hidden="1" s="59"/>
    <row r="269" hidden="1" s="59"/>
    <row r="270" hidden="1" s="59"/>
    <row r="271" hidden="1" s="59"/>
    <row r="272" hidden="1" s="59"/>
    <row r="273" hidden="1" s="59"/>
    <row r="274" hidden="1" s="59"/>
    <row r="275" hidden="1" s="59"/>
    <row r="276" hidden="1" s="59"/>
    <row r="277" hidden="1" s="59"/>
    <row r="278" hidden="1" s="59"/>
    <row r="279" hidden="1" s="59"/>
    <row r="280" hidden="1" s="59"/>
    <row r="281" hidden="1" s="59"/>
    <row r="282" hidden="1" s="59"/>
    <row r="283" hidden="1" s="59"/>
    <row r="284" hidden="1" s="59"/>
    <row r="285" hidden="1" s="59"/>
    <row r="286" hidden="1" s="59"/>
    <row r="287" hidden="1" s="59"/>
    <row r="288" hidden="1" s="59"/>
    <row r="289" hidden="1" s="59"/>
    <row r="290" hidden="1" s="59"/>
    <row r="291" hidden="1" s="59"/>
    <row r="292" hidden="1" s="59"/>
    <row r="293" hidden="1" s="59"/>
    <row r="294" hidden="1" s="59"/>
    <row r="295" hidden="1" s="59"/>
    <row r="296" hidden="1" s="59"/>
    <row r="297" hidden="1" s="59"/>
    <row r="298" hidden="1" s="59"/>
    <row r="299" hidden="1" s="59"/>
    <row r="300" hidden="1" s="59"/>
    <row r="301" hidden="1" s="59"/>
    <row r="302" hidden="1" s="59"/>
    <row r="303" hidden="1" s="59"/>
    <row r="304" hidden="1" s="59"/>
    <row r="305" hidden="1" s="59"/>
    <row r="306" hidden="1" s="59"/>
    <row r="307" hidden="1" s="59"/>
    <row r="308" hidden="1" s="59"/>
    <row r="309" hidden="1" s="59"/>
    <row r="310" hidden="1" s="59"/>
    <row r="311" hidden="1" s="59"/>
    <row r="312" hidden="1" s="59"/>
    <row r="313" hidden="1" s="59"/>
    <row r="314" hidden="1" s="59"/>
    <row r="315" hidden="1" s="59"/>
    <row r="316" hidden="1" s="59"/>
    <row r="317" hidden="1" s="59"/>
    <row r="318" hidden="1" s="59"/>
    <row r="319" hidden="1" s="59"/>
    <row r="320" hidden="1" s="59"/>
    <row r="321" hidden="1" s="59"/>
    <row r="322" hidden="1" s="59"/>
    <row r="323" hidden="1" s="59"/>
    <row r="324" hidden="1" s="59"/>
    <row r="325" hidden="1" s="59"/>
    <row r="326" hidden="1" s="59"/>
    <row r="327" hidden="1" s="59"/>
    <row r="328" hidden="1" s="59"/>
    <row r="329" hidden="1" s="59"/>
    <row r="330" hidden="1" s="59"/>
    <row r="331" hidden="1" s="59"/>
    <row r="332" hidden="1" s="59"/>
    <row r="333" hidden="1" s="59"/>
    <row r="334" hidden="1" s="59"/>
    <row r="335" hidden="1" s="59"/>
    <row r="336" hidden="1" s="59"/>
    <row r="337" hidden="1" s="59"/>
    <row r="338" hidden="1" s="59"/>
    <row r="339" hidden="1" s="59"/>
    <row r="340" hidden="1" s="59"/>
    <row r="341" hidden="1" s="59"/>
    <row r="342" hidden="1" s="59"/>
    <row r="343" hidden="1" s="59"/>
    <row r="344" hidden="1" s="59"/>
    <row r="345" hidden="1" s="59"/>
    <row r="346" hidden="1" s="59"/>
    <row r="347" hidden="1" s="59"/>
    <row r="348" hidden="1" s="59"/>
    <row r="349" hidden="1" s="59"/>
    <row r="350" hidden="1" s="59"/>
    <row r="351" hidden="1" s="59"/>
    <row r="352" hidden="1" s="59"/>
    <row r="353" hidden="1" s="59"/>
    <row r="354" hidden="1" s="59"/>
    <row r="355" hidden="1" s="59"/>
    <row r="356" hidden="1" s="59"/>
    <row r="357" hidden="1" s="59"/>
    <row r="358" hidden="1" s="59"/>
    <row r="359" hidden="1" s="59"/>
    <row r="360" hidden="1" s="59"/>
    <row r="361" hidden="1" s="59"/>
    <row r="362" hidden="1" s="59"/>
    <row r="363" hidden="1" s="59"/>
    <row r="364" hidden="1" s="59"/>
    <row r="365" hidden="1" s="59"/>
    <row r="366" hidden="1" s="59"/>
    <row r="367" hidden="1" s="59"/>
    <row r="368" hidden="1" s="59"/>
    <row r="369" hidden="1" s="59"/>
    <row r="370" hidden="1" s="59"/>
    <row r="371" hidden="1" s="59"/>
    <row r="372" hidden="1" s="59"/>
    <row r="373" hidden="1" s="59"/>
    <row r="374" hidden="1" s="59"/>
    <row r="375" hidden="1" s="59"/>
    <row r="376" hidden="1" s="59"/>
    <row r="377" hidden="1" s="59"/>
    <row r="378" hidden="1" s="59"/>
    <row r="379" hidden="1" s="59"/>
    <row r="380" hidden="1" s="59"/>
    <row r="381" hidden="1" s="59"/>
    <row r="382" hidden="1" s="59"/>
    <row r="383" hidden="1" s="59"/>
    <row r="384" hidden="1" s="59"/>
    <row r="385" hidden="1" s="59"/>
    <row r="386" hidden="1" s="59"/>
    <row r="387" hidden="1" s="59"/>
    <row r="388" hidden="1" s="59"/>
    <row r="389" hidden="1" s="59"/>
    <row r="390" hidden="1" s="59"/>
    <row r="391" hidden="1" s="59"/>
    <row r="392" hidden="1" s="59"/>
    <row r="393" hidden="1" s="59"/>
    <row r="394" hidden="1" s="59"/>
    <row r="395" hidden="1" s="59"/>
    <row r="396" hidden="1" s="59"/>
    <row r="397" hidden="1" s="59"/>
    <row r="398" hidden="1" s="59"/>
    <row r="399" hidden="1" s="59"/>
    <row r="400" hidden="1" s="59"/>
    <row r="401" hidden="1" s="59"/>
    <row r="402" hidden="1" s="59"/>
    <row r="403" hidden="1" s="59"/>
    <row r="404" hidden="1" s="59"/>
    <row r="405" hidden="1" s="59"/>
    <row r="406" hidden="1" s="59"/>
    <row r="407" hidden="1" s="59"/>
    <row r="408" hidden="1" s="59"/>
    <row r="409" hidden="1" s="59"/>
    <row r="410" hidden="1" s="59"/>
    <row r="411" hidden="1" s="59"/>
    <row r="412" hidden="1" s="59"/>
    <row r="413" hidden="1" s="59"/>
    <row r="414" hidden="1" s="59"/>
    <row r="415" hidden="1" s="59"/>
    <row r="416" hidden="1" s="59"/>
    <row r="417" hidden="1" s="59"/>
    <row r="418" hidden="1" s="59"/>
    <row r="419" hidden="1" s="59"/>
    <row r="420" hidden="1" s="59"/>
    <row r="421" hidden="1" s="59"/>
    <row r="422" hidden="1" s="59"/>
    <row r="423" hidden="1" s="59"/>
    <row r="424" hidden="1" s="59"/>
    <row r="425" hidden="1" s="59"/>
    <row r="426" hidden="1" s="59"/>
    <row r="427" hidden="1" s="59"/>
    <row r="428" hidden="1" s="59"/>
    <row r="429" hidden="1" s="59"/>
    <row r="430" hidden="1" s="59"/>
    <row r="431" hidden="1" s="59"/>
    <row r="432" hidden="1" s="59"/>
    <row r="433" hidden="1" s="59"/>
    <row r="434" hidden="1" s="59"/>
    <row r="435" hidden="1" s="59"/>
    <row r="436" hidden="1" s="59"/>
    <row r="437" hidden="1" s="59"/>
    <row r="438" hidden="1" s="59"/>
    <row r="439" hidden="1" s="59"/>
    <row r="440" hidden="1" s="59"/>
    <row r="441" hidden="1" s="59"/>
    <row r="442" hidden="1" s="59"/>
    <row r="443" hidden="1" s="59"/>
    <row r="444" hidden="1" s="59"/>
    <row r="445" hidden="1" s="59"/>
    <row r="446" hidden="1" s="59"/>
    <row r="447" hidden="1" s="59"/>
    <row r="448" hidden="1" s="59"/>
    <row r="449" hidden="1" s="59"/>
    <row r="450" hidden="1" s="59"/>
    <row r="451" hidden="1" s="59"/>
    <row r="452" hidden="1" s="59"/>
    <row r="453" hidden="1" s="59"/>
    <row r="454" hidden="1" s="59"/>
    <row r="455" hidden="1" s="59"/>
    <row r="456" hidden="1" s="59"/>
    <row r="457" hidden="1" s="59"/>
    <row r="458" hidden="1" s="59"/>
    <row r="459" hidden="1" s="59"/>
    <row r="460" hidden="1" s="59"/>
    <row r="461" hidden="1" s="59"/>
    <row r="462" hidden="1" s="59"/>
    <row r="463" hidden="1" s="59"/>
    <row r="464" hidden="1" s="59"/>
    <row r="465" hidden="1" s="59"/>
    <row r="466" hidden="1" s="59"/>
    <row r="467" hidden="1" s="59"/>
    <row r="468" hidden="1" s="59"/>
    <row r="469" hidden="1" s="59"/>
    <row r="470" hidden="1" s="59"/>
    <row r="471" hidden="1" s="59"/>
    <row r="472" hidden="1" s="59"/>
    <row r="473" hidden="1" s="59"/>
    <row r="474" hidden="1" s="59"/>
    <row r="475" hidden="1" s="59"/>
    <row r="476" hidden="1" s="59"/>
    <row r="477" hidden="1" s="59"/>
    <row r="478" hidden="1" s="59"/>
    <row r="479" hidden="1" s="59"/>
    <row r="480" hidden="1" s="59"/>
    <row r="481" hidden="1" s="59"/>
    <row r="482" hidden="1" s="59"/>
    <row r="483" hidden="1" s="59"/>
    <row r="484" hidden="1" s="59"/>
    <row r="485" hidden="1" s="59"/>
    <row r="486" hidden="1" s="59"/>
    <row r="487" hidden="1" s="59"/>
    <row r="488" hidden="1" s="59"/>
    <row r="489" hidden="1" s="59"/>
    <row r="490" hidden="1" s="59"/>
    <row r="491" hidden="1" s="59"/>
    <row r="492" hidden="1" s="59"/>
    <row r="493" hidden="1" s="59"/>
    <row r="494" hidden="1" s="59"/>
    <row r="495" hidden="1" s="59"/>
    <row r="496" hidden="1" s="59"/>
    <row r="497" hidden="1" s="59"/>
    <row r="498" hidden="1" s="59"/>
    <row r="499" hidden="1" s="59"/>
    <row r="500" hidden="1" s="59"/>
    <row r="501" hidden="1" s="59"/>
    <row r="502" hidden="1" s="59"/>
    <row r="503" hidden="1" s="59"/>
    <row r="504" hidden="1" s="59"/>
    <row r="505" hidden="1" s="59"/>
    <row r="506" hidden="1" s="59"/>
    <row r="507" hidden="1" s="59"/>
    <row r="508" hidden="1" s="59"/>
    <row r="509" hidden="1" s="59"/>
    <row r="510" hidden="1" s="59"/>
    <row r="511" hidden="1" s="59"/>
    <row r="512" hidden="1" s="59"/>
    <row r="513" hidden="1" s="59"/>
    <row r="514" hidden="1" s="59"/>
    <row r="515" hidden="1" s="59"/>
    <row r="516" hidden="1" s="59"/>
    <row r="517" hidden="1" s="59"/>
    <row r="518" hidden="1" s="59"/>
    <row r="519" hidden="1" s="59"/>
    <row r="520" hidden="1" s="59"/>
    <row r="521" hidden="1" s="59"/>
    <row r="522" hidden="1" s="59"/>
    <row r="523" hidden="1" s="59"/>
    <row r="524" hidden="1" s="59"/>
    <row r="525" hidden="1" s="59"/>
    <row r="526" hidden="1" s="59"/>
    <row r="527" hidden="1" s="59"/>
    <row r="528" hidden="1" s="59"/>
    <row r="529" hidden="1" s="59"/>
    <row r="530" hidden="1" s="59"/>
    <row r="531" hidden="1" s="59"/>
    <row r="532" hidden="1" s="59"/>
    <row r="533" hidden="1" s="59"/>
    <row r="534" hidden="1" s="59"/>
    <row r="535" hidden="1" s="59"/>
    <row r="536" hidden="1" s="59"/>
    <row r="537" hidden="1" s="59"/>
    <row r="538" hidden="1" s="59"/>
    <row r="539" hidden="1" s="59"/>
    <row r="540" hidden="1" s="59"/>
    <row r="541" hidden="1" s="59"/>
    <row r="542" hidden="1" s="59"/>
    <row r="543" hidden="1" s="59"/>
    <row r="544" hidden="1" s="59"/>
    <row r="545" hidden="1" s="59"/>
    <row r="546" hidden="1" s="59"/>
    <row r="547" hidden="1" s="59"/>
    <row r="548" hidden="1" s="59"/>
    <row r="549" hidden="1" s="59"/>
    <row r="550" hidden="1" s="59"/>
    <row r="551" hidden="1" s="59"/>
    <row r="552" hidden="1" s="59"/>
    <row r="553" hidden="1" s="59"/>
    <row r="554" hidden="1" s="59"/>
    <row r="555" hidden="1" s="59"/>
    <row r="556" hidden="1" s="59"/>
    <row r="557" hidden="1" s="59"/>
    <row r="558" hidden="1" s="59"/>
    <row r="559" hidden="1" s="59"/>
    <row r="560" hidden="1" s="59"/>
    <row r="561" hidden="1" s="59"/>
    <row r="562" hidden="1" s="59"/>
    <row r="563" hidden="1" s="59"/>
    <row r="564" hidden="1" s="59"/>
    <row r="565" hidden="1" s="59"/>
    <row r="566" hidden="1" s="59"/>
    <row r="567" hidden="1" s="59"/>
    <row r="568" hidden="1" s="59"/>
    <row r="569" hidden="1" s="59"/>
    <row r="570" hidden="1" s="59"/>
    <row r="571" hidden="1" s="59"/>
    <row r="572" hidden="1" s="59"/>
    <row r="573" hidden="1" s="59"/>
    <row r="574" hidden="1" s="59"/>
    <row r="575" hidden="1" s="59"/>
    <row r="576" hidden="1" s="59"/>
    <row r="577" hidden="1" s="59"/>
    <row r="578" hidden="1" s="59"/>
    <row r="579" hidden="1" s="59"/>
    <row r="580" hidden="1" s="59"/>
    <row r="581" hidden="1" s="59"/>
    <row r="582" hidden="1" s="59"/>
    <row r="583" hidden="1" s="59"/>
    <row r="584" hidden="1" s="59"/>
    <row r="585" hidden="1" s="59"/>
    <row r="586" hidden="1" s="59"/>
    <row r="587" hidden="1" s="59"/>
    <row r="588" hidden="1" s="59"/>
    <row r="589" hidden="1" s="59"/>
    <row r="590" hidden="1" s="59"/>
    <row r="591" hidden="1" s="59"/>
    <row r="592" hidden="1" s="59"/>
    <row r="593" hidden="1" s="59"/>
    <row r="594" hidden="1" s="59"/>
    <row r="595" hidden="1" s="59"/>
    <row r="596" hidden="1" s="59"/>
    <row r="597" hidden="1" s="59"/>
    <row r="598" hidden="1" s="59"/>
    <row r="599" hidden="1" s="59"/>
    <row r="600" hidden="1" s="59"/>
    <row r="601" hidden="1" s="59"/>
    <row r="602" hidden="1" s="59"/>
    <row r="603" hidden="1" s="59"/>
    <row r="604" hidden="1" s="59"/>
    <row r="605" hidden="1" s="59"/>
    <row r="606" hidden="1" s="59"/>
    <row r="607" hidden="1" s="59"/>
    <row r="608" hidden="1" s="59"/>
    <row r="609" hidden="1" s="59"/>
    <row r="610" hidden="1" s="59"/>
    <row r="611" hidden="1" s="59"/>
    <row r="612" hidden="1" s="59"/>
    <row r="613" hidden="1" s="59"/>
    <row r="614" hidden="1" s="59"/>
    <row r="615" hidden="1" s="59"/>
    <row r="616" hidden="1" s="59"/>
    <row r="617" hidden="1" s="59"/>
    <row r="618" hidden="1" s="59"/>
    <row r="619" hidden="1" s="59"/>
    <row r="620" hidden="1" s="59"/>
    <row r="621" hidden="1" s="59"/>
    <row r="622" hidden="1" s="59"/>
    <row r="623" hidden="1" s="59"/>
    <row r="624" hidden="1" s="59"/>
    <row r="625" hidden="1" s="59"/>
    <row r="626" hidden="1" s="59"/>
    <row r="627" hidden="1" s="59"/>
    <row r="628" hidden="1" s="59"/>
    <row r="629" hidden="1" s="59"/>
    <row r="630" hidden="1" s="59"/>
    <row r="631" hidden="1" s="59"/>
    <row r="632" hidden="1" s="59"/>
    <row r="633" hidden="1" s="59"/>
    <row r="634" hidden="1" s="59"/>
    <row r="635" hidden="1" s="59"/>
    <row r="636" hidden="1" s="59"/>
    <row r="637" hidden="1" s="59"/>
    <row r="638" hidden="1" s="59"/>
    <row r="639" hidden="1" s="59"/>
    <row r="640" hidden="1" s="59"/>
    <row r="641" hidden="1" s="59"/>
    <row r="642" hidden="1" s="59"/>
    <row r="643" hidden="1" s="59"/>
    <row r="644" hidden="1" s="59"/>
    <row r="645" hidden="1" s="59"/>
    <row r="646" hidden="1" s="59"/>
    <row r="647" hidden="1" s="59"/>
    <row r="648" hidden="1" s="59"/>
    <row r="649" hidden="1" s="59"/>
    <row r="650" hidden="1" s="59"/>
    <row r="652" hidden="1" s="59"/>
    <row r="653" hidden="1" s="59"/>
    <row r="654" hidden="1" s="59"/>
    <row r="655" hidden="1" s="59"/>
    <row r="656" hidden="1" s="59"/>
    <row r="657" hidden="1" s="59"/>
    <row r="658" hidden="1" s="59"/>
    <row r="659" hidden="1" s="59"/>
    <row r="660" hidden="1" s="59"/>
    <row r="661" hidden="1" s="59"/>
    <row r="662" hidden="1" s="59"/>
    <row r="663" hidden="1" s="59"/>
    <row r="664" hidden="1" s="59"/>
    <row r="665" hidden="1" s="59"/>
    <row r="666" hidden="1" s="59"/>
    <row r="667" hidden="1" s="59"/>
    <row r="669" hidden="1" s="59"/>
    <row r="670" hidden="1" s="59"/>
    <row r="671" hidden="1" s="59"/>
    <row r="672" hidden="1" s="59"/>
    <row r="673" hidden="1" s="59"/>
    <row r="674" hidden="1" s="59"/>
    <row r="675" hidden="1" s="59"/>
    <row r="676" hidden="1" s="59"/>
    <row r="677" hidden="1" s="59"/>
    <row r="678" hidden="1" s="59"/>
    <row r="679" hidden="1" s="59"/>
    <row r="680" hidden="1" s="59"/>
    <row r="681" hidden="1" s="59"/>
    <row r="682" hidden="1" s="59"/>
    <row r="683" hidden="1" s="59"/>
    <row r="684" hidden="1" s="59"/>
    <row r="685" hidden="1" s="59"/>
    <row r="686" hidden="1" s="59"/>
    <row r="687" hidden="1" s="59"/>
    <row r="688" hidden="1" s="59"/>
    <row r="689" hidden="1" s="59"/>
    <row r="690" hidden="1" s="59"/>
    <row r="691" hidden="1" s="59"/>
    <row r="692" hidden="1" s="59"/>
    <row r="693" hidden="1" s="59"/>
    <row r="694" hidden="1" s="59"/>
    <row r="695" hidden="1" s="59"/>
    <row r="696" hidden="1" s="59"/>
    <row r="697" hidden="1" s="59"/>
    <row r="698" hidden="1" s="59"/>
    <row r="699" hidden="1" s="59"/>
    <row r="700" hidden="1" s="59"/>
    <row r="701" hidden="1" s="59"/>
    <row r="702" hidden="1" s="59"/>
    <row r="703" hidden="1" s="59"/>
    <row r="704" hidden="1" s="59"/>
    <row r="705" hidden="1" s="59"/>
    <row r="706" hidden="1" s="59"/>
    <row r="707" hidden="1" s="59"/>
    <row r="708" hidden="1" s="59"/>
    <row r="709" hidden="1" s="59"/>
    <row r="710" hidden="1" s="59"/>
    <row r="711" hidden="1" s="59"/>
    <row r="712" hidden="1" s="59"/>
    <row r="713" hidden="1" s="59"/>
    <row r="715" hidden="1" s="59"/>
    <row r="716" hidden="1" s="59"/>
    <row r="717" hidden="1" s="59"/>
    <row r="718" hidden="1" s="59"/>
    <row r="719" hidden="1" s="59"/>
    <row r="720" hidden="1" s="59"/>
    <row r="721" hidden="1" s="59"/>
    <row r="722" hidden="1" s="59"/>
    <row r="723" hidden="1" s="59"/>
    <row r="724" hidden="1" s="59"/>
    <row r="725" hidden="1" s="59"/>
    <row r="726" hidden="1" s="59"/>
    <row r="727" hidden="1" s="59"/>
    <row r="728" hidden="1" s="59"/>
    <row r="729" hidden="1" s="59"/>
    <row r="731" hidden="1" s="59"/>
    <row r="732" hidden="1" s="59"/>
    <row r="733" hidden="1" s="59"/>
    <row r="734" hidden="1" s="59"/>
    <row r="735" hidden="1" s="59"/>
    <row r="736" hidden="1" s="59"/>
    <row r="737" hidden="1" s="59"/>
    <row r="738" hidden="1" s="59"/>
    <row r="739" hidden="1" s="59"/>
    <row r="740" hidden="1" s="59"/>
    <row r="741" hidden="1" s="59"/>
    <row r="742" hidden="1" s="59"/>
    <row r="743" hidden="1" s="59"/>
    <row r="744" hidden="1" s="59"/>
    <row r="745" hidden="1" s="59"/>
    <row r="746" hidden="1" s="59"/>
    <row r="747" hidden="1" s="59"/>
    <row r="748" hidden="1" s="59"/>
    <row r="749" hidden="1" s="59"/>
    <row r="750" hidden="1" s="59"/>
    <row r="751" hidden="1" s="59"/>
    <row r="752" hidden="1" s="59"/>
    <row r="753" hidden="1" s="59"/>
    <row r="754" hidden="1" s="59"/>
    <row r="755" hidden="1" s="59"/>
    <row r="756" hidden="1" s="59"/>
    <row r="757" hidden="1" s="59"/>
    <row r="758" hidden="1" s="59"/>
    <row r="759" hidden="1" s="59"/>
    <row r="760" hidden="1" s="59"/>
    <row r="761" hidden="1" s="59"/>
    <row r="762" hidden="1" s="59"/>
    <row r="763" hidden="1" s="59"/>
    <row r="764" hidden="1" s="59"/>
    <row r="765" hidden="1" s="59"/>
    <row r="766" hidden="1" s="59"/>
    <row r="767" hidden="1" s="59"/>
    <row r="768" hidden="1" s="59"/>
    <row r="769" hidden="1" s="59"/>
    <row r="770" hidden="1" s="59"/>
    <row r="771" hidden="1" s="59"/>
    <row r="772" hidden="1" s="59"/>
    <row r="773" hidden="1" s="59"/>
    <row r="774" hidden="1" s="59"/>
    <row r="775" hidden="1" s="59"/>
    <row r="776" hidden="1" s="59"/>
    <row r="777" hidden="1" s="59"/>
    <row r="778" hidden="1" s="59"/>
    <row r="779" hidden="1" s="59"/>
    <row r="780" hidden="1" s="59"/>
    <row r="781" hidden="1" s="59"/>
    <row r="782" hidden="1" s="59"/>
    <row r="783" hidden="1" s="59"/>
    <row r="784" hidden="1" s="59"/>
    <row r="785" hidden="1" s="59"/>
    <row r="786" hidden="1" s="59"/>
    <row r="787" hidden="1" s="59"/>
    <row r="788" hidden="1" s="59"/>
    <row r="789" hidden="1" s="59"/>
    <row r="790" hidden="1" s="59"/>
    <row r="791" hidden="1" s="59"/>
    <row r="792" hidden="1" s="59"/>
    <row r="793" hidden="1" s="59"/>
    <row r="794" hidden="1" s="59"/>
    <row r="795" hidden="1" s="59"/>
    <row r="796" hidden="1" s="59"/>
    <row r="797" hidden="1" s="59"/>
    <row r="798" hidden="1" s="59"/>
    <row r="799" hidden="1" s="59"/>
    <row r="800" hidden="1" s="59"/>
    <row r="801" hidden="1" s="59"/>
    <row r="802" hidden="1" s="59"/>
    <row r="803" hidden="1" s="59"/>
    <row r="804" hidden="1" s="59"/>
    <row r="805" hidden="1" s="59"/>
    <row r="806" hidden="1" s="59"/>
    <row r="807" hidden="1" s="59"/>
    <row r="808" hidden="1" s="59"/>
    <row r="809" hidden="1" s="59"/>
    <row r="810" hidden="1" s="59"/>
    <row r="811" hidden="1" s="59"/>
    <row r="812" hidden="1" s="59"/>
    <row r="813" hidden="1" s="59"/>
    <row r="814" hidden="1" s="59"/>
    <row r="815" hidden="1" s="59"/>
    <row r="816" hidden="1" s="59"/>
    <row r="817" hidden="1" s="59"/>
    <row r="818" hidden="1" s="59"/>
    <row r="819" hidden="1" s="59"/>
    <row r="820" hidden="1" s="59"/>
    <row r="821" hidden="1" s="59"/>
    <row r="822" hidden="1" s="59"/>
    <row r="823" hidden="1" s="59"/>
    <row r="824" hidden="1" s="59"/>
    <row r="825" hidden="1" s="59"/>
    <row r="826" hidden="1" s="59"/>
    <row r="827" hidden="1" s="59"/>
    <row r="828" hidden="1" s="59"/>
    <row r="829" hidden="1" s="59"/>
    <row r="830" hidden="1" s="59"/>
    <row r="831" hidden="1" s="59"/>
    <row r="832" hidden="1" s="59"/>
    <row r="833" hidden="1" s="59"/>
    <row r="834" hidden="1" s="59"/>
    <row r="835" hidden="1" s="59"/>
    <row r="836" hidden="1" s="59"/>
    <row r="837" hidden="1" s="59"/>
    <row r="838" hidden="1" s="59"/>
    <row r="839" hidden="1" s="59"/>
    <row r="840" hidden="1" s="59"/>
    <row r="841" hidden="1" s="59"/>
    <row r="842" hidden="1" s="59"/>
    <row r="843" hidden="1" s="59"/>
    <row r="844" hidden="1" s="59"/>
    <row r="845" hidden="1" s="59"/>
    <row r="847" hidden="1" s="59"/>
    <row r="848" hidden="1" s="59"/>
    <row r="849" hidden="1" s="59"/>
    <row r="850" hidden="1" s="59"/>
    <row r="851" hidden="1" s="59"/>
    <row r="852" hidden="1" s="59"/>
    <row r="853" hidden="1" s="59"/>
    <row r="854" hidden="1" s="59"/>
    <row r="855" hidden="1" s="59"/>
    <row r="856" hidden="1" s="59"/>
    <row r="857" hidden="1" s="59"/>
    <row r="858" hidden="1" s="59"/>
    <row r="859" hidden="1" s="59"/>
    <row r="860" hidden="1" s="59"/>
    <row r="861" hidden="1" s="59"/>
    <row r="862" hidden="1" s="59"/>
    <row r="863" hidden="1" s="59"/>
    <row r="864" hidden="1" s="59"/>
    <row r="865" hidden="1" s="59"/>
    <row r="866" hidden="1" s="59"/>
    <row r="867" hidden="1" s="59"/>
    <row r="868" hidden="1" s="59"/>
    <row r="869" hidden="1" s="59"/>
    <row r="870" hidden="1" s="59"/>
    <row r="871" hidden="1" s="59"/>
    <row r="872" hidden="1" s="59"/>
    <row r="873" hidden="1" s="59"/>
    <row r="874" hidden="1" s="59"/>
    <row r="875" hidden="1" s="59"/>
    <row r="876" hidden="1" s="59"/>
    <row r="877" hidden="1" s="59"/>
    <row r="878" hidden="1" s="59"/>
    <row r="879" hidden="1" s="59"/>
    <row r="880" hidden="1" s="59"/>
    <row r="881" hidden="1" s="59"/>
    <row r="882" hidden="1" s="59"/>
    <row r="883" hidden="1" s="59"/>
    <row r="884" hidden="1" s="59"/>
    <row r="885" hidden="1" s="59"/>
    <row r="886" hidden="1" s="59"/>
    <row r="887" hidden="1" s="59"/>
    <row r="888" hidden="1" s="59"/>
    <row r="889" hidden="1" s="59"/>
    <row r="890" hidden="1" s="59"/>
    <row r="891" hidden="1" s="59"/>
    <row r="892" hidden="1" s="59"/>
    <row r="893" hidden="1" s="59"/>
    <row r="894" hidden="1" s="59"/>
    <row r="895" hidden="1" s="59"/>
    <row r="896" hidden="1" s="59"/>
    <row r="897" hidden="1" s="59"/>
    <row r="898" hidden="1" s="59"/>
    <row r="899" hidden="1" s="59"/>
    <row r="900" hidden="1" s="59"/>
    <row r="901" hidden="1" s="59"/>
    <row r="902" hidden="1" s="59"/>
    <row r="903" hidden="1" s="59"/>
    <row r="904" hidden="1" s="59"/>
    <row r="905" hidden="1" s="59"/>
    <row r="906" hidden="1" s="59"/>
    <row r="907" hidden="1" s="59"/>
    <row r="908" hidden="1" s="59"/>
    <row r="909" hidden="1" s="59"/>
    <row r="910" hidden="1" s="59"/>
    <row r="911" hidden="1" s="59"/>
    <row r="912" hidden="1" s="59"/>
    <row r="913" hidden="1" s="59"/>
    <row r="914" hidden="1" s="59"/>
    <row r="915" hidden="1" s="59"/>
    <row r="916" hidden="1" s="59"/>
    <row r="917" hidden="1" s="59"/>
    <row r="918" hidden="1" s="59"/>
    <row r="919" hidden="1" s="59"/>
    <row r="920" hidden="1" s="59"/>
    <row r="921" hidden="1" s="59"/>
    <row r="922" hidden="1" s="59"/>
    <row r="923" hidden="1" s="59"/>
    <row r="924" hidden="1" s="59"/>
    <row r="925" hidden="1" s="59"/>
    <row r="926" hidden="1" s="59"/>
    <row r="927" hidden="1" s="59"/>
    <row r="928" hidden="1" s="59"/>
    <row r="929" hidden="1" s="59"/>
    <row r="930" hidden="1" s="59"/>
    <row r="931" hidden="1" s="59"/>
    <row r="932" hidden="1" s="59"/>
    <row r="933" hidden="1" s="59"/>
    <row r="934" hidden="1" s="59"/>
    <row r="935" hidden="1" s="59"/>
    <row r="936" hidden="1" s="59"/>
    <row r="937" hidden="1" s="59"/>
    <row r="938" hidden="1" s="59"/>
    <row r="939" hidden="1" s="59"/>
    <row r="940" hidden="1" s="59"/>
    <row r="941" hidden="1" s="59"/>
    <row r="942" hidden="1" s="59"/>
    <row r="943" hidden="1" s="59"/>
    <row r="944" hidden="1" s="59"/>
    <row r="945" hidden="1" s="59"/>
    <row r="946" hidden="1" s="59"/>
    <row r="947" hidden="1" s="59"/>
    <row r="948" hidden="1" s="59"/>
    <row r="949" hidden="1" s="59"/>
    <row r="950" hidden="1" s="59"/>
    <row r="951" hidden="1" s="59"/>
    <row r="952" hidden="1" s="59"/>
    <row r="953" hidden="1" s="59"/>
    <row r="954" hidden="1" s="59"/>
    <row r="955" hidden="1" s="59"/>
    <row r="956" hidden="1" s="59"/>
    <row r="957" hidden="1" s="59"/>
    <row r="958" hidden="1" s="59"/>
    <row r="959" hidden="1" s="59"/>
    <row r="960" hidden="1" s="59"/>
    <row r="961" hidden="1" s="59"/>
    <row r="962" hidden="1" s="59"/>
    <row r="963" hidden="1" s="59"/>
    <row r="964" hidden="1" s="59"/>
    <row r="965" hidden="1" s="59"/>
    <row r="966" hidden="1" s="59"/>
    <row r="967" hidden="1" s="59"/>
    <row r="968" hidden="1" s="59"/>
    <row r="969" hidden="1" s="59"/>
    <row r="970" hidden="1" s="59"/>
    <row r="971" hidden="1" s="59"/>
    <row r="972" hidden="1" s="59"/>
    <row r="973" hidden="1" s="59"/>
    <row r="974" hidden="1" s="59"/>
    <row r="975" hidden="1" s="59"/>
    <row r="976" hidden="1" s="59"/>
    <row r="977" hidden="1" s="59"/>
    <row r="978" hidden="1" s="59"/>
    <row r="979" hidden="1" s="59"/>
    <row r="980" hidden="1" s="59"/>
    <row r="981" hidden="1" s="59"/>
    <row r="982" hidden="1" s="59"/>
    <row r="983" hidden="1" s="59"/>
    <row r="984" hidden="1" s="59"/>
    <row r="985" hidden="1" s="59"/>
    <row r="986" hidden="1" s="59"/>
    <row r="987" hidden="1" s="59"/>
    <row r="988" hidden="1" s="59"/>
    <row r="989" hidden="1" s="59"/>
    <row r="990" hidden="1" s="59"/>
    <row r="991" hidden="1" s="59"/>
    <row r="992" hidden="1" s="59"/>
    <row r="993" hidden="1" s="59"/>
    <row r="994" hidden="1" s="59"/>
    <row r="995" hidden="1" s="59"/>
    <row r="996" hidden="1" s="59"/>
    <row r="997" hidden="1" s="59"/>
    <row r="998" hidden="1" s="59"/>
    <row r="999" hidden="1" s="59"/>
    <row r="1000" hidden="1" s="59"/>
    <row r="1003" hidden="1" s="59"/>
    <row r="1004" hidden="1" s="59"/>
    <row r="1005" hidden="1" s="59"/>
    <row r="1006" hidden="1" s="59"/>
    <row r="1007" hidden="1" s="59"/>
    <row r="1008" hidden="1" s="59"/>
    <row r="1009" hidden="1" s="59"/>
    <row r="1010" hidden="1" s="59"/>
    <row r="1011" hidden="1" s="59"/>
    <row r="1012" hidden="1" s="59"/>
    <row r="1013" hidden="1" s="59"/>
    <row r="1014" hidden="1" s="59"/>
    <row r="1015" hidden="1" s="59"/>
    <row r="1016" hidden="1" s="59"/>
    <row r="1017" hidden="1" s="59"/>
    <row r="1018" hidden="1" s="59"/>
    <row r="1019" hidden="1" s="59"/>
    <row r="1020" hidden="1" s="59"/>
    <row r="1021" hidden="1" s="59"/>
    <row r="1022" hidden="1" s="59"/>
    <row r="1023" hidden="1" s="59"/>
    <row r="1024" hidden="1" s="59"/>
    <row r="1025" hidden="1" s="59"/>
    <row r="1026" hidden="1" s="59"/>
    <row r="1027" hidden="1" s="59"/>
    <row r="1028" hidden="1" s="59"/>
    <row r="1029" hidden="1" s="59"/>
    <row r="1030" hidden="1" s="59"/>
    <row r="1031" hidden="1" s="59"/>
    <row r="1032" hidden="1" s="59"/>
    <row r="1033" hidden="1" s="59"/>
    <row r="1034" hidden="1" s="59"/>
    <row r="1035" hidden="1" s="59"/>
    <row r="1036" hidden="1" s="59"/>
    <row r="1037" hidden="1" s="59"/>
    <row r="1038" hidden="1" s="59"/>
    <row r="1039" hidden="1" s="59"/>
    <row r="1040" hidden="1" s="59"/>
    <row r="1041" hidden="1" s="59"/>
    <row r="1042" hidden="1" s="59"/>
    <row r="1043" hidden="1" s="59"/>
    <row r="1044" hidden="1" s="59"/>
    <row r="1045" hidden="1" s="59"/>
    <row r="1046" hidden="1" s="59"/>
    <row r="1047" hidden="1" s="59"/>
    <row r="1049" hidden="1" s="59"/>
    <row r="1050" hidden="1" s="59"/>
    <row r="1051" hidden="1" s="59"/>
    <row r="1052" hidden="1" s="59"/>
    <row r="1053" hidden="1" s="59"/>
    <row r="1054" hidden="1" s="59"/>
    <row r="1055" hidden="1" s="59"/>
    <row r="1056" hidden="1" s="59"/>
    <row r="1057" hidden="1" s="59"/>
    <row r="1058" hidden="1" s="59"/>
    <row r="1059" hidden="1" s="59"/>
    <row r="1060" hidden="1" s="59"/>
    <row r="1061" hidden="1" s="59"/>
    <row r="1062" hidden="1" s="59"/>
    <row r="1063" hidden="1" s="59"/>
    <row r="1064" hidden="1" s="59"/>
    <row r="1065" hidden="1" s="59"/>
    <row r="1066" hidden="1" s="59"/>
    <row r="1067" hidden="1" s="59"/>
    <row r="1068" hidden="1" s="59"/>
    <row r="1069" hidden="1" s="59"/>
    <row r="1070" hidden="1" s="59"/>
    <row r="1071" hidden="1" s="59"/>
    <row r="1072" hidden="1" s="59"/>
    <row r="1073" hidden="1" s="59"/>
    <row r="1074" hidden="1" s="59"/>
    <row r="1075" hidden="1" s="59"/>
    <row r="1076" hidden="1" s="59"/>
    <row r="1077" hidden="1" s="59"/>
    <row r="1078" hidden="1" s="59"/>
    <row r="1079" hidden="1" s="59"/>
    <row r="1080" hidden="1" s="59"/>
    <row r="1081" hidden="1" s="59"/>
    <row r="1082" hidden="1" s="59"/>
    <row r="1083" hidden="1" s="59"/>
    <row r="1084" hidden="1" s="59"/>
    <row r="1085" hidden="1" s="59"/>
    <row r="1086" hidden="1" s="59"/>
    <row r="1087" hidden="1" s="59"/>
    <row r="1088" hidden="1" s="59"/>
    <row r="1089" hidden="1" s="59"/>
    <row r="1090" hidden="1" s="59"/>
    <row r="1091" hidden="1" s="59"/>
    <row r="1092" hidden="1" s="59"/>
    <row r="1093" hidden="1" s="59"/>
    <row r="1094" hidden="1" s="59"/>
    <row r="1095" hidden="1" s="59"/>
    <row r="1096" hidden="1" s="59"/>
    <row r="1097" hidden="1" s="59"/>
    <row r="1098" hidden="1" s="59"/>
    <row r="1099" hidden="1" s="59"/>
    <row r="1100" hidden="1" s="59"/>
    <row r="1101" hidden="1" s="59"/>
    <row r="1102" hidden="1" s="59"/>
    <row r="1103" hidden="1" s="59"/>
    <row r="1104" hidden="1" s="59"/>
    <row r="1105" hidden="1" s="59"/>
    <row r="1106" hidden="1" s="59"/>
    <row r="1107" hidden="1" s="59"/>
    <row r="1108" hidden="1" s="59"/>
    <row r="1109" hidden="1" s="59"/>
    <row r="1110" hidden="1" s="59"/>
    <row r="1111" hidden="1" s="59"/>
    <row r="1112" hidden="1" s="59"/>
    <row r="1113" hidden="1" s="59"/>
    <row r="1114" hidden="1" s="59"/>
    <row r="1115" hidden="1" s="59"/>
    <row r="1116" hidden="1" s="59"/>
    <row r="1117" hidden="1" s="59"/>
    <row r="1118" hidden="1" s="59"/>
    <row r="1119" hidden="1" s="59"/>
    <row r="1120" hidden="1" s="59"/>
    <row r="1121" hidden="1" s="59"/>
    <row r="1122" hidden="1" s="59"/>
    <row r="1123" hidden="1" s="59"/>
    <row r="1124" hidden="1" s="59"/>
    <row r="1125" hidden="1" s="59"/>
    <row r="1126" hidden="1" s="59"/>
    <row r="1127" hidden="1" s="59"/>
    <row r="1128" hidden="1" s="59"/>
    <row r="1129" hidden="1" s="59"/>
    <row r="1130" hidden="1" s="59"/>
    <row r="1131" hidden="1" s="59"/>
    <row r="1132" hidden="1" s="59"/>
    <row r="1133" hidden="1" s="59"/>
    <row r="1134" hidden="1" s="59"/>
    <row r="1135" hidden="1" s="59"/>
    <row r="1136" hidden="1" s="59"/>
    <row r="1137" hidden="1" s="59"/>
    <row r="1138" hidden="1" s="59"/>
    <row r="1139" hidden="1" s="59"/>
    <row r="1140" hidden="1" s="59"/>
    <row r="1141" hidden="1" s="59"/>
    <row r="1142" hidden="1" s="59"/>
    <row r="1143" hidden="1" s="59"/>
    <row r="1144" hidden="1" s="59"/>
    <row r="1145" hidden="1" s="59"/>
    <row r="1146" hidden="1" s="59"/>
    <row r="1147" hidden="1" s="59"/>
    <row r="1148" hidden="1" s="59"/>
    <row r="1149" hidden="1" s="59"/>
    <row r="1150" hidden="1" s="59"/>
    <row r="1151" hidden="1" s="59"/>
    <row r="1152" hidden="1" s="59"/>
    <row r="1153" hidden="1" s="59"/>
    <row r="1154" hidden="1" s="59"/>
    <row r="1155" hidden="1" s="59"/>
    <row r="1156" hidden="1" s="59"/>
    <row r="1157" hidden="1" s="59"/>
    <row r="1158" hidden="1" s="59"/>
    <row r="1159" hidden="1" s="59"/>
    <row r="1160" hidden="1" s="59"/>
    <row r="1161" hidden="1" s="59"/>
    <row r="1162" hidden="1" s="59"/>
    <row r="1163" hidden="1" s="59"/>
    <row r="1164" hidden="1" s="59"/>
    <row r="1165" hidden="1" s="59"/>
    <row r="1167" hidden="1" s="59"/>
    <row r="1168" hidden="1" s="59"/>
    <row r="1169" hidden="1" s="59"/>
    <row r="1170" hidden="1" s="59"/>
    <row r="1171" hidden="1" s="59"/>
    <row r="1172" hidden="1" s="59"/>
    <row r="1173" hidden="1" s="59"/>
    <row r="1174" hidden="1" s="59"/>
    <row r="1175" hidden="1" s="59"/>
    <row r="1176" hidden="1" s="59"/>
    <row r="1177" hidden="1" s="59"/>
    <row r="1178" hidden="1" s="59"/>
    <row r="1179" hidden="1" s="59"/>
    <row r="1180" hidden="1" s="59"/>
    <row r="1181" hidden="1" s="59"/>
    <row r="1182" hidden="1" s="59"/>
    <row r="1183" hidden="1" s="59"/>
    <row r="1184" hidden="1" s="59"/>
    <row r="1185" hidden="1" s="59"/>
    <row r="1186" hidden="1" s="59"/>
    <row r="1187" hidden="1" s="59"/>
    <row r="1188" hidden="1" s="59"/>
    <row r="1189" hidden="1" s="59"/>
    <row r="1190" hidden="1" s="59"/>
    <row r="1191" hidden="1" s="59"/>
    <row r="1192" hidden="1" s="59"/>
    <row r="1193" hidden="1" s="59"/>
    <row r="1194" hidden="1" s="59"/>
    <row r="1195" hidden="1" s="59"/>
    <row r="1196" hidden="1" s="59"/>
    <row r="1197" hidden="1" s="59"/>
    <row r="1198" hidden="1" s="59"/>
    <row r="1199" hidden="1" s="59"/>
    <row r="1200" hidden="1" s="59"/>
    <row r="1201" hidden="1" s="59"/>
    <row r="1202" hidden="1" s="59"/>
    <row r="1203" hidden="1" s="59"/>
    <row r="1204" hidden="1" s="59"/>
    <row r="1205" hidden="1" s="59"/>
    <row r="1206" hidden="1" s="59"/>
    <row r="1207" hidden="1" s="59"/>
    <row r="1208" hidden="1" s="59"/>
    <row r="1209" hidden="1" s="59"/>
    <row r="1210" hidden="1" s="59"/>
    <row r="1211" hidden="1" s="59"/>
    <row r="1213" hidden="1" s="59"/>
    <row r="1214" hidden="1" s="59"/>
    <row r="1215" hidden="1" s="59"/>
    <row r="1216" hidden="1" s="59"/>
    <row r="1217" hidden="1" s="59"/>
    <row r="1218" hidden="1" s="59"/>
    <row r="1219" hidden="1" s="59"/>
    <row r="1220" hidden="1" s="59"/>
    <row r="1221" hidden="1" s="59"/>
    <row r="1222" hidden="1" s="59"/>
    <row r="1223" hidden="1" s="59"/>
    <row r="1224" hidden="1" s="59"/>
    <row r="1225" hidden="1" s="59"/>
    <row r="1226" hidden="1" s="59"/>
    <row r="1227" hidden="1" s="59"/>
    <row r="1228" hidden="1" s="59"/>
    <row r="1229" hidden="1" s="59"/>
    <row r="1230" hidden="1" s="59"/>
    <row r="1231" hidden="1" s="59"/>
    <row r="1232" hidden="1" s="59"/>
    <row r="1233" hidden="1" s="59"/>
    <row r="1236" hidden="1" s="59"/>
    <row r="1237" hidden="1" s="59"/>
    <row r="1238" hidden="1" s="59"/>
    <row r="1239" hidden="1" s="59"/>
    <row r="1240" hidden="1" s="59"/>
    <row r="1241" hidden="1" s="59"/>
    <row r="1242" hidden="1" s="59"/>
    <row r="1243" hidden="1" s="59"/>
    <row r="1244" hidden="1" s="59"/>
    <row r="1245" hidden="1" s="59"/>
    <row r="1246" hidden="1" s="59"/>
    <row r="1247" hidden="1" s="59"/>
    <row r="1248" hidden="1" s="59"/>
    <row r="1249" hidden="1" s="59"/>
    <row r="1250" hidden="1" s="59"/>
    <row r="1251" hidden="1" s="59"/>
    <row r="1252" hidden="1" s="59"/>
    <row r="1253" hidden="1" s="59"/>
    <row r="1254" hidden="1" s="59"/>
    <row r="1255" hidden="1" s="59"/>
    <row r="1256" hidden="1" s="59"/>
    <row r="1257" hidden="1" s="59"/>
    <row r="1258" hidden="1" s="59"/>
    <row r="1259" hidden="1" s="59"/>
    <row r="1260" hidden="1" s="59"/>
    <row r="1261" hidden="1" s="59"/>
    <row r="1262" hidden="1" s="59"/>
    <row r="1263" hidden="1" s="59"/>
    <row r="1264" hidden="1" s="59"/>
    <row r="1265" hidden="1" s="59"/>
    <row r="1266" hidden="1" s="59"/>
    <row r="1267" hidden="1" s="59"/>
    <row r="1268" hidden="1" s="59"/>
    <row r="1269" hidden="1" s="59"/>
    <row r="1270" hidden="1" s="59"/>
    <row r="1271" hidden="1" s="59"/>
    <row r="1272" hidden="1" s="59"/>
    <row r="1273" hidden="1" s="59"/>
    <row r="1274" hidden="1" s="59"/>
    <row r="1275" hidden="1" s="59"/>
    <row r="1276" hidden="1" s="59"/>
    <row r="1277" hidden="1" s="59"/>
    <row r="1278" hidden="1" s="59"/>
    <row r="1279" hidden="1" s="59"/>
    <row r="1280" hidden="1" s="59"/>
    <row r="1281" hidden="1" s="59"/>
    <row r="1282" hidden="1" s="59"/>
    <row r="1283" hidden="1" s="59"/>
    <row r="1284" hidden="1" s="59"/>
    <row r="1285" hidden="1" s="59"/>
    <row r="1286" hidden="1" s="59"/>
    <row r="1287" hidden="1" s="59"/>
    <row r="1288" hidden="1" s="59"/>
    <row r="1289" hidden="1" s="59"/>
    <row r="1290" hidden="1" s="59"/>
    <row r="1291" hidden="1" s="59"/>
    <row r="1292" hidden="1" s="59"/>
    <row r="1293" hidden="1" s="59"/>
    <row r="1294" hidden="1" s="59"/>
    <row r="1295" hidden="1" s="59"/>
    <row r="1296" hidden="1" s="59"/>
    <row r="1297" hidden="1" s="59"/>
    <row r="1298" hidden="1" s="59"/>
    <row r="1299" hidden="1" s="59"/>
    <row r="1300" hidden="1" s="59"/>
    <row r="1301" hidden="1" s="59"/>
    <row r="1302" hidden="1" s="59"/>
    <row r="1303" hidden="1" s="59"/>
    <row r="1304" hidden="1" s="59"/>
    <row r="1305" hidden="1" s="59"/>
    <row r="1306" hidden="1" s="59"/>
    <row r="1307" hidden="1" s="59"/>
    <row r="1308" hidden="1" s="59"/>
    <row r="1309" hidden="1" s="59"/>
    <row r="1310" hidden="1" s="59"/>
    <row r="1311" hidden="1" s="59"/>
    <row r="1312" hidden="1" s="59"/>
    <row r="1313" hidden="1" s="59"/>
    <row r="1314" hidden="1" s="59"/>
    <row r="1315" hidden="1" s="59"/>
    <row r="1316" hidden="1" s="59"/>
    <row r="1317" hidden="1" s="59"/>
    <row r="1318" hidden="1" s="59"/>
    <row r="1319" hidden="1" s="59"/>
    <row r="1320" hidden="1" s="59"/>
    <row r="1321" hidden="1" s="59"/>
    <row r="1322" hidden="1" s="59"/>
    <row r="1323" hidden="1" s="59"/>
    <row r="1324" hidden="1" s="59"/>
    <row r="1325" hidden="1" s="59"/>
    <row r="1326" hidden="1" s="59"/>
    <row r="1327" hidden="1" s="59"/>
    <row r="1328" hidden="1" s="59"/>
    <row r="1329" hidden="1" s="59"/>
    <row r="1330" hidden="1" s="59"/>
    <row r="1331" hidden="1" s="59"/>
    <row r="1332" hidden="1" s="59"/>
    <row r="1333" hidden="1" s="59"/>
    <row r="1334" hidden="1" s="59"/>
    <row r="1335" hidden="1" s="59"/>
    <row r="1336" hidden="1" s="59"/>
    <row r="1337" hidden="1" s="59"/>
    <row r="1338" hidden="1" s="59"/>
    <row r="1339" hidden="1" s="59"/>
    <row r="1340" hidden="1" s="59"/>
    <row r="1341" hidden="1" s="59"/>
    <row r="1342" hidden="1" s="59"/>
    <row r="1343" hidden="1" s="59"/>
    <row r="1344" hidden="1" s="59"/>
    <row r="1345" hidden="1" s="59"/>
    <row r="1346" hidden="1" s="59"/>
    <row r="1347" hidden="1" s="59"/>
    <row r="1348" hidden="1" s="59"/>
    <row r="1349" hidden="1" s="59"/>
    <row r="1350" hidden="1" s="59"/>
    <row r="1351" hidden="1" s="59"/>
    <row r="1352" hidden="1" s="59"/>
    <row r="1353" hidden="1" s="59"/>
    <row r="1354" hidden="1" s="59"/>
    <row r="1355" hidden="1" s="59"/>
    <row r="1356" hidden="1" s="59"/>
    <row r="1357" hidden="1" s="59"/>
    <row r="1358" hidden="1" s="59"/>
    <row r="1359" hidden="1" s="59"/>
    <row r="1360" hidden="1" s="59"/>
    <row r="1361" hidden="1" s="59"/>
    <row r="1362" hidden="1" s="59"/>
    <row r="1363" hidden="1" s="59"/>
    <row r="1366" hidden="1" s="59"/>
    <row r="1368" hidden="1" s="59"/>
    <row r="1369" hidden="1" s="59"/>
    <row r="1370" hidden="1" s="59"/>
    <row r="1371" hidden="1" s="59"/>
    <row r="1372" hidden="1" s="59"/>
    <row r="1373" hidden="1" s="59"/>
    <row r="1374" hidden="1" s="59"/>
    <row r="1375" hidden="1" s="59"/>
    <row r="1376" hidden="1" s="59"/>
    <row r="1377" hidden="1" s="59"/>
    <row r="1378" hidden="1" s="59"/>
    <row r="1379" hidden="1" s="59"/>
    <row r="1380" hidden="1" s="59"/>
    <row r="1381" hidden="1" s="59"/>
    <row r="1382" hidden="1" s="59"/>
    <row r="1383" hidden="1" s="59"/>
    <row r="1384" hidden="1" s="59"/>
    <row r="1386" hidden="1" s="59"/>
    <row r="1387" hidden="1" s="59"/>
    <row r="1388" hidden="1" s="59"/>
    <row r="1389" hidden="1" s="59"/>
    <row r="1390" hidden="1" s="59"/>
    <row r="1391" hidden="1" s="59"/>
    <row r="1392" hidden="1" s="59"/>
    <row r="1393" hidden="1" s="59"/>
    <row r="1394" hidden="1" s="59"/>
    <row r="1395" hidden="1" s="59"/>
    <row r="1396" hidden="1" s="59"/>
    <row r="1397" hidden="1" s="59"/>
    <row r="1398" hidden="1" s="59"/>
    <row r="1399" hidden="1" s="59"/>
    <row r="1401" hidden="1" s="59"/>
    <row r="1402" hidden="1" s="59"/>
    <row r="1403" hidden="1" s="59"/>
    <row r="1404" hidden="1" s="59"/>
    <row r="1405" hidden="1" s="59"/>
    <row r="1406" hidden="1" s="59"/>
    <row r="1407" hidden="1" s="59"/>
    <row r="1408" hidden="1" s="59"/>
    <row r="1409" hidden="1" s="59"/>
    <row r="1410" hidden="1" s="59"/>
    <row r="1411" hidden="1" s="59"/>
    <row r="1412" hidden="1" s="59"/>
    <row r="1413" hidden="1" s="59"/>
    <row r="1414" hidden="1" s="59"/>
    <row r="1415" hidden="1" s="59"/>
    <row r="1416" hidden="1" s="59"/>
    <row r="1417" hidden="1" s="59"/>
    <row r="1418" hidden="1" s="59"/>
    <row r="1419" hidden="1" s="59"/>
    <row r="1420" hidden="1" s="59"/>
    <row r="1421" hidden="1" s="59"/>
    <row r="1422" hidden="1" s="59"/>
    <row r="1423" hidden="1" s="59"/>
    <row r="1424" hidden="1" s="59"/>
    <row r="1426" hidden="1" s="59"/>
    <row r="1427" hidden="1" s="59"/>
    <row r="1428" hidden="1" s="59"/>
    <row r="1429" hidden="1" s="59"/>
    <row r="1430" hidden="1" s="59"/>
    <row r="1431" hidden="1" s="59"/>
    <row r="1432" hidden="1" s="59"/>
    <row r="1433" hidden="1" s="59"/>
    <row r="1434" hidden="1" s="59"/>
    <row r="1436" hidden="1" s="59"/>
    <row r="1437" hidden="1" s="59"/>
    <row r="1438" hidden="1" s="59"/>
    <row r="1439" hidden="1" s="59"/>
    <row r="1440" hidden="1" s="59"/>
    <row r="1441" hidden="1" s="59"/>
    <row r="1442" hidden="1" s="59"/>
    <row r="1443" hidden="1" s="59"/>
    <row r="1444" hidden="1" s="59"/>
    <row r="1445" hidden="1" s="59"/>
    <row r="1446" hidden="1" s="59"/>
    <row r="1448" hidden="1" s="59"/>
    <row r="1449" hidden="1" s="59"/>
    <row r="1450" hidden="1" s="59"/>
    <row r="1451" hidden="1" s="59"/>
    <row r="1452" hidden="1" s="59"/>
    <row r="1453" hidden="1" s="59"/>
    <row r="1454" hidden="1" s="59"/>
    <row r="1455" hidden="1" s="59"/>
    <row r="1456" hidden="1" s="59"/>
    <row r="1457" hidden="1" s="59"/>
    <row r="1458" hidden="1" s="59"/>
    <row r="1459" hidden="1" s="59"/>
    <row r="1460" hidden="1" s="59"/>
    <row r="1461" hidden="1" s="59"/>
    <row r="1462" hidden="1" s="59"/>
    <row r="1463" hidden="1" s="59"/>
    <row r="1464" hidden="1" s="59"/>
    <row r="1465" hidden="1" s="59"/>
    <row r="1466" hidden="1" s="59"/>
    <row r="1467" hidden="1" s="59"/>
    <row r="1468" hidden="1" s="59"/>
    <row r="1469" hidden="1" s="59"/>
    <row r="1470" hidden="1" s="59"/>
    <row r="1471" hidden="1" s="59"/>
    <row r="1472" hidden="1" s="59"/>
    <row r="1473" hidden="1" s="59"/>
    <row r="1474" hidden="1" s="59"/>
    <row r="1475" hidden="1" s="59"/>
    <row r="1476" hidden="1" s="59"/>
    <row r="1477" hidden="1" s="59"/>
    <row r="1478" hidden="1" s="59"/>
    <row r="1479" hidden="1" s="59"/>
    <row r="1480" hidden="1" s="59"/>
    <row r="1481" hidden="1" s="59"/>
    <row r="1482" hidden="1" s="59"/>
    <row r="1483" hidden="1" s="59"/>
    <row r="1484" hidden="1" s="59"/>
    <row r="1485" hidden="1" s="59"/>
    <row r="1486" hidden="1" s="59"/>
    <row r="1487" hidden="1" s="59"/>
    <row r="1488" hidden="1" s="59"/>
    <row r="1489" hidden="1" s="59"/>
    <row r="1490" hidden="1" s="59"/>
    <row r="1491" hidden="1" s="59"/>
    <row r="1492" hidden="1" s="59"/>
    <row r="1493" hidden="1" s="59"/>
    <row r="1494" hidden="1" s="59"/>
    <row r="1495" hidden="1" s="59"/>
    <row r="1496" hidden="1" s="59"/>
    <row r="1497" hidden="1" s="59"/>
    <row r="1498" hidden="1" s="59"/>
    <row r="1499" hidden="1" s="59"/>
    <row r="1500" hidden="1" s="59"/>
    <row r="1501" hidden="1" s="59"/>
    <row r="1502" hidden="1" s="59"/>
    <row r="1503" hidden="1" s="59"/>
    <row r="1504" hidden="1" s="59"/>
    <row r="1505" hidden="1" s="59"/>
    <row r="1506" hidden="1" s="59"/>
    <row r="1507" hidden="1" s="59"/>
    <row r="1508" hidden="1" s="59"/>
    <row r="1509" hidden="1" s="59"/>
    <row r="1510" hidden="1" s="59"/>
    <row r="1511" hidden="1" s="59"/>
    <row r="1512" hidden="1" s="59"/>
    <row r="1513" hidden="1" s="59"/>
    <row r="1514" hidden="1" s="59"/>
    <row r="1515" hidden="1" s="59"/>
    <row r="1516" hidden="1" s="59"/>
    <row r="1517" hidden="1" s="59"/>
    <row r="1518" hidden="1" s="59"/>
    <row r="1519" hidden="1" s="59"/>
    <row r="1520" hidden="1" s="59"/>
    <row r="1521" hidden="1" s="59"/>
    <row r="1522" hidden="1" s="59"/>
    <row r="1523" hidden="1" s="59"/>
    <row r="1524" hidden="1" s="59"/>
    <row r="1525" hidden="1" s="59"/>
    <row r="1526" hidden="1" s="59"/>
    <row r="1527" hidden="1" s="59"/>
    <row r="1528" hidden="1" s="59"/>
    <row r="1529" hidden="1" s="59"/>
    <row r="1530" hidden="1" s="59"/>
    <row r="1531" hidden="1" s="59"/>
    <row r="1532" hidden="1" s="59"/>
    <row r="1533" hidden="1" s="59"/>
    <row r="1534" hidden="1" s="59"/>
    <row r="1535" hidden="1" s="59"/>
    <row r="1536" hidden="1" s="59"/>
    <row r="1537" hidden="1" s="59"/>
    <row r="1538" hidden="1" s="59"/>
    <row r="1539" hidden="1" s="59"/>
    <row r="1540" hidden="1" s="59"/>
    <row r="1541" hidden="1" s="59"/>
    <row r="1542" hidden="1" s="59"/>
    <row r="1543" hidden="1" s="59"/>
    <row r="1544" hidden="1" s="59"/>
    <row r="1545" hidden="1" s="59"/>
    <row r="1546" hidden="1" s="59"/>
    <row r="1547" hidden="1" s="59"/>
    <row r="1548" hidden="1" s="59"/>
    <row r="1549" hidden="1" s="59"/>
    <row r="1550" hidden="1" s="59"/>
    <row r="1551" hidden="1" s="59"/>
    <row r="1552" hidden="1" s="59"/>
    <row r="1553" hidden="1" s="59"/>
    <row r="1554" hidden="1" s="59"/>
    <row r="1555" hidden="1" s="59"/>
    <row r="1556" hidden="1" s="59"/>
    <row r="1557" hidden="1" s="59"/>
    <row r="1558" hidden="1" s="59"/>
    <row r="1559" hidden="1" s="59"/>
    <row r="1560" hidden="1" s="59"/>
    <row r="1561" hidden="1" s="59"/>
    <row r="1562" hidden="1" s="59"/>
    <row r="1563" hidden="1" s="59"/>
    <row r="1564" hidden="1" s="59"/>
    <row r="1565" hidden="1" s="59"/>
    <row r="1566" hidden="1" s="59"/>
    <row r="1567" hidden="1" s="59"/>
    <row r="1568" hidden="1" s="59"/>
    <row r="1569" hidden="1" s="59"/>
    <row r="1570" hidden="1" s="59"/>
    <row r="1571" hidden="1" s="59"/>
    <row r="1572" hidden="1" s="59"/>
    <row r="1573" hidden="1" s="59"/>
    <row r="1574" hidden="1" s="59"/>
    <row r="1575" hidden="1" s="59"/>
    <row r="1576" hidden="1" s="59"/>
    <row r="1577" hidden="1" s="59"/>
    <row r="1578" hidden="1" s="59"/>
    <row r="1579" hidden="1" s="59"/>
    <row r="1580" hidden="1" s="59"/>
    <row r="1581" hidden="1" s="59"/>
    <row r="1582" hidden="1" s="59"/>
    <row r="1583" hidden="1" s="59"/>
    <row r="1584" hidden="1" s="59"/>
    <row r="1585" hidden="1" s="59"/>
    <row r="1586" hidden="1" s="59"/>
    <row r="1587" hidden="1" s="59"/>
    <row r="1588" hidden="1" s="59"/>
    <row r="1589" hidden="1" s="59"/>
    <row r="1590" hidden="1" s="59"/>
    <row r="1591" hidden="1" s="59"/>
    <row r="1592" hidden="1" s="59"/>
    <row r="1593" hidden="1" s="59"/>
    <row r="1594" hidden="1" s="59"/>
    <row r="1595" hidden="1" s="59"/>
    <row r="1596" hidden="1" s="59"/>
    <row r="1597" hidden="1" s="59"/>
    <row r="1598" hidden="1" s="59"/>
    <row r="1599" hidden="1" s="59"/>
    <row r="1600" hidden="1" s="59"/>
    <row r="1601" hidden="1" s="59"/>
    <row r="1602" hidden="1" s="59"/>
    <row r="1603" hidden="1" s="59"/>
    <row r="1604" hidden="1" s="59"/>
    <row r="1605" hidden="1" s="59"/>
    <row r="1606" hidden="1" s="59"/>
    <row r="1607" hidden="1" s="59"/>
    <row r="1608" hidden="1" s="59"/>
    <row r="1609" hidden="1" s="59"/>
    <row r="1610" hidden="1" s="59"/>
    <row r="1611" hidden="1" s="59"/>
    <row r="1612" hidden="1" s="59"/>
    <row r="1613" hidden="1" s="59"/>
    <row r="1614" hidden="1" s="59"/>
    <row r="1615" hidden="1" s="59"/>
    <row r="1616" hidden="1" s="59"/>
    <row r="1617" hidden="1" s="59"/>
    <row r="1618" hidden="1" s="59"/>
    <row r="1619" hidden="1" s="59"/>
    <row r="1620" hidden="1" s="59"/>
    <row r="1621" hidden="1" s="59"/>
    <row r="1622" hidden="1" s="59"/>
    <row r="1623" hidden="1" s="59"/>
    <row r="1624" hidden="1" s="59"/>
    <row r="1625" hidden="1" s="59"/>
    <row r="1626" hidden="1" s="59"/>
    <row r="1627" hidden="1" s="59"/>
    <row r="1628" hidden="1" s="59"/>
    <row r="1629" hidden="1" s="59"/>
    <row r="1630" hidden="1" s="59"/>
    <row r="1631" hidden="1" s="59"/>
    <row r="1632" hidden="1" s="59"/>
    <row r="1633" hidden="1" s="59"/>
    <row r="1634" hidden="1" s="59"/>
    <row r="1635" hidden="1" s="59"/>
    <row r="1636" hidden="1" s="59"/>
    <row r="1637" hidden="1" s="59"/>
    <row r="1638" hidden="1" s="59"/>
    <row r="1639" hidden="1" s="59"/>
    <row r="1640" hidden="1" s="59"/>
    <row r="1641" hidden="1" s="59"/>
    <row r="1642" hidden="1" s="59"/>
    <row r="1643" hidden="1" s="59"/>
    <row r="1644" hidden="1" s="59"/>
    <row r="1645" hidden="1" s="59"/>
    <row r="1646" hidden="1" s="59"/>
    <row r="1647" hidden="1" s="59"/>
    <row r="1648" hidden="1" s="59"/>
    <row r="1649" hidden="1" s="59"/>
    <row r="1650" hidden="1" s="59"/>
    <row r="1651" hidden="1" s="59"/>
    <row r="1652" hidden="1" s="59"/>
    <row r="1653" hidden="1" s="59"/>
    <row r="1654" hidden="1" s="59"/>
    <row r="1655" hidden="1" s="59"/>
    <row r="1656" hidden="1" s="59"/>
    <row r="1657" hidden="1" s="59"/>
    <row r="1658" hidden="1" s="59"/>
    <row r="1659" hidden="1" s="59"/>
    <row r="1660" hidden="1" s="59"/>
    <row r="1661" hidden="1" s="59"/>
    <row r="1662" hidden="1" s="59"/>
    <row r="1663" hidden="1" s="59"/>
    <row r="1664" hidden="1" s="59"/>
    <row r="1665" hidden="1" s="59"/>
    <row r="1666" hidden="1" s="59"/>
    <row r="1667" hidden="1" s="59"/>
    <row r="1668" hidden="1" s="59"/>
    <row r="1669" hidden="1" s="59"/>
    <row r="1670" hidden="1" s="59"/>
    <row r="1671" hidden="1" s="59"/>
    <row r="1672" hidden="1" s="59"/>
    <row r="1673" hidden="1" s="59"/>
    <row r="1675" hidden="1" s="59"/>
    <row r="1676" hidden="1" s="59"/>
    <row r="1677" hidden="1" s="59"/>
    <row r="1678" hidden="1" s="59"/>
    <row r="1679" hidden="1" s="59"/>
    <row r="1680" hidden="1" s="59"/>
    <row r="1681" hidden="1" s="59"/>
    <row r="1682" hidden="1" s="59"/>
    <row r="1683" hidden="1" s="59"/>
    <row r="1684" hidden="1" s="59"/>
    <row r="1685" hidden="1" s="59"/>
    <row r="1686" hidden="1" s="59"/>
    <row r="1687" hidden="1" s="59"/>
    <row r="1688" hidden="1" s="59"/>
    <row r="1689" hidden="1" s="59"/>
    <row r="1690" hidden="1" s="59"/>
    <row r="1691" hidden="1" s="59"/>
    <row r="1692" hidden="1" s="59"/>
    <row r="1693" hidden="1" s="59"/>
    <row r="1694" hidden="1" s="59"/>
    <row r="1695" hidden="1" s="59"/>
    <row r="1696" hidden="1" s="59"/>
    <row r="1697" hidden="1" s="59"/>
    <row r="1698" hidden="1" s="59"/>
    <row r="1699" hidden="1" s="59"/>
    <row r="1700" hidden="1" s="59"/>
    <row r="1701" hidden="1" s="59"/>
    <row r="1702" hidden="1" s="59"/>
    <row r="1703" hidden="1" s="59"/>
    <row r="1704" hidden="1" s="59"/>
    <row r="1705" hidden="1" s="59"/>
    <row r="1706" hidden="1" s="59"/>
    <row r="1707" hidden="1" s="59"/>
    <row r="1708" hidden="1" s="59"/>
    <row r="1709" hidden="1" s="59"/>
    <row r="1710" hidden="1" s="59"/>
    <row r="1711" hidden="1" s="59"/>
    <row r="1712" hidden="1" s="59"/>
    <row r="1713" hidden="1" s="59"/>
    <row r="1714" hidden="1" s="59"/>
    <row r="1715" hidden="1" s="59"/>
    <row r="1716" hidden="1" s="59"/>
    <row r="1717" hidden="1" s="59"/>
    <row r="1718" hidden="1" s="59"/>
    <row r="1719" hidden="1" s="59"/>
    <row r="1720" hidden="1" s="59"/>
    <row r="1721" hidden="1" s="59"/>
    <row r="1722" hidden="1" s="59"/>
    <row r="1723" hidden="1" s="59"/>
    <row r="1724" hidden="1" s="59"/>
    <row r="1725" hidden="1" s="59"/>
    <row r="1726" hidden="1" s="59"/>
    <row r="1727" hidden="1" s="59"/>
    <row r="1728" hidden="1" s="59"/>
    <row r="1729" hidden="1" s="59"/>
    <row r="1730" hidden="1" s="59"/>
    <row r="1731" hidden="1" s="59"/>
    <row r="1735" hidden="1" s="59"/>
    <row r="1736" hidden="1" s="59"/>
    <row r="1737" hidden="1" s="59"/>
    <row r="1738" hidden="1" s="59"/>
    <row r="1739" hidden="1" s="59"/>
    <row r="1740" hidden="1" s="59"/>
    <row r="1741" hidden="1" s="59"/>
    <row r="1742" hidden="1" s="59"/>
    <row r="1743" hidden="1" s="59"/>
    <row r="1744" hidden="1" s="59"/>
    <row r="1745" hidden="1" s="59"/>
    <row r="1746" hidden="1" s="59"/>
    <row r="1747" hidden="1" s="59"/>
    <row r="1748" hidden="1" s="59"/>
    <row r="1749" hidden="1" s="59"/>
    <row r="1750" hidden="1" s="59"/>
    <row r="1751" hidden="1" s="59"/>
    <row r="1752" hidden="1" s="59"/>
    <row r="1753" hidden="1" s="59"/>
    <row r="1754" hidden="1" s="59"/>
    <row r="1755" hidden="1" s="59"/>
    <row r="1756" hidden="1" s="59"/>
    <row r="1757" hidden="1" s="59"/>
    <row r="1758" hidden="1" s="59"/>
    <row r="1759" hidden="1" s="59"/>
    <row r="1760" hidden="1" s="59"/>
    <row r="1761" hidden="1" s="59"/>
    <row r="1762" hidden="1" s="59"/>
    <row r="1763" hidden="1" s="59"/>
    <row r="1764" hidden="1" s="59"/>
    <row r="1765" hidden="1" s="59"/>
    <row r="1767" hidden="1" s="59"/>
    <row r="1768" hidden="1" s="59"/>
    <row r="1769" hidden="1" s="59"/>
    <row r="1770" hidden="1" s="59"/>
    <row r="1771" hidden="1" s="59"/>
    <row r="1772" hidden="1" s="59"/>
    <row r="1773" hidden="1" s="59"/>
    <row r="1774" hidden="1" s="59"/>
    <row r="1775" hidden="1" s="59"/>
    <row r="1776" hidden="1" s="59"/>
    <row r="1777" hidden="1" s="59"/>
    <row r="1778" hidden="1" s="59"/>
    <row r="1779" hidden="1" s="59"/>
    <row r="1780" hidden="1" s="59"/>
    <row r="1781" hidden="1" s="59"/>
    <row r="1782" hidden="1" s="59"/>
    <row r="1783" hidden="1" s="59"/>
    <row r="1784" hidden="1" s="59"/>
    <row r="1785" hidden="1" s="59"/>
    <row r="1786" hidden="1" s="59"/>
    <row r="1787" hidden="1" s="59"/>
    <row r="1788" hidden="1" s="59"/>
    <row r="1789" hidden="1" s="59"/>
    <row r="1790" hidden="1" s="59"/>
    <row r="1791" hidden="1" s="59"/>
    <row r="1792" hidden="1" s="59"/>
    <row r="1793" hidden="1" s="59"/>
    <row r="1794" hidden="1" s="59"/>
    <row r="1795" hidden="1" s="59"/>
    <row r="1796" hidden="1" s="59"/>
    <row r="1797" hidden="1" s="59"/>
    <row r="1798" hidden="1" s="59"/>
    <row r="1799" hidden="1" s="59"/>
    <row r="1800" hidden="1" s="59"/>
    <row r="1801" hidden="1" s="59"/>
    <row r="1802" hidden="1" s="59"/>
    <row r="1803" hidden="1" s="59"/>
    <row r="1804" hidden="1" s="59"/>
    <row r="1805" hidden="1" s="59"/>
    <row r="1806" hidden="1" s="59"/>
    <row r="1807" hidden="1" s="59"/>
    <row r="1808" hidden="1" s="59"/>
    <row r="1809" hidden="1" s="59"/>
    <row r="1810" hidden="1" s="59"/>
    <row r="1811" hidden="1" s="59"/>
    <row r="1812" hidden="1" s="59"/>
    <row r="1813" hidden="1" s="59"/>
    <row r="1814" hidden="1" s="59"/>
    <row r="1815" hidden="1" s="59"/>
    <row r="1816" hidden="1" s="59"/>
    <row r="1817" hidden="1" s="59"/>
    <row r="1818" hidden="1" s="59"/>
    <row r="1819" hidden="1" s="59"/>
    <row r="1820" hidden="1" s="59"/>
    <row r="1821" hidden="1" s="59"/>
    <row r="1822" hidden="1" s="59"/>
    <row r="1823" hidden="1" s="59"/>
    <row r="1824" hidden="1" s="59"/>
    <row r="1825" hidden="1" s="59"/>
    <row r="1826" hidden="1" s="59"/>
    <row r="1827" hidden="1" s="59"/>
    <row r="1828" hidden="1" s="59"/>
    <row r="1829" hidden="1" s="59"/>
    <row r="1830" hidden="1" s="59"/>
    <row r="1831" hidden="1" s="59"/>
    <row r="1832" hidden="1" s="59"/>
    <row r="1833" hidden="1" s="59"/>
    <row r="1834" hidden="1" s="59"/>
    <row r="1835" hidden="1" s="59"/>
    <row r="1836" hidden="1" s="59"/>
    <row r="1837" hidden="1" s="59"/>
    <row r="1838" hidden="1" s="59"/>
    <row r="1839" hidden="1" s="59"/>
    <row r="1840" hidden="1" s="59"/>
    <row r="1841" hidden="1" s="59"/>
    <row r="1842" hidden="1" s="59"/>
    <row r="1843" hidden="1" s="59"/>
    <row r="1844" hidden="1" s="59"/>
    <row r="1845" hidden="1" s="59"/>
    <row r="1846" hidden="1" s="59"/>
    <row r="1847" hidden="1" s="59"/>
    <row r="1848" hidden="1" s="59"/>
    <row r="1849" hidden="1" s="59"/>
    <row r="1850" hidden="1" s="59"/>
    <row r="1851" hidden="1" s="59"/>
    <row r="1852" hidden="1" s="59"/>
    <row r="1853" hidden="1" s="59"/>
    <row r="1854" hidden="1" s="59"/>
    <row r="1855" hidden="1" s="59"/>
    <row r="1856" hidden="1" s="59"/>
    <row r="1857" hidden="1" s="59"/>
    <row r="1858" hidden="1" s="59"/>
    <row r="1859" hidden="1" s="59"/>
    <row r="1860" hidden="1" s="59"/>
    <row r="1861" hidden="1" s="59"/>
    <row r="1862" hidden="1" s="59"/>
    <row r="1863" hidden="1" s="59"/>
    <row r="1864" hidden="1" s="59"/>
    <row r="1865" hidden="1" s="59"/>
    <row r="1866" hidden="1" s="59"/>
    <row r="1867" hidden="1" s="59"/>
    <row r="1868" hidden="1" s="59"/>
    <row r="1869" hidden="1" s="59"/>
    <row r="1870" hidden="1" s="59"/>
    <row r="1871" hidden="1" s="59"/>
    <row r="1872" hidden="1" s="59"/>
    <row r="1873" hidden="1" s="59"/>
    <row r="1874" hidden="1" s="59"/>
    <row r="1875" hidden="1" s="59"/>
    <row r="1876" hidden="1" s="59"/>
    <row r="1877" hidden="1" s="59"/>
    <row r="1878" hidden="1" s="59"/>
    <row r="1879" hidden="1" s="59"/>
    <row r="1880" hidden="1" s="59"/>
    <row r="1881" hidden="1" s="59"/>
    <row r="1882" hidden="1" s="59"/>
    <row r="1883" hidden="1" s="59"/>
    <row r="1884" hidden="1" s="59"/>
    <row r="1885" hidden="1" s="59"/>
    <row r="1886" hidden="1" s="59"/>
    <row r="1887" hidden="1" s="59"/>
    <row r="1888" hidden="1" s="59"/>
    <row r="1889" hidden="1" s="59"/>
    <row r="1890" hidden="1" s="59"/>
    <row r="1891" hidden="1" s="59"/>
    <row r="1892" hidden="1" s="59"/>
    <row r="1893" hidden="1" s="59"/>
    <row r="1894" hidden="1" s="59"/>
    <row r="1895" hidden="1" s="59"/>
    <row r="1896" hidden="1" s="59"/>
    <row r="1897" hidden="1" s="59"/>
    <row r="1898" hidden="1" s="59"/>
    <row r="1899" hidden="1" s="59"/>
    <row r="1900" hidden="1" s="59"/>
    <row r="1901" hidden="1" s="59"/>
    <row r="1902" hidden="1" s="59"/>
    <row r="1903" hidden="1" s="59"/>
    <row r="1904" hidden="1" s="59"/>
    <row r="1905" hidden="1" s="59"/>
    <row r="1906" hidden="1" s="59"/>
    <row r="1907" hidden="1" s="59"/>
    <row r="1908" hidden="1" s="59"/>
    <row r="1909" hidden="1" s="59"/>
    <row r="1910" hidden="1" s="59"/>
    <row r="1911" hidden="1" s="59"/>
    <row r="1912" hidden="1" s="59"/>
    <row r="1913" hidden="1" s="59"/>
    <row r="1914" hidden="1" s="59"/>
    <row r="1915" hidden="1" s="59"/>
    <row r="1916" hidden="1" s="59"/>
    <row r="1917" hidden="1" s="59"/>
    <row r="1918" hidden="1" s="59"/>
    <row r="1919" hidden="1" s="59"/>
    <row r="1920" hidden="1" s="59"/>
    <row r="1921" hidden="1" s="59"/>
    <row r="1922" hidden="1" s="59"/>
    <row r="1923" hidden="1" s="59"/>
    <row r="1924" hidden="1" s="59"/>
    <row r="1925" hidden="1" s="59"/>
    <row r="1926" hidden="1" s="59"/>
    <row r="1927" hidden="1" s="59"/>
    <row r="1928" hidden="1" s="59"/>
    <row r="1929" hidden="1" s="59"/>
    <row r="1930" hidden="1" s="59"/>
    <row r="1931" hidden="1" s="59"/>
    <row r="1932" hidden="1" s="59"/>
    <row r="1933" hidden="1" s="59"/>
    <row r="1934" hidden="1" s="59"/>
    <row r="1935" hidden="1" s="59"/>
    <row r="1936" hidden="1" s="59"/>
    <row r="1937" hidden="1" s="59"/>
    <row r="1938" hidden="1" s="59"/>
    <row r="1939" hidden="1" s="59"/>
    <row r="1940" hidden="1" s="59"/>
    <row r="1941" hidden="1" s="59"/>
    <row r="1942" hidden="1" s="59"/>
    <row r="1943" hidden="1" s="59"/>
    <row r="1944" hidden="1" s="59"/>
    <row r="1945" hidden="1" s="59"/>
    <row r="1946" hidden="1" s="59"/>
    <row r="1947" hidden="1" s="59"/>
    <row r="1948" hidden="1" s="59"/>
    <row r="1949" hidden="1" s="59"/>
    <row r="1950" hidden="1" s="59"/>
    <row r="1951" hidden="1" s="59"/>
    <row r="1952" hidden="1" s="59"/>
    <row r="1953" hidden="1" s="59"/>
    <row r="1954" hidden="1" s="59"/>
    <row r="1955" hidden="1" s="59"/>
    <row r="1956" hidden="1" s="59"/>
    <row r="1957" hidden="1" s="59"/>
    <row r="1958" hidden="1" s="59"/>
    <row r="1959" hidden="1" s="59"/>
    <row r="1960" hidden="1" s="59"/>
    <row r="1961" hidden="1" s="59"/>
    <row r="1962" hidden="1" s="59"/>
    <row r="1963" hidden="1" s="59"/>
    <row r="1964" hidden="1" s="59"/>
    <row r="1965" hidden="1" s="59"/>
    <row r="1966" hidden="1" s="59"/>
    <row r="1967" hidden="1" s="59"/>
    <row r="1968" hidden="1" s="59"/>
    <row r="1969" hidden="1" s="59"/>
    <row r="1970" hidden="1" s="59"/>
    <row r="1971" hidden="1" s="59"/>
    <row r="1972" hidden="1" s="59"/>
    <row r="1973" hidden="1" s="59"/>
    <row r="1974" hidden="1" s="59"/>
    <row r="1975" hidden="1" s="59"/>
    <row r="1976" hidden="1" s="59"/>
    <row r="1977" hidden="1" s="59"/>
    <row r="1978" hidden="1" s="59"/>
    <row r="1979" hidden="1" s="59"/>
    <row r="1980" hidden="1" s="59"/>
    <row r="1981" hidden="1" s="59"/>
    <row r="1982" hidden="1" s="59"/>
    <row r="1983" hidden="1" s="59"/>
    <row r="1984" hidden="1" s="59"/>
    <row r="1985" hidden="1" s="59"/>
    <row r="1986" hidden="1" s="59"/>
    <row r="1987" hidden="1" s="59"/>
    <row r="1988" hidden="1" s="59"/>
    <row r="1989" hidden="1" s="59"/>
    <row r="1990" hidden="1" s="59"/>
    <row r="1991" hidden="1" s="59"/>
    <row r="1992" hidden="1" s="59"/>
    <row r="1993" hidden="1" s="59"/>
    <row r="1994" hidden="1" s="59"/>
    <row r="1995" hidden="1" s="59"/>
    <row r="1996" hidden="1" s="59"/>
    <row r="1997" hidden="1" s="59"/>
    <row r="1998" hidden="1" s="59"/>
    <row r="1999" hidden="1" s="59"/>
    <row r="2000" hidden="1" s="59"/>
    <row r="2001" hidden="1" s="59"/>
    <row r="2002" hidden="1" s="59"/>
    <row r="2003" hidden="1" s="59"/>
    <row r="2004" hidden="1" s="59"/>
    <row r="2005" hidden="1" s="59"/>
    <row r="2006" hidden="1" s="59"/>
    <row r="2007" hidden="1" s="59"/>
    <row r="2008" hidden="1" s="59"/>
    <row r="2009" hidden="1" s="59"/>
    <row r="2010" hidden="1" s="59"/>
    <row r="2011" hidden="1" s="59"/>
    <row r="2012" hidden="1" s="59"/>
    <row r="2013" hidden="1" s="59"/>
    <row r="2014" hidden="1" s="59"/>
    <row r="2015" hidden="1" s="59"/>
    <row r="2016" hidden="1" s="59"/>
    <row r="2017" hidden="1" s="59"/>
    <row r="2018" hidden="1" s="59"/>
    <row r="2019" hidden="1" s="59"/>
    <row r="2020" hidden="1" s="59"/>
    <row r="2021" hidden="1" s="59"/>
    <row r="2022" hidden="1" s="59"/>
    <row r="2023" hidden="1" s="59"/>
    <row r="2024" hidden="1" s="59"/>
    <row r="2025" hidden="1" s="59"/>
    <row r="2026" hidden="1" s="59"/>
    <row r="2030" hidden="1" s="59"/>
    <row r="2031" hidden="1" s="59"/>
    <row r="2032" hidden="1" s="59"/>
    <row r="2033" hidden="1" s="59"/>
    <row r="2034" hidden="1" s="59"/>
    <row r="2035" hidden="1" s="59"/>
    <row r="2036" hidden="1" s="59"/>
    <row r="2037" hidden="1" s="59"/>
    <row r="2038" hidden="1" s="59"/>
    <row r="2039" hidden="1" s="59"/>
    <row r="2040" hidden="1" s="59"/>
    <row r="2041" hidden="1" s="59"/>
    <row r="2042" hidden="1" s="59"/>
    <row r="2043" hidden="1" s="59"/>
    <row r="2044" hidden="1" s="59"/>
    <row r="2045" hidden="1" s="59"/>
    <row r="2046" hidden="1" s="59"/>
    <row r="2047" hidden="1" s="59"/>
    <row r="2048" hidden="1" s="59"/>
    <row r="2049" hidden="1" s="59"/>
    <row r="2050" hidden="1" s="59"/>
    <row r="2051" hidden="1" s="59"/>
    <row r="2052" hidden="1" s="59"/>
    <row r="2053" hidden="1" s="59"/>
    <row r="2054" hidden="1" s="59"/>
    <row r="2055" hidden="1" s="59"/>
    <row r="2056" hidden="1" s="59"/>
    <row r="2057" hidden="1" s="59"/>
    <row r="2058" hidden="1" s="59"/>
    <row r="2059" hidden="1" s="59"/>
    <row r="2060" hidden="1" s="59"/>
    <row r="2061" hidden="1" s="59"/>
    <row r="2062" hidden="1" s="59"/>
    <row r="2063" hidden="1" s="59"/>
    <row r="2064" hidden="1" s="59"/>
    <row r="2065" hidden="1" s="59"/>
    <row r="2066" hidden="1" s="59"/>
    <row r="2067" hidden="1" s="59"/>
    <row r="2068" hidden="1" s="59"/>
    <row r="2069" hidden="1" s="59"/>
    <row r="2070" hidden="1" s="59"/>
    <row r="2071" hidden="1" s="59"/>
    <row r="2072" hidden="1" s="59"/>
    <row r="2073" hidden="1" s="59"/>
    <row r="2074" hidden="1" s="59"/>
    <row r="2075" hidden="1" s="59"/>
    <row r="2076" hidden="1" s="59"/>
    <row r="2077" hidden="1" s="59"/>
    <row r="2078" hidden="1" s="59"/>
    <row r="2079" hidden="1" s="59"/>
    <row r="2080" hidden="1" s="59"/>
    <row r="2081" hidden="1" s="59"/>
    <row r="2082" hidden="1" s="59"/>
    <row r="2083" hidden="1" s="59"/>
    <row r="2084" hidden="1" s="59"/>
    <row r="2085" hidden="1" s="59"/>
    <row r="2086" hidden="1" s="59"/>
    <row r="2087" hidden="1" s="59"/>
    <row r="2088" hidden="1" s="59"/>
    <row r="2089" hidden="1" s="59"/>
    <row r="2090" hidden="1" s="59"/>
    <row r="2091" hidden="1" s="59"/>
    <row r="2092" hidden="1" s="59"/>
    <row r="2093" hidden="1" s="59"/>
    <row r="2094" hidden="1" s="59"/>
    <row r="2095" hidden="1" s="59"/>
    <row r="2096" hidden="1" s="59"/>
    <row r="2097" hidden="1" s="59"/>
    <row r="2098" hidden="1" s="59"/>
    <row r="2099" hidden="1" s="59"/>
    <row r="2100" hidden="1" s="59"/>
    <row r="2101" hidden="1" s="59"/>
    <row r="2102" hidden="1" s="59"/>
    <row r="2103" hidden="1" s="59"/>
    <row r="2104" hidden="1" s="59"/>
    <row r="2105" hidden="1" s="59"/>
    <row r="2106" hidden="1" s="59"/>
    <row r="2107" hidden="1" s="59"/>
    <row r="2108" hidden="1" s="59"/>
    <row r="2109" hidden="1" s="59"/>
    <row r="2110" hidden="1" s="59"/>
    <row r="2111" hidden="1" s="59"/>
    <row r="2112" hidden="1" s="59"/>
    <row r="2113" hidden="1" s="59"/>
    <row r="2114" hidden="1" s="59"/>
    <row r="2115" hidden="1" s="59"/>
    <row r="2116" hidden="1" s="59"/>
    <row r="2117" hidden="1" s="59"/>
    <row r="2118" hidden="1" s="59"/>
    <row r="2119" hidden="1" s="59"/>
    <row r="2120" hidden="1" s="59"/>
    <row r="2121" hidden="1" s="59"/>
    <row r="2122" hidden="1" s="59"/>
    <row r="2123" hidden="1" s="59"/>
    <row r="2124" hidden="1" s="59"/>
    <row r="2125" hidden="1" s="59"/>
    <row r="2126" hidden="1" s="59"/>
    <row r="2127" hidden="1" s="59"/>
    <row r="2128" hidden="1" s="59"/>
    <row r="2129" hidden="1" s="59"/>
    <row r="2130" hidden="1" s="59"/>
    <row r="2131" hidden="1" s="59"/>
    <row r="2132" hidden="1" s="59"/>
    <row r="2133" hidden="1" s="59"/>
    <row r="2134" hidden="1" s="59"/>
    <row r="2135" hidden="1" s="59"/>
    <row r="2136" hidden="1" s="59"/>
    <row r="2137" hidden="1" s="59"/>
    <row r="2138" hidden="1" s="59"/>
    <row r="2139" hidden="1" s="59"/>
    <row r="2140" hidden="1" s="59"/>
    <row r="2141" hidden="1" s="59"/>
    <row r="2142" hidden="1" s="59"/>
    <row r="2143" hidden="1" s="59"/>
    <row r="2144" hidden="1" s="59"/>
    <row r="2145" hidden="1" s="59"/>
    <row r="2146" hidden="1" s="59"/>
    <row r="2147" hidden="1" s="59"/>
    <row r="2148" hidden="1" s="59"/>
    <row r="2149" hidden="1" s="59"/>
    <row r="2150" hidden="1" s="59"/>
    <row r="2151" hidden="1" s="59"/>
    <row r="2152" hidden="1" s="59"/>
    <row r="2153" hidden="1" s="59"/>
    <row r="2154" hidden="1" s="59"/>
    <row r="2155" hidden="1" s="59"/>
    <row r="2156" hidden="1" s="59"/>
    <row r="2157" hidden="1" s="59"/>
    <row r="2158" hidden="1" s="59"/>
    <row r="2159" hidden="1" s="59"/>
    <row r="2160" hidden="1" s="59"/>
    <row r="2161" hidden="1" s="59"/>
    <row r="2162" hidden="1" s="59"/>
    <row r="2163" hidden="1" s="59"/>
    <row r="2164" hidden="1" s="59"/>
    <row r="2165" hidden="1" s="59"/>
    <row r="2166" hidden="1" s="59"/>
    <row r="2167" hidden="1" s="59"/>
    <row r="2168" hidden="1" s="59"/>
    <row r="2169" hidden="1" s="59"/>
    <row r="2170" hidden="1" s="59"/>
    <row r="2171" hidden="1" s="59"/>
    <row r="2172" hidden="1" s="59"/>
    <row r="2173" hidden="1" s="59"/>
    <row r="2174" hidden="1" s="59"/>
    <row r="2177" hidden="1" s="59"/>
    <row r="2178" hidden="1" s="59"/>
    <row r="2179" hidden="1" s="59"/>
    <row r="2180" hidden="1" s="59"/>
    <row r="2181" hidden="1" s="59"/>
    <row r="2182" hidden="1" s="59"/>
    <row r="2183" hidden="1" s="59"/>
    <row r="2184" hidden="1" s="59"/>
    <row r="2185" hidden="1" s="59"/>
    <row r="2186" hidden="1" s="59"/>
    <row r="2187" hidden="1" s="59"/>
    <row r="2188" hidden="1" s="59"/>
    <row r="2189" hidden="1" s="59"/>
    <row r="2190" hidden="1" s="59"/>
    <row r="2191" hidden="1" s="59"/>
    <row r="2192" hidden="1" s="59"/>
    <row r="2193" hidden="1" s="59"/>
    <row r="2194" hidden="1" s="59"/>
    <row r="2195" hidden="1" s="59"/>
    <row r="2196" hidden="1" s="59"/>
    <row r="2197" hidden="1" s="59"/>
    <row r="2198" hidden="1" s="59"/>
    <row r="2199" hidden="1" s="59"/>
    <row r="2200" hidden="1" s="59"/>
    <row r="2201" hidden="1" s="59"/>
    <row r="2202" hidden="1" s="59"/>
    <row r="2203" hidden="1" s="59"/>
    <row r="2204" hidden="1" s="59"/>
    <row r="2205" hidden="1" s="59"/>
    <row r="2206" hidden="1" s="59"/>
    <row r="2207" hidden="1" s="59"/>
    <row r="2208" hidden="1" s="59"/>
    <row r="2209" hidden="1" s="59"/>
    <row r="2210" hidden="1" s="59"/>
    <row r="2211" hidden="1" s="59"/>
    <row r="2212" hidden="1" s="59"/>
    <row r="2213" hidden="1" s="59"/>
    <row r="2214" hidden="1" s="59"/>
    <row r="2215" hidden="1" s="59"/>
    <row r="2216" hidden="1" s="59"/>
    <row r="2217" hidden="1" s="59"/>
    <row r="2218" hidden="1" s="59"/>
    <row r="2219" hidden="1" s="59"/>
    <row r="2220" hidden="1" s="59"/>
    <row r="2221" hidden="1" s="59"/>
    <row r="2222" hidden="1" s="59"/>
    <row r="2223" hidden="1" s="59"/>
    <row r="2224" hidden="1" s="59"/>
    <row r="2225" hidden="1" s="59"/>
    <row r="2226" hidden="1" s="59"/>
    <row r="2227" hidden="1" s="59"/>
    <row r="2228" hidden="1" s="59"/>
    <row r="2229" hidden="1" s="59"/>
    <row r="2230" hidden="1" s="59"/>
    <row r="2231" hidden="1" s="59"/>
    <row r="2232" hidden="1" s="59"/>
    <row r="2233" hidden="1" s="59"/>
    <row r="2234" hidden="1" s="59"/>
    <row r="2235" hidden="1" s="59"/>
    <row r="2236" hidden="1" s="59"/>
    <row r="2237" hidden="1" s="59"/>
    <row r="2238" hidden="1" s="59"/>
    <row r="2239" hidden="1" s="59"/>
    <row r="2240" hidden="1" s="59"/>
    <row r="2241" hidden="1" s="59"/>
    <row r="2242" hidden="1" s="59"/>
    <row r="2243" hidden="1" s="59"/>
    <row r="2244" hidden="1" s="59"/>
    <row r="2245" hidden="1" s="59"/>
    <row r="2246" hidden="1" s="59"/>
    <row r="2247" hidden="1" s="59"/>
    <row r="2248" hidden="1" s="59"/>
    <row r="2249" hidden="1" s="59"/>
    <row r="2250" hidden="1" s="59"/>
    <row r="2251" hidden="1" s="59"/>
    <row r="2252" hidden="1" s="59"/>
    <row r="2253" hidden="1" s="59"/>
    <row r="2254" hidden="1" s="59"/>
    <row r="2255" hidden="1" s="59"/>
    <row r="2256" hidden="1" s="59"/>
    <row r="2257" hidden="1" s="59"/>
    <row r="2258" hidden="1" s="59"/>
    <row r="2259" hidden="1" s="59"/>
    <row r="2260" hidden="1" s="59"/>
    <row r="2261" hidden="1" s="59"/>
    <row r="2262" hidden="1" s="59"/>
    <row r="2263" hidden="1" s="59"/>
    <row r="2264" hidden="1" s="59"/>
    <row r="2265" hidden="1" s="59"/>
    <row r="2266" hidden="1" s="59"/>
    <row r="2267" hidden="1" s="59"/>
    <row r="2268" hidden="1" s="59"/>
    <row r="2269" hidden="1" s="59"/>
    <row r="2270" hidden="1" s="59"/>
    <row r="2271" hidden="1" s="59"/>
    <row r="2272" hidden="1" s="59"/>
    <row r="2273" hidden="1" s="59"/>
    <row r="2274" hidden="1" s="59"/>
    <row r="2275" hidden="1" s="59"/>
    <row r="2276" hidden="1" s="59"/>
    <row r="2277" hidden="1" s="59"/>
    <row r="2278" hidden="1" s="59"/>
    <row r="2279" hidden="1" s="59"/>
    <row r="2280" hidden="1" s="59"/>
    <row r="2281" hidden="1" s="59"/>
    <row r="2282" hidden="1" s="59"/>
    <row r="2283" hidden="1" s="59"/>
    <row r="2284" hidden="1" s="59"/>
    <row r="2285" hidden="1" s="59"/>
    <row r="2286" hidden="1" s="59"/>
    <row r="2287" hidden="1" s="59"/>
    <row r="2288" hidden="1" s="59"/>
    <row r="2289" hidden="1" s="59"/>
    <row r="2290" hidden="1" s="59"/>
    <row r="2291" hidden="1" s="59"/>
    <row r="2292" hidden="1" s="59"/>
    <row r="2293" hidden="1" s="59"/>
    <row r="2294" hidden="1" s="59"/>
    <row r="2295" hidden="1" s="59"/>
    <row r="2296" hidden="1" s="59"/>
    <row r="2297" hidden="1" s="59"/>
    <row r="2298" hidden="1" s="59"/>
    <row r="2299" hidden="1" s="59"/>
    <row r="2300" hidden="1" s="59"/>
    <row r="2301" hidden="1" s="59"/>
    <row r="2302" hidden="1" s="59"/>
    <row r="2303" hidden="1" s="59"/>
    <row r="2304" hidden="1" s="59"/>
    <row r="2305" hidden="1" s="59"/>
    <row r="2306" hidden="1" s="59"/>
    <row r="2307" hidden="1" s="59"/>
    <row r="2308" hidden="1" s="59"/>
    <row r="2309" hidden="1" s="59"/>
    <row r="2310" hidden="1" s="59"/>
    <row r="2311" hidden="1" s="59"/>
    <row r="2312" hidden="1" s="59"/>
    <row r="2313" hidden="1" s="59"/>
    <row r="2314" hidden="1" s="59"/>
    <row r="2315" hidden="1" s="59"/>
    <row r="2316" hidden="1" s="59"/>
    <row r="2317" hidden="1" s="59"/>
    <row r="2318" hidden="1" s="59"/>
    <row r="2319" hidden="1" s="59"/>
    <row r="2320" hidden="1" s="59"/>
    <row r="2321" hidden="1" s="59"/>
    <row r="2322" hidden="1" s="59"/>
    <row r="2323" hidden="1" s="59"/>
    <row r="2324" hidden="1" s="59"/>
    <row r="2325" hidden="1" s="59"/>
    <row r="2326" hidden="1" s="59"/>
    <row r="2327" hidden="1" s="59"/>
    <row r="2328" hidden="1" s="59"/>
    <row r="2329" hidden="1" s="59"/>
    <row r="2330" hidden="1" s="59"/>
    <row r="2331" hidden="1" s="59"/>
    <row r="2332" hidden="1" s="59"/>
    <row r="2333" hidden="1" s="59"/>
    <row r="2334" hidden="1" s="59"/>
    <row r="2335" hidden="1" s="59"/>
    <row r="2336" hidden="1" s="59"/>
    <row r="2337" hidden="1" s="59"/>
    <row r="2338" hidden="1" s="59"/>
    <row r="2339" hidden="1" s="59"/>
    <row r="2340" hidden="1" s="59"/>
    <row r="2341" hidden="1" s="59"/>
    <row r="2342" hidden="1" s="59"/>
    <row r="2343" hidden="1" s="59"/>
    <row r="2344" hidden="1" s="59"/>
    <row r="2345" hidden="1" s="59"/>
    <row r="2346" hidden="1" s="59"/>
    <row r="2347" hidden="1" s="59"/>
    <row r="2348" hidden="1" s="59"/>
    <row r="2349" hidden="1" s="59"/>
    <row r="2350" hidden="1" s="59"/>
    <row r="2351" hidden="1" s="59"/>
    <row r="2352" hidden="1" s="59"/>
    <row r="2353" hidden="1" s="59"/>
    <row r="2354" hidden="1" s="59"/>
    <row r="2355" hidden="1" s="59"/>
    <row r="2356" hidden="1" s="59"/>
    <row r="2357" hidden="1" s="59"/>
    <row r="2358" hidden="1" s="59"/>
    <row r="2359" hidden="1" s="59"/>
    <row r="2360" hidden="1" s="59"/>
    <row r="2361" hidden="1" s="59"/>
    <row r="2362" hidden="1" s="59"/>
    <row r="2363" hidden="1" s="59"/>
    <row r="2364" hidden="1" s="59"/>
    <row r="2365" hidden="1" s="59"/>
    <row r="2366" hidden="1" s="59"/>
    <row r="2367" hidden="1" s="59"/>
    <row r="2368" hidden="1" s="59"/>
    <row r="2369" hidden="1" s="59"/>
    <row r="2370" hidden="1" s="59"/>
    <row r="2371" hidden="1" s="59"/>
    <row r="2372" hidden="1" s="59"/>
    <row r="2373" hidden="1" s="59"/>
    <row r="2374" hidden="1" s="59"/>
    <row r="2375" hidden="1" s="59"/>
    <row r="2376" hidden="1" s="59"/>
    <row r="2377" hidden="1" s="59"/>
    <row r="2378" hidden="1" s="59"/>
    <row r="2379" hidden="1" s="59"/>
    <row r="2380" hidden="1" s="59"/>
    <row r="2381" hidden="1" s="59"/>
    <row r="2382" hidden="1" s="59"/>
    <row r="2383" hidden="1" s="59"/>
    <row r="2384" hidden="1" s="59"/>
    <row r="2385" hidden="1" s="59"/>
    <row r="2386" hidden="1" s="59"/>
    <row r="2387" hidden="1" s="59"/>
    <row r="2388" hidden="1" s="59"/>
    <row r="2389" hidden="1" s="59"/>
    <row r="2390" hidden="1" s="59"/>
    <row r="2391" hidden="1" s="59"/>
    <row r="2392" hidden="1" s="59"/>
    <row r="2393" hidden="1" s="59"/>
    <row r="2394" hidden="1" s="59"/>
    <row r="2395" hidden="1" s="59"/>
    <row r="2396" hidden="1" s="59"/>
    <row r="2397" hidden="1" s="59"/>
    <row r="2398" hidden="1" s="59"/>
    <row r="2399" hidden="1" s="59"/>
    <row r="2400" hidden="1" s="59"/>
    <row r="2401" hidden="1" s="59"/>
    <row r="2402" hidden="1" s="59"/>
    <row r="2403" hidden="1" s="59"/>
    <row r="2404" hidden="1" s="59"/>
    <row r="2405" hidden="1" s="59"/>
    <row r="2406" hidden="1" s="59"/>
    <row r="2407" hidden="1" s="59"/>
    <row r="2408" hidden="1" s="59"/>
    <row r="2409" hidden="1" s="59"/>
    <row r="2410" hidden="1" s="59"/>
    <row r="2411" hidden="1" s="59"/>
    <row r="2412" hidden="1" s="59"/>
    <row r="2413" hidden="1" s="59"/>
    <row r="2414" hidden="1" s="59"/>
    <row r="2415" hidden="1" s="59"/>
    <row r="2416" hidden="1" s="59"/>
    <row r="2417" hidden="1" s="59"/>
    <row r="2418" hidden="1" s="59"/>
    <row r="2419" hidden="1" s="59"/>
    <row r="2420" hidden="1" s="59"/>
    <row r="2421" hidden="1" s="59"/>
    <row r="2422" hidden="1" s="59"/>
    <row r="2423" hidden="1" s="59"/>
    <row r="2424" hidden="1" s="59"/>
    <row r="2425" hidden="1" s="59"/>
    <row r="2426" hidden="1" s="59"/>
    <row r="2427" hidden="1" s="59"/>
    <row r="2428" hidden="1" s="59"/>
    <row r="2429" hidden="1" s="59"/>
    <row r="2430" hidden="1" s="59"/>
    <row r="2431" hidden="1" s="59"/>
    <row r="2432" hidden="1" s="59"/>
    <row r="2433" hidden="1" s="59"/>
    <row r="2434" hidden="1" s="59"/>
    <row r="2435" hidden="1" s="59"/>
    <row r="2436" hidden="1" s="59"/>
    <row r="2437" hidden="1" s="59"/>
    <row r="2438" hidden="1" s="59"/>
    <row r="2439" hidden="1" s="59"/>
    <row r="2440" hidden="1" s="59"/>
    <row r="2441" hidden="1" s="59"/>
    <row r="2442" hidden="1" s="59"/>
    <row r="2443" hidden="1" s="59"/>
    <row r="2444" hidden="1" s="59"/>
    <row r="2445" hidden="1" s="59"/>
    <row r="2446" hidden="1" s="59"/>
    <row r="2447" hidden="1" s="59"/>
    <row r="2448" hidden="1" s="59"/>
    <row r="2449" hidden="1" s="59"/>
    <row r="2450" hidden="1" s="59"/>
    <row r="2451" hidden="1" s="59"/>
    <row r="2452" hidden="1" s="59"/>
    <row r="2453" hidden="1" s="59"/>
    <row r="2454" hidden="1" s="59"/>
    <row r="2455" hidden="1" s="59"/>
    <row r="2456" hidden="1" s="59"/>
    <row r="2457" hidden="1" s="59"/>
    <row r="2458" hidden="1" s="59"/>
    <row r="2459" hidden="1" s="59"/>
    <row r="2460" hidden="1" s="59"/>
    <row r="2461" hidden="1" s="59"/>
    <row r="2462" hidden="1" s="59"/>
    <row r="2463" hidden="1" s="59"/>
    <row r="2464" hidden="1" s="59"/>
    <row r="2465" hidden="1" s="59"/>
    <row r="2466" hidden="1" s="59"/>
    <row r="2467" hidden="1" s="59"/>
    <row r="2468" hidden="1" s="59"/>
    <row r="2469" hidden="1" s="59"/>
    <row r="2470" hidden="1" s="59"/>
    <row r="2471" hidden="1" s="59"/>
    <row r="2472" hidden="1" s="59"/>
    <row r="2473" hidden="1" s="59"/>
    <row r="2474" hidden="1" s="59"/>
    <row r="2475" hidden="1" s="59"/>
    <row r="2476" hidden="1" s="59"/>
    <row r="2477" hidden="1" s="59"/>
    <row r="2478" hidden="1" s="59"/>
    <row r="2479" hidden="1" s="59"/>
    <row r="2480" hidden="1" s="59"/>
    <row r="2481" hidden="1" s="59"/>
    <row r="2482" hidden="1" s="59"/>
    <row r="2483" hidden="1" s="59"/>
    <row r="2484" hidden="1" s="59"/>
    <row r="2485" hidden="1" s="59"/>
    <row r="2486" hidden="1" s="59"/>
    <row r="2487" hidden="1" s="59"/>
    <row r="2488" hidden="1" s="59"/>
    <row r="2489" hidden="1" s="59"/>
    <row r="2491" hidden="1" s="59"/>
    <row r="2492" hidden="1" s="59"/>
    <row r="2493" hidden="1" s="59"/>
    <row r="2494" hidden="1" s="59"/>
    <row r="2495" hidden="1" s="59"/>
    <row r="2496" hidden="1" s="59"/>
    <row r="2497" hidden="1" s="59"/>
    <row r="2498" hidden="1" s="59"/>
    <row r="2499" hidden="1" s="59"/>
    <row r="2500" hidden="1" s="59"/>
    <row r="2501" hidden="1" s="59"/>
    <row r="2502" hidden="1" s="59"/>
    <row r="2503" hidden="1" s="59"/>
    <row r="2504" hidden="1" s="59"/>
    <row r="2505" hidden="1" s="59"/>
    <row r="2506" hidden="1" s="59"/>
    <row r="2507" hidden="1" s="59"/>
    <row r="2508" hidden="1" s="59"/>
    <row r="2509" hidden="1" s="59"/>
    <row r="2510" hidden="1" s="59"/>
    <row r="2511" hidden="1" s="59"/>
    <row r="2512" hidden="1" s="59"/>
    <row r="2513" hidden="1" s="59"/>
    <row r="2514" hidden="1" s="59"/>
    <row r="2515" hidden="1" s="59"/>
    <row r="2516" hidden="1" s="59"/>
    <row r="2517" hidden="1" s="59"/>
    <row r="2518" hidden="1" s="59"/>
    <row r="2519" hidden="1" s="59"/>
    <row r="2520" hidden="1" s="59"/>
    <row r="2521" hidden="1" s="59"/>
    <row r="2522" hidden="1" s="59"/>
    <row r="2523" hidden="1" s="59"/>
    <row r="2524" hidden="1" s="59"/>
    <row r="2525" hidden="1" s="59"/>
    <row r="2526" hidden="1" s="59"/>
    <row r="2527" hidden="1" s="59"/>
    <row r="2528" hidden="1" s="59"/>
    <row r="2529" hidden="1" s="59"/>
    <row r="2530" hidden="1" s="59"/>
    <row r="2531" hidden="1" s="59"/>
    <row r="2532" hidden="1" s="59"/>
    <row r="2533" hidden="1" s="59"/>
    <row r="2534" hidden="1" s="59"/>
    <row r="2535" hidden="1" s="59"/>
    <row r="2537" hidden="1" s="59"/>
    <row r="2538" hidden="1" s="59"/>
    <row r="2539" hidden="1" s="59"/>
    <row r="2540" hidden="1" s="59"/>
    <row r="2541" hidden="1" s="59"/>
    <row r="2542" hidden="1" s="59"/>
    <row r="2543" hidden="1" s="59"/>
    <row r="2544" hidden="1" s="59"/>
    <row r="2545" hidden="1" s="59"/>
    <row r="2546" hidden="1" s="59"/>
    <row r="2547" hidden="1" s="59"/>
    <row r="2548" hidden="1" s="59"/>
    <row r="2549" hidden="1" s="59"/>
    <row r="2550" hidden="1" s="59"/>
    <row r="2551" hidden="1" s="59"/>
    <row r="2552" hidden="1" s="59"/>
    <row r="2553" hidden="1" s="59"/>
    <row r="2554" hidden="1" s="59"/>
    <row r="2555" hidden="1" s="59"/>
    <row r="2556" hidden="1" s="59"/>
    <row r="2557" hidden="1" s="59"/>
    <row r="2558" hidden="1" s="59"/>
    <row r="2559" hidden="1" s="59"/>
    <row r="2560" hidden="1" s="59"/>
    <row r="2561" hidden="1" s="59"/>
    <row r="2562" hidden="1" s="59"/>
    <row r="2563" hidden="1" s="59"/>
    <row r="2564" hidden="1" s="59"/>
    <row r="2565" hidden="1" s="59"/>
    <row r="2566" hidden="1" s="59"/>
    <row r="2567" hidden="1" s="59"/>
    <row r="2568" hidden="1" s="59"/>
    <row r="2569" hidden="1" s="59"/>
    <row r="2570" hidden="1" s="59"/>
    <row r="2571" hidden="1" s="59"/>
    <row r="2572" hidden="1" s="59"/>
    <row r="2573" hidden="1" s="59"/>
    <row r="2574" hidden="1" s="59"/>
    <row r="2575" hidden="1" s="59"/>
    <row r="2576" hidden="1" s="59"/>
    <row r="2577" hidden="1" s="59"/>
    <row r="2578" hidden="1" s="59"/>
    <row r="2580" hidden="1" s="59"/>
    <row r="2581" hidden="1" s="59"/>
    <row r="2582" hidden="1" s="59"/>
    <row r="2583" hidden="1" s="59"/>
    <row r="2584" hidden="1" s="59"/>
    <row r="2585" hidden="1" s="59"/>
    <row r="2586" hidden="1" s="59"/>
    <row r="2587" hidden="1" s="59"/>
    <row r="2588" hidden="1" s="59"/>
    <row r="2589" hidden="1" s="59"/>
    <row r="2590" hidden="1" s="59"/>
    <row r="2591" hidden="1" s="59"/>
    <row r="2592" hidden="1" s="59"/>
    <row r="2593" hidden="1" s="59"/>
    <row r="2594" hidden="1" s="59"/>
    <row r="2595" hidden="1" s="59"/>
    <row r="2596" hidden="1" s="59"/>
    <row r="2597" hidden="1" s="59"/>
    <row r="2598" hidden="1" s="59"/>
    <row r="2599" hidden="1" s="59"/>
    <row r="2600" hidden="1" s="59"/>
    <row r="2601" hidden="1" s="59"/>
    <row r="2602" hidden="1" s="59"/>
    <row r="2603" hidden="1" s="59"/>
    <row r="2604" hidden="1" s="59"/>
    <row r="2605" hidden="1" s="59"/>
    <row r="2606" hidden="1" s="59"/>
    <row r="2607" hidden="1" s="59"/>
    <row r="2608" hidden="1" s="59"/>
    <row r="2609" hidden="1" s="59"/>
    <row r="2610" hidden="1" s="59"/>
    <row r="2611" hidden="1" s="59"/>
    <row r="2612" hidden="1" s="59"/>
    <row r="2613" hidden="1" s="59"/>
    <row r="2614" hidden="1" s="59"/>
    <row r="2615" hidden="1" s="59"/>
    <row r="2616" hidden="1" s="59"/>
    <row r="2617" hidden="1" s="59"/>
    <row r="2618" hidden="1" s="59"/>
    <row r="2619" hidden="1" s="59"/>
    <row r="2620" hidden="1" s="59"/>
    <row r="2621" hidden="1" s="59"/>
    <row r="2622" hidden="1" s="59"/>
    <row r="2623" hidden="1" s="59"/>
    <row r="2624" hidden="1" s="59"/>
    <row r="2625" hidden="1" s="59"/>
    <row r="2626" hidden="1" s="59"/>
    <row r="2627" hidden="1" s="59"/>
    <row r="2628" hidden="1" s="59"/>
    <row r="2629" hidden="1" s="59"/>
    <row r="2630" hidden="1" s="59"/>
    <row r="2631" hidden="1" s="59"/>
    <row r="2632" hidden="1" s="59"/>
    <row r="2633" hidden="1" s="59"/>
    <row r="2634" hidden="1" s="59"/>
    <row r="2635" hidden="1" s="59"/>
    <row r="2636" hidden="1" s="59"/>
    <row r="2637" hidden="1" s="59"/>
    <row r="2638" hidden="1" s="59"/>
    <row r="2639" hidden="1" s="59"/>
    <row r="2640" hidden="1" s="59"/>
    <row r="2642" hidden="1" s="59"/>
    <row r="2643" hidden="1" s="59"/>
    <row r="2644" hidden="1" s="59"/>
    <row r="2645" hidden="1" s="59"/>
    <row r="2646" hidden="1" s="59"/>
    <row r="2647" hidden="1" s="59"/>
    <row r="2648" hidden="1" s="59"/>
    <row r="2649" hidden="1" s="59"/>
    <row r="2650" hidden="1" s="59"/>
    <row r="2651" hidden="1" s="59"/>
    <row r="2652" hidden="1" s="59"/>
    <row r="2653" hidden="1" s="59"/>
    <row r="2654" hidden="1" s="59"/>
    <row r="2655" hidden="1" s="59"/>
    <row r="2656" hidden="1" s="59"/>
    <row r="2657" hidden="1" s="59"/>
    <row r="2658" hidden="1" s="59"/>
    <row r="2659" hidden="1" s="59"/>
    <row r="2660" hidden="1" s="59"/>
    <row r="2661" hidden="1" s="59"/>
    <row r="2662" hidden="1" s="59"/>
    <row r="2663" hidden="1" s="59"/>
    <row r="2664" hidden="1" s="59"/>
    <row r="2665" hidden="1" s="59"/>
    <row r="2666" hidden="1" s="59"/>
    <row r="2667" hidden="1" s="59"/>
    <row r="2668" hidden="1" s="59"/>
    <row r="2669" hidden="1" s="59"/>
    <row r="2670" hidden="1" s="59"/>
    <row r="2671" hidden="1" s="59"/>
    <row r="2672" hidden="1" s="59"/>
    <row r="2673" hidden="1" s="59"/>
    <row r="2674" hidden="1" s="59"/>
    <row r="2675" hidden="1" s="59"/>
    <row r="2676" hidden="1" s="59"/>
    <row r="2677" hidden="1" s="59"/>
    <row r="2678" hidden="1" s="59"/>
    <row r="2679" hidden="1" s="59"/>
    <row r="2681" hidden="1" s="59"/>
    <row r="2682" hidden="1" s="59"/>
    <row r="2683" hidden="1" s="59"/>
    <row r="2684" hidden="1" s="59"/>
    <row r="2685" hidden="1" s="59"/>
    <row r="2686" hidden="1" s="59"/>
    <row r="2687" hidden="1" s="59"/>
    <row r="2688" hidden="1" s="59"/>
    <row r="2689" hidden="1" s="59"/>
    <row r="2690" hidden="1" s="59"/>
    <row r="2691" hidden="1" s="59"/>
    <row r="2692" hidden="1" s="59"/>
    <row r="2693" hidden="1" s="59"/>
    <row r="2694" hidden="1" s="59"/>
    <row r="2695" hidden="1" s="59"/>
    <row r="2696" hidden="1" s="59"/>
    <row r="2697" hidden="1" s="59"/>
    <row r="2698" hidden="1" s="59"/>
    <row r="2699" hidden="1" s="59"/>
    <row r="2700" hidden="1" s="59"/>
    <row r="2701" hidden="1" s="59"/>
    <row r="2702" hidden="1" s="59"/>
    <row r="2703" hidden="1" s="59"/>
    <row r="2704" hidden="1" s="59"/>
    <row r="2705" hidden="1" s="59"/>
    <row r="2706" hidden="1" s="59"/>
    <row r="2707" hidden="1" s="59"/>
    <row r="2708" hidden="1" s="59"/>
    <row r="2709" hidden="1" s="59"/>
    <row r="2710" hidden="1" s="59"/>
    <row r="2711" hidden="1" s="59"/>
    <row r="2712" hidden="1" s="59"/>
    <row r="2713" hidden="1" s="59"/>
    <row r="2714" hidden="1" s="59"/>
    <row r="2715" hidden="1" s="59"/>
    <row r="2716" hidden="1" s="59"/>
    <row r="2717" hidden="1" s="59"/>
    <row r="2718" hidden="1" s="59"/>
    <row r="2719" hidden="1" s="59"/>
    <row r="2720" hidden="1" s="59"/>
    <row r="2722" hidden="1" s="59"/>
    <row r="2723" hidden="1" s="59"/>
    <row r="2724" hidden="1" s="59"/>
    <row r="2725" hidden="1" s="59"/>
    <row r="2726" hidden="1" s="59"/>
    <row r="2727" hidden="1" s="59"/>
    <row r="2728" hidden="1" s="59"/>
    <row r="2729" hidden="1" s="59"/>
    <row r="2730" hidden="1" s="59"/>
    <row r="2731" hidden="1" s="59"/>
    <row r="2732" hidden="1" s="59"/>
    <row r="2733" hidden="1" s="59"/>
    <row r="2734" hidden="1" s="59"/>
    <row r="2735" hidden="1" s="59"/>
    <row r="2736" hidden="1" s="59"/>
    <row r="2737" hidden="1" s="59"/>
    <row r="2738" hidden="1" s="59"/>
    <row r="2739" hidden="1" s="59"/>
    <row r="2740" hidden="1" s="59"/>
    <row r="2741" hidden="1" s="59"/>
    <row r="2742" hidden="1" s="59"/>
    <row r="2743" hidden="1" s="59"/>
    <row r="2744" hidden="1" s="59"/>
    <row r="2745" hidden="1" s="59"/>
    <row r="2746" hidden="1" s="59"/>
    <row r="2747" hidden="1" s="59"/>
    <row r="2748" hidden="1" s="59"/>
    <row r="2749" hidden="1" s="59"/>
    <row r="2750" hidden="1" s="59"/>
    <row r="2751" hidden="1" s="59"/>
    <row r="2752" hidden="1" s="59"/>
    <row r="2753" hidden="1" s="59"/>
    <row r="2754" hidden="1" s="59"/>
    <row r="2755" hidden="1" s="59"/>
    <row r="2756" hidden="1" s="59"/>
    <row r="2757" hidden="1" s="59"/>
    <row r="2758" hidden="1" s="59"/>
    <row r="2759" hidden="1" s="59"/>
    <row r="2760" hidden="1" s="59"/>
    <row r="2761" hidden="1" s="59"/>
    <row r="2762" hidden="1" s="59"/>
    <row r="2763" hidden="1" s="59"/>
    <row r="2764" hidden="1" s="59"/>
    <row r="2765" hidden="1" s="59"/>
    <row r="2766" hidden="1" s="59"/>
    <row r="2767" hidden="1" s="59"/>
    <row r="2768" hidden="1" s="59"/>
    <row r="2769" hidden="1" s="59"/>
    <row r="2770" hidden="1" s="59"/>
    <row r="2771" hidden="1" s="59"/>
    <row r="2772" hidden="1" s="59"/>
    <row r="2773" hidden="1" s="59"/>
    <row r="2774" hidden="1" s="59"/>
    <row r="2775" hidden="1" s="59"/>
    <row r="2776" hidden="1" s="59"/>
    <row r="2777" hidden="1" s="59"/>
    <row r="2778" hidden="1" s="59"/>
    <row r="2779" hidden="1" s="59"/>
    <row r="2780" hidden="1" s="59"/>
    <row r="2781" hidden="1" s="59"/>
    <row r="2782" hidden="1" s="59"/>
    <row r="2783" hidden="1" s="59"/>
    <row r="2784" hidden="1" s="59"/>
    <row r="2785" hidden="1" s="59"/>
    <row r="2786" hidden="1" s="59"/>
    <row r="2787" hidden="1" s="59"/>
    <row r="2788" hidden="1" s="59"/>
    <row r="2789" hidden="1" s="59"/>
    <row r="2790" hidden="1" s="59"/>
    <row r="2791" hidden="1" s="59"/>
    <row r="2792" hidden="1" s="59"/>
    <row r="2793" hidden="1" s="59"/>
    <row r="2794" hidden="1" s="59"/>
    <row r="2795" hidden="1" s="59"/>
    <row r="2796" hidden="1" s="59"/>
    <row r="2797" hidden="1" s="59"/>
    <row r="2798" hidden="1" s="59"/>
    <row r="2799" hidden="1" s="59"/>
    <row r="2800" hidden="1" s="59"/>
    <row r="2801" hidden="1" s="59"/>
    <row r="2802" hidden="1" s="59"/>
    <row r="2803" hidden="1" s="59"/>
    <row r="2804" hidden="1" s="59"/>
    <row r="2805" hidden="1" s="59"/>
    <row r="2806" hidden="1" s="59"/>
    <row r="2807" hidden="1" s="59"/>
    <row r="2808" hidden="1" s="59"/>
    <row r="2809" hidden="1" s="59"/>
    <row r="2810" hidden="1" s="59"/>
    <row r="2811" hidden="1" s="59"/>
    <row r="2812" hidden="1" s="59"/>
    <row r="2813" hidden="1" s="59"/>
    <row r="2814" hidden="1" s="59"/>
    <row r="2815" hidden="1" s="59"/>
    <row r="2816" hidden="1" s="59"/>
    <row r="2817" hidden="1" s="59"/>
    <row r="2818" hidden="1" s="59"/>
    <row r="2819" hidden="1" s="59"/>
    <row r="2820" hidden="1" s="59"/>
    <row r="2821" hidden="1" s="59"/>
    <row r="2822" hidden="1" s="59"/>
    <row r="2823" hidden="1" s="59"/>
    <row r="2824" hidden="1" s="59"/>
    <row r="2825" hidden="1" s="59"/>
    <row r="2826" hidden="1" s="59"/>
    <row r="2827" hidden="1" s="59"/>
    <row r="2828" hidden="1" s="59"/>
    <row r="2829" hidden="1" s="59"/>
    <row r="2830" hidden="1" s="59"/>
    <row r="2831" hidden="1" s="59"/>
    <row r="2832" hidden="1" s="59"/>
    <row r="2833" hidden="1" s="59"/>
    <row r="2834" hidden="1" s="59"/>
    <row r="2835" hidden="1" s="59"/>
    <row r="2836" hidden="1" s="59"/>
    <row r="2837" hidden="1" s="59"/>
    <row r="2838" hidden="1" s="59"/>
    <row r="2839" hidden="1" s="59"/>
    <row r="2840" hidden="1" s="59"/>
    <row r="2841" hidden="1" s="59"/>
    <row r="2842" hidden="1" s="59"/>
    <row r="2843" hidden="1" s="59"/>
    <row r="2844" hidden="1" s="59"/>
    <row r="2845" hidden="1" s="59"/>
    <row r="2846" hidden="1" s="59"/>
    <row r="2847" hidden="1" s="59"/>
    <row r="2848" hidden="1" s="59"/>
    <row r="2849" hidden="1" s="59"/>
    <row r="2850" hidden="1" s="59"/>
    <row r="2851" hidden="1" s="59"/>
    <row r="2852" hidden="1" s="59"/>
    <row r="2853" hidden="1" s="59"/>
    <row r="2854" hidden="1" s="59"/>
    <row r="2855" hidden="1" s="59"/>
    <row r="2856" hidden="1" s="59"/>
    <row r="2857" hidden="1" s="59"/>
    <row r="2858" hidden="1" s="59"/>
    <row r="2859" hidden="1" s="59"/>
    <row r="2860" hidden="1" s="59"/>
    <row r="2861" hidden="1" s="59"/>
    <row r="2862" hidden="1" s="59"/>
    <row r="2863" hidden="1" s="59"/>
    <row r="2864" hidden="1" s="59"/>
    <row r="2865" hidden="1" s="59"/>
    <row r="2866" hidden="1" s="59"/>
    <row r="2867" hidden="1" s="59"/>
    <row r="2868" hidden="1" s="59"/>
    <row r="2869" hidden="1" s="59"/>
    <row r="2870" hidden="1" s="59"/>
    <row r="2871" hidden="1" s="59"/>
    <row r="2872" hidden="1" s="59"/>
    <row r="2873" hidden="1" s="59"/>
    <row r="2874" hidden="1" s="59"/>
    <row r="2875" hidden="1" s="59"/>
    <row r="2876" hidden="1" s="59"/>
    <row r="2877" hidden="1" s="59"/>
    <row r="2878" hidden="1" s="59"/>
    <row r="2879" hidden="1" s="59"/>
    <row r="2880" hidden="1" s="59"/>
    <row r="2881" hidden="1" s="59"/>
    <row r="2882" hidden="1" s="59"/>
    <row r="2883" hidden="1" s="59"/>
    <row r="2884" hidden="1" s="59"/>
    <row r="2885" hidden="1" s="59"/>
    <row r="2886" hidden="1" s="59"/>
    <row r="2887" hidden="1" s="59"/>
    <row r="2888" hidden="1" s="59"/>
    <row r="2889" hidden="1" s="59"/>
    <row r="2890" hidden="1" s="59"/>
    <row r="2891" hidden="1" s="59"/>
    <row r="2892" hidden="1" s="59"/>
    <row r="2893" hidden="1" s="59"/>
    <row r="2894" hidden="1" s="59"/>
    <row r="2895" hidden="1" s="59"/>
    <row r="2896" hidden="1" s="59"/>
    <row r="2897" hidden="1" s="59"/>
    <row r="2898" hidden="1" s="59"/>
    <row r="2899" hidden="1" s="59"/>
    <row r="2900" hidden="1" s="59"/>
    <row r="2901" hidden="1" s="59"/>
    <row r="2902" hidden="1" s="59"/>
    <row r="2903" hidden="1" s="59"/>
    <row r="2904" hidden="1" s="59"/>
    <row r="2905" hidden="1" s="59"/>
    <row r="2906" hidden="1" s="59"/>
    <row r="2907" hidden="1" s="59"/>
    <row r="2908" hidden="1" s="59"/>
    <row r="2909" hidden="1" s="59"/>
    <row r="2910" hidden="1" s="59"/>
    <row r="2911" hidden="1" s="59"/>
    <row r="2912" hidden="1" s="59"/>
    <row r="2913" hidden="1" s="59"/>
    <row r="2914" hidden="1" s="59"/>
    <row r="2915" hidden="1" s="59"/>
    <row r="2916" hidden="1" s="59"/>
    <row r="2917" hidden="1" s="59"/>
    <row r="2918" hidden="1" s="59"/>
    <row r="2919" hidden="1" s="59"/>
    <row r="2920" hidden="1" s="59"/>
    <row r="2921" hidden="1" s="59"/>
    <row r="2922" hidden="1" s="59"/>
    <row r="2923" hidden="1" s="59"/>
    <row r="2924" hidden="1" s="59"/>
    <row r="2925" hidden="1" s="59"/>
    <row r="2926" hidden="1" s="59"/>
    <row r="2927" hidden="1" s="59"/>
    <row r="2928" hidden="1" s="59"/>
    <row r="2929" hidden="1" s="59"/>
    <row r="2930" hidden="1" s="59"/>
    <row r="2931" hidden="1" s="59"/>
    <row r="2932" hidden="1" s="59"/>
    <row r="2933" hidden="1" s="59"/>
    <row r="2934" hidden="1" s="59"/>
    <row r="2935" hidden="1" s="59"/>
    <row r="2937" hidden="1" s="59"/>
    <row r="2938" hidden="1" s="59"/>
    <row r="2939" hidden="1" s="59"/>
    <row r="2940" hidden="1" s="59"/>
    <row r="2941" hidden="1" s="59"/>
    <row r="2942" hidden="1" s="59"/>
    <row r="2943" hidden="1" s="59"/>
    <row r="2944" hidden="1" s="59"/>
    <row r="2945" hidden="1" s="59"/>
    <row r="2946" hidden="1" s="59"/>
    <row r="2947" hidden="1" s="59"/>
    <row r="2948" hidden="1" s="59"/>
    <row r="2949" hidden="1" s="59"/>
    <row r="2950" hidden="1" s="59"/>
    <row r="2951" hidden="1" s="59"/>
    <row r="2952" hidden="1" s="59"/>
    <row r="2953" hidden="1" s="59"/>
    <row r="2954" hidden="1" s="59"/>
    <row r="2955" hidden="1" s="59"/>
    <row r="2956" hidden="1" s="59"/>
    <row r="2957" hidden="1" s="59"/>
    <row r="2958" hidden="1" s="59"/>
    <row r="2959" hidden="1" s="59"/>
    <row r="2960" hidden="1" s="59"/>
    <row r="2961" hidden="1" s="59"/>
    <row r="2962" hidden="1" s="59"/>
    <row r="2963" hidden="1" s="59"/>
    <row r="2964" hidden="1" s="59"/>
    <row r="2965" hidden="1" s="59"/>
    <row r="2966" hidden="1" s="59"/>
    <row r="2967" hidden="1" s="59"/>
    <row r="2968" hidden="1" s="59"/>
    <row r="2969" hidden="1" s="59"/>
    <row r="2970" hidden="1" s="59"/>
    <row r="2971" hidden="1" s="59"/>
    <row r="2972" hidden="1" s="59"/>
    <row r="2973" hidden="1" s="59"/>
    <row r="2974" hidden="1" s="59"/>
    <row r="2975" hidden="1" s="59"/>
    <row r="2976" hidden="1" s="59"/>
    <row r="2977" hidden="1" s="59"/>
    <row r="2978" hidden="1" s="59"/>
    <row r="2979" hidden="1" s="59"/>
    <row r="2980" hidden="1" s="59"/>
    <row r="2981" hidden="1" s="59"/>
    <row r="2982" hidden="1" s="59"/>
    <row r="2983" hidden="1" s="59"/>
    <row r="2984" hidden="1" s="59"/>
    <row r="2985" hidden="1" s="59"/>
    <row r="2986" hidden="1" s="59"/>
    <row r="2987" hidden="1" s="59"/>
    <row r="2988" hidden="1" s="59"/>
    <row r="2989" hidden="1" s="59"/>
    <row r="2990" hidden="1" s="59"/>
    <row r="2991" hidden="1" s="59"/>
    <row r="2992" hidden="1" s="59"/>
    <row r="2993" hidden="1" s="59"/>
    <row r="2994" hidden="1" s="59"/>
    <row r="2995" hidden="1" s="59"/>
    <row r="2996" hidden="1" s="59"/>
    <row r="2997" hidden="1" s="59"/>
    <row r="2998" hidden="1" s="59"/>
    <row r="2999" hidden="1" s="59"/>
    <row r="3000" hidden="1" s="59"/>
    <row r="3001" hidden="1" s="59"/>
    <row r="3002" hidden="1" s="59"/>
    <row r="3003" hidden="1" s="59"/>
    <row r="3004" hidden="1" s="59"/>
    <row r="3005" hidden="1" s="59"/>
    <row r="3006" hidden="1" s="59"/>
    <row r="3007" hidden="1" s="59"/>
    <row r="3008" hidden="1" s="59"/>
    <row r="3009" hidden="1" s="59"/>
    <row r="3010" hidden="1" s="59"/>
    <row r="3011" hidden="1" s="59"/>
    <row r="3012" hidden="1" s="59"/>
    <row r="3013" hidden="1" s="59"/>
    <row r="3014" hidden="1" s="59"/>
    <row r="3015" hidden="1" s="59"/>
    <row r="3016" hidden="1" s="59"/>
    <row r="3017" hidden="1" s="59"/>
    <row r="3018" hidden="1" s="59"/>
    <row r="3019" hidden="1" s="59"/>
    <row r="3020" hidden="1" s="59"/>
    <row r="3021" hidden="1" s="59"/>
    <row r="3022" hidden="1" s="59"/>
    <row r="3023" hidden="1" s="59"/>
    <row r="3024" hidden="1" s="59"/>
    <row r="3025" hidden="1" s="59"/>
    <row r="3026" hidden="1" s="59"/>
    <row r="3027" hidden="1" s="59"/>
    <row r="3028" hidden="1" s="59"/>
    <row r="3029" hidden="1" s="59"/>
    <row r="3030" hidden="1" s="59"/>
    <row r="3031" hidden="1" s="59"/>
    <row r="3032" hidden="1" s="59"/>
    <row r="3033" hidden="1" s="59"/>
    <row r="3034" hidden="1" s="59"/>
    <row r="3035" hidden="1" s="59"/>
    <row r="3036" hidden="1" s="59"/>
    <row r="3037" hidden="1" s="59"/>
    <row r="3038" hidden="1" s="59"/>
    <row r="3039" hidden="1" s="59"/>
    <row r="3040" hidden="1" s="59"/>
    <row r="3041" hidden="1" s="59"/>
    <row r="3042" hidden="1" s="59"/>
    <row r="3043" hidden="1" s="59"/>
    <row r="3044" hidden="1" s="59"/>
    <row r="3045" hidden="1" s="59"/>
    <row r="3046" hidden="1" s="59"/>
    <row r="3047" hidden="1" s="59"/>
    <row r="3048" hidden="1" s="59"/>
    <row r="3049" hidden="1" s="59"/>
    <row r="3050" hidden="1" s="59"/>
    <row r="3051" hidden="1" s="59"/>
    <row r="3052" hidden="1" s="59"/>
    <row r="3053" hidden="1" s="59"/>
    <row r="3054" hidden="1" s="59"/>
    <row r="3055" hidden="1" s="59"/>
    <row r="3056" hidden="1" s="59"/>
    <row r="3057" hidden="1" s="59"/>
    <row r="3058" hidden="1" s="59"/>
    <row r="3059" hidden="1" s="59"/>
    <row r="3060" hidden="1" s="59"/>
    <row r="3061" hidden="1" s="59"/>
    <row r="3062" hidden="1" s="59"/>
    <row r="3063" hidden="1" s="59"/>
    <row r="3064" hidden="1" s="59"/>
    <row r="3065" hidden="1" s="59"/>
    <row r="3066" hidden="1" s="59"/>
    <row r="3067" hidden="1" s="59"/>
    <row r="3068" hidden="1" s="59"/>
    <row r="3069" hidden="1" s="59"/>
    <row r="3070" hidden="1" s="59"/>
    <row r="3071" hidden="1" s="59"/>
    <row r="3072" hidden="1" s="59"/>
    <row r="3073" hidden="1" s="59"/>
    <row r="3074" hidden="1" s="59"/>
    <row r="3075" hidden="1" s="59"/>
    <row r="3076" hidden="1" s="59"/>
    <row r="3077" hidden="1" s="59"/>
    <row r="3078" hidden="1" s="59"/>
    <row r="3079" hidden="1" s="59"/>
    <row r="3080" hidden="1" s="59"/>
    <row r="3081" hidden="1" s="59"/>
    <row r="3082" hidden="1" s="59"/>
    <row r="3083" hidden="1" s="59"/>
    <row r="3084" hidden="1" s="59"/>
    <row r="3085" hidden="1" s="59"/>
    <row r="3086" hidden="1" s="59"/>
    <row r="3087" hidden="1" s="59"/>
    <row r="3088" hidden="1" s="59"/>
    <row r="3089" hidden="1" s="59"/>
    <row r="3090" hidden="1" s="59"/>
    <row r="3091" hidden="1" s="59"/>
    <row r="3092" hidden="1" s="59"/>
    <row r="3093" hidden="1" s="59"/>
    <row r="3094" hidden="1" s="59"/>
    <row r="3095" hidden="1" s="59"/>
    <row r="3096" hidden="1" s="59"/>
    <row r="3097" hidden="1" s="59"/>
    <row r="3098" hidden="1" s="59"/>
    <row r="3099" hidden="1" s="59"/>
    <row r="3100" hidden="1" s="59"/>
    <row r="3101" hidden="1" s="59"/>
    <row r="3102" hidden="1" s="59"/>
    <row r="3103" hidden="1" s="59"/>
    <row r="3104" hidden="1" s="59"/>
    <row r="3105" hidden="1" s="59"/>
    <row r="3106" hidden="1" s="59"/>
    <row r="3107" hidden="1" s="59"/>
    <row r="3108" hidden="1" s="59"/>
    <row r="3109" hidden="1" s="59"/>
    <row r="3110" hidden="1" s="59"/>
    <row r="3111" hidden="1" s="59"/>
    <row r="3112" hidden="1" s="59"/>
    <row r="3113" hidden="1" s="59"/>
    <row r="3114" hidden="1" s="59"/>
    <row r="3115" hidden="1" s="59"/>
    <row r="3116" hidden="1" s="59"/>
    <row r="3117" hidden="1" s="59"/>
    <row r="3118" hidden="1" s="59"/>
    <row r="3119" hidden="1" s="59"/>
    <row r="3120" hidden="1" s="59"/>
    <row r="3121" hidden="1" s="59"/>
    <row r="3122" hidden="1" s="59"/>
    <row r="3123" hidden="1" s="59"/>
    <row r="3124" hidden="1" s="59"/>
    <row r="3125" hidden="1" s="59"/>
    <row r="3126" hidden="1" s="59"/>
    <row r="3127" hidden="1" s="59"/>
    <row r="3128" hidden="1" s="59"/>
    <row r="3129" hidden="1" s="59"/>
    <row r="3130" hidden="1" s="59"/>
    <row r="3131" hidden="1" s="59"/>
    <row r="3132" hidden="1" s="59"/>
    <row r="3133" hidden="1" s="59"/>
    <row r="3134" hidden="1" s="59"/>
    <row r="3135" hidden="1" s="59"/>
    <row r="3136" hidden="1" s="59"/>
    <row r="3137" hidden="1" s="59"/>
    <row r="3138" hidden="1" s="59"/>
    <row r="3139" hidden="1" s="59"/>
    <row r="3140" hidden="1" s="59"/>
    <row r="3141" hidden="1" s="59"/>
    <row r="3142" hidden="1" s="59"/>
    <row r="3143" hidden="1" s="59"/>
    <row r="3144" hidden="1" s="59"/>
    <row r="3145" hidden="1" s="59"/>
    <row r="3146" hidden="1" s="59"/>
    <row r="3147" hidden="1" s="59"/>
    <row r="3148" hidden="1" s="59"/>
    <row r="3149" hidden="1" s="59"/>
    <row r="3150" hidden="1" s="59"/>
    <row r="3151" hidden="1" s="59"/>
    <row r="3152" hidden="1" s="59"/>
    <row r="3153" hidden="1" s="59"/>
    <row r="3154" hidden="1" s="59"/>
    <row r="3155" hidden="1" s="59"/>
    <row r="3156" hidden="1" s="59"/>
    <row r="3157" hidden="1" s="59"/>
    <row r="3158" hidden="1" s="59"/>
    <row r="3159" hidden="1" s="59"/>
    <row r="3160" hidden="1" s="59"/>
    <row r="3161" hidden="1" s="59"/>
    <row r="3162" hidden="1" s="59"/>
    <row r="3165" hidden="1" s="59"/>
    <row r="3166" hidden="1" s="59"/>
    <row r="3167" hidden="1" s="59"/>
    <row r="3168" hidden="1" s="59"/>
    <row r="3169" hidden="1" s="59"/>
    <row r="3170" hidden="1" s="59"/>
    <row r="3171" hidden="1" s="59"/>
    <row r="3172" hidden="1" s="59"/>
    <row r="3173" hidden="1" s="59"/>
    <row r="3174" hidden="1" s="59"/>
    <row r="3175" hidden="1" s="59"/>
    <row r="3176" hidden="1" s="59"/>
    <row r="3177" hidden="1" s="59"/>
    <row r="3178" hidden="1" s="59"/>
    <row r="3179" hidden="1" s="59"/>
    <row r="3180" hidden="1" s="59"/>
    <row r="3181" hidden="1" s="59"/>
    <row r="3182" hidden="1" s="59"/>
    <row r="3183" hidden="1" s="59"/>
    <row r="3184" hidden="1" s="59"/>
    <row r="3185" hidden="1" s="59"/>
    <row r="3186" hidden="1" s="59"/>
    <row r="3187" hidden="1" s="59"/>
    <row r="3188" hidden="1" s="59"/>
    <row r="3189" hidden="1" s="59"/>
    <row r="3190" hidden="1" s="59"/>
    <row r="3191" hidden="1" s="59"/>
    <row r="3192" hidden="1" s="59"/>
    <row r="3193" hidden="1" s="59"/>
    <row r="3194" hidden="1" s="59"/>
    <row r="3195" hidden="1" s="59"/>
    <row r="3196" hidden="1" s="59"/>
    <row r="3197" hidden="1" s="59"/>
    <row r="3198" hidden="1" s="59"/>
    <row r="3199" hidden="1" s="59"/>
    <row r="3200" hidden="1" s="59"/>
    <row r="3201" hidden="1" s="59"/>
    <row r="3202" hidden="1" s="59"/>
    <row r="3203" hidden="1" s="59"/>
    <row r="3204" hidden="1" s="59"/>
    <row r="3205" hidden="1" s="59"/>
    <row r="3206" hidden="1" s="59"/>
    <row r="3207" hidden="1" s="59"/>
    <row r="3208" hidden="1" s="59"/>
    <row r="3209" hidden="1" s="59"/>
    <row r="3210" hidden="1" s="59"/>
    <row r="3211" hidden="1" s="59"/>
    <row r="3212" hidden="1" s="59"/>
    <row r="3213" hidden="1" s="59"/>
    <row r="3215" hidden="1" s="59"/>
    <row r="3216" hidden="1" s="59"/>
    <row r="3217" hidden="1" s="59"/>
    <row r="3218" hidden="1" s="59"/>
    <row r="3219" hidden="1" s="59"/>
    <row r="3220" hidden="1" s="59"/>
    <row r="3221" hidden="1" s="59"/>
    <row r="3222" hidden="1" s="59"/>
    <row r="3223" hidden="1" s="59"/>
    <row r="3224" hidden="1" s="59"/>
    <row r="3225" hidden="1" s="59"/>
    <row r="3226" hidden="1" s="59"/>
    <row r="3227" hidden="1" s="59"/>
    <row r="3228" hidden="1" s="59"/>
    <row r="3229" hidden="1" s="59"/>
    <row r="3230" hidden="1" s="59"/>
    <row r="3231" hidden="1" s="59"/>
    <row r="3232" hidden="1" s="59"/>
    <row r="3233" hidden="1" s="59"/>
    <row r="3234" hidden="1" s="59"/>
    <row r="3235" hidden="1" s="59"/>
    <row r="3236" hidden="1" s="59"/>
    <row r="3237" hidden="1" s="59"/>
    <row r="3238" hidden="1" s="59"/>
    <row r="3239" hidden="1" s="59"/>
    <row r="3240" hidden="1" s="59"/>
    <row r="3241" hidden="1" s="59"/>
    <row r="3242" hidden="1" s="59"/>
    <row r="3243" hidden="1" s="59"/>
    <row r="3244" hidden="1" s="59"/>
    <row r="3245" hidden="1" s="59"/>
    <row r="3246" hidden="1" s="59"/>
    <row r="3247" hidden="1" s="59"/>
    <row r="3248" hidden="1" s="59"/>
    <row r="3249" hidden="1" s="59"/>
    <row r="3250" hidden="1" s="59"/>
    <row r="3251" hidden="1" s="59"/>
    <row r="3252" hidden="1" s="59"/>
    <row r="3253" hidden="1" s="59"/>
    <row r="3254" hidden="1" s="59"/>
    <row r="3255" hidden="1" s="59"/>
    <row r="3256" hidden="1" s="59"/>
    <row r="3257" hidden="1" s="59"/>
    <row r="3258" hidden="1" s="59"/>
    <row r="3259" hidden="1" s="59"/>
    <row r="3260" hidden="1" s="59"/>
    <row r="3261" hidden="1" s="59"/>
    <row r="3262" hidden="1" s="59"/>
    <row r="3263" hidden="1" s="59"/>
    <row r="3264" hidden="1" s="59"/>
    <row r="3265" hidden="1" s="59"/>
    <row r="3266" hidden="1" s="59"/>
    <row r="3267" hidden="1" s="59"/>
    <row r="3268" hidden="1" s="59"/>
    <row r="3269" hidden="1" s="59"/>
    <row r="3270" hidden="1" s="59"/>
    <row r="3271" hidden="1" s="59"/>
    <row r="3272" hidden="1" s="59"/>
    <row r="3273" hidden="1" s="59"/>
    <row r="3274" hidden="1" s="59"/>
    <row r="3275" hidden="1" s="59"/>
    <row r="3276" hidden="1" s="59"/>
    <row r="3277" hidden="1" s="59"/>
    <row r="3278" hidden="1" s="59"/>
    <row r="3279" hidden="1" s="59"/>
    <row r="3280" hidden="1" s="59"/>
    <row r="3281" hidden="1" s="59"/>
    <row r="3282" hidden="1" s="59"/>
    <row r="3283" hidden="1" s="59"/>
    <row r="3284" hidden="1" s="59"/>
    <row r="3285" hidden="1" s="59"/>
    <row r="3286" hidden="1" s="59"/>
    <row r="3287" hidden="1" s="59"/>
    <row r="3288" hidden="1" s="59"/>
    <row r="3289" hidden="1" s="59"/>
    <row r="3290" hidden="1" s="59"/>
    <row r="3291" hidden="1" s="59"/>
    <row r="3292" hidden="1" s="59"/>
    <row r="3293" hidden="1" s="59"/>
    <row r="3294" hidden="1" s="59"/>
    <row r="3295" hidden="1" s="59"/>
    <row r="3296" hidden="1" s="59"/>
    <row r="3297" hidden="1" s="59"/>
    <row r="3298" hidden="1" s="59"/>
    <row r="3299" hidden="1" s="59"/>
    <row r="3300" hidden="1" s="59"/>
    <row r="3301" hidden="1" s="59"/>
    <row r="3302" hidden="1" s="59"/>
    <row r="3303" hidden="1" s="59"/>
    <row r="3304" hidden="1" s="59"/>
    <row r="3305" hidden="1" s="59"/>
    <row r="3306" hidden="1" s="59"/>
    <row r="3307" hidden="1" s="59"/>
    <row r="3308" hidden="1" s="59"/>
    <row r="3309" hidden="1" s="59"/>
    <row r="3310" hidden="1" s="59"/>
    <row r="3311" hidden="1" s="59"/>
    <row r="3312" hidden="1" s="59"/>
    <row r="3313" hidden="1" s="59"/>
    <row r="3314" hidden="1" s="59"/>
    <row r="3315" hidden="1" s="59"/>
    <row r="3316" hidden="1" s="59"/>
    <row r="3317" hidden="1" s="59"/>
    <row r="3318" hidden="1" s="59"/>
    <row r="3319" hidden="1" s="59"/>
    <row r="3320" hidden="1" s="59"/>
    <row r="3321" hidden="1" s="59"/>
    <row r="3322" hidden="1" s="59"/>
    <row r="3323" hidden="1" s="59"/>
    <row r="3324" hidden="1" s="59"/>
    <row r="3325" hidden="1" s="59"/>
    <row r="3326" hidden="1" s="59"/>
    <row r="3327" hidden="1" s="59"/>
    <row r="3328" hidden="1" s="59"/>
    <row r="3329" hidden="1" s="59"/>
    <row r="3330" hidden="1" s="59"/>
    <row r="3331" hidden="1" s="59"/>
    <row r="3332" hidden="1" s="59"/>
    <row r="3333" hidden="1" s="59"/>
    <row r="3334" hidden="1" s="59"/>
    <row r="3335" hidden="1" s="59"/>
    <row r="3336" hidden="1" s="59"/>
    <row r="3337" hidden="1" s="59"/>
    <row r="3338" hidden="1" s="59"/>
    <row r="3339" hidden="1" s="59"/>
    <row r="3340" hidden="1" s="59"/>
    <row r="3341" hidden="1" s="59"/>
    <row r="3342" hidden="1" s="59"/>
    <row r="3343" hidden="1" s="59"/>
    <row r="3344" hidden="1" s="59"/>
    <row r="3345" hidden="1" s="59"/>
    <row r="3346" hidden="1" s="59"/>
    <row r="3347" hidden="1" s="59"/>
    <row r="3348" hidden="1" s="59"/>
    <row r="3349" hidden="1" s="59"/>
    <row r="3350" hidden="1" s="59"/>
    <row r="3351" hidden="1" s="59"/>
    <row r="3352" hidden="1" s="59"/>
    <row r="3353" hidden="1" s="59"/>
    <row r="3354" hidden="1" s="59"/>
    <row r="3355" hidden="1" s="59"/>
    <row r="3356" hidden="1" s="59"/>
    <row r="3357" hidden="1" s="59"/>
    <row r="3358" hidden="1" s="59"/>
    <row r="3359" hidden="1" s="59"/>
    <row r="3360" hidden="1" s="59"/>
    <row r="3361" hidden="1" s="59"/>
    <row r="3362" hidden="1" s="59"/>
    <row r="3363" hidden="1" s="59"/>
    <row r="3364" hidden="1" s="59"/>
    <row r="3365" hidden="1" s="59"/>
    <row r="3366" hidden="1" s="59"/>
    <row r="3367" hidden="1" s="59"/>
    <row r="3368" hidden="1" s="59"/>
    <row r="3369" hidden="1" s="59"/>
    <row r="3370" hidden="1" s="59"/>
    <row r="3371" hidden="1" s="59"/>
    <row r="3372" hidden="1" s="59"/>
    <row r="3373" hidden="1" s="59"/>
    <row r="3374" hidden="1" s="59"/>
    <row r="3375" hidden="1" s="59"/>
    <row r="3376" hidden="1" s="59"/>
    <row r="3377" hidden="1" s="59"/>
    <row r="3378" hidden="1" s="59"/>
    <row r="3379" hidden="1" s="59"/>
    <row r="3380" hidden="1" s="59"/>
    <row r="3381" hidden="1" s="59"/>
    <row r="3382" hidden="1" s="59"/>
    <row r="3383" hidden="1" s="59"/>
    <row r="3384" hidden="1" s="59"/>
    <row r="3385" hidden="1" s="59"/>
    <row r="3386" hidden="1" s="59"/>
    <row r="3387" hidden="1" s="59"/>
    <row r="3388" hidden="1" s="59"/>
    <row r="3389" hidden="1" s="59"/>
    <row r="3390" hidden="1" s="59"/>
    <row r="3391" hidden="1" s="59"/>
    <row r="3392" hidden="1" s="59"/>
    <row r="3393" hidden="1" s="59"/>
    <row r="3394" hidden="1" s="59"/>
    <row r="3395" hidden="1" s="59"/>
    <row r="3396" hidden="1" s="59"/>
    <row r="3397" hidden="1" s="59"/>
    <row r="3398" hidden="1" s="59"/>
    <row r="3399" hidden="1" s="59"/>
    <row r="3400" hidden="1" s="59"/>
    <row r="3401" hidden="1" s="59"/>
    <row r="3402" hidden="1" s="59"/>
    <row r="3403" hidden="1" s="59"/>
    <row r="3404" hidden="1" s="59"/>
    <row r="3405" hidden="1" s="59"/>
    <row r="3406" hidden="1" s="59"/>
    <row r="3407" hidden="1" s="59"/>
    <row r="3408" hidden="1" s="59"/>
    <row r="3409" hidden="1" s="59"/>
    <row r="3410" hidden="1" s="59"/>
    <row r="3411" hidden="1" s="59"/>
    <row r="3412" hidden="1" s="59"/>
    <row r="3413" hidden="1" s="59"/>
    <row r="3414" hidden="1" s="59"/>
    <row r="3415" hidden="1" s="59"/>
    <row r="3416" hidden="1" s="59"/>
    <row r="3417" hidden="1" s="59"/>
    <row r="3418" hidden="1" s="59"/>
    <row r="3419" hidden="1" s="59"/>
    <row r="3420" hidden="1" s="59"/>
    <row r="3421" hidden="1" s="59"/>
    <row r="3422" hidden="1" s="59"/>
    <row r="3423" hidden="1" s="59"/>
    <row r="3424" hidden="1" s="59"/>
    <row r="3425" hidden="1" s="59"/>
    <row r="3426" hidden="1" s="59"/>
    <row r="3427" hidden="1" s="59"/>
    <row r="3428" hidden="1" s="59"/>
    <row r="3429" hidden="1" s="59"/>
    <row r="3430" hidden="1" s="59"/>
    <row r="3431" hidden="1" s="59"/>
    <row r="3432" hidden="1" s="59"/>
    <row r="3433" hidden="1" s="59"/>
    <row r="3434" hidden="1" s="59"/>
    <row r="3435" hidden="1" s="59"/>
    <row r="3436" hidden="1" s="59"/>
    <row r="3437" hidden="1" s="59"/>
    <row r="3438" hidden="1" s="59"/>
    <row r="3439" hidden="1" s="59"/>
    <row r="3440" hidden="1" s="59"/>
    <row r="3441" hidden="1" s="59"/>
    <row r="3442" hidden="1" s="59"/>
    <row r="3443" hidden="1" s="59"/>
    <row r="3444" hidden="1" s="59"/>
    <row r="3445" hidden="1" s="59"/>
    <row r="3446" hidden="1" s="59"/>
    <row r="3447" hidden="1" s="59"/>
    <row r="3448" hidden="1" s="59"/>
    <row r="3449" hidden="1" s="59"/>
    <row r="3450" hidden="1" s="59"/>
    <row r="3451" hidden="1" s="59"/>
    <row r="3452" hidden="1" s="59"/>
    <row r="3453" hidden="1" s="59"/>
    <row r="3454" hidden="1" s="59"/>
    <row r="3455" hidden="1" s="59"/>
    <row r="3456" hidden="1" s="59"/>
    <row r="3457" hidden="1" s="59"/>
    <row r="3458" hidden="1" s="59"/>
    <row r="3459" hidden="1" s="59"/>
    <row r="3460" hidden="1" s="59"/>
    <row r="3461" hidden="1" s="59"/>
    <row r="3462" hidden="1" s="59"/>
    <row r="3463" hidden="1" s="59"/>
    <row r="3464" hidden="1" s="59"/>
    <row r="3465" hidden="1" s="59"/>
    <row r="3466" hidden="1" s="59"/>
    <row r="3467" hidden="1" s="59"/>
    <row r="3468" hidden="1" s="59"/>
    <row r="3469" hidden="1" s="59"/>
    <row r="3470" hidden="1" s="59"/>
    <row r="3471" hidden="1" s="59"/>
    <row r="3472" hidden="1" s="59"/>
    <row r="3473" hidden="1" s="59"/>
    <row r="3474" hidden="1" s="59"/>
    <row r="3475" hidden="1" s="59"/>
    <row r="3476" hidden="1" s="59"/>
    <row r="3477" hidden="1" s="59"/>
    <row r="3478" hidden="1" s="59"/>
    <row r="3479" hidden="1" s="59"/>
    <row r="3480" hidden="1" s="59"/>
    <row r="3481" hidden="1" s="59"/>
    <row r="3482" hidden="1" s="59"/>
    <row r="3483" hidden="1" s="59"/>
    <row r="3484" hidden="1" s="59"/>
    <row r="3485" hidden="1" s="59"/>
    <row r="3486" hidden="1" s="59"/>
    <row r="3487" hidden="1" s="59"/>
    <row r="3488" hidden="1" s="59"/>
    <row r="3489" hidden="1" s="59"/>
    <row r="3490" hidden="1" s="59"/>
    <row r="3491" hidden="1" s="59"/>
    <row r="3492" hidden="1" s="59"/>
    <row r="3493" hidden="1" s="59"/>
    <row r="3494" hidden="1" s="59"/>
    <row r="3495" hidden="1" s="59"/>
    <row r="3496" hidden="1" s="59"/>
    <row r="3497" hidden="1" s="59"/>
    <row r="3498" hidden="1" s="59"/>
    <row r="3499" hidden="1" s="59"/>
    <row r="3500" hidden="1" s="59"/>
    <row r="3501" hidden="1" s="59"/>
    <row r="3502" hidden="1" s="59"/>
    <row r="3503" hidden="1" s="59"/>
    <row r="3504" hidden="1" s="59"/>
    <row r="3505" hidden="1" s="59"/>
    <row r="3506" hidden="1" s="59"/>
    <row r="3507" hidden="1" s="59"/>
    <row r="3508" hidden="1" s="59"/>
    <row r="3509" hidden="1" s="59"/>
    <row r="3510" hidden="1" s="59"/>
    <row r="3511" hidden="1" s="59"/>
    <row r="3512" hidden="1" s="59"/>
    <row r="3513" hidden="1" s="59"/>
    <row r="3514" hidden="1" s="59"/>
    <row r="3515" hidden="1" s="59"/>
    <row r="3516" hidden="1" s="59"/>
    <row r="3517" hidden="1" s="59"/>
    <row r="3518" hidden="1" s="59"/>
    <row r="3519" hidden="1" s="59"/>
    <row r="3520" hidden="1" s="59"/>
    <row r="3521" hidden="1" s="59"/>
    <row r="3522" hidden="1" s="59"/>
    <row r="3523" hidden="1" s="59"/>
    <row r="3524" hidden="1" s="59"/>
    <row r="3525" hidden="1" s="59"/>
    <row r="3526" hidden="1" s="59"/>
    <row r="3527" hidden="1" s="59"/>
    <row r="3528" hidden="1" s="59"/>
    <row r="3529" hidden="1" s="59"/>
    <row r="3530" hidden="1" s="59"/>
    <row r="3531" hidden="1" s="59"/>
    <row r="3532" hidden="1" s="59"/>
    <row r="3533" hidden="1" s="59"/>
    <row r="3534" hidden="1" s="59"/>
    <row r="3535" hidden="1" s="59"/>
    <row r="3536" hidden="1" s="59"/>
    <row r="3537" hidden="1" s="59"/>
    <row r="3538" hidden="1" s="59"/>
    <row r="3539" hidden="1" s="59"/>
    <row r="3540" hidden="1" s="59"/>
    <row r="3541" hidden="1" s="59"/>
    <row r="3542" hidden="1" s="59"/>
    <row r="3543" hidden="1" s="59"/>
    <row r="3544" hidden="1" s="59"/>
    <row r="3545" hidden="1" s="59"/>
    <row r="3546" hidden="1" s="59"/>
    <row r="3547" hidden="1" s="59"/>
    <row r="3548" hidden="1" s="59"/>
    <row r="3549" hidden="1" s="59"/>
    <row r="3550" hidden="1" s="59"/>
    <row r="3551" hidden="1" s="59"/>
    <row r="3552" hidden="1" s="59"/>
    <row r="3553" hidden="1" s="59"/>
    <row r="3554" hidden="1" s="59"/>
    <row r="3555" hidden="1" s="59"/>
    <row r="3556" hidden="1" s="59"/>
    <row r="3557" hidden="1" s="59"/>
    <row r="3558" hidden="1" s="59"/>
    <row r="3559" hidden="1" s="59"/>
    <row r="3560" hidden="1" s="59"/>
    <row r="3561" hidden="1" s="59"/>
    <row r="3562" hidden="1" s="59"/>
    <row r="3563" hidden="1" s="59"/>
    <row r="3564" hidden="1" s="59"/>
    <row r="3565" hidden="1" s="59"/>
    <row r="3566" hidden="1" s="59"/>
    <row r="3567" hidden="1" s="59"/>
    <row r="3568" hidden="1" s="59"/>
    <row r="3569" hidden="1" s="59"/>
    <row r="3570" hidden="1" s="59"/>
    <row r="3571" hidden="1" s="59"/>
    <row r="3572" hidden="1" s="59"/>
    <row r="3573" hidden="1" s="59"/>
    <row r="3574" hidden="1" s="59"/>
    <row r="3575" hidden="1" s="59"/>
    <row r="3576" hidden="1" s="59"/>
    <row r="3577" hidden="1" s="59"/>
    <row r="3578" hidden="1" s="59"/>
    <row r="3579" hidden="1" s="59"/>
    <row r="3580" hidden="1" s="59"/>
    <row r="3581" hidden="1" s="59"/>
    <row r="3582" hidden="1" s="59"/>
    <row r="3583" hidden="1" s="59"/>
    <row r="3584" hidden="1" s="59"/>
    <row r="3585" hidden="1" s="59"/>
    <row r="3586" hidden="1" s="59"/>
    <row r="3587" hidden="1" s="59"/>
    <row r="3588" hidden="1" s="59"/>
    <row r="3589" hidden="1" s="59"/>
    <row r="3590" hidden="1" s="59"/>
    <row r="3591" hidden="1" s="59"/>
    <row r="3592" hidden="1" s="59"/>
    <row r="3593" hidden="1" s="59"/>
    <row r="3594" hidden="1" s="59"/>
    <row r="3595" hidden="1" s="59"/>
    <row r="3596" hidden="1" s="59"/>
    <row r="3597" hidden="1" s="59"/>
    <row r="3598" hidden="1" s="59"/>
    <row r="3599" hidden="1" s="59"/>
    <row r="3600" hidden="1" s="59"/>
    <row r="3601" hidden="1" s="59"/>
    <row r="3602" hidden="1" s="59"/>
    <row r="3603" hidden="1" s="59"/>
    <row r="3604" hidden="1" s="59"/>
    <row r="3605" hidden="1" s="59"/>
    <row r="3606" hidden="1" s="59"/>
    <row r="3607" hidden="1" s="59"/>
    <row r="3608" hidden="1" s="59"/>
    <row r="3609" hidden="1" s="59"/>
    <row r="3610" hidden="1" s="59"/>
    <row r="3611" hidden="1" s="59"/>
    <row r="3612" hidden="1" s="59"/>
    <row r="3613" hidden="1" s="59"/>
    <row r="3614" hidden="1" s="59"/>
    <row r="3615" hidden="1" s="59"/>
    <row r="3616" hidden="1" s="59"/>
    <row r="3617" hidden="1" s="59"/>
    <row r="3618" hidden="1" s="59"/>
    <row r="3619" hidden="1" s="59"/>
    <row r="3620" hidden="1" s="59"/>
    <row r="3621" hidden="1" s="59"/>
    <row r="3622" hidden="1" s="59"/>
    <row r="3623" hidden="1" s="59"/>
    <row r="3624" hidden="1" s="59"/>
    <row r="3625" hidden="1" s="59"/>
    <row r="3626" hidden="1" s="59"/>
    <row r="3627" hidden="1" s="59"/>
    <row r="3628" hidden="1" s="59"/>
    <row r="3629" hidden="1" s="59"/>
    <row r="3630" hidden="1" s="59"/>
    <row r="3631" hidden="1" s="59"/>
    <row r="3632" hidden="1" s="59"/>
    <row r="3633" hidden="1" s="59"/>
    <row r="3634" hidden="1" s="59"/>
    <row r="3635" hidden="1" s="59"/>
    <row r="3636" hidden="1" s="59"/>
    <row r="3637" hidden="1" s="59"/>
    <row r="3638" hidden="1" s="59"/>
    <row r="3639" hidden="1" s="59"/>
    <row r="3640" hidden="1" s="59"/>
    <row r="3641" hidden="1" s="59"/>
    <row r="3642" hidden="1" s="59"/>
    <row r="3643" hidden="1" s="59"/>
    <row r="3644" hidden="1" s="59"/>
    <row r="3646" hidden="1" s="59"/>
    <row r="3647" hidden="1" s="59"/>
    <row r="3648" hidden="1" s="59"/>
    <row r="3649" hidden="1" s="59"/>
    <row r="3650" hidden="1" s="59"/>
    <row r="3651" hidden="1" s="59"/>
    <row r="3652" hidden="1" s="59"/>
    <row r="3653" hidden="1" s="59"/>
    <row r="3654" hidden="1" s="59"/>
    <row r="3655" hidden="1" s="59"/>
    <row r="3656" hidden="1" s="59"/>
    <row r="3657" hidden="1" s="59"/>
    <row r="3658" hidden="1" s="59"/>
    <row r="3659" hidden="1" s="59"/>
    <row r="3660" hidden="1" s="59"/>
    <row r="3661" hidden="1" s="59"/>
    <row r="3662" hidden="1" s="59"/>
    <row r="3663" hidden="1" s="59"/>
    <row r="3664" hidden="1" s="59"/>
    <row r="3665" hidden="1" s="59"/>
    <row r="3666" hidden="1" s="59"/>
    <row r="3667" hidden="1" s="59"/>
    <row r="3668" hidden="1" s="59"/>
    <row r="3669" hidden="1" s="59"/>
    <row r="3670" hidden="1" s="59"/>
    <row r="3671" hidden="1" s="59"/>
    <row r="3672" hidden="1" s="59"/>
    <row r="3673" hidden="1" s="59"/>
    <row r="3674" hidden="1" s="59"/>
    <row r="3675" hidden="1" s="59"/>
    <row r="3676" hidden="1" s="59"/>
    <row r="3677" hidden="1" s="59"/>
    <row r="3678" hidden="1" s="59"/>
    <row r="3679" hidden="1" s="59"/>
    <row r="3680" hidden="1" s="59"/>
    <row r="3681" hidden="1" s="59"/>
    <row r="3682" hidden="1" s="59"/>
    <row r="3683" hidden="1" s="59"/>
    <row r="3684" hidden="1" s="59"/>
    <row r="3685" hidden="1" s="59"/>
    <row r="3686" hidden="1" s="59"/>
    <row r="3687" hidden="1" s="59"/>
    <row r="3688" hidden="1" s="59"/>
    <row r="3689" hidden="1" s="59"/>
    <row r="3690" hidden="1" s="59"/>
    <row r="3691" hidden="1" s="59"/>
    <row r="3692" hidden="1" s="59"/>
    <row r="3693" hidden="1" s="59"/>
    <row r="3694" hidden="1" s="59"/>
    <row r="3695" hidden="1" s="59"/>
    <row r="3696" hidden="1" s="59"/>
    <row r="3697" hidden="1" s="59"/>
    <row r="3698" hidden="1" s="59"/>
    <row r="3699" hidden="1" s="59"/>
    <row r="3700" hidden="1" s="59"/>
    <row r="3701" hidden="1" s="59"/>
    <row r="3702" hidden="1" s="59"/>
    <row r="3703" hidden="1" s="59"/>
    <row r="3704" hidden="1" s="59"/>
    <row r="3705" hidden="1" s="59"/>
    <row r="3706" hidden="1" s="59"/>
    <row r="3707" hidden="1" s="59"/>
    <row r="3708" hidden="1" s="59"/>
    <row r="3709" hidden="1" s="59"/>
    <row r="3710" hidden="1" s="59"/>
    <row r="3711" hidden="1" s="59"/>
    <row r="3712" hidden="1" s="59"/>
    <row r="3713" hidden="1" s="59"/>
    <row r="3714" hidden="1" s="59"/>
    <row r="3715" hidden="1" s="59"/>
    <row r="3716" hidden="1" s="59"/>
    <row r="3717" hidden="1" s="59"/>
    <row r="3718" hidden="1" s="59"/>
    <row r="3719" hidden="1" s="59"/>
    <row r="3720" hidden="1" s="59"/>
    <row r="3721" hidden="1" s="59"/>
    <row r="3722" hidden="1" s="59"/>
    <row r="3723" hidden="1" s="59"/>
    <row r="3724" hidden="1" s="59"/>
    <row r="3725" hidden="1" s="59"/>
    <row r="3726" hidden="1" s="59"/>
    <row r="3727" hidden="1" s="59"/>
    <row r="3728" hidden="1" s="59"/>
    <row r="3729" hidden="1" s="59"/>
    <row r="3730" hidden="1" s="59"/>
    <row r="3731" hidden="1" s="59"/>
    <row r="3732" hidden="1" s="59"/>
    <row r="3733" hidden="1" s="59"/>
    <row r="3734" hidden="1" s="59"/>
    <row r="3735" hidden="1" s="59"/>
    <row r="3736" hidden="1" s="59"/>
    <row r="3737" hidden="1" s="59"/>
    <row r="3738" hidden="1" s="59"/>
    <row r="3739" hidden="1" s="59"/>
    <row r="3740" hidden="1" s="59"/>
    <row r="3741" hidden="1" s="59"/>
    <row r="3742" hidden="1" s="59"/>
    <row r="3743" hidden="1" s="59"/>
    <row r="3744" hidden="1" s="59"/>
    <row r="3745" hidden="1" s="59"/>
    <row r="3746" hidden="1" s="59"/>
    <row r="3747" hidden="1" s="59"/>
    <row r="3748" hidden="1" s="59"/>
    <row r="3749" hidden="1" s="59"/>
    <row r="3750" hidden="1" s="59"/>
    <row r="3751" hidden="1" s="59"/>
    <row r="3752" hidden="1" s="59"/>
    <row r="3753" hidden="1" s="59"/>
    <row r="3754" hidden="1" s="59"/>
    <row r="3755" hidden="1" s="59"/>
    <row r="3756" hidden="1" s="59"/>
    <row r="3757" hidden="1" s="59"/>
    <row r="3758" hidden="1" s="59"/>
    <row r="3759" hidden="1" s="59"/>
    <row r="3760" hidden="1" s="59"/>
    <row r="3761" hidden="1" s="59"/>
    <row r="3762" hidden="1" s="59"/>
    <row r="3763" hidden="1" s="59"/>
    <row r="3764" hidden="1" s="59"/>
    <row r="3765" hidden="1" s="59"/>
    <row r="3766" hidden="1" s="59"/>
    <row r="3767" hidden="1" s="59"/>
    <row r="3768" hidden="1" s="59"/>
    <row r="3769" hidden="1" s="59"/>
    <row r="3770" hidden="1" s="59"/>
    <row r="3771" hidden="1" s="59"/>
    <row r="3772" hidden="1" s="59"/>
    <row r="3773" hidden="1" s="59"/>
    <row r="3774" hidden="1" s="59"/>
    <row r="3775" hidden="1" s="59"/>
    <row r="3776" hidden="1" s="59"/>
    <row r="3777" hidden="1" s="59"/>
    <row r="3778" hidden="1" s="59"/>
    <row r="3779" hidden="1" s="59"/>
    <row r="3780" hidden="1" s="59"/>
    <row r="3781" hidden="1" s="59"/>
    <row r="3782" hidden="1" s="59"/>
    <row r="3783" hidden="1" s="59"/>
    <row r="3784" hidden="1" s="59"/>
    <row r="3785" hidden="1" s="59"/>
    <row r="3786" hidden="1" s="59"/>
    <row r="3787" hidden="1" s="59"/>
    <row r="3788" hidden="1" s="59"/>
    <row r="3789" hidden="1" s="59"/>
    <row r="3790" hidden="1" s="59"/>
    <row r="3791" hidden="1" s="59"/>
    <row r="3792" hidden="1" s="59"/>
    <row r="3793" hidden="1" s="59"/>
    <row r="3794" hidden="1" s="59"/>
    <row r="3795" hidden="1" s="59"/>
    <row r="3796" hidden="1" s="59"/>
    <row r="3797" hidden="1" s="59"/>
    <row r="3798" hidden="1" s="59"/>
    <row r="3799" hidden="1" s="59"/>
    <row r="3800" hidden="1" s="59"/>
    <row r="3801" hidden="1" s="59"/>
    <row r="3802" hidden="1" s="59"/>
    <row r="3803" hidden="1" s="59"/>
    <row r="3804" hidden="1" s="59"/>
    <row r="3805" hidden="1" s="59"/>
    <row r="3806" hidden="1" s="59"/>
    <row r="3807" hidden="1" s="59"/>
    <row r="3808" hidden="1" s="59"/>
    <row r="3809" hidden="1" s="59"/>
    <row r="3810" hidden="1" s="59"/>
    <row r="3811" hidden="1" s="59"/>
    <row r="3812" hidden="1" s="59"/>
    <row r="3813" hidden="1" s="59"/>
    <row r="3814" hidden="1" s="59"/>
    <row r="3815" hidden="1" s="59"/>
    <row r="3816" hidden="1" s="59"/>
    <row r="3817" hidden="1" s="59"/>
    <row r="3818" hidden="1" s="59"/>
    <row r="3819" hidden="1" s="59"/>
    <row r="3820" hidden="1" s="59"/>
    <row r="3821" hidden="1" s="59"/>
    <row r="3822" hidden="1" s="59"/>
    <row r="3823" hidden="1" s="59"/>
    <row r="3824" hidden="1" s="59"/>
    <row r="3825" hidden="1" s="59"/>
    <row r="3826" hidden="1" s="59"/>
    <row r="3827" hidden="1" s="59"/>
    <row r="3828" hidden="1" s="59"/>
    <row r="3829" hidden="1" s="59"/>
    <row r="3830" hidden="1" s="59"/>
    <row r="3831" hidden="1" s="59"/>
    <row r="3832" hidden="1" s="59"/>
    <row r="3833" hidden="1" s="59"/>
    <row r="3834" hidden="1" s="59"/>
    <row r="3835" hidden="1" s="59"/>
    <row r="3836" hidden="1" s="59"/>
    <row r="3837" hidden="1" s="59"/>
    <row r="3838" hidden="1" s="59"/>
    <row r="3839" hidden="1" s="59"/>
    <row r="3840" hidden="1" s="59"/>
    <row r="3841" hidden="1" s="59"/>
    <row r="3842" hidden="1" s="59"/>
    <row r="3843" hidden="1" s="59"/>
    <row r="3844" hidden="1" s="59"/>
    <row r="3845" hidden="1" s="59"/>
    <row r="3846" hidden="1" s="59"/>
    <row r="3847" hidden="1" s="59"/>
    <row r="3848" hidden="1" s="59"/>
    <row r="3849" hidden="1" s="59"/>
    <row r="3850" hidden="1" s="59"/>
    <row r="3851" hidden="1" s="59"/>
    <row r="3852" hidden="1" s="59"/>
    <row r="3853" hidden="1" s="59"/>
    <row r="3854" hidden="1" s="59"/>
    <row r="3855" hidden="1" s="59"/>
    <row r="3856" hidden="1" s="59"/>
    <row r="3857" hidden="1" s="59"/>
    <row r="3858" hidden="1" s="59"/>
    <row r="3859" hidden="1" s="59"/>
    <row r="3860" hidden="1" s="59"/>
    <row r="3861" hidden="1" s="59"/>
    <row r="3862" hidden="1" s="59"/>
    <row r="3863" hidden="1" s="59"/>
    <row r="3864" hidden="1" s="59"/>
    <row r="3865" hidden="1" s="59"/>
    <row r="3866" hidden="1" s="59"/>
    <row r="3867" hidden="1" s="59"/>
    <row r="3868" hidden="1" s="59"/>
    <row r="3869" hidden="1" s="59"/>
    <row r="3870" hidden="1" s="59"/>
    <row r="3871" hidden="1" s="59"/>
    <row r="3872" hidden="1" s="59"/>
    <row r="3873" hidden="1" s="59"/>
    <row r="3874" hidden="1" s="59"/>
    <row r="3875" hidden="1" s="59"/>
    <row r="3876" hidden="1" s="59"/>
    <row r="3877" hidden="1" s="59"/>
    <row r="3878" hidden="1" s="59"/>
    <row r="3879" hidden="1" s="59"/>
    <row r="3880" hidden="1" s="59"/>
    <row r="3881" hidden="1" s="59"/>
    <row r="3882" hidden="1" s="59"/>
    <row r="3883" hidden="1" s="59"/>
    <row r="3884" hidden="1" s="59"/>
    <row r="3885" hidden="1" s="59"/>
    <row r="3886" hidden="1" s="59"/>
    <row r="3887" hidden="1" s="59"/>
    <row r="3888" hidden="1" s="59"/>
    <row r="3889" hidden="1" s="59"/>
    <row r="3890" hidden="1" s="59"/>
    <row r="3891" hidden="1" s="59"/>
    <row r="3892" hidden="1" s="59"/>
    <row r="3893" hidden="1" s="59"/>
    <row r="3894" hidden="1" s="59"/>
    <row r="3895" hidden="1" s="59"/>
    <row r="3896" hidden="1" s="59"/>
    <row r="3897" hidden="1" s="59"/>
    <row r="3898" hidden="1" s="59"/>
    <row r="3899" hidden="1" s="59"/>
    <row r="3900" hidden="1" s="59"/>
    <row r="3901" hidden="1" s="59"/>
    <row r="3902" hidden="1" s="59"/>
    <row r="3903" hidden="1" s="59"/>
    <row r="3904" hidden="1" s="59"/>
    <row r="3905" hidden="1" s="59"/>
    <row r="3906" hidden="1" s="59"/>
    <row r="3907" hidden="1" s="59"/>
    <row r="3908" hidden="1" s="59"/>
    <row r="3909" hidden="1" s="59"/>
    <row r="3910" hidden="1" s="59"/>
    <row r="3911" hidden="1" s="59"/>
    <row r="3912" hidden="1" s="59"/>
    <row r="3913" hidden="1" s="59"/>
    <row r="3914" hidden="1" s="59"/>
    <row r="3915" hidden="1" s="59"/>
    <row r="3916" hidden="1" s="59"/>
    <row r="3917" hidden="1" s="59"/>
    <row r="3918" hidden="1" s="59"/>
    <row r="3919" hidden="1" s="59"/>
    <row r="3920" hidden="1" s="59"/>
    <row r="3921" hidden="1" s="59"/>
    <row r="3922" hidden="1" s="59"/>
    <row r="3923" hidden="1" s="59"/>
    <row r="3924" hidden="1" s="59"/>
    <row r="3925" hidden="1" s="59"/>
    <row r="3926" hidden="1" s="59"/>
    <row r="3927" hidden="1" s="59"/>
    <row r="3928" hidden="1" s="59"/>
    <row r="3929" hidden="1" s="59"/>
    <row r="3930" hidden="1" s="59"/>
    <row r="3931" hidden="1" s="59"/>
    <row r="3932" hidden="1" s="59"/>
    <row r="3933" hidden="1" s="59"/>
    <row r="3934" hidden="1" s="59"/>
    <row r="3935" hidden="1" s="59"/>
    <row r="3936" hidden="1" s="59"/>
    <row r="3937" hidden="1" s="59"/>
    <row r="3938" hidden="1" s="59"/>
    <row r="3939" hidden="1" s="59"/>
    <row r="3940" hidden="1" s="59"/>
    <row r="3941" hidden="1" s="59"/>
    <row r="3942" hidden="1" s="59"/>
    <row r="3943" hidden="1" s="59"/>
    <row r="3944" hidden="1" s="59"/>
    <row r="3945" hidden="1" s="59"/>
    <row r="3946" hidden="1" s="59"/>
    <row r="3947" hidden="1" s="59"/>
    <row r="3948" hidden="1" s="59"/>
    <row r="3949" hidden="1" s="59"/>
    <row r="3950" hidden="1" s="59"/>
    <row r="3951" hidden="1" s="59"/>
    <row r="3952" hidden="1" s="59"/>
    <row r="3953" hidden="1" s="59"/>
    <row r="3954" hidden="1" s="59"/>
    <row r="3955" hidden="1" s="59"/>
    <row r="3956" hidden="1" s="59"/>
    <row r="3957" hidden="1" s="59"/>
    <row r="3958" hidden="1" s="59"/>
    <row r="3959" hidden="1" s="59"/>
    <row r="3960" hidden="1" s="59"/>
    <row r="3961" hidden="1" s="59"/>
    <row r="3962" hidden="1" s="59"/>
    <row r="3963" hidden="1" s="59"/>
    <row r="3964" hidden="1" s="59"/>
    <row r="3965" hidden="1" s="59"/>
    <row r="3966" hidden="1" s="59"/>
    <row r="3967" hidden="1" s="59"/>
    <row r="3968" hidden="1" s="59"/>
    <row r="3969" hidden="1" s="59"/>
    <row r="3970" hidden="1" s="59"/>
    <row r="3971" hidden="1" s="59"/>
    <row r="3972" hidden="1" s="59"/>
    <row r="3973" hidden="1" s="59"/>
    <row r="3975" hidden="1" s="59"/>
    <row r="3976" hidden="1" s="59"/>
    <row r="3977" hidden="1" s="59"/>
    <row r="3978" hidden="1" s="59"/>
    <row r="3979" hidden="1" s="59"/>
    <row r="3980" hidden="1" s="59"/>
    <row r="3981" hidden="1" s="59"/>
    <row r="3982" hidden="1" s="59"/>
    <row r="3983" hidden="1" s="59"/>
    <row r="3984" hidden="1" s="59"/>
    <row r="3985" hidden="1" s="59"/>
    <row r="3986" hidden="1" s="59"/>
    <row r="3987" hidden="1" s="59"/>
    <row r="3988" hidden="1" s="59"/>
    <row r="3989" hidden="1" s="59"/>
    <row r="3990" hidden="1" s="59"/>
    <row r="3991" hidden="1" s="59"/>
    <row r="3992" hidden="1" s="59"/>
    <row r="3993" hidden="1" s="59"/>
    <row r="3994" hidden="1" s="59"/>
    <row r="3995" hidden="1" s="59"/>
    <row r="3996" hidden="1" s="59"/>
    <row r="3997" hidden="1" s="59"/>
    <row r="3998" hidden="1" s="59"/>
    <row r="3999" hidden="1" s="59"/>
    <row r="4000" hidden="1" s="59"/>
    <row r="4001" hidden="1" s="59"/>
    <row r="4002" hidden="1" s="59"/>
    <row r="4003" hidden="1" s="59"/>
    <row r="4004" hidden="1" s="59"/>
    <row r="4005" hidden="1" s="59"/>
    <row r="4006" hidden="1" s="59"/>
    <row r="4007" hidden="1" s="59"/>
    <row r="4008" hidden="1" s="59"/>
    <row r="4009" hidden="1" s="59"/>
    <row r="4010" hidden="1" s="59"/>
    <row r="4011" hidden="1" s="59"/>
    <row r="4012" hidden="1" s="59"/>
    <row r="4013" hidden="1" s="59"/>
    <row r="4014" hidden="1" s="59"/>
    <row r="4015" hidden="1" s="59"/>
    <row r="4016" hidden="1" s="59"/>
    <row r="4017" hidden="1" s="59"/>
    <row r="4018" hidden="1" s="59"/>
    <row r="4019" hidden="1" s="59"/>
    <row r="4020" hidden="1" s="59"/>
    <row r="4021" hidden="1" s="59"/>
    <row r="4022" hidden="1" s="59"/>
    <row r="4023" hidden="1" s="59"/>
    <row r="4024" hidden="1" s="59"/>
    <row r="4025" hidden="1" s="59"/>
    <row r="4026" hidden="1" s="59"/>
    <row r="4027" hidden="1" s="59"/>
    <row r="4028" hidden="1" s="59"/>
    <row r="4029" hidden="1" s="59"/>
    <row r="4030" hidden="1" s="59"/>
    <row r="4031" hidden="1" s="59"/>
    <row r="4032" hidden="1" s="59"/>
    <row r="4033" hidden="1" s="59"/>
    <row r="4034" hidden="1" s="59"/>
    <row r="4035" hidden="1" s="59"/>
    <row r="4036" hidden="1" s="59"/>
    <row r="4037" hidden="1" s="59"/>
    <row r="4038" hidden="1" s="59"/>
    <row r="4039" hidden="1" s="59"/>
    <row r="4040" hidden="1" s="59"/>
    <row r="4041" hidden="1" s="59"/>
    <row r="4042" hidden="1" s="59"/>
    <row r="4043" hidden="1" s="59"/>
    <row r="4044" hidden="1" s="59"/>
    <row r="4045" hidden="1" s="59"/>
    <row r="4046" hidden="1" s="59"/>
    <row r="4047" hidden="1" s="59"/>
    <row r="4048" hidden="1" s="59"/>
    <row r="4049" hidden="1" s="59"/>
    <row r="4050" hidden="1" s="59"/>
    <row r="4051" hidden="1" s="59"/>
    <row r="4052" hidden="1" s="59"/>
    <row r="4053" hidden="1" s="59"/>
    <row r="4054" hidden="1" s="59"/>
    <row r="4055" hidden="1" s="59"/>
    <row r="4056" hidden="1" s="59"/>
    <row r="4057" hidden="1" s="59"/>
    <row r="4058" hidden="1" s="59"/>
    <row r="4059" hidden="1" s="59"/>
    <row r="4060" hidden="1" s="59"/>
    <row r="4061" hidden="1" s="59"/>
    <row r="4062" hidden="1" s="59"/>
    <row r="4063" hidden="1" s="59"/>
    <row r="4064" hidden="1" s="59"/>
    <row r="4065" hidden="1" s="59"/>
    <row r="4066" hidden="1" s="59"/>
    <row r="4067" hidden="1" s="59"/>
    <row r="4068" hidden="1" s="59"/>
    <row r="4069" hidden="1" s="59"/>
    <row r="4070" hidden="1" s="59"/>
    <row r="4071" hidden="1" s="59"/>
    <row r="4072" hidden="1" s="59"/>
    <row r="4073" hidden="1" s="59"/>
    <row r="4074" hidden="1" s="59"/>
    <row r="4075" hidden="1" s="59"/>
    <row r="4076" hidden="1" s="59"/>
    <row r="4077" hidden="1" s="59"/>
    <row r="4078" hidden="1" s="59"/>
    <row r="4079" hidden="1" s="59"/>
    <row r="4080" hidden="1" s="59"/>
    <row r="4081" hidden="1" s="59"/>
    <row r="4082" hidden="1" s="59"/>
    <row r="4083" hidden="1" s="59"/>
    <row r="4084" hidden="1" s="59"/>
    <row r="4085" hidden="1" s="59"/>
    <row r="4086" hidden="1" s="59"/>
    <row r="4087" hidden="1" s="59"/>
    <row r="4088" hidden="1" s="59"/>
    <row r="4089" hidden="1" s="59"/>
    <row r="4090" hidden="1" s="59"/>
    <row r="4091" hidden="1" s="59"/>
    <row r="4092" hidden="1" s="59"/>
    <row r="4093" hidden="1" s="59"/>
    <row r="4094" hidden="1" s="59"/>
    <row r="4095" hidden="1" s="59"/>
    <row r="4096" hidden="1" s="59"/>
    <row r="4097" hidden="1" s="59"/>
    <row r="4098" hidden="1" s="59"/>
    <row r="4099" hidden="1" s="59"/>
    <row r="4100" hidden="1" s="59"/>
    <row r="4101" hidden="1" s="59"/>
    <row r="4102" hidden="1" s="59"/>
    <row r="4103" hidden="1" s="59"/>
    <row r="4104" hidden="1" s="59"/>
    <row r="4105" hidden="1" s="59"/>
    <row r="4106" hidden="1" s="59"/>
    <row r="4107" hidden="1" s="59"/>
    <row r="4108" hidden="1" s="59"/>
    <row r="4109" hidden="1" s="59"/>
    <row r="4110" hidden="1" s="59"/>
    <row r="4111" hidden="1" s="59"/>
    <row r="4112" hidden="1" s="59"/>
    <row r="4113" hidden="1" s="59"/>
    <row r="4114" hidden="1" s="59"/>
    <row r="4115" hidden="1" s="59"/>
    <row r="4116" hidden="1" s="59"/>
    <row r="4117" hidden="1" s="59"/>
    <row r="4118" hidden="1" s="59"/>
    <row r="4119" hidden="1" s="59"/>
    <row r="4120" hidden="1" s="59"/>
    <row r="4121" hidden="1" s="59"/>
    <row r="4122" hidden="1" s="59"/>
    <row r="4123" hidden="1" s="59"/>
    <row r="4124" hidden="1" s="59"/>
    <row r="4125" hidden="1" s="59"/>
    <row r="4126" hidden="1" s="59"/>
    <row r="4127" hidden="1" s="59"/>
    <row r="4128" hidden="1" s="59"/>
    <row r="4129" hidden="1" s="59"/>
    <row r="4130" hidden="1" s="59"/>
    <row r="4131" hidden="1" s="59"/>
    <row r="4132" hidden="1" s="59"/>
    <row r="4133" hidden="1" s="59"/>
    <row r="4134" hidden="1" s="59"/>
    <row r="4135" hidden="1" s="59"/>
    <row r="4136" hidden="1" s="59"/>
    <row r="4137" hidden="1" s="59"/>
    <row r="4138" hidden="1" s="59"/>
    <row r="4139" hidden="1" s="59"/>
    <row r="4140" hidden="1" s="59"/>
    <row r="4141" hidden="1" s="59"/>
    <row r="4142" hidden="1" s="59"/>
    <row r="4143" hidden="1" s="59"/>
    <row r="4144" hidden="1" s="59"/>
    <row r="4145" hidden="1" s="59"/>
    <row r="4146" hidden="1" s="59"/>
    <row r="4147" hidden="1" s="59"/>
    <row r="4148" hidden="1" s="59"/>
    <row r="4149" hidden="1" s="59"/>
    <row r="4150" hidden="1" s="59"/>
    <row r="4151" hidden="1" s="59"/>
    <row r="4152" hidden="1" s="59"/>
    <row r="4153" hidden="1" s="59"/>
    <row r="4154" hidden="1" s="59"/>
    <row r="4155" hidden="1" s="59"/>
    <row r="4156" hidden="1" s="59"/>
    <row r="4157" hidden="1" s="59"/>
    <row r="4158" hidden="1" s="59"/>
    <row r="4159" hidden="1" s="59"/>
    <row r="4160" hidden="1" s="59"/>
    <row r="4161" hidden="1" s="59"/>
    <row r="4162" hidden="1" s="59"/>
    <row r="4163" hidden="1" s="59"/>
    <row r="4164" hidden="1" s="59"/>
    <row r="4165" hidden="1" s="59"/>
    <row r="4166" hidden="1" s="59"/>
    <row r="4167" hidden="1" s="59"/>
    <row r="4168" hidden="1" s="59"/>
    <row r="4169" hidden="1" s="59"/>
    <row r="4170" hidden="1" s="59"/>
    <row r="4171" hidden="1" s="59"/>
    <row r="4172" hidden="1" s="59"/>
    <row r="4173" hidden="1" s="59"/>
    <row r="4174" hidden="1" s="59"/>
    <row r="4175" hidden="1" s="59"/>
    <row r="4176" hidden="1" s="59"/>
    <row r="4177" hidden="1" s="59"/>
    <row r="4178" hidden="1" s="59"/>
    <row r="4179" hidden="1" s="59"/>
    <row r="4180" hidden="1" s="59"/>
    <row r="4181" hidden="1" s="59"/>
    <row r="4182" hidden="1" s="59"/>
    <row r="4183" hidden="1" s="59"/>
    <row r="4184" hidden="1" s="59"/>
    <row r="4185" hidden="1" s="59"/>
    <row r="4186" hidden="1" s="59"/>
    <row r="4187" hidden="1" s="59"/>
    <row r="4188" hidden="1" s="59"/>
    <row r="4189" hidden="1" s="59"/>
    <row r="4190" hidden="1" s="59"/>
    <row r="4191" hidden="1" s="59"/>
    <row r="4192" hidden="1" s="59"/>
    <row r="4193" hidden="1" s="59"/>
    <row r="4194" hidden="1" s="59"/>
    <row r="4195" hidden="1" s="59"/>
    <row r="4196" hidden="1" s="59"/>
    <row r="4197" hidden="1" s="59"/>
    <row r="4198" hidden="1" s="59"/>
    <row r="4199" hidden="1" s="59"/>
    <row r="4200" hidden="1" s="59"/>
    <row r="4201" hidden="1" s="59"/>
    <row r="4202" hidden="1" s="59"/>
    <row r="4203" hidden="1" s="59"/>
    <row r="4204" hidden="1" s="59"/>
    <row r="4205" hidden="1" s="59"/>
    <row r="4206" hidden="1" s="59"/>
    <row r="4207" hidden="1" s="59"/>
    <row r="4208" hidden="1" s="59"/>
    <row r="4209" hidden="1" s="59"/>
    <row r="4210" hidden="1" s="59"/>
    <row r="4211" hidden="1" s="59"/>
    <row r="4212" hidden="1" s="59"/>
    <row r="4213" hidden="1" s="59"/>
    <row r="4214" hidden="1" s="59"/>
    <row r="4215" hidden="1" s="59"/>
    <row r="4216" hidden="1" s="59"/>
    <row r="4217" hidden="1" s="59"/>
    <row r="4218" hidden="1" s="59"/>
    <row r="4219" hidden="1" s="59"/>
    <row r="4220" hidden="1" s="59"/>
    <row r="4221" hidden="1" s="59"/>
    <row r="4222" hidden="1" s="59"/>
    <row r="4223" hidden="1" s="59"/>
    <row r="4224" hidden="1" s="59"/>
    <row r="4225" hidden="1" s="59"/>
    <row r="4226" hidden="1" s="59"/>
    <row r="4227" hidden="1" s="59"/>
    <row r="4228" hidden="1" s="59"/>
    <row r="4229" hidden="1" s="59"/>
    <row r="4230" hidden="1" s="59"/>
    <row r="4231" hidden="1" s="59"/>
    <row r="4232" hidden="1" s="59"/>
    <row r="4233" hidden="1" s="59"/>
    <row r="4234" hidden="1" s="59"/>
    <row r="4235" hidden="1" s="59"/>
    <row r="4236" hidden="1" s="59"/>
    <row r="4237" hidden="1" s="59"/>
    <row r="4238" hidden="1" s="59"/>
    <row r="4239" hidden="1" s="59"/>
    <row r="4240" hidden="1" s="59"/>
    <row r="4241" hidden="1" s="59"/>
    <row r="4242" hidden="1" s="59"/>
    <row r="4243" hidden="1" s="59"/>
    <row r="4244" hidden="1" s="59"/>
    <row r="4245" hidden="1" s="59"/>
    <row r="4246" hidden="1" s="59"/>
    <row r="4247" hidden="1" s="59"/>
    <row r="4248" hidden="1" s="59"/>
    <row r="4249" hidden="1" s="59"/>
    <row r="4250" hidden="1" s="59"/>
    <row r="4251" hidden="1" s="59"/>
    <row r="4252" hidden="1" s="59"/>
    <row r="4253" hidden="1" s="59"/>
    <row r="4254" hidden="1" s="59"/>
    <row r="4255" hidden="1" s="59"/>
    <row r="4256" hidden="1" s="59"/>
    <row r="4257" hidden="1" s="59"/>
    <row r="4258" hidden="1" s="59"/>
    <row r="4259" hidden="1" s="59"/>
    <row r="4260" hidden="1" s="59"/>
    <row r="4261" hidden="1" s="59"/>
    <row r="4262" hidden="1" s="59"/>
    <row r="4263" hidden="1" s="59"/>
    <row r="4264" hidden="1" s="59"/>
    <row r="4265" hidden="1" s="59"/>
    <row r="4266" hidden="1" s="59"/>
    <row r="4267" hidden="1" s="59"/>
    <row r="4268" hidden="1" s="59"/>
    <row r="4269" hidden="1" s="59"/>
    <row r="4270" hidden="1" s="59"/>
    <row r="4271" hidden="1" s="59"/>
    <row r="4272" hidden="1" s="59"/>
    <row r="4273" hidden="1" s="59"/>
    <row r="4274" hidden="1" s="59"/>
    <row r="4275" hidden="1" s="59"/>
    <row r="4276" hidden="1" s="59"/>
    <row r="4277" hidden="1" s="59"/>
    <row r="4278" hidden="1" s="59"/>
    <row r="4279" hidden="1" s="59"/>
    <row r="4280" hidden="1" s="59"/>
    <row r="4281" hidden="1" s="59"/>
    <row r="4282" hidden="1" s="59"/>
    <row r="4283" hidden="1" s="59"/>
    <row r="4284" hidden="1" s="59"/>
    <row r="4285" hidden="1" s="59"/>
    <row r="4286" hidden="1" s="59"/>
    <row r="4287" hidden="1" s="59"/>
    <row r="4288" hidden="1" s="59"/>
    <row r="4289" hidden="1" s="59"/>
    <row r="4291" hidden="1" s="59"/>
    <row r="4292" hidden="1" s="59"/>
    <row r="4293" hidden="1" s="59"/>
    <row r="4294" hidden="1" s="59"/>
    <row r="4295" hidden="1" s="59"/>
    <row r="4296" hidden="1" s="59"/>
    <row r="4297" hidden="1" s="59"/>
    <row r="4298" hidden="1" s="59"/>
    <row r="4299" hidden="1" s="59"/>
    <row r="4300" hidden="1" s="59"/>
    <row r="4301" hidden="1" s="59"/>
    <row r="4302" hidden="1" s="59"/>
    <row r="4303" hidden="1" s="59"/>
    <row r="4304" hidden="1" s="59"/>
    <row r="4305" hidden="1" s="59"/>
    <row r="4306" hidden="1" s="59"/>
    <row r="4307" hidden="1" s="59"/>
    <row r="4308" hidden="1" s="59"/>
    <row r="4309" hidden="1" s="59"/>
    <row r="4310" hidden="1" s="59"/>
    <row r="4311" hidden="1" s="59"/>
    <row r="4312" hidden="1" s="59"/>
    <row r="4313" hidden="1" s="59"/>
    <row r="4314" hidden="1" s="59"/>
    <row r="4315" hidden="1" s="59"/>
    <row r="4316" hidden="1" s="59"/>
    <row r="4317" hidden="1" s="59"/>
    <row r="4318" hidden="1" s="59"/>
    <row r="4319" hidden="1" s="59"/>
    <row r="4320" hidden="1" s="59"/>
    <row r="4321" hidden="1" s="59"/>
    <row r="4322" hidden="1" s="59"/>
    <row r="4323" hidden="1" s="59"/>
    <row r="4324" hidden="1" s="59"/>
    <row r="4325" hidden="1" s="59"/>
    <row r="4326" hidden="1" s="59"/>
    <row r="4327" hidden="1" s="59"/>
    <row r="4328" hidden="1" s="59"/>
    <row r="4329" hidden="1" s="59"/>
    <row r="4330" hidden="1" s="59"/>
    <row r="4331" hidden="1" s="59"/>
    <row r="4332" hidden="1" s="59"/>
    <row r="4333" hidden="1" s="59"/>
    <row r="4334" hidden="1" s="59"/>
    <row r="4335" hidden="1" s="59"/>
    <row r="4336" hidden="1" s="59"/>
    <row r="4337" hidden="1" s="59"/>
    <row r="4338" hidden="1" s="59"/>
    <row r="4339" hidden="1" s="59"/>
    <row r="4340" hidden="1" s="59"/>
    <row r="4341" hidden="1" s="59"/>
    <row r="4342" hidden="1" s="59"/>
    <row r="4343" hidden="1" s="59"/>
    <row r="4344" hidden="1" s="59"/>
    <row r="4345" hidden="1" s="59"/>
    <row r="4346" hidden="1" s="59"/>
    <row r="4347" hidden="1" s="59"/>
    <row r="4348" hidden="1" s="59"/>
    <row r="4349" hidden="1" s="59"/>
    <row r="4350" hidden="1" s="59"/>
    <row r="4351" hidden="1" s="59"/>
    <row r="4352" hidden="1" s="59"/>
    <row r="4353" hidden="1" s="59"/>
    <row r="4354" hidden="1" s="59"/>
    <row r="4355" hidden="1" s="59"/>
    <row r="4356" hidden="1" s="59"/>
    <row r="4357" hidden="1" s="59"/>
    <row r="4358" hidden="1" s="59"/>
    <row r="4359" hidden="1" s="59"/>
    <row r="4360" hidden="1" s="59"/>
    <row r="4361" hidden="1" s="59"/>
    <row r="4362" hidden="1" s="59"/>
    <row r="4363" hidden="1" s="59"/>
    <row r="4364" hidden="1" s="59"/>
    <row r="4365" hidden="1" s="59"/>
    <row r="4366" hidden="1" s="59"/>
    <row r="4367" hidden="1" s="59"/>
    <row r="4368" hidden="1" s="59"/>
    <row r="4369" hidden="1" s="59"/>
    <row r="4370" hidden="1" s="59"/>
    <row r="4371" hidden="1" s="59"/>
    <row r="4372" hidden="1" s="59"/>
    <row r="4373" hidden="1" s="59"/>
    <row r="4374" hidden="1" s="59"/>
    <row r="4375" hidden="1" s="59"/>
    <row r="4376" hidden="1" s="59"/>
    <row r="4377" hidden="1" s="59"/>
    <row r="4378" hidden="1" s="59"/>
    <row r="4379" hidden="1" s="59"/>
    <row r="4380" hidden="1" s="59"/>
    <row r="4381" hidden="1" s="59"/>
    <row r="4382" hidden="1" s="59"/>
    <row r="4383" hidden="1" s="59"/>
    <row r="4384" hidden="1" s="59"/>
    <row r="4385" hidden="1" s="59"/>
    <row r="4386" hidden="1" s="59"/>
    <row r="4387" hidden="1" s="59"/>
    <row r="4388" hidden="1" s="59"/>
    <row r="4389" hidden="1" s="59"/>
    <row r="4390" hidden="1" s="59"/>
    <row r="4391" hidden="1" s="59"/>
    <row r="4392" hidden="1" s="59"/>
    <row r="4393" hidden="1" s="59"/>
    <row r="4394" hidden="1" s="59"/>
    <row r="4395" hidden="1" s="59"/>
    <row r="4396" hidden="1" s="59"/>
    <row r="4397" hidden="1" s="59"/>
    <row r="4398" hidden="1" s="59"/>
    <row r="4399" hidden="1" s="59"/>
    <row r="4400" hidden="1" s="59"/>
    <row r="4401" hidden="1" s="59"/>
    <row r="4402" hidden="1" s="59"/>
    <row r="4403" hidden="1" s="59"/>
    <row r="4404" hidden="1" s="59"/>
    <row r="4405" hidden="1" s="59"/>
    <row r="4406" hidden="1" s="59"/>
    <row r="4407" hidden="1" s="59"/>
    <row r="4408" hidden="1" s="59"/>
    <row r="4409" hidden="1" s="59"/>
    <row r="4410" hidden="1" s="59"/>
    <row r="4411" hidden="1" s="59"/>
    <row r="4412" hidden="1" s="59"/>
    <row r="4413" hidden="1" s="59"/>
    <row r="4414" hidden="1" s="59"/>
    <row r="4415" hidden="1" s="59"/>
    <row r="4416" hidden="1" s="59"/>
    <row r="4417" hidden="1" s="59"/>
    <row r="4418" hidden="1" s="59"/>
    <row r="4419" hidden="1" s="59"/>
    <row r="4420" hidden="1" s="59"/>
    <row r="4421" hidden="1" s="59"/>
    <row r="4422" hidden="1" s="59"/>
    <row r="4423" hidden="1" s="59"/>
    <row r="4424" hidden="1" s="59"/>
    <row r="4425" hidden="1" s="59"/>
    <row r="4426" hidden="1" s="59"/>
    <row r="4427" hidden="1" s="59"/>
    <row r="4428" hidden="1" s="59"/>
    <row r="4429" hidden="1" s="59"/>
    <row r="4430" hidden="1" s="59"/>
    <row r="4431" hidden="1" s="59"/>
    <row r="4432" hidden="1" s="59"/>
    <row r="4433" hidden="1" s="59"/>
    <row r="4434" hidden="1" s="59"/>
    <row r="4435" hidden="1" s="59"/>
    <row r="4436" hidden="1" s="59"/>
    <row r="4437" hidden="1" s="59"/>
    <row r="4438" hidden="1" s="59"/>
    <row r="4439" hidden="1" s="59"/>
    <row r="4440" hidden="1" s="59"/>
    <row r="4441" hidden="1" s="59"/>
    <row r="4442" hidden="1" s="59"/>
    <row r="4443" hidden="1" s="59"/>
    <row r="4444" hidden="1" s="59"/>
    <row r="4445" hidden="1" s="59"/>
    <row r="4446" hidden="1" s="59"/>
    <row r="4447" hidden="1" s="59"/>
    <row r="4448" hidden="1" s="59"/>
    <row r="4449" hidden="1" s="59"/>
    <row r="4450" hidden="1" s="59"/>
    <row r="4451" hidden="1" s="59"/>
    <row r="4452" hidden="1" s="59"/>
    <row r="4453" hidden="1" s="59"/>
    <row r="4454" hidden="1" s="59"/>
    <row r="4455" hidden="1" s="59"/>
    <row r="4456" hidden="1" s="59"/>
    <row r="4457" hidden="1" s="59"/>
    <row r="4458" hidden="1" s="59"/>
    <row r="4459" hidden="1" s="59"/>
    <row r="4460" hidden="1" s="59"/>
    <row r="4461" hidden="1" s="59"/>
    <row r="4462" hidden="1" s="59"/>
    <row r="4463" hidden="1" s="59"/>
    <row r="4464" hidden="1" s="59"/>
    <row r="4465" hidden="1" s="59"/>
    <row r="4466" hidden="1" s="59"/>
    <row r="4467" hidden="1" s="59"/>
    <row r="4468" hidden="1" s="59"/>
    <row r="4469" hidden="1" s="59"/>
    <row r="4470" hidden="1" s="59"/>
    <row r="4471" hidden="1" s="59"/>
    <row r="4472" hidden="1" s="59"/>
    <row r="4473" hidden="1" s="59"/>
    <row r="4474" hidden="1" s="59"/>
    <row r="4475" hidden="1" s="59"/>
    <row r="4476" hidden="1" s="59"/>
    <row r="4478" hidden="1" s="59"/>
    <row r="4479" hidden="1" s="59"/>
    <row r="4480" hidden="1" s="59"/>
    <row r="4481" hidden="1" s="59"/>
    <row r="4482" hidden="1" s="59"/>
    <row r="4483" hidden="1" s="59"/>
    <row r="4484" hidden="1" s="59"/>
    <row r="4485" hidden="1" s="59"/>
    <row r="4486" hidden="1" s="59"/>
    <row r="4487" hidden="1" s="59"/>
    <row r="4488" hidden="1" s="59"/>
    <row r="4489" hidden="1" s="59"/>
    <row r="4490" hidden="1" s="59"/>
    <row r="4491" hidden="1" s="59"/>
    <row r="4492" hidden="1" s="59"/>
    <row r="4493" hidden="1" s="59"/>
    <row r="4494" hidden="1" s="59"/>
    <row r="4495" hidden="1" s="59"/>
    <row r="4496" hidden="1" s="59"/>
    <row r="4497" hidden="1" s="59"/>
    <row r="4498" hidden="1" s="59"/>
    <row r="4499" hidden="1" s="59"/>
    <row r="4500" hidden="1" s="59"/>
    <row r="4501" hidden="1" s="59"/>
    <row r="4502" hidden="1" s="59"/>
    <row r="4503" hidden="1" s="59"/>
    <row r="4504" hidden="1" s="59"/>
    <row r="4505" hidden="1" s="59"/>
    <row r="4506" hidden="1" s="59"/>
    <row r="4507" hidden="1" s="59"/>
    <row r="4508" hidden="1" s="59"/>
    <row r="4509" hidden="1" s="59"/>
    <row r="4510" hidden="1" s="59"/>
    <row r="4511" hidden="1" s="59"/>
    <row r="4512" hidden="1" s="59"/>
    <row r="4513" hidden="1" s="59"/>
    <row r="4514" hidden="1" s="59"/>
    <row r="4515" hidden="1" s="59"/>
    <row r="4516" hidden="1" s="59"/>
    <row r="4517" hidden="1" s="59"/>
    <row r="4518" hidden="1" s="59"/>
    <row r="4519" hidden="1" s="59"/>
    <row r="4520" hidden="1" s="59"/>
    <row r="4521" hidden="1" s="59"/>
    <row r="4522" hidden="1" s="59"/>
    <row r="4523" hidden="1" s="59"/>
    <row r="4524" hidden="1" s="59"/>
    <row r="4525" hidden="1" s="59"/>
    <row r="4526" hidden="1" s="59"/>
    <row r="4527" hidden="1" s="59"/>
    <row r="4528" hidden="1" s="59"/>
    <row r="4529" hidden="1" s="59"/>
    <row r="4530" hidden="1" s="59"/>
    <row r="4531" hidden="1" s="59"/>
    <row r="4532" hidden="1" s="59"/>
    <row r="4533" hidden="1" s="59"/>
    <row r="4534" hidden="1" s="59"/>
    <row r="4535" hidden="1" s="59"/>
    <row r="4536" hidden="1" s="59"/>
    <row r="4537" hidden="1" s="59"/>
    <row r="4538" hidden="1" s="59"/>
    <row r="4539" hidden="1" s="59"/>
    <row r="4540" hidden="1" s="59"/>
    <row r="4541" hidden="1" s="59"/>
    <row r="4542" hidden="1" s="59"/>
    <row r="4543" hidden="1" s="59"/>
    <row r="4544" hidden="1" s="59"/>
    <row r="4545" hidden="1" s="59"/>
    <row r="4546" hidden="1" s="59"/>
    <row r="4547" hidden="1" s="59"/>
    <row r="4548" hidden="1" s="59"/>
    <row r="4549" hidden="1" s="59"/>
    <row r="4550" hidden="1" s="59"/>
    <row r="4551" hidden="1" s="59"/>
    <row r="4552" hidden="1" s="59"/>
    <row r="4553" hidden="1" s="59"/>
    <row r="4554" hidden="1" s="59"/>
    <row r="4555" hidden="1" s="59"/>
    <row r="4556" hidden="1" s="59"/>
    <row r="4557" hidden="1" s="59"/>
    <row r="4558" hidden="1" s="59"/>
    <row r="4559" hidden="1" s="59"/>
    <row r="4560" hidden="1" s="59"/>
    <row r="4561" hidden="1" s="59"/>
    <row r="4562" hidden="1" s="59"/>
    <row r="4563" hidden="1" s="59"/>
    <row r="4564" hidden="1" s="59"/>
    <row r="4565" hidden="1" s="59"/>
    <row r="4566" hidden="1" s="59"/>
    <row r="4567" hidden="1" s="59"/>
    <row r="4568" hidden="1" s="59"/>
    <row r="4569" hidden="1" s="59"/>
    <row r="4570" hidden="1" s="59"/>
    <row r="4571" hidden="1" s="59"/>
    <row r="4572" hidden="1" s="59"/>
    <row r="4573" hidden="1" s="59"/>
    <row r="4574" hidden="1" s="59"/>
    <row r="4575" hidden="1" s="59"/>
    <row r="4576" hidden="1" s="59"/>
    <row r="4577" hidden="1" s="59"/>
    <row r="4578" hidden="1" s="59"/>
    <row r="4579" hidden="1" s="59"/>
    <row r="4580" hidden="1" s="59"/>
    <row r="4581" hidden="1" s="59"/>
    <row r="4582" hidden="1" s="59"/>
    <row r="4583" hidden="1" s="59"/>
    <row r="4584" hidden="1" s="59"/>
    <row r="4585" hidden="1" s="59"/>
    <row r="4586" hidden="1" s="59"/>
    <row r="4587" hidden="1" s="59"/>
    <row r="4588" hidden="1" s="59"/>
    <row r="4589" hidden="1" s="59"/>
    <row r="4590" hidden="1" s="59"/>
    <row r="4591" hidden="1" s="59"/>
    <row r="4592" hidden="1" s="59"/>
    <row r="4593" hidden="1" s="59"/>
    <row r="4594" hidden="1" s="59"/>
    <row r="4595" hidden="1" s="59"/>
    <row r="4596" hidden="1" s="59"/>
    <row r="4597" hidden="1" s="59"/>
    <row r="4598" hidden="1" s="59"/>
    <row r="4599" hidden="1" s="59"/>
    <row r="4600" hidden="1" s="59"/>
    <row r="4601" hidden="1" s="59"/>
    <row r="4602" hidden="1" s="59"/>
    <row r="4603" hidden="1" s="59"/>
    <row r="4604" hidden="1" s="59"/>
    <row r="4605" hidden="1" s="59"/>
    <row r="4606" hidden="1" s="59"/>
    <row r="4607" hidden="1" s="59"/>
    <row r="4608" hidden="1" s="59"/>
    <row r="4609" hidden="1" s="59"/>
    <row r="4610" hidden="1" s="59"/>
    <row r="4611" hidden="1" s="59"/>
    <row r="4612" hidden="1" s="59"/>
    <row r="4613" hidden="1" s="59"/>
    <row r="4614" hidden="1" s="59"/>
    <row r="4615" hidden="1" s="59"/>
    <row r="4616" hidden="1" s="59"/>
    <row r="4617" hidden="1" s="59"/>
    <row r="4618" hidden="1" s="59"/>
    <row r="4619" hidden="1" s="59"/>
    <row r="4620" hidden="1" s="59"/>
    <row r="4621" hidden="1" s="59"/>
    <row r="4622" hidden="1" s="59"/>
    <row r="4623" hidden="1" s="59"/>
    <row r="4624" hidden="1" s="59"/>
    <row r="4625" hidden="1" s="59"/>
    <row r="4626" hidden="1" s="59"/>
    <row r="4627" hidden="1" s="59"/>
    <row r="4628" hidden="1" s="59"/>
    <row r="4629" hidden="1" s="59"/>
    <row r="4630" hidden="1" s="59"/>
    <row r="4631" hidden="1" s="59"/>
    <row r="4632" hidden="1" s="59"/>
    <row r="4633" hidden="1" s="59"/>
    <row r="4634" hidden="1" s="59"/>
    <row r="4635" hidden="1" s="59"/>
    <row r="4636" hidden="1" s="59"/>
    <row r="4637" hidden="1" s="59"/>
    <row r="4638" hidden="1" s="59"/>
    <row r="4639" hidden="1" s="59"/>
    <row r="4640" hidden="1" s="59"/>
    <row r="4641" hidden="1" s="59"/>
    <row r="4642" hidden="1" s="59"/>
    <row r="4643" hidden="1" s="59"/>
    <row r="4644" hidden="1" s="59"/>
    <row r="4645" hidden="1" s="59"/>
    <row r="4646" hidden="1" s="59"/>
    <row r="4647" hidden="1" s="59"/>
    <row r="4648" hidden="1" s="59"/>
    <row r="4649" hidden="1" s="59"/>
    <row r="4650" hidden="1" s="59"/>
    <row r="4651" hidden="1" s="59"/>
    <row r="4652" hidden="1" s="59"/>
    <row r="4653" hidden="1" s="59"/>
    <row r="4654" hidden="1" s="59"/>
    <row r="4656" hidden="1" s="59"/>
    <row r="4657" hidden="1" s="59"/>
    <row r="4658" hidden="1" s="59"/>
    <row r="4659" hidden="1" s="59"/>
    <row r="4660" hidden="1" s="59"/>
    <row r="4661" hidden="1" s="59"/>
    <row r="4662" hidden="1" s="59"/>
    <row r="4663" hidden="1" s="59"/>
    <row r="4664" hidden="1" s="59"/>
    <row r="4665" hidden="1" s="59"/>
    <row r="4666" hidden="1" s="59"/>
    <row r="4667" hidden="1" s="59"/>
    <row r="4668" hidden="1" s="59"/>
    <row r="4669" hidden="1" s="59"/>
    <row r="4670" hidden="1" s="59"/>
    <row r="4671" hidden="1" s="59"/>
    <row r="4672" hidden="1" s="59"/>
    <row r="4673" hidden="1" s="59"/>
    <row r="4674" hidden="1" s="59"/>
    <row r="4675" hidden="1" s="59"/>
    <row r="4676" hidden="1" s="59"/>
    <row r="4677" hidden="1" s="59"/>
    <row r="4678" hidden="1" s="59"/>
    <row r="4679" hidden="1" s="59"/>
    <row r="4680" hidden="1" s="59"/>
    <row r="4681" hidden="1" s="59"/>
    <row r="4682" hidden="1" s="59"/>
    <row r="4683" hidden="1" s="59"/>
    <row r="4684" hidden="1" s="59"/>
    <row r="4685" hidden="1" s="59"/>
    <row r="4686" hidden="1" s="59"/>
    <row r="4687" hidden="1" s="59"/>
    <row r="4688" hidden="1" s="59"/>
    <row r="4689" hidden="1" s="59"/>
    <row r="4690" hidden="1" s="59"/>
    <row r="4691" hidden="1" s="59"/>
    <row r="4692" hidden="1" s="59"/>
    <row r="4693" hidden="1" s="59"/>
    <row r="4694" hidden="1" s="59"/>
    <row r="4695" hidden="1" s="59"/>
    <row r="4696" hidden="1" s="59"/>
    <row r="4697" hidden="1" s="59"/>
    <row r="4698" hidden="1" s="59"/>
    <row r="4699" hidden="1" s="59"/>
    <row r="4700" hidden="1" s="59"/>
    <row r="4701" hidden="1" s="59"/>
    <row r="4702" hidden="1" s="59"/>
    <row r="4703" hidden="1" s="59"/>
    <row r="4704" hidden="1" s="59"/>
    <row r="4705" hidden="1" s="59"/>
    <row r="4706" hidden="1" s="59"/>
    <row r="4707" hidden="1" s="59"/>
    <row r="4708" hidden="1" s="59"/>
    <row r="4709" hidden="1" s="59"/>
    <row r="4710" hidden="1" s="59"/>
    <row r="4711" hidden="1" s="59"/>
    <row r="4712" hidden="1" s="59"/>
    <row r="4713" hidden="1" s="59"/>
    <row r="4714" hidden="1" s="59"/>
    <row r="4715" hidden="1" s="59"/>
    <row r="4716" hidden="1" s="59"/>
    <row r="4717" hidden="1" s="59"/>
    <row r="4718" hidden="1" s="59"/>
    <row r="4719" hidden="1" s="59"/>
    <row r="4720" hidden="1" s="59"/>
    <row r="4721" hidden="1" s="59"/>
    <row r="4722" hidden="1" s="59"/>
    <row r="4723" hidden="1" s="59"/>
    <row r="4724" hidden="1" s="59"/>
    <row r="4725" hidden="1" s="59"/>
    <row r="4726" hidden="1" s="59"/>
    <row r="4727" hidden="1" s="59"/>
    <row r="4728" hidden="1" s="59"/>
    <row r="4729" hidden="1" s="59"/>
    <row r="4730" hidden="1" s="59"/>
    <row r="4731" hidden="1" s="59"/>
    <row r="4732" hidden="1" s="59"/>
    <row r="4733" hidden="1" s="59"/>
    <row r="4734" hidden="1" s="59"/>
    <row r="4735" hidden="1" s="59"/>
    <row r="4736" hidden="1" s="59"/>
    <row r="4737" hidden="1" s="59"/>
    <row r="4738" hidden="1" s="59"/>
    <row r="4739" hidden="1" s="59"/>
    <row r="4740" hidden="1" s="59"/>
    <row r="4741" hidden="1" s="59"/>
    <row r="4742" hidden="1" s="59"/>
    <row r="4743" hidden="1" s="59"/>
    <row r="4744" hidden="1" s="59"/>
    <row r="4745" hidden="1" s="59"/>
    <row r="4746" hidden="1" s="59"/>
    <row r="4747" hidden="1" s="59"/>
    <row r="4748" hidden="1" s="59"/>
    <row r="4749" hidden="1" s="59"/>
    <row r="4750" hidden="1" s="59"/>
    <row r="4751" hidden="1" s="59"/>
    <row r="4752" hidden="1" s="59"/>
    <row r="4753" hidden="1" s="59"/>
    <row r="4754" hidden="1" s="59"/>
    <row r="4755" hidden="1" s="59"/>
    <row r="4756" hidden="1" s="59"/>
    <row r="4757" hidden="1" s="59"/>
    <row r="4758" hidden="1" s="59"/>
    <row r="4759" hidden="1" s="59"/>
    <row r="4760" hidden="1" s="59"/>
    <row r="4761" hidden="1" s="59"/>
    <row r="4762" hidden="1" s="59"/>
    <row r="4763" hidden="1" s="59"/>
    <row r="4764" hidden="1" s="59"/>
    <row r="4765" hidden="1" s="59"/>
    <row r="4766" hidden="1" s="59"/>
    <row r="4767" hidden="1" s="59"/>
    <row r="4768" hidden="1" s="59"/>
    <row r="4769" hidden="1" s="59"/>
    <row r="4770" hidden="1" s="59"/>
    <row r="4771" hidden="1" s="59"/>
    <row r="4772" hidden="1" s="59"/>
    <row r="4774" hidden="1" s="59"/>
    <row r="4775" hidden="1" s="59"/>
    <row r="4776" hidden="1" s="59"/>
    <row r="4777" hidden="1" s="59"/>
    <row r="4778" hidden="1" s="59"/>
    <row r="4779" hidden="1" s="59"/>
    <row r="4780" hidden="1" s="59"/>
    <row r="4781" hidden="1" s="59"/>
    <row r="4782" hidden="1" s="59"/>
    <row r="4783" hidden="1" s="59"/>
    <row r="4784" hidden="1" s="59"/>
    <row r="4785" hidden="1" s="59"/>
    <row r="4786" hidden="1" s="59"/>
    <row r="4787" hidden="1" s="59"/>
    <row r="4788" hidden="1" s="59"/>
    <row r="4789" hidden="1" s="59"/>
    <row r="4790" hidden="1" s="59"/>
    <row r="4791" hidden="1" s="59"/>
    <row r="4792" hidden="1" s="59"/>
    <row r="4793" hidden="1" s="59"/>
    <row r="4794" hidden="1" s="59"/>
    <row r="4795" hidden="1" s="59"/>
    <row r="4796" hidden="1" s="59"/>
    <row r="4797" hidden="1" s="59"/>
    <row r="4798" hidden="1" s="59"/>
    <row r="4799" hidden="1" s="59"/>
    <row r="4800" hidden="1" s="59"/>
    <row r="4801" hidden="1" s="59"/>
    <row r="4802" hidden="1" s="59"/>
    <row r="4803" hidden="1" s="59"/>
    <row r="4804" hidden="1" s="59"/>
    <row r="4805" hidden="1" s="59"/>
    <row r="4806" hidden="1" s="59"/>
    <row r="4807" hidden="1" s="59"/>
    <row r="4808" hidden="1" s="59"/>
    <row r="4809" hidden="1" s="59"/>
    <row r="4810" hidden="1" s="59"/>
    <row r="4811" hidden="1" s="59"/>
    <row r="4812" hidden="1" s="59"/>
    <row r="4813" hidden="1" s="59"/>
    <row r="4814" hidden="1" s="59"/>
    <row r="4815" hidden="1" s="59"/>
    <row r="4816" hidden="1" s="59"/>
    <row r="4817" hidden="1" s="59"/>
    <row r="4818" hidden="1" s="59"/>
    <row r="4819" hidden="1" s="59"/>
    <row r="4820" hidden="1" s="59"/>
    <row r="4821" hidden="1" s="59"/>
    <row r="4822" hidden="1" s="59"/>
    <row r="4823" hidden="1" s="59"/>
    <row r="4824" hidden="1" s="59"/>
    <row r="4825" hidden="1" s="59"/>
    <row r="4826" hidden="1" s="59"/>
    <row r="4827" hidden="1" s="59"/>
    <row r="4828" hidden="1" s="59"/>
    <row r="4829" hidden="1" s="59"/>
    <row r="4830" hidden="1" s="59"/>
    <row r="4831" hidden="1" s="59"/>
    <row r="4832" hidden="1" s="59"/>
    <row r="4833" hidden="1" s="59"/>
    <row r="4834" hidden="1" s="59"/>
    <row r="4835" hidden="1" s="59"/>
    <row r="4836" hidden="1" s="59"/>
    <row r="4837" hidden="1" s="59"/>
    <row r="4838" hidden="1" s="59"/>
    <row r="4839" hidden="1" s="59"/>
    <row r="4840" hidden="1" s="59"/>
    <row r="4841" hidden="1" s="59"/>
    <row r="4842" hidden="1" s="59"/>
    <row r="4843" hidden="1" s="59"/>
    <row r="4844" hidden="1" s="59"/>
    <row r="4845" hidden="1" s="59"/>
    <row r="4846" hidden="1" s="59"/>
    <row r="4847" hidden="1" s="59"/>
    <row r="4848" hidden="1" s="59"/>
    <row r="4849" hidden="1" s="59"/>
    <row r="4850" hidden="1" s="59"/>
    <row r="4851" hidden="1" s="59"/>
    <row r="4852" hidden="1" s="59"/>
    <row r="4853" hidden="1" s="59"/>
    <row r="4854" hidden="1" s="59"/>
    <row r="4855" hidden="1" s="59"/>
    <row r="4856" hidden="1" s="59"/>
    <row r="4857" hidden="1" s="59"/>
    <row r="4858" hidden="1" s="59"/>
    <row r="4859" hidden="1" s="59"/>
    <row r="4860" hidden="1" s="59"/>
    <row r="4861" hidden="1" s="59"/>
    <row r="4862" hidden="1" s="59"/>
    <row r="4863" hidden="1" s="59"/>
    <row r="4864" hidden="1" s="59"/>
    <row r="4865" hidden="1" s="59"/>
    <row r="4866" hidden="1" s="59"/>
    <row r="4867" hidden="1" s="59"/>
    <row r="4868" hidden="1" s="59"/>
    <row r="4869" hidden="1" s="59"/>
    <row r="4870" hidden="1" s="59"/>
    <row r="4871" hidden="1" s="59"/>
    <row r="4872" hidden="1" s="59"/>
    <row r="4873" hidden="1" s="59"/>
    <row r="4874" hidden="1" s="59"/>
    <row r="4875" hidden="1" s="59"/>
    <row r="4876" hidden="1" s="59"/>
    <row r="4877" hidden="1" s="59"/>
    <row r="4878" hidden="1" s="59"/>
    <row r="4879" hidden="1" s="59"/>
    <row r="4880" hidden="1" s="59"/>
    <row r="4881" hidden="1" s="59"/>
    <row r="4882" hidden="1" s="59"/>
    <row r="4883" hidden="1" s="59"/>
    <row r="4884" hidden="1" s="59"/>
    <row r="4885" hidden="1" s="59"/>
    <row r="4886" hidden="1" s="59"/>
    <row r="4887" hidden="1" s="59"/>
    <row r="4888" hidden="1" s="59"/>
    <row r="4889" hidden="1" s="59"/>
    <row r="4890" hidden="1" s="59"/>
    <row r="4891" hidden="1" s="59"/>
    <row r="4892" hidden="1" s="59"/>
    <row r="4893" hidden="1" s="59"/>
    <row r="4894" hidden="1" s="59"/>
    <row r="4895" hidden="1" s="59"/>
    <row r="4896" hidden="1" s="59"/>
    <row r="4897" hidden="1" s="59"/>
    <row r="4898" hidden="1" s="59"/>
    <row r="4899" hidden="1" s="59"/>
    <row r="4900" hidden="1" s="59"/>
    <row r="4901" hidden="1" s="59"/>
    <row r="4902" hidden="1" s="59"/>
    <row r="4903" hidden="1" s="59"/>
    <row r="4904" hidden="1" s="59"/>
    <row r="4905" hidden="1" s="59"/>
    <row r="4906" hidden="1" s="59"/>
    <row r="4907" hidden="1" s="59"/>
    <row r="4908" hidden="1" s="59"/>
    <row r="4909" hidden="1" s="59"/>
    <row r="4910" hidden="1" s="59"/>
    <row r="4911" hidden="1" s="59"/>
    <row r="4912" hidden="1" s="59"/>
    <row r="4913" hidden="1" s="59"/>
    <row r="4914" hidden="1" s="59"/>
    <row r="4915" hidden="1" s="59"/>
    <row r="4916" hidden="1" s="59"/>
    <row r="4917" hidden="1" s="59"/>
    <row r="4918" hidden="1" s="59"/>
    <row r="4919" hidden="1" s="59"/>
    <row r="4920" hidden="1" s="59"/>
    <row r="4921" hidden="1" s="59"/>
    <row r="4922" hidden="1" s="59"/>
    <row r="4923" hidden="1" s="59"/>
    <row r="4924" hidden="1" s="59"/>
    <row r="4925" hidden="1" s="59"/>
    <row r="4926" hidden="1" s="59"/>
    <row r="4927" hidden="1" s="59"/>
    <row r="4928" hidden="1" s="59"/>
    <row r="4929" hidden="1" s="59"/>
    <row r="4930" hidden="1" s="59"/>
    <row r="4931" hidden="1" s="59"/>
    <row r="4932" hidden="1" s="59"/>
    <row r="4933" hidden="1" s="59"/>
    <row r="4934" hidden="1" s="59"/>
    <row r="4935" hidden="1" s="59"/>
    <row r="4936" hidden="1" s="59"/>
    <row r="4937" hidden="1" s="59"/>
    <row r="4938" hidden="1" s="59"/>
    <row r="4939" hidden="1" s="59"/>
    <row r="4940" hidden="1" s="59"/>
    <row r="4941" hidden="1" s="59"/>
    <row r="4942" hidden="1" s="59"/>
    <row r="4943" hidden="1" s="59"/>
    <row r="4944" hidden="1" s="59"/>
    <row r="4945" hidden="1" s="59"/>
    <row r="4946" hidden="1" s="59"/>
    <row r="4947" hidden="1" s="59"/>
    <row r="4948" hidden="1" s="59"/>
    <row r="4949" hidden="1" s="59"/>
    <row r="4950" hidden="1" s="59"/>
    <row r="4951" hidden="1" s="59"/>
    <row r="4952" hidden="1" s="59"/>
    <row r="4953" hidden="1" s="59"/>
    <row r="4954" hidden="1" s="59"/>
    <row r="4955" hidden="1" s="59"/>
    <row r="4956" hidden="1" s="59"/>
    <row r="4957" hidden="1" s="59"/>
    <row r="4958" hidden="1" s="59"/>
    <row r="4959" hidden="1" s="59"/>
    <row r="4960" hidden="1" s="59"/>
    <row r="4961" hidden="1" s="59"/>
    <row r="4962" hidden="1" s="59"/>
    <row r="4963" hidden="1" s="59"/>
    <row r="4964" hidden="1" s="59"/>
    <row r="4965" hidden="1" s="59"/>
    <row r="4966" hidden="1" s="59"/>
    <row r="4967" hidden="1" s="59"/>
    <row r="4968" hidden="1" s="59"/>
    <row r="4969" hidden="1" s="59"/>
    <row r="4970" hidden="1" s="59"/>
    <row r="4971" hidden="1" s="59"/>
    <row r="4972" hidden="1" s="59"/>
    <row r="4973" hidden="1" s="59"/>
    <row r="4974" hidden="1" s="59"/>
    <row r="4975" hidden="1" s="59"/>
    <row r="4976" hidden="1" s="59"/>
    <row r="4977" hidden="1" s="59"/>
    <row r="4978" hidden="1" s="59"/>
    <row r="4979" hidden="1" s="59"/>
    <row r="4980" hidden="1" s="59"/>
    <row r="4981" hidden="1" s="59"/>
    <row r="4982" hidden="1" s="59"/>
    <row r="4983" hidden="1" s="59"/>
    <row r="4984" hidden="1" s="59"/>
    <row r="4985" hidden="1" s="59"/>
    <row r="4986" hidden="1" s="59"/>
    <row r="4987" hidden="1" s="59"/>
    <row r="4988" hidden="1" s="59"/>
    <row r="4989" hidden="1" s="59"/>
    <row r="4990" hidden="1" s="59"/>
    <row r="4991" hidden="1" s="59"/>
    <row r="4992" hidden="1" s="59"/>
    <row r="4993" hidden="1" s="59"/>
    <row r="4994" hidden="1" s="59"/>
    <row r="4995" hidden="1" s="59"/>
    <row r="4996" hidden="1" s="59"/>
    <row r="4997" hidden="1" s="59"/>
    <row r="4998" hidden="1" s="59"/>
    <row r="4999" hidden="1" s="59"/>
    <row r="5000" hidden="1" s="59"/>
    <row r="5001" hidden="1" s="59"/>
    <row r="5002" hidden="1" s="59"/>
    <row r="5003" hidden="1" s="59"/>
    <row r="5004" hidden="1" s="59"/>
    <row r="5005" hidden="1" s="59"/>
    <row r="5006" hidden="1" s="59"/>
    <row r="5007" hidden="1" s="59"/>
    <row r="5008" hidden="1" s="59"/>
    <row r="5009" hidden="1" s="59"/>
    <row r="5010" hidden="1" s="59"/>
    <row r="5011" hidden="1" s="59"/>
    <row r="5012" hidden="1" s="59"/>
    <row r="5013" hidden="1" s="59"/>
    <row r="5015" hidden="1" s="59"/>
    <row r="5016" hidden="1" s="59"/>
    <row r="5017" hidden="1" s="59"/>
    <row r="5018" hidden="1" s="59"/>
    <row r="5019" hidden="1" s="59"/>
    <row r="5020" hidden="1" s="59"/>
    <row r="5021" hidden="1" s="59"/>
    <row r="5022" hidden="1" s="59"/>
    <row r="5023" hidden="1" s="59"/>
    <row r="5024" hidden="1" s="59"/>
    <row r="5025" hidden="1" s="59"/>
    <row r="5026" hidden="1" s="59"/>
    <row r="5027" hidden="1" s="59"/>
    <row r="5028" hidden="1" s="59"/>
    <row r="5029" hidden="1" s="59"/>
    <row r="5030" hidden="1" s="59"/>
    <row r="5031" hidden="1" s="59"/>
    <row r="5032" hidden="1" s="59"/>
    <row r="5033" hidden="1" s="59"/>
    <row r="5034" hidden="1" s="59"/>
    <row r="5035" hidden="1" s="59"/>
    <row r="5036" hidden="1" s="59"/>
    <row r="5037" hidden="1" s="59"/>
    <row r="5038" hidden="1" s="59"/>
    <row r="5039" hidden="1" s="59"/>
    <row r="5040" hidden="1" s="59"/>
    <row r="5041" hidden="1" s="59"/>
    <row r="5042" hidden="1" s="59"/>
    <row r="5043" hidden="1" s="59"/>
    <row r="5044" hidden="1" s="59"/>
    <row r="5045" hidden="1" s="59"/>
    <row r="5046" hidden="1" s="59"/>
    <row r="5047" hidden="1" s="59"/>
    <row r="5048" hidden="1" s="59"/>
    <row r="5049" hidden="1" s="59"/>
    <row r="5050" hidden="1" s="59"/>
    <row r="5051" hidden="1" s="59"/>
    <row r="5052" hidden="1" s="59"/>
    <row r="5053" hidden="1" s="59"/>
    <row r="5054" hidden="1" s="59"/>
    <row r="5055" hidden="1" s="59"/>
    <row r="5056" hidden="1" s="59"/>
    <row r="5057" hidden="1" s="59"/>
    <row r="5058" hidden="1" s="59"/>
    <row r="5059" hidden="1" s="59"/>
    <row r="5060" hidden="1" s="59"/>
    <row r="5061" hidden="1" s="59"/>
    <row r="5062" hidden="1" s="59"/>
    <row r="5063" hidden="1" s="59"/>
    <row r="5064" hidden="1" s="59"/>
    <row r="5065" hidden="1" s="59"/>
    <row r="5066" hidden="1" s="59"/>
    <row r="5067" hidden="1" s="59"/>
    <row r="5068" hidden="1" s="59"/>
    <row r="5069" hidden="1" s="59"/>
    <row r="5070" hidden="1" s="59"/>
    <row r="5071" hidden="1" s="59"/>
    <row r="5072" hidden="1" s="59"/>
    <row r="5073" hidden="1" s="59"/>
    <row r="5074" hidden="1" s="59"/>
    <row r="5075" hidden="1" s="59"/>
    <row r="5076" hidden="1" s="59"/>
    <row r="5077" hidden="1" s="59"/>
    <row r="5078" hidden="1" s="59"/>
    <row r="5079" hidden="1" s="59"/>
    <row r="5080" hidden="1" s="59"/>
    <row r="5081" hidden="1" s="59"/>
    <row r="5082" hidden="1" s="59"/>
    <row r="5083" hidden="1" s="59"/>
    <row r="5084" hidden="1" s="59"/>
    <row r="5085" hidden="1" s="59"/>
    <row r="5086" hidden="1" s="59"/>
    <row r="5087" hidden="1" s="59"/>
    <row r="5088" hidden="1" s="59"/>
    <row r="5089" hidden="1" s="59"/>
    <row r="5090" hidden="1" s="59"/>
    <row r="5091" hidden="1" s="59"/>
    <row r="5092" hidden="1" s="59"/>
    <row r="5093" hidden="1" s="59"/>
    <row r="5094" hidden="1" s="59"/>
    <row r="5095" hidden="1" s="59"/>
    <row r="5096" hidden="1" s="59"/>
    <row r="5097" hidden="1" s="59"/>
    <row r="5098" hidden="1" s="59"/>
    <row r="5099" hidden="1" s="59"/>
    <row r="5100" hidden="1" s="59"/>
    <row r="5101" hidden="1" s="59"/>
    <row r="5102" hidden="1" s="59"/>
    <row r="5103" hidden="1" s="59"/>
    <row r="5104" hidden="1" s="59"/>
    <row r="5105" hidden="1" s="59"/>
    <row r="5106" hidden="1" s="59"/>
    <row r="5107" hidden="1" s="59"/>
    <row r="5108" hidden="1" s="59"/>
    <row r="5109" hidden="1" s="59"/>
    <row r="5110" hidden="1" s="59"/>
    <row r="5111" hidden="1" s="59"/>
    <row r="5112" hidden="1" s="59"/>
    <row r="5113" hidden="1" s="59"/>
    <row r="5114" hidden="1" s="59"/>
    <row r="5115" hidden="1" s="59"/>
    <row r="5116" hidden="1" s="59"/>
    <row r="5117" hidden="1" s="59"/>
    <row r="5118" hidden="1" s="59"/>
    <row r="5119" hidden="1" s="59"/>
    <row r="5120" hidden="1" s="59"/>
    <row r="5121" hidden="1" s="59"/>
    <row r="5122" hidden="1" s="59"/>
    <row r="5123" hidden="1" s="59"/>
    <row r="5124" hidden="1" s="59"/>
    <row r="5125" hidden="1" s="59"/>
    <row r="5126" hidden="1" s="59"/>
    <row r="5127" hidden="1" s="59"/>
    <row r="5128" hidden="1" s="59"/>
    <row r="5129" hidden="1" s="59"/>
    <row r="5130" hidden="1" s="59"/>
    <row r="5131" hidden="1" s="59"/>
    <row r="5132" hidden="1" s="59"/>
    <row r="5133" hidden="1" s="59"/>
    <row r="5134" hidden="1" s="59"/>
    <row r="5135" hidden="1" s="59"/>
    <row r="5136" hidden="1" s="59"/>
    <row r="5137" hidden="1" s="59"/>
    <row r="5138" hidden="1" s="59"/>
    <row r="5139" hidden="1" s="59"/>
    <row r="5140" hidden="1" s="59"/>
    <row r="5141" hidden="1" s="59"/>
    <row r="5142" hidden="1" s="59"/>
    <row r="5143" hidden="1" s="59"/>
    <row r="5144" hidden="1" s="59"/>
    <row r="5145" hidden="1" s="59"/>
    <row r="5146" hidden="1" s="59"/>
    <row r="5147" hidden="1" s="59"/>
    <row r="5148" hidden="1" s="59"/>
    <row r="5149" hidden="1" s="59"/>
    <row r="5150" hidden="1" s="59"/>
    <row r="5151" hidden="1" s="59"/>
    <row r="5152" hidden="1" s="59"/>
    <row r="5153" hidden="1" s="59"/>
    <row r="5154" hidden="1" s="59"/>
    <row r="5155" hidden="1" s="59"/>
    <row r="5156" hidden="1" s="59"/>
    <row r="5157" hidden="1" s="59"/>
    <row r="5158" hidden="1" s="59"/>
    <row r="5159" hidden="1" s="59"/>
    <row r="5160" hidden="1" s="59"/>
    <row r="5161" hidden="1" s="59"/>
    <row r="5162" hidden="1" s="59"/>
    <row r="5163" hidden="1" s="59"/>
    <row r="5164" hidden="1" s="59"/>
    <row r="5165" hidden="1" s="59"/>
    <row r="5166" hidden="1" s="59"/>
    <row r="5167" hidden="1" s="59"/>
    <row r="5168" hidden="1" s="59"/>
    <row r="5169" hidden="1" s="59"/>
    <row r="5170" hidden="1" s="59"/>
    <row r="5171" hidden="1" s="59"/>
    <row r="5172" hidden="1" s="59"/>
    <row r="5173" hidden="1" s="59"/>
    <row r="5174" hidden="1" s="59"/>
    <row r="5175" hidden="1" s="59"/>
    <row r="5176" hidden="1" s="59"/>
    <row r="5177" hidden="1" s="59"/>
    <row r="5178" hidden="1" s="59"/>
    <row r="5179" hidden="1" s="59"/>
    <row r="5180" hidden="1" s="59"/>
    <row r="5181" hidden="1" s="59"/>
    <row r="5182" hidden="1" s="59"/>
    <row r="5183" hidden="1" s="59"/>
    <row r="5184" hidden="1" s="59"/>
    <row r="5185" hidden="1" s="59"/>
    <row r="5186" hidden="1" s="59"/>
    <row r="5187" hidden="1" s="59"/>
    <row r="5188" hidden="1" s="59"/>
    <row r="5189" hidden="1" s="59"/>
    <row r="5190" hidden="1" s="59"/>
    <row r="5191" hidden="1" s="59"/>
    <row r="5192" hidden="1" s="59"/>
    <row r="5193" hidden="1" s="59"/>
    <row r="5194" hidden="1" s="59"/>
    <row r="5195" hidden="1" s="59"/>
    <row r="5196" hidden="1" s="59"/>
    <row r="5197" hidden="1" s="59"/>
    <row r="5198" hidden="1" s="59"/>
    <row r="5199" hidden="1" s="59"/>
    <row r="5200" hidden="1" s="59"/>
    <row r="5201" hidden="1" s="59"/>
    <row r="5202" hidden="1" s="59"/>
    <row r="5203" hidden="1" s="59"/>
    <row r="5204" hidden="1" s="59"/>
    <row r="5205" hidden="1" s="59"/>
    <row r="5206" hidden="1" s="59"/>
    <row r="5207" hidden="1" s="59"/>
    <row r="5208" hidden="1" s="59"/>
    <row r="5209" hidden="1" s="59"/>
    <row r="5210" hidden="1" s="59"/>
    <row r="5211" hidden="1" s="59"/>
    <row r="5212" hidden="1" s="59"/>
    <row r="5213" hidden="1" s="59"/>
    <row r="5214" hidden="1" s="59"/>
    <row r="5215" hidden="1" s="59"/>
    <row r="5216" hidden="1" s="59"/>
    <row r="5217" hidden="1" s="59"/>
    <row r="5218" hidden="1" s="59"/>
    <row r="5219" hidden="1" s="59"/>
    <row r="5220" hidden="1" s="59"/>
    <row r="5221" hidden="1" s="59"/>
    <row r="5222" hidden="1" s="59"/>
    <row r="5223" hidden="1" s="59"/>
    <row r="5224" hidden="1" s="59"/>
    <row r="5225" hidden="1" s="59"/>
    <row r="5226" hidden="1" s="59"/>
    <row r="5227" hidden="1" s="59"/>
    <row r="5228" hidden="1" s="59"/>
    <row r="5229" hidden="1" s="59"/>
    <row r="5230" hidden="1" s="59"/>
    <row r="5231" hidden="1" s="59"/>
    <row r="5232" hidden="1" s="59"/>
    <row r="5233" hidden="1" s="59"/>
    <row r="5234" hidden="1" s="59"/>
    <row r="5235" hidden="1" s="59"/>
    <row r="5236" hidden="1" s="59"/>
    <row r="5237" hidden="1" s="59"/>
    <row r="5238" hidden="1" s="59"/>
    <row r="5239" hidden="1" s="59"/>
    <row r="5242" hidden="1" s="59"/>
    <row r="5243" hidden="1" s="59"/>
    <row r="5244" hidden="1" s="59"/>
    <row r="5245" hidden="1" s="59"/>
    <row r="5246" hidden="1" s="59"/>
    <row r="5247" hidden="1" s="59"/>
    <row r="5248" hidden="1" s="59"/>
    <row r="5249" hidden="1" s="59"/>
    <row r="5250" hidden="1" s="59"/>
    <row r="5251" hidden="1" s="59"/>
    <row r="5252" hidden="1" s="59"/>
    <row r="5253" hidden="1" s="59"/>
    <row r="5254" hidden="1" s="59"/>
    <row r="5255" hidden="1" s="59"/>
    <row r="5256" hidden="1" s="59"/>
    <row r="5257" hidden="1" s="59"/>
    <row r="5258" hidden="1" s="59"/>
    <row r="5259" hidden="1" s="59"/>
    <row r="5260" hidden="1" s="59"/>
    <row r="5261" hidden="1" s="59"/>
    <row r="5262" hidden="1" s="59"/>
    <row r="5263" hidden="1" s="59"/>
    <row r="5264" hidden="1" s="59"/>
    <row r="5265" hidden="1" s="59"/>
    <row r="5266" hidden="1" s="59"/>
    <row r="5267" hidden="1" s="59"/>
    <row r="5268" hidden="1" s="59"/>
    <row r="5269" hidden="1" s="59"/>
    <row r="5270" hidden="1" s="59"/>
    <row r="5271" hidden="1" s="59"/>
    <row r="5272" hidden="1" s="59"/>
    <row r="5273" hidden="1" s="59"/>
    <row r="5274" hidden="1" s="59"/>
    <row r="5275" hidden="1" s="59"/>
    <row r="5276" hidden="1" s="59"/>
    <row r="5277" hidden="1" s="59"/>
    <row r="5278" hidden="1" s="59"/>
    <row r="5279" hidden="1" s="59"/>
    <row r="5280" hidden="1" s="59"/>
    <row r="5281" hidden="1" s="59"/>
    <row r="5282" hidden="1" s="59"/>
    <row r="5283" hidden="1" s="59"/>
    <row r="5284" hidden="1" s="59"/>
    <row r="5285" hidden="1" s="59"/>
    <row r="5286" hidden="1" s="59"/>
    <row r="5287" hidden="1" s="59"/>
    <row r="5288" hidden="1" s="59"/>
    <row r="5289" hidden="1" s="59"/>
    <row r="5290" hidden="1" s="59"/>
    <row r="5291" hidden="1" s="59"/>
    <row r="5292" hidden="1" s="59"/>
    <row r="5293" hidden="1" s="59"/>
    <row r="5294" hidden="1" s="59"/>
    <row r="5295" hidden="1" s="59"/>
    <row r="5296" hidden="1" s="59"/>
    <row r="5297" hidden="1" s="59"/>
    <row r="5298" hidden="1" s="59"/>
    <row r="5299" hidden="1" s="59"/>
    <row r="5300" hidden="1" s="59"/>
    <row r="5301" hidden="1" s="59"/>
    <row r="5302" hidden="1" s="59"/>
    <row r="5303" hidden="1" s="59"/>
    <row r="5304" hidden="1" s="59"/>
    <row r="5305" hidden="1" s="59"/>
    <row r="5306" hidden="1" s="59"/>
    <row r="5307" hidden="1" s="59"/>
    <row r="5308" hidden="1" s="59"/>
    <row r="5309" hidden="1" s="59"/>
    <row r="5310" hidden="1" s="59"/>
    <row r="5311" hidden="1" s="59"/>
    <row r="5312" hidden="1" s="59"/>
    <row r="5313" hidden="1" s="59"/>
    <row r="5314" hidden="1" s="59"/>
    <row r="5315" hidden="1" s="59"/>
    <row r="5316" hidden="1" s="59"/>
    <row r="5317" hidden="1" s="59"/>
    <row r="5318" hidden="1" s="59"/>
    <row r="5319" hidden="1" s="59"/>
    <row r="5320" hidden="1" s="59"/>
    <row r="5321" hidden="1" s="59"/>
    <row r="5322" hidden="1" s="59"/>
    <row r="5323" hidden="1" s="59"/>
    <row r="5324" hidden="1" s="59"/>
    <row r="5325" hidden="1" s="59"/>
    <row r="5326" hidden="1" s="59"/>
    <row r="5327" hidden="1" s="59"/>
    <row r="5328" hidden="1" s="59"/>
    <row r="5329" hidden="1" s="59"/>
    <row r="5330" hidden="1" s="59"/>
    <row r="5331" hidden="1" s="59"/>
    <row r="5332" hidden="1" s="59"/>
    <row r="5333" hidden="1" s="59"/>
    <row r="5334" hidden="1" s="59"/>
    <row r="5335" hidden="1" s="59"/>
    <row r="5336" hidden="1" s="59"/>
    <row r="5337" hidden="1" s="59"/>
    <row r="5338" hidden="1" s="59"/>
    <row r="5339" hidden="1" s="59"/>
    <row r="5340" hidden="1" s="59"/>
    <row r="5341" hidden="1" s="59"/>
    <row r="5342" hidden="1" s="59"/>
    <row r="5343" hidden="1" s="59"/>
    <row r="5344" hidden="1" s="59"/>
    <row r="5345" hidden="1" s="59"/>
    <row r="5346" hidden="1" s="59"/>
    <row r="5347" hidden="1" s="59"/>
    <row r="5348" hidden="1" s="59"/>
    <row r="5349" hidden="1" s="59"/>
    <row r="5350" hidden="1" s="59"/>
    <row r="5351" hidden="1" s="59"/>
    <row r="5352" hidden="1" s="59"/>
    <row r="5353" hidden="1" s="59"/>
    <row r="5354" hidden="1" s="59"/>
    <row r="5355" hidden="1" s="59"/>
    <row r="5356" hidden="1" s="59"/>
    <row r="5357" hidden="1" s="59"/>
    <row r="5358" hidden="1" s="59"/>
    <row r="5359" hidden="1" s="59"/>
    <row r="5360" hidden="1" s="59"/>
    <row r="5361" hidden="1" s="59"/>
    <row r="5362" hidden="1" s="59"/>
    <row r="5363" hidden="1" s="59"/>
    <row r="5364" hidden="1" s="59"/>
    <row r="5365" hidden="1" s="59"/>
    <row r="5366" hidden="1" s="59"/>
    <row r="5367" hidden="1" s="59"/>
    <row r="5368" hidden="1" s="59"/>
    <row r="5369" hidden="1" s="59"/>
    <row r="5370" hidden="1" s="59"/>
    <row r="5371" hidden="1" s="59"/>
    <row r="5372" hidden="1" s="59"/>
    <row r="5373" hidden="1" s="59"/>
    <row r="5374" hidden="1" s="59"/>
    <row r="5375" hidden="1" s="59"/>
    <row r="5376" hidden="1" s="59"/>
    <row r="5377" hidden="1" s="59"/>
    <row r="5378" hidden="1" s="59"/>
    <row r="5379" hidden="1" s="59"/>
    <row r="5380" hidden="1" s="59"/>
    <row r="5381" hidden="1" s="59"/>
    <row r="5382" hidden="1" s="59"/>
    <row r="5383" hidden="1" s="59"/>
    <row r="5384" hidden="1" s="59"/>
    <row r="5385" hidden="1" s="59"/>
    <row r="5386" hidden="1" s="59"/>
    <row r="5387" hidden="1" s="59"/>
    <row r="5388" hidden="1" s="59"/>
    <row r="5389" hidden="1" s="59"/>
    <row r="5390" hidden="1" s="59"/>
    <row r="5391" hidden="1" s="59"/>
    <row r="5392" hidden="1" s="59"/>
    <row r="5393" hidden="1" s="59"/>
    <row r="5394" hidden="1" s="59"/>
    <row r="5395" hidden="1" s="59"/>
    <row r="5396" hidden="1" s="59"/>
    <row r="5397" hidden="1" s="59"/>
    <row r="5398" hidden="1" s="59"/>
    <row r="5399" hidden="1" s="59"/>
    <row r="5400" hidden="1" s="59"/>
    <row r="5401" hidden="1" s="59"/>
    <row r="5402" hidden="1" s="59"/>
    <row r="5403" hidden="1" s="59"/>
    <row r="5404" hidden="1" s="59"/>
    <row r="5405" hidden="1" s="59"/>
    <row r="5406" hidden="1" s="59"/>
    <row r="5407" hidden="1" s="59"/>
    <row r="5408" hidden="1" s="59"/>
    <row r="5409" hidden="1" s="59"/>
    <row r="5410" hidden="1" s="59"/>
    <row r="5411" hidden="1" s="59"/>
    <row r="5412" hidden="1" s="59"/>
    <row r="5413" hidden="1" s="59"/>
    <row r="5414" hidden="1" s="59"/>
    <row r="5415" hidden="1" s="59"/>
    <row r="5416" hidden="1" s="59"/>
    <row r="5417" hidden="1" s="59"/>
    <row r="5418" hidden="1" s="59"/>
    <row r="5419" hidden="1" s="59"/>
    <row r="5420" hidden="1" s="59"/>
    <row r="5421" hidden="1" s="59"/>
    <row r="5422" hidden="1" s="59"/>
    <row r="5423" hidden="1" s="59"/>
    <row r="5424" hidden="1" s="59"/>
    <row r="5425" hidden="1" s="59"/>
    <row r="5426" hidden="1" s="59"/>
    <row r="5427" hidden="1" s="59"/>
    <row r="5428" hidden="1" s="59"/>
    <row r="5429" hidden="1" s="59"/>
    <row r="5430" hidden="1" s="59"/>
    <row r="5431" hidden="1" s="59"/>
    <row r="5432" hidden="1" s="59"/>
    <row r="5433" hidden="1" s="59"/>
    <row r="5434" hidden="1" s="59"/>
    <row r="5435" hidden="1" s="59"/>
    <row r="5436" hidden="1" s="59"/>
    <row r="5437" hidden="1" s="59"/>
    <row r="5438" hidden="1" s="59"/>
    <row r="5439" hidden="1" s="59"/>
    <row r="5440" hidden="1" s="59"/>
    <row r="5441" hidden="1" s="59"/>
    <row r="5442" hidden="1" s="59"/>
    <row r="5443" hidden="1" s="59"/>
    <row r="5444" hidden="1" s="59"/>
    <row r="5445" hidden="1" s="59"/>
    <row r="5446" hidden="1" s="59"/>
    <row r="5447" hidden="1" s="59"/>
    <row r="5448" hidden="1" s="59"/>
    <row r="5449" hidden="1" s="59"/>
    <row r="5450" hidden="1" s="59"/>
    <row r="5451" hidden="1" s="59"/>
    <row r="5452" hidden="1" s="59"/>
    <row r="5453" hidden="1" s="59"/>
    <row r="5454" hidden="1" s="59"/>
    <row r="5455" hidden="1" s="59"/>
    <row r="5456" hidden="1" s="59"/>
    <row r="5457" hidden="1" s="59"/>
    <row r="5458" hidden="1" s="59"/>
    <row r="5459" hidden="1" s="59"/>
    <row r="5460" hidden="1" s="59"/>
    <row r="5461" hidden="1" s="59"/>
    <row r="5462" hidden="1" s="59"/>
    <row r="5463" hidden="1" s="59"/>
    <row r="5464" hidden="1" s="59"/>
    <row r="5465" hidden="1" s="59"/>
    <row r="5466" hidden="1" s="59"/>
    <row r="5467" hidden="1" s="59"/>
    <row r="5468" hidden="1" s="59"/>
    <row r="5469" hidden="1" s="59"/>
    <row r="5470" hidden="1" s="59"/>
    <row r="5471" hidden="1" s="59"/>
    <row r="5472" hidden="1" s="59"/>
    <row r="5473" hidden="1" s="59"/>
    <row r="5474" hidden="1" s="59"/>
    <row r="5475" hidden="1" s="59"/>
    <row r="5476" hidden="1" s="59"/>
    <row r="5477" hidden="1" s="59"/>
    <row r="5478" hidden="1" s="59"/>
    <row r="5479" hidden="1" s="59"/>
    <row r="5480" hidden="1" s="59"/>
    <row r="5481" hidden="1" s="59"/>
    <row r="5482" hidden="1" s="59"/>
    <row r="5485" hidden="1" s="59"/>
    <row r="5486" hidden="1" s="59"/>
    <row r="5487" hidden="1" s="59"/>
    <row r="5488" hidden="1" s="59"/>
    <row r="5489" hidden="1" s="59"/>
    <row r="5490" hidden="1" s="59"/>
    <row r="5491" hidden="1" s="59"/>
    <row r="5492" hidden="1" s="59"/>
    <row r="5493" hidden="1" s="59"/>
    <row r="5494" hidden="1" s="59"/>
    <row r="5495" hidden="1" s="59"/>
    <row r="5496" hidden="1" s="59"/>
    <row r="5497" hidden="1" s="59"/>
    <row r="5498" hidden="1" s="59"/>
    <row r="5499" hidden="1" s="59"/>
    <row r="5500" hidden="1" s="59"/>
    <row r="5501" hidden="1" s="59"/>
    <row r="5502" hidden="1" s="59"/>
    <row r="5503" hidden="1" s="59"/>
    <row r="5504" hidden="1" s="59"/>
    <row r="5505" hidden="1" s="59"/>
    <row r="5506" hidden="1" s="59"/>
    <row r="5507" hidden="1" s="59"/>
    <row r="5508" hidden="1" s="59"/>
    <row r="5509" hidden="1" s="59"/>
    <row r="5510" hidden="1" s="59"/>
    <row r="5511" hidden="1" s="59"/>
    <row r="5512" hidden="1" s="59"/>
    <row r="5513" hidden="1" s="59"/>
    <row r="5514" hidden="1" s="59"/>
    <row r="5515" hidden="1" s="59"/>
    <row r="5516" hidden="1" s="59"/>
    <row r="5517" hidden="1" s="59"/>
    <row r="5518" hidden="1" s="59"/>
    <row r="5519" hidden="1" s="59"/>
    <row r="5520" hidden="1" s="59"/>
    <row r="5521" hidden="1" s="59"/>
    <row r="5522" hidden="1" s="59"/>
    <row r="5523" hidden="1" s="59"/>
    <row r="5524" hidden="1" s="59"/>
    <row r="5525" hidden="1" s="59"/>
    <row r="5526" hidden="1" s="59"/>
    <row r="5527" hidden="1" s="59"/>
    <row r="5528" hidden="1" s="59"/>
    <row r="5529" hidden="1" s="59"/>
    <row r="5530" hidden="1" s="59"/>
    <row r="5531" hidden="1" s="59"/>
    <row r="5532" hidden="1" s="59"/>
    <row r="5533" hidden="1" s="59"/>
    <row r="5534" hidden="1" s="59"/>
    <row r="5535" hidden="1" s="59"/>
    <row r="5536" hidden="1" s="59"/>
    <row r="5537" hidden="1" s="59"/>
    <row r="5538" hidden="1" s="59"/>
    <row r="5539" hidden="1" s="59"/>
    <row r="5540" hidden="1" s="59"/>
    <row r="5541" hidden="1" s="59"/>
    <row r="5542" hidden="1" s="59"/>
    <row r="5543" hidden="1" s="59"/>
    <row r="5544" hidden="1" s="59"/>
    <row r="5545" hidden="1" s="59"/>
    <row r="5546" hidden="1" s="59"/>
    <row r="5547" hidden="1" s="59"/>
    <row r="5548" hidden="1" s="59"/>
    <row r="5549" hidden="1" s="59"/>
    <row r="5550" hidden="1" s="59"/>
    <row r="5551" hidden="1" s="59"/>
    <row r="5552" hidden="1" s="59"/>
    <row r="5553" hidden="1" s="59"/>
    <row r="5554" hidden="1" s="59"/>
    <row r="5555" hidden="1" s="59"/>
    <row r="5556" hidden="1" s="59"/>
    <row r="5557" hidden="1" s="59"/>
    <row r="5558" hidden="1" s="59"/>
    <row r="5559" hidden="1" s="59"/>
    <row r="5560" hidden="1" s="59"/>
    <row r="5561" hidden="1" s="59"/>
    <row r="5562" hidden="1" s="59"/>
    <row r="5563" hidden="1" s="59"/>
    <row r="5564" hidden="1" s="59"/>
    <row r="5565" hidden="1" s="59"/>
    <row r="5566" hidden="1" s="59"/>
    <row r="5567" hidden="1" s="59"/>
    <row r="5568" hidden="1" s="59"/>
    <row r="5569" hidden="1" s="59"/>
    <row r="5570" hidden="1" s="59"/>
    <row r="5571" hidden="1" s="59"/>
    <row r="5572" hidden="1" s="59"/>
    <row r="5573" hidden="1" s="59"/>
    <row r="5574" hidden="1" s="59"/>
    <row r="5575" hidden="1" s="59"/>
    <row r="5576" hidden="1" s="59"/>
    <row r="5577" hidden="1" s="59"/>
    <row r="5578" hidden="1" s="59"/>
    <row r="5579" hidden="1" s="59"/>
    <row r="5580" hidden="1" s="59"/>
    <row r="5581" hidden="1" s="59"/>
    <row r="5582" hidden="1" s="59"/>
    <row r="5583" hidden="1" s="59"/>
    <row r="5584" hidden="1" s="59"/>
    <row r="5585" hidden="1" s="59"/>
    <row r="5586" hidden="1" s="59"/>
    <row r="5587" hidden="1" s="59"/>
    <row r="5588" hidden="1" s="59"/>
    <row r="5589" hidden="1" s="59"/>
    <row r="5590" hidden="1" s="59"/>
    <row r="5591" hidden="1" s="59"/>
    <row r="5592" hidden="1" s="59"/>
    <row r="5593" hidden="1" s="59"/>
    <row r="5594" hidden="1" s="59"/>
    <row r="5595" hidden="1" s="59"/>
    <row r="5596" hidden="1" s="59"/>
    <row r="5597" hidden="1" s="59"/>
    <row r="5598" hidden="1" s="59"/>
    <row r="5599" hidden="1" s="59"/>
    <row r="5600" hidden="1" s="59"/>
    <row r="5601" hidden="1" s="59"/>
    <row r="5602" hidden="1" s="59"/>
    <row r="5603" hidden="1" s="59"/>
    <row r="5604" hidden="1" s="59"/>
    <row r="5605" hidden="1" s="59"/>
    <row r="5606" hidden="1" s="59"/>
    <row r="5607" hidden="1" s="59"/>
    <row r="5608" hidden="1" s="59"/>
    <row r="5609" hidden="1" s="59"/>
    <row r="5610" hidden="1" s="59"/>
    <row r="5611" hidden="1" s="59"/>
    <row r="5612" hidden="1" s="59"/>
    <row r="5613" hidden="1" s="59"/>
    <row r="5614" hidden="1" s="59"/>
    <row r="5615" hidden="1" s="59"/>
    <row r="5616" hidden="1" s="59"/>
    <row r="5617" hidden="1" s="59"/>
    <row r="5618" hidden="1" s="59"/>
    <row r="5619" hidden="1" s="59"/>
    <row r="5620" hidden="1" s="59"/>
    <row r="5621" hidden="1" s="59"/>
    <row r="5622" hidden="1" s="59"/>
    <row r="5623" hidden="1" s="59"/>
    <row r="5624" hidden="1" s="59"/>
    <row r="5625" hidden="1" s="59"/>
    <row r="5626" hidden="1" s="59"/>
    <row r="5627" hidden="1" s="59"/>
    <row r="5628" hidden="1" s="59"/>
    <row r="5629" hidden="1" s="59"/>
    <row r="5630" hidden="1" s="59"/>
    <row r="5631" hidden="1" s="59"/>
    <row r="5632" hidden="1" s="59"/>
    <row r="5633" hidden="1" s="59"/>
    <row r="5634" hidden="1" s="59"/>
    <row r="5635" hidden="1" s="59"/>
    <row r="5636" hidden="1" s="59"/>
    <row r="5637" hidden="1" s="59"/>
    <row r="5638" hidden="1" s="59"/>
    <row r="5639" hidden="1" s="59"/>
    <row r="5640" hidden="1" s="59"/>
    <row r="5641" hidden="1" s="59"/>
    <row r="5642" hidden="1" s="59"/>
    <row r="5643" hidden="1" s="59"/>
    <row r="5644" hidden="1" s="59"/>
    <row r="5645" hidden="1" s="59"/>
    <row r="5646" hidden="1" s="59"/>
    <row r="5647" hidden="1" s="59"/>
    <row r="5648" hidden="1" s="59"/>
    <row r="5649" hidden="1" s="59"/>
    <row r="5650" hidden="1" s="59"/>
    <row r="5651" hidden="1" s="59"/>
    <row r="5652" hidden="1" s="59"/>
    <row r="5653" hidden="1" s="59"/>
    <row r="5654" hidden="1" s="59"/>
    <row r="5655" hidden="1" s="59"/>
    <row r="5656" hidden="1" s="59"/>
    <row r="5657" hidden="1" s="59"/>
    <row r="5658" hidden="1" s="59"/>
    <row r="5659" hidden="1" s="59"/>
    <row r="5660" hidden="1" s="59"/>
    <row r="5661" hidden="1" s="59"/>
    <row r="5662" hidden="1" s="59"/>
    <row r="5663" hidden="1" s="59"/>
    <row r="5664" hidden="1" s="59"/>
    <row r="5665" hidden="1" s="59"/>
    <row r="5666" hidden="1" s="59"/>
    <row r="5667" hidden="1" s="59"/>
    <row r="5668" hidden="1" s="59"/>
    <row r="5669" hidden="1" s="59"/>
    <row r="5670" hidden="1" s="59"/>
    <row r="5671" hidden="1" s="59"/>
    <row r="5672" hidden="1" s="59"/>
    <row r="5673" hidden="1" s="59"/>
    <row r="5674" hidden="1" s="59"/>
    <row r="5675" hidden="1" s="59"/>
    <row r="5676" hidden="1" s="59"/>
    <row r="5677" hidden="1" s="59"/>
    <row r="5678" hidden="1" s="59"/>
    <row r="5679" hidden="1" s="59"/>
    <row r="5680" hidden="1" s="59"/>
    <row r="5681" hidden="1" s="59"/>
    <row r="5682" hidden="1" s="59"/>
    <row r="5683" hidden="1" s="59"/>
    <row r="5684" hidden="1" s="59"/>
    <row r="5685" hidden="1" s="59"/>
    <row r="5686" hidden="1" s="59"/>
    <row r="5687" hidden="1" s="59"/>
    <row r="5688" hidden="1" s="59"/>
    <row r="5689" hidden="1" s="59"/>
    <row r="5690" hidden="1" s="59"/>
    <row r="5691" hidden="1" s="59"/>
    <row r="5692" hidden="1" s="59"/>
    <row r="5693" hidden="1" s="59"/>
    <row r="5694" hidden="1" s="59"/>
    <row r="5695" hidden="1" s="59"/>
    <row r="5696" hidden="1" s="59"/>
    <row r="5697" hidden="1" s="59"/>
    <row r="5698" hidden="1" s="59"/>
    <row r="5699" hidden="1" s="59"/>
    <row r="5700" hidden="1" s="59"/>
    <row r="5701" hidden="1" s="59"/>
    <row r="5702" hidden="1" s="59"/>
    <row r="5703" hidden="1" s="59"/>
    <row r="5704" hidden="1" s="59"/>
    <row r="5705" hidden="1" s="59"/>
    <row r="5706" hidden="1" s="59"/>
    <row r="5707" hidden="1" s="59"/>
    <row r="5708" hidden="1" s="59"/>
    <row r="5709" hidden="1" s="59"/>
    <row r="5710" hidden="1" s="59"/>
    <row r="5711" hidden="1" s="59"/>
    <row r="5712" hidden="1" s="59"/>
    <row r="5713" hidden="1" s="59"/>
    <row r="5714" hidden="1" s="59"/>
    <row r="5715" hidden="1" s="59"/>
    <row r="5716" hidden="1" s="59"/>
    <row r="5717" hidden="1" s="59"/>
    <row r="5718" hidden="1" s="59"/>
    <row r="5719" hidden="1" s="59"/>
    <row r="5720" hidden="1" s="59"/>
    <row r="5721" hidden="1" s="59"/>
    <row r="5722" hidden="1" s="59"/>
    <row r="5723" hidden="1" s="59"/>
    <row r="5724" hidden="1" s="59"/>
    <row r="5725" hidden="1" s="59"/>
    <row r="5726" hidden="1" s="59"/>
    <row r="5727" hidden="1" s="59"/>
    <row r="5728" hidden="1" s="59"/>
    <row r="5729" hidden="1" s="59"/>
    <row r="5730" hidden="1" s="59"/>
    <row r="5731" hidden="1" s="59"/>
    <row r="5732" hidden="1" s="59"/>
    <row r="5733" hidden="1" s="59"/>
    <row r="5734" hidden="1" s="59"/>
    <row r="5735" hidden="1" s="59"/>
    <row r="5736" hidden="1" s="59"/>
    <row r="5737" hidden="1" s="59"/>
    <row r="5738" hidden="1" s="59"/>
    <row r="5739" hidden="1" s="59"/>
    <row r="5740" hidden="1" s="59"/>
    <row r="5741" hidden="1" s="59"/>
    <row r="5742" hidden="1" s="59"/>
    <row r="5743" hidden="1" s="59"/>
    <row r="5744" hidden="1" s="59"/>
    <row r="5745" hidden="1" s="59"/>
    <row r="5746" hidden="1" s="59"/>
    <row r="5747" hidden="1" s="59"/>
    <row r="5748" hidden="1" s="59"/>
    <row r="5749" hidden="1" s="59"/>
    <row r="5750" hidden="1" s="59"/>
    <row r="5751" hidden="1" s="59"/>
    <row r="5752" hidden="1" s="59"/>
    <row r="5753" hidden="1" s="59"/>
    <row r="5754" hidden="1" s="59"/>
    <row r="5755" hidden="1" s="59"/>
    <row r="5756" hidden="1" s="59"/>
    <row r="5757" hidden="1" s="59"/>
    <row r="5758" hidden="1" s="59"/>
    <row r="5759" hidden="1" s="59"/>
    <row r="5760" hidden="1" s="59"/>
    <row r="5761" hidden="1" s="59"/>
    <row r="5762" hidden="1" s="59"/>
    <row r="5763" hidden="1" s="59"/>
    <row r="5764" hidden="1" s="59"/>
    <row r="5765" hidden="1" s="59"/>
    <row r="5766" hidden="1" s="59"/>
    <row r="5767" hidden="1" s="59"/>
    <row r="5768" hidden="1" s="59"/>
    <row r="5769" hidden="1" s="59"/>
    <row r="5770" hidden="1" s="59"/>
    <row r="5771" hidden="1" s="59"/>
    <row r="5772" hidden="1" s="59"/>
    <row r="5773" hidden="1" s="59"/>
    <row r="5774" hidden="1" s="59"/>
    <row r="5775" hidden="1" s="59"/>
    <row r="5776" hidden="1" s="59"/>
    <row r="5777" hidden="1" s="59"/>
    <row r="5778" hidden="1" s="59"/>
    <row r="5779" hidden="1" s="59"/>
    <row r="5780" hidden="1" s="59"/>
    <row r="5781" hidden="1" s="59"/>
    <row r="5782" hidden="1" s="59"/>
    <row r="5783" hidden="1" s="59"/>
    <row r="5784" hidden="1" s="59"/>
    <row r="5785" hidden="1" s="59"/>
    <row r="5786" hidden="1" s="59"/>
    <row r="5787" hidden="1" s="59"/>
    <row r="5788" hidden="1" s="59"/>
    <row r="5789" hidden="1" s="59"/>
    <row r="5790" hidden="1" s="59"/>
    <row r="5791" hidden="1" s="59"/>
    <row r="5792" hidden="1" s="59"/>
    <row r="5793" hidden="1" s="59"/>
    <row r="5794" hidden="1" s="59"/>
    <row r="5795" hidden="1" s="59"/>
    <row r="5796" hidden="1" s="59"/>
    <row r="5797" hidden="1" s="59"/>
    <row r="5798" hidden="1" s="59"/>
    <row r="5799" hidden="1" s="59"/>
    <row r="5800" hidden="1" s="59"/>
    <row r="5801" hidden="1" s="59"/>
    <row r="5802" hidden="1" s="59"/>
    <row r="5803" hidden="1" s="59"/>
    <row r="5804" hidden="1" s="59"/>
    <row r="5805" hidden="1" s="59"/>
    <row r="5806" hidden="1" s="59"/>
    <row r="5807" hidden="1" s="59"/>
    <row r="5808" hidden="1" s="59"/>
    <row r="5809" hidden="1" s="59"/>
    <row r="5810" hidden="1" s="59"/>
    <row r="5811" hidden="1" s="59"/>
    <row r="5812" hidden="1" s="59"/>
    <row r="5813" hidden="1" s="59"/>
    <row r="5814" hidden="1" s="59"/>
    <row r="5815" hidden="1" s="59"/>
    <row r="5816" hidden="1" s="59"/>
    <row r="5817" hidden="1" s="59"/>
    <row r="5818" hidden="1" s="59"/>
    <row r="5819" hidden="1" s="59"/>
    <row r="5820" hidden="1" s="59"/>
    <row r="5821" hidden="1" s="59"/>
    <row r="5822" hidden="1" s="59"/>
    <row r="5823" hidden="1" s="59"/>
    <row r="5824" hidden="1" s="59"/>
    <row r="5825" hidden="1" s="59"/>
    <row r="5826" hidden="1" s="59"/>
    <row r="5827" hidden="1" s="59"/>
    <row r="5828" hidden="1" s="59"/>
    <row r="5829" hidden="1" s="59"/>
    <row r="5830" hidden="1" s="59"/>
    <row r="5831" hidden="1" s="59"/>
    <row r="5832" hidden="1" s="59"/>
    <row r="5833" hidden="1" s="59"/>
    <row r="5834" hidden="1" s="59"/>
    <row r="5835" hidden="1" s="59"/>
    <row r="5836" hidden="1" s="59"/>
    <row r="5837" hidden="1" s="59"/>
    <row r="5838" hidden="1" s="59"/>
    <row r="5839" hidden="1" s="59"/>
    <row r="5840" hidden="1" s="59"/>
    <row r="5841" hidden="1" s="59"/>
    <row r="5842" hidden="1" s="59"/>
    <row r="5843" hidden="1" s="59"/>
    <row r="5844" hidden="1" s="59"/>
    <row r="5845" hidden="1" s="59"/>
    <row r="5846" hidden="1" s="59"/>
    <row r="5847" hidden="1" s="59"/>
    <row r="5848" hidden="1" s="59"/>
    <row r="5849" hidden="1" s="59"/>
    <row r="5850" hidden="1" s="59"/>
    <row r="5851" hidden="1" s="59"/>
    <row r="5852" hidden="1" s="59"/>
    <row r="5853" hidden="1" s="59"/>
    <row r="5854" hidden="1" s="59"/>
    <row r="5855" hidden="1" s="59"/>
    <row r="5856" hidden="1" s="59"/>
    <row r="5857" hidden="1" s="59"/>
    <row r="5858" hidden="1" s="59"/>
    <row r="5859" hidden="1" s="59"/>
    <row r="5860" hidden="1" s="59"/>
    <row r="5861" hidden="1" s="59"/>
    <row r="5862" hidden="1" s="59"/>
    <row r="5863" hidden="1" s="59"/>
    <row r="5864" hidden="1" s="59"/>
    <row r="5865" hidden="1" s="59"/>
    <row r="5866" hidden="1" s="59"/>
    <row r="5868" hidden="1" s="59"/>
    <row r="5869" hidden="1" s="59"/>
    <row r="5870" hidden="1" s="59"/>
    <row r="5871" hidden="1" s="59"/>
    <row r="5872" hidden="1" s="59"/>
    <row r="5873" hidden="1" s="59"/>
    <row r="5874" hidden="1" s="59"/>
    <row r="5875" hidden="1" s="59"/>
    <row r="5876" hidden="1" s="59"/>
    <row r="5877" hidden="1" s="59"/>
    <row r="5878" hidden="1" s="59"/>
    <row r="5879" hidden="1" s="59"/>
    <row r="5880" hidden="1" s="59"/>
    <row r="5881" hidden="1" s="59"/>
    <row r="5882" hidden="1" s="59"/>
    <row r="5883" hidden="1" s="59"/>
    <row r="5884" hidden="1" s="59"/>
    <row r="5885" hidden="1" s="59"/>
    <row r="5886" hidden="1" s="59"/>
    <row r="5887" hidden="1" s="59"/>
    <row r="5888" hidden="1" s="59"/>
    <row r="5889" hidden="1" s="59"/>
    <row r="5890" hidden="1" s="59"/>
    <row r="5891" hidden="1" s="59"/>
    <row r="5892" hidden="1" s="59"/>
    <row r="5893" hidden="1" s="59"/>
    <row r="5894" hidden="1" s="59"/>
    <row r="5895" hidden="1" s="59"/>
    <row r="5896" hidden="1" s="59"/>
    <row r="5897" hidden="1" s="59"/>
    <row r="5898" hidden="1" s="59"/>
    <row r="5899" hidden="1" s="59"/>
    <row r="5900" hidden="1" s="59"/>
    <row r="5901" hidden="1" s="59"/>
    <row r="5902" hidden="1" s="59"/>
    <row r="5903" hidden="1" s="59"/>
    <row r="5904" hidden="1" s="59"/>
    <row r="5905" hidden="1" s="59"/>
    <row r="5906" hidden="1" s="59"/>
    <row r="5907" hidden="1" s="59"/>
    <row r="5908" hidden="1" s="59"/>
    <row r="5909" hidden="1" s="59"/>
    <row r="5910" hidden="1" s="59"/>
    <row r="5911" hidden="1" s="59"/>
    <row r="5912" hidden="1" s="59"/>
    <row r="5913" hidden="1" s="59"/>
    <row r="5914" hidden="1" s="59"/>
    <row r="5915" hidden="1" s="59"/>
    <row r="5916" hidden="1" s="59"/>
    <row r="5917" hidden="1" s="59"/>
    <row r="5918" hidden="1" s="59"/>
    <row r="5919" hidden="1" s="59"/>
    <row r="5920" hidden="1" s="59"/>
    <row r="5921" hidden="1" s="59"/>
    <row r="5922" hidden="1" s="59"/>
    <row r="5923" hidden="1" s="59"/>
    <row r="5924" hidden="1" s="59"/>
    <row r="5925" hidden="1" s="59"/>
    <row r="5926" hidden="1" s="59"/>
    <row r="5927" hidden="1" s="59"/>
    <row r="5928" hidden="1" s="59"/>
    <row r="5929" hidden="1" s="59"/>
    <row r="5930" hidden="1" s="59"/>
    <row r="5931" hidden="1" s="59"/>
    <row r="5932" hidden="1" s="59"/>
    <row r="5933" hidden="1" s="59"/>
    <row r="5934" hidden="1" s="59"/>
    <row r="5935" hidden="1" s="59"/>
    <row r="5936" hidden="1" s="59"/>
    <row r="5937" hidden="1" s="59"/>
    <row r="5938" hidden="1" s="59"/>
    <row r="5939" hidden="1" s="59"/>
    <row r="5940" hidden="1" s="59"/>
    <row r="5941" hidden="1" s="59"/>
    <row r="5942" hidden="1" s="59"/>
    <row r="5943" hidden="1" s="59"/>
    <row r="5944" hidden="1" s="59"/>
    <row r="5945" hidden="1" s="59"/>
    <row r="5946" hidden="1" s="59"/>
    <row r="5947" hidden="1" s="59"/>
    <row r="5948" hidden="1" s="59"/>
    <row r="5949" hidden="1" s="59"/>
    <row r="5950" hidden="1" s="59"/>
    <row r="5951" hidden="1" s="59"/>
    <row r="5952" hidden="1" s="59"/>
    <row r="5953" hidden="1" s="59"/>
    <row r="5954" hidden="1" s="59"/>
    <row r="5955" hidden="1" s="59"/>
    <row r="5956" hidden="1" s="59"/>
    <row r="5957" hidden="1" s="59"/>
    <row r="5958" hidden="1" s="59"/>
    <row r="5959" hidden="1" s="59"/>
    <row r="5960" hidden="1" s="59"/>
    <row r="5961" hidden="1" s="59"/>
    <row r="5962" hidden="1" s="59"/>
    <row r="5963" hidden="1" s="59"/>
    <row r="5964" hidden="1" s="59"/>
    <row r="5965" hidden="1" s="59"/>
    <row r="5966" hidden="1" s="59"/>
    <row r="5967" hidden="1" s="59"/>
    <row r="5968" hidden="1" s="59"/>
    <row r="5969" hidden="1" s="59"/>
    <row r="5970" hidden="1" s="59"/>
    <row r="5971" hidden="1" s="59"/>
    <row r="5972" hidden="1" s="59"/>
    <row r="5973" hidden="1" s="59"/>
    <row r="5974" hidden="1" s="59"/>
    <row r="5975" hidden="1" s="59"/>
    <row r="5976" hidden="1" s="59"/>
    <row r="5977" hidden="1" s="59"/>
    <row r="5978" hidden="1" s="59"/>
    <row r="5979" hidden="1" s="59"/>
    <row r="5980" hidden="1" s="59"/>
    <row r="5981" hidden="1" s="59"/>
    <row r="5982" hidden="1" s="59"/>
    <row r="5983" hidden="1" s="59"/>
    <row r="5984" hidden="1" s="59"/>
    <row r="5985" hidden="1" s="59"/>
    <row r="5986" hidden="1" s="59"/>
    <row r="5987" hidden="1" s="59"/>
    <row r="5988" hidden="1" s="59"/>
    <row r="5989" hidden="1" s="59"/>
    <row r="5990" hidden="1" s="59"/>
    <row r="5991" hidden="1" s="59"/>
    <row r="5992" hidden="1" s="59"/>
    <row r="5993" hidden="1" s="59"/>
    <row r="5994" hidden="1" s="59"/>
    <row r="5995" hidden="1" s="59"/>
    <row r="5996" hidden="1" s="59"/>
    <row r="5997" hidden="1" s="59"/>
    <row r="5998" hidden="1" s="59"/>
    <row r="5999" hidden="1" s="59"/>
    <row r="6000" hidden="1" s="59"/>
    <row r="6001" hidden="1" s="59"/>
    <row r="6002" hidden="1" s="59"/>
    <row r="6003" hidden="1" s="59"/>
    <row r="6004" hidden="1" s="59"/>
    <row r="6005" hidden="1" s="59"/>
    <row r="6006" hidden="1" s="59"/>
    <row r="6007" hidden="1" s="59"/>
    <row r="6008" hidden="1" s="59"/>
    <row r="6009" hidden="1" s="59"/>
    <row r="6010" hidden="1" s="59"/>
    <row r="6011" hidden="1" s="59"/>
    <row r="6012" hidden="1" s="59"/>
    <row r="6013" hidden="1" s="59"/>
    <row r="6014" hidden="1" s="59"/>
    <row r="6015" hidden="1" s="59"/>
    <row r="6016" hidden="1" s="59"/>
    <row r="6017" hidden="1" s="59"/>
    <row r="6018" hidden="1" s="59"/>
    <row r="6019" hidden="1" s="59"/>
    <row r="6020" hidden="1" s="59"/>
    <row r="6021" hidden="1" s="59"/>
    <row r="6022" hidden="1" s="59"/>
    <row r="6023" hidden="1" s="59"/>
    <row r="6024" hidden="1" s="59"/>
    <row r="6025" hidden="1" s="59"/>
    <row r="6026" hidden="1" s="59"/>
    <row r="6027" hidden="1" s="59"/>
    <row r="6028" hidden="1" s="59"/>
    <row r="6029" hidden="1" s="59"/>
    <row r="6030" hidden="1" s="59"/>
    <row r="6031" hidden="1" s="59"/>
    <row r="6032" hidden="1" s="59"/>
    <row r="6033" hidden="1" s="59"/>
    <row r="6034" hidden="1" s="59"/>
    <row r="6035" hidden="1" s="59"/>
    <row r="6036" hidden="1" s="59"/>
    <row r="6037" hidden="1" s="59"/>
    <row r="6038" hidden="1" s="59"/>
    <row r="6039" hidden="1" s="59"/>
    <row r="6040" hidden="1" s="59"/>
    <row r="6041" hidden="1" s="59"/>
    <row r="6042" hidden="1" s="59"/>
    <row r="6043" hidden="1" s="59"/>
    <row r="6044" hidden="1" s="59"/>
    <row r="6045" hidden="1" s="59"/>
    <row r="6046" hidden="1" s="59"/>
    <row r="6047" hidden="1" s="59"/>
    <row r="6048" hidden="1" s="59"/>
    <row r="6049" hidden="1" s="59"/>
    <row r="6050" hidden="1" s="59"/>
    <row r="6051" hidden="1" s="59"/>
    <row r="6052" hidden="1" s="59"/>
    <row r="6053" hidden="1" s="59"/>
    <row r="6054" hidden="1" s="59"/>
    <row r="6055" hidden="1" s="59"/>
    <row r="6056" hidden="1" s="59"/>
    <row r="6057" hidden="1" s="59"/>
    <row r="6058" hidden="1" s="59"/>
    <row r="6059" hidden="1" s="59"/>
    <row r="6060" hidden="1" s="59"/>
    <row r="6061" hidden="1" s="59"/>
    <row r="6062" hidden="1" s="59"/>
    <row r="6063" hidden="1" s="59"/>
    <row r="6064" hidden="1" s="59"/>
    <row r="6065" hidden="1" s="59"/>
    <row r="6066" hidden="1" s="59"/>
    <row r="6067" hidden="1" s="59"/>
    <row r="6068" hidden="1" s="59"/>
    <row r="6069" hidden="1" s="59"/>
    <row r="6070" hidden="1" s="59"/>
    <row r="6071" hidden="1" s="59"/>
    <row r="6072" hidden="1" s="59"/>
    <row r="6073" hidden="1" s="59"/>
    <row r="6074" hidden="1" s="59"/>
    <row r="6075" hidden="1" s="59"/>
    <row r="6076" hidden="1" s="59"/>
    <row r="6077" hidden="1" s="59"/>
    <row r="6078" hidden="1" s="59"/>
    <row r="6079" hidden="1" s="59"/>
    <row r="6080" hidden="1" s="59"/>
    <row r="6081" hidden="1" s="59"/>
    <row r="6082" hidden="1" s="59"/>
    <row r="6083" hidden="1" s="59"/>
    <row r="6084" hidden="1" s="59"/>
    <row r="6085" hidden="1" s="59"/>
    <row r="6086" hidden="1" s="59"/>
    <row r="6087" hidden="1" s="59"/>
    <row r="6088" hidden="1" s="59"/>
    <row r="6089" hidden="1" s="59"/>
    <row r="6090" hidden="1" s="59"/>
    <row r="6091" hidden="1" s="59"/>
    <row r="6092" hidden="1" s="59"/>
    <row r="6093" hidden="1" s="59"/>
    <row r="6094" hidden="1" s="59"/>
    <row r="6095" hidden="1" s="59"/>
    <row r="6096" hidden="1" s="59"/>
    <row r="6097" hidden="1" s="59"/>
    <row r="6098" hidden="1" s="59"/>
    <row r="6099" hidden="1" s="59"/>
    <row r="6100" hidden="1" s="59"/>
    <row r="6101" hidden="1" s="59"/>
    <row r="6102" hidden="1" s="59"/>
    <row r="6103" hidden="1" s="59"/>
    <row r="6104" hidden="1" s="59"/>
    <row r="6105" hidden="1" s="59"/>
    <row r="6106" hidden="1" s="59"/>
    <row r="6107" hidden="1" s="59"/>
    <row r="6108" hidden="1" s="59"/>
    <row r="6109" hidden="1" s="59"/>
    <row r="6110" hidden="1" s="59"/>
    <row r="6111" hidden="1" s="59"/>
    <row r="6112" hidden="1" s="59"/>
    <row r="6113" hidden="1" s="59"/>
    <row r="6114" hidden="1" s="59"/>
    <row r="6115" hidden="1" s="59"/>
    <row r="6116" hidden="1" s="59"/>
    <row r="6117" hidden="1" s="59"/>
    <row r="6118" hidden="1" s="59"/>
    <row r="6119" hidden="1" s="59"/>
    <row r="6120" hidden="1" s="59"/>
    <row r="6121" hidden="1" s="59"/>
    <row r="6122" hidden="1" s="59"/>
    <row r="6123" hidden="1" s="59"/>
    <row r="6124" hidden="1" s="59"/>
    <row r="6125" hidden="1" s="59"/>
    <row r="6126" hidden="1" s="59"/>
    <row r="6127" hidden="1" s="59"/>
    <row r="6128" hidden="1" s="59"/>
    <row r="6129" hidden="1" s="59"/>
    <row r="6130" hidden="1" s="59"/>
    <row r="6131" hidden="1" s="59"/>
    <row r="6132" hidden="1" s="59"/>
    <row r="6133" hidden="1" s="59"/>
    <row r="6134" hidden="1" s="59"/>
    <row r="6135" hidden="1" s="59"/>
    <row r="6136" hidden="1" s="59"/>
    <row r="6137" hidden="1" s="59"/>
    <row r="6138" hidden="1" s="59"/>
    <row r="6139" hidden="1" s="59"/>
    <row r="6140" hidden="1" s="59"/>
    <row r="6141" hidden="1" s="59"/>
    <row r="6142" hidden="1" s="59"/>
    <row r="6143" hidden="1" s="59"/>
    <row r="6144" hidden="1" s="59"/>
    <row r="6145" hidden="1" s="59"/>
    <row r="6146" hidden="1" s="59"/>
    <row r="6147" hidden="1" s="59"/>
    <row r="6148" hidden="1" s="59"/>
    <row r="6149" hidden="1" s="59"/>
    <row r="6150" hidden="1" s="59"/>
    <row r="6151" hidden="1" s="59"/>
    <row r="6152" hidden="1" s="59"/>
    <row r="6153" hidden="1" s="59"/>
    <row r="6154" hidden="1" s="59"/>
    <row r="6155" hidden="1" s="59"/>
    <row r="6156" hidden="1" s="59"/>
    <row r="6157" hidden="1" s="59"/>
    <row r="6158" hidden="1" s="59"/>
    <row r="6159" hidden="1" s="59"/>
    <row r="6160" hidden="1" s="59"/>
    <row r="6161" hidden="1" s="59"/>
    <row r="6162" hidden="1" s="59"/>
    <row r="6163" hidden="1" s="59"/>
    <row r="6164" hidden="1" s="59"/>
    <row r="6165" hidden="1" s="59"/>
    <row r="6166" hidden="1" s="59"/>
    <row r="6167" hidden="1" s="59"/>
    <row r="6168" hidden="1" s="59"/>
    <row r="6169" hidden="1" s="59"/>
    <row r="6170" hidden="1" s="59"/>
    <row r="6171" hidden="1" s="59"/>
    <row r="6172" hidden="1" s="59"/>
    <row r="6173" hidden="1" s="59"/>
    <row r="6174" hidden="1" s="59"/>
    <row r="6175" hidden="1" s="59"/>
    <row r="6176" hidden="1" s="59"/>
    <row r="6177" hidden="1" s="59"/>
    <row r="6178" hidden="1" s="59"/>
    <row r="6179" hidden="1" s="59"/>
    <row r="6180" hidden="1" s="59"/>
    <row r="6181" hidden="1" s="59"/>
    <row r="6182" hidden="1" s="59"/>
    <row r="6183" hidden="1" s="59"/>
    <row r="6184" hidden="1" s="59"/>
    <row r="6185" hidden="1" s="59"/>
    <row r="6186" hidden="1" s="59"/>
    <row r="6187" hidden="1" s="59"/>
    <row r="6188" hidden="1" s="59"/>
    <row r="6189" hidden="1" s="59"/>
    <row r="6190" hidden="1" s="59"/>
    <row r="6191" hidden="1" s="59"/>
    <row r="6192" hidden="1" s="59"/>
    <row r="6193" hidden="1" s="59"/>
    <row r="6194" hidden="1" s="59"/>
    <row r="6195" hidden="1" s="59"/>
    <row r="6196" hidden="1" s="59"/>
    <row r="6197" hidden="1" s="59"/>
    <row r="6198" hidden="1" s="59"/>
    <row r="6199" hidden="1" s="59"/>
    <row r="6200" hidden="1" s="59"/>
    <row r="6201" hidden="1" s="59"/>
    <row r="6202" hidden="1" s="59"/>
    <row r="6203" hidden="1" s="59"/>
    <row r="6204" hidden="1" s="59"/>
    <row r="6205" hidden="1" s="59"/>
    <row r="6206" hidden="1" s="59"/>
    <row r="6207" hidden="1" s="59"/>
    <row r="6208" hidden="1" s="59"/>
    <row r="6209" hidden="1" s="59"/>
    <row r="6210" hidden="1" s="59"/>
    <row r="6211" hidden="1" s="59"/>
    <row r="6212" hidden="1" s="59"/>
    <row r="6213" hidden="1" s="59"/>
    <row r="6214" hidden="1" s="59"/>
    <row r="6215" hidden="1" s="59"/>
    <row r="6216" hidden="1" s="59"/>
    <row r="6217" hidden="1" s="59"/>
    <row r="6218" hidden="1" s="59"/>
    <row r="6219" hidden="1" s="59"/>
    <row r="6220" hidden="1" s="59"/>
    <row r="6221" hidden="1" s="59"/>
    <row r="6222" hidden="1" s="59"/>
    <row r="6223" hidden="1" s="59"/>
    <row r="6224" hidden="1" s="59"/>
    <row r="6225" hidden="1" s="59"/>
    <row r="6226" hidden="1" s="59"/>
    <row r="6227" hidden="1" s="59"/>
    <row r="6228" hidden="1" s="59"/>
    <row r="6229" hidden="1" s="59"/>
    <row r="6230" hidden="1" s="59"/>
    <row r="6231" hidden="1" s="59"/>
    <row r="6232" hidden="1" s="59"/>
    <row r="6233" hidden="1" s="59"/>
    <row r="6234" hidden="1" s="59"/>
    <row r="6235" hidden="1" s="59"/>
    <row r="6236" hidden="1" s="59"/>
    <row r="6237" hidden="1" s="59"/>
    <row r="6238" hidden="1" s="59"/>
    <row r="6239" hidden="1" s="59"/>
    <row r="6240" hidden="1" s="59"/>
    <row r="6241" hidden="1" s="59"/>
    <row r="6242" hidden="1" s="59"/>
    <row r="6243" hidden="1" s="59"/>
    <row r="6244" hidden="1" s="59"/>
    <row r="6245" hidden="1" s="59"/>
    <row r="6246" hidden="1" s="59"/>
    <row r="6247" hidden="1" s="59"/>
    <row r="6248" hidden="1" s="59"/>
    <row r="6249" hidden="1" s="59"/>
    <row r="6250" hidden="1" s="59"/>
    <row r="6251" hidden="1" s="59"/>
    <row r="6252" hidden="1" s="59"/>
    <row r="6253" hidden="1" s="59"/>
    <row r="6254" hidden="1" s="59"/>
    <row r="6255" hidden="1" s="59"/>
    <row r="6256" hidden="1" s="59"/>
    <row r="6257" hidden="1" s="59"/>
    <row r="6258" hidden="1" s="59"/>
    <row r="6259" hidden="1" s="59"/>
    <row r="6260" hidden="1" s="59"/>
    <row r="6261" hidden="1" s="59"/>
    <row r="6262" hidden="1" s="59"/>
    <row r="6263" hidden="1" s="59"/>
    <row r="6264" hidden="1" s="59"/>
    <row r="6265" hidden="1" s="59"/>
    <row r="6266" hidden="1" s="59"/>
    <row r="6267" hidden="1" s="59"/>
    <row r="6268" hidden="1" s="59"/>
    <row r="6269" hidden="1" s="59"/>
    <row r="6270" hidden="1" s="59"/>
    <row r="6271" hidden="1" s="59"/>
    <row r="6272" hidden="1" s="59"/>
    <row r="6273" hidden="1" s="59"/>
    <row r="6274" hidden="1" s="59"/>
    <row r="6275" hidden="1" s="59"/>
    <row r="6276" hidden="1" s="59"/>
    <row r="6277" hidden="1" s="59"/>
    <row r="6278" hidden="1" s="59"/>
    <row r="6279" hidden="1" s="59"/>
    <row r="6280" hidden="1" s="59"/>
    <row r="6281" hidden="1" s="59"/>
    <row r="6282" hidden="1" s="59"/>
    <row r="6283" hidden="1" s="59"/>
    <row r="6284" hidden="1" s="59"/>
    <row r="6285" hidden="1" s="59"/>
    <row r="6286" hidden="1" s="59"/>
    <row r="6287" hidden="1" s="59"/>
    <row r="6288" hidden="1" s="59"/>
    <row r="6289" hidden="1" s="59"/>
    <row r="6290" hidden="1" s="59"/>
    <row r="6291" hidden="1" s="59"/>
    <row r="6292" hidden="1" s="59"/>
    <row r="6293" hidden="1" s="59"/>
    <row r="6294" hidden="1" s="59"/>
    <row r="6295" hidden="1" s="59"/>
    <row r="6297" hidden="1" s="59"/>
    <row r="6298" hidden="1" s="59"/>
    <row r="6299" hidden="1" s="59"/>
    <row r="6300" hidden="1" s="59"/>
    <row r="6301" hidden="1" s="59"/>
    <row r="6302" hidden="1" s="59"/>
    <row r="6303" hidden="1" s="59"/>
    <row r="6304" hidden="1" s="59"/>
    <row r="6305" hidden="1" s="59"/>
    <row r="6306" hidden="1" s="59"/>
    <row r="6307" hidden="1" s="59"/>
    <row r="6308" hidden="1" s="59"/>
    <row r="6309" hidden="1" s="59"/>
    <row r="6310" hidden="1" s="59"/>
    <row r="6311" hidden="1" s="59"/>
    <row r="6312" hidden="1" s="59"/>
    <row r="6313" hidden="1" s="59"/>
    <row r="6314" hidden="1" s="59"/>
    <row r="6315" hidden="1" s="59"/>
    <row r="6316" hidden="1" s="59"/>
    <row r="6317" hidden="1" s="59"/>
    <row r="6318" hidden="1" s="59"/>
    <row r="6319" hidden="1" s="59"/>
    <row r="6320" hidden="1" s="59"/>
    <row r="6321" hidden="1" s="59"/>
    <row r="6322" hidden="1" s="59"/>
    <row r="6323" hidden="1" s="59"/>
    <row r="6324" hidden="1" s="59"/>
    <row r="6325" hidden="1" s="59"/>
    <row r="6326" hidden="1" s="59"/>
    <row r="6327" hidden="1" s="59"/>
    <row r="6328" hidden="1" s="59"/>
    <row r="6329" hidden="1" s="59"/>
    <row r="6330" hidden="1" s="59"/>
    <row r="6331" hidden="1" s="59"/>
    <row r="6332" hidden="1" s="59"/>
    <row r="6333" hidden="1" s="59"/>
    <row r="6334" hidden="1" s="59"/>
    <row r="6335" hidden="1" s="59"/>
    <row r="6336" hidden="1" s="59"/>
    <row r="6337" hidden="1" s="59"/>
    <row r="6338" hidden="1" s="59"/>
    <row r="6339" hidden="1" s="59"/>
    <row r="6340" hidden="1" s="59"/>
    <row r="6341" hidden="1" s="59"/>
    <row r="6342" hidden="1" s="59"/>
    <row r="6343" hidden="1" s="59"/>
    <row r="6344" hidden="1" s="59"/>
    <row r="6345" hidden="1" s="59"/>
    <row r="6346" hidden="1" s="59"/>
    <row r="6347" hidden="1" s="59"/>
    <row r="6348" hidden="1" s="59"/>
    <row r="6349" hidden="1" s="59"/>
    <row r="6350" hidden="1" s="59"/>
    <row r="6351" hidden="1" s="59"/>
    <row r="6352" hidden="1" s="59"/>
    <row r="6353" hidden="1" s="59"/>
    <row r="6354" hidden="1" s="59"/>
    <row r="6355" hidden="1" s="59"/>
    <row r="6356" hidden="1" s="59"/>
    <row r="6357" hidden="1" s="59"/>
    <row r="6358" hidden="1" s="59"/>
    <row r="6359" hidden="1" s="59"/>
    <row r="6360" hidden="1" s="59"/>
    <row r="6361" hidden="1" s="59"/>
    <row r="6362" hidden="1" s="59"/>
    <row r="6363" hidden="1" s="59"/>
    <row r="6364" hidden="1" s="59"/>
    <row r="6365" hidden="1" s="59"/>
    <row r="6366" hidden="1" s="59"/>
    <row r="6367" hidden="1" s="59"/>
    <row r="6368" hidden="1" s="59"/>
    <row r="6369" hidden="1" s="59"/>
    <row r="6370" hidden="1" s="59"/>
    <row r="6371" hidden="1" s="59"/>
    <row r="6372" hidden="1" s="59"/>
    <row r="6373" hidden="1" s="59"/>
    <row r="6374" hidden="1" s="59"/>
    <row r="6375" hidden="1" s="59"/>
    <row r="6376" hidden="1" s="59"/>
    <row r="6377" hidden="1" s="59"/>
    <row r="6378" hidden="1" s="59"/>
    <row r="6379" hidden="1" s="59"/>
    <row r="6380" hidden="1" s="59"/>
    <row r="6381" hidden="1" s="59"/>
    <row r="6382" hidden="1" s="59"/>
    <row r="6383" hidden="1" s="59"/>
    <row r="6384" hidden="1" s="59"/>
    <row r="6385" hidden="1" s="59"/>
    <row r="6386" hidden="1" s="59"/>
    <row r="6387" hidden="1" s="59"/>
    <row r="6389" hidden="1" s="59"/>
    <row r="6390" hidden="1" s="59"/>
    <row r="6391" hidden="1" s="59"/>
    <row r="6392" hidden="1" s="59"/>
    <row r="6393" hidden="1" s="59"/>
    <row r="6394" hidden="1" s="59"/>
    <row r="6395" hidden="1" s="59"/>
    <row r="6396" hidden="1" s="59"/>
    <row r="6397" hidden="1" s="59"/>
    <row r="6398" hidden="1" s="59"/>
    <row r="6399" hidden="1" s="59"/>
    <row r="6400" hidden="1" s="59"/>
    <row r="6401" hidden="1" s="59"/>
    <row r="6402" hidden="1" s="59"/>
    <row r="6403" hidden="1" s="59"/>
    <row r="6404" hidden="1" s="59"/>
    <row r="6405" hidden="1" s="59"/>
    <row r="6406" hidden="1" s="59"/>
    <row r="6407" hidden="1" s="59"/>
    <row r="6408" hidden="1" s="59"/>
    <row r="6409" hidden="1" s="59"/>
    <row r="6410" hidden="1" s="59"/>
    <row r="6411" hidden="1" s="59"/>
    <row r="6412" hidden="1" s="59"/>
    <row r="6413" hidden="1" s="59"/>
    <row r="6414" hidden="1" s="59"/>
    <row r="6415" hidden="1" s="59"/>
    <row r="6416" hidden="1" s="59"/>
    <row r="6417" hidden="1" s="59"/>
    <row r="6418" hidden="1" s="59"/>
    <row r="6419" hidden="1" s="59"/>
    <row r="6420" hidden="1" s="59"/>
    <row r="6421" hidden="1" s="59"/>
    <row r="6422" hidden="1" s="59"/>
    <row r="6423" hidden="1" s="59"/>
    <row r="6424" hidden="1" s="59"/>
    <row r="6425" hidden="1" s="59"/>
    <row r="6426" hidden="1" s="59"/>
    <row r="6427" hidden="1" s="59"/>
    <row r="6428" hidden="1" s="59"/>
    <row r="6429" hidden="1" s="59"/>
    <row r="6430" hidden="1" s="59"/>
    <row r="6431" hidden="1" s="59"/>
    <row r="6432" hidden="1" s="59"/>
    <row r="6433" hidden="1" s="59"/>
    <row r="6434" hidden="1" s="59"/>
    <row r="6435" hidden="1" s="59"/>
    <row r="6436" hidden="1" s="59"/>
    <row r="6437" hidden="1" s="59"/>
    <row r="6438" hidden="1" s="59"/>
    <row r="6439" hidden="1" s="59"/>
    <row r="6440" hidden="1" s="59"/>
    <row r="6441" hidden="1" s="59"/>
    <row r="6442" hidden="1" s="59"/>
    <row r="6443" hidden="1" s="59"/>
    <row r="6444" hidden="1" s="59"/>
    <row r="6445" hidden="1" s="59"/>
    <row r="6446" hidden="1" s="59"/>
    <row r="6447" hidden="1" s="59"/>
    <row r="6448" hidden="1" s="59"/>
    <row r="6449" hidden="1" s="59"/>
    <row r="6450" hidden="1" s="59"/>
    <row r="6451" hidden="1" s="59"/>
    <row r="6452" hidden="1" s="59"/>
    <row r="6453" hidden="1" s="59"/>
    <row r="6454" hidden="1" s="59"/>
    <row r="6455" hidden="1" s="59"/>
    <row r="6456" hidden="1" s="59"/>
    <row r="6457" hidden="1" s="59"/>
    <row r="6458" hidden="1" s="59"/>
    <row r="6459" hidden="1" s="59"/>
    <row r="6460" hidden="1" s="59"/>
    <row r="6461" hidden="1" s="59"/>
    <row r="6462" hidden="1" s="59"/>
    <row r="6463" hidden="1" s="59"/>
    <row r="6464" hidden="1" s="59"/>
    <row r="6465" hidden="1" s="59"/>
    <row r="6466" hidden="1" s="59"/>
    <row r="6467" hidden="1" s="59"/>
    <row r="6468" hidden="1" s="59"/>
    <row r="6469" hidden="1" s="59"/>
    <row r="6470" hidden="1" s="59"/>
    <row r="6471" hidden="1" s="59"/>
    <row r="6472" hidden="1" s="59"/>
    <row r="6473" hidden="1" s="59"/>
    <row r="6474" hidden="1" s="59"/>
    <row r="6475" hidden="1" s="59"/>
    <row r="6476" hidden="1" s="59"/>
    <row r="6477" hidden="1" s="59"/>
    <row r="6478" hidden="1" s="59"/>
    <row r="6479" hidden="1" s="59"/>
    <row r="6480" hidden="1" s="59"/>
    <row r="6481" hidden="1" s="59"/>
    <row r="6482" hidden="1" s="59"/>
    <row r="6483" hidden="1" s="59"/>
    <row r="6484" hidden="1" s="59"/>
    <row r="6485" hidden="1" s="59"/>
    <row r="6486" hidden="1" s="59"/>
    <row r="6487" hidden="1" s="59"/>
    <row r="6488" hidden="1" s="59"/>
    <row r="6489" hidden="1" s="59"/>
    <row r="6490" hidden="1" s="59"/>
    <row r="6491" hidden="1" s="59"/>
    <row r="6492" hidden="1" s="59"/>
    <row r="6493" hidden="1" s="59"/>
    <row r="6494" hidden="1" s="59"/>
    <row r="6495" hidden="1" s="59"/>
    <row r="6496" hidden="1" s="59"/>
    <row r="6497" hidden="1" s="59"/>
    <row r="6498" hidden="1" s="59"/>
    <row r="6499" hidden="1" s="59"/>
    <row r="6500" hidden="1" s="59"/>
    <row r="6501" hidden="1" s="59"/>
    <row r="6502" hidden="1" s="59"/>
    <row r="6503" hidden="1" s="59"/>
    <row r="6504" hidden="1" s="59"/>
    <row r="6505" hidden="1" s="59"/>
    <row r="6506" hidden="1" s="59"/>
    <row r="6507" hidden="1" s="59"/>
    <row r="6508" hidden="1" s="59"/>
    <row r="6509" hidden="1" s="59"/>
    <row r="6510" hidden="1" s="59"/>
    <row r="6511" hidden="1" s="59"/>
    <row r="6512" hidden="1" s="59"/>
    <row r="6513" hidden="1" s="59"/>
    <row r="6514" hidden="1" s="59"/>
    <row r="6515" hidden="1" s="59"/>
    <row r="6516" hidden="1" s="59"/>
    <row r="6517" hidden="1" s="59"/>
    <row r="6518" hidden="1" s="59"/>
    <row r="6519" hidden="1" s="59"/>
    <row r="6520" hidden="1" s="59"/>
    <row r="6521" hidden="1" s="59"/>
    <row r="6522" hidden="1" s="59"/>
    <row r="6523" hidden="1" s="59"/>
    <row r="6524" hidden="1" s="59"/>
    <row r="6525" hidden="1" s="59"/>
    <row r="6526" hidden="1" s="59"/>
    <row r="6527" hidden="1" s="59"/>
    <row r="6528" hidden="1" s="59"/>
    <row r="6529" hidden="1" s="59"/>
    <row r="6530" hidden="1" s="59"/>
    <row r="6531" hidden="1" s="59"/>
    <row r="6532" hidden="1" s="59"/>
    <row r="6533" hidden="1" s="59"/>
    <row r="6534" hidden="1" s="59"/>
    <row r="6535" hidden="1" s="59"/>
    <row r="6536" hidden="1" s="59"/>
    <row r="6537" hidden="1" s="59"/>
    <row r="6538" hidden="1" s="59"/>
    <row r="6539" hidden="1" s="59"/>
    <row r="6540" hidden="1" s="59"/>
    <row r="6541" hidden="1" s="59"/>
    <row r="6542" hidden="1" s="59"/>
    <row r="6543" hidden="1" s="59"/>
    <row r="6544" hidden="1" s="59"/>
    <row r="6545" hidden="1" s="59"/>
    <row r="6546" hidden="1" s="59"/>
    <row r="6547" hidden="1" s="59"/>
    <row r="6548" hidden="1" s="59"/>
    <row r="6549" hidden="1" s="59"/>
    <row r="6550" hidden="1" s="59"/>
    <row r="6551" hidden="1" s="59"/>
    <row r="6552" hidden="1" s="59"/>
    <row r="6553" hidden="1" s="59"/>
    <row r="6554" hidden="1" s="59"/>
    <row r="6555" hidden="1" s="59"/>
    <row r="6556" hidden="1" s="59"/>
    <row r="6557" hidden="1" s="59"/>
    <row r="6558" hidden="1" s="59"/>
    <row r="6559" hidden="1" s="59"/>
    <row r="6560" hidden="1" s="59"/>
    <row r="6561" hidden="1" s="59"/>
    <row r="6562" hidden="1" s="59"/>
    <row r="6563" hidden="1" s="59"/>
    <row r="6564" hidden="1" s="59"/>
    <row r="6565" hidden="1" s="59"/>
    <row r="6566" hidden="1" s="59"/>
    <row r="6567" hidden="1" s="59"/>
    <row r="6568" hidden="1" s="59"/>
    <row r="6569" hidden="1" s="59"/>
    <row r="6570" hidden="1" s="59"/>
    <row r="6571" hidden="1" s="59"/>
    <row r="6572" hidden="1" s="59"/>
    <row r="6573" hidden="1" s="59"/>
    <row r="6574" hidden="1" s="59"/>
    <row r="6575" hidden="1" s="59"/>
    <row r="6576" hidden="1" s="59"/>
    <row r="6577" hidden="1" s="59"/>
    <row r="6578" hidden="1" s="59"/>
    <row r="6579" hidden="1" s="59"/>
    <row r="6580" hidden="1" s="59"/>
    <row r="6581" hidden="1" s="59"/>
    <row r="6582" hidden="1" s="59"/>
    <row r="6583" hidden="1" s="59"/>
    <row r="6584" hidden="1" s="59"/>
    <row r="6585" hidden="1" s="59"/>
    <row r="6586" hidden="1" s="59"/>
    <row r="6587" hidden="1" s="59"/>
    <row r="6588" hidden="1" s="59"/>
    <row r="6589" hidden="1" s="59"/>
    <row r="6590" hidden="1" s="59"/>
    <row r="6591" hidden="1" s="59"/>
    <row r="6592" hidden="1" s="59"/>
    <row r="6593" hidden="1" s="59"/>
    <row r="6594" hidden="1" s="59"/>
    <row r="6595" hidden="1" s="59"/>
    <row r="6596" hidden="1" s="59"/>
    <row r="6597" hidden="1" s="59"/>
    <row r="6598" hidden="1" s="59"/>
    <row r="6599" hidden="1" s="59"/>
    <row r="6600" hidden="1" s="59"/>
    <row r="6601" hidden="1" s="59"/>
    <row r="6602" hidden="1" s="59"/>
    <row r="6603" hidden="1" s="59"/>
    <row r="6604" hidden="1" s="59"/>
    <row r="6605" hidden="1" s="59"/>
    <row r="6606" hidden="1" s="59"/>
    <row r="6607" hidden="1" s="59"/>
    <row r="6608" hidden="1" s="59"/>
    <row r="6609" hidden="1" s="59"/>
    <row r="6610" hidden="1" s="59"/>
    <row r="6611" hidden="1" s="59"/>
    <row r="6612" hidden="1" s="59"/>
    <row r="6613" hidden="1" s="59"/>
    <row r="6614" hidden="1" s="59"/>
    <row r="6615" hidden="1" s="59"/>
    <row r="6616" hidden="1" s="59"/>
    <row r="6617" hidden="1" s="59"/>
    <row r="6618" hidden="1" s="59"/>
    <row r="6619" hidden="1" s="59"/>
    <row r="6620" hidden="1" s="59"/>
    <row r="6621" hidden="1" s="59"/>
    <row r="6622" hidden="1" s="59"/>
    <row r="6623" hidden="1" s="59"/>
    <row r="6624" hidden="1" s="59"/>
    <row r="6625" hidden="1" s="59"/>
    <row r="6626" hidden="1" s="59"/>
    <row r="6627" hidden="1" s="59"/>
    <row r="6628" hidden="1" s="59"/>
    <row r="6629" hidden="1" s="59"/>
    <row r="6630" hidden="1" s="59"/>
    <row r="6631" hidden="1" s="59"/>
    <row r="6632" hidden="1" s="59"/>
    <row r="6633" hidden="1" s="59"/>
    <row r="6634" hidden="1" s="59"/>
    <row r="6635" hidden="1" s="59"/>
    <row r="6636" hidden="1" s="59"/>
    <row r="6637" hidden="1" s="59"/>
    <row r="6638" hidden="1" s="59"/>
    <row r="6639" hidden="1" s="59"/>
    <row r="6640" hidden="1" s="59"/>
    <row r="6641" hidden="1" s="59"/>
    <row r="6642" hidden="1" s="59"/>
    <row r="6643" hidden="1" s="59"/>
    <row r="6644" hidden="1" s="59"/>
    <row r="6645" hidden="1" s="59"/>
    <row r="6646" hidden="1" s="59"/>
    <row r="6647" hidden="1" s="59"/>
    <row r="6648" hidden="1" s="59"/>
    <row r="6649" hidden="1" s="59"/>
    <row r="6650" hidden="1" s="59"/>
    <row r="6651" hidden="1" s="59"/>
    <row r="6652" hidden="1" s="59"/>
    <row r="6653" hidden="1" s="59"/>
    <row r="6654" hidden="1" s="59"/>
    <row r="6655" hidden="1" s="59"/>
    <row r="6656" hidden="1" s="59"/>
    <row r="6657" hidden="1" s="59"/>
    <row r="6658" hidden="1" s="59"/>
    <row r="6659" hidden="1" s="59"/>
    <row r="6660" hidden="1" s="59"/>
    <row r="6661" hidden="1" s="59"/>
    <row r="6662" hidden="1" s="59"/>
    <row r="6663" hidden="1" s="59"/>
    <row r="6664" hidden="1" s="59"/>
    <row r="6665" hidden="1" s="59"/>
    <row r="6666" hidden="1" s="59"/>
    <row r="6667" hidden="1" s="59"/>
    <row r="6668" hidden="1" s="59"/>
    <row r="6669" hidden="1" s="59"/>
    <row r="6670" hidden="1" s="59"/>
    <row r="6671" hidden="1" s="59"/>
    <row r="6672" hidden="1" s="59"/>
    <row r="6673" hidden="1" s="59"/>
    <row r="6674" hidden="1" s="59"/>
    <row r="6675" hidden="1" s="59"/>
    <row r="6676" hidden="1" s="59"/>
    <row r="6677" hidden="1" s="59"/>
    <row r="6678" hidden="1" s="59"/>
    <row r="6679" hidden="1" s="59"/>
    <row r="6680" hidden="1" s="59"/>
    <row r="6681" hidden="1" s="59"/>
    <row r="6682" hidden="1" s="59"/>
    <row r="6683" hidden="1" s="59"/>
    <row r="6684" hidden="1" s="59"/>
    <row r="6685" hidden="1" s="59"/>
    <row r="6686" hidden="1" s="59"/>
    <row r="6687" hidden="1" s="59"/>
    <row r="6688" hidden="1" s="59"/>
    <row r="6689" hidden="1" s="59"/>
    <row r="6690" hidden="1" s="59"/>
    <row r="6691" hidden="1" s="59"/>
    <row r="6692" hidden="1" s="59"/>
    <row r="6693" hidden="1" s="59"/>
    <row r="6694" hidden="1" s="59"/>
    <row r="6695" hidden="1" s="59"/>
    <row r="6696" hidden="1" s="59"/>
    <row r="6697" hidden="1" s="59"/>
    <row r="6698" hidden="1" s="59"/>
    <row r="6699" hidden="1" s="59"/>
    <row r="6700" hidden="1" s="59"/>
    <row r="6701" hidden="1" s="59"/>
    <row r="6702" hidden="1" s="59"/>
    <row r="6703" hidden="1" s="59"/>
    <row r="6704" hidden="1" s="59"/>
    <row r="6705" hidden="1" s="59"/>
    <row r="6706" hidden="1" s="59"/>
    <row r="6707" hidden="1" s="59"/>
    <row r="6708" hidden="1" s="59"/>
    <row r="6709" hidden="1" s="59"/>
    <row r="6710" hidden="1" s="59"/>
    <row r="6711" hidden="1" s="59"/>
    <row r="6712" hidden="1" s="59"/>
    <row r="6713" hidden="1" s="59"/>
    <row r="6714" hidden="1" s="59"/>
    <row r="6715" hidden="1" s="59"/>
    <row r="6716" hidden="1" s="59"/>
    <row r="6717" hidden="1" s="59"/>
    <row r="6718" hidden="1" s="59"/>
    <row r="6719" hidden="1" s="59"/>
    <row r="6720" hidden="1" s="59"/>
    <row r="6721" hidden="1" s="59"/>
    <row r="6722" hidden="1" s="59"/>
    <row r="6723" hidden="1" s="59"/>
    <row r="6724" hidden="1" s="59"/>
    <row r="6725" hidden="1" s="59"/>
    <row r="6726" hidden="1" s="59"/>
    <row r="6727" hidden="1" s="59"/>
    <row r="6728" hidden="1" s="59"/>
    <row r="6729" hidden="1" s="59"/>
    <row r="6730" hidden="1" s="59"/>
    <row r="6731" hidden="1" s="59"/>
    <row r="6732" hidden="1" s="59"/>
    <row r="6733" hidden="1" s="59"/>
    <row r="6734" hidden="1" s="59"/>
    <row r="6735" hidden="1" s="59"/>
    <row r="6736" hidden="1" s="59"/>
    <row r="6737" hidden="1" s="59"/>
    <row r="6738" hidden="1" s="59"/>
    <row r="6739" hidden="1" s="59"/>
    <row r="6740" hidden="1" s="59"/>
    <row r="6741" hidden="1" s="59"/>
    <row r="6742" hidden="1" s="59"/>
    <row r="6743" hidden="1" s="59"/>
    <row r="6744" hidden="1" s="59"/>
    <row r="6745" hidden="1" s="59"/>
    <row r="6746" hidden="1" s="59"/>
    <row r="6747" hidden="1" s="59"/>
    <row r="6748" hidden="1" s="59"/>
    <row r="6749" hidden="1" s="59"/>
    <row r="6750" hidden="1" s="59"/>
    <row r="6751" hidden="1" s="59"/>
    <row r="6752" hidden="1" s="59"/>
    <row r="6753" hidden="1" s="59"/>
    <row r="6754" hidden="1" s="59"/>
    <row r="6755" hidden="1" s="59"/>
    <row r="6756" hidden="1" s="59"/>
    <row r="6757" hidden="1" s="59"/>
    <row r="6758" hidden="1" s="59"/>
    <row r="6759" hidden="1" s="59"/>
    <row r="6760" hidden="1" s="59"/>
    <row r="6761" hidden="1" s="59"/>
    <row r="6762" hidden="1" s="59"/>
    <row r="6763" hidden="1" s="59"/>
    <row r="6764" hidden="1" s="59"/>
    <row r="6765" hidden="1" s="59"/>
    <row r="6766" hidden="1" s="59"/>
    <row r="6767" hidden="1" s="59"/>
    <row r="6768" hidden="1" s="59"/>
    <row r="6769" hidden="1" s="59"/>
    <row r="6770" hidden="1" s="59"/>
    <row r="6771" hidden="1" s="59"/>
    <row r="6772" hidden="1" s="59"/>
    <row r="6773" hidden="1" s="59"/>
    <row r="6774" hidden="1" s="59"/>
    <row r="6775" hidden="1" s="59"/>
    <row r="6776" hidden="1" s="59"/>
    <row r="6777" hidden="1" s="59"/>
    <row r="6778" hidden="1" s="59"/>
    <row r="6779" hidden="1" s="59"/>
    <row r="6780" hidden="1" s="59"/>
    <row r="6781" hidden="1" s="59"/>
    <row r="6782" hidden="1" s="59"/>
    <row r="6783" hidden="1" s="59"/>
    <row r="6784" hidden="1" s="59"/>
    <row r="6785" hidden="1" s="59"/>
    <row r="6786" hidden="1" s="59"/>
    <row r="6787" hidden="1" s="59"/>
    <row r="6788" hidden="1" s="59"/>
    <row r="6789" hidden="1" s="59"/>
    <row r="6790" hidden="1" s="59"/>
    <row r="6791" hidden="1" s="59"/>
    <row r="6792" hidden="1" s="59"/>
    <row r="6793" hidden="1" s="59"/>
    <row r="6794" hidden="1" s="59"/>
    <row r="6795" hidden="1" s="59"/>
    <row r="6796" hidden="1" s="59"/>
    <row r="6797" hidden="1" s="59"/>
    <row r="6798" hidden="1" s="59"/>
    <row r="6799" hidden="1" s="59"/>
    <row r="6800" hidden="1" s="59"/>
    <row r="6801" hidden="1" s="59"/>
    <row r="6802" hidden="1" s="59"/>
    <row r="6803" hidden="1" s="59"/>
    <row r="6804" hidden="1" s="59"/>
    <row r="6805" hidden="1" s="59"/>
    <row r="6806" hidden="1" s="59"/>
    <row r="6807" hidden="1" s="59"/>
    <row r="6808" hidden="1" s="59"/>
    <row r="6809" hidden="1" s="59"/>
    <row r="6810" hidden="1" s="59"/>
    <row r="6811" hidden="1" s="59"/>
    <row r="6812" hidden="1" s="59"/>
    <row r="6813" hidden="1" s="59"/>
    <row r="6814" hidden="1" s="59"/>
    <row r="6815" hidden="1" s="59"/>
    <row r="6816" hidden="1" s="59"/>
    <row r="6817" hidden="1" s="59"/>
    <row r="6818" hidden="1" s="59"/>
    <row r="6819" hidden="1" s="59"/>
    <row r="6820" hidden="1" s="59"/>
    <row r="6821" hidden="1" s="59"/>
    <row r="6822" hidden="1" s="59"/>
    <row r="6823" hidden="1" s="59"/>
    <row r="6824" hidden="1" s="59"/>
    <row r="6825" hidden="1" s="59"/>
    <row r="6826" hidden="1" s="59"/>
    <row r="6827" hidden="1" s="59"/>
    <row r="6828" hidden="1" s="59"/>
    <row r="6829" hidden="1" s="59"/>
    <row r="6830" hidden="1" s="59"/>
    <row r="6831" hidden="1" s="59"/>
    <row r="6832" hidden="1" s="59"/>
    <row r="6833" hidden="1" s="59"/>
    <row r="6834" hidden="1" s="59"/>
    <row r="6835" hidden="1" s="59"/>
    <row r="6836" hidden="1" s="59"/>
    <row r="6837" hidden="1" s="59"/>
    <row r="6838" hidden="1" s="59"/>
    <row r="6839" hidden="1" s="59"/>
    <row r="6840" hidden="1" s="59"/>
    <row r="6841" hidden="1" s="59"/>
    <row r="6842" hidden="1" s="59"/>
    <row r="6843" hidden="1" s="59"/>
    <row r="6844" hidden="1" s="59"/>
    <row r="6845" hidden="1" s="59"/>
    <row r="6846" hidden="1" s="59"/>
    <row r="6847" hidden="1" s="59"/>
    <row r="6848" hidden="1" s="59"/>
    <row r="6849" hidden="1" s="59"/>
    <row r="6850" hidden="1" s="59"/>
    <row r="6851" hidden="1" s="59"/>
    <row r="6852" hidden="1" s="59"/>
    <row r="6853" hidden="1" s="59"/>
    <row r="6854" hidden="1" s="59"/>
    <row r="6855" hidden="1" s="59"/>
    <row r="6856" hidden="1" s="59"/>
    <row r="6857" hidden="1" s="59"/>
    <row r="6858" hidden="1" s="59"/>
    <row r="6859" hidden="1" s="59"/>
    <row r="6860" hidden="1" s="59"/>
    <row r="6861" hidden="1" s="59"/>
    <row r="6862" hidden="1" s="59"/>
    <row r="6863" hidden="1" s="59"/>
    <row r="6864" hidden="1" s="59"/>
    <row r="6865" hidden="1" s="59"/>
    <row r="6866" hidden="1" s="59"/>
    <row r="6867" hidden="1" s="59"/>
    <row r="6868" hidden="1" s="59"/>
    <row r="6869" hidden="1" s="59"/>
    <row r="6870" hidden="1" s="59"/>
    <row r="6871" hidden="1" s="59"/>
    <row r="6872" hidden="1" s="59"/>
    <row r="6873" hidden="1" s="59"/>
    <row r="6874" hidden="1" s="59"/>
    <row r="6875" hidden="1" s="59"/>
    <row r="6876" hidden="1" s="59"/>
    <row r="6877" hidden="1" s="59"/>
    <row r="6878" hidden="1" s="59"/>
    <row r="6879" hidden="1" s="59"/>
    <row r="6880" hidden="1" s="59"/>
    <row r="6881" hidden="1" s="59"/>
    <row r="6882" hidden="1" s="59"/>
    <row r="6883" hidden="1" s="59"/>
    <row r="6884" hidden="1" s="59"/>
    <row r="6885" hidden="1" s="59"/>
    <row r="6886" hidden="1" s="59"/>
    <row r="6887" hidden="1" s="59"/>
    <row r="6888" hidden="1" s="59"/>
    <row r="6889" hidden="1" s="59"/>
    <row r="6890" hidden="1" s="59"/>
    <row r="6891" hidden="1" s="59"/>
    <row r="6892" hidden="1" s="59"/>
    <row r="6893" hidden="1" s="59"/>
    <row r="6894" hidden="1" s="59"/>
    <row r="6895" hidden="1" s="59"/>
    <row r="6896" hidden="1" s="59"/>
    <row r="6897" hidden="1" s="59"/>
    <row r="6898" hidden="1" s="59"/>
    <row r="6899" hidden="1" s="59"/>
    <row r="6900" hidden="1" s="59"/>
    <row r="6901" hidden="1" s="59"/>
    <row r="6902" hidden="1" s="59"/>
    <row r="6903" hidden="1" s="59"/>
    <row r="6904" hidden="1" s="59"/>
    <row r="6905" hidden="1" s="59"/>
    <row r="6906" hidden="1" s="59"/>
    <row r="6907" hidden="1" s="59"/>
    <row r="6908" hidden="1" s="59"/>
    <row r="6909" hidden="1" s="59"/>
    <row r="6910" hidden="1" s="59"/>
    <row r="6911" hidden="1" s="59"/>
    <row r="6912" hidden="1" s="59"/>
    <row r="6913" hidden="1" s="59"/>
    <row r="6914" hidden="1" s="59"/>
    <row r="6915" hidden="1" s="59"/>
    <row r="6916" hidden="1" s="59"/>
    <row r="6917" hidden="1" s="59"/>
    <row r="6918" hidden="1" s="59"/>
    <row r="6919" hidden="1" s="59"/>
    <row r="6920" hidden="1" s="59"/>
    <row r="6921" hidden="1" s="59"/>
    <row r="6922" hidden="1" s="59"/>
    <row r="6923" hidden="1" s="59"/>
    <row r="6924" hidden="1" s="59"/>
    <row r="6925" hidden="1" s="59"/>
    <row r="6926" hidden="1" s="59"/>
    <row r="6927" hidden="1" s="59"/>
    <row r="6928" hidden="1" s="59"/>
    <row r="6929" hidden="1" s="59"/>
    <row r="6930" hidden="1" s="59"/>
    <row r="6931" hidden="1" s="59"/>
    <row r="6932" hidden="1" s="59"/>
    <row r="6933" hidden="1" s="59"/>
    <row r="6934" hidden="1" s="59"/>
    <row r="6935" hidden="1" s="59"/>
    <row r="6936" hidden="1" s="59"/>
    <row r="6937" hidden="1" s="59"/>
    <row r="6938" hidden="1" s="59"/>
    <row r="6939" hidden="1" s="59"/>
    <row r="6940" hidden="1" s="59"/>
    <row r="6941" hidden="1" s="59"/>
    <row r="6942" hidden="1" s="59"/>
    <row r="6943" hidden="1" s="59"/>
    <row r="6944" hidden="1" s="59"/>
    <row r="6945" hidden="1" s="59"/>
    <row r="6946" hidden="1" s="59"/>
    <row r="6947" hidden="1" s="59"/>
    <row r="6948" hidden="1" s="59"/>
    <row r="6949" hidden="1" s="59"/>
    <row r="6950" hidden="1" s="59"/>
    <row r="6951" hidden="1" s="59"/>
    <row r="6952" hidden="1" s="59"/>
    <row r="6953" hidden="1" s="59"/>
    <row r="6954" hidden="1" s="59"/>
    <row r="6955" hidden="1" s="59"/>
    <row r="6956" hidden="1" s="59"/>
    <row r="6957" hidden="1" s="59"/>
    <row r="6958" hidden="1" s="59"/>
    <row r="6959" hidden="1" s="59"/>
    <row r="6960" hidden="1" s="59"/>
    <row r="6961" hidden="1" s="59"/>
    <row r="6962" hidden="1" s="59"/>
    <row r="6963" hidden="1" s="59"/>
    <row r="6964" hidden="1" s="59"/>
    <row r="6965" hidden="1" s="59"/>
    <row r="6966" hidden="1" s="59"/>
    <row r="6967" hidden="1" s="59"/>
    <row r="6968" hidden="1" s="59"/>
    <row r="6969" hidden="1" s="59"/>
    <row r="6970" hidden="1" s="59"/>
    <row r="6971" hidden="1" s="59"/>
    <row r="6972" hidden="1" s="59"/>
    <row r="6973" hidden="1" s="59"/>
    <row r="6974" hidden="1" s="59"/>
    <row r="6975" hidden="1" s="59"/>
    <row r="6976" hidden="1" s="59"/>
    <row r="6977" hidden="1" s="59"/>
    <row r="6978" hidden="1" s="59"/>
    <row r="6979" hidden="1" s="59"/>
    <row r="6980" hidden="1" s="59"/>
    <row r="6981" hidden="1" s="59"/>
    <row r="6982" hidden="1" s="59"/>
    <row r="6983" hidden="1" s="59"/>
    <row r="6984" hidden="1" s="59"/>
    <row r="6985" hidden="1" s="59"/>
    <row r="6986" hidden="1" s="59"/>
    <row r="6987" hidden="1" s="59"/>
    <row r="6988" hidden="1" s="59"/>
    <row r="6989" hidden="1" s="59"/>
    <row r="6990" hidden="1" s="59"/>
    <row r="6991" hidden="1" s="59"/>
    <row r="6992" hidden="1" s="59"/>
    <row r="6993" hidden="1" s="59"/>
    <row r="6994" hidden="1" s="59"/>
    <row r="6995" hidden="1" s="59"/>
    <row r="6996" hidden="1" s="59"/>
    <row r="6997" hidden="1" s="59"/>
    <row r="6998" hidden="1" s="59"/>
    <row r="6999" hidden="1" s="59"/>
    <row r="7000" hidden="1" s="59"/>
    <row r="7001" hidden="1" s="59"/>
    <row r="7002" hidden="1" s="59"/>
    <row r="7003" hidden="1" s="59"/>
    <row r="7004" hidden="1" s="59"/>
    <row r="7005" hidden="1" s="59"/>
    <row r="7006" hidden="1" s="59"/>
    <row r="7007" hidden="1" s="59"/>
    <row r="7008" hidden="1" s="59"/>
    <row r="7009" hidden="1" s="59"/>
    <row r="7010" hidden="1" s="59"/>
    <row r="7011" hidden="1" s="59"/>
    <row r="7012" hidden="1" s="59"/>
    <row r="7013" hidden="1" s="59"/>
    <row r="7014" hidden="1" s="59"/>
    <row r="7015" hidden="1" s="59"/>
    <row r="7016" hidden="1" s="59"/>
    <row r="7017" hidden="1" s="59"/>
    <row r="7018" hidden="1" s="59"/>
    <row r="7019" hidden="1" s="59"/>
    <row r="7020" hidden="1" s="59"/>
    <row r="7021" hidden="1" s="59"/>
    <row r="7022" hidden="1" s="59"/>
    <row r="7023" hidden="1" s="59"/>
    <row r="7024" hidden="1" s="59"/>
    <row r="7025" hidden="1" s="59"/>
    <row r="7026" hidden="1" s="59"/>
    <row r="7027" hidden="1" s="59"/>
    <row r="7028" hidden="1" s="59"/>
    <row r="7029" hidden="1" s="59"/>
    <row r="7030" hidden="1" s="59"/>
    <row r="7031" hidden="1" s="59"/>
    <row r="7032" hidden="1" s="59"/>
    <row r="7033" hidden="1" s="59"/>
    <row r="7034" hidden="1" s="59"/>
    <row r="7035" hidden="1" s="59"/>
    <row r="7036" hidden="1" s="59"/>
    <row r="7037" hidden="1" s="59"/>
    <row r="7038" hidden="1" s="59"/>
    <row r="7039" hidden="1" s="59"/>
    <row r="7040" hidden="1" s="59"/>
    <row r="7041" hidden="1" s="59"/>
    <row r="7042" hidden="1" s="59"/>
    <row r="7043" hidden="1" s="59"/>
    <row r="7044" hidden="1" s="59"/>
    <row r="7045" hidden="1" s="59"/>
    <row r="7046" hidden="1" s="59"/>
    <row r="7047" hidden="1" s="59"/>
    <row r="7048" hidden="1" s="59"/>
    <row r="7049" hidden="1" s="59"/>
    <row r="7050" hidden="1" s="59"/>
    <row r="7051" hidden="1" s="59"/>
    <row r="7052" hidden="1" s="59"/>
    <row r="7053" hidden="1" s="59"/>
    <row r="7054" hidden="1" s="59"/>
    <row r="7055" hidden="1" s="59"/>
    <row r="7056" hidden="1" s="59"/>
    <row r="7057" hidden="1" s="59"/>
    <row r="7058" hidden="1" s="59"/>
    <row r="7059" hidden="1" s="59"/>
    <row r="7060" hidden="1" s="59"/>
    <row r="7061" hidden="1" s="59"/>
    <row r="7062" hidden="1" s="59"/>
    <row r="7063" hidden="1" s="59"/>
    <row r="7064" hidden="1" s="59"/>
    <row r="7065" hidden="1" s="59"/>
    <row r="7066" hidden="1" s="59"/>
    <row r="7067" hidden="1" s="59"/>
    <row r="7068" hidden="1" s="59"/>
    <row r="7069" hidden="1" s="59"/>
    <row r="7070" hidden="1" s="59"/>
    <row r="7071" hidden="1" s="59"/>
    <row r="7072" hidden="1" s="59"/>
    <row r="7073" hidden="1" s="59"/>
    <row r="7074" hidden="1" s="59"/>
    <row r="7075" hidden="1" s="59"/>
    <row r="7076" hidden="1" s="59"/>
    <row r="7077" hidden="1" s="59"/>
    <row r="7078" hidden="1" s="59"/>
    <row r="7079" hidden="1" s="59"/>
    <row r="7080" hidden="1" s="59"/>
    <row r="7081" hidden="1" s="59"/>
    <row r="7082" hidden="1" s="59"/>
    <row r="7083" hidden="1" s="59"/>
    <row r="7084" hidden="1" s="59"/>
    <row r="7085" hidden="1" s="59"/>
    <row r="7086" hidden="1" s="59"/>
    <row r="7087" hidden="1" s="59"/>
    <row r="7088" hidden="1" s="59"/>
    <row r="7089" hidden="1" s="59"/>
    <row r="7090" hidden="1" s="59"/>
    <row r="7091" hidden="1" s="59"/>
    <row r="7092" hidden="1" s="59"/>
    <row r="7093" hidden="1" s="59"/>
    <row r="7094" hidden="1" s="59"/>
    <row r="7095" hidden="1" s="59"/>
    <row r="7096" hidden="1" s="59"/>
    <row r="7097" hidden="1" s="59"/>
    <row r="7098" hidden="1" s="59"/>
    <row r="7099" hidden="1" s="59"/>
    <row r="7100" hidden="1" s="59"/>
    <row r="7101" hidden="1" s="59"/>
    <row r="7102" hidden="1" s="59"/>
    <row r="7103" hidden="1" s="59"/>
    <row r="7104" hidden="1" s="59"/>
    <row r="7105" hidden="1" s="59"/>
    <row r="7106" hidden="1" s="59"/>
    <row r="7107" hidden="1" s="59"/>
    <row r="7108" hidden="1" s="59"/>
    <row r="7109" hidden="1" s="59"/>
    <row r="7110" hidden="1" s="59"/>
    <row r="7111" hidden="1" s="59"/>
    <row r="7112" hidden="1" s="59"/>
    <row r="7113" hidden="1" s="59"/>
    <row r="7114" hidden="1" s="59"/>
    <row r="7115" hidden="1" s="59"/>
    <row r="7116" hidden="1" s="59"/>
    <row r="7117" hidden="1" s="59"/>
    <row r="7118" hidden="1" s="59"/>
    <row r="7119" hidden="1" s="59"/>
    <row r="7120" hidden="1" s="59"/>
    <row r="7121" hidden="1" s="59"/>
    <row r="7122" hidden="1" s="59"/>
    <row r="7123" hidden="1" s="59"/>
    <row r="7124" hidden="1" s="59"/>
    <row r="7125" hidden="1" s="59"/>
    <row r="7126" hidden="1" s="59"/>
    <row r="7127" hidden="1" s="59"/>
    <row r="7128" hidden="1" s="59"/>
    <row r="7129" hidden="1" s="59"/>
    <row r="7130" hidden="1" s="59"/>
    <row r="7131" hidden="1" s="59"/>
    <row r="7132" hidden="1" s="59"/>
    <row r="7133" hidden="1" s="59"/>
    <row r="7134" hidden="1" s="59"/>
    <row r="7135" hidden="1" s="59"/>
    <row r="7136" hidden="1" s="59"/>
    <row r="7137" hidden="1" s="59"/>
    <row r="7138" hidden="1" s="59"/>
    <row r="7139" hidden="1" s="59"/>
    <row r="7140" hidden="1" s="59"/>
    <row r="7141" hidden="1" s="59"/>
    <row r="7142" hidden="1" s="59"/>
    <row r="7143" hidden="1" s="59"/>
    <row r="7144" hidden="1" s="59"/>
    <row r="7145" hidden="1" s="59"/>
    <row r="7146" hidden="1" s="59"/>
    <row r="7147" hidden="1" s="59"/>
    <row r="7148" hidden="1" s="59"/>
    <row r="7149" hidden="1" s="59"/>
    <row r="7150" hidden="1" s="59"/>
    <row r="7151" hidden="1" s="59"/>
    <row r="7152" hidden="1" s="59"/>
    <row r="7153" hidden="1" s="59"/>
    <row r="7154" hidden="1" s="59"/>
    <row r="7155" hidden="1" s="59"/>
    <row r="7156" hidden="1" s="59"/>
    <row r="7157" hidden="1" s="59"/>
    <row r="7158" hidden="1" s="59"/>
    <row r="7159" hidden="1" s="59"/>
    <row r="7160" hidden="1" s="59"/>
    <row r="7161" hidden="1" s="59"/>
    <row r="7162" hidden="1" s="59"/>
    <row r="7163" hidden="1" s="59"/>
    <row r="7164" hidden="1" s="59"/>
    <row r="7165" hidden="1" s="59"/>
    <row r="7166" hidden="1" s="59"/>
    <row r="7167" hidden="1" s="59"/>
    <row r="7168" hidden="1" s="59"/>
    <row r="7169" hidden="1" s="59"/>
    <row r="7170" hidden="1" s="59"/>
    <row r="7171" hidden="1" s="59"/>
    <row r="7172" hidden="1" s="59"/>
    <row r="7173" hidden="1" s="59"/>
    <row r="7174" hidden="1" s="59"/>
    <row r="7175" hidden="1" s="59"/>
    <row r="7176" hidden="1" s="59"/>
    <row r="7178" hidden="1" s="59"/>
    <row r="7179" hidden="1" s="59"/>
    <row r="7180" hidden="1" s="59"/>
    <row r="7181" hidden="1" s="59"/>
    <row r="7182" hidden="1" s="59"/>
    <row r="7183" hidden="1" s="59"/>
    <row r="7184" hidden="1" s="59"/>
    <row r="7185" hidden="1" s="59"/>
    <row r="7186" hidden="1" s="59"/>
    <row r="7187" hidden="1" s="59"/>
    <row r="7188" hidden="1" s="59"/>
    <row r="7189" hidden="1" s="59"/>
    <row r="7190" hidden="1" s="59"/>
    <row r="7191" hidden="1" s="59"/>
    <row r="7192" hidden="1" s="59"/>
    <row r="7193" hidden="1" s="59"/>
    <row r="7194" hidden="1" s="59"/>
    <row r="7195" hidden="1" s="59"/>
    <row r="7196" hidden="1" s="59"/>
    <row r="7197" hidden="1" s="59"/>
    <row r="7198" hidden="1" s="59"/>
    <row r="7199" hidden="1" s="59"/>
    <row r="7200" hidden="1" s="59"/>
    <row r="7201" hidden="1" s="59"/>
    <row r="7202" hidden="1" s="59"/>
    <row r="7203" hidden="1" s="59"/>
    <row r="7204" hidden="1" s="59"/>
    <row r="7205" hidden="1" s="59"/>
    <row r="7206" hidden="1" s="59"/>
    <row r="7207" hidden="1" s="59"/>
    <row r="7208" hidden="1" s="59"/>
    <row r="7209" hidden="1" s="59"/>
    <row r="7210" hidden="1" s="59"/>
    <row r="7211" hidden="1" s="59"/>
    <row r="7212" hidden="1" s="59"/>
    <row r="7213" hidden="1" s="59"/>
    <row r="7214" hidden="1" s="59"/>
    <row r="7215" hidden="1" s="59"/>
    <row r="7216" hidden="1" s="59"/>
    <row r="7217" hidden="1" s="59"/>
    <row r="7218" hidden="1" s="59"/>
    <row r="7219" hidden="1" s="59"/>
    <row r="7220" hidden="1" s="59"/>
    <row r="7221" hidden="1" s="59"/>
    <row r="7222" hidden="1" s="59"/>
    <row r="7223" hidden="1" s="59"/>
    <row r="7224" hidden="1" s="59"/>
    <row r="7225" hidden="1" s="59"/>
    <row r="7226" hidden="1" s="59"/>
    <row r="7227" hidden="1" s="59"/>
    <row r="7228" hidden="1" s="59"/>
    <row r="7229" hidden="1" s="59"/>
    <row r="7230" hidden="1" s="59"/>
    <row r="7231" hidden="1" s="59"/>
    <row r="7232" hidden="1" s="59"/>
    <row r="7233" hidden="1" s="59"/>
    <row r="7234" hidden="1" s="59"/>
    <row r="7235" hidden="1" s="59"/>
    <row r="7236" hidden="1" s="59"/>
    <row r="7237" hidden="1" s="59"/>
    <row r="7238" hidden="1" s="59"/>
    <row r="7239" hidden="1" s="59"/>
    <row r="7240" hidden="1" s="59"/>
    <row r="7241" hidden="1" s="59"/>
    <row r="7242" hidden="1" s="59"/>
    <row r="7243" hidden="1" s="59"/>
    <row r="7244" hidden="1" s="59"/>
    <row r="7245" hidden="1" s="59"/>
    <row r="7246" hidden="1" s="59"/>
    <row r="7247" hidden="1" s="59"/>
    <row r="7248" hidden="1" s="59"/>
    <row r="7249" hidden="1" s="59"/>
    <row r="7250" hidden="1" s="59"/>
    <row r="7251" hidden="1" s="59"/>
    <row r="7252" hidden="1" s="59"/>
    <row r="7253" hidden="1" s="59"/>
    <row r="7254" hidden="1" s="59"/>
    <row r="7255" hidden="1" s="59"/>
    <row r="7256" hidden="1" s="59"/>
    <row r="7257" hidden="1" s="59"/>
    <row r="7258" hidden="1" s="59"/>
    <row r="7259" hidden="1" s="59"/>
    <row r="7260" hidden="1" s="59"/>
    <row r="7261" hidden="1" s="59"/>
    <row r="7262" hidden="1" s="59"/>
    <row r="7263" hidden="1" s="59"/>
    <row r="7264" hidden="1" s="59"/>
    <row r="7265" hidden="1" s="59"/>
    <row r="7266" hidden="1" s="59"/>
    <row r="7267" hidden="1" s="59"/>
    <row r="7268" hidden="1" s="59"/>
    <row r="7269" hidden="1" s="59"/>
    <row r="7270" hidden="1" s="59"/>
    <row r="7271" hidden="1" s="59"/>
    <row r="7272" hidden="1" s="59"/>
    <row r="7273" hidden="1" s="59"/>
    <row r="7274" hidden="1" s="59"/>
    <row r="7275" hidden="1" s="59"/>
    <row r="7276" hidden="1" s="59"/>
    <row r="7277" hidden="1" s="59"/>
    <row r="7278" hidden="1" s="59"/>
    <row r="7279" hidden="1" s="59"/>
    <row r="7280" hidden="1" s="59"/>
    <row r="7281" hidden="1" s="59"/>
    <row r="7282" hidden="1" s="59"/>
    <row r="7283" hidden="1" s="59"/>
    <row r="7284" hidden="1" s="59"/>
    <row r="7285" hidden="1" s="59"/>
    <row r="7286" hidden="1" s="59"/>
    <row r="7287" hidden="1" s="59"/>
    <row r="7288" hidden="1" s="59"/>
    <row r="7289" hidden="1" s="59"/>
    <row r="7290" hidden="1" s="59"/>
    <row r="7292" hidden="1" s="59"/>
    <row r="7293" hidden="1" s="59"/>
    <row r="7294" hidden="1" s="59"/>
    <row r="7295" hidden="1" s="59"/>
    <row r="7296" hidden="1" s="59"/>
    <row r="7297" hidden="1" s="59"/>
    <row r="7298" hidden="1" s="59"/>
    <row r="7299" hidden="1" s="59"/>
    <row r="7300" hidden="1" s="59"/>
    <row r="7301" hidden="1" s="59"/>
    <row r="7302" hidden="1" s="59"/>
    <row r="7303" hidden="1" s="59"/>
    <row r="7304" hidden="1" s="59"/>
    <row r="7305" hidden="1" s="59"/>
    <row r="7306" hidden="1" s="59"/>
    <row r="7307" hidden="1" s="59"/>
    <row r="7308" hidden="1" s="59"/>
    <row r="7309" hidden="1" s="59"/>
    <row r="7310" hidden="1" s="59"/>
    <row r="7311" hidden="1" s="59"/>
    <row r="7312" hidden="1" s="59"/>
    <row r="7313" hidden="1" s="59"/>
    <row r="7314" hidden="1" s="59"/>
    <row r="7315" hidden="1" s="59"/>
    <row r="7316" hidden="1" s="59"/>
    <row r="7317" hidden="1" s="59"/>
    <row r="7318" hidden="1" s="59"/>
    <row r="7319" hidden="1" s="59"/>
    <row r="7321" hidden="1" s="59"/>
    <row r="7322" hidden="1" s="59"/>
    <row r="7323" hidden="1" s="59"/>
    <row r="7324" hidden="1" s="59"/>
    <row r="7325" hidden="1" s="59"/>
    <row r="7326" hidden="1" s="59"/>
    <row r="7327" hidden="1" s="59"/>
    <row r="7328" hidden="1" s="59"/>
    <row r="7329" hidden="1" s="59"/>
    <row r="7330" hidden="1" s="59"/>
    <row r="7331" hidden="1" s="59"/>
    <row r="7332" hidden="1" s="59"/>
    <row r="7333" hidden="1" s="59"/>
    <row r="7334" hidden="1" s="59"/>
    <row r="7335" hidden="1" s="59"/>
    <row r="7336" hidden="1" s="59"/>
    <row r="7337" hidden="1" s="59"/>
    <row r="7338" hidden="1" s="59"/>
    <row r="7339" hidden="1" s="59"/>
    <row r="7340" hidden="1" s="59"/>
    <row r="7341" hidden="1" s="59"/>
    <row r="7342" hidden="1" s="59"/>
    <row r="7343" hidden="1" s="59"/>
    <row r="7344" hidden="1" s="59"/>
    <row r="7345" hidden="1" s="59"/>
    <row r="7346" hidden="1" s="59"/>
    <row r="7347" hidden="1" s="59"/>
    <row r="7348" hidden="1" s="59"/>
    <row r="7349" hidden="1" s="59"/>
    <row r="7350" hidden="1" s="59"/>
    <row r="7351" hidden="1" s="59"/>
    <row r="7352" hidden="1" s="59"/>
    <row r="7353" hidden="1" s="59"/>
    <row r="7354" hidden="1" s="59"/>
    <row r="7355" hidden="1" s="59"/>
    <row r="7356" hidden="1" s="59"/>
    <row r="7357" hidden="1" s="59"/>
    <row r="7358" hidden="1" s="59"/>
    <row r="7359" hidden="1" s="59"/>
    <row r="7360" hidden="1" s="59"/>
    <row r="7361" hidden="1" s="59"/>
    <row r="7362" hidden="1" s="59"/>
    <row r="7363" hidden="1" s="59"/>
    <row r="7364" hidden="1" s="59"/>
    <row r="7365" hidden="1" s="59"/>
    <row r="7366" hidden="1" s="59"/>
    <row r="7367" hidden="1" s="59"/>
    <row r="7368" hidden="1" s="59"/>
    <row r="7369" hidden="1" s="59"/>
    <row r="7370" hidden="1" s="59"/>
    <row r="7371" hidden="1" s="59"/>
    <row r="7372" hidden="1" s="59"/>
    <row r="7373" hidden="1" s="59"/>
    <row r="7374" hidden="1" s="59"/>
    <row r="7375" hidden="1" s="59"/>
    <row r="7376" hidden="1" s="59"/>
    <row r="7377" hidden="1" s="59"/>
    <row r="7378" hidden="1" s="59"/>
    <row r="7379" hidden="1" s="59"/>
    <row r="7380" hidden="1" s="59"/>
    <row r="7381" hidden="1" s="59"/>
    <row r="7382" hidden="1" s="59"/>
    <row r="7383" hidden="1" s="59"/>
    <row r="7384" hidden="1" s="59"/>
    <row r="7385" hidden="1" s="59"/>
    <row r="7386" hidden="1" s="59"/>
    <row r="7387" hidden="1" s="59"/>
    <row r="7388" hidden="1" s="59"/>
    <row r="7389" hidden="1" s="59"/>
    <row r="7390" hidden="1" s="59"/>
    <row r="7391" hidden="1" s="59"/>
    <row r="7392" hidden="1" s="59"/>
    <row r="7393" hidden="1" s="59"/>
    <row r="7394" hidden="1" s="59"/>
    <row r="7395" hidden="1" s="59"/>
    <row r="7396" hidden="1" s="59"/>
    <row r="7397" hidden="1" s="59"/>
    <row r="7398" hidden="1" s="59"/>
    <row r="7399" hidden="1" s="59"/>
    <row r="7400" hidden="1" s="59"/>
    <row r="7401" hidden="1" s="59"/>
    <row r="7402" hidden="1" s="59"/>
    <row r="7403" hidden="1" s="59"/>
    <row r="7404" hidden="1" s="59"/>
    <row r="7405" hidden="1" s="59"/>
    <row r="7406" hidden="1" s="59"/>
    <row r="7407" hidden="1" s="59"/>
    <row r="7408" hidden="1" s="59"/>
    <row r="7409" hidden="1" s="59"/>
    <row r="7410" hidden="1" s="59"/>
    <row r="7411" hidden="1" s="59"/>
    <row r="7412" hidden="1" s="59"/>
    <row r="7413" hidden="1" s="59"/>
    <row r="7414" hidden="1" s="59"/>
    <row r="7415" hidden="1" s="59"/>
    <row r="7416" hidden="1" s="59"/>
    <row r="7417" hidden="1" s="59"/>
    <row r="7418" hidden="1" s="59"/>
    <row r="7419" hidden="1" s="59"/>
    <row r="7420" hidden="1" s="59"/>
    <row r="7421" hidden="1" s="59"/>
    <row r="7422" hidden="1" s="59"/>
    <row r="7423" hidden="1" s="59"/>
    <row r="7424" hidden="1" s="59"/>
    <row r="7425" hidden="1" s="59"/>
    <row r="7426" hidden="1" s="59"/>
    <row r="7427" hidden="1" s="59"/>
    <row r="7428" hidden="1" s="59"/>
    <row r="7429" hidden="1" s="59"/>
    <row r="7430" hidden="1" s="59"/>
    <row r="7431" hidden="1" s="59"/>
    <row r="7432" hidden="1" s="59"/>
    <row r="7433" hidden="1" s="59"/>
    <row r="7434" hidden="1" s="59"/>
    <row r="7435" hidden="1" s="59"/>
    <row r="7436" hidden="1" s="59"/>
    <row r="7437" hidden="1" s="59"/>
    <row r="7438" hidden="1" s="59"/>
    <row r="7439" hidden="1" s="59"/>
    <row r="7440" hidden="1" s="59"/>
    <row r="7441" hidden="1" s="59"/>
    <row r="7442" hidden="1" s="59"/>
    <row r="7443" hidden="1" s="59"/>
    <row r="7444" hidden="1" s="59"/>
    <row r="7445" hidden="1" s="59"/>
    <row r="7446" hidden="1" s="59"/>
    <row r="7447" hidden="1" s="59"/>
    <row r="7448" hidden="1" s="59"/>
    <row r="7449" hidden="1" s="59"/>
    <row r="7450" hidden="1" s="59"/>
    <row r="7451" hidden="1" s="59"/>
    <row r="7452" hidden="1" s="59"/>
    <row r="7453" hidden="1" s="59"/>
    <row r="7454" hidden="1" s="59"/>
    <row r="7455" hidden="1" s="59"/>
    <row r="7456" hidden="1" s="59"/>
    <row r="7457" hidden="1" s="59"/>
    <row r="7458" hidden="1" s="59"/>
    <row r="7459" hidden="1" s="59"/>
    <row r="7460" hidden="1" s="59"/>
    <row r="7461" hidden="1" s="59"/>
    <row r="7462" hidden="1" s="59"/>
    <row r="7463" hidden="1" s="59"/>
    <row r="7464" hidden="1" s="59"/>
    <row r="7465" hidden="1" s="59"/>
    <row r="7466" hidden="1" s="59"/>
    <row r="7467" hidden="1" s="59"/>
    <row r="7468" hidden="1" s="59"/>
    <row r="7469" hidden="1" s="59"/>
    <row r="7470" hidden="1" s="59"/>
    <row r="7471" hidden="1" s="59"/>
    <row r="7472" hidden="1" s="59"/>
    <row r="7473" hidden="1" s="59"/>
    <row r="7474" hidden="1" s="59"/>
    <row r="7475" hidden="1" s="59"/>
    <row r="7476" hidden="1" s="59"/>
    <row r="7477" hidden="1" s="59"/>
    <row r="7478" hidden="1" s="59"/>
    <row r="7479" hidden="1" s="59"/>
    <row r="7480" hidden="1" s="59"/>
    <row r="7481" hidden="1" s="59"/>
    <row r="7482" hidden="1" s="59"/>
    <row r="7483" hidden="1" s="59"/>
    <row r="7484" hidden="1" s="59"/>
    <row r="7485" hidden="1" s="59"/>
    <row r="7486" hidden="1" s="59"/>
    <row r="7487" hidden="1" s="59"/>
    <row r="7488" hidden="1" s="59"/>
    <row r="7489" hidden="1" s="59"/>
    <row r="7490" hidden="1" s="59"/>
    <row r="7491" hidden="1" s="59"/>
    <row r="7492" hidden="1" s="59"/>
    <row r="7493" hidden="1" s="59"/>
    <row r="7494" hidden="1" s="59"/>
    <row r="7495" hidden="1" s="59"/>
    <row r="7496" hidden="1" s="59"/>
    <row r="7497" hidden="1" s="59"/>
    <row r="7498" hidden="1" s="59"/>
    <row r="7499" hidden="1" s="59"/>
    <row r="7500" hidden="1" s="59"/>
    <row r="7501" hidden="1" s="59"/>
    <row r="7502" hidden="1" s="59"/>
    <row r="7503" hidden="1" s="59"/>
    <row r="7504" hidden="1" s="59"/>
    <row r="7505" hidden="1" s="59"/>
    <row r="7506" hidden="1" s="59"/>
    <row r="7507" hidden="1" s="59"/>
    <row r="7508" hidden="1" s="59"/>
    <row r="7509" hidden="1" s="59"/>
    <row r="7510" hidden="1" s="59"/>
    <row r="7511" hidden="1" s="59"/>
    <row r="7512" hidden="1" s="59"/>
    <row r="7513" hidden="1" s="59"/>
    <row r="7514" hidden="1" s="59"/>
    <row r="7515" hidden="1" s="59"/>
    <row r="7516" hidden="1" s="59"/>
    <row r="7517" hidden="1" s="59"/>
    <row r="7518" hidden="1" s="59"/>
    <row r="7519" hidden="1" s="59"/>
    <row r="7520" hidden="1" s="59"/>
    <row r="7521" hidden="1" s="59"/>
    <row r="7522" hidden="1" s="59"/>
    <row r="7523" hidden="1" s="59"/>
    <row r="7524" hidden="1" s="59"/>
    <row r="7525" hidden="1" s="59"/>
    <row r="7526" hidden="1" s="59"/>
    <row r="7527" hidden="1" s="59"/>
    <row r="7528" hidden="1" s="59"/>
    <row r="7529" hidden="1" s="59"/>
    <row r="7530" hidden="1" s="59"/>
    <row r="7531" hidden="1" s="59"/>
    <row r="7532" hidden="1" s="59"/>
    <row r="7533" hidden="1" s="59"/>
    <row r="7534" hidden="1" s="59"/>
    <row r="7535" hidden="1" s="59"/>
    <row r="7536" hidden="1" s="59"/>
    <row r="7537" hidden="1" s="59"/>
    <row r="7538" hidden="1" s="59"/>
    <row r="7539" hidden="1" s="59"/>
    <row r="7540" hidden="1" s="59"/>
    <row r="7541" hidden="1" s="59"/>
    <row r="7542" hidden="1" s="59"/>
    <row r="7543" hidden="1" s="59"/>
    <row r="7544" hidden="1" s="59"/>
    <row r="7545" hidden="1" s="59"/>
    <row r="7546" hidden="1" s="59"/>
    <row r="7547" hidden="1" s="59"/>
    <row r="7548" hidden="1" s="59"/>
    <row r="7549" hidden="1" s="59"/>
    <row r="7550" hidden="1" s="59"/>
    <row r="7551" hidden="1" s="59"/>
    <row r="7552" hidden="1" s="59"/>
    <row r="7553" hidden="1" s="59"/>
    <row r="7554" hidden="1" s="59"/>
    <row r="7555" hidden="1" s="59"/>
    <row r="7556" hidden="1" s="59"/>
    <row r="7557" hidden="1" s="59"/>
    <row r="7558" hidden="1" s="59"/>
    <row r="7559" hidden="1" s="59"/>
    <row r="7560" hidden="1" s="59"/>
    <row r="7561" hidden="1" s="59"/>
    <row r="7562" hidden="1" s="59"/>
    <row r="7563" hidden="1" s="59"/>
    <row r="7564" hidden="1" s="59"/>
    <row r="7565" hidden="1" s="59"/>
    <row r="7566" hidden="1" s="59"/>
    <row r="7567" hidden="1" s="59"/>
    <row r="7568" hidden="1" s="59"/>
    <row r="7569" hidden="1" s="59"/>
    <row r="7570" hidden="1" s="59"/>
    <row r="7571" hidden="1" s="59"/>
    <row r="7572" hidden="1" s="59"/>
    <row r="7573" hidden="1" s="59"/>
    <row r="7574" hidden="1" s="59"/>
    <row r="7575" hidden="1" s="59"/>
    <row r="7576" hidden="1" s="59"/>
    <row r="7577" hidden="1" s="59"/>
    <row r="7578" hidden="1" s="59"/>
    <row r="7579" hidden="1" s="59"/>
    <row r="7580" hidden="1" s="59"/>
    <row r="7581" hidden="1" s="59"/>
    <row r="7582" hidden="1" s="59"/>
    <row r="7583" hidden="1" s="59"/>
    <row r="7584" hidden="1" s="59"/>
    <row r="7585" hidden="1" s="59"/>
    <row r="7586" hidden="1" s="59"/>
    <row r="7587" hidden="1" s="59"/>
    <row r="7588" hidden="1" s="59"/>
    <row r="7589" hidden="1" s="59"/>
    <row r="7590" hidden="1" s="59"/>
    <row r="7591" hidden="1" s="59"/>
    <row r="7592" hidden="1" s="59"/>
    <row r="7593" hidden="1" s="59"/>
    <row r="7594" hidden="1" s="59"/>
    <row r="7595" hidden="1" s="59"/>
    <row r="7596" hidden="1" s="59"/>
    <row r="7597" hidden="1" s="59"/>
    <row r="7598" hidden="1" s="59"/>
    <row r="7599" hidden="1" s="59"/>
    <row r="7600" hidden="1" s="59"/>
    <row r="7601" hidden="1" s="59"/>
    <row r="7602" hidden="1" s="59"/>
    <row r="7603" hidden="1" s="59"/>
    <row r="7604" hidden="1" s="59"/>
    <row r="7605" hidden="1" s="59"/>
    <row r="7606" hidden="1" s="59"/>
    <row r="7607" hidden="1" s="59"/>
    <row r="7608" hidden="1" s="59"/>
    <row r="7609" hidden="1" s="59"/>
    <row r="7610" hidden="1" s="59"/>
    <row r="7611" hidden="1" s="59"/>
    <row r="7612" hidden="1" s="59"/>
    <row r="7613" hidden="1" s="59"/>
    <row r="7614" hidden="1" s="59"/>
    <row r="7615" hidden="1" s="59"/>
    <row r="7616" hidden="1" s="59"/>
    <row r="7617" hidden="1" s="59"/>
    <row r="7618" hidden="1" s="59"/>
    <row r="7619" hidden="1" s="59"/>
    <row r="7620" hidden="1" s="59"/>
    <row r="7621" hidden="1" s="59"/>
    <row r="7622" hidden="1" s="59"/>
    <row r="7623" hidden="1" s="59"/>
    <row r="7624" hidden="1" s="59"/>
    <row r="7625" hidden="1" s="59"/>
    <row r="7626" hidden="1" s="59"/>
    <row r="7627" hidden="1" s="59"/>
    <row r="7628" hidden="1" s="59"/>
    <row r="7629" hidden="1" s="59"/>
    <row r="7630" hidden="1" s="59"/>
    <row r="7631" hidden="1" s="59"/>
    <row r="7632" hidden="1" s="59"/>
    <row r="7633" hidden="1" s="59"/>
    <row r="7634" hidden="1" s="59"/>
    <row r="7635" hidden="1" s="59"/>
    <row r="7636" hidden="1" s="59"/>
    <row r="7637" hidden="1" s="59"/>
    <row r="7638" hidden="1" s="59"/>
    <row r="7639" hidden="1" s="59"/>
    <row r="7640" hidden="1" s="59"/>
    <row r="7641" hidden="1" s="59"/>
    <row r="7642" hidden="1" s="59"/>
    <row r="7643" hidden="1" s="59"/>
    <row r="7644" hidden="1" s="59"/>
    <row r="7645" hidden="1" s="59"/>
    <row r="7646" hidden="1" s="59"/>
    <row r="7647" hidden="1" s="59"/>
    <row r="7648" hidden="1" s="59"/>
    <row r="7649" hidden="1" s="59"/>
    <row r="7650" hidden="1" s="59"/>
    <row r="7651" hidden="1" s="59"/>
    <row r="7652" hidden="1" s="59"/>
    <row r="7653" hidden="1" s="59"/>
    <row r="7654" hidden="1" s="59"/>
    <row r="7655" hidden="1" s="59"/>
    <row r="7656" hidden="1" s="59"/>
    <row r="7657" hidden="1" s="59"/>
    <row r="7658" hidden="1" s="59"/>
    <row r="7659" hidden="1" s="59"/>
    <row r="7660" hidden="1" s="59"/>
    <row r="7661" hidden="1" s="59"/>
    <row r="7662" hidden="1" s="59"/>
    <row r="7663" hidden="1" s="59"/>
    <row r="7664" hidden="1" s="59"/>
    <row r="7665" hidden="1" s="59"/>
    <row r="7666" hidden="1" s="59"/>
    <row r="7667" hidden="1" s="59"/>
    <row r="7668" hidden="1" s="59"/>
    <row r="7669" hidden="1" s="59"/>
    <row r="7670" hidden="1" s="59"/>
    <row r="7671" hidden="1" s="59"/>
    <row r="7672" hidden="1" s="59"/>
    <row r="7673" hidden="1" s="59"/>
    <row r="7674" hidden="1" s="59"/>
    <row r="7675" hidden="1" s="59"/>
    <row r="7676" hidden="1" s="59"/>
    <row r="7677" hidden="1" s="59"/>
    <row r="7678" hidden="1" s="59"/>
    <row r="7679" hidden="1" s="59"/>
    <row r="7680" hidden="1" s="59"/>
    <row r="7681" hidden="1" s="59"/>
    <row r="7682" hidden="1" s="59"/>
    <row r="7683" hidden="1" s="59"/>
    <row r="7684" hidden="1" s="59"/>
    <row r="7685" hidden="1" s="59"/>
    <row r="7686" hidden="1" s="59"/>
    <row r="7687" hidden="1" s="59"/>
    <row r="7688" hidden="1" s="59"/>
    <row r="7689" hidden="1" s="59"/>
    <row r="7690" hidden="1" s="59"/>
    <row r="7691" hidden="1" s="59"/>
    <row r="7692" hidden="1" s="59"/>
    <row r="7693" hidden="1" s="59"/>
    <row r="7694" hidden="1" s="59"/>
    <row r="7695" hidden="1" s="59"/>
    <row r="7696" hidden="1" s="59"/>
    <row r="7697" hidden="1" s="59"/>
    <row r="7698" hidden="1" s="59"/>
    <row r="7699" hidden="1" s="59"/>
    <row r="7700" hidden="1" s="59"/>
    <row r="7701" hidden="1" s="59"/>
    <row r="7702" hidden="1" s="59"/>
    <row r="7703" hidden="1" s="59"/>
    <row r="7704" hidden="1" s="59"/>
    <row r="7705" hidden="1" s="59"/>
    <row r="7706" hidden="1" s="59"/>
    <row r="7707" hidden="1" s="59"/>
    <row r="7708" hidden="1" s="59"/>
    <row r="7709" hidden="1" s="59"/>
    <row r="7710" hidden="1" s="59"/>
    <row r="7711" hidden="1" s="59"/>
    <row r="7712" hidden="1" s="59"/>
    <row r="7713" hidden="1" s="59"/>
    <row r="7714" hidden="1" s="59"/>
    <row r="7715" hidden="1" s="59"/>
    <row r="7716" hidden="1" s="59"/>
    <row r="7717" hidden="1" s="59"/>
    <row r="7718" hidden="1" s="59"/>
    <row r="7719" hidden="1" s="59"/>
    <row r="7720" hidden="1" s="59"/>
    <row r="7721" hidden="1" s="59"/>
    <row r="7722" hidden="1" s="59"/>
    <row r="7723" hidden="1" s="59"/>
    <row r="7724" hidden="1" s="59"/>
    <row r="7725" hidden="1" s="59"/>
    <row r="7726" hidden="1" s="59"/>
    <row r="7727" hidden="1" s="59"/>
    <row r="7728" hidden="1" s="59"/>
    <row r="7729" hidden="1" s="59"/>
    <row r="7730" hidden="1" s="59"/>
    <row r="7731" hidden="1" s="59"/>
    <row r="7732" hidden="1" s="59"/>
    <row r="7733" hidden="1" s="59"/>
    <row r="7734" hidden="1" s="59"/>
    <row r="7735" hidden="1" s="59"/>
    <row r="7736" hidden="1" s="59"/>
    <row r="7737" hidden="1" s="59"/>
    <row r="7738" hidden="1" s="59"/>
    <row r="7739" hidden="1" s="59"/>
    <row r="7740" hidden="1" s="59"/>
    <row r="7741" hidden="1" s="59"/>
    <row r="7742" hidden="1" s="59"/>
    <row r="7743" hidden="1" s="59"/>
    <row r="7744" hidden="1" s="59"/>
    <row r="7745" hidden="1" s="59"/>
    <row r="7746" hidden="1" s="59"/>
    <row r="7747" hidden="1" s="59"/>
    <row r="7748" hidden="1" s="59"/>
    <row r="7749" hidden="1" s="59"/>
    <row r="7750" hidden="1" s="59"/>
    <row r="7751" hidden="1" s="59"/>
    <row r="7752" hidden="1" s="59"/>
    <row r="7753" hidden="1" s="59"/>
    <row r="7754" hidden="1" s="59"/>
    <row r="7755" hidden="1" s="59"/>
    <row r="7756" hidden="1" s="59"/>
    <row r="7757" hidden="1" s="59"/>
    <row r="7758" hidden="1" s="59"/>
    <row r="7759" hidden="1" s="59"/>
    <row r="7760" hidden="1" s="59"/>
    <row r="7761" hidden="1" s="59"/>
    <row r="7762" hidden="1" s="59"/>
    <row r="7763" hidden="1" s="59"/>
    <row r="7764" hidden="1" s="59"/>
    <row r="7765" hidden="1" s="59"/>
    <row r="7766" hidden="1" s="59"/>
    <row r="7767" hidden="1" s="59"/>
    <row r="7768" hidden="1" s="59"/>
    <row r="7769" hidden="1" s="59"/>
    <row r="7770" hidden="1" s="59"/>
    <row r="7771" hidden="1" s="59"/>
    <row r="7772" hidden="1" s="59"/>
    <row r="7773" hidden="1" s="59"/>
    <row r="7774" hidden="1" s="59"/>
    <row r="7775" hidden="1" s="59"/>
    <row r="7776" hidden="1" s="59"/>
    <row r="7777" hidden="1" s="59"/>
    <row r="7778" hidden="1" s="59"/>
    <row r="7779" hidden="1" s="59"/>
    <row r="7780" hidden="1" s="59"/>
    <row r="7781" hidden="1" s="59"/>
    <row r="7782" hidden="1" s="59"/>
    <row r="7783" hidden="1" s="59"/>
    <row r="7784" hidden="1" s="59"/>
    <row r="7785" hidden="1" s="59"/>
    <row r="7786" hidden="1" s="59"/>
    <row r="7787" hidden="1" s="59"/>
    <row r="7788" hidden="1" s="59"/>
    <row r="7789" hidden="1" s="59"/>
    <row r="7790" hidden="1" s="59"/>
    <row r="7791" hidden="1" s="59"/>
    <row r="7792" hidden="1" s="59"/>
    <row r="7793" hidden="1" s="59"/>
    <row r="7794" hidden="1" s="59"/>
    <row r="7795" hidden="1" s="59"/>
    <row r="7796" hidden="1" s="59"/>
    <row r="7797" hidden="1" s="59"/>
    <row r="7798" hidden="1" s="59"/>
    <row r="7799" hidden="1" s="59"/>
    <row r="7800" hidden="1" s="59"/>
    <row r="7801" hidden="1" s="59"/>
    <row r="7802" hidden="1" s="59"/>
    <row r="7803" hidden="1" s="59"/>
    <row r="7804" hidden="1" s="59"/>
    <row r="7805" hidden="1" s="59"/>
    <row r="7806" hidden="1" s="59"/>
    <row r="7807" hidden="1" s="59"/>
    <row r="7808" hidden="1" s="59"/>
    <row r="7809" hidden="1" s="59"/>
    <row r="7810" hidden="1" s="59"/>
    <row r="7811" hidden="1" s="59"/>
    <row r="7812" hidden="1" s="59"/>
    <row r="7813" hidden="1" s="59"/>
    <row r="7814" hidden="1" s="59"/>
    <row r="7815" hidden="1" s="59"/>
    <row r="7816" hidden="1" s="59"/>
    <row r="7817" hidden="1" s="59"/>
    <row r="7818" hidden="1" s="59"/>
    <row r="7819" hidden="1" s="59"/>
    <row r="7820" hidden="1" s="59"/>
    <row r="7821" hidden="1" s="59"/>
    <row r="7822" hidden="1" s="59"/>
    <row r="7823" hidden="1" s="59"/>
    <row r="7824" hidden="1" s="59"/>
    <row r="7825" hidden="1" s="59"/>
    <row r="7826" hidden="1" s="59"/>
    <row r="7827" hidden="1" s="59"/>
    <row r="7828" hidden="1" s="59"/>
    <row r="7829" hidden="1" s="59"/>
    <row r="7830" hidden="1" s="59"/>
    <row r="7831" hidden="1" s="59"/>
    <row r="7832" hidden="1" s="59"/>
    <row r="7833" hidden="1" s="59"/>
    <row r="7834" hidden="1" s="59"/>
    <row r="7835" hidden="1" s="59"/>
    <row r="7836" hidden="1" s="59"/>
    <row r="7837" hidden="1" s="59"/>
    <row r="7838" hidden="1" s="59"/>
    <row r="7839" hidden="1" s="59"/>
    <row r="7840" hidden="1" s="59"/>
    <row r="7841" hidden="1" s="59"/>
    <row r="7842" hidden="1" s="59"/>
    <row r="7843" hidden="1" s="59"/>
    <row r="7844" hidden="1" s="59"/>
    <row r="7845" hidden="1" s="59"/>
    <row r="7846" hidden="1" s="59"/>
    <row r="7847" hidden="1" s="59"/>
    <row r="7848" hidden="1" s="59"/>
    <row r="7849" hidden="1" s="59"/>
    <row r="7850" hidden="1" s="59"/>
    <row r="7851" hidden="1" s="59"/>
    <row r="7852" hidden="1" s="59"/>
    <row r="7853" hidden="1" s="59"/>
    <row r="7854" hidden="1" s="59"/>
    <row r="7855" hidden="1" s="59"/>
    <row r="7856" hidden="1" s="59"/>
    <row r="7857" hidden="1" s="59"/>
    <row r="7858" hidden="1" s="59"/>
    <row r="7859" hidden="1" s="59"/>
    <row r="7860" hidden="1" s="59"/>
    <row r="7861" hidden="1" s="59"/>
    <row r="7862" hidden="1" s="59"/>
    <row r="7863" hidden="1" s="59"/>
    <row r="7864" hidden="1" s="59"/>
    <row r="7865" hidden="1" s="59"/>
    <row r="7866" hidden="1" s="59"/>
    <row r="7867" hidden="1" s="59"/>
    <row r="7868" hidden="1" s="59"/>
    <row r="7869" hidden="1" s="59"/>
    <row r="7870" hidden="1" s="59"/>
    <row r="7871" hidden="1" s="59"/>
    <row r="7872" hidden="1" s="59"/>
    <row r="7873" hidden="1" s="59"/>
    <row r="7874" hidden="1" s="59"/>
    <row r="7875" hidden="1" s="59"/>
    <row r="7876" hidden="1" s="59"/>
    <row r="7877" hidden="1" s="59"/>
    <row r="7878" hidden="1" s="59"/>
    <row r="7879" hidden="1" s="59"/>
    <row r="7880" hidden="1" s="59"/>
    <row r="7881" hidden="1" s="59"/>
    <row r="7882" hidden="1" s="59"/>
    <row r="7883" hidden="1" s="59"/>
    <row r="7884" hidden="1" s="59"/>
    <row r="7885" hidden="1" s="59"/>
    <row r="7886" hidden="1" s="59"/>
    <row r="7887" hidden="1" s="59"/>
    <row r="7888" hidden="1" s="59"/>
    <row r="7889" hidden="1" s="59"/>
    <row r="7890" hidden="1" s="59"/>
    <row r="7891" hidden="1" s="59"/>
    <row r="7892" hidden="1" s="59"/>
    <row r="7893" hidden="1" s="59"/>
    <row r="7894" hidden="1" s="59"/>
    <row r="7895" hidden="1" s="59"/>
    <row r="7896" hidden="1" s="59"/>
    <row r="7897" hidden="1" s="59"/>
    <row r="7898" hidden="1" s="59"/>
    <row r="7899" hidden="1" s="59"/>
    <row r="7900" hidden="1" s="59"/>
    <row r="7901" hidden="1" s="59"/>
    <row r="7902" hidden="1" s="59"/>
    <row r="7903" hidden="1" s="59"/>
    <row r="7904" hidden="1" s="59"/>
    <row r="7905" hidden="1" s="59"/>
    <row r="7906" hidden="1" s="59"/>
    <row r="7907" hidden="1" s="59"/>
    <row r="7908" hidden="1" s="59"/>
    <row r="7909" hidden="1" s="59"/>
    <row r="7910" hidden="1" s="59"/>
    <row r="7911" hidden="1" s="59"/>
    <row r="7912" hidden="1" s="59"/>
    <row r="7913" hidden="1" s="59"/>
    <row r="7914" hidden="1" s="59"/>
    <row r="7915" hidden="1" s="59"/>
    <row r="7916" hidden="1" s="59"/>
    <row r="7917" hidden="1" s="59"/>
    <row r="7918" hidden="1" s="59"/>
    <row r="7919" hidden="1" s="59"/>
    <row r="7920" hidden="1" s="59"/>
    <row r="7921" hidden="1" s="59"/>
    <row r="7922" hidden="1" s="59"/>
    <row r="7923" hidden="1" s="59"/>
    <row r="7924" hidden="1" s="59"/>
    <row r="7925" hidden="1" s="59"/>
    <row r="7926" hidden="1" s="59"/>
    <row r="7927" hidden="1" s="59"/>
    <row r="7928" hidden="1" s="59"/>
    <row r="7929" hidden="1" s="59"/>
    <row r="7930" hidden="1" s="59"/>
    <row r="7931" hidden="1" s="59"/>
    <row r="7932" hidden="1" s="59"/>
    <row r="7933" hidden="1" s="59"/>
    <row r="7934" hidden="1" s="59"/>
    <row r="7935" hidden="1" s="59"/>
    <row r="7936" hidden="1" s="59"/>
    <row r="7937" hidden="1" s="59"/>
    <row r="7938" hidden="1" s="59"/>
    <row r="7939" hidden="1" s="59"/>
    <row r="7940" hidden="1" s="59"/>
    <row r="7941" hidden="1" s="59"/>
    <row r="7942" hidden="1" s="59"/>
    <row r="7943" hidden="1" s="59"/>
    <row r="7944" hidden="1" s="59"/>
    <row r="7945" hidden="1" s="59"/>
    <row r="7946" hidden="1" s="59"/>
    <row r="7947" hidden="1" s="59"/>
    <row r="7948" hidden="1" s="59"/>
    <row r="7949" hidden="1" s="59"/>
    <row r="7950" hidden="1" s="59"/>
    <row r="7951" hidden="1" s="59"/>
    <row r="7952" hidden="1" s="59"/>
    <row r="7953" hidden="1" s="59"/>
    <row r="7954" hidden="1" s="59"/>
    <row r="7955" hidden="1" s="59"/>
    <row r="7956" hidden="1" s="59"/>
    <row r="7957" hidden="1" s="59"/>
    <row r="7958" hidden="1" s="59"/>
    <row r="7959" hidden="1" s="59"/>
    <row r="7960" hidden="1" s="59"/>
    <row r="7961" hidden="1" s="59"/>
    <row r="7962" hidden="1" s="59"/>
    <row r="7963" hidden="1" s="59"/>
    <row r="7964" hidden="1" s="59"/>
    <row r="7965" hidden="1" s="59"/>
    <row r="7966" hidden="1" s="59"/>
    <row r="7967" hidden="1" s="59"/>
    <row r="7968" hidden="1" s="59"/>
    <row r="7969" hidden="1" s="59"/>
    <row r="7970" hidden="1" s="59"/>
    <row r="7971" hidden="1" s="59"/>
    <row r="7972" hidden="1" s="59"/>
    <row r="7973" hidden="1" s="59"/>
    <row r="7974" hidden="1" s="59"/>
    <row r="7975" hidden="1" s="59"/>
    <row r="7976" hidden="1" s="59"/>
    <row r="7977" hidden="1" s="59"/>
    <row r="7978" hidden="1" s="59"/>
    <row r="7979" hidden="1" s="59"/>
    <row r="7980" hidden="1" s="59"/>
    <row r="7981" hidden="1" s="59"/>
    <row r="7982" hidden="1" s="59"/>
    <row r="7983" hidden="1" s="59"/>
    <row r="7984" hidden="1" s="59"/>
    <row r="7985" hidden="1" s="59"/>
    <row r="7986" hidden="1" s="59"/>
    <row r="7987" hidden="1" s="59"/>
    <row r="7988" hidden="1" s="59"/>
    <row r="7989" hidden="1" s="59"/>
    <row r="7990" hidden="1" s="59"/>
    <row r="7991" hidden="1" s="59"/>
    <row r="7992" hidden="1" s="59"/>
    <row r="7993" hidden="1" s="59"/>
    <row r="7994" hidden="1" s="59"/>
    <row r="7995" hidden="1" s="59"/>
    <row r="7996" hidden="1" s="59"/>
    <row r="7997" hidden="1" s="59"/>
    <row r="7998" hidden="1" s="59"/>
    <row r="7999" hidden="1" s="59"/>
    <row r="8000" hidden="1" s="59"/>
    <row r="8001" hidden="1" s="59"/>
    <row r="8002" hidden="1" s="59"/>
    <row r="8003" hidden="1" s="59"/>
    <row r="8004" hidden="1" s="59"/>
    <row r="8005" hidden="1" s="59"/>
    <row r="8006" hidden="1" s="59"/>
    <row r="8007" hidden="1" s="59"/>
    <row r="8008" hidden="1" s="59"/>
    <row r="8009" hidden="1" s="59"/>
    <row r="8010" hidden="1" s="59"/>
    <row r="8012" hidden="1" s="59"/>
    <row r="8013" hidden="1" s="59"/>
    <row r="8014" hidden="1" s="59"/>
    <row r="8015" hidden="1" s="59"/>
    <row r="8016" hidden="1" s="59"/>
    <row r="8017" hidden="1" s="59"/>
    <row r="8018" hidden="1" s="59"/>
    <row r="8019" hidden="1" s="59"/>
    <row r="8020" hidden="1" s="59"/>
    <row r="8021" hidden="1" s="59"/>
    <row r="8022" hidden="1" s="59"/>
    <row r="8023" hidden="1" s="59"/>
    <row r="8024" hidden="1" s="59"/>
    <row r="8025" hidden="1" s="59"/>
    <row r="8026" hidden="1" s="59"/>
    <row r="8027" hidden="1" s="59"/>
    <row r="8028" hidden="1" s="59"/>
    <row r="8029" hidden="1" s="59"/>
    <row r="8030" hidden="1" s="59"/>
    <row r="8031" hidden="1" s="59"/>
    <row r="8032" hidden="1" s="59"/>
    <row r="8033" hidden="1" s="59"/>
    <row r="8034" hidden="1" s="59"/>
    <row r="8035" hidden="1" s="59"/>
    <row r="8036" hidden="1" s="59"/>
    <row r="8037" hidden="1" s="59"/>
    <row r="8038" hidden="1" s="59"/>
    <row r="8039" hidden="1" s="59"/>
    <row r="8040" hidden="1" s="59"/>
    <row r="8041" hidden="1" s="59"/>
    <row r="8042" hidden="1" s="59"/>
    <row r="8043" hidden="1" s="59"/>
    <row r="8044" hidden="1" s="59"/>
    <row r="8045" hidden="1" s="59"/>
    <row r="8046" hidden="1" s="59"/>
    <row r="8047" hidden="1" s="59"/>
    <row r="8048" hidden="1" s="59"/>
    <row r="8049" hidden="1" s="59"/>
    <row r="8050" hidden="1" s="59"/>
    <row r="8052" hidden="1" s="59"/>
    <row r="8053" hidden="1" s="59"/>
    <row r="8054" hidden="1" s="59"/>
    <row r="8055" hidden="1" s="59"/>
    <row r="8056" hidden="1" s="59"/>
    <row r="8057" hidden="1" s="59"/>
    <row r="8058" hidden="1" s="59"/>
    <row r="8059" hidden="1" s="59"/>
    <row r="8060" hidden="1" s="59"/>
    <row r="8061" hidden="1" s="59"/>
    <row r="8062" hidden="1" s="59"/>
    <row r="8063" hidden="1" s="59"/>
    <row r="8064" hidden="1" s="59"/>
    <row r="8065" hidden="1" s="59"/>
    <row r="8066" hidden="1" s="59"/>
    <row r="8067" hidden="1" s="59"/>
    <row r="8068" hidden="1" s="59"/>
    <row r="8069" hidden="1" s="59"/>
    <row r="8070" hidden="1" s="59"/>
    <row r="8071" hidden="1" s="59"/>
    <row r="8072" hidden="1" s="59"/>
    <row r="8073" hidden="1" s="59"/>
    <row r="8074" hidden="1" s="59"/>
    <row r="8075" hidden="1" s="59"/>
    <row r="8076" hidden="1" s="59"/>
    <row r="8077" hidden="1" s="59"/>
    <row r="8078" hidden="1" s="59"/>
    <row r="8079" hidden="1" s="59"/>
    <row r="8080" hidden="1" s="59"/>
    <row r="8081" hidden="1" s="59"/>
    <row r="8082" hidden="1" s="59"/>
    <row r="8083" hidden="1" s="59"/>
    <row r="8084" hidden="1" s="59"/>
    <row r="8085" hidden="1" s="59"/>
    <row r="8086" hidden="1" s="59"/>
    <row r="8087" hidden="1" s="59"/>
    <row r="8088" hidden="1" s="59"/>
    <row r="8089" hidden="1" s="59"/>
    <row r="8090" hidden="1" s="59"/>
    <row r="8091" hidden="1" s="59"/>
    <row r="8092" hidden="1" s="59"/>
    <row r="8093" hidden="1" s="59"/>
    <row r="8094" hidden="1" s="59"/>
    <row r="8095" hidden="1" s="59"/>
    <row r="8096" hidden="1" s="59"/>
    <row r="8097" hidden="1" s="59"/>
    <row r="8098" hidden="1" s="59"/>
    <row r="8099" hidden="1" s="59"/>
    <row r="8100" hidden="1" s="59"/>
    <row r="8101" hidden="1" s="59"/>
    <row r="8102" hidden="1" s="59"/>
    <row r="8103" hidden="1" s="59"/>
    <row r="8104" hidden="1" s="59"/>
    <row r="8105" hidden="1" s="59"/>
    <row r="8106" hidden="1" s="59"/>
    <row r="8107" hidden="1" s="59"/>
    <row r="8108" hidden="1" s="59"/>
    <row r="8109" hidden="1" s="59"/>
    <row r="8110" hidden="1" s="59"/>
    <row r="8111" hidden="1" s="59"/>
    <row r="8112" hidden="1" s="59"/>
    <row r="8113" hidden="1" s="59"/>
    <row r="8114" hidden="1" s="59"/>
    <row r="8115" hidden="1" s="59"/>
    <row r="8116" hidden="1" s="59"/>
    <row r="8117" hidden="1" s="59"/>
    <row r="8118" hidden="1" s="59"/>
    <row r="8119" hidden="1" s="59"/>
    <row r="8120" hidden="1" s="59"/>
    <row r="8121" hidden="1" s="59"/>
    <row r="8122" hidden="1" s="59"/>
    <row r="8123" hidden="1" s="59"/>
    <row r="8124" hidden="1" s="59"/>
    <row r="8125" hidden="1" s="59"/>
    <row r="8126" hidden="1" s="59"/>
    <row r="8127" hidden="1" s="59"/>
    <row r="8128" hidden="1" s="59"/>
    <row r="8129" hidden="1" s="59"/>
    <row r="8130" hidden="1" s="59"/>
    <row r="8131" hidden="1" s="59"/>
    <row r="8132" hidden="1" s="59"/>
    <row r="8133" hidden="1" s="59"/>
    <row r="8134" hidden="1" s="59"/>
    <row r="8135" hidden="1" s="59"/>
    <row r="8136" hidden="1" s="59"/>
    <row r="8137" hidden="1" s="59"/>
    <row r="8138" hidden="1" s="59"/>
    <row r="8139" hidden="1" s="59"/>
    <row r="8140" hidden="1" s="59"/>
    <row r="8141" hidden="1" s="59"/>
    <row r="8142" hidden="1" s="59"/>
    <row r="8143" hidden="1" s="59"/>
    <row r="8144" hidden="1" s="59"/>
    <row r="8145" hidden="1" s="59"/>
    <row r="8146" hidden="1" s="59"/>
    <row r="8147" hidden="1" s="59"/>
    <row r="8148" hidden="1" s="59"/>
    <row r="8149" hidden="1" s="59"/>
    <row r="8150" hidden="1" s="59"/>
    <row r="8151" hidden="1" s="59"/>
    <row r="8152" hidden="1" s="59"/>
    <row r="8153" hidden="1" s="59"/>
    <row r="8154" hidden="1" s="59"/>
    <row r="8155" hidden="1" s="59"/>
    <row r="8156" hidden="1" s="59"/>
    <row r="8157" hidden="1" s="59"/>
    <row r="8158" hidden="1" s="59"/>
    <row r="8159" hidden="1" s="59"/>
    <row r="8160" hidden="1" s="59"/>
    <row r="8161" hidden="1" s="59"/>
    <row r="8162" hidden="1" s="59"/>
    <row r="8163" hidden="1" s="59"/>
    <row r="8164" hidden="1" s="59"/>
    <row r="8165" hidden="1" s="59"/>
    <row r="8166" hidden="1" s="59"/>
    <row r="8167" hidden="1" s="59"/>
    <row r="8168" hidden="1" s="59"/>
    <row r="8169" hidden="1" s="59"/>
    <row r="8170" hidden="1" s="59"/>
    <row r="8171" hidden="1" s="59"/>
    <row r="8172" hidden="1" s="59"/>
    <row r="8173" hidden="1" s="59"/>
    <row r="8174" hidden="1" s="59"/>
    <row r="8175" hidden="1" s="59"/>
    <row r="8176" hidden="1" s="59"/>
    <row r="8177" hidden="1" s="59"/>
    <row r="8178" hidden="1" s="59"/>
    <row r="8179" hidden="1" s="59"/>
    <row r="8180" hidden="1" s="59"/>
    <row r="8181" hidden="1" s="59"/>
    <row r="8182" hidden="1" s="59"/>
    <row r="8183" hidden="1" s="59"/>
    <row r="8184" hidden="1" s="59"/>
    <row r="8185" hidden="1" s="59"/>
    <row r="8186" hidden="1" s="59"/>
    <row r="8187" hidden="1" s="59"/>
    <row r="8188" hidden="1" s="59"/>
    <row r="8189" hidden="1" s="59"/>
    <row r="8190" hidden="1" s="59"/>
    <row r="8191" hidden="1" s="59"/>
    <row r="8192" hidden="1" s="59"/>
    <row r="8193" hidden="1" s="59"/>
    <row r="8194" hidden="1" s="59"/>
    <row r="8195" hidden="1" s="59"/>
    <row r="8196" hidden="1" s="59"/>
    <row r="8197" hidden="1" s="59"/>
    <row r="8198" hidden="1" s="59"/>
    <row r="8199" hidden="1" s="59"/>
    <row r="8200" hidden="1" s="59"/>
    <row r="8201" hidden="1" s="59"/>
    <row r="8202" hidden="1" s="59"/>
    <row r="8203" hidden="1" s="59"/>
    <row r="8204" hidden="1" s="59"/>
    <row r="8205" hidden="1" s="59"/>
    <row r="8206" hidden="1" s="59"/>
    <row r="8207" hidden="1" s="59"/>
    <row r="8208" hidden="1" s="59"/>
    <row r="8209" hidden="1" s="59"/>
    <row r="8210" hidden="1" s="59"/>
    <row r="8211" hidden="1" s="59"/>
    <row r="8212" hidden="1" s="59"/>
    <row r="8213" hidden="1" s="59"/>
    <row r="8214" hidden="1" s="59"/>
    <row r="8215" hidden="1" s="59"/>
    <row r="8216" hidden="1" s="59"/>
    <row r="8217" hidden="1" s="59"/>
    <row r="8218" hidden="1" s="59"/>
    <row r="8219" hidden="1" s="59"/>
    <row r="8220" hidden="1" s="59"/>
    <row r="8221" hidden="1" s="59"/>
    <row r="8222" hidden="1" s="59"/>
    <row r="8223" hidden="1" s="59"/>
    <row r="8224" hidden="1" s="59"/>
    <row r="8225" hidden="1" s="59"/>
    <row r="8226" hidden="1" s="59"/>
    <row r="8227" hidden="1" s="59"/>
    <row r="8228" hidden="1" s="59"/>
    <row r="8229" hidden="1" s="59"/>
    <row r="8230" hidden="1" s="59"/>
    <row r="8231" hidden="1" s="59"/>
    <row r="8232" hidden="1" s="59"/>
    <row r="8233" hidden="1" s="59"/>
    <row r="8234" hidden="1" s="59"/>
    <row r="8235" hidden="1" s="59"/>
    <row r="8236" hidden="1" s="59"/>
    <row r="8237" hidden="1" s="59"/>
    <row r="8238" hidden="1" s="59"/>
    <row r="8239" hidden="1" s="59"/>
    <row r="8240" hidden="1" s="59"/>
    <row r="8241" hidden="1" s="59"/>
    <row r="8242" hidden="1" s="59"/>
    <row r="8243" hidden="1" s="59"/>
    <row r="8244" hidden="1" s="59"/>
    <row r="8245" hidden="1" s="59"/>
    <row r="8246" hidden="1" s="59"/>
    <row r="8247" hidden="1" s="59"/>
    <row r="8248" hidden="1" s="59"/>
    <row r="8249" hidden="1" s="59"/>
    <row r="8250" hidden="1" s="59"/>
    <row r="8251" hidden="1" s="59"/>
    <row r="8252" hidden="1" s="59"/>
    <row r="8253" hidden="1" s="59"/>
    <row r="8254" hidden="1" s="59"/>
    <row r="8255" hidden="1" s="59"/>
    <row r="8256" hidden="1" s="59"/>
    <row r="8257" hidden="1" s="59"/>
    <row r="8258" hidden="1" s="59"/>
    <row r="8259" hidden="1" s="59"/>
    <row r="8260" hidden="1" s="59"/>
    <row r="8261" hidden="1" s="59"/>
    <row r="8262" hidden="1" s="59"/>
    <row r="8263" hidden="1" s="59"/>
    <row r="8264" hidden="1" s="59"/>
    <row r="8265" hidden="1" s="59"/>
    <row r="8266" hidden="1" s="59"/>
    <row r="8267" hidden="1" s="59"/>
    <row r="8268" hidden="1" s="59"/>
    <row r="8269" hidden="1" s="59"/>
    <row r="8270" hidden="1" s="59"/>
    <row r="8271" hidden="1" s="59"/>
    <row r="8272" hidden="1" s="59"/>
    <row r="8273" hidden="1" s="59"/>
    <row r="8274" hidden="1" s="59"/>
    <row r="8275" hidden="1" s="59"/>
    <row r="8276" hidden="1" s="59"/>
    <row r="8277" hidden="1" s="59"/>
    <row r="8278" hidden="1" s="59"/>
    <row r="8279" hidden="1" s="59"/>
    <row r="8280" hidden="1" s="59"/>
    <row r="8281" hidden="1" s="59"/>
    <row r="8282" hidden="1" s="59"/>
    <row r="8283" hidden="1" s="59"/>
    <row r="8284" hidden="1" s="59"/>
    <row r="8285" hidden="1" s="59"/>
    <row r="8286" hidden="1" s="59"/>
    <row r="8287" hidden="1" s="59"/>
    <row r="8288" hidden="1" s="59"/>
    <row r="8289" hidden="1" s="59"/>
    <row r="8290" hidden="1" s="59"/>
    <row r="8291" hidden="1" s="59"/>
    <row r="8292" hidden="1" s="59"/>
    <row r="8293" hidden="1" s="59"/>
    <row r="8294" hidden="1" s="59"/>
    <row r="8295" hidden="1" s="59"/>
    <row r="8296" hidden="1" s="59"/>
    <row r="8297" hidden="1" s="59"/>
    <row r="8298" hidden="1" s="59"/>
    <row r="8299" hidden="1" s="59"/>
    <row r="8300" hidden="1" s="59"/>
    <row r="8301" hidden="1" s="59"/>
    <row r="8302" hidden="1" s="59"/>
    <row r="8303" hidden="1" s="59"/>
    <row r="8304" hidden="1" s="59"/>
    <row r="8305" hidden="1" s="59"/>
    <row r="8306" hidden="1" s="59"/>
    <row r="8307" hidden="1" s="59"/>
    <row r="8308" hidden="1" s="59"/>
    <row r="8309" hidden="1" s="59"/>
    <row r="8310" hidden="1" s="59"/>
    <row r="8311" hidden="1" s="59"/>
    <row r="8312" hidden="1" s="59"/>
    <row r="8313" hidden="1" s="59"/>
    <row r="8314" hidden="1" s="59"/>
    <row r="8315" hidden="1" s="59"/>
    <row r="8316" hidden="1" s="59"/>
    <row r="8317" hidden="1" s="59"/>
    <row r="8318" hidden="1" s="59"/>
    <row r="8319" hidden="1" s="59"/>
    <row r="8320" hidden="1" s="59"/>
    <row r="8321" hidden="1" s="59"/>
    <row r="8322" hidden="1" s="59"/>
    <row r="8323" hidden="1" s="59"/>
    <row r="8324" hidden="1" s="59"/>
    <row r="8325" hidden="1" s="59"/>
    <row r="8326" hidden="1" s="59"/>
    <row r="8327" hidden="1" s="59"/>
    <row r="8328" hidden="1" s="59"/>
    <row r="8329" hidden="1" s="59"/>
    <row r="8330" hidden="1" s="59"/>
    <row r="8331" hidden="1" s="59"/>
    <row r="8332" hidden="1" s="59"/>
    <row r="8333" hidden="1" s="59"/>
    <row r="8334" hidden="1" s="59"/>
    <row r="8335" hidden="1" s="59"/>
    <row r="8336" hidden="1" s="59"/>
    <row r="8337" hidden="1" s="59"/>
    <row r="8338" hidden="1" s="59"/>
    <row r="8339" hidden="1" s="59"/>
    <row r="8340" hidden="1" s="59"/>
    <row r="8341" hidden="1" s="59"/>
    <row r="8342" hidden="1" s="59"/>
    <row r="8343" hidden="1" s="59"/>
    <row r="8344" hidden="1" s="59"/>
    <row r="8345" hidden="1" s="59"/>
    <row r="8346" hidden="1" s="59"/>
    <row r="8347" hidden="1" s="59"/>
    <row r="8348" hidden="1" s="59"/>
    <row r="8349" hidden="1" s="59"/>
    <row r="8350" hidden="1" s="59"/>
    <row r="8351" hidden="1" s="59"/>
    <row r="8352" hidden="1" s="59"/>
    <row r="8353" hidden="1" s="59"/>
    <row r="8354" hidden="1" s="59"/>
    <row r="8355" hidden="1" s="59"/>
    <row r="8356" hidden="1" s="59"/>
    <row r="8357" hidden="1" s="59"/>
    <row r="8358" hidden="1" s="59"/>
    <row r="8359" hidden="1" s="59"/>
    <row r="8360" hidden="1" s="59"/>
    <row r="8361" hidden="1" s="59"/>
    <row r="8362" hidden="1" s="59"/>
    <row r="8363" hidden="1" s="59"/>
    <row r="8364" hidden="1" s="59"/>
    <row r="8365" hidden="1" s="59"/>
    <row r="8366" hidden="1" s="59"/>
    <row r="8367" hidden="1" s="59"/>
    <row r="8368" hidden="1" s="59"/>
    <row r="8369" hidden="1" s="59"/>
    <row r="8370" hidden="1" s="59"/>
    <row r="8371" hidden="1" s="59"/>
    <row r="8372" hidden="1" s="59"/>
    <row r="8373" hidden="1" s="59"/>
    <row r="8374" hidden="1" s="59"/>
    <row r="8375" hidden="1" s="59"/>
    <row r="8376" hidden="1" s="59"/>
    <row r="8377" hidden="1" s="59"/>
    <row r="8378" hidden="1" s="59"/>
    <row r="8379" hidden="1" s="59"/>
    <row r="8380" hidden="1" s="59"/>
    <row r="8381" hidden="1" s="59"/>
    <row r="8382" hidden="1" s="59"/>
    <row r="8383" hidden="1" s="59"/>
    <row r="8384" hidden="1" s="59"/>
    <row r="8385" hidden="1" s="59"/>
    <row r="8386" hidden="1" s="59"/>
    <row r="8387" hidden="1" s="59"/>
    <row r="8388" hidden="1" s="59"/>
    <row r="8389" hidden="1" s="59"/>
    <row r="8390" hidden="1" s="59"/>
    <row r="8391" hidden="1" s="59"/>
    <row r="8392" hidden="1" s="59"/>
    <row r="8393" hidden="1" s="59"/>
    <row r="8394" hidden="1" s="59"/>
    <row r="8395" hidden="1" s="59"/>
    <row r="8396" hidden="1" s="59"/>
    <row r="8397" hidden="1" s="59"/>
    <row r="8398" hidden="1" s="59"/>
    <row r="8399" hidden="1" s="59"/>
    <row r="8400" hidden="1" s="59"/>
    <row r="8401" hidden="1" s="59"/>
    <row r="8402" hidden="1" s="59"/>
    <row r="8404" hidden="1" s="59"/>
    <row r="8405" hidden="1" s="59"/>
    <row r="8406" hidden="1" s="59"/>
    <row r="8407" hidden="1" s="59"/>
    <row r="8408" hidden="1" s="59"/>
    <row r="8409" hidden="1" s="59"/>
    <row r="8410" hidden="1" s="59"/>
    <row r="8411" hidden="1" s="59"/>
    <row r="8412" hidden="1" s="59"/>
    <row r="8413" hidden="1" s="59"/>
    <row r="8414" hidden="1" s="59"/>
    <row r="8415" hidden="1" s="59"/>
    <row r="8416" hidden="1" s="59"/>
    <row r="8417" hidden="1" s="59"/>
    <row r="8418" hidden="1" s="59"/>
    <row r="8419" hidden="1" s="59"/>
    <row r="8420" hidden="1" s="59"/>
    <row r="8421" hidden="1" s="59"/>
    <row r="8422" hidden="1" s="59"/>
    <row r="8423" hidden="1" s="59"/>
    <row r="8424" hidden="1" s="59"/>
    <row r="8425" hidden="1" s="59"/>
    <row r="8426" hidden="1" s="59"/>
    <row r="8427" hidden="1" s="59"/>
    <row r="8428" hidden="1" s="59"/>
    <row r="8429" hidden="1" s="59"/>
    <row r="8430" hidden="1" s="59"/>
    <row r="8431" hidden="1" s="59"/>
    <row r="8432" hidden="1" s="59"/>
    <row r="8433" hidden="1" s="59"/>
    <row r="8434" hidden="1" s="59"/>
    <row r="8435" hidden="1" s="59"/>
    <row r="8436" hidden="1" s="59"/>
    <row r="8437" hidden="1" s="59"/>
    <row r="8438" hidden="1" s="59"/>
    <row r="8439" hidden="1" s="59"/>
    <row r="8440" hidden="1" s="59"/>
    <row r="8441" hidden="1" s="59"/>
    <row r="8442" hidden="1" s="59"/>
    <row r="8443" hidden="1" s="59"/>
    <row r="8444" hidden="1" s="59"/>
    <row r="8445" hidden="1" s="59"/>
    <row r="8446" hidden="1" s="59"/>
    <row r="8447" hidden="1" s="59"/>
    <row r="8448" hidden="1" s="59"/>
    <row r="8449" hidden="1" s="59"/>
    <row r="8450" hidden="1" s="59"/>
    <row r="8451" hidden="1" s="59"/>
    <row r="8452" hidden="1" s="59"/>
    <row r="8453" hidden="1" s="59"/>
    <row r="8454" hidden="1" s="59"/>
    <row r="8455" hidden="1" s="59"/>
    <row r="8456" hidden="1" s="59"/>
    <row r="8457" hidden="1" s="59"/>
    <row r="8458" hidden="1" s="59"/>
    <row r="8459" hidden="1" s="59"/>
    <row r="8460" hidden="1" s="59"/>
    <row r="8461" hidden="1" s="59"/>
    <row r="8462" hidden="1" s="59"/>
    <row r="8463" hidden="1" s="59"/>
    <row r="8464" hidden="1" s="59"/>
    <row r="8465" hidden="1" s="59"/>
    <row r="8466" hidden="1" s="59"/>
    <row r="8467" hidden="1" s="59"/>
    <row r="8468" hidden="1" s="59"/>
    <row r="8469" hidden="1" s="59"/>
    <row r="8470" hidden="1" s="59"/>
    <row r="8471" hidden="1" s="59"/>
    <row r="8472" hidden="1" s="59"/>
    <row r="8473" hidden="1" s="59"/>
    <row r="8474" hidden="1" s="59"/>
    <row r="8475" hidden="1" s="59"/>
    <row r="8476" hidden="1" s="59"/>
    <row r="8477" hidden="1" s="59"/>
    <row r="8478" hidden="1" s="59"/>
    <row r="8479" hidden="1" s="59"/>
    <row r="8480" hidden="1" s="59"/>
    <row r="8481" hidden="1" s="59"/>
    <row r="8482" hidden="1" s="59"/>
    <row r="8483" hidden="1" s="59"/>
    <row r="8484" hidden="1" s="59"/>
    <row r="8485" hidden="1" s="59"/>
    <row r="8486" hidden="1" s="59"/>
    <row r="8487" hidden="1" s="59"/>
    <row r="8488" hidden="1" s="59"/>
    <row r="8489" hidden="1" s="59"/>
    <row r="8490" hidden="1" s="59"/>
    <row r="8491" hidden="1" s="59"/>
    <row r="8492" hidden="1" s="59"/>
    <row r="8493" hidden="1" s="59"/>
    <row r="8494" hidden="1" s="59"/>
    <row r="8495" hidden="1" s="59"/>
    <row r="8496" hidden="1" s="59"/>
    <row r="8497" hidden="1" s="59"/>
    <row r="8498" hidden="1" s="59"/>
    <row r="8499" hidden="1" s="59"/>
    <row r="8500" hidden="1" s="59"/>
    <row r="8501" hidden="1" s="59"/>
    <row r="8502" hidden="1" s="59"/>
    <row r="8503" hidden="1" s="59"/>
    <row r="8504" hidden="1" s="59"/>
    <row r="8505" hidden="1" s="59"/>
    <row r="8506" hidden="1" s="59"/>
    <row r="8507" hidden="1" s="59"/>
    <row r="8508" hidden="1" s="59"/>
    <row r="8509" hidden="1" s="59"/>
    <row r="8510" hidden="1" s="59"/>
    <row r="8511" hidden="1" s="59"/>
    <row r="8512" hidden="1" s="59"/>
    <row r="8513" hidden="1" s="59"/>
    <row r="8514" hidden="1" s="59"/>
    <row r="8515" hidden="1" s="59"/>
    <row r="8516" hidden="1" s="59"/>
    <row r="8517" hidden="1" s="59"/>
    <row r="8518" hidden="1" s="59"/>
    <row r="8519" hidden="1" s="59"/>
    <row r="8520" hidden="1" s="59"/>
    <row r="8521" hidden="1" s="59"/>
    <row r="8522" hidden="1" s="59"/>
    <row r="8523" hidden="1" s="59"/>
    <row r="8524" hidden="1" s="59"/>
    <row r="8525" hidden="1" s="59"/>
    <row r="8526" hidden="1" s="59"/>
    <row r="8527" hidden="1" s="59"/>
    <row r="8528" hidden="1" s="59"/>
    <row r="8529" hidden="1" s="59"/>
    <row r="8530" hidden="1" s="59"/>
    <row r="8531" hidden="1" s="59"/>
    <row r="8532" hidden="1" s="59"/>
    <row r="8533" hidden="1" s="59"/>
    <row r="8534" hidden="1" s="59"/>
    <row r="8535" hidden="1" s="59"/>
    <row r="8536" hidden="1" s="59"/>
    <row r="8537" hidden="1" s="59"/>
    <row r="8538" hidden="1" s="59"/>
    <row r="8539" hidden="1" s="59"/>
    <row r="8540" hidden="1" s="59"/>
    <row r="8541" hidden="1" s="59"/>
    <row r="8542" hidden="1" s="59"/>
    <row r="8543" hidden="1" s="59"/>
    <row r="8544" hidden="1" s="59"/>
    <row r="8545" hidden="1" s="59"/>
    <row r="8546" hidden="1" s="59"/>
    <row r="8547" hidden="1" s="59"/>
    <row r="8548" hidden="1" s="59"/>
    <row r="8549" hidden="1" s="59"/>
    <row r="8550" hidden="1" s="59"/>
    <row r="8551" hidden="1" s="59"/>
    <row r="8552" hidden="1" s="59"/>
    <row r="8553" hidden="1" s="59"/>
    <row r="8554" hidden="1" s="59"/>
    <row r="8555" hidden="1" s="59"/>
    <row r="8556" hidden="1" s="59"/>
    <row r="8557" hidden="1" s="59"/>
    <row r="8558" hidden="1" s="59"/>
    <row r="8559" hidden="1" s="59"/>
    <row r="8560" hidden="1" s="59"/>
    <row r="8561" hidden="1" s="59"/>
    <row r="8562" hidden="1" s="59"/>
    <row r="8563" hidden="1" s="59"/>
    <row r="8564" hidden="1" s="59"/>
    <row r="8565" hidden="1" s="59"/>
    <row r="8566" hidden="1" s="59"/>
    <row r="8567" hidden="1" s="59"/>
    <row r="8568" hidden="1" s="59"/>
    <row r="8569" hidden="1" s="59"/>
    <row r="8570" hidden="1" s="59"/>
    <row r="8571" hidden="1" s="59"/>
    <row r="8572" hidden="1" s="59"/>
    <row r="8573" hidden="1" s="59"/>
    <row r="8574" hidden="1" s="59"/>
    <row r="8575" hidden="1" s="59"/>
    <row r="8576" hidden="1" s="59"/>
    <row r="8577" hidden="1" s="59"/>
    <row r="8578" hidden="1" s="59"/>
    <row r="8579" hidden="1" s="59"/>
    <row r="8580" hidden="1" s="59"/>
    <row r="8581" hidden="1" s="59"/>
    <row r="8582" hidden="1" s="59"/>
    <row r="8583" hidden="1" s="59"/>
    <row r="8584" hidden="1" s="59"/>
    <row r="8585" hidden="1" s="59"/>
    <row r="8586" hidden="1" s="59"/>
    <row r="8587" hidden="1" s="59"/>
    <row r="8588" hidden="1" s="59"/>
    <row r="8589" hidden="1" s="59"/>
    <row r="8590" hidden="1" s="59"/>
    <row r="8591" hidden="1" s="59"/>
    <row r="8592" hidden="1" s="59"/>
    <row r="8593" hidden="1" s="59"/>
    <row r="8594" hidden="1" s="59"/>
    <row r="8595" hidden="1" s="59"/>
    <row r="8596" hidden="1" s="59"/>
    <row r="8597" hidden="1" s="59"/>
    <row r="8598" hidden="1" s="59"/>
    <row r="8599" hidden="1" s="59"/>
    <row r="8600" hidden="1" s="59"/>
    <row r="8601" hidden="1" s="59"/>
    <row r="8602" hidden="1" s="59"/>
    <row r="8603" hidden="1" s="59"/>
    <row r="8604" hidden="1" s="59"/>
    <row r="8605" hidden="1" s="59"/>
    <row r="8606" hidden="1" s="59"/>
    <row r="8607" hidden="1" s="59"/>
    <row r="8608" hidden="1" s="59"/>
    <row r="8609" hidden="1" s="59"/>
    <row r="8610" hidden="1" s="59"/>
    <row r="8611" hidden="1" s="59"/>
    <row r="8612" hidden="1" s="59"/>
    <row r="8613" hidden="1" s="59"/>
    <row r="8614" hidden="1" s="59"/>
    <row r="8615" hidden="1" s="59"/>
    <row r="8616" hidden="1" s="59"/>
    <row r="8617" hidden="1" s="59"/>
    <row r="8618" hidden="1" s="59"/>
    <row r="8619" hidden="1" s="59"/>
    <row r="8620" hidden="1" s="59"/>
    <row r="8621" hidden="1" s="59"/>
    <row r="8622" hidden="1" s="59"/>
    <row r="8623" hidden="1" s="59"/>
    <row r="8624" hidden="1" s="59"/>
    <row r="8625" hidden="1" s="59"/>
    <row r="8626" hidden="1" s="59"/>
    <row r="8627" hidden="1" s="59"/>
    <row r="8628" hidden="1" s="59"/>
    <row r="8629" hidden="1" s="59"/>
    <row r="8630" hidden="1" s="59"/>
    <row r="8631" hidden="1" s="59"/>
    <row r="8632" hidden="1" s="59"/>
    <row r="8633" hidden="1" s="59"/>
    <row r="8634" hidden="1" s="59"/>
    <row r="8635" hidden="1" s="59"/>
    <row r="8636" hidden="1" s="59"/>
    <row r="8637" hidden="1" s="59"/>
    <row r="8638" hidden="1" s="59"/>
    <row r="8639" hidden="1" s="59"/>
    <row r="8640" hidden="1" s="59"/>
    <row r="8642" hidden="1" s="59"/>
    <row r="8643" hidden="1" s="59"/>
    <row r="8644" hidden="1" s="59"/>
    <row r="8645" hidden="1" s="59"/>
    <row r="8646" hidden="1" s="59"/>
    <row r="8647" hidden="1" s="59"/>
    <row r="8648" hidden="1" s="59"/>
    <row r="8649" hidden="1" s="59"/>
    <row r="8650" hidden="1" s="59"/>
    <row r="8651" hidden="1" s="59"/>
    <row r="8652" hidden="1" s="59"/>
    <row r="8653" hidden="1" s="59"/>
    <row r="8654" hidden="1" s="59"/>
    <row r="8655" hidden="1" s="59"/>
    <row r="8656" hidden="1" s="59"/>
    <row r="8657" hidden="1" s="59"/>
    <row r="8658" hidden="1" s="59"/>
    <row r="8659" hidden="1" s="59"/>
    <row r="8660" hidden="1" s="59"/>
    <row r="8661" hidden="1" s="59"/>
    <row r="8662" hidden="1" s="59"/>
    <row r="8663" hidden="1" s="59"/>
    <row r="8664" hidden="1" s="59"/>
    <row r="8665" hidden="1" s="59"/>
    <row r="8666" hidden="1" s="59"/>
    <row r="8667" hidden="1" s="59"/>
    <row r="8668" hidden="1" s="59"/>
    <row r="8669" hidden="1" s="59"/>
    <row r="8670" hidden="1" s="59"/>
    <row r="8671" hidden="1" s="59"/>
    <row r="8672" hidden="1" s="59"/>
    <row r="8673" hidden="1" s="59"/>
    <row r="8674" hidden="1" s="59"/>
    <row r="8675" hidden="1" s="59"/>
    <row r="8676" hidden="1" s="59"/>
    <row r="8677" hidden="1" s="59"/>
    <row r="8678" hidden="1" s="59"/>
    <row r="8679" hidden="1" s="59"/>
    <row r="8680" hidden="1" s="59"/>
    <row r="8681" hidden="1" s="59"/>
    <row r="8682" hidden="1" s="59"/>
    <row r="8683" hidden="1" s="59"/>
    <row r="8684" hidden="1" s="59"/>
    <row r="8685" hidden="1" s="59"/>
    <row r="8686" hidden="1" s="59"/>
    <row r="8687" hidden="1" s="59"/>
    <row r="8688" hidden="1" s="59"/>
    <row r="8689" hidden="1" s="59"/>
    <row r="8690" hidden="1" s="59"/>
    <row r="8691" hidden="1" s="59"/>
    <row r="8692" hidden="1" s="59"/>
    <row r="8693" hidden="1" s="59"/>
    <row r="8694" hidden="1" s="59"/>
    <row r="8695" hidden="1" s="59"/>
    <row r="8696" hidden="1" s="59"/>
    <row r="8697" hidden="1" s="59"/>
    <row r="8698" hidden="1" s="59"/>
    <row r="8699" hidden="1" s="59"/>
    <row r="8700" hidden="1" s="59"/>
    <row r="8701" hidden="1" s="59"/>
    <row r="8702" hidden="1" s="59"/>
    <row r="8703" hidden="1" s="59"/>
    <row r="8704" hidden="1" s="59"/>
    <row r="8705" hidden="1" s="59"/>
    <row r="8706" hidden="1" s="59"/>
    <row r="8707" hidden="1" s="59"/>
    <row r="8708" hidden="1" s="59"/>
    <row r="8709" hidden="1" s="59"/>
    <row r="8710" hidden="1" s="59"/>
    <row r="8711" hidden="1" s="59"/>
    <row r="8712" hidden="1" s="59"/>
    <row r="8713" hidden="1" s="59"/>
    <row r="8714" hidden="1" s="59"/>
    <row r="8715" hidden="1" s="59"/>
    <row r="8716" hidden="1" s="59"/>
    <row r="8717" hidden="1" s="59"/>
    <row r="8718" hidden="1" s="59"/>
    <row r="8719" hidden="1" s="59"/>
    <row r="8720" hidden="1" s="59"/>
    <row r="8721" hidden="1" s="59"/>
    <row r="8722" hidden="1" s="59"/>
    <row r="8723" hidden="1" s="59"/>
    <row r="8724" hidden="1" s="59"/>
    <row r="8725" hidden="1" s="59"/>
    <row r="8726" hidden="1" s="59"/>
    <row r="8727" hidden="1" s="59"/>
    <row r="8728" hidden="1" s="59"/>
    <row r="8729" hidden="1" s="59"/>
    <row r="8730" hidden="1" s="59"/>
    <row r="8731" hidden="1" s="59"/>
    <row r="8732" hidden="1" s="59"/>
    <row r="8733" hidden="1" s="59"/>
    <row r="8734" hidden="1" s="59"/>
    <row r="8735" hidden="1" s="59"/>
    <row r="8736" hidden="1" s="59"/>
    <row r="8737" hidden="1" s="59"/>
    <row r="8738" hidden="1" s="59"/>
    <row r="8739" hidden="1" s="59"/>
    <row r="8740" hidden="1" s="59"/>
    <row r="8741" hidden="1" s="59"/>
    <row r="8742" hidden="1" s="59"/>
    <row r="8743" hidden="1" s="59"/>
    <row r="8744" hidden="1" s="59"/>
    <row r="8745" hidden="1" s="59"/>
    <row r="8746" hidden="1" s="59"/>
    <row r="8747" hidden="1" s="59"/>
    <row r="8748" hidden="1" s="59"/>
    <row r="8749" hidden="1" s="59"/>
    <row r="8750" hidden="1" s="59"/>
    <row r="8751" hidden="1" s="59"/>
    <row r="8752" hidden="1" s="59"/>
    <row r="8753" hidden="1" s="59"/>
    <row r="8754" hidden="1" s="59"/>
    <row r="8755" hidden="1" s="59"/>
    <row r="8756" hidden="1" s="59"/>
    <row r="8757" hidden="1" s="59"/>
    <row r="8758" hidden="1" s="59"/>
    <row r="8759" hidden="1" s="59"/>
    <row r="8760" hidden="1" s="59"/>
    <row r="8761" hidden="1" s="59"/>
    <row r="8762" hidden="1" s="59"/>
    <row r="8763" hidden="1" s="59"/>
    <row r="8764" hidden="1" s="59"/>
    <row r="8765" hidden="1" s="59"/>
    <row r="8766" hidden="1" s="59"/>
    <row r="8767" hidden="1" s="59"/>
    <row r="8768" hidden="1" s="59"/>
    <row r="8769" hidden="1" s="59"/>
    <row r="8770" hidden="1" s="59"/>
    <row r="8771" hidden="1" s="59"/>
    <row r="8772" hidden="1" s="59"/>
    <row r="8773" hidden="1" s="59"/>
    <row r="8774" hidden="1" s="59"/>
    <row r="8775" hidden="1" s="59"/>
    <row r="8776" hidden="1" s="59"/>
    <row r="8777" hidden="1" s="59"/>
    <row r="8778" hidden="1" s="59"/>
    <row r="8779" hidden="1" s="59"/>
    <row r="8780" hidden="1" s="59"/>
    <row r="8781" hidden="1" s="59"/>
    <row r="8782" hidden="1" s="59"/>
    <row r="8783" hidden="1" s="59"/>
    <row r="8784" hidden="1" s="59"/>
    <row r="8785" hidden="1" s="59"/>
    <row r="8786" hidden="1" s="59"/>
    <row r="8787" hidden="1" s="59"/>
    <row r="8788" hidden="1" s="59"/>
    <row r="8789" hidden="1" s="59"/>
    <row r="8790" hidden="1" s="59"/>
    <row r="8791" hidden="1" s="59"/>
    <row r="8792" hidden="1" s="59"/>
    <row r="8793" hidden="1" s="59"/>
    <row r="8794" hidden="1" s="59"/>
    <row r="8795" hidden="1" s="59"/>
    <row r="8796" hidden="1" s="59"/>
    <row r="8797" hidden="1" s="59"/>
    <row r="8798" hidden="1" s="59"/>
    <row r="8799" hidden="1" s="59"/>
    <row r="8800" hidden="1" s="59"/>
    <row r="8801" hidden="1" s="59"/>
    <row r="8802" hidden="1" s="59"/>
    <row r="8803" hidden="1" s="59"/>
    <row r="8804" hidden="1" s="59"/>
    <row r="8805" hidden="1" s="59"/>
    <row r="8806" hidden="1" s="59"/>
    <row r="8807" hidden="1" s="59"/>
    <row r="8808" hidden="1" s="59"/>
    <row r="8809" hidden="1" s="59"/>
    <row r="8810" hidden="1" s="59"/>
    <row r="8811" hidden="1" s="59"/>
    <row r="8812" hidden="1" s="59"/>
    <row r="8813" hidden="1" s="59"/>
    <row r="8814" hidden="1" s="59"/>
    <row r="8815" hidden="1" s="59"/>
    <row r="8816" hidden="1" s="59"/>
    <row r="8817" hidden="1" s="59"/>
    <row r="8818" hidden="1" s="59"/>
    <row r="8819" hidden="1" s="59"/>
    <row r="8820" hidden="1" s="59"/>
    <row r="8821" hidden="1" s="59"/>
    <row r="8822" hidden="1" s="59"/>
    <row r="8823" hidden="1" s="59"/>
    <row r="8826" hidden="1" s="59"/>
    <row r="8827" hidden="1" s="59"/>
    <row r="8828" hidden="1" s="59"/>
    <row r="8829" hidden="1" s="59"/>
    <row r="8830" hidden="1" s="59"/>
    <row r="8831" hidden="1" s="59"/>
    <row r="8832" hidden="1" s="59"/>
    <row r="8833" hidden="1" s="59"/>
    <row r="8834" hidden="1" s="59"/>
    <row r="8835" hidden="1" s="59"/>
    <row r="8836" hidden="1" s="59"/>
    <row r="8837" hidden="1" s="59"/>
    <row r="8838" hidden="1" s="59"/>
    <row r="8839" hidden="1" s="59"/>
    <row r="8840" hidden="1" s="59"/>
    <row r="8841" hidden="1" s="59"/>
    <row r="8842" hidden="1" s="59"/>
    <row r="8843" hidden="1" s="59"/>
    <row r="8844" hidden="1" s="59"/>
    <row r="8845" hidden="1" s="59"/>
    <row r="8846" hidden="1" s="59"/>
    <row r="8847" hidden="1" s="59"/>
    <row r="8848" hidden="1" s="59"/>
    <row r="8849" hidden="1" s="59"/>
    <row r="8850" hidden="1" s="59"/>
    <row r="8851" hidden="1" s="59"/>
    <row r="8852" hidden="1" s="59"/>
    <row r="8853" hidden="1" s="59"/>
    <row r="8854" hidden="1" s="59"/>
    <row r="8855" hidden="1" s="59"/>
    <row r="8856" hidden="1" s="59"/>
    <row r="8857" hidden="1" s="59"/>
    <row r="8858" hidden="1" s="59"/>
    <row r="8859" hidden="1" s="59"/>
    <row r="8860" hidden="1" s="59"/>
    <row r="8861" hidden="1" s="59"/>
    <row r="8862" hidden="1" s="59"/>
    <row r="8863" hidden="1" s="59"/>
    <row r="8864" hidden="1" s="59"/>
    <row r="8865" hidden="1" s="59"/>
    <row r="8866" hidden="1" s="59"/>
    <row r="8867" hidden="1" s="59"/>
    <row r="8868" hidden="1" s="59"/>
    <row r="8869" hidden="1" s="59"/>
    <row r="8870" hidden="1" s="59"/>
    <row r="8871" hidden="1" s="59"/>
    <row r="8872" hidden="1" s="59"/>
    <row r="8873" hidden="1" s="59"/>
    <row r="8874" hidden="1" s="59"/>
    <row r="8875" hidden="1" s="59"/>
    <row r="8876" hidden="1" s="59"/>
    <row r="8877" hidden="1" s="59"/>
    <row r="8878" hidden="1" s="59"/>
    <row r="8879" hidden="1" s="59"/>
    <row r="8880" hidden="1" s="59"/>
    <row r="8881" hidden="1" s="59"/>
    <row r="8882" hidden="1" s="59"/>
    <row r="8883" hidden="1" s="59"/>
    <row r="8884" hidden="1" s="59"/>
    <row r="8885" hidden="1" s="59"/>
    <row r="8886" hidden="1" s="59"/>
    <row r="8887" hidden="1" s="59"/>
    <row r="8888" hidden="1" s="59"/>
    <row r="8889" hidden="1" s="59"/>
    <row r="8890" hidden="1" s="59"/>
    <row r="8891" hidden="1" s="59"/>
    <row r="8892" hidden="1" s="59"/>
    <row r="8893" hidden="1" s="59"/>
    <row r="8894" hidden="1" s="59"/>
    <row r="8895" hidden="1" s="59"/>
    <row r="8896" hidden="1" s="59"/>
    <row r="8897" hidden="1" s="59"/>
    <row r="8898" hidden="1" s="59"/>
    <row r="8899" hidden="1" s="59"/>
    <row r="8900" hidden="1" s="59"/>
    <row r="8901" hidden="1" s="59"/>
    <row r="8902" hidden="1" s="59"/>
    <row r="8903" hidden="1" s="59"/>
    <row r="8904" hidden="1" s="59"/>
    <row r="8905" hidden="1" s="59"/>
    <row r="8906" hidden="1" s="59"/>
    <row r="8907" hidden="1" s="59"/>
    <row r="8908" hidden="1" s="59"/>
    <row r="8909" hidden="1" s="59"/>
    <row r="8910" hidden="1" s="59"/>
    <row r="8911" hidden="1" s="59"/>
    <row r="8912" hidden="1" s="59"/>
    <row r="8913" hidden="1" s="59"/>
    <row r="8914" hidden="1" s="59"/>
    <row r="8915" hidden="1" s="59"/>
    <row r="8916" hidden="1" s="59"/>
    <row r="8917" hidden="1" s="59"/>
    <row r="8918" hidden="1" s="59"/>
    <row r="8919" hidden="1" s="59"/>
    <row r="8920" hidden="1" s="59"/>
    <row r="8921" hidden="1" s="59"/>
    <row r="8922" hidden="1" s="59"/>
    <row r="8923" hidden="1" s="59"/>
    <row r="8924" hidden="1" s="59"/>
    <row r="8925" hidden="1" s="59"/>
    <row r="8926" hidden="1" s="59"/>
    <row r="8927" hidden="1" s="59"/>
    <row r="8928" hidden="1" s="59"/>
    <row r="8929" hidden="1" s="59"/>
    <row r="8930" hidden="1" s="59"/>
    <row r="8931" hidden="1" s="59"/>
    <row r="8932" hidden="1" s="59"/>
    <row r="8933" hidden="1" s="59"/>
    <row r="8934" hidden="1" s="59"/>
    <row r="8935" hidden="1" s="59"/>
    <row r="8936" hidden="1" s="59"/>
    <row r="8937" hidden="1" s="59"/>
    <row r="8938" hidden="1" s="59"/>
    <row r="8939" hidden="1" s="59"/>
    <row r="8940" hidden="1" s="59"/>
    <row r="8941" hidden="1" s="59"/>
    <row r="8942" hidden="1" s="59"/>
    <row r="8943" hidden="1" s="59"/>
    <row r="8944" hidden="1" s="59"/>
    <row r="8945" hidden="1" s="59"/>
    <row r="8946" hidden="1" s="59"/>
    <row r="8947" hidden="1" s="59"/>
    <row r="8948" hidden="1" s="59"/>
    <row r="8949" hidden="1" s="59"/>
    <row r="8950" hidden="1" s="59"/>
    <row r="8951" hidden="1" s="59"/>
    <row r="8952" hidden="1" s="59"/>
    <row r="8954" hidden="1" s="59"/>
    <row r="8955" hidden="1" s="59"/>
    <row r="8956" hidden="1" s="59"/>
    <row r="8957" hidden="1" s="59"/>
    <row r="8958" hidden="1" s="59"/>
    <row r="8959" hidden="1" s="59"/>
    <row r="8960" hidden="1" s="59"/>
    <row r="8961" hidden="1" s="59"/>
    <row r="8962" hidden="1" s="59"/>
    <row r="8963" hidden="1" s="59"/>
    <row r="8964" hidden="1" s="59"/>
    <row r="8965" hidden="1" s="59"/>
    <row r="8966" hidden="1" s="59"/>
    <row r="8967" hidden="1" s="59"/>
    <row r="8968" hidden="1" s="59"/>
    <row r="8969" hidden="1" s="59"/>
    <row r="8970" hidden="1" s="59"/>
    <row r="8971" hidden="1" s="59"/>
    <row r="8972" hidden="1" s="59"/>
    <row r="8973" hidden="1" s="59"/>
    <row r="8974" hidden="1" s="59"/>
    <row r="8975" hidden="1" s="59"/>
    <row r="8976" hidden="1" s="59"/>
    <row r="8977" hidden="1" s="59"/>
    <row r="8978" hidden="1" s="59"/>
    <row r="8979" hidden="1" s="59"/>
    <row r="8980" hidden="1" s="59"/>
    <row r="8981" hidden="1" s="59"/>
    <row r="8982" hidden="1" s="59"/>
    <row r="8983" hidden="1" s="59"/>
    <row r="8984" hidden="1" s="59"/>
    <row r="8985" hidden="1" s="59"/>
    <row r="8986" hidden="1" s="59"/>
    <row r="8987" hidden="1" s="59"/>
    <row r="8988" hidden="1" s="59"/>
    <row r="8989" hidden="1" s="59"/>
    <row r="8990" hidden="1" s="59"/>
    <row r="8991" hidden="1" s="59"/>
    <row r="8992" hidden="1" s="59"/>
    <row r="8993" hidden="1" s="59"/>
    <row r="8994" hidden="1" s="59"/>
    <row r="8995" hidden="1" s="59"/>
    <row r="8996" hidden="1" s="59"/>
    <row r="8997" hidden="1" s="59"/>
    <row r="8998" hidden="1" s="59"/>
    <row r="8999" hidden="1" s="59"/>
    <row r="9000" hidden="1" s="59"/>
    <row r="9001" hidden="1" s="59"/>
    <row r="9002" hidden="1" s="59"/>
    <row r="9003" hidden="1" s="59"/>
    <row r="9004" hidden="1" s="59"/>
    <row r="9005" hidden="1" s="59"/>
    <row r="9006" hidden="1" s="59"/>
    <row r="9007" hidden="1" s="59"/>
    <row r="9008" hidden="1" s="59"/>
    <row r="9009" hidden="1" s="59"/>
    <row r="9010" hidden="1" s="59"/>
    <row r="9011" hidden="1" s="59"/>
    <row r="9012" hidden="1" s="59"/>
    <row r="9013" hidden="1" s="59"/>
    <row r="9014" hidden="1" s="59"/>
    <row r="9015" hidden="1" s="59"/>
    <row r="9016" hidden="1" s="59"/>
    <row r="9017" hidden="1" s="59"/>
    <row r="9018" hidden="1" s="59"/>
    <row r="9019" hidden="1" s="59"/>
    <row r="9020" hidden="1" s="59"/>
    <row r="9021" hidden="1" s="59"/>
    <row r="9022" hidden="1" s="59"/>
    <row r="9023" hidden="1" s="59"/>
    <row r="9024" hidden="1" s="59"/>
    <row r="9025" hidden="1" s="59"/>
    <row r="9026" hidden="1" s="59"/>
    <row r="9027" hidden="1" s="59"/>
    <row r="9028" hidden="1" s="59"/>
    <row r="9029" hidden="1" s="59"/>
    <row r="9030" hidden="1" s="59"/>
    <row r="9031" hidden="1" s="59"/>
    <row r="9032" hidden="1" s="59"/>
    <row r="9033" hidden="1" s="59"/>
    <row r="9034" hidden="1" s="59"/>
    <row r="9035" hidden="1" s="59"/>
    <row r="9036" hidden="1" s="59"/>
    <row r="9037" hidden="1" s="59"/>
    <row r="9038" hidden="1" s="59"/>
    <row r="9039" hidden="1" s="59"/>
    <row r="9040" hidden="1" s="59"/>
    <row r="9041" hidden="1" s="59"/>
    <row r="9042" hidden="1" s="59"/>
    <row r="9043" hidden="1" s="59"/>
    <row r="9044" hidden="1" s="59"/>
    <row r="9045" hidden="1" s="59"/>
    <row r="9046" hidden="1" s="59"/>
    <row r="9047" hidden="1" s="59"/>
    <row r="9048" hidden="1" s="59"/>
    <row r="9049" hidden="1" s="59"/>
    <row r="9050" hidden="1" s="59"/>
    <row r="9051" hidden="1" s="59"/>
    <row r="9052" hidden="1" s="59"/>
    <row r="9053" hidden="1" s="59"/>
    <row r="9054" hidden="1" s="59"/>
    <row r="9055" hidden="1" s="59"/>
    <row r="9056" hidden="1" s="59"/>
    <row r="9057" hidden="1" s="59"/>
    <row r="9058" hidden="1" s="59"/>
    <row r="9059" hidden="1" s="59"/>
    <row r="9060" hidden="1" s="59"/>
    <row r="9061" hidden="1" s="59"/>
    <row r="9062" hidden="1" s="59"/>
    <row r="9063" hidden="1" s="59"/>
    <row r="9064" hidden="1" s="59"/>
    <row r="9065" hidden="1" s="59"/>
    <row r="9066" hidden="1" s="59"/>
    <row r="9067" hidden="1" s="59"/>
    <row r="9068" hidden="1" s="59"/>
    <row r="9069" hidden="1" s="59"/>
    <row r="9070" hidden="1" s="59"/>
    <row r="9071" hidden="1" s="59"/>
    <row r="9072" hidden="1" s="59"/>
    <row r="9073" hidden="1" s="59"/>
    <row r="9074" hidden="1" s="59"/>
    <row r="9075" hidden="1" s="59"/>
    <row r="9076" hidden="1" s="59"/>
    <row r="9077" hidden="1" s="59"/>
    <row r="9078" hidden="1" s="59"/>
    <row r="9079" hidden="1" s="59"/>
    <row r="9080" hidden="1" s="59"/>
    <row r="9081" hidden="1" s="59"/>
    <row r="9082" hidden="1" s="59"/>
    <row r="9083" hidden="1" s="59"/>
    <row r="9084" hidden="1" s="59"/>
    <row r="9085" hidden="1" s="59"/>
    <row r="9086" hidden="1" s="59"/>
    <row r="9087" hidden="1" s="59"/>
    <row r="9088" hidden="1" s="59"/>
    <row r="9089" hidden="1" s="59"/>
    <row r="9090" hidden="1" s="59"/>
    <row r="9091" hidden="1" s="59"/>
    <row r="9092" hidden="1" s="59"/>
    <row r="9093" hidden="1" s="59"/>
    <row r="9094" hidden="1" s="59"/>
    <row r="9095" hidden="1" s="59"/>
    <row r="9096" hidden="1" s="59"/>
    <row r="9097" hidden="1" s="59"/>
    <row r="9098" hidden="1" s="59"/>
    <row r="9099" hidden="1" s="59"/>
    <row r="9100" hidden="1" s="59"/>
    <row r="9101" hidden="1" s="59"/>
    <row r="9102" hidden="1" s="59"/>
    <row r="9103" hidden="1" s="59"/>
    <row r="9104" hidden="1" s="59"/>
    <row r="9105" hidden="1" s="59"/>
    <row r="9106" hidden="1" s="59"/>
    <row r="9107" hidden="1" s="59"/>
    <row r="9108" hidden="1" s="59"/>
    <row r="9109" hidden="1" s="59"/>
    <row r="9110" hidden="1" s="59"/>
    <row r="9111" hidden="1" s="59"/>
    <row r="9112" hidden="1" s="59"/>
    <row r="9113" hidden="1" s="59"/>
    <row r="9114" hidden="1" s="59"/>
    <row r="9115" hidden="1" s="59"/>
    <row r="9116" hidden="1" s="59"/>
    <row r="9117" hidden="1" s="59"/>
    <row r="9118" hidden="1" s="59"/>
    <row r="9119" hidden="1" s="59"/>
    <row r="9120" hidden="1" s="59"/>
    <row r="9121" hidden="1" s="59"/>
    <row r="9122" hidden="1" s="59"/>
    <row r="9123" hidden="1" s="59"/>
    <row r="9124" hidden="1" s="59"/>
    <row r="9125" hidden="1" s="59"/>
    <row r="9126" hidden="1" s="59"/>
    <row r="9127" hidden="1" s="59"/>
    <row r="9128" hidden="1" s="59"/>
    <row r="9129" hidden="1" s="59"/>
    <row r="9130" hidden="1" s="59"/>
    <row r="9131" hidden="1" s="59"/>
    <row r="9132" hidden="1" s="59"/>
    <row r="9133" hidden="1" s="59"/>
    <row r="9134" hidden="1" s="59"/>
    <row r="9135" hidden="1" s="59"/>
    <row r="9136" hidden="1" s="59"/>
    <row r="9137" hidden="1" s="59"/>
    <row r="9138" hidden="1" s="59"/>
    <row r="9139" hidden="1" s="59"/>
    <row r="9140" hidden="1" s="59"/>
    <row r="9141" hidden="1" s="59"/>
    <row r="9142" hidden="1" s="59"/>
    <row r="9143" hidden="1" s="59"/>
    <row r="9144" hidden="1" s="59"/>
    <row r="9145" hidden="1" s="59"/>
    <row r="9146" hidden="1" s="59"/>
    <row r="9147" hidden="1" s="59"/>
    <row r="9148" hidden="1" s="59"/>
    <row r="9149" hidden="1" s="59"/>
    <row r="9150" hidden="1" s="59"/>
    <row r="9151" hidden="1" s="59"/>
    <row r="9152" hidden="1" s="59"/>
    <row r="9153" hidden="1" s="59"/>
    <row r="9154" hidden="1" s="59"/>
    <row r="9155" hidden="1" s="59"/>
    <row r="9156" hidden="1" s="59"/>
    <row r="9157" hidden="1" s="59"/>
    <row r="9158" hidden="1" s="59"/>
    <row r="9159" hidden="1" s="59"/>
    <row r="9160" hidden="1" s="59"/>
    <row r="9161" hidden="1" s="59"/>
    <row r="9162" hidden="1" s="59"/>
    <row r="9163" hidden="1" s="59"/>
    <row r="9164" hidden="1" s="59"/>
    <row r="9165" hidden="1" s="59"/>
    <row r="9166" hidden="1" s="59"/>
    <row r="9167" hidden="1" s="59"/>
    <row r="9168" hidden="1" s="59"/>
    <row r="9169" hidden="1" s="59"/>
    <row r="9170" hidden="1" s="59"/>
    <row r="9171" hidden="1" s="59"/>
    <row r="9172" hidden="1" s="59"/>
    <row r="9173" hidden="1" s="59"/>
    <row r="9174" hidden="1" s="59"/>
    <row r="9175" hidden="1" s="59"/>
    <row r="9176" hidden="1" s="59"/>
    <row r="9177" hidden="1" s="59"/>
    <row r="9178" hidden="1" s="59"/>
    <row r="9179" hidden="1" s="59"/>
    <row r="9180" hidden="1" s="59"/>
    <row r="9181" hidden="1" s="59"/>
    <row r="9182" hidden="1" s="59"/>
    <row r="9183" hidden="1" s="59"/>
    <row r="9184" hidden="1" s="59"/>
    <row r="9185" hidden="1" s="59"/>
    <row r="9186" hidden="1" s="59"/>
    <row r="9187" hidden="1" s="59"/>
    <row r="9188" hidden="1" s="59"/>
    <row r="9189" hidden="1" s="59"/>
    <row r="9190" hidden="1" s="59"/>
    <row r="9191" hidden="1" s="59"/>
    <row r="9192" hidden="1" s="59"/>
    <row r="9193" hidden="1" s="59"/>
    <row r="9194" hidden="1" s="59"/>
    <row r="9195" hidden="1" s="59"/>
    <row r="9196" hidden="1" s="59"/>
    <row r="9197" hidden="1" s="59"/>
    <row r="9198" hidden="1" s="59"/>
    <row r="9199" hidden="1" s="59"/>
    <row r="9200" hidden="1" s="59"/>
    <row r="9201" hidden="1" s="59"/>
    <row r="9202" hidden="1" s="59"/>
    <row r="9203" hidden="1" s="59"/>
    <row r="9204" hidden="1" s="59"/>
    <row r="9205" hidden="1" s="59"/>
    <row r="9206" hidden="1" s="59"/>
    <row r="9207" hidden="1" s="59"/>
    <row r="9208" hidden="1" s="59"/>
    <row r="9209" hidden="1" s="59"/>
    <row r="9210" hidden="1" s="59"/>
    <row r="9211" hidden="1" s="59"/>
    <row r="9212" hidden="1" s="59"/>
    <row r="9213" hidden="1" s="59"/>
    <row r="9214" hidden="1" s="59"/>
    <row r="9215" hidden="1" s="59"/>
    <row r="9216" hidden="1" s="59"/>
    <row r="9217" hidden="1" s="59"/>
    <row r="9218" hidden="1" s="59"/>
    <row r="9219" hidden="1" s="59"/>
    <row r="9220" hidden="1" s="59"/>
    <row r="9221" hidden="1" s="59"/>
    <row r="9222" hidden="1" s="59"/>
    <row r="9223" hidden="1" s="59"/>
    <row r="9224" hidden="1" s="59"/>
    <row r="9225" hidden="1" s="59"/>
    <row r="9226" hidden="1" s="59"/>
    <row r="9227" hidden="1" s="59"/>
    <row r="9228" hidden="1" s="59"/>
    <row r="9229" hidden="1" s="59"/>
    <row r="9230" hidden="1" s="59"/>
    <row r="9231" hidden="1" s="59"/>
    <row r="9232" hidden="1" s="59"/>
    <row r="9233" hidden="1" s="59"/>
    <row r="9234" hidden="1" s="59"/>
    <row r="9235" hidden="1" s="59"/>
    <row r="9236" hidden="1" s="59"/>
    <row r="9237" hidden="1" s="59"/>
    <row r="9238" hidden="1" s="59"/>
    <row r="9239" hidden="1" s="59"/>
    <row r="9240" hidden="1" s="59"/>
    <row r="9241" hidden="1" s="59"/>
    <row r="9242" hidden="1" s="59"/>
    <row r="9243" hidden="1" s="59"/>
    <row r="9244" hidden="1" s="59"/>
    <row r="9245" hidden="1" s="59"/>
    <row r="9246" hidden="1" s="59"/>
    <row r="9247" hidden="1" s="59"/>
    <row r="9248" hidden="1" s="59"/>
    <row r="9249" hidden="1" s="59"/>
    <row r="9250" hidden="1" s="59"/>
    <row r="9251" hidden="1" s="59"/>
    <row r="9252" hidden="1" s="59"/>
    <row r="9253" hidden="1" s="59"/>
    <row r="9254" hidden="1" s="59"/>
    <row r="9255" hidden="1" s="59"/>
    <row r="9256" hidden="1" s="59"/>
    <row r="9257" hidden="1" s="59"/>
    <row r="9258" hidden="1" s="59"/>
    <row r="9259" hidden="1" s="59"/>
    <row r="9260" hidden="1" s="59"/>
    <row r="9261" hidden="1" s="59"/>
    <row r="9262" hidden="1" s="59"/>
    <row r="9263" hidden="1" s="59"/>
    <row r="9264" hidden="1" s="59"/>
    <row r="9265" hidden="1" s="59"/>
    <row r="9266" hidden="1" s="59"/>
    <row r="9267" hidden="1" s="59"/>
    <row r="9268" hidden="1" s="59"/>
    <row r="9269" hidden="1" s="59"/>
    <row r="9270" hidden="1" s="59"/>
    <row r="9271" hidden="1" s="59"/>
    <row r="9272" hidden="1" s="59"/>
    <row r="9273" hidden="1" s="59"/>
    <row r="9274" hidden="1" s="59"/>
    <row r="9275" hidden="1" s="59"/>
    <row r="9276" hidden="1" s="59"/>
    <row r="9277" hidden="1" s="59"/>
    <row r="9278" hidden="1" s="59"/>
    <row r="9279" hidden="1" s="59"/>
    <row r="9280" hidden="1" s="59"/>
    <row r="9281" hidden="1" s="59"/>
    <row r="9282" hidden="1" s="59"/>
    <row r="9283" hidden="1" s="59"/>
    <row r="9284" hidden="1" s="59"/>
    <row r="9285" hidden="1" s="59"/>
    <row r="9286" hidden="1" s="59"/>
    <row r="9287" hidden="1" s="59"/>
    <row r="9288" hidden="1" s="59"/>
    <row r="9289" hidden="1" s="59"/>
    <row r="9290" hidden="1" s="59"/>
    <row r="9291" hidden="1" s="59"/>
    <row r="9292" hidden="1" s="59"/>
    <row r="9293" hidden="1" s="59"/>
    <row r="9294" hidden="1" s="59"/>
    <row r="9295" hidden="1" s="59"/>
    <row r="9296" hidden="1" s="59"/>
    <row r="9297" hidden="1" s="59"/>
    <row r="9298" hidden="1" s="59"/>
    <row r="9299" hidden="1" s="59"/>
    <row r="9300" hidden="1" s="59"/>
    <row r="9301" hidden="1" s="59"/>
    <row r="9302" hidden="1" s="59"/>
    <row r="9303" hidden="1" s="59"/>
    <row r="9304" hidden="1" s="59"/>
    <row r="9305" hidden="1" s="59"/>
    <row r="9306" hidden="1" s="59"/>
    <row r="9307" hidden="1" s="59"/>
    <row r="9308" hidden="1" s="59"/>
    <row r="9309" hidden="1" s="59"/>
    <row r="9310" hidden="1" s="59"/>
    <row r="9311" hidden="1" s="59"/>
    <row r="9312" hidden="1" s="59"/>
    <row r="9313" hidden="1" s="59"/>
    <row r="9314" hidden="1" s="59"/>
    <row r="9315" hidden="1" s="59"/>
    <row r="9316" hidden="1" s="59"/>
    <row r="9317" hidden="1" s="59"/>
    <row r="9318" hidden="1" s="59"/>
    <row r="9319" hidden="1" s="59"/>
    <row r="9320" hidden="1" s="59"/>
    <row r="9321" hidden="1" s="59"/>
    <row r="9322" hidden="1" s="59"/>
    <row r="9323" hidden="1" s="59"/>
    <row r="9324" hidden="1" s="59"/>
    <row r="9325" hidden="1" s="59"/>
    <row r="9326" hidden="1" s="59"/>
    <row r="9327" hidden="1" s="59"/>
    <row r="9328" hidden="1" s="59"/>
    <row r="9329" hidden="1" s="59"/>
    <row r="9330" hidden="1" s="59"/>
    <row r="9331" hidden="1" s="59"/>
    <row r="9332" hidden="1" s="59"/>
    <row r="9333" hidden="1" s="59"/>
    <row r="9334" hidden="1" s="59"/>
    <row r="9335" hidden="1" s="59"/>
    <row r="9336" hidden="1" s="59"/>
    <row r="9337" hidden="1" s="59"/>
    <row r="9338" hidden="1" s="59"/>
    <row r="9339" hidden="1" s="59"/>
    <row r="9340" hidden="1" s="59"/>
    <row r="9341" hidden="1" s="59"/>
    <row r="9342" hidden="1" s="59"/>
    <row r="9343" hidden="1" s="59"/>
    <row r="9344" hidden="1" s="59"/>
    <row r="9345" hidden="1" s="59"/>
    <row r="9346" hidden="1" s="59"/>
    <row r="9347" hidden="1" s="59"/>
    <row r="9348" hidden="1" s="59"/>
    <row r="9349" hidden="1" s="59"/>
    <row r="9350" hidden="1" s="59"/>
    <row r="9351" hidden="1" s="59"/>
    <row r="9352" hidden="1" s="59"/>
    <row r="9353" hidden="1" s="59"/>
    <row r="9354" hidden="1" s="59"/>
    <row r="9355" hidden="1" s="59"/>
    <row r="9356" hidden="1" s="59"/>
    <row r="9357" hidden="1" s="59"/>
    <row r="9358" hidden="1" s="59"/>
    <row r="9359" hidden="1" s="59"/>
    <row r="9360" hidden="1" s="59"/>
    <row r="9361" hidden="1" s="59"/>
    <row r="9362" hidden="1" s="59"/>
    <row r="9363" hidden="1" s="59"/>
    <row r="9364" hidden="1" s="59"/>
    <row r="9365" hidden="1" s="59"/>
    <row r="9366" hidden="1" s="59"/>
    <row r="9367" hidden="1" s="59"/>
    <row r="9368" hidden="1" s="59"/>
    <row r="9369" hidden="1" s="59"/>
    <row r="9370" hidden="1" s="59"/>
    <row r="9371" hidden="1" s="59"/>
    <row r="9372" hidden="1" s="59"/>
    <row r="9373" hidden="1" s="59"/>
    <row r="9374" hidden="1" s="59"/>
    <row r="9375" hidden="1" s="59"/>
    <row r="9376" hidden="1" s="59"/>
    <row r="9377" hidden="1" s="59"/>
    <row r="9378" hidden="1" s="59"/>
    <row r="9379" hidden="1" s="59"/>
    <row r="9380" hidden="1" s="59"/>
    <row r="9381" hidden="1" s="59"/>
    <row r="9382" hidden="1" s="59"/>
    <row r="9383" hidden="1" s="59"/>
    <row r="9384" hidden="1" s="59"/>
    <row r="9385" hidden="1" s="59"/>
    <row r="9386" hidden="1" s="59"/>
    <row r="9387" hidden="1" s="59"/>
    <row r="9388" hidden="1" s="59"/>
    <row r="9389" hidden="1" s="59"/>
    <row r="9390" hidden="1" s="59"/>
    <row r="9391" hidden="1" s="59"/>
    <row r="9392" hidden="1" s="59"/>
    <row r="9393" hidden="1" s="59"/>
    <row r="9394" hidden="1" s="59"/>
    <row r="9395" hidden="1" s="59"/>
    <row r="9396" hidden="1" s="59"/>
    <row r="9397" hidden="1" s="59"/>
    <row r="9398" hidden="1" s="59"/>
    <row r="9399" hidden="1" s="59"/>
    <row r="9400" hidden="1" s="59"/>
    <row r="9401" hidden="1" s="59"/>
    <row r="9402" hidden="1" s="59"/>
    <row r="9403" hidden="1" s="59"/>
    <row r="9404" hidden="1" s="59"/>
    <row r="9405" hidden="1" s="59"/>
    <row r="9406" hidden="1" s="59"/>
    <row r="9407" hidden="1" s="59"/>
    <row r="9408" hidden="1" s="59"/>
    <row r="9409" hidden="1" s="59"/>
    <row r="9410" hidden="1" s="59"/>
    <row r="9411" hidden="1" s="59"/>
    <row r="9412" hidden="1" s="59"/>
    <row r="9413" hidden="1" s="59"/>
    <row r="9414" hidden="1" s="59"/>
    <row r="9415" hidden="1" s="59"/>
    <row r="9416" hidden="1" s="59"/>
    <row r="9417" hidden="1" s="59"/>
    <row r="9418" hidden="1" s="59"/>
    <row r="9419" hidden="1" s="59"/>
    <row r="9420" hidden="1" s="59"/>
    <row r="9421" hidden="1" s="59"/>
    <row r="9422" hidden="1" s="59"/>
    <row r="9423" hidden="1" s="59"/>
    <row r="9424" hidden="1" s="59"/>
    <row r="9425" hidden="1" s="59"/>
    <row r="9426" hidden="1" s="59"/>
    <row r="9427" hidden="1" s="59"/>
    <row r="9428" hidden="1" s="59"/>
    <row r="9429" hidden="1" s="59"/>
    <row r="9430" hidden="1" s="59"/>
    <row r="9431" hidden="1" s="59"/>
    <row r="9432" hidden="1" s="59"/>
    <row r="9433" hidden="1" s="59"/>
    <row r="9434" hidden="1" s="59"/>
    <row r="9435" hidden="1" s="59"/>
    <row r="9436" hidden="1" s="59"/>
    <row r="9437" hidden="1" s="59"/>
    <row r="9438" hidden="1" s="59"/>
    <row r="9439" hidden="1" s="59"/>
    <row r="9440" hidden="1" s="59"/>
    <row r="9441" hidden="1" s="59"/>
    <row r="9442" hidden="1" s="59"/>
    <row r="9443" hidden="1" s="59"/>
    <row r="9444" hidden="1" s="59"/>
    <row r="9445" hidden="1" s="59"/>
    <row r="9446" hidden="1" s="59"/>
    <row r="9447" hidden="1" s="59"/>
    <row r="9448" hidden="1" s="59"/>
    <row r="9449" hidden="1" s="59"/>
    <row r="9450" hidden="1" s="59"/>
    <row r="9451" hidden="1" s="59"/>
    <row r="9452" hidden="1" s="59"/>
    <row r="9453" hidden="1" s="59"/>
    <row r="9454" hidden="1" s="59"/>
    <row r="9455" hidden="1" s="59"/>
    <row r="9456" hidden="1" s="59"/>
    <row r="9457" hidden="1" s="59"/>
    <row r="9458" hidden="1" s="59"/>
    <row r="9459" hidden="1" s="59"/>
    <row r="9460" hidden="1" s="59"/>
    <row r="9461" hidden="1" s="59"/>
    <row r="9462" hidden="1" s="59"/>
    <row r="9463" hidden="1" s="59"/>
    <row r="9464" hidden="1" s="59"/>
    <row r="9465" hidden="1" s="59"/>
    <row r="9466" hidden="1" s="59"/>
    <row r="9467" hidden="1" s="59"/>
    <row r="9468" hidden="1" s="59"/>
    <row r="9469" hidden="1" s="59"/>
    <row r="9470" hidden="1" s="59"/>
    <row r="9471" hidden="1" s="59"/>
    <row r="9472" hidden="1" s="59"/>
    <row r="9473" hidden="1" s="59"/>
    <row r="9474" hidden="1" s="59"/>
    <row r="9475" hidden="1" s="59"/>
    <row r="9476" hidden="1" s="59"/>
    <row r="9477" hidden="1" s="59"/>
    <row r="9478" hidden="1" s="59"/>
    <row r="9479" hidden="1" s="59"/>
    <row r="9480" hidden="1" s="59"/>
    <row r="9481" hidden="1" s="59"/>
    <row r="9482" hidden="1" s="59"/>
    <row r="9483" hidden="1" s="59"/>
    <row r="9484" hidden="1" s="59"/>
    <row r="9485" hidden="1" s="59"/>
    <row r="9486" hidden="1" s="59"/>
    <row r="9487" hidden="1" s="59"/>
    <row r="9488" hidden="1" s="59"/>
    <row r="9489" hidden="1" s="59"/>
    <row r="9490" hidden="1" s="59"/>
    <row r="9491" hidden="1" s="59"/>
    <row r="9492" hidden="1" s="59"/>
    <row r="9493" hidden="1" s="59"/>
    <row r="9494" hidden="1" s="59"/>
    <row r="9495" hidden="1" s="59"/>
    <row r="9496" hidden="1" s="59"/>
    <row r="9497" hidden="1" s="59"/>
    <row r="9498" hidden="1" s="59"/>
    <row r="9499" hidden="1" s="59"/>
    <row r="9500" hidden="1" s="59"/>
    <row r="9501" hidden="1" s="59"/>
    <row r="9502" hidden="1" s="59"/>
    <row r="9503" hidden="1" s="59"/>
    <row r="9504" hidden="1" s="59"/>
    <row r="9505" hidden="1" s="59"/>
    <row r="9506" hidden="1" s="59"/>
    <row r="9507" hidden="1" s="59"/>
    <row r="9508" hidden="1" s="59"/>
    <row r="9509" hidden="1" s="59"/>
    <row r="9510" hidden="1" s="59"/>
    <row r="9511" hidden="1" s="59"/>
    <row r="9512" hidden="1" s="59"/>
    <row r="9513" hidden="1" s="59"/>
    <row r="9514" hidden="1" s="59"/>
    <row r="9515" hidden="1" s="59"/>
    <row r="9516" hidden="1" s="59"/>
    <row r="9517" hidden="1" s="59"/>
    <row r="9518" hidden="1" s="59"/>
    <row r="9519" hidden="1" s="59"/>
    <row r="9520" hidden="1" s="59"/>
    <row r="9521" hidden="1" s="59"/>
    <row r="9522" hidden="1" s="59"/>
    <row r="9523" hidden="1" s="59"/>
    <row r="9524" hidden="1" s="59"/>
    <row r="9525" hidden="1" s="59"/>
    <row r="9526" hidden="1" s="59"/>
    <row r="9527" hidden="1" s="59"/>
    <row r="9528" hidden="1" s="59"/>
    <row r="9529" hidden="1" s="59"/>
    <row r="9530" hidden="1" s="59"/>
    <row r="9531" hidden="1" s="59"/>
    <row r="9532" hidden="1" s="59"/>
    <row r="9533" hidden="1" s="59"/>
    <row r="9534" hidden="1" s="59"/>
    <row r="9535" hidden="1" s="59"/>
    <row r="9536" hidden="1" s="59"/>
    <row r="9537" hidden="1" s="59"/>
    <row r="9538" hidden="1" s="59"/>
    <row r="9539" hidden="1" s="59"/>
    <row r="9540" hidden="1" s="59"/>
    <row r="9541" hidden="1" s="59"/>
    <row r="9542" hidden="1" s="59"/>
    <row r="9543" hidden="1" s="59"/>
    <row r="9544" hidden="1" s="59"/>
    <row r="9545" hidden="1" s="59"/>
    <row r="9546" hidden="1" s="59"/>
    <row r="9547" hidden="1" s="59"/>
    <row r="9548" hidden="1" s="59"/>
    <row r="9549" hidden="1" s="59"/>
    <row r="9550" hidden="1" s="59"/>
    <row r="9551" hidden="1" s="59"/>
    <row r="9552" hidden="1" s="59"/>
    <row r="9553" hidden="1" s="59"/>
    <row r="9554" hidden="1" s="59"/>
    <row r="9555" hidden="1" s="59"/>
    <row r="9556" hidden="1" s="59"/>
    <row r="9557" hidden="1" s="59"/>
    <row r="9558" hidden="1" s="59"/>
    <row r="9559" hidden="1" s="59"/>
    <row r="9560" hidden="1" s="59"/>
    <row r="9561" hidden="1" s="59"/>
    <row r="9562" hidden="1" s="59"/>
    <row r="9563" hidden="1" s="59"/>
    <row r="9564" hidden="1" s="59"/>
    <row r="9565" hidden="1" s="59"/>
    <row r="9566" hidden="1" s="59"/>
    <row r="9567" hidden="1" s="59"/>
    <row r="9568" hidden="1" s="59"/>
    <row r="9569" hidden="1" s="59"/>
    <row r="9570" hidden="1" s="59"/>
    <row r="9571" hidden="1" s="59"/>
    <row r="9572" hidden="1" s="59"/>
    <row r="9573" hidden="1" s="59"/>
    <row r="9574" hidden="1" s="59"/>
    <row r="9575" hidden="1" s="59"/>
    <row r="9576" hidden="1" s="59"/>
    <row r="9577" hidden="1" s="59"/>
    <row r="9578" hidden="1" s="59"/>
    <row r="9579" hidden="1" s="59"/>
    <row r="9580" hidden="1" s="59"/>
    <row r="9581" hidden="1" s="59"/>
    <row r="9582" hidden="1" s="59"/>
    <row r="9583" hidden="1" s="59"/>
    <row r="9584" hidden="1" s="59"/>
    <row r="9585" hidden="1" s="59"/>
    <row r="9586" hidden="1" s="59"/>
    <row r="9587" hidden="1" s="59"/>
    <row r="9588" hidden="1" s="59"/>
    <row r="9590" hidden="1" s="59"/>
    <row r="9591" hidden="1" s="59"/>
    <row r="9592" hidden="1" s="59"/>
    <row r="9593" hidden="1" s="59"/>
    <row r="9594" hidden="1" s="59"/>
    <row r="9595" hidden="1" s="59"/>
    <row r="9596" hidden="1" s="59"/>
    <row r="9597" hidden="1" s="59"/>
    <row r="9598" hidden="1" s="59"/>
    <row r="9599" hidden="1" s="59"/>
    <row r="9600" hidden="1" s="59"/>
    <row r="9601" hidden="1" s="59"/>
    <row r="9602" hidden="1" s="59"/>
    <row r="9603" hidden="1" s="59"/>
    <row r="9604" hidden="1" s="59"/>
    <row r="9605" hidden="1" s="59"/>
    <row r="9606" hidden="1" s="59"/>
    <row r="9607" hidden="1" s="59"/>
    <row r="9608" hidden="1" s="59"/>
    <row r="9609" hidden="1" s="59"/>
    <row r="9610" hidden="1" s="59"/>
    <row r="9611" hidden="1" s="59"/>
    <row r="9612" hidden="1" s="59"/>
    <row r="9613" hidden="1" s="59"/>
    <row r="9614" hidden="1" s="59"/>
    <row r="9615" hidden="1" s="59"/>
    <row r="9616" hidden="1" s="59"/>
    <row r="9617" hidden="1" s="59"/>
    <row r="9618" hidden="1" s="59"/>
    <row r="9619" hidden="1" s="59"/>
    <row r="9620" hidden="1" s="59"/>
    <row r="9621" hidden="1" s="59"/>
    <row r="9622" hidden="1" s="59"/>
    <row r="9623" hidden="1" s="59"/>
    <row r="9624" hidden="1" s="59"/>
    <row r="9625" hidden="1" s="59"/>
    <row r="9626" hidden="1" s="59"/>
    <row r="9627" hidden="1" s="59"/>
    <row r="9628" hidden="1" s="59"/>
    <row r="9629" hidden="1" s="59"/>
    <row r="9630" hidden="1" s="59"/>
    <row r="9631" hidden="1" s="59"/>
    <row r="9632" hidden="1" s="59"/>
    <row r="9633" hidden="1" s="59"/>
    <row r="9634" hidden="1" s="59"/>
    <row r="9635" hidden="1" s="59"/>
    <row r="9636" hidden="1" s="59"/>
    <row r="9637" hidden="1" s="59"/>
    <row r="9638" hidden="1" s="59"/>
    <row r="9639" hidden="1" s="59"/>
    <row r="9640" hidden="1" s="59"/>
    <row r="9641" hidden="1" s="59"/>
    <row r="9642" hidden="1" s="59"/>
    <row r="9643" hidden="1" s="59"/>
    <row r="9644" hidden="1" s="59"/>
    <row r="9645" hidden="1" s="59"/>
    <row r="9646" hidden="1" s="59"/>
    <row r="9647" hidden="1" s="59"/>
    <row r="9648" hidden="1" s="59"/>
    <row r="9649" hidden="1" s="59"/>
    <row r="9650" hidden="1" s="59"/>
    <row r="9651" hidden="1" s="59"/>
    <row r="9652" hidden="1" s="59"/>
    <row r="9653" hidden="1" s="59"/>
    <row r="9654" hidden="1" s="59"/>
    <row r="9655" hidden="1" s="59"/>
    <row r="9656" hidden="1" s="59"/>
    <row r="9657" hidden="1" s="59"/>
    <row r="9658" hidden="1" s="59"/>
    <row r="9659" hidden="1" s="59"/>
    <row r="9660" hidden="1" s="59"/>
    <row r="9661" hidden="1" s="59"/>
    <row r="9662" hidden="1" s="59"/>
    <row r="9663" hidden="1" s="59"/>
    <row r="9664" hidden="1" s="59"/>
    <row r="9665" hidden="1" s="59"/>
    <row r="9666" hidden="1" s="59"/>
    <row r="9667" hidden="1" s="59"/>
    <row r="9668" hidden="1" s="59"/>
    <row r="9669" hidden="1" s="59"/>
    <row r="9670" hidden="1" s="59"/>
    <row r="9671" hidden="1" s="59"/>
    <row r="9672" hidden="1" s="59"/>
    <row r="9673" hidden="1" s="59"/>
    <row r="9674" hidden="1" s="59"/>
    <row r="9675" hidden="1" s="59"/>
    <row r="9676" hidden="1" s="59"/>
    <row r="9677" hidden="1" s="59"/>
    <row r="9678" hidden="1" s="59"/>
    <row r="9679" hidden="1" s="59"/>
    <row r="9680" hidden="1" s="59"/>
    <row r="9681" hidden="1" s="59"/>
    <row r="9682" hidden="1" s="59"/>
    <row r="9683" hidden="1" s="59"/>
    <row r="9684" hidden="1" s="59"/>
    <row r="9685" hidden="1" s="59"/>
    <row r="9686" hidden="1" s="59"/>
    <row r="9687" hidden="1" s="59"/>
    <row r="9688" hidden="1" s="59"/>
    <row r="9689" hidden="1" s="59"/>
    <row r="9690" hidden="1" s="59"/>
    <row r="9691" hidden="1" s="59"/>
    <row r="9692" hidden="1" s="59"/>
    <row r="9693" hidden="1" s="59"/>
    <row r="9694" hidden="1" s="59"/>
    <row r="9695" hidden="1" s="59"/>
    <row r="9696" hidden="1" s="59"/>
    <row r="9697" hidden="1" s="59"/>
    <row r="9698" hidden="1" s="59"/>
    <row r="9699" hidden="1" s="59"/>
    <row r="9700" hidden="1" s="59"/>
    <row r="9701" hidden="1" s="59"/>
    <row r="9702" hidden="1" s="59"/>
    <row r="9703" hidden="1" s="59"/>
    <row r="9704" hidden="1" s="59"/>
    <row r="9705" hidden="1" s="59"/>
    <row r="9706" hidden="1" s="59"/>
    <row r="9707" hidden="1" s="59"/>
    <row r="9708" hidden="1" s="59"/>
    <row r="9709" hidden="1" s="59"/>
    <row r="9710" hidden="1" s="59"/>
    <row r="9712" hidden="1" s="59"/>
    <row r="9713" hidden="1" s="59"/>
    <row r="9714" hidden="1" s="59"/>
    <row r="9715" hidden="1" s="59"/>
    <row r="9716" hidden="1" s="59"/>
    <row r="9717" hidden="1" s="59"/>
    <row r="9718" hidden="1" s="59"/>
    <row r="9719" hidden="1" s="59"/>
    <row r="9720" hidden="1" s="59"/>
    <row r="9721" hidden="1" s="59"/>
    <row r="9722" hidden="1" s="59"/>
    <row r="9723" hidden="1" s="59"/>
    <row r="9724" hidden="1" s="59"/>
    <row r="9725" hidden="1" s="59"/>
    <row r="9726" hidden="1" s="59"/>
    <row r="9727" hidden="1" s="59"/>
    <row r="9728" hidden="1" s="59"/>
    <row r="9729" hidden="1" s="59"/>
    <row r="9730" hidden="1" s="59"/>
    <row r="9731" hidden="1" s="59"/>
    <row r="9732" hidden="1" s="59"/>
    <row r="9733" hidden="1" s="59"/>
    <row r="9734" hidden="1" s="59"/>
    <row r="9735" hidden="1" s="59"/>
    <row r="9736" hidden="1" s="59"/>
    <row r="9737" hidden="1" s="59"/>
    <row r="9738" hidden="1" s="59"/>
    <row r="9739" hidden="1" s="59"/>
    <row r="9740" hidden="1" s="59"/>
    <row r="9741" hidden="1" s="59"/>
    <row r="9742" hidden="1" s="59"/>
    <row r="9743" hidden="1" s="59"/>
    <row r="9744" hidden="1" s="59"/>
    <row r="9745" hidden="1" s="59"/>
    <row r="9746" hidden="1" s="59"/>
    <row r="9747" hidden="1" s="59"/>
    <row r="9748" hidden="1" s="59"/>
    <row r="9749" hidden="1" s="59"/>
    <row r="9750" hidden="1" s="59"/>
    <row r="9751" hidden="1" s="59"/>
    <row r="9752" hidden="1" s="59"/>
    <row r="9753" hidden="1" s="59"/>
    <row r="9754" hidden="1" s="59"/>
    <row r="9755" hidden="1" s="59"/>
    <row r="9756" hidden="1" s="59"/>
    <row r="9757" hidden="1" s="59"/>
    <row r="9758" hidden="1" s="59"/>
    <row r="9759" hidden="1" s="59"/>
    <row r="9760" hidden="1" s="59"/>
    <row r="9761" hidden="1" s="59"/>
    <row r="9762" hidden="1" s="59"/>
    <row r="9763" hidden="1" s="59"/>
    <row r="9764" hidden="1" s="59"/>
    <row r="9765" hidden="1" s="59"/>
    <row r="9766" hidden="1" s="59"/>
    <row r="9767" hidden="1" s="59"/>
    <row r="9768" hidden="1" s="59"/>
    <row r="9769" hidden="1" s="59"/>
    <row r="9770" hidden="1" s="59"/>
    <row r="9771" hidden="1" s="59"/>
    <row r="9772" hidden="1" s="59"/>
    <row r="9773" hidden="1" s="59"/>
    <row r="9774" hidden="1" s="59"/>
    <row r="9775" hidden="1" s="59"/>
    <row r="9776" hidden="1" s="59"/>
    <row r="9777" hidden="1" s="59"/>
    <row r="9778" hidden="1" s="59"/>
    <row r="9779" hidden="1" s="59"/>
    <row r="9780" hidden="1" s="59"/>
    <row r="9781" hidden="1" s="59"/>
    <row r="9782" hidden="1" s="59"/>
    <row r="9783" hidden="1" s="59"/>
    <row r="9784" hidden="1" s="59"/>
    <row r="9785" hidden="1" s="59"/>
    <row r="9786" hidden="1" s="59"/>
    <row r="9787" hidden="1" s="59"/>
    <row r="9788" hidden="1" s="59"/>
    <row r="9789" hidden="1" s="59"/>
    <row r="9790" hidden="1" s="59"/>
    <row r="9791" hidden="1" s="59"/>
    <row r="9792" hidden="1" s="59"/>
    <row r="9793" hidden="1" s="59"/>
    <row r="9794" hidden="1" s="59"/>
    <row r="9795" hidden="1" s="59"/>
    <row r="9796" hidden="1" s="59"/>
    <row r="9797" hidden="1" s="59"/>
    <row r="9798" hidden="1" s="59"/>
    <row r="9799" hidden="1" s="59"/>
    <row r="9800" hidden="1" s="59"/>
    <row r="9801" hidden="1" s="59"/>
    <row r="9802" hidden="1" s="59"/>
    <row r="9803" hidden="1" s="59"/>
    <row r="9804" hidden="1" s="59"/>
    <row r="9805" hidden="1" s="59"/>
    <row r="9806" hidden="1" s="59"/>
    <row r="9807" hidden="1" s="59"/>
    <row r="9808" hidden="1" s="59"/>
    <row r="9809" hidden="1" s="59"/>
    <row r="9810" hidden="1" s="59"/>
    <row r="9811" hidden="1" s="59"/>
    <row r="9812" hidden="1" s="59"/>
    <row r="9813" hidden="1" s="59"/>
    <row r="9815" hidden="1" s="59"/>
    <row r="9816" hidden="1" s="59"/>
    <row r="9817" hidden="1" s="59"/>
    <row r="9818" hidden="1" s="59"/>
    <row r="9819" hidden="1" s="59"/>
    <row r="9820" hidden="1" s="59"/>
    <row r="9821" hidden="1" s="59"/>
    <row r="9822" hidden="1" s="59"/>
    <row r="9823" hidden="1" s="59"/>
    <row r="9824" hidden="1" s="59"/>
    <row r="9825" hidden="1" s="59"/>
    <row r="9826" hidden="1" s="59"/>
    <row r="9827" hidden="1" s="59"/>
    <row r="9828" hidden="1" s="59"/>
    <row r="9829" hidden="1" s="59"/>
    <row r="9830" hidden="1" s="59"/>
    <row r="9831" hidden="1" s="59"/>
    <row r="9832" hidden="1" s="59"/>
    <row r="9833" hidden="1" s="59"/>
    <row r="9834" hidden="1" s="59"/>
    <row r="9835" hidden="1" s="59"/>
    <row r="9836" hidden="1" s="59"/>
    <row r="9837" hidden="1" s="59"/>
    <row r="9838" hidden="1" s="59"/>
    <row r="9839" hidden="1" s="59"/>
    <row r="9840" hidden="1" s="59"/>
    <row r="9841" hidden="1" s="59"/>
    <row r="9842" hidden="1" s="59"/>
    <row r="9843" hidden="1" s="59"/>
    <row r="9844" hidden="1" s="59"/>
    <row r="9845" hidden="1" s="59"/>
    <row r="9846" hidden="1" s="59"/>
    <row r="9847" hidden="1" s="59"/>
    <row r="9848" hidden="1" s="59"/>
    <row r="9849" hidden="1" s="59"/>
    <row r="9850" hidden="1" s="59"/>
    <row r="9851" hidden="1" s="59"/>
    <row r="9852" hidden="1" s="59"/>
    <row r="9853" hidden="1" s="59"/>
    <row r="9854" hidden="1" s="59"/>
    <row r="9855" hidden="1" s="59"/>
    <row r="9856" hidden="1" s="59"/>
    <row r="9857" hidden="1" s="59"/>
    <row r="9858" hidden="1" s="59"/>
    <row r="9859" hidden="1" s="59"/>
    <row r="9860" hidden="1" s="59"/>
    <row r="9861" hidden="1" s="59"/>
    <row r="9862" hidden="1" s="59"/>
    <row r="9863" hidden="1" s="59"/>
    <row r="9864" hidden="1" s="59"/>
    <row r="9865" hidden="1" s="59"/>
    <row r="9866" hidden="1" s="59"/>
    <row r="9867" hidden="1" s="59"/>
    <row r="9868" hidden="1" s="59"/>
    <row r="9869" hidden="1" s="59"/>
    <row r="9870" hidden="1" s="59"/>
    <row r="9871" hidden="1" s="59"/>
    <row r="9872" hidden="1" s="59"/>
    <row r="9873" hidden="1" s="59"/>
    <row r="9874" hidden="1" s="59"/>
    <row r="9875" hidden="1" s="59"/>
    <row r="9876" hidden="1" s="59"/>
    <row r="9877" hidden="1" s="59"/>
    <row r="9878" hidden="1" s="59"/>
    <row r="9879" hidden="1" s="59"/>
    <row r="9880" hidden="1" s="59"/>
    <row r="9881" hidden="1" s="59"/>
    <row r="9882" hidden="1" s="59"/>
    <row r="9883" hidden="1" s="59"/>
    <row r="9884" hidden="1" s="59"/>
    <row r="9885" hidden="1" s="59"/>
    <row r="9886" hidden="1" s="59"/>
    <row r="9887" hidden="1" s="59"/>
    <row r="9888" hidden="1" s="59"/>
    <row r="9889" hidden="1" s="59"/>
    <row r="9890" hidden="1" s="59"/>
    <row r="9891" hidden="1" s="59"/>
    <row r="9892" hidden="1" s="59"/>
    <row r="9893" hidden="1" s="59"/>
    <row r="9894" hidden="1" s="59"/>
    <row r="9895" hidden="1" s="59"/>
    <row r="9896" hidden="1" s="59"/>
    <row r="9897" hidden="1" s="59"/>
    <row r="9898" hidden="1" s="59"/>
    <row r="9899" hidden="1" s="59"/>
    <row r="9900" hidden="1" s="59"/>
    <row r="9901" hidden="1" s="59"/>
    <row r="9902" hidden="1" s="59"/>
    <row r="9903" hidden="1" s="59"/>
    <row r="9906" hidden="1" s="59"/>
    <row r="9907" hidden="1" s="59"/>
    <row r="9908" hidden="1" s="59"/>
    <row r="9909" hidden="1" s="59"/>
    <row r="9910" hidden="1" s="59"/>
    <row r="9911" hidden="1" s="59"/>
    <row r="9912" hidden="1" s="59"/>
    <row r="9913" hidden="1" s="59"/>
    <row r="9914" hidden="1" s="59"/>
    <row r="9915" hidden="1" s="59"/>
    <row r="9916" hidden="1" s="59"/>
    <row r="9917" hidden="1" s="59"/>
    <row r="9918" hidden="1" s="59"/>
    <row r="9919" hidden="1" s="59"/>
    <row r="9920" hidden="1" s="59"/>
    <row r="9921" hidden="1" s="59"/>
    <row r="9922" hidden="1" s="59"/>
    <row r="9923" hidden="1" s="59"/>
    <row r="9924" hidden="1" s="59"/>
    <row r="9925" hidden="1" s="59"/>
    <row r="9926" hidden="1" s="59"/>
    <row r="9927" hidden="1" s="59"/>
    <row r="9928" hidden="1" s="59"/>
    <row r="9929" hidden="1" s="59"/>
    <row r="9930" hidden="1" s="59"/>
    <row r="9931" hidden="1" s="59"/>
    <row r="9932" hidden="1" s="59"/>
    <row r="9933" hidden="1" s="59"/>
    <row r="9934" hidden="1" s="59"/>
    <row r="9935" hidden="1" s="59"/>
    <row r="9936" hidden="1" s="59"/>
    <row r="9937" hidden="1" s="59"/>
    <row r="9938" hidden="1" s="59"/>
    <row r="9939" hidden="1" s="59"/>
    <row r="9940" hidden="1" s="59"/>
    <row r="9941" hidden="1" s="59"/>
    <row r="9942" hidden="1" s="59"/>
    <row r="9943" hidden="1" s="59"/>
    <row r="9944" hidden="1" s="59"/>
    <row r="9945" hidden="1" s="59"/>
    <row r="9946" hidden="1" s="59"/>
    <row r="9947" hidden="1" s="59"/>
    <row r="9948" hidden="1" s="59"/>
    <row r="9949" hidden="1" s="59"/>
    <row r="9950" hidden="1" s="59"/>
    <row r="9951" hidden="1" s="59"/>
    <row r="9952" hidden="1" s="59"/>
    <row r="9953" hidden="1" s="59"/>
    <row r="9954" hidden="1" s="59"/>
    <row r="9955" hidden="1" s="59"/>
    <row r="9956" hidden="1" s="59"/>
    <row r="9957" hidden="1" s="59"/>
    <row r="9958" hidden="1" s="59"/>
    <row r="9959" hidden="1" s="59"/>
    <row r="9960" hidden="1" s="59"/>
    <row r="9961" hidden="1" s="59"/>
    <row r="9962" hidden="1" s="59"/>
    <row r="9963" hidden="1" s="59"/>
    <row r="9964" hidden="1" s="59"/>
    <row r="9965" hidden="1" s="59"/>
    <row r="9966" hidden="1" s="59"/>
    <row r="9967" hidden="1" s="59"/>
    <row r="9968" hidden="1" s="59"/>
    <row r="9969" hidden="1" s="59"/>
    <row r="9970" hidden="1" s="59"/>
    <row r="9971" hidden="1" s="59"/>
    <row r="9972" hidden="1" s="59"/>
    <row r="9973" hidden="1" s="59"/>
    <row r="9974" hidden="1" s="59"/>
    <row r="9975" hidden="1" s="59"/>
    <row r="9976" hidden="1" s="59"/>
    <row r="9977" hidden="1" s="59"/>
    <row r="9978" hidden="1" s="59"/>
    <row r="9979" hidden="1" s="59"/>
    <row r="9980" hidden="1" s="59"/>
    <row r="9981" hidden="1" s="59"/>
    <row r="9982" hidden="1" s="59"/>
    <row r="9983" hidden="1" s="59"/>
    <row r="9984" hidden="1" s="59"/>
    <row r="9985" hidden="1" s="59"/>
    <row r="9986" hidden="1" s="59"/>
    <row r="9987" hidden="1" s="59"/>
    <row r="9988" hidden="1" s="59"/>
    <row r="9989" hidden="1" s="59"/>
    <row r="9990" hidden="1" s="59"/>
    <row r="9991" hidden="1" s="59"/>
    <row r="9992" hidden="1" s="59"/>
    <row r="9993" hidden="1" s="59"/>
    <row r="9994" hidden="1" s="59"/>
    <row r="9995" hidden="1" s="59"/>
    <row r="9996" hidden="1" s="59"/>
    <row r="9997" hidden="1" s="59"/>
    <row r="9998" hidden="1" s="59"/>
    <row r="9999" hidden="1" s="59"/>
    <row r="10000" hidden="1" s="59"/>
    <row r="10001" hidden="1" s="59"/>
    <row r="10002" hidden="1" s="59"/>
    <row r="10003" hidden="1" s="59"/>
    <row r="10004" hidden="1" s="59"/>
    <row r="10005" hidden="1" s="59"/>
    <row r="10006" hidden="1" s="59"/>
    <row r="10007" hidden="1" s="59"/>
    <row r="10008" hidden="1" s="59"/>
    <row r="10009" hidden="1" s="59"/>
    <row r="10010" hidden="1" s="59"/>
    <row r="10011" hidden="1" s="59"/>
    <row r="10012" hidden="1" s="59"/>
    <row r="10013" hidden="1" s="59"/>
    <row r="10014" hidden="1" s="59"/>
    <row r="10015" hidden="1" s="59"/>
    <row r="10016" hidden="1" s="59"/>
    <row r="10017" hidden="1" s="59"/>
    <row r="10018" hidden="1" s="59"/>
    <row r="10019" hidden="1" s="59"/>
    <row r="10020" hidden="1" s="59"/>
    <row r="10021" hidden="1" s="59"/>
    <row r="10022" hidden="1" s="59"/>
    <row r="10023" hidden="1" s="59"/>
    <row r="10024" hidden="1" s="59"/>
    <row r="10025" hidden="1" s="59"/>
    <row r="10026" hidden="1" s="59"/>
    <row r="10027" hidden="1" s="59"/>
    <row r="10028" hidden="1" s="59"/>
    <row r="10029" hidden="1" s="59"/>
    <row r="10030" hidden="1" s="59"/>
    <row r="10031" hidden="1" s="59"/>
    <row r="10032" hidden="1" s="59"/>
    <row r="10033" hidden="1" s="59"/>
    <row r="10034" hidden="1" s="59"/>
    <row r="10035" hidden="1" s="59"/>
    <row r="10036" hidden="1" s="59"/>
    <row r="10037" hidden="1" s="59"/>
    <row r="10038" hidden="1" s="59"/>
    <row r="10039" hidden="1" s="59"/>
    <row r="10040" hidden="1" s="59"/>
    <row r="10041" hidden="1" s="59"/>
    <row r="10042" hidden="1" s="59"/>
    <row r="10043" hidden="1" s="59"/>
    <row r="10044" hidden="1" s="59"/>
    <row r="10045" hidden="1" s="59"/>
    <row r="10046" hidden="1" s="59"/>
    <row r="10047" hidden="1" s="59"/>
    <row r="10048" hidden="1" s="59"/>
    <row r="10049" hidden="1" s="59"/>
    <row r="10050" hidden="1" s="59"/>
    <row r="10051" hidden="1" s="59"/>
    <row r="10052" hidden="1" s="59"/>
    <row r="10053" hidden="1" s="59"/>
    <row r="10054" hidden="1" s="59"/>
    <row r="10055" hidden="1" s="59"/>
    <row r="10056" hidden="1" s="59"/>
    <row r="10057" hidden="1" s="59"/>
    <row r="10058" hidden="1" s="59"/>
    <row r="10059" hidden="1" s="59"/>
    <row r="10060" hidden="1" s="59"/>
    <row r="10061" hidden="1" s="59"/>
    <row r="10062" hidden="1" s="59"/>
    <row r="10063" hidden="1" s="59"/>
    <row r="10064" hidden="1" s="59"/>
    <row r="10065" hidden="1" s="59"/>
    <row r="10066" hidden="1" s="59"/>
    <row r="10067" hidden="1" s="59"/>
    <row r="10068" hidden="1" s="59"/>
    <row r="10069" hidden="1" s="59"/>
    <row r="10070" hidden="1" s="59"/>
    <row r="10071" hidden="1" s="59"/>
    <row r="10072" hidden="1" s="59"/>
    <row r="10073" hidden="1" s="59"/>
    <row r="10074" hidden="1" s="59"/>
    <row r="10075" hidden="1" s="59"/>
    <row r="10076" hidden="1" s="59"/>
    <row r="10077" hidden="1" s="59"/>
    <row r="10078" hidden="1" s="59"/>
    <row r="10079" hidden="1" s="59"/>
    <row r="10080" hidden="1" s="59"/>
    <row r="10081" hidden="1" s="59"/>
    <row r="10082" hidden="1" s="59"/>
    <row r="10083" hidden="1" s="59"/>
    <row r="10084" hidden="1" s="59"/>
    <row r="10085" hidden="1" s="59"/>
    <row r="10086" hidden="1" s="59"/>
    <row r="10087" hidden="1" s="59"/>
    <row r="10088" hidden="1" s="59"/>
    <row r="10089" hidden="1" s="59"/>
    <row r="10090" hidden="1" s="59"/>
    <row r="10091" hidden="1" s="59"/>
    <row r="10092" hidden="1" s="59"/>
    <row r="10093" hidden="1" s="59"/>
    <row r="10094" hidden="1" s="59"/>
    <row r="10096" hidden="1" s="59"/>
    <row r="10097" hidden="1" s="59"/>
    <row r="10098" hidden="1" s="59"/>
    <row r="10099" hidden="1" s="59"/>
    <row r="10100" hidden="1" s="59"/>
    <row r="10101" hidden="1" s="59"/>
    <row r="10102" hidden="1" s="59"/>
    <row r="10103" hidden="1" s="59"/>
    <row r="10104" hidden="1" s="59"/>
    <row r="10105" hidden="1" s="59"/>
    <row r="10106" hidden="1" s="59"/>
    <row r="10107" hidden="1" s="59"/>
    <row r="10108" hidden="1" s="59"/>
    <row r="10109" hidden="1" s="59"/>
    <row r="10110" hidden="1" s="59"/>
    <row r="10111" hidden="1" s="59"/>
    <row r="10112" hidden="1" s="59"/>
    <row r="10113" hidden="1" s="59"/>
    <row r="10114" hidden="1" s="59"/>
    <row r="10115" hidden="1" s="59"/>
    <row r="10116" hidden="1" s="59"/>
    <row r="10117" hidden="1" s="59"/>
    <row r="10118" hidden="1" s="59"/>
    <row r="10119" hidden="1" s="59"/>
    <row r="10120" hidden="1" s="59"/>
    <row r="10121" hidden="1" s="59"/>
    <row r="10122" hidden="1" s="59"/>
    <row r="10123" hidden="1" s="59"/>
    <row r="10124" hidden="1" s="59"/>
    <row r="10125" hidden="1" s="59"/>
    <row r="10126" hidden="1" s="59"/>
    <row r="10127" hidden="1" s="59"/>
    <row r="10128" hidden="1" s="59"/>
    <row r="10129" hidden="1" s="59"/>
    <row r="10130" hidden="1" s="59"/>
    <row r="10131" hidden="1" s="59"/>
    <row r="10132" hidden="1" s="59"/>
    <row r="10133" hidden="1" s="59"/>
    <row r="10134" hidden="1" s="59"/>
    <row r="10135" hidden="1" s="59"/>
    <row r="10136" hidden="1" s="59"/>
    <row r="10137" hidden="1" s="59"/>
    <row r="10138" hidden="1" s="59"/>
    <row r="10139" hidden="1" s="59"/>
    <row r="10140" hidden="1" s="59"/>
    <row r="10141" hidden="1" s="59"/>
    <row r="10142" hidden="1" s="59"/>
    <row r="10143" hidden="1" s="59"/>
    <row r="10144" hidden="1" s="59"/>
    <row r="10145" hidden="1" s="59"/>
    <row r="10146" hidden="1" s="59"/>
    <row r="10147" hidden="1" s="59"/>
    <row r="10148" hidden="1" s="59"/>
    <row r="10149" hidden="1" s="59"/>
    <row r="10150" hidden="1" s="59"/>
    <row r="10151" hidden="1" s="59"/>
    <row r="10152" hidden="1" s="59"/>
    <row r="10153" hidden="1" s="59"/>
    <row r="10154" hidden="1" s="59"/>
    <row r="10155" hidden="1" s="59"/>
    <row r="10156" hidden="1" s="59"/>
    <row r="10157" hidden="1" s="59"/>
    <row r="10158" hidden="1" s="59"/>
    <row r="10159" hidden="1" s="59"/>
    <row r="10160" hidden="1" s="59"/>
    <row r="10161" hidden="1" s="59"/>
    <row r="10162" hidden="1" s="59"/>
    <row r="10163" hidden="1" s="59"/>
    <row r="10164" hidden="1" s="59"/>
    <row r="10165" hidden="1" s="59"/>
    <row r="10166" hidden="1" s="59"/>
    <row r="10167" hidden="1" s="59"/>
    <row r="10168" hidden="1" s="59"/>
    <row r="10169" hidden="1" s="59"/>
    <row r="10170" hidden="1" s="59"/>
    <row r="10171" hidden="1" s="59"/>
    <row r="10172" hidden="1" s="59"/>
    <row r="10173" hidden="1" s="59"/>
    <row r="10174" hidden="1" s="59"/>
    <row r="10175" hidden="1" s="59"/>
    <row r="10176" hidden="1" s="59"/>
    <row r="10177" hidden="1" s="59"/>
    <row r="10178" hidden="1" s="59"/>
    <row r="10179" hidden="1" s="59"/>
    <row r="10180" hidden="1" s="59"/>
    <row r="10181" hidden="1" s="59"/>
    <row r="10182" hidden="1" s="59"/>
    <row r="10183" hidden="1" s="59"/>
    <row r="10184" hidden="1" s="59"/>
    <row r="10185" hidden="1" s="59"/>
    <row r="10186" hidden="1" s="59"/>
    <row r="10187" hidden="1" s="59"/>
    <row r="10188" hidden="1" s="59"/>
    <row r="10189" hidden="1" s="59"/>
    <row r="10190" hidden="1" s="59"/>
    <row r="10191" hidden="1" s="59"/>
    <row r="10192" hidden="1" s="59"/>
    <row r="10193" hidden="1" s="59"/>
    <row r="10194" hidden="1" s="59"/>
    <row r="10195" hidden="1" s="59"/>
    <row r="10196" hidden="1" s="59"/>
    <row r="10197" hidden="1" s="59"/>
    <row r="10198" hidden="1" s="59"/>
    <row r="10199" hidden="1" s="59"/>
    <row r="10200" hidden="1" s="59"/>
    <row r="10201" hidden="1" s="59"/>
    <row r="10202" hidden="1" s="59"/>
    <row r="10203" hidden="1" s="59"/>
    <row r="10204" hidden="1" s="59"/>
    <row r="10205" hidden="1" s="59"/>
    <row r="10206" hidden="1" s="59"/>
    <row r="10207" hidden="1" s="59"/>
    <row r="10208" hidden="1" s="59"/>
    <row r="10209" hidden="1" s="59"/>
    <row r="10210" hidden="1" s="59"/>
    <row r="10211" hidden="1" s="59"/>
    <row r="10212" hidden="1" s="59"/>
    <row r="10213" hidden="1" s="59"/>
    <row r="10214" hidden="1" s="59"/>
    <row r="10215" hidden="1" s="59"/>
    <row r="10216" hidden="1" s="59"/>
    <row r="10217" hidden="1" s="59"/>
    <row r="10218" hidden="1" s="59"/>
    <row r="10219" hidden="1" s="59"/>
    <row r="10220" hidden="1" s="59"/>
    <row r="10221" hidden="1" s="59"/>
    <row r="10222" hidden="1" s="59"/>
    <row r="10223" hidden="1" s="59"/>
    <row r="10224" hidden="1" s="59"/>
    <row r="10225" hidden="1" s="59"/>
    <row r="10226" hidden="1" s="59"/>
    <row r="10227" hidden="1" s="59"/>
    <row r="10228" hidden="1" s="59"/>
    <row r="10229" hidden="1" s="59"/>
    <row r="10230" hidden="1" s="59"/>
    <row r="10231" hidden="1" s="59"/>
    <row r="10232" hidden="1" s="59"/>
    <row r="10233" hidden="1" s="59"/>
    <row r="10234" hidden="1" s="59"/>
    <row r="10235" hidden="1" s="59"/>
    <row r="10236" hidden="1" s="59"/>
    <row r="10237" hidden="1" s="59"/>
    <row r="10238" hidden="1" s="59"/>
    <row r="10239" hidden="1" s="59"/>
    <row r="10240" hidden="1" s="59"/>
    <row r="10241" hidden="1" s="59"/>
    <row r="10242" hidden="1" s="59"/>
    <row r="10243" hidden="1" s="59"/>
    <row r="10244" hidden="1" s="59"/>
    <row r="10245" hidden="1" s="59"/>
    <row r="10246" hidden="1" s="59"/>
    <row r="10247" hidden="1" s="59"/>
    <row r="10248" hidden="1" s="59"/>
    <row r="10249" hidden="1" s="59"/>
    <row r="10250" hidden="1" s="59"/>
    <row r="10251" hidden="1" s="59"/>
    <row r="10252" hidden="1" s="59"/>
    <row r="10253" hidden="1" s="59"/>
    <row r="10254" hidden="1" s="59"/>
    <row r="10255" hidden="1" s="59"/>
    <row r="10256" hidden="1" s="59"/>
    <row r="10257" hidden="1" s="59"/>
    <row r="10258" hidden="1" s="59"/>
    <row r="10259" hidden="1" s="59"/>
    <row r="10260" hidden="1" s="59"/>
    <row r="10261" hidden="1" s="59"/>
    <row r="10262" hidden="1" s="59"/>
    <row r="10263" hidden="1" s="59"/>
    <row r="10264" hidden="1" s="59"/>
    <row r="10265" hidden="1" s="59"/>
    <row r="10266" hidden="1" s="59"/>
    <row r="10267" hidden="1" s="59"/>
    <row r="10268" hidden="1" s="59"/>
    <row r="10269" hidden="1" s="59"/>
    <row r="10270" hidden="1" s="59"/>
    <row r="10271" hidden="1" s="59"/>
    <row r="10272" hidden="1" s="59"/>
    <row r="10273" hidden="1" s="59"/>
    <row r="10274" hidden="1" s="59"/>
    <row r="10275" hidden="1" s="59"/>
    <row r="10277" hidden="1" s="59"/>
    <row r="10278" hidden="1" s="59"/>
    <row r="10279" hidden="1" s="59"/>
    <row r="10280" hidden="1" s="59"/>
    <row r="10281" hidden="1" s="59"/>
    <row r="10282" hidden="1" s="59"/>
    <row r="10283" hidden="1" s="59"/>
    <row r="10284" hidden="1" s="59"/>
    <row r="10285" hidden="1" s="59"/>
    <row r="10286" hidden="1" s="59"/>
    <row r="10287" hidden="1" s="59"/>
    <row r="10288" hidden="1" s="59"/>
    <row r="10289" hidden="1" s="59"/>
    <row r="10290" hidden="1" s="59"/>
    <row r="10291" hidden="1" s="59"/>
    <row r="10292" hidden="1" s="59"/>
    <row r="10293" hidden="1" s="59"/>
    <row r="10294" hidden="1" s="59"/>
    <row r="10295" hidden="1" s="59"/>
    <row r="10296" hidden="1" s="59"/>
    <row r="10297" hidden="1" s="59"/>
    <row r="10298" hidden="1" s="59"/>
    <row r="10299" hidden="1" s="59"/>
    <row r="10300" hidden="1" s="59"/>
    <row r="10301" hidden="1" s="59"/>
    <row r="10302" hidden="1" s="59"/>
    <row r="10303" hidden="1" s="59"/>
    <row r="10304" hidden="1" s="59"/>
    <row r="10305" hidden="1" s="59"/>
    <row r="10306" hidden="1" s="59"/>
    <row r="10307" hidden="1" s="59"/>
    <row r="10308" hidden="1" s="59"/>
    <row r="10309" hidden="1" s="59"/>
    <row r="10310" hidden="1" s="59"/>
    <row r="10311" hidden="1" s="59"/>
    <row r="10312" hidden="1" s="59"/>
    <row r="10313" hidden="1" s="59"/>
    <row r="10314" hidden="1" s="59"/>
    <row r="10315" hidden="1" s="59"/>
    <row r="10316" hidden="1" s="59"/>
    <row r="10317" hidden="1" s="59"/>
    <row r="10318" hidden="1" s="59"/>
    <row r="10319" hidden="1" s="59"/>
    <row r="10320" hidden="1" s="59"/>
    <row r="10321" hidden="1" s="59"/>
    <row r="10322" hidden="1" s="59"/>
    <row r="10323" hidden="1" s="59"/>
    <row r="10324" hidden="1" s="59"/>
    <row r="10325" hidden="1" s="59"/>
    <row r="10326" hidden="1" s="59"/>
    <row r="10327" hidden="1" s="59"/>
    <row r="10328" hidden="1" s="59"/>
    <row r="10329" hidden="1" s="59"/>
    <row r="10330" hidden="1" s="59"/>
    <row r="10331" hidden="1" s="59"/>
    <row r="10332" hidden="1" s="59"/>
    <row r="10333" hidden="1" s="59"/>
    <row r="10334" hidden="1" s="59"/>
    <row r="10335" hidden="1" s="59"/>
    <row r="10336" hidden="1" s="59"/>
    <row r="10337" hidden="1" s="59"/>
    <row r="10338" hidden="1" s="59"/>
    <row r="10339" hidden="1" s="59"/>
    <row r="10340" hidden="1" s="59"/>
    <row r="10341" hidden="1" s="59"/>
    <row r="10342" hidden="1" s="59"/>
    <row r="10344" hidden="1" s="59"/>
    <row r="10345" hidden="1" s="59"/>
    <row r="10346" hidden="1" s="59"/>
    <row r="10348" hidden="1" s="59"/>
    <row r="10349" hidden="1" s="59"/>
    <row r="10350" hidden="1" s="59"/>
    <row r="10351" hidden="1" s="59"/>
    <row r="10352" hidden="1" s="59"/>
    <row r="10353" hidden="1" s="59"/>
    <row r="10354" hidden="1" s="59"/>
    <row r="10355" hidden="1" s="59"/>
    <row r="10356" hidden="1" s="59"/>
    <row r="10357" hidden="1" s="59"/>
    <row r="10358" hidden="1" s="59"/>
    <row r="10359" hidden="1" s="59"/>
    <row r="10360" hidden="1" s="59"/>
    <row r="10361" hidden="1" s="59"/>
    <row r="10362" hidden="1" s="59"/>
    <row r="10363" hidden="1" s="59"/>
    <row r="10364" hidden="1" s="59"/>
    <row r="10365" hidden="1" s="59"/>
    <row r="10366" hidden="1" s="59"/>
    <row r="10367" hidden="1" s="59"/>
    <row r="10368" hidden="1" s="59"/>
    <row r="10369" hidden="1" s="59"/>
    <row r="10370" hidden="1" s="59"/>
    <row r="10371" hidden="1" s="59"/>
    <row r="10372" hidden="1" s="59"/>
    <row r="10373" hidden="1" s="59"/>
    <row r="10374" hidden="1" s="59"/>
    <row r="10375" hidden="1" s="59"/>
    <row r="10376" hidden="1" s="59"/>
    <row r="10377" hidden="1" s="59"/>
    <row r="10378" hidden="1" s="59"/>
    <row r="10379" hidden="1" s="59"/>
    <row r="10380" hidden="1" s="59"/>
    <row r="10381" hidden="1" s="59"/>
    <row r="10382" hidden="1" s="59"/>
    <row r="10383" hidden="1" s="59"/>
    <row r="10384" hidden="1" s="59"/>
    <row r="10385" hidden="1" s="59"/>
    <row r="10386" hidden="1" s="59"/>
    <row r="10387" hidden="1" s="59"/>
    <row r="10388" hidden="1" s="59"/>
    <row r="10389" hidden="1" s="59"/>
    <row r="10390" hidden="1" s="59"/>
    <row r="10391" hidden="1" s="59"/>
    <row r="10392" hidden="1" s="59"/>
    <row r="10393" hidden="1" s="59"/>
    <row r="10394" hidden="1" s="59"/>
    <row r="10395" hidden="1" s="59"/>
    <row r="10396" hidden="1" s="59"/>
    <row r="10397" hidden="1" s="59"/>
    <row r="10398" hidden="1" s="59"/>
    <row r="10399" hidden="1" s="59"/>
    <row r="10400" hidden="1" s="59"/>
    <row r="10401" hidden="1" s="59"/>
    <row r="10402" hidden="1" s="59"/>
    <row r="10403" hidden="1" s="59"/>
    <row r="10404" hidden="1" s="59"/>
    <row r="10405" hidden="1" s="59"/>
    <row r="10406" hidden="1" s="59"/>
    <row r="10407" hidden="1" s="59"/>
    <row r="10408" hidden="1" s="59"/>
    <row r="10409" hidden="1" s="59"/>
    <row r="10410" hidden="1" s="59"/>
    <row r="10411" hidden="1" s="59"/>
    <row r="10412" hidden="1" s="59"/>
    <row r="10413" hidden="1" s="59"/>
    <row r="10414" hidden="1" s="59"/>
    <row r="10415" hidden="1" s="59"/>
    <row r="10416" hidden="1" s="59"/>
    <row r="10417" hidden="1" s="59"/>
    <row r="10418" hidden="1" s="59"/>
    <row r="10419" hidden="1" s="59"/>
    <row r="10420" hidden="1" s="59"/>
    <row r="10421" hidden="1" s="59"/>
    <row r="10422" hidden="1" s="59"/>
    <row r="10423" hidden="1" s="59"/>
    <row r="10424" hidden="1" s="59"/>
    <row r="10425" hidden="1" s="59"/>
    <row r="10426" hidden="1" s="59"/>
    <row r="10427" hidden="1" s="59"/>
    <row r="10428" hidden="1" s="59"/>
    <row r="10429" hidden="1" s="59"/>
    <row r="10430" hidden="1" s="59"/>
    <row r="10431" hidden="1" s="59"/>
    <row r="10432" hidden="1" s="59"/>
    <row r="10433" hidden="1" s="59"/>
    <row r="10434" hidden="1" s="59"/>
    <row r="10435" hidden="1" s="59"/>
    <row r="10436" hidden="1" s="59"/>
    <row r="10437" hidden="1" s="59"/>
    <row r="10438" hidden="1" s="59"/>
    <row r="10439" hidden="1" s="59"/>
    <row r="10440" hidden="1" s="59"/>
    <row r="10441" hidden="1" s="59"/>
    <row r="10442" hidden="1" s="59"/>
    <row r="10443" hidden="1" s="59"/>
    <row r="10444" hidden="1" s="59"/>
    <row r="10445" hidden="1" s="59"/>
    <row r="10446" hidden="1" s="59"/>
    <row r="10447" hidden="1" s="59"/>
    <row r="10448" hidden="1" s="59"/>
    <row r="10450" hidden="1" s="59"/>
    <row r="10451" hidden="1" s="59"/>
    <row r="10452" hidden="1" s="59"/>
    <row r="10453" hidden="1" s="59"/>
    <row r="10454" hidden="1" s="59"/>
    <row r="10455" hidden="1" s="59"/>
    <row r="10456" hidden="1" s="59"/>
    <row r="10457" hidden="1" s="59"/>
    <row r="10458" hidden="1" s="59"/>
    <row r="10459" hidden="1" s="59"/>
    <row r="10460" hidden="1" s="59"/>
    <row r="10461" hidden="1" s="59"/>
    <row r="10462" hidden="1" s="59"/>
    <row r="10463" hidden="1" s="59"/>
    <row r="10464" hidden="1" s="59"/>
    <row r="10465" hidden="1" s="59"/>
    <row r="10466" hidden="1" s="59"/>
    <row r="10467" hidden="1" s="59"/>
    <row r="10468" hidden="1" s="59"/>
    <row r="10469" hidden="1" s="59"/>
    <row r="10470" hidden="1" s="59"/>
    <row r="10471" hidden="1" s="59"/>
    <row r="10472" hidden="1" s="59"/>
    <row r="10473" hidden="1" s="59"/>
    <row r="10474" hidden="1" s="59"/>
    <row r="10475" hidden="1" s="59"/>
    <row r="10476" hidden="1" s="59"/>
    <row r="10477" hidden="1" s="59"/>
    <row r="10478" hidden="1" s="59"/>
    <row r="10479" hidden="1" s="59"/>
    <row r="10480" hidden="1" s="59"/>
    <row r="10481" hidden="1" s="59"/>
    <row r="10482" hidden="1" s="59"/>
    <row r="10483" hidden="1" s="59"/>
    <row r="10484" hidden="1" s="59"/>
    <row r="10485" hidden="1" s="59"/>
    <row r="10486" hidden="1" s="59"/>
    <row r="10487" hidden="1" s="59"/>
    <row r="10488" hidden="1" s="59"/>
    <row r="10489" hidden="1" s="59"/>
    <row r="10490" hidden="1" s="59"/>
    <row r="10491" hidden="1" s="59"/>
    <row r="10492" hidden="1" s="59"/>
    <row r="10493" hidden="1" s="59"/>
    <row r="10494" hidden="1" s="59"/>
    <row r="10495" hidden="1" s="59"/>
    <row r="10496" hidden="1" s="59"/>
    <row r="10497" hidden="1" s="59"/>
    <row r="10498" hidden="1" s="59"/>
    <row r="10499" hidden="1" s="59"/>
    <row r="10500" hidden="1" s="59"/>
    <row r="10501" hidden="1" s="59"/>
    <row r="10502" hidden="1" s="59"/>
    <row r="10503" hidden="1" s="59"/>
    <row r="10504" hidden="1" s="59"/>
    <row r="10505" hidden="1" s="59"/>
    <row r="10506" hidden="1" s="59"/>
    <row r="10507" hidden="1" s="59"/>
    <row r="10508" hidden="1" s="59"/>
    <row r="10509" hidden="1" s="59"/>
    <row r="10510" hidden="1" s="59"/>
    <row r="10511" hidden="1" s="59"/>
    <row r="10512" hidden="1" s="59"/>
    <row r="10513" hidden="1" s="59"/>
    <row r="10514" hidden="1" s="59"/>
    <row r="10515" hidden="1" s="59"/>
    <row r="10516" hidden="1" s="59"/>
    <row r="10517" hidden="1" s="59"/>
    <row r="10518" hidden="1" s="59"/>
    <row r="10519" hidden="1" s="59"/>
    <row r="10520" hidden="1" s="59"/>
    <row r="10521" hidden="1" s="59"/>
    <row r="10522" hidden="1" s="59"/>
    <row r="10523" hidden="1" s="59"/>
    <row r="10524" hidden="1" s="59"/>
    <row r="10525" hidden="1" s="59"/>
    <row r="10526" hidden="1" s="59"/>
    <row r="10527" hidden="1" s="59"/>
    <row r="10528" hidden="1" s="59"/>
    <row r="10529" hidden="1" s="59"/>
    <row r="10530" hidden="1" s="59"/>
    <row r="10531" hidden="1" s="59"/>
    <row r="10532" hidden="1" s="59"/>
    <row r="10533" hidden="1" s="59"/>
    <row r="10534" hidden="1" s="59"/>
    <row r="10535" hidden="1" s="59"/>
    <row r="10536" hidden="1" s="59"/>
    <row r="10537" hidden="1" s="59"/>
    <row r="10538" hidden="1" s="59"/>
    <row r="10539" hidden="1" s="59"/>
    <row r="10540" hidden="1" s="59"/>
    <row r="10541" hidden="1" s="59"/>
    <row r="10542" hidden="1" s="59"/>
    <row r="10543" hidden="1" s="59"/>
    <row r="10544" hidden="1" s="59"/>
    <row r="10545" hidden="1" s="59"/>
    <row r="10546" hidden="1" s="59"/>
    <row r="10547" hidden="1" s="59"/>
    <row r="10548" hidden="1" s="59"/>
    <row r="10549" hidden="1" s="59"/>
    <row r="10550" hidden="1" s="59"/>
    <row r="10551" hidden="1" s="59"/>
    <row r="10552" hidden="1" s="59"/>
    <row r="10553" hidden="1" s="59"/>
    <row r="10554" hidden="1" s="59"/>
    <row r="10555" hidden="1" s="59"/>
    <row r="10556" hidden="1" s="59"/>
    <row r="10557" hidden="1" s="59"/>
    <row r="10558" hidden="1" s="59"/>
    <row r="10559" hidden="1" s="59"/>
    <row r="10560" hidden="1" s="59"/>
    <row r="10561" hidden="1" s="59"/>
    <row r="10562" hidden="1" s="59"/>
    <row r="10563" hidden="1" s="59"/>
    <row r="10564" hidden="1" s="59"/>
    <row r="10565" hidden="1" s="59"/>
    <row r="10566" hidden="1" s="59"/>
    <row r="10567" hidden="1" s="59"/>
    <row r="10568" hidden="1" s="59"/>
    <row r="10569" hidden="1" s="59"/>
    <row r="10570" hidden="1" s="59"/>
    <row r="10571" hidden="1" s="59"/>
    <row r="10572" hidden="1" s="59"/>
    <row r="10573" hidden="1" s="59"/>
    <row r="10574" hidden="1" s="59"/>
    <row r="10575" hidden="1" s="59"/>
    <row r="10576" hidden="1" s="59"/>
    <row r="10577" hidden="1" s="59"/>
    <row r="10578" hidden="1" s="59"/>
    <row r="10579" hidden="1" s="59"/>
    <row r="10580" hidden="1" s="59"/>
    <row r="10581" hidden="1" s="59"/>
    <row r="10582" hidden="1" s="59"/>
    <row r="10583" hidden="1" s="59"/>
    <row r="10584" hidden="1" s="59"/>
    <row r="10585" hidden="1" s="59"/>
    <row r="10586" hidden="1" s="59"/>
    <row r="10587" hidden="1" s="59"/>
    <row r="10588" hidden="1" s="59"/>
    <row r="10589" hidden="1" s="59"/>
    <row r="10590" hidden="1" s="59"/>
    <row r="10591" hidden="1" s="59"/>
    <row r="10592" hidden="1" s="59"/>
    <row r="10593" hidden="1" s="59"/>
    <row r="10594" hidden="1" s="59"/>
    <row r="10595" hidden="1" s="59"/>
    <row r="10596" hidden="1" s="59"/>
    <row r="10597" hidden="1" s="59"/>
    <row r="10598" hidden="1" s="59"/>
    <row r="10599" hidden="1" s="59"/>
    <row r="10600" hidden="1" s="59"/>
    <row r="10601" hidden="1" s="59"/>
    <row r="10602" hidden="1" s="59"/>
    <row r="10603" hidden="1" s="59"/>
    <row r="10604" hidden="1" s="59"/>
    <row r="10605" hidden="1" s="59"/>
    <row r="10606" hidden="1" s="59"/>
    <row r="10607" hidden="1" s="59"/>
    <row r="10608" hidden="1" s="59"/>
    <row r="10609" hidden="1" s="59"/>
    <row r="10610" hidden="1" s="59"/>
    <row r="10611" hidden="1" s="59"/>
    <row r="10612" hidden="1" s="59"/>
    <row r="10613" hidden="1" s="59"/>
    <row r="10614" hidden="1" s="59"/>
    <row r="10615" hidden="1" s="59"/>
    <row r="10616" hidden="1" s="59"/>
    <row r="10617" hidden="1" s="59"/>
    <row r="10618" hidden="1" s="59"/>
    <row r="10619" hidden="1" s="59"/>
    <row r="10620" hidden="1" s="59"/>
    <row r="10621" hidden="1" s="59"/>
    <row r="10622" hidden="1" s="59"/>
    <row r="10623" hidden="1" s="59"/>
    <row r="10624" hidden="1" s="59"/>
    <row r="10625" hidden="1" s="59"/>
    <row r="10626" hidden="1" s="59"/>
    <row r="10627" hidden="1" s="59"/>
    <row r="10628" hidden="1" s="59"/>
    <row r="10629" hidden="1" s="59"/>
    <row r="10630" hidden="1" s="59"/>
    <row r="10631" hidden="1" s="59"/>
    <row r="10632" hidden="1" s="59"/>
    <row r="10633" hidden="1" s="59"/>
    <row r="10634" hidden="1" s="59"/>
    <row r="10635" hidden="1" s="59"/>
    <row r="10636" hidden="1" s="59"/>
    <row r="10637" hidden="1" s="59"/>
    <row r="10638" hidden="1" s="59"/>
    <row r="10639" hidden="1" s="59"/>
    <row r="10640" hidden="1" s="59"/>
    <row r="10641" hidden="1" s="59"/>
    <row r="10642" hidden="1" s="59"/>
    <row r="10643" hidden="1" s="59"/>
    <row r="10644" hidden="1" s="59"/>
    <row r="10645" hidden="1" s="59"/>
    <row r="10646" hidden="1" s="59"/>
    <row r="10647" hidden="1" s="59"/>
    <row r="10648" hidden="1" s="59"/>
    <row r="10649" hidden="1" s="59"/>
    <row r="10650" hidden="1" s="59"/>
    <row r="10651" hidden="1" s="59"/>
    <row r="10652" hidden="1" s="59"/>
    <row r="10653" hidden="1" s="59"/>
    <row r="10654" hidden="1" s="59"/>
    <row r="10655" hidden="1" s="59"/>
    <row r="10656" hidden="1" s="59"/>
    <row r="10657" hidden="1" s="59"/>
    <row r="10658" hidden="1" s="59"/>
    <row r="10659" hidden="1" s="59"/>
    <row r="10660" hidden="1" s="59"/>
    <row r="10661" hidden="1" s="59"/>
    <row r="10662" hidden="1" s="59"/>
    <row r="10663" hidden="1" s="59"/>
    <row r="10664" hidden="1" s="59"/>
    <row r="10665" hidden="1" s="59"/>
    <row r="10666" hidden="1" s="59"/>
    <row r="10667" hidden="1" s="59"/>
    <row r="10668" hidden="1" s="59"/>
    <row r="10669" hidden="1" s="59"/>
    <row r="10670" hidden="1" s="59"/>
    <row r="10671" hidden="1" s="59"/>
    <row r="10672" hidden="1" s="59"/>
    <row r="10673" hidden="1" s="59"/>
    <row r="10674" hidden="1" s="59"/>
    <row r="10675" hidden="1" s="59"/>
    <row r="10676" hidden="1" s="59"/>
    <row r="10677" hidden="1" s="59"/>
    <row r="10678" hidden="1" s="59"/>
    <row r="10679" hidden="1" s="59"/>
    <row r="10680" hidden="1" s="59"/>
    <row r="10681" hidden="1" s="59"/>
    <row r="10682" hidden="1" s="59"/>
    <row r="10683" hidden="1" s="59"/>
    <row r="10684" hidden="1" s="59"/>
    <row r="10685" hidden="1" s="59"/>
    <row r="10686" hidden="1" s="59"/>
    <row r="10687" hidden="1" s="59"/>
    <row r="10688" hidden="1" s="59"/>
    <row r="10689" hidden="1" s="59"/>
    <row r="10690" hidden="1" s="59"/>
    <row r="10691" hidden="1" s="59"/>
    <row r="10692" hidden="1" s="59"/>
    <row r="10693" hidden="1" s="59"/>
    <row r="10694" hidden="1" s="59"/>
    <row r="10695" hidden="1" s="59"/>
    <row r="10696" hidden="1" s="59"/>
    <row r="10697" hidden="1" s="59"/>
    <row r="10698" hidden="1" s="59"/>
    <row r="10699" hidden="1" s="59"/>
    <row r="10700" hidden="1" s="59"/>
    <row r="10701" hidden="1" s="59"/>
    <row r="10702" hidden="1" s="59"/>
    <row r="10703" hidden="1" s="59"/>
    <row r="10704" hidden="1" s="59"/>
    <row r="10705" hidden="1" s="59"/>
    <row r="10706" hidden="1" s="59"/>
    <row r="10707" hidden="1" s="59"/>
    <row r="10708" hidden="1" s="59"/>
    <row r="10709" hidden="1" s="59"/>
    <row r="10710" hidden="1" s="59"/>
    <row r="10711" hidden="1" s="59"/>
    <row r="10712" hidden="1" s="59"/>
    <row r="10713" hidden="1" s="59"/>
    <row r="10714" hidden="1" s="59"/>
    <row r="10715" hidden="1" s="59"/>
    <row r="10716" hidden="1" s="59"/>
    <row r="10717" hidden="1" s="59"/>
    <row r="10718" hidden="1" s="59"/>
    <row r="10719" hidden="1" s="59"/>
    <row r="10720" hidden="1" s="59"/>
    <row r="10721" hidden="1" s="59"/>
    <row r="10722" hidden="1" s="59"/>
    <row r="10723" hidden="1" s="59"/>
    <row r="10724" hidden="1" s="59"/>
    <row r="10725" hidden="1" s="59"/>
    <row r="10726" hidden="1" s="59"/>
    <row r="10727" hidden="1" s="59"/>
    <row r="10728" hidden="1" s="59"/>
    <row r="10729" hidden="1" s="59"/>
    <row r="10730" hidden="1" s="59"/>
    <row r="10731" hidden="1" s="59"/>
    <row r="10732" hidden="1" s="59"/>
    <row r="10733" hidden="1" s="59"/>
    <row r="10734" hidden="1" s="59"/>
    <row r="10735" hidden="1" s="59"/>
    <row r="10736" hidden="1" s="59"/>
    <row r="10737" hidden="1" s="59"/>
    <row r="10738" hidden="1" s="59"/>
    <row r="10739" hidden="1" s="59"/>
    <row r="10740" hidden="1" s="59"/>
    <row r="10741" hidden="1" s="59"/>
    <row r="10742" hidden="1" s="59"/>
    <row r="10743" hidden="1" s="59"/>
    <row r="10744" hidden="1" s="59"/>
    <row r="10745" hidden="1" s="59"/>
    <row r="10746" hidden="1" s="59"/>
    <row r="10747" hidden="1" s="59"/>
    <row r="10748" hidden="1" s="59"/>
    <row r="10749" hidden="1" s="59"/>
    <row r="10750" hidden="1" s="59"/>
    <row r="10751" hidden="1" s="59"/>
    <row r="10752" hidden="1" s="59"/>
    <row r="10753" hidden="1" s="59"/>
    <row r="10754" hidden="1" s="59"/>
    <row r="10755" hidden="1" s="59"/>
    <row r="10756" hidden="1" s="59"/>
    <row r="10757" hidden="1" s="59"/>
    <row r="10758" hidden="1" s="59"/>
    <row r="10759" hidden="1" s="59"/>
    <row r="10760" hidden="1" s="59"/>
    <row r="10761" hidden="1" s="59"/>
    <row r="10762" hidden="1" s="59"/>
    <row r="10763" hidden="1" s="59"/>
    <row r="10764" hidden="1" s="59"/>
    <row r="10765" hidden="1" s="59"/>
    <row r="10766" hidden="1" s="59"/>
    <row r="10767" hidden="1" s="59"/>
    <row r="10768" hidden="1" s="59"/>
    <row r="10769" hidden="1" s="59"/>
    <row r="10770" hidden="1" s="59"/>
    <row r="10771" hidden="1" s="59"/>
    <row r="10772" hidden="1" s="59"/>
    <row r="10773" hidden="1" s="59"/>
    <row r="10774" hidden="1" s="59"/>
    <row r="10775" hidden="1" s="59"/>
    <row r="10776" hidden="1" s="59"/>
    <row r="10777" hidden="1" s="59"/>
    <row r="10778" hidden="1" s="59"/>
    <row r="10779" hidden="1" s="59"/>
    <row r="10780" hidden="1" s="59"/>
    <row r="10781" hidden="1" s="59"/>
    <row r="10782" hidden="1" s="59"/>
    <row r="10783" hidden="1" s="59"/>
    <row r="10784" hidden="1" s="59"/>
    <row r="10785" hidden="1" s="59"/>
    <row r="10786" hidden="1" s="59"/>
    <row r="10787" hidden="1" s="59"/>
    <row r="10788" hidden="1" s="59"/>
    <row r="10789" hidden="1" s="59"/>
    <row r="10790" hidden="1" s="59"/>
    <row r="10791" hidden="1" s="59"/>
    <row r="10792" hidden="1" s="59"/>
    <row r="10793" hidden="1" s="59"/>
    <row r="10794" hidden="1" s="59"/>
    <row r="10795" hidden="1" s="59"/>
    <row r="10796" hidden="1" s="59"/>
    <row r="10797" hidden="1" s="59"/>
    <row r="10798" hidden="1" s="59"/>
    <row r="10799" hidden="1" s="59"/>
    <row r="10800" hidden="1" s="59"/>
    <row r="10801" hidden="1" s="59"/>
    <row r="10802" hidden="1" s="59"/>
    <row r="10803" hidden="1" s="59"/>
    <row r="10804" hidden="1" s="59"/>
    <row r="10805" hidden="1" s="59"/>
    <row r="10806" hidden="1" s="59"/>
    <row r="10807" hidden="1" s="59"/>
    <row r="10808" hidden="1" s="59"/>
    <row r="10809" hidden="1" s="59"/>
    <row r="10810" hidden="1" s="59"/>
    <row r="10811" hidden="1" s="59"/>
    <row r="10812" hidden="1" s="59"/>
    <row r="10813" hidden="1" s="59"/>
    <row r="10814" hidden="1" s="59"/>
    <row r="10815" hidden="1" s="59"/>
    <row r="10816" hidden="1" s="59"/>
    <row r="10817" hidden="1" s="59"/>
    <row r="10818" hidden="1" s="59"/>
    <row r="10819" hidden="1" s="59"/>
    <row r="10820" hidden="1" s="59"/>
    <row r="10821" hidden="1" s="59"/>
    <row r="10822" hidden="1" s="59"/>
    <row r="10823" hidden="1" s="59"/>
    <row r="10824" hidden="1" s="59"/>
    <row r="10825" hidden="1" s="59"/>
    <row r="10826" hidden="1" s="59"/>
    <row r="10827" hidden="1" s="59"/>
    <row r="10828" hidden="1" s="59"/>
    <row r="10829" hidden="1" s="59"/>
    <row r="10830" hidden="1" s="59"/>
    <row r="10831" hidden="1" s="59"/>
    <row r="10832" hidden="1" s="59"/>
    <row r="10833" hidden="1" s="59"/>
    <row r="10834" hidden="1" s="59"/>
    <row r="10835" hidden="1" s="59"/>
    <row r="10836" hidden="1" s="59"/>
    <row r="10837" hidden="1" s="59"/>
    <row r="10838" hidden="1" s="59"/>
    <row r="10839" hidden="1" s="59"/>
    <row r="10840" hidden="1" s="59"/>
    <row r="10841" hidden="1" s="59"/>
    <row r="10842" hidden="1" s="59"/>
    <row r="10843" hidden="1" s="59"/>
    <row r="10844" hidden="1" s="59"/>
    <row r="10845" hidden="1" s="59"/>
    <row r="10846" hidden="1" s="59"/>
    <row r="10847" hidden="1" s="59"/>
    <row r="10848" hidden="1" s="59"/>
    <row r="10849" hidden="1" s="59"/>
    <row r="10850" hidden="1" s="59"/>
    <row r="10851" hidden="1" s="59"/>
    <row r="10852" hidden="1" s="59"/>
    <row r="10853" hidden="1" s="59"/>
    <row r="10854" hidden="1" s="59"/>
    <row r="10855" hidden="1" s="59"/>
    <row r="10856" hidden="1" s="59"/>
    <row r="10857" hidden="1" s="59"/>
    <row r="10858" hidden="1" s="59"/>
    <row r="10859" hidden="1" s="59"/>
    <row r="10860" hidden="1" s="59"/>
    <row r="10861" hidden="1" s="59"/>
    <row r="10862" hidden="1" s="59"/>
    <row r="10863" hidden="1" s="59"/>
    <row r="10864" hidden="1" s="59"/>
    <row r="10865" hidden="1" s="59"/>
    <row r="10866" hidden="1" s="59"/>
    <row r="10867" hidden="1" s="59"/>
    <row r="10868" hidden="1" s="59"/>
    <row r="10869" hidden="1" s="59"/>
    <row r="10870" hidden="1" s="59"/>
    <row r="10871" hidden="1" s="59"/>
    <row r="10872" hidden="1" s="59"/>
    <row r="10873" hidden="1" s="59"/>
    <row r="10874" hidden="1" s="59"/>
    <row r="10875" hidden="1" s="59"/>
    <row r="10876" hidden="1" s="59"/>
    <row r="10877" hidden="1" s="59"/>
    <row r="10878" hidden="1" s="59"/>
    <row r="10879" hidden="1" s="59"/>
    <row r="10880" hidden="1" s="59"/>
    <row r="10881" hidden="1" s="59"/>
    <row r="10882" hidden="1" s="59"/>
    <row r="10883" hidden="1" s="59"/>
    <row r="10884" hidden="1" s="59"/>
    <row r="10885" hidden="1" s="59"/>
    <row r="10886" hidden="1" s="59"/>
    <row r="10887" hidden="1" s="59"/>
    <row r="10888" hidden="1" s="59"/>
    <row r="10889" hidden="1" s="59"/>
    <row r="10890" hidden="1" s="59"/>
    <row r="10891" hidden="1" s="59"/>
    <row r="10892" hidden="1" s="59"/>
    <row r="10893" hidden="1" s="59"/>
    <row r="10894" hidden="1" s="59"/>
    <row r="10895" hidden="1" s="59"/>
    <row r="10896" hidden="1" s="59"/>
    <row r="10897" hidden="1" s="59"/>
    <row r="10898" hidden="1" s="59"/>
    <row r="10899" hidden="1" s="59"/>
    <row r="10900" hidden="1" s="59"/>
    <row r="10901" hidden="1" s="59"/>
    <row r="10902" hidden="1" s="59"/>
    <row r="10903" hidden="1" s="59"/>
    <row r="10904" hidden="1" s="59"/>
    <row r="10905" hidden="1" s="59"/>
    <row r="10906" hidden="1" s="59"/>
    <row r="10907" hidden="1" s="59"/>
    <row r="10908" hidden="1" s="59"/>
    <row r="10909" hidden="1" s="59"/>
    <row r="10910" hidden="1" s="59"/>
    <row r="10911" hidden="1" s="59"/>
    <row r="10912" hidden="1" s="59"/>
    <row r="10913" hidden="1" s="59"/>
    <row r="10914" hidden="1" s="59"/>
    <row r="10915" hidden="1" s="59"/>
    <row r="10916" hidden="1" s="59"/>
    <row r="10917" hidden="1" s="59"/>
    <row r="10918" hidden="1" s="59"/>
    <row r="10919" hidden="1" s="59"/>
    <row r="10920" hidden="1" s="59"/>
    <row r="10921" hidden="1" s="59"/>
    <row r="10922" hidden="1" s="59"/>
    <row r="10923" hidden="1" s="59"/>
    <row r="10924" hidden="1" s="59"/>
    <row r="10925" hidden="1" s="59"/>
    <row r="10926" hidden="1" s="59"/>
    <row r="10927" hidden="1" s="59"/>
    <row r="10928" hidden="1" s="59"/>
    <row r="10929" hidden="1" s="59"/>
    <row r="10930" hidden="1" s="59"/>
    <row r="10931" hidden="1" s="59"/>
    <row r="10932" hidden="1" s="59"/>
    <row r="10933" hidden="1" s="59"/>
    <row r="10934" hidden="1" s="59"/>
    <row r="10935" hidden="1" s="59"/>
    <row r="10936" hidden="1" s="59"/>
    <row r="10937" hidden="1" s="59"/>
    <row r="10938" hidden="1" s="59"/>
    <row r="10939" hidden="1" s="59"/>
    <row r="10940" hidden="1" s="59"/>
    <row r="10941" hidden="1" s="59"/>
    <row r="10942" hidden="1" s="59"/>
    <row r="10943" hidden="1" s="59"/>
    <row r="10944" hidden="1" s="59"/>
    <row r="10945" hidden="1" s="59"/>
    <row r="10946" hidden="1" s="59"/>
    <row r="10947" hidden="1" s="59"/>
    <row r="10948" hidden="1" s="59"/>
    <row r="10949" hidden="1" s="59"/>
    <row r="10950" hidden="1" s="59"/>
    <row r="10951" hidden="1" s="59"/>
    <row r="10952" hidden="1" s="59"/>
    <row r="10953" hidden="1" s="59"/>
    <row r="10954" hidden="1" s="59"/>
    <row r="10955" hidden="1" s="59"/>
    <row r="10956" hidden="1" s="59"/>
    <row r="10957" hidden="1" s="59"/>
    <row r="10958" hidden="1" s="59"/>
    <row r="10959" hidden="1" s="59"/>
    <row r="10960" hidden="1" s="59"/>
    <row r="10961" hidden="1" s="59"/>
    <row r="10962" hidden="1" s="59"/>
    <row r="10963" hidden="1" s="59"/>
    <row r="10964" hidden="1" s="59"/>
    <row r="10965" hidden="1" s="59"/>
    <row r="10966" hidden="1" s="59"/>
    <row r="10967" hidden="1" s="59"/>
    <row r="10968" hidden="1" s="59"/>
    <row r="10969" hidden="1" s="59"/>
    <row r="10970" hidden="1" s="59"/>
    <row r="10971" hidden="1" s="59"/>
    <row r="10972" hidden="1" s="59"/>
    <row r="10973" hidden="1" s="59"/>
    <row r="10974" hidden="1" s="59"/>
    <row r="10975" hidden="1" s="59"/>
    <row r="10976" hidden="1" s="59"/>
    <row r="10977" hidden="1" s="59"/>
    <row r="10978" hidden="1" s="59"/>
    <row r="10979" hidden="1" s="59"/>
    <row r="10980" hidden="1" s="59"/>
    <row r="10981" hidden="1" s="59"/>
    <row r="10982" hidden="1" s="59"/>
    <row r="10983" hidden="1" s="59"/>
    <row r="10984" hidden="1" s="59"/>
    <row r="10985" hidden="1" s="59"/>
    <row r="10986" hidden="1" s="59"/>
    <row r="10987" hidden="1" s="59"/>
    <row r="10988" hidden="1" s="59"/>
    <row r="10989" hidden="1" s="59"/>
    <row r="10990" hidden="1" s="59"/>
    <row r="10991" hidden="1" s="59"/>
    <row r="10992" hidden="1" s="59"/>
    <row r="10993" hidden="1" s="59"/>
    <row r="10994" hidden="1" s="59"/>
    <row r="10995" hidden="1" s="59"/>
    <row r="10996" hidden="1" s="59"/>
    <row r="10997" hidden="1" s="59"/>
    <row r="10998" hidden="1" s="59"/>
    <row r="10999" hidden="1" s="59"/>
    <row r="11000" hidden="1" s="59"/>
    <row r="11001" hidden="1" s="59"/>
    <row r="11002" hidden="1" s="59"/>
    <row r="11003" hidden="1" s="59"/>
    <row r="11004" hidden="1" s="59"/>
    <row r="11005" hidden="1" s="59"/>
    <row r="11006" hidden="1" s="59"/>
    <row r="11007" hidden="1" s="59"/>
    <row r="11008" hidden="1" s="59"/>
    <row r="11009" hidden="1" s="59"/>
    <row r="11010" hidden="1" s="59"/>
    <row r="11011" hidden="1" s="59"/>
    <row r="11012" hidden="1" s="59"/>
    <row r="11013" hidden="1" s="59"/>
    <row r="11014" hidden="1" s="59"/>
    <row r="11015" hidden="1" s="59"/>
    <row r="11016" hidden="1" s="59"/>
    <row r="11017" hidden="1" s="59"/>
    <row r="11018" hidden="1" s="59"/>
    <row r="11019" hidden="1" s="59"/>
    <row r="11020" hidden="1" s="59"/>
    <row r="11021" hidden="1" s="59"/>
    <row r="11022" hidden="1" s="59"/>
    <row r="11023" hidden="1" s="59"/>
    <row r="11024" hidden="1" s="59"/>
    <row r="11025" hidden="1" s="59"/>
    <row r="11026" hidden="1" s="59"/>
    <row r="11027" hidden="1" s="59"/>
    <row r="11028" hidden="1" s="59"/>
    <row r="11029" hidden="1" s="59"/>
    <row r="11030" hidden="1" s="59"/>
    <row r="11031" hidden="1" s="59"/>
    <row r="11032" hidden="1" s="59"/>
    <row r="11033" hidden="1" s="59"/>
    <row r="11034" hidden="1" s="59"/>
    <row r="11035" hidden="1" s="59"/>
    <row r="11036" hidden="1" s="59"/>
    <row r="11037" hidden="1" s="59"/>
    <row r="11038" hidden="1" s="59"/>
    <row r="11039" hidden="1" s="59"/>
    <row r="11040" hidden="1" s="59"/>
    <row r="11041" hidden="1" s="59"/>
    <row r="11042" hidden="1" s="59"/>
    <row r="11043" hidden="1" s="59"/>
    <row r="11044" hidden="1" s="59"/>
    <row r="11045" hidden="1" s="59"/>
    <row r="11046" hidden="1" s="59"/>
    <row r="11047" hidden="1" s="59"/>
    <row r="11048" hidden="1" s="59"/>
    <row r="11049" hidden="1" s="59"/>
    <row r="11050" hidden="1" s="59"/>
    <row r="11051" hidden="1" s="59"/>
    <row r="11052" hidden="1" s="59"/>
    <row r="11053" hidden="1" s="59"/>
    <row r="11054" hidden="1" s="59"/>
    <row r="11055" hidden="1" s="59"/>
    <row r="11056" hidden="1" s="59"/>
    <row r="11057" hidden="1" s="59"/>
    <row r="11058" hidden="1" s="59"/>
    <row r="11059" hidden="1" s="59"/>
    <row r="11060" hidden="1" s="59"/>
    <row r="11061" hidden="1" s="59"/>
    <row r="11062" hidden="1" s="59"/>
    <row r="11063" hidden="1" s="59"/>
    <row r="11064" hidden="1" s="59"/>
    <row r="11065" hidden="1" s="59"/>
    <row r="11066" hidden="1" s="59"/>
    <row r="11067" hidden="1" s="59"/>
    <row r="11068" hidden="1" s="59"/>
    <row r="11069" hidden="1" s="59"/>
    <row r="11070" hidden="1" s="59"/>
    <row r="11071" hidden="1" s="59"/>
    <row r="11072" hidden="1" s="59"/>
    <row r="11073" hidden="1" s="59"/>
    <row r="11074" hidden="1" s="59"/>
    <row r="11075" hidden="1" s="59"/>
    <row r="11076" hidden="1" s="59"/>
    <row r="11077" hidden="1" s="59"/>
    <row r="11078" hidden="1" s="59"/>
    <row r="11079" hidden="1" s="59"/>
    <row r="11080" hidden="1" s="59"/>
    <row r="11081" hidden="1" s="59"/>
    <row r="11082" hidden="1" s="59"/>
    <row r="11083" hidden="1" s="59"/>
    <row r="11084" hidden="1" s="59"/>
    <row r="11085" hidden="1" s="59"/>
    <row r="11086" hidden="1" s="59"/>
    <row r="11087" hidden="1" s="59"/>
    <row r="11088" hidden="1" s="59"/>
    <row r="11089" hidden="1" s="59"/>
    <row r="11090" hidden="1" s="59"/>
    <row r="11091" hidden="1" s="59"/>
    <row r="11092" hidden="1" s="59"/>
    <row r="11093" hidden="1" s="59"/>
    <row r="11094" hidden="1" s="59"/>
    <row r="11095" hidden="1" s="59"/>
    <row r="11096" hidden="1" s="59"/>
    <row r="11097" hidden="1" s="59"/>
    <row r="11098" hidden="1" s="59"/>
    <row r="11099" hidden="1" s="59"/>
    <row r="11100" hidden="1" s="59"/>
    <row r="11101" hidden="1" s="59"/>
    <row r="11102" hidden="1" s="59"/>
    <row r="11103" hidden="1" s="59"/>
    <row r="11104" hidden="1" s="59"/>
    <row r="11105" hidden="1" s="59"/>
    <row r="11106" hidden="1" s="59"/>
    <row r="11107" hidden="1" s="59"/>
    <row r="11108" hidden="1" s="59"/>
    <row r="11109" hidden="1" s="59"/>
    <row r="11110" hidden="1" s="59"/>
    <row r="11111" hidden="1" s="59"/>
    <row r="11112" hidden="1" s="59"/>
    <row r="11113" hidden="1" s="59"/>
    <row r="11114" hidden="1" s="59"/>
    <row r="11115" hidden="1" s="59"/>
    <row r="11116" hidden="1" s="59"/>
    <row r="11117" hidden="1" s="59"/>
    <row r="11118" hidden="1" s="59"/>
    <row r="11119" hidden="1" s="59"/>
    <row r="11120" hidden="1" s="59"/>
    <row r="11121" hidden="1" s="59"/>
    <row r="11122" hidden="1" s="59"/>
    <row r="11123" hidden="1" s="59"/>
    <row r="11124" hidden="1" s="59"/>
    <row r="11125" hidden="1" s="59"/>
    <row r="11126" hidden="1" s="59"/>
    <row r="11127" hidden="1" s="59"/>
    <row r="11128" hidden="1" s="59"/>
    <row r="11129" hidden="1" s="59"/>
    <row r="11130" hidden="1" s="59"/>
    <row r="11131" hidden="1" s="59"/>
    <row r="11132" hidden="1" s="59"/>
    <row r="11133" hidden="1" s="59"/>
    <row r="11134" hidden="1" s="59"/>
    <row r="11135" hidden="1" s="59"/>
    <row r="11136" hidden="1" s="59"/>
    <row r="11137" hidden="1" s="59"/>
    <row r="11138" hidden="1" s="59"/>
    <row r="11139" hidden="1" s="59"/>
    <row r="11140" hidden="1" s="59"/>
    <row r="11141" hidden="1" s="59"/>
    <row r="11142" hidden="1" s="59"/>
    <row r="11143" hidden="1" s="59"/>
    <row r="11144" hidden="1" s="59"/>
    <row r="11145" hidden="1" s="59"/>
    <row r="11146" hidden="1" s="59"/>
    <row r="11147" hidden="1" s="59"/>
    <row r="11148" hidden="1" s="59"/>
    <row r="11149" hidden="1" s="59"/>
    <row r="11150" hidden="1" s="59"/>
    <row r="11151" hidden="1" s="59"/>
    <row r="11152" hidden="1" s="59"/>
    <row r="11153" hidden="1" s="59"/>
    <row r="11154" hidden="1" s="59"/>
    <row r="11155" hidden="1" s="59"/>
    <row r="11156" hidden="1" s="59"/>
    <row r="11157" hidden="1" s="59"/>
    <row r="11158" hidden="1" s="59"/>
    <row r="11159" hidden="1" s="59"/>
    <row r="11160" hidden="1" s="59"/>
    <row r="11161" hidden="1" s="59"/>
    <row r="11162" hidden="1" s="59"/>
    <row r="11163" hidden="1" s="59"/>
    <row r="11164" hidden="1" s="59"/>
    <row r="11165" hidden="1" s="59"/>
    <row r="11166" hidden="1" s="59"/>
    <row r="11167" hidden="1" s="59"/>
    <row r="11168" hidden="1" s="59"/>
    <row r="11169" hidden="1" s="59"/>
    <row r="11170" hidden="1" s="59"/>
    <row r="11171" hidden="1" s="59"/>
    <row r="11172" hidden="1" s="59"/>
    <row r="11173" hidden="1" s="59"/>
    <row r="11174" hidden="1" s="59"/>
    <row r="11175" hidden="1" s="59"/>
    <row r="11176" hidden="1" s="59"/>
    <row r="11177" hidden="1" s="59"/>
    <row r="11178" hidden="1" s="59"/>
    <row r="11179" hidden="1" s="59"/>
    <row r="11180" hidden="1" s="59"/>
    <row r="11181" hidden="1" s="59"/>
    <row r="11182" hidden="1" s="59"/>
    <row r="11183" hidden="1" s="59"/>
    <row r="11184" hidden="1" s="59"/>
    <row r="11185" hidden="1" s="59"/>
    <row r="11186" hidden="1" s="59"/>
    <row r="11187" hidden="1" s="59"/>
    <row r="11188" hidden="1" s="59"/>
    <row r="11189" hidden="1" s="59"/>
    <row r="11190" hidden="1" s="59"/>
    <row r="11191" hidden="1" s="59"/>
    <row r="11192" hidden="1" s="59"/>
    <row r="11193" hidden="1" s="59"/>
    <row r="11194" hidden="1" s="59"/>
    <row r="11195" hidden="1" s="59"/>
    <row r="11196" hidden="1" s="59"/>
    <row r="11197" hidden="1" s="59"/>
    <row r="11198" hidden="1" s="59"/>
    <row r="11199" hidden="1" s="59"/>
    <row r="11200" hidden="1" s="59"/>
    <row r="11201" hidden="1" s="59"/>
    <row r="11202" hidden="1" s="59"/>
    <row r="11203" hidden="1" s="59"/>
    <row r="11204" hidden="1" s="59"/>
    <row r="11205" hidden="1" s="59"/>
    <row r="11206" hidden="1" s="59"/>
    <row r="11207" hidden="1" s="59"/>
    <row r="11208" hidden="1" s="59"/>
    <row r="11209" hidden="1" s="59"/>
    <row r="11210" hidden="1" s="59"/>
    <row r="11211" hidden="1" s="59"/>
    <row r="11212" hidden="1" s="59"/>
    <row r="11213" hidden="1" s="59"/>
    <row r="11214" hidden="1" s="59"/>
    <row r="11215" hidden="1" s="59"/>
    <row r="11216" hidden="1" s="59"/>
    <row r="11217" hidden="1" s="59"/>
    <row r="11218" hidden="1" s="59"/>
    <row r="11219" hidden="1" s="59"/>
    <row r="11220" hidden="1" s="59"/>
    <row r="11221" hidden="1" s="59"/>
    <row r="11222" hidden="1" s="59"/>
    <row r="11223" hidden="1" s="59"/>
    <row r="11224" hidden="1" s="59"/>
    <row r="11225" hidden="1" s="59"/>
    <row r="11226" hidden="1" s="59"/>
    <row r="11227" hidden="1" s="59"/>
    <row r="11228" hidden="1" s="59"/>
    <row r="11229" hidden="1" s="59"/>
    <row r="11230" hidden="1" s="59"/>
    <row r="11231" hidden="1" s="59"/>
    <row r="11232" hidden="1" s="59"/>
    <row r="11233" hidden="1" s="59"/>
    <row r="11234" hidden="1" s="59"/>
    <row r="11235" hidden="1" s="59"/>
    <row r="11236" hidden="1" s="59"/>
    <row r="11237" hidden="1" s="59"/>
    <row r="11238" hidden="1" s="59"/>
    <row r="11239" hidden="1" s="59"/>
    <row r="11240" hidden="1" s="59"/>
    <row r="11241" hidden="1" s="59"/>
    <row r="11242" hidden="1" s="59"/>
    <row r="11243" hidden="1" s="59"/>
    <row r="11244" hidden="1" s="59"/>
    <row r="11245" hidden="1" s="59"/>
    <row r="11246" hidden="1" s="59"/>
    <row r="11247" hidden="1" s="59"/>
    <row r="11248" hidden="1" s="59"/>
    <row r="11249" hidden="1" s="59"/>
    <row r="11250" hidden="1" s="59"/>
    <row r="11251" hidden="1" s="59"/>
    <row r="11252" hidden="1" s="59"/>
    <row r="11253" hidden="1" s="59"/>
    <row r="11254" hidden="1" s="59"/>
    <row r="11255" hidden="1" s="59"/>
    <row r="11256" hidden="1" s="59"/>
    <row r="11257" hidden="1" s="59"/>
    <row r="11258" hidden="1" s="59"/>
    <row r="11259" hidden="1" s="59"/>
    <row r="11260" hidden="1" s="59"/>
    <row r="11261" hidden="1" s="59"/>
    <row r="11262" hidden="1" s="59"/>
    <row r="11263" hidden="1" s="59"/>
    <row r="11264" hidden="1" s="59"/>
    <row r="11265" hidden="1" s="59"/>
    <row r="11266" hidden="1" s="59"/>
    <row r="11267" hidden="1" s="59"/>
    <row r="11268" hidden="1" s="59"/>
    <row r="11269" hidden="1" s="59"/>
    <row r="11270" hidden="1" s="59"/>
    <row r="11271" hidden="1" s="59"/>
    <row r="11272" hidden="1" s="59"/>
    <row r="11273" hidden="1" s="59"/>
    <row r="11274" hidden="1" s="59"/>
    <row r="11275" hidden="1" s="59"/>
    <row r="11276" hidden="1" s="59"/>
    <row r="11277" hidden="1" s="59"/>
    <row r="11278" hidden="1" s="59"/>
    <row r="11279" hidden="1" s="59"/>
    <row r="11280" hidden="1" s="59"/>
    <row r="11281" hidden="1" s="59"/>
    <row r="11282" hidden="1" s="59"/>
    <row r="11283" hidden="1" s="59"/>
    <row r="11284" hidden="1" s="59"/>
    <row r="11285" hidden="1" s="59"/>
    <row r="11286" hidden="1" s="59"/>
    <row r="11287" hidden="1" s="59"/>
    <row r="11288" hidden="1" s="59"/>
    <row r="11289" hidden="1" s="59"/>
    <row r="11290" hidden="1" s="59"/>
    <row r="11291" hidden="1" s="59"/>
    <row r="11292" hidden="1" s="59"/>
    <row r="11293" hidden="1" s="59"/>
    <row r="11294" hidden="1" s="59"/>
    <row r="11295" hidden="1" s="59"/>
    <row r="11296" hidden="1" s="59"/>
    <row r="11297" hidden="1" s="59"/>
    <row r="11298" hidden="1" s="59"/>
    <row r="11299" hidden="1" s="59"/>
    <row r="11300" hidden="1" s="59"/>
    <row r="11301" hidden="1" s="59"/>
    <row r="11302" hidden="1" s="59"/>
    <row r="11303" hidden="1" s="59"/>
    <row r="11304" hidden="1" s="59"/>
    <row r="11305" hidden="1" s="59"/>
    <row r="11306" hidden="1" s="59"/>
    <row r="11307" hidden="1" s="59"/>
    <row r="11308" hidden="1" s="59"/>
    <row r="11309" hidden="1" s="59"/>
    <row r="11310" hidden="1" s="59"/>
    <row r="11311" hidden="1" s="59"/>
    <row r="11312" hidden="1" s="59"/>
    <row r="11313" hidden="1" s="59"/>
    <row r="11315" hidden="1" s="59"/>
    <row r="11316" hidden="1" s="59"/>
    <row r="11317" hidden="1" s="59"/>
    <row r="11318" hidden="1" s="59"/>
    <row r="11319" hidden="1" s="59"/>
    <row r="11320" hidden="1" s="59"/>
    <row r="11321" hidden="1" s="59"/>
    <row r="11322" hidden="1" s="59"/>
    <row r="11323" hidden="1" s="59"/>
    <row r="11324" hidden="1" s="59"/>
    <row r="11325" hidden="1" s="59"/>
    <row r="11326" hidden="1" s="59"/>
    <row r="11327" hidden="1" s="59"/>
    <row r="11328" hidden="1" s="59"/>
    <row r="11329" hidden="1" s="59"/>
    <row r="11330" hidden="1" s="59"/>
    <row r="11331" hidden="1" s="59"/>
    <row r="11332" hidden="1" s="59"/>
    <row r="11333" hidden="1" s="59"/>
    <row r="11334" hidden="1" s="59"/>
    <row r="11335" hidden="1" s="59"/>
    <row r="11336" hidden="1" s="59"/>
    <row r="11337" hidden="1" s="59"/>
    <row r="11338" hidden="1" s="59"/>
    <row r="11339" hidden="1" s="59"/>
    <row r="11340" hidden="1" s="59"/>
    <row r="11341" hidden="1" s="59"/>
    <row r="11342" hidden="1" s="59"/>
    <row r="11343" hidden="1" s="59"/>
    <row r="11344" hidden="1" s="59"/>
    <row r="11345" hidden="1" s="59"/>
    <row r="11346" hidden="1" s="59"/>
    <row r="11347" hidden="1" s="59"/>
    <row r="11348" hidden="1" s="59"/>
    <row r="11349" hidden="1" s="59"/>
    <row r="11350" hidden="1" s="59"/>
    <row r="11351" hidden="1" s="59"/>
    <row r="11352" hidden="1" s="59"/>
    <row r="11353" hidden="1" s="59"/>
    <row r="11354" hidden="1" s="59"/>
    <row r="11355" hidden="1" s="59"/>
    <row r="11356" hidden="1" s="59"/>
    <row r="11357" hidden="1" s="59"/>
    <row r="11358" hidden="1" s="59"/>
    <row r="11359" hidden="1" s="59"/>
    <row r="11360" hidden="1" s="59"/>
    <row r="11361" hidden="1" s="59"/>
    <row r="11362" hidden="1" s="59"/>
    <row r="11363" hidden="1" s="59"/>
    <row r="11364" hidden="1" s="59"/>
    <row r="11365" hidden="1" s="59"/>
    <row r="11366" hidden="1" s="59"/>
    <row r="11367" hidden="1" s="59"/>
    <row r="11368" hidden="1" s="59"/>
    <row r="11369" hidden="1" s="59"/>
    <row r="11370" hidden="1" s="59"/>
    <row r="11371" hidden="1" s="59"/>
    <row r="11372" hidden="1" s="59"/>
    <row r="11373" hidden="1" s="59"/>
    <row r="11374" hidden="1" s="59"/>
    <row r="11375" hidden="1" s="59"/>
    <row r="11376" hidden="1" s="59"/>
    <row r="11377" hidden="1" s="59"/>
    <row r="11378" hidden="1" s="59"/>
    <row r="11379" hidden="1" s="59"/>
    <row r="11380" hidden="1" s="59"/>
    <row r="11381" hidden="1" s="59"/>
    <row r="11382" hidden="1" s="59"/>
    <row r="11383" hidden="1" s="59"/>
    <row r="11384" hidden="1" s="59"/>
    <row r="11385" hidden="1" s="59"/>
    <row r="11386" hidden="1" s="59"/>
    <row r="11387" hidden="1" s="59"/>
    <row r="11388" hidden="1" s="59"/>
    <row r="11389" hidden="1" s="59"/>
    <row r="11390" hidden="1" s="59"/>
    <row r="11391" hidden="1" s="59"/>
    <row r="11392" hidden="1" s="59"/>
    <row r="11393" hidden="1" s="59"/>
    <row r="11394" hidden="1" s="59"/>
    <row r="11395" hidden="1" s="59"/>
    <row r="11396" hidden="1" s="59"/>
    <row r="11397" hidden="1" s="59"/>
    <row r="11398" hidden="1" s="59"/>
    <row r="11399" hidden="1" s="59"/>
    <row r="11400" hidden="1" s="59"/>
    <row r="11401" hidden="1" s="59"/>
    <row r="11402" hidden="1" s="59"/>
    <row r="11403" hidden="1" s="59"/>
    <row r="11404" hidden="1" s="59"/>
    <row r="11405" hidden="1" s="59"/>
    <row r="11406" hidden="1" s="59"/>
    <row r="11407" hidden="1" s="59"/>
    <row r="11408" hidden="1" s="59"/>
    <row r="11409" hidden="1" s="59"/>
    <row r="11410" hidden="1" s="59"/>
    <row r="11411" hidden="1" s="59"/>
    <row r="11412" hidden="1" s="59"/>
    <row r="11413" hidden="1" s="59"/>
    <row r="11414" hidden="1" s="59"/>
    <row r="11415" hidden="1" s="59"/>
    <row r="11416" hidden="1" s="59"/>
    <row r="11417" hidden="1" s="59"/>
    <row r="11418" hidden="1" s="59"/>
    <row r="11419" hidden="1" s="59"/>
    <row r="11420" hidden="1" s="59"/>
    <row r="11421" hidden="1" s="59"/>
    <row r="11422" hidden="1" s="59"/>
    <row r="11423" hidden="1" s="59"/>
    <row r="11424" hidden="1" s="59"/>
    <row r="11425" hidden="1" s="59"/>
    <row r="11426" hidden="1" s="59"/>
    <row r="11427" hidden="1" s="59"/>
    <row r="11428" hidden="1" s="59"/>
    <row r="11429" hidden="1" s="59"/>
    <row r="11430" hidden="1" s="59"/>
    <row r="11431" hidden="1" s="59"/>
    <row r="11432" hidden="1" s="59"/>
    <row r="11433" hidden="1" s="59"/>
    <row r="11434" hidden="1" s="59"/>
    <row r="11435" hidden="1" s="59"/>
    <row r="11436" hidden="1" s="59"/>
    <row r="11437" hidden="1" s="59"/>
    <row r="11439" hidden="1" s="59"/>
    <row r="11440" hidden="1" s="59"/>
    <row r="11441" hidden="1" s="59"/>
    <row r="11442" hidden="1" s="59"/>
    <row r="11443" hidden="1" s="59"/>
    <row r="11444" hidden="1" s="59"/>
    <row r="11445" hidden="1" s="59"/>
    <row r="11446" hidden="1" s="59"/>
    <row r="11447" hidden="1" s="59"/>
    <row r="11448" hidden="1" s="59"/>
    <row r="11449" hidden="1" s="59"/>
    <row r="11450" hidden="1" s="59"/>
    <row r="11451" hidden="1" s="59"/>
    <row r="11452" hidden="1" s="59"/>
    <row r="11453" hidden="1" s="59"/>
    <row r="11454" hidden="1" s="59"/>
    <row r="11455" hidden="1" s="59"/>
    <row r="11456" hidden="1" s="59"/>
    <row r="11457" hidden="1" s="59"/>
    <row r="11458" hidden="1" s="59"/>
    <row r="11459" hidden="1" s="59"/>
    <row r="11460" hidden="1" s="59"/>
    <row r="11461" hidden="1" s="59"/>
    <row r="11462" hidden="1" s="59"/>
    <row r="11463" hidden="1" s="59"/>
    <row r="11464" hidden="1" s="59"/>
    <row r="11465" hidden="1" s="59"/>
    <row r="11466" hidden="1" s="59"/>
    <row r="11467" hidden="1" s="59"/>
    <row r="11468" hidden="1" s="59"/>
    <row r="11469" hidden="1" s="59"/>
    <row r="11470" hidden="1" s="59"/>
    <row r="11471" hidden="1" s="59"/>
    <row r="11472" hidden="1" s="59"/>
    <row r="11473" hidden="1" s="59"/>
    <row r="11474" hidden="1" s="59"/>
    <row r="11475" hidden="1" s="59"/>
    <row r="11476" hidden="1" s="59"/>
    <row r="11477" hidden="1" s="59"/>
    <row r="11478" hidden="1" s="59"/>
    <row r="11479" hidden="1" s="59"/>
    <row r="11480" hidden="1" s="59"/>
    <row r="11481" hidden="1" s="59"/>
    <row r="11482" hidden="1" s="59"/>
    <row r="11483" hidden="1" s="59"/>
    <row r="11484" hidden="1" s="59"/>
    <row r="11485" hidden="1" s="59"/>
    <row r="11486" hidden="1" s="59"/>
    <row r="11487" hidden="1" s="59"/>
    <row r="11488" hidden="1" s="59"/>
    <row r="11489" hidden="1" s="59"/>
    <row r="11490" hidden="1" s="59"/>
    <row r="11491" hidden="1" s="59"/>
    <row r="11492" hidden="1" s="59"/>
    <row r="11493" hidden="1" s="59"/>
    <row r="11494" hidden="1" s="59"/>
    <row r="11495" hidden="1" s="59"/>
    <row r="11496" hidden="1" s="59"/>
    <row r="11497" hidden="1" s="59"/>
    <row r="11498" hidden="1" s="59"/>
    <row r="11499" hidden="1" s="59"/>
    <row r="11500" hidden="1" s="59"/>
    <row r="11501" hidden="1" s="59"/>
    <row r="11502" hidden="1" s="59"/>
    <row r="11503" hidden="1" s="59"/>
    <row r="11504" hidden="1" s="59"/>
    <row r="11505" hidden="1" s="59"/>
    <row r="11506" hidden="1" s="59"/>
    <row r="11507" hidden="1" s="59"/>
    <row r="11508" hidden="1" s="59"/>
    <row r="11510" hidden="1" s="59"/>
    <row r="11511" hidden="1" s="59"/>
    <row r="11512" hidden="1" s="59"/>
    <row r="11513" hidden="1" s="59"/>
    <row r="11514" hidden="1" s="59"/>
    <row r="11515" hidden="1" s="59"/>
    <row r="11516" hidden="1" s="59"/>
    <row r="11517" hidden="1" s="59"/>
    <row r="11518" hidden="1" s="59"/>
    <row r="11519" hidden="1" s="59"/>
    <row r="11520" hidden="1" s="59"/>
    <row r="11521" hidden="1" s="59"/>
    <row r="11522" hidden="1" s="59"/>
    <row r="11523" hidden="1" s="59"/>
    <row r="11524" hidden="1" s="59"/>
    <row r="11525" hidden="1" s="59"/>
    <row r="11526" hidden="1" s="59"/>
    <row r="11527" hidden="1" s="59"/>
    <row r="11528" hidden="1" s="59"/>
    <row r="11529" hidden="1" s="59"/>
    <row r="11530" hidden="1" s="59"/>
    <row r="11531" hidden="1" s="59"/>
    <row r="11532" hidden="1" s="59"/>
    <row r="11533" hidden="1" s="59"/>
    <row r="11534" hidden="1" s="59"/>
    <row r="11535" hidden="1" s="59"/>
    <row r="11536" hidden="1" s="59"/>
    <row r="11537" hidden="1" s="59"/>
    <row r="11538" hidden="1" s="59"/>
    <row r="11539" hidden="1" s="59"/>
    <row r="11540" hidden="1" s="59"/>
    <row r="11541" hidden="1" s="59"/>
    <row r="11542" hidden="1" s="59"/>
    <row r="11543" hidden="1" s="59"/>
    <row r="11544" hidden="1" s="59"/>
    <row r="11545" hidden="1" s="59"/>
    <row r="11546" hidden="1" s="59"/>
    <row r="11547" hidden="1" s="59"/>
    <row r="11548" hidden="1" s="59"/>
    <row r="11549" hidden="1" s="59"/>
    <row r="11550" hidden="1" s="59"/>
    <row r="11551" hidden="1" s="59"/>
    <row r="11552" hidden="1" s="59"/>
    <row r="11553" hidden="1" s="59"/>
    <row r="11554" hidden="1" s="59"/>
    <row r="11555" hidden="1" s="59"/>
    <row r="11556" hidden="1" s="59"/>
    <row r="11557" hidden="1" s="59"/>
    <row r="11558" hidden="1" s="59"/>
    <row r="11559" hidden="1" s="59"/>
    <row r="11560" hidden="1" s="59"/>
    <row r="11561" hidden="1" s="59"/>
    <row r="11562" hidden="1" s="59"/>
    <row r="11563" hidden="1" s="59"/>
    <row r="11564" hidden="1" s="59"/>
    <row r="11565" hidden="1" s="59"/>
    <row r="11566" hidden="1" s="59"/>
    <row r="11567" hidden="1" s="59"/>
    <row r="11568" hidden="1" s="59"/>
    <row r="11569" hidden="1" s="59"/>
    <row r="11570" hidden="1" s="59"/>
    <row r="11571" hidden="1" s="59"/>
    <row r="11572" hidden="1" s="59"/>
    <row r="11573" hidden="1" s="59"/>
    <row r="11574" hidden="1" s="59"/>
    <row r="11575" hidden="1" s="59"/>
    <row r="11576" hidden="1" s="59"/>
    <row r="11577" hidden="1" s="59"/>
    <row r="11578" hidden="1" s="59"/>
    <row r="11579" hidden="1" s="59"/>
    <row r="11580" hidden="1" s="59"/>
    <row r="11581" hidden="1" s="59"/>
    <row r="11582" hidden="1" s="59"/>
    <row r="11583" hidden="1" s="59"/>
    <row r="11584" hidden="1" s="59"/>
    <row r="11585" hidden="1" s="59"/>
    <row r="11586" hidden="1" s="59"/>
    <row r="11587" hidden="1" s="59"/>
    <row r="11588" hidden="1" s="59"/>
    <row r="11589" hidden="1" s="59"/>
    <row r="11590" hidden="1" s="59"/>
    <row r="11591" hidden="1" s="59"/>
    <row r="11592" hidden="1" s="59"/>
    <row r="11593" hidden="1" s="59"/>
    <row r="11594" hidden="1" s="59"/>
    <row r="11595" hidden="1" s="59"/>
    <row r="11596" hidden="1" s="59"/>
    <row r="11597" hidden="1" s="59"/>
    <row r="11598" hidden="1" s="59"/>
    <row r="11599" hidden="1" s="59"/>
    <row r="11600" hidden="1" s="59"/>
    <row r="11601" hidden="1" s="59"/>
    <row r="11602" hidden="1" s="59"/>
    <row r="11604" hidden="1" s="59"/>
    <row r="11605" hidden="1" s="59"/>
    <row r="11606" hidden="1" s="59"/>
    <row r="11607" hidden="1" s="59"/>
    <row r="11608" hidden="1" s="59"/>
    <row r="11609" hidden="1" s="59"/>
    <row r="11610" hidden="1" s="59"/>
    <row r="11611" hidden="1" s="59"/>
    <row r="11612" hidden="1" s="59"/>
    <row r="11613" hidden="1" s="59"/>
    <row r="11614" hidden="1" s="59"/>
    <row r="11615" hidden="1" s="59"/>
    <row r="11616" hidden="1" s="59"/>
    <row r="11617" hidden="1" s="59"/>
    <row r="11618" hidden="1" s="59"/>
    <row r="11619" hidden="1" s="59"/>
    <row r="11620" hidden="1" s="59"/>
    <row r="11621" hidden="1" s="59"/>
    <row r="11622" hidden="1" s="59"/>
    <row r="11623" hidden="1" s="59"/>
    <row r="11624" hidden="1" s="59"/>
    <row r="11625" hidden="1" s="59"/>
    <row r="11626" hidden="1" s="59"/>
    <row r="11627" hidden="1" s="59"/>
    <row r="11628" hidden="1" s="59"/>
    <row r="11629" hidden="1" s="59"/>
    <row r="11630" hidden="1" s="59"/>
    <row r="11631" hidden="1" s="59"/>
    <row r="11632" hidden="1" s="59"/>
    <row r="11633" hidden="1" s="59"/>
    <row r="11634" hidden="1" s="59"/>
    <row r="11635" hidden="1" s="59"/>
    <row r="11636" hidden="1" s="59"/>
    <row r="11637" hidden="1" s="59"/>
    <row r="11638" hidden="1" s="59"/>
    <row r="11639" hidden="1" s="59"/>
    <row r="11640" hidden="1" s="59"/>
    <row r="11641" hidden="1" s="59"/>
    <row r="11642" hidden="1" s="59"/>
    <row r="11643" hidden="1" s="59"/>
    <row r="11644" hidden="1" s="59"/>
    <row r="11645" hidden="1" s="59"/>
    <row r="11646" hidden="1" s="59"/>
    <row r="11647" hidden="1" s="59"/>
    <row r="11649" hidden="1" s="59"/>
    <row r="11650" hidden="1" s="59"/>
    <row r="11651" hidden="1" s="59"/>
    <row r="11652" hidden="1" s="59"/>
    <row r="11653" hidden="1" s="59"/>
    <row r="11654" hidden="1" s="59"/>
    <row r="11655" hidden="1" s="59"/>
    <row r="11656" hidden="1" s="59"/>
    <row r="11657" hidden="1" s="59"/>
    <row r="11658" hidden="1" s="59"/>
    <row r="11659" hidden="1" s="59"/>
    <row r="11660" hidden="1" s="59"/>
    <row r="11661" hidden="1" s="59"/>
    <row r="11662" hidden="1" s="59"/>
    <row r="11663" hidden="1" s="59"/>
    <row r="11664" hidden="1" s="59"/>
    <row r="11665" hidden="1" s="59"/>
    <row r="11666" hidden="1" s="59"/>
    <row r="11667" hidden="1" s="59"/>
    <row r="11668" hidden="1" s="59"/>
    <row r="11669" hidden="1" s="59"/>
    <row r="11670" hidden="1" s="59"/>
    <row r="11671" hidden="1" s="59"/>
    <row r="11672" hidden="1" s="59"/>
    <row r="11673" hidden="1" s="59"/>
    <row r="11674" hidden="1" s="59"/>
    <row r="11675" hidden="1" s="59"/>
    <row r="11676" hidden="1" s="59"/>
    <row r="11677" hidden="1" s="59"/>
    <row r="11678" hidden="1" s="59"/>
    <row r="11679" hidden="1" s="59"/>
    <row r="11680" hidden="1" s="59"/>
    <row r="11681" hidden="1" s="59"/>
    <row r="11682" hidden="1" s="59"/>
    <row r="11683" hidden="1" s="59"/>
    <row r="11684" hidden="1" s="59"/>
    <row r="11685" hidden="1" s="59"/>
    <row r="11686" hidden="1" s="59"/>
    <row r="11687" hidden="1" s="59"/>
    <row r="11688" hidden="1" s="59"/>
    <row r="11689" hidden="1" s="59"/>
    <row r="11690" hidden="1" s="59"/>
    <row r="11691" hidden="1" s="59"/>
    <row r="11692" hidden="1" s="59"/>
    <row r="11693" hidden="1" s="59"/>
    <row r="11694" hidden="1" s="59"/>
    <row r="11695" hidden="1" s="59"/>
    <row r="11696" hidden="1" s="59"/>
    <row r="11697" hidden="1" s="59"/>
    <row r="11698" hidden="1" s="59"/>
    <row r="11699" hidden="1" s="59"/>
    <row r="11700" hidden="1" s="59"/>
    <row r="11701" hidden="1" s="59"/>
    <row r="11702" hidden="1" s="59"/>
    <row r="11703" hidden="1" s="59"/>
    <row r="11704" hidden="1" s="59"/>
    <row r="11705" hidden="1" s="59"/>
    <row r="11706" hidden="1" s="59"/>
    <row r="11707" hidden="1" s="59"/>
    <row r="11708" hidden="1" s="59"/>
    <row r="11709" hidden="1" s="59"/>
    <row r="11710" hidden="1" s="59"/>
    <row r="11711" hidden="1" s="59"/>
    <row r="11712" hidden="1" s="59"/>
    <row r="11713" hidden="1" s="59"/>
    <row r="11714" hidden="1" s="59"/>
    <row r="11715" hidden="1" s="59"/>
    <row r="11716" hidden="1" s="59"/>
    <row r="11717" hidden="1" s="59"/>
    <row r="11718" hidden="1" s="59"/>
    <row r="11719" hidden="1" s="59"/>
    <row r="11720" hidden="1" s="59"/>
    <row r="11721" hidden="1" s="59"/>
    <row r="11722" hidden="1" s="59"/>
    <row r="11723" hidden="1" s="59"/>
    <row r="11724" hidden="1" s="59"/>
    <row r="11725" hidden="1" s="59"/>
    <row r="11726" hidden="1" s="59"/>
    <row r="11727" hidden="1" s="59"/>
    <row r="11728" hidden="1" s="59"/>
    <row r="11729" hidden="1" s="59"/>
    <row r="11730" hidden="1" s="59"/>
    <row r="11731" hidden="1" s="59"/>
    <row r="11732" hidden="1" s="59"/>
    <row r="11733" hidden="1" s="59"/>
    <row r="11734" hidden="1" s="59"/>
    <row r="11735" hidden="1" s="59"/>
    <row r="11736" hidden="1" s="59"/>
    <row r="11737" hidden="1" s="59"/>
    <row r="11738" hidden="1" s="59"/>
    <row r="11739" hidden="1" s="59"/>
    <row r="11740" hidden="1" s="59"/>
    <row r="11741" hidden="1" s="59"/>
    <row r="11742" hidden="1" s="59"/>
    <row r="11743" hidden="1" s="59"/>
    <row r="11744" hidden="1" s="59"/>
    <row r="11745" hidden="1" s="59"/>
    <row r="11746" hidden="1" s="59"/>
    <row r="11747" hidden="1" s="59"/>
    <row r="11748" hidden="1" s="59"/>
    <row r="11749" hidden="1" s="59"/>
    <row r="11750" hidden="1" s="59"/>
    <row r="11751" hidden="1" s="59"/>
    <row r="11752" hidden="1" s="59"/>
    <row r="11753" hidden="1" s="59"/>
    <row r="11754" hidden="1" s="59"/>
    <row r="11755" hidden="1" s="59"/>
    <row r="11756" hidden="1" s="59"/>
    <row r="11757" hidden="1" s="59"/>
    <row r="11758" hidden="1" s="59"/>
    <row r="11759" hidden="1" s="59"/>
    <row r="11760" hidden="1" s="59"/>
    <row r="11761" hidden="1" s="59"/>
    <row r="11762" hidden="1" s="59"/>
    <row r="11763" hidden="1" s="59"/>
    <row r="11764" hidden="1" s="59"/>
    <row r="11765" hidden="1" s="59"/>
    <row r="11766" hidden="1" s="59"/>
    <row r="11767" hidden="1" s="59"/>
    <row r="11768" hidden="1" s="59"/>
    <row r="11769" hidden="1" s="59"/>
    <row r="11770" hidden="1" s="59"/>
    <row r="11771" hidden="1" s="59"/>
    <row r="11772" hidden="1" s="59"/>
    <row r="11773" hidden="1" s="59"/>
    <row r="11774" hidden="1" s="59"/>
    <row r="11775" hidden="1" s="59"/>
    <row r="11776" hidden="1" s="59"/>
    <row r="11777" hidden="1" s="59"/>
    <row r="11778" hidden="1" s="59"/>
    <row r="11779" hidden="1" s="59"/>
    <row r="11780" hidden="1" s="59"/>
    <row r="11781" hidden="1" s="59"/>
    <row r="11782" hidden="1" s="59"/>
    <row r="11783" hidden="1" s="59"/>
    <row r="11784" hidden="1" s="59"/>
    <row r="11785" hidden="1" s="59"/>
    <row r="11786" hidden="1" s="59"/>
    <row r="11787" hidden="1" s="59"/>
    <row r="11788" hidden="1" s="59"/>
    <row r="11789" hidden="1" s="59"/>
    <row r="11790" hidden="1" s="59"/>
    <row r="11791" hidden="1" s="59"/>
    <row r="11792" hidden="1" s="59"/>
    <row r="11793" hidden="1" s="59"/>
    <row r="11794" hidden="1" s="59"/>
    <row r="11795" hidden="1" s="59"/>
    <row r="11796" hidden="1" s="59"/>
    <row r="11797" hidden="1" s="59"/>
    <row r="11798" hidden="1" s="59"/>
    <row r="11799" hidden="1" s="59"/>
    <row r="11800" hidden="1" s="59"/>
    <row r="11801" hidden="1" s="59"/>
    <row r="11802" hidden="1" s="59"/>
    <row r="11803" hidden="1" s="59"/>
    <row r="11804" hidden="1" s="59"/>
    <row r="11805" hidden="1" s="59"/>
    <row r="11806" hidden="1" s="59"/>
    <row r="11807" hidden="1" s="59"/>
    <row r="11808" hidden="1" s="59"/>
    <row r="11809" hidden="1" s="59"/>
    <row r="11810" hidden="1" s="59"/>
    <row r="11811" hidden="1" s="59"/>
    <row r="11812" hidden="1" s="59"/>
    <row r="11813" hidden="1" s="59"/>
    <row r="11814" hidden="1" s="59"/>
    <row r="11815" hidden="1" s="59"/>
    <row r="11816" hidden="1" s="59"/>
    <row r="11817" hidden="1" s="59"/>
    <row r="11818" hidden="1" s="59"/>
    <row r="11819" hidden="1" s="59"/>
    <row r="11820" hidden="1" s="59"/>
    <row r="11821" hidden="1" s="59"/>
    <row r="11822" hidden="1" s="59"/>
    <row r="11823" hidden="1" s="59"/>
    <row r="11824" hidden="1" s="59"/>
    <row r="11825" hidden="1" s="59"/>
    <row r="11826" hidden="1" s="59"/>
    <row r="11827" hidden="1" s="59"/>
    <row r="11828" hidden="1" s="59"/>
    <row r="11829" hidden="1" s="59"/>
    <row r="11830" hidden="1" s="59"/>
    <row r="11831" hidden="1" s="59"/>
    <row r="11832" hidden="1" s="59"/>
    <row r="11833" hidden="1" s="59"/>
    <row r="11834" hidden="1" s="59"/>
    <row r="11835" hidden="1" s="59"/>
    <row r="11836" hidden="1" s="59"/>
    <row r="11837" hidden="1" s="59"/>
    <row r="11838" hidden="1" s="59"/>
    <row r="11839" hidden="1" s="59"/>
    <row r="11840" hidden="1" s="59"/>
    <row r="11841" hidden="1" s="59"/>
    <row r="11842" hidden="1" s="59"/>
    <row r="11843" hidden="1" s="59"/>
    <row r="11844" hidden="1" s="59"/>
    <row r="11845" hidden="1" s="59"/>
    <row r="11846" hidden="1" s="59"/>
    <row r="11847" hidden="1" s="59"/>
    <row r="11848" hidden="1" s="59"/>
    <row r="11849" hidden="1" s="59"/>
    <row r="11850" hidden="1" s="59"/>
    <row r="11851" hidden="1" s="59"/>
    <row r="11852" hidden="1" s="59"/>
    <row r="11853" hidden="1" s="59"/>
    <row r="11854" hidden="1" s="59"/>
    <row r="11855" hidden="1" s="59"/>
    <row r="11856" hidden="1" s="59"/>
    <row r="11857" hidden="1" s="59"/>
    <row r="11858" hidden="1" s="59"/>
    <row r="11859" hidden="1" s="59"/>
    <row r="11860" hidden="1" s="59"/>
    <row r="11861" hidden="1" s="59"/>
    <row r="11862" hidden="1" s="59"/>
    <row r="11863" hidden="1" s="59"/>
    <row r="11864" hidden="1" s="59"/>
    <row r="11865" hidden="1" s="59"/>
    <row r="11866" hidden="1" s="59"/>
    <row r="11867" hidden="1" s="59"/>
    <row r="11868" hidden="1" s="59"/>
    <row r="11869" hidden="1" s="59"/>
    <row r="11870" hidden="1" s="59"/>
    <row r="11871" hidden="1" s="59"/>
    <row r="11872" hidden="1" s="59"/>
    <row r="11873" hidden="1" s="59"/>
    <row r="11874" hidden="1" s="59"/>
    <row r="11875" hidden="1" s="59"/>
    <row r="11876" hidden="1" s="59"/>
    <row r="11877" hidden="1" s="59"/>
    <row r="11878" hidden="1" s="59"/>
    <row r="11879" hidden="1" s="59"/>
    <row r="11880" hidden="1" s="59"/>
    <row r="11881" hidden="1" s="59"/>
    <row r="11882" hidden="1" s="59"/>
    <row r="11883" hidden="1" s="59"/>
    <row r="11884" hidden="1" s="59"/>
    <row r="11885" hidden="1" s="59"/>
    <row r="11886" hidden="1" s="59"/>
    <row r="11887" hidden="1" s="59"/>
    <row r="11888" hidden="1" s="59"/>
    <row r="11889" hidden="1" s="59"/>
    <row r="11890" hidden="1" s="59"/>
    <row r="11891" hidden="1" s="59"/>
    <row r="11892" hidden="1" s="59"/>
    <row r="11893" hidden="1" s="59"/>
    <row r="11894" hidden="1" s="59"/>
    <row r="11895" hidden="1" s="59"/>
    <row r="11896" hidden="1" s="59"/>
    <row r="11897" hidden="1" s="59"/>
    <row r="11898" hidden="1" s="59"/>
    <row r="11899" hidden="1" s="59"/>
    <row r="11900" hidden="1" s="59"/>
    <row r="11901" hidden="1" s="59"/>
    <row r="11902" hidden="1" s="59"/>
    <row r="11903" hidden="1" s="59"/>
    <row r="11904" hidden="1" s="59"/>
    <row r="11905" hidden="1" s="59"/>
    <row r="11906" hidden="1" s="59"/>
    <row r="11907" hidden="1" s="59"/>
    <row r="11908" hidden="1" s="59"/>
    <row r="11909" hidden="1" s="59"/>
    <row r="11910" hidden="1" s="59"/>
    <row r="11911" hidden="1" s="59"/>
    <row r="11912" hidden="1" s="59"/>
    <row r="11913" hidden="1" s="59"/>
    <row r="11914" hidden="1" s="59"/>
    <row r="11915" hidden="1" s="59"/>
    <row r="11916" hidden="1" s="59"/>
    <row r="11917" hidden="1" s="59"/>
    <row r="11918" hidden="1" s="59"/>
    <row r="11919" hidden="1" s="59"/>
    <row r="11920" hidden="1" s="59"/>
    <row r="11921" hidden="1" s="59"/>
    <row r="11922" hidden="1" s="59"/>
    <row r="11923" hidden="1" s="59"/>
    <row r="11924" hidden="1" s="59"/>
    <row r="11925" hidden="1" s="59"/>
    <row r="11926" hidden="1" s="59"/>
    <row r="11927" hidden="1" s="59"/>
    <row r="11928" hidden="1" s="59"/>
    <row r="11929" hidden="1" s="59"/>
    <row r="11930" hidden="1" s="59"/>
    <row r="11931" hidden="1" s="59"/>
    <row r="11932" hidden="1" s="59"/>
    <row r="11933" hidden="1" s="59"/>
    <row r="11934" hidden="1" s="59"/>
    <row r="11935" hidden="1" s="59"/>
    <row r="11936" hidden="1" s="59"/>
    <row r="11937" hidden="1" s="59"/>
    <row r="11938" hidden="1" s="59"/>
    <row r="11939" hidden="1" s="59"/>
    <row r="11940" hidden="1" s="59"/>
    <row r="11941" hidden="1" s="59"/>
    <row r="11942" hidden="1" s="59"/>
    <row r="11943" hidden="1" s="59"/>
    <row r="11944" hidden="1" s="59"/>
    <row r="11945" hidden="1" s="59"/>
    <row r="11946" hidden="1" s="59"/>
    <row r="11947" hidden="1" s="59"/>
    <row r="11948" hidden="1" s="59"/>
    <row r="11949" hidden="1" s="59"/>
    <row r="11950" hidden="1" s="59"/>
    <row r="11951" hidden="1" s="59"/>
    <row r="11952" hidden="1" s="59"/>
    <row r="11953" hidden="1" s="59"/>
    <row r="11954" hidden="1" s="59"/>
    <row r="11955" hidden="1" s="59"/>
    <row r="11956" hidden="1" s="59"/>
    <row r="11957" hidden="1" s="59"/>
    <row r="11958" hidden="1" s="59"/>
    <row r="11959" hidden="1" s="59"/>
    <row r="11960" hidden="1" s="59"/>
    <row r="11961" hidden="1" s="59"/>
    <row r="11962" hidden="1" s="59"/>
    <row r="11963" hidden="1" s="59"/>
    <row r="11964" hidden="1" s="59"/>
    <row r="11965" hidden="1" s="59"/>
    <row r="11966" hidden="1" s="59"/>
    <row r="11967" hidden="1" s="59"/>
    <row r="11968" hidden="1" s="59"/>
    <row r="11969" hidden="1" s="59"/>
    <row r="11970" hidden="1" s="59"/>
    <row r="11971" hidden="1" s="59"/>
    <row r="11972" hidden="1" s="59"/>
    <row r="11973" hidden="1" s="59"/>
    <row r="11974" hidden="1" s="59"/>
    <row r="11975" hidden="1" s="59"/>
    <row r="11976" hidden="1" s="59"/>
    <row r="11977" hidden="1" s="59"/>
    <row r="11978" hidden="1" s="59"/>
    <row r="11979" hidden="1" s="59"/>
    <row r="11980" hidden="1" s="59"/>
    <row r="11981" hidden="1" s="59"/>
    <row r="11982" hidden="1" s="59"/>
    <row r="11983" hidden="1" s="59"/>
    <row r="11984" hidden="1" s="59"/>
    <row r="11985" hidden="1" s="59"/>
    <row r="11986" hidden="1" s="59"/>
    <row r="11987" hidden="1" s="59"/>
    <row r="11988" hidden="1" s="59"/>
    <row r="11989" hidden="1" s="59"/>
    <row r="11990" hidden="1" s="59"/>
    <row r="11991" hidden="1" s="59"/>
    <row r="11992" hidden="1" s="59"/>
    <row r="11993" hidden="1" s="59"/>
    <row r="11994" hidden="1" s="59"/>
    <row r="11995" hidden="1" s="59"/>
    <row r="11996" hidden="1" s="59"/>
    <row r="11997" hidden="1" s="59"/>
    <row r="11998" hidden="1" s="59"/>
    <row r="11999" hidden="1" s="59"/>
    <row r="12000" hidden="1" s="59"/>
    <row r="12001" hidden="1" s="59"/>
    <row r="12002" hidden="1" s="59"/>
    <row r="12003" hidden="1" s="59"/>
    <row r="12004" hidden="1" s="59"/>
    <row r="12005" hidden="1" s="59"/>
    <row r="12006" hidden="1" s="59"/>
    <row r="12007" hidden="1" s="59"/>
    <row r="12008" hidden="1" s="59"/>
    <row r="12009" hidden="1" s="59"/>
    <row r="12010" hidden="1" s="59"/>
    <row r="12011" hidden="1" s="59"/>
    <row r="12012" hidden="1" s="59"/>
    <row r="12013" hidden="1" s="59"/>
    <row r="12014" hidden="1" s="59"/>
    <row r="12015" hidden="1" s="59"/>
    <row r="12016" hidden="1" s="59"/>
    <row r="12017" hidden="1" s="59"/>
    <row r="12018" hidden="1" s="59"/>
    <row r="12019" hidden="1" s="59"/>
    <row r="12020" hidden="1" s="59"/>
    <row r="12021" hidden="1" s="59"/>
    <row r="12022" hidden="1" s="59"/>
    <row r="12023" hidden="1" s="59"/>
    <row r="12024" hidden="1" s="59"/>
    <row r="12025" hidden="1" s="59"/>
    <row r="12026" hidden="1" s="59"/>
    <row r="12027" hidden="1" s="59"/>
    <row r="12028" hidden="1" s="59"/>
    <row r="12029" hidden="1" s="59"/>
    <row r="12030" hidden="1" s="59"/>
    <row r="12031" hidden="1" s="59"/>
    <row r="12032" hidden="1" s="59"/>
    <row r="12033" hidden="1" s="59"/>
    <row r="12034" hidden="1" s="59"/>
    <row r="12035" hidden="1" s="59"/>
    <row r="12036" hidden="1" s="59"/>
    <row r="12037" hidden="1" s="59"/>
    <row r="12038" hidden="1" s="59"/>
    <row r="12039" hidden="1" s="59"/>
    <row r="12040" hidden="1" s="59"/>
    <row r="12041" hidden="1" s="59"/>
    <row r="12042" hidden="1" s="59"/>
    <row r="12043" hidden="1" s="59"/>
    <row r="12044" hidden="1" s="59"/>
    <row r="12045" hidden="1" s="59"/>
    <row r="12046" hidden="1" s="59"/>
    <row r="12047" hidden="1" s="59"/>
    <row r="12048" hidden="1" s="59"/>
    <row r="12049" hidden="1" s="59"/>
    <row r="12050" hidden="1" s="59"/>
    <row r="12051" hidden="1" s="59"/>
    <row r="12052" hidden="1" s="59"/>
    <row r="12053" hidden="1" s="59"/>
    <row r="12054" hidden="1" s="59"/>
    <row r="12055" hidden="1" s="59"/>
    <row r="12056" hidden="1" s="59"/>
    <row r="12057" hidden="1" s="59"/>
    <row r="12058" hidden="1" s="59"/>
    <row r="12059" hidden="1" s="59"/>
    <row r="12060" hidden="1" s="59"/>
    <row r="12061" hidden="1" s="59"/>
    <row r="12062" hidden="1" s="59"/>
    <row r="12063" hidden="1" s="59"/>
    <row r="12064" hidden="1" s="59"/>
    <row r="12065" hidden="1" s="59"/>
    <row r="12066" hidden="1" s="59"/>
    <row r="12067" hidden="1" s="59"/>
    <row r="12068" hidden="1" s="59"/>
    <row r="12069" hidden="1" s="59"/>
    <row r="12070" hidden="1" s="59"/>
    <row r="12071" hidden="1" s="59"/>
    <row r="12072" hidden="1" s="59"/>
    <row r="12073" hidden="1" s="59"/>
    <row r="12074" hidden="1" s="59"/>
    <row r="12075" hidden="1" s="59"/>
    <row r="12076" hidden="1" s="59"/>
    <row r="12077" hidden="1" s="59"/>
    <row r="12078" hidden="1" s="59"/>
    <row r="12079" hidden="1" s="59"/>
    <row r="12080" hidden="1" s="59"/>
    <row r="12081" hidden="1" s="59"/>
    <row r="12082" hidden="1" s="59"/>
    <row r="12083" hidden="1" s="59"/>
    <row r="12084" hidden="1" s="59"/>
    <row r="12085" hidden="1" s="59"/>
    <row r="12086" hidden="1" s="59"/>
    <row r="12087" hidden="1" s="59"/>
    <row r="12088" hidden="1" s="59"/>
    <row r="12089" hidden="1" s="59"/>
    <row r="12090" hidden="1" s="59"/>
    <row r="12091" hidden="1" s="59"/>
    <row r="12092" hidden="1" s="59"/>
    <row r="12093" hidden="1" s="59"/>
    <row r="12094" hidden="1" s="59"/>
    <row r="12095" hidden="1" s="59"/>
    <row r="12096" hidden="1" s="59"/>
    <row r="12097" hidden="1" s="59"/>
    <row r="12098" hidden="1" s="59"/>
    <row r="12099" hidden="1" s="59"/>
    <row r="12100" hidden="1" s="59"/>
    <row r="12101" hidden="1" s="59"/>
    <row r="12102" hidden="1" s="59"/>
    <row r="12103" hidden="1" s="59"/>
    <row r="12104" hidden="1" s="59"/>
    <row r="12105" hidden="1" s="59"/>
    <row r="12106" hidden="1" s="59"/>
    <row r="12107" hidden="1" s="59"/>
    <row r="12108" hidden="1" s="59"/>
    <row r="12109" hidden="1" s="59"/>
    <row r="12110" hidden="1" s="59"/>
    <row r="12111" hidden="1" s="59"/>
    <row r="12112" hidden="1" s="59"/>
    <row r="12113" hidden="1" s="59"/>
    <row r="12114" hidden="1" s="59"/>
    <row r="12115" hidden="1" s="59"/>
    <row r="12116" hidden="1" s="59"/>
    <row r="12117" hidden="1" s="59"/>
    <row r="12118" hidden="1" s="59"/>
    <row r="12119" hidden="1" s="59"/>
    <row r="12120" hidden="1" s="59"/>
    <row r="12121" hidden="1" s="59"/>
    <row r="12122" hidden="1" s="59"/>
    <row r="12123" hidden="1" s="59"/>
    <row r="12124" hidden="1" s="59"/>
    <row r="12125" hidden="1" s="59"/>
    <row r="12126" hidden="1" s="59"/>
    <row r="12127" hidden="1" s="59"/>
    <row r="12128" hidden="1" s="59"/>
    <row r="12129" hidden="1" s="59"/>
    <row r="12130" hidden="1" s="59"/>
    <row r="12131" hidden="1" s="59"/>
    <row r="12132" hidden="1" s="59"/>
    <row r="12133" hidden="1" s="59"/>
    <row r="12134" hidden="1" s="59"/>
    <row r="12135" hidden="1" s="59"/>
    <row r="12136" hidden="1" s="59"/>
    <row r="12137" hidden="1" s="59"/>
    <row r="12138" hidden="1" s="59"/>
    <row r="12139" hidden="1" s="59"/>
    <row r="12140" hidden="1" s="59"/>
    <row r="12141" hidden="1" s="59"/>
    <row r="12142" hidden="1" s="59"/>
    <row r="12143" hidden="1" s="59"/>
    <row r="12144" hidden="1" s="59"/>
    <row r="12145" hidden="1" s="59"/>
    <row r="12146" hidden="1" s="59"/>
    <row r="12147" hidden="1" s="59"/>
    <row r="12148" hidden="1" s="59"/>
    <row r="12149" hidden="1" s="59"/>
    <row r="12150" hidden="1" s="59"/>
    <row r="12151" hidden="1" s="59"/>
    <row r="12152" hidden="1" s="59"/>
    <row r="12153" hidden="1" s="59"/>
    <row r="12154" hidden="1" s="59"/>
    <row r="12155" hidden="1" s="59"/>
    <row r="12156" hidden="1" s="59"/>
    <row r="12157" hidden="1" s="59"/>
    <row r="12158" hidden="1" s="59"/>
    <row r="12159" hidden="1" s="59"/>
    <row r="12160" hidden="1" s="59"/>
    <row r="12161" hidden="1" s="59"/>
    <row r="12162" hidden="1" s="59"/>
    <row r="12163" hidden="1" s="59"/>
    <row r="12164" hidden="1" s="59"/>
    <row r="12165" hidden="1" s="59"/>
    <row r="12166" hidden="1" s="59"/>
    <row r="12167" hidden="1" s="59"/>
    <row r="12168" hidden="1" s="59"/>
    <row r="12169" hidden="1" s="59"/>
    <row r="12170" hidden="1" s="59"/>
    <row r="12171" hidden="1" s="59"/>
    <row r="12172" hidden="1" s="59"/>
    <row r="12173" hidden="1" s="59"/>
    <row r="12174" hidden="1" s="59"/>
    <row r="12175" hidden="1" s="59"/>
    <row r="12176" hidden="1" s="59"/>
    <row r="12177" hidden="1" s="59"/>
    <row r="12178" hidden="1" s="59"/>
    <row r="12179" hidden="1" s="59"/>
    <row r="12180" hidden="1" s="59"/>
    <row r="12181" hidden="1" s="59"/>
    <row r="12182" hidden="1" s="59"/>
    <row r="12183" hidden="1" s="59"/>
    <row r="12184" hidden="1" s="59"/>
    <row r="12185" hidden="1" s="59"/>
    <row r="12186" hidden="1" s="59"/>
    <row r="12187" hidden="1" s="59"/>
    <row r="12188" hidden="1" s="59"/>
    <row r="12189" hidden="1" s="59"/>
    <row r="12190" hidden="1" s="59"/>
    <row r="12191" hidden="1" s="59"/>
    <row r="12192" hidden="1" s="59"/>
    <row r="12193" hidden="1" s="59"/>
    <row r="12194" hidden="1" s="59"/>
    <row r="12195" hidden="1" s="59"/>
    <row r="12196" hidden="1" s="59"/>
    <row r="12197" hidden="1" s="59"/>
    <row r="12198" hidden="1" s="59"/>
    <row r="12199" hidden="1" s="59"/>
    <row r="12200" hidden="1" s="59"/>
    <row r="12201" hidden="1" s="59"/>
    <row r="12202" hidden="1" s="59"/>
    <row r="12203" hidden="1" s="59"/>
    <row r="12204" hidden="1" s="59"/>
    <row r="12205" hidden="1" s="59"/>
    <row r="12206" hidden="1" s="59"/>
    <row r="12207" hidden="1" s="59"/>
    <row r="12208" hidden="1" s="59"/>
    <row r="12209" hidden="1" s="59"/>
    <row r="12210" hidden="1" s="59"/>
    <row r="12211" hidden="1" s="59"/>
    <row r="12212" hidden="1" s="59"/>
    <row r="12213" hidden="1" s="59"/>
    <row r="12214" hidden="1" s="59"/>
    <row r="12215" hidden="1" s="59"/>
    <row r="12216" hidden="1" s="59"/>
    <row r="12217" hidden="1" s="59"/>
    <row r="12218" hidden="1" s="59"/>
    <row r="12219" hidden="1" s="59"/>
    <row r="12220" hidden="1" s="59"/>
    <row r="12221" hidden="1" s="59"/>
    <row r="12222" hidden="1" s="59"/>
    <row r="12223" hidden="1" s="59"/>
    <row r="12224" hidden="1" s="59"/>
    <row r="12225" hidden="1" s="59"/>
    <row r="12226" hidden="1" s="59"/>
    <row r="12227" hidden="1" s="59"/>
    <row r="12228" hidden="1" s="59"/>
    <row r="12229" hidden="1" s="59"/>
    <row r="12230" hidden="1" s="59"/>
    <row r="12231" hidden="1" s="59"/>
    <row r="12232" hidden="1" s="59"/>
    <row r="12233" hidden="1" s="59"/>
    <row r="12234" hidden="1" s="59"/>
    <row r="12235" hidden="1" s="59"/>
    <row r="12236" hidden="1" s="59"/>
    <row r="12237" hidden="1" s="59"/>
    <row r="12238" hidden="1" s="59"/>
    <row r="12239" hidden="1" s="59"/>
    <row r="12240" hidden="1" s="59"/>
    <row r="12241" hidden="1" s="59"/>
    <row r="12242" hidden="1" s="59"/>
    <row r="12243" hidden="1" s="59"/>
    <row r="12244" hidden="1" s="59"/>
    <row r="12245" hidden="1" s="59"/>
    <row r="12246" hidden="1" s="59"/>
    <row r="12247" hidden="1" s="59"/>
    <row r="12248" hidden="1" s="59"/>
    <row r="12249" hidden="1" s="59"/>
    <row r="12250" hidden="1" s="59"/>
    <row r="12251" hidden="1" s="59"/>
    <row r="12252" hidden="1" s="59"/>
    <row r="12253" hidden="1" s="59"/>
    <row r="12254" hidden="1" s="59"/>
    <row r="12255" hidden="1" s="59"/>
    <row r="12256" hidden="1" s="59"/>
    <row r="12257" hidden="1" s="59"/>
    <row r="12258" hidden="1" s="59"/>
    <row r="12259" hidden="1" s="59"/>
    <row r="12260" hidden="1" s="59"/>
    <row r="12261" hidden="1" s="59"/>
    <row r="12262" hidden="1" s="59"/>
    <row r="12263" hidden="1" s="59"/>
    <row r="12264" hidden="1" s="59"/>
    <row r="12265" hidden="1" s="59"/>
    <row r="12266" hidden="1" s="59"/>
    <row r="12267" hidden="1" s="59"/>
    <row r="12268" hidden="1" s="59"/>
    <row r="12269" hidden="1" s="59"/>
    <row r="12270" hidden="1" s="59"/>
    <row r="12271" hidden="1" s="59"/>
    <row r="12272" hidden="1" s="59"/>
    <row r="12273" hidden="1" s="59"/>
    <row r="12274" hidden="1" s="59"/>
    <row r="12275" hidden="1" s="59"/>
    <row r="12276" hidden="1" s="59"/>
    <row r="12277" hidden="1" s="59"/>
    <row r="12278" hidden="1" s="59"/>
    <row r="12279" hidden="1" s="59"/>
    <row r="12280" hidden="1" s="59"/>
    <row r="12281" hidden="1" s="59"/>
    <row r="12282" hidden="1" s="59"/>
    <row r="12283" hidden="1" s="59"/>
    <row r="12284" hidden="1" s="59"/>
    <row r="12285" hidden="1" s="59"/>
    <row r="12286" hidden="1" s="59"/>
    <row r="12287" hidden="1" s="59"/>
    <row r="12288" hidden="1" s="59"/>
    <row r="12289" hidden="1" s="59"/>
    <row r="12290" hidden="1" s="59"/>
    <row r="12291" hidden="1" s="59"/>
    <row r="12292" hidden="1" s="59"/>
    <row r="12293" hidden="1" s="59"/>
    <row r="12294" hidden="1" s="59"/>
    <row r="12295" hidden="1" s="59"/>
    <row r="12296" hidden="1" s="59"/>
    <row r="12297" hidden="1" s="59"/>
    <row r="12298" hidden="1" s="59"/>
    <row r="12299" hidden="1" s="59"/>
    <row r="12300" hidden="1" s="59"/>
    <row r="12301" hidden="1" s="59"/>
    <row r="12302" hidden="1" s="59"/>
    <row r="12303" hidden="1" s="59"/>
    <row r="12304" hidden="1" s="59"/>
    <row r="12305" hidden="1" s="59"/>
    <row r="12306" hidden="1" s="59"/>
    <row r="12307" hidden="1" s="59"/>
    <row r="12308" hidden="1" s="59"/>
    <row r="12309" hidden="1" s="59"/>
    <row r="12310" hidden="1" s="59"/>
    <row r="12311" hidden="1" s="59"/>
    <row r="12312" hidden="1" s="59"/>
    <row r="12313" hidden="1" s="59"/>
    <row r="12314" hidden="1" s="59"/>
    <row r="12315" hidden="1" s="59"/>
    <row r="12316" hidden="1" s="59"/>
    <row r="12317" hidden="1" s="59"/>
    <row r="12318" hidden="1" s="59"/>
    <row r="12319" hidden="1" s="59"/>
    <row r="12320" hidden="1" s="59"/>
    <row r="12321" hidden="1" s="59"/>
    <row r="12322" hidden="1" s="59"/>
    <row r="12323" hidden="1" s="59"/>
    <row r="12324" hidden="1" s="59"/>
    <row r="12325" hidden="1" s="59"/>
    <row r="12326" hidden="1" s="59"/>
    <row r="12327" hidden="1" s="59"/>
    <row r="12328" hidden="1" s="59"/>
    <row r="12329" hidden="1" s="59"/>
    <row r="12330" hidden="1" s="59"/>
    <row r="12331" hidden="1" s="59"/>
    <row r="12332" hidden="1" s="59"/>
    <row r="12333" hidden="1" s="59"/>
    <row r="12334" hidden="1" s="59"/>
    <row r="12335" hidden="1" s="59"/>
    <row r="12336" hidden="1" s="59"/>
    <row r="12337" hidden="1" s="59"/>
    <row r="12338" hidden="1" s="59"/>
    <row r="12339" hidden="1" s="59"/>
    <row r="12340" hidden="1" s="59"/>
    <row r="12341" hidden="1" s="59"/>
    <row r="12342" hidden="1" s="59"/>
    <row r="12343" hidden="1" s="59"/>
    <row r="12344" hidden="1" s="59"/>
    <row r="12345" hidden="1" s="59"/>
    <row r="12346" hidden="1" s="59"/>
    <row r="12347" hidden="1" s="59"/>
    <row r="12348" hidden="1" s="59"/>
    <row r="12349" hidden="1" s="59"/>
    <row r="12350" hidden="1" s="59"/>
    <row r="12351" hidden="1" s="59"/>
    <row r="12352" hidden="1" s="59"/>
    <row r="12353" hidden="1" s="59"/>
    <row r="12354" hidden="1" s="59"/>
    <row r="12355" hidden="1" s="59"/>
    <row r="12356" hidden="1" s="59"/>
    <row r="12357" hidden="1" s="59"/>
    <row r="12358" hidden="1" s="59"/>
    <row r="12359" hidden="1" s="59"/>
    <row r="12360" hidden="1" s="59"/>
    <row r="12361" hidden="1" s="59"/>
    <row r="12362" hidden="1" s="59"/>
    <row r="12363" hidden="1" s="59"/>
    <row r="12364" hidden="1" s="59"/>
    <row r="12365" hidden="1" s="59"/>
    <row r="12366" hidden="1" s="59"/>
    <row r="12367" hidden="1" s="59"/>
    <row r="12368" hidden="1" s="59"/>
    <row r="12369" hidden="1" s="59"/>
    <row r="12370" hidden="1" s="59"/>
    <row r="12371" hidden="1" s="59"/>
    <row r="12372" hidden="1" s="59"/>
    <row r="12373" hidden="1" s="59"/>
    <row r="12374" hidden="1" s="59"/>
    <row r="12375" hidden="1" s="59"/>
    <row r="12376" hidden="1" s="59"/>
    <row r="12377" hidden="1" s="59"/>
    <row r="12378" hidden="1" s="59"/>
    <row r="12379" hidden="1" s="59"/>
    <row r="12380" hidden="1" s="59"/>
    <row r="12381" hidden="1" s="59"/>
    <row r="12382" hidden="1" s="59"/>
    <row r="12383" hidden="1" s="59"/>
    <row r="12384" hidden="1" s="59"/>
    <row r="12385" hidden="1" s="59"/>
    <row r="12386" hidden="1" s="59"/>
    <row r="12387" hidden="1" s="59"/>
    <row r="12388" hidden="1" s="59"/>
    <row r="12389" hidden="1" s="59"/>
    <row r="12390" hidden="1" s="59"/>
    <row r="12391" hidden="1" s="59"/>
    <row r="12392" hidden="1" s="59"/>
    <row r="12393" hidden="1" s="59"/>
    <row r="12394" hidden="1" s="59"/>
    <row r="12395" hidden="1" s="59"/>
    <row r="12396" hidden="1" s="59"/>
    <row r="12397" hidden="1" s="59"/>
    <row r="12398" hidden="1" s="59"/>
    <row r="12399" hidden="1" s="59"/>
    <row r="12400" hidden="1" s="59"/>
    <row r="12401" hidden="1" s="59"/>
    <row r="12402" hidden="1" s="59"/>
    <row r="12403" hidden="1" s="59"/>
    <row r="12404" hidden="1" s="59"/>
    <row r="12405" hidden="1" s="59"/>
    <row r="12406" hidden="1" s="59"/>
    <row r="12407" hidden="1" s="59"/>
    <row r="12408" hidden="1" s="59"/>
    <row r="12409" hidden="1" s="59"/>
    <row r="12410" hidden="1" s="59"/>
    <row r="12411" hidden="1" s="59"/>
    <row r="12412" hidden="1" s="59"/>
    <row r="12413" hidden="1" s="59"/>
    <row r="12414" hidden="1" s="59"/>
    <row r="12415" hidden="1" s="59"/>
    <row r="12416" hidden="1" s="59"/>
    <row r="12417" hidden="1" s="59"/>
    <row r="12418" hidden="1" s="59"/>
    <row r="12419" hidden="1" s="59"/>
    <row r="12420" hidden="1" s="59"/>
    <row r="12421" hidden="1" s="59"/>
    <row r="12422" hidden="1" s="59"/>
    <row r="12423" hidden="1" s="59"/>
    <row r="12424" hidden="1" s="59"/>
    <row r="12425" hidden="1" s="59"/>
    <row r="12426" hidden="1" s="59"/>
    <row r="12427" hidden="1" s="59"/>
    <row r="12428" hidden="1" s="59"/>
    <row r="12429" hidden="1" s="59"/>
    <row r="12430" hidden="1" s="59"/>
    <row r="12431" hidden="1" s="59"/>
    <row r="12432" hidden="1" s="59"/>
    <row r="12433" hidden="1" s="59"/>
    <row r="12434" hidden="1" s="59"/>
    <row r="12435" hidden="1" s="59"/>
    <row r="12436" hidden="1" s="59"/>
    <row r="12437" hidden="1" s="59"/>
    <row r="12438" hidden="1" s="59"/>
    <row r="12439" hidden="1" s="59"/>
    <row r="12440" hidden="1" s="59"/>
    <row r="12441" hidden="1" s="59"/>
    <row r="12442" hidden="1" s="59"/>
    <row r="12443" hidden="1" s="59"/>
    <row r="12444" hidden="1" s="59"/>
    <row r="12445" hidden="1" s="59"/>
    <row r="12446" hidden="1" s="59"/>
    <row r="12447" hidden="1" s="59"/>
    <row r="12448" hidden="1" s="59"/>
    <row r="12449" hidden="1" s="59"/>
    <row r="12450" hidden="1" s="59"/>
    <row r="12451" hidden="1" s="59"/>
    <row r="12452" hidden="1" s="59"/>
    <row r="12453" hidden="1" s="59"/>
    <row r="12454" hidden="1" s="59"/>
    <row r="12455" hidden="1" s="59"/>
    <row r="12456" hidden="1" s="59"/>
    <row r="12457" hidden="1" s="59"/>
    <row r="12458" hidden="1" s="59"/>
    <row r="12459" hidden="1" s="59"/>
    <row r="12460" hidden="1" s="59"/>
    <row r="12461" hidden="1" s="59"/>
    <row r="12462" hidden="1" s="59"/>
    <row r="12463" hidden="1" s="59"/>
    <row r="12464" hidden="1" s="59"/>
    <row r="12465" hidden="1" s="59"/>
    <row r="12466" hidden="1" s="59"/>
    <row r="12467" hidden="1" s="59"/>
    <row r="12468" hidden="1" s="59"/>
    <row r="12469" hidden="1" s="59"/>
    <row r="12470" hidden="1" s="59"/>
    <row r="12471" hidden="1" s="59"/>
    <row r="12472" hidden="1" s="59"/>
    <row r="12473" hidden="1" s="59"/>
    <row r="12474" hidden="1" s="59"/>
    <row r="12475" hidden="1" s="59"/>
    <row r="12476" hidden="1" s="59"/>
    <row r="12477" hidden="1" s="59"/>
    <row r="12478" hidden="1" s="59"/>
    <row r="12479" hidden="1" s="59"/>
    <row r="12480" hidden="1" s="59"/>
    <row r="12481" hidden="1" s="59"/>
    <row r="12482" hidden="1" s="59"/>
    <row r="12483" hidden="1" s="59"/>
    <row r="12484" hidden="1" s="59"/>
    <row r="12485" hidden="1" s="59"/>
    <row r="12486" hidden="1" s="59"/>
    <row r="12487" hidden="1" s="59"/>
    <row r="12488" hidden="1" s="59"/>
    <row r="12489" hidden="1" s="59"/>
    <row r="12490" hidden="1" s="59"/>
    <row r="12491" hidden="1" s="59"/>
    <row r="12492" hidden="1" s="59"/>
    <row r="12493" hidden="1" s="59"/>
    <row r="12494" hidden="1" s="59"/>
    <row r="12495" hidden="1" s="59"/>
    <row r="12496" hidden="1" s="59"/>
    <row r="12497" hidden="1" s="59"/>
    <row r="12498" hidden="1" s="59"/>
    <row r="12499" hidden="1" s="59"/>
    <row r="12500" hidden="1" s="59"/>
    <row r="12501" hidden="1" s="59"/>
    <row r="12502" hidden="1" s="59"/>
    <row r="12503" hidden="1" s="59"/>
    <row r="12504" hidden="1" s="59"/>
    <row r="12505" hidden="1" s="59"/>
    <row r="12506" hidden="1" s="59"/>
    <row r="12507" hidden="1" s="59"/>
    <row r="12508" hidden="1" s="59"/>
    <row r="12509" hidden="1" s="59"/>
    <row r="12510" hidden="1" s="59"/>
    <row r="12511" hidden="1" s="59"/>
    <row r="12512" hidden="1" s="59"/>
    <row r="12513" hidden="1" s="59"/>
    <row r="12514" hidden="1" s="59"/>
    <row r="12515" hidden="1" s="59"/>
    <row r="12516" hidden="1" s="59"/>
    <row r="12517" hidden="1" s="59"/>
    <row r="12518" hidden="1" s="59"/>
    <row r="12519" hidden="1" s="59"/>
    <row r="12520" hidden="1" s="59"/>
    <row r="12521" hidden="1" s="59"/>
    <row r="12522" hidden="1" s="59"/>
    <row r="12523" hidden="1" s="59"/>
    <row r="12524" hidden="1" s="59"/>
    <row r="12525" hidden="1" s="59"/>
    <row r="12526" hidden="1" s="59"/>
    <row r="12527" hidden="1" s="59"/>
    <row r="12528" hidden="1" s="59"/>
    <row r="12529" hidden="1" s="59"/>
    <row r="12530" hidden="1" s="59"/>
    <row r="12531" hidden="1" s="59"/>
    <row r="12532" hidden="1" s="59"/>
    <row r="12533" hidden="1" s="59"/>
    <row r="12534" hidden="1" s="59"/>
    <row r="12535" hidden="1" s="59"/>
    <row r="12536" hidden="1" s="59"/>
    <row r="12537" hidden="1" s="59"/>
    <row r="12538" hidden="1" s="59"/>
    <row r="12539" hidden="1" s="59"/>
    <row r="12540" hidden="1" s="59"/>
    <row r="12541" hidden="1" s="59"/>
    <row r="12542" hidden="1" s="59"/>
    <row r="12543" hidden="1" s="59"/>
    <row r="12544" hidden="1" s="59"/>
    <row r="12545" hidden="1" s="59"/>
    <row r="12546" hidden="1" s="59"/>
    <row r="12547" hidden="1" s="59"/>
    <row r="12548" hidden="1" s="59"/>
    <row r="12549" hidden="1" s="59"/>
    <row r="12550" hidden="1" s="59"/>
    <row r="12551" hidden="1" s="59"/>
    <row r="12552" hidden="1" s="59"/>
    <row r="12553" hidden="1" s="59"/>
    <row r="12554" hidden="1" s="59"/>
    <row r="12555" hidden="1" s="59"/>
    <row r="12556" hidden="1" s="59"/>
    <row r="12557" hidden="1" s="59"/>
    <row r="12558" hidden="1" s="59"/>
    <row r="12559" hidden="1" s="59"/>
    <row r="12560" hidden="1" s="59"/>
    <row r="12561" hidden="1" s="59"/>
    <row r="12562" hidden="1" s="59"/>
    <row r="12563" hidden="1" s="59"/>
    <row r="12564" hidden="1" s="59"/>
    <row r="12565" hidden="1" s="59"/>
    <row r="12566" hidden="1" s="59"/>
    <row r="12567" hidden="1" s="59"/>
    <row r="12568" hidden="1" s="59"/>
    <row r="12569" hidden="1" s="59"/>
    <row r="12570" hidden="1" s="59"/>
    <row r="12571" hidden="1" s="59"/>
    <row r="12572" hidden="1" s="59"/>
    <row r="12573" hidden="1" s="59"/>
    <row r="12574" hidden="1" s="59"/>
    <row r="12575" hidden="1" s="59"/>
    <row r="12576" hidden="1" s="59"/>
    <row r="12577" hidden="1" s="59"/>
    <row r="12578" hidden="1" s="59"/>
    <row r="12579" hidden="1" s="59"/>
    <row r="12580" hidden="1" s="59"/>
    <row r="12581" hidden="1" s="59"/>
    <row r="12582" hidden="1" s="59"/>
    <row r="12583" hidden="1" s="59"/>
    <row r="12584" hidden="1" s="59"/>
    <row r="12585" hidden="1" s="59"/>
    <row r="12586" hidden="1" s="59"/>
    <row r="12587" hidden="1" s="59"/>
    <row r="12588" hidden="1" s="59"/>
    <row r="12589" hidden="1" s="59"/>
    <row r="12590" hidden="1" s="59"/>
    <row r="12591" hidden="1" s="59"/>
    <row r="12592" hidden="1" s="59"/>
    <row r="12593" hidden="1" s="59"/>
    <row r="12594" hidden="1" s="59"/>
    <row r="12595" hidden="1" s="59"/>
    <row r="12596" hidden="1" s="59"/>
    <row r="12597" hidden="1" s="59"/>
    <row r="12598" hidden="1" s="59"/>
    <row r="12599" hidden="1" s="59"/>
    <row r="12600" hidden="1" s="59"/>
    <row r="12601" hidden="1" s="59"/>
    <row r="12602" hidden="1" s="59"/>
    <row r="12603" hidden="1" s="59"/>
    <row r="12604" hidden="1" s="59"/>
    <row r="12605" hidden="1" s="59"/>
    <row r="12606" hidden="1" s="59"/>
    <row r="12607" hidden="1" s="59"/>
    <row r="12608" hidden="1" s="59"/>
    <row r="12609" hidden="1" s="59"/>
    <row r="12610" hidden="1" s="59"/>
    <row r="12611" hidden="1" s="59"/>
    <row r="12612" hidden="1" s="59"/>
    <row r="12613" hidden="1" s="59"/>
    <row r="12614" hidden="1" s="59"/>
    <row r="12615" hidden="1" s="59"/>
    <row r="12616" hidden="1" s="59"/>
    <row r="12617" hidden="1" s="59"/>
    <row r="12618" hidden="1" s="59"/>
    <row r="12619" hidden="1" s="59"/>
    <row r="12620" hidden="1" s="59"/>
    <row r="12621" hidden="1" s="59"/>
    <row r="12622" hidden="1" s="59"/>
    <row r="12623" hidden="1" s="59"/>
    <row r="12624" hidden="1" s="59"/>
    <row r="12625" hidden="1" s="59"/>
    <row r="12626" hidden="1" s="59"/>
    <row r="12627" hidden="1" s="59"/>
    <row r="12628" hidden="1" s="59"/>
    <row r="12629" hidden="1" s="59"/>
    <row r="12630" hidden="1" s="59"/>
    <row r="12631" hidden="1" s="59"/>
    <row r="12632" hidden="1" s="59"/>
    <row r="12633" hidden="1" s="59"/>
    <row r="12634" hidden="1" s="59"/>
    <row r="12635" hidden="1" s="59"/>
    <row r="12636" hidden="1" s="59"/>
    <row r="12637" hidden="1" s="59"/>
    <row r="12638" hidden="1" s="59"/>
    <row r="12639" hidden="1" s="59"/>
    <row r="12640" hidden="1" s="59"/>
    <row r="12641" hidden="1" s="59"/>
    <row r="12642" hidden="1" s="59"/>
    <row r="12643" hidden="1" s="59"/>
    <row r="12644" hidden="1" s="59"/>
    <row r="12645" hidden="1" s="59"/>
    <row r="12646" hidden="1" s="59"/>
    <row r="12647" hidden="1" s="59"/>
    <row r="12648" hidden="1" s="59"/>
    <row r="12649" hidden="1" s="59"/>
    <row r="12650" hidden="1" s="59"/>
    <row r="12651" hidden="1" s="59"/>
    <row r="12652" hidden="1" s="59"/>
    <row r="12653" hidden="1" s="59"/>
    <row r="12654" hidden="1" s="59"/>
    <row r="12655" hidden="1" s="59"/>
    <row r="12656" hidden="1" s="59"/>
    <row r="12657" hidden="1" s="59"/>
    <row r="12658" hidden="1" s="59"/>
    <row r="12659" hidden="1" s="59"/>
    <row r="12660" hidden="1" s="59"/>
    <row r="12661" hidden="1" s="59"/>
    <row r="12662" hidden="1" s="59"/>
    <row r="12663" hidden="1" s="59"/>
    <row r="12664" hidden="1" s="59"/>
    <row r="12665" hidden="1" s="59"/>
    <row r="12666" hidden="1" s="59"/>
    <row r="12667" hidden="1" s="59"/>
    <row r="12668" hidden="1" s="59"/>
    <row r="12669" hidden="1" s="59"/>
    <row r="12670" hidden="1" s="59"/>
    <row r="12671" hidden="1" s="59"/>
    <row r="12672" hidden="1" s="59"/>
    <row r="12673" hidden="1" s="59"/>
    <row r="12674" hidden="1" s="59"/>
    <row r="12675" hidden="1" s="59"/>
    <row r="12676" hidden="1" s="59"/>
    <row r="12677" hidden="1" s="59"/>
    <row r="12678" hidden="1" s="59"/>
    <row r="12679" hidden="1" s="59"/>
    <row r="12680" hidden="1" s="59"/>
    <row r="12681" hidden="1" s="59"/>
    <row r="12682" hidden="1" s="59"/>
    <row r="12683" hidden="1" s="59"/>
    <row r="12684" hidden="1" s="59"/>
    <row r="12685" hidden="1" s="59"/>
    <row r="12686" hidden="1" s="59"/>
    <row r="12687" hidden="1" s="59"/>
    <row r="12688" hidden="1" s="59"/>
    <row r="12689" hidden="1" s="59"/>
    <row r="12690" hidden="1" s="59"/>
    <row r="12691" hidden="1" s="59"/>
    <row r="12692" hidden="1" s="59"/>
    <row r="12693" hidden="1" s="59"/>
    <row r="12694" hidden="1" s="59"/>
    <row r="12695" hidden="1" s="59"/>
    <row r="12696" hidden="1" s="59"/>
    <row r="12697" hidden="1" s="59"/>
    <row r="12698" hidden="1" s="59"/>
    <row r="12699" hidden="1" s="59"/>
    <row r="12700" hidden="1" s="59"/>
    <row r="12701" hidden="1" s="59"/>
    <row r="12702" hidden="1" s="59"/>
    <row r="12703" hidden="1" s="59"/>
    <row r="12704" hidden="1" s="59"/>
    <row r="12705" hidden="1" s="59"/>
    <row r="12706" hidden="1" s="59"/>
    <row r="12707" hidden="1" s="59"/>
    <row r="12708" hidden="1" s="59"/>
    <row r="12709" hidden="1" s="59"/>
    <row r="12710" hidden="1" s="59"/>
    <row r="12711" hidden="1" s="59"/>
    <row r="12712" hidden="1" s="59"/>
    <row r="12713" hidden="1" s="59"/>
    <row r="12714" hidden="1" s="59"/>
    <row r="12715" hidden="1" s="59"/>
    <row r="12716" hidden="1" s="59"/>
    <row r="12717" hidden="1" s="59"/>
    <row r="12718" hidden="1" s="59"/>
    <row r="12719" hidden="1" s="59"/>
    <row r="12720" hidden="1" s="59"/>
    <row r="12721" hidden="1" s="59"/>
    <row r="12722" hidden="1" s="59"/>
    <row r="12723" hidden="1" s="59"/>
    <row r="12724" hidden="1" s="59"/>
    <row r="12725" hidden="1" s="59"/>
    <row r="12726" hidden="1" s="59"/>
    <row r="12727" hidden="1" s="59"/>
    <row r="12728" hidden="1" s="59"/>
    <row r="12729" hidden="1" s="59"/>
    <row r="12730" hidden="1" s="59"/>
    <row r="12731" hidden="1" s="59"/>
    <row r="12732" hidden="1" s="59"/>
    <row r="12733" hidden="1" s="59"/>
    <row r="12734" hidden="1" s="59"/>
    <row r="12735" hidden="1" s="59"/>
    <row r="12736" hidden="1" s="59"/>
    <row r="12737" hidden="1" s="59"/>
    <row r="12738" hidden="1" s="59"/>
    <row r="12739" hidden="1" s="59"/>
    <row r="12740" hidden="1" s="59"/>
    <row r="12741" hidden="1" s="59"/>
    <row r="12742" hidden="1" s="59"/>
    <row r="12743" hidden="1" s="59"/>
    <row r="12744" hidden="1" s="59"/>
    <row r="12745" hidden="1" s="59"/>
    <row r="12746" hidden="1" s="59"/>
    <row r="12747" hidden="1" s="59"/>
    <row r="12748" hidden="1" s="59"/>
    <row r="12749" hidden="1" s="59"/>
    <row r="12750" hidden="1" s="59"/>
    <row r="12751" hidden="1" s="59"/>
    <row r="12752" hidden="1" s="59"/>
    <row r="12753" hidden="1" s="59"/>
    <row r="12754" hidden="1" s="59"/>
    <row r="12755" hidden="1" s="59"/>
    <row r="12756" hidden="1" s="59"/>
    <row r="12757" hidden="1" s="59"/>
    <row r="12758" hidden="1" s="59"/>
    <row r="12759" hidden="1" s="59"/>
    <row r="12760" hidden="1" s="59"/>
    <row r="12761" hidden="1" s="59"/>
    <row r="12762" hidden="1" s="59"/>
    <row r="12763" hidden="1" s="59"/>
    <row r="12764" hidden="1" s="59"/>
    <row r="12765" hidden="1" s="59"/>
    <row r="12766" hidden="1" s="59"/>
    <row r="12767" hidden="1" s="59"/>
    <row r="12768" hidden="1" s="59"/>
    <row r="12769" hidden="1" s="59"/>
    <row r="12770" hidden="1" s="59"/>
    <row r="12771" hidden="1" s="59"/>
    <row r="12772" hidden="1" s="59"/>
    <row r="12773" hidden="1" s="59"/>
    <row r="12774" hidden="1" s="59"/>
    <row r="12775" hidden="1" s="59"/>
    <row r="12776" hidden="1" s="59"/>
    <row r="12777" hidden="1" s="59"/>
    <row r="12778" hidden="1" s="59"/>
    <row r="12779" hidden="1" s="59"/>
    <row r="12780" hidden="1" s="59"/>
    <row r="12781" hidden="1" s="59"/>
    <row r="12782" hidden="1" s="59"/>
    <row r="12783" hidden="1" s="59"/>
    <row r="12784" hidden="1" s="59"/>
    <row r="12785" hidden="1" s="59"/>
    <row r="12786" hidden="1" s="59"/>
    <row r="12787" hidden="1" s="59"/>
    <row r="12788" hidden="1" s="59"/>
    <row r="12789" hidden="1" s="59"/>
    <row r="12790" hidden="1" s="59"/>
    <row r="12791" hidden="1" s="59"/>
    <row r="12792" hidden="1" s="59"/>
    <row r="12793" hidden="1" s="59"/>
    <row r="12794" hidden="1" s="59"/>
    <row r="12795" hidden="1" s="59"/>
    <row r="12796" hidden="1" s="59"/>
    <row r="12797" hidden="1" s="59"/>
    <row r="12798" hidden="1" s="59"/>
    <row r="12799" hidden="1" s="59"/>
    <row r="12800" hidden="1" s="59"/>
    <row r="12801" hidden="1" s="59"/>
    <row r="12802" hidden="1" s="59"/>
    <row r="12803" hidden="1" s="59"/>
    <row r="12804" hidden="1" s="59"/>
    <row r="12805" hidden="1" s="59"/>
    <row r="12806" hidden="1" s="59"/>
    <row r="12807" hidden="1" s="59"/>
    <row r="12808" hidden="1" s="59"/>
    <row r="12809" hidden="1" s="59"/>
    <row r="12810" hidden="1" s="59"/>
    <row r="12811" hidden="1" s="59"/>
    <row r="12812" hidden="1" s="59"/>
    <row r="12813" hidden="1" s="59"/>
    <row r="12814" hidden="1" s="59"/>
    <row r="12815" hidden="1" s="59"/>
    <row r="12816" hidden="1" s="59"/>
    <row r="12817" hidden="1" s="59"/>
    <row r="12818" hidden="1" s="59"/>
    <row r="12819" hidden="1" s="59"/>
    <row r="12820" hidden="1" s="59"/>
    <row r="12821" hidden="1" s="59"/>
    <row r="12822" hidden="1" s="59"/>
    <row r="12823" hidden="1" s="59"/>
    <row r="12824" hidden="1" s="59"/>
    <row r="12825" hidden="1" s="59"/>
    <row r="12826" hidden="1" s="59"/>
    <row r="12827" hidden="1" s="59"/>
    <row r="12828" hidden="1" s="59"/>
    <row r="12829" hidden="1" s="59"/>
    <row r="12830" hidden="1" s="59"/>
    <row r="12831" hidden="1" s="59"/>
    <row r="12832" hidden="1" s="59"/>
    <row r="12833" hidden="1" s="59"/>
    <row r="12834" hidden="1" s="59"/>
    <row r="12835" hidden="1" s="59"/>
    <row r="12836" hidden="1" s="59"/>
    <row r="12837" hidden="1" s="59"/>
    <row r="12838" hidden="1" s="59"/>
    <row r="12839" hidden="1" s="59"/>
    <row r="12840" hidden="1" s="59"/>
    <row r="12841" hidden="1" s="59"/>
    <row r="12842" hidden="1" s="59"/>
    <row r="12843" hidden="1" s="59"/>
    <row r="12844" hidden="1" s="59"/>
    <row r="12845" hidden="1" s="59"/>
    <row r="12846" hidden="1" s="59"/>
    <row r="12847" hidden="1" s="59"/>
    <row r="12848" hidden="1" s="59"/>
    <row r="12849" hidden="1" s="59"/>
    <row r="12850" hidden="1" s="59"/>
    <row r="12851" hidden="1" s="59"/>
    <row r="12852" hidden="1" s="59"/>
    <row r="12853" hidden="1" s="59"/>
    <row r="12854" hidden="1" s="59"/>
    <row r="12855" hidden="1" s="59"/>
    <row r="12856" hidden="1" s="59"/>
    <row r="12857" hidden="1" s="59"/>
    <row r="12858" hidden="1" s="59"/>
    <row r="12859" hidden="1" s="59"/>
    <row r="12860" hidden="1" s="59"/>
    <row r="12861" hidden="1" s="59"/>
    <row r="12862" hidden="1" s="59"/>
    <row r="12863" hidden="1" s="59"/>
    <row r="12864" hidden="1" s="59"/>
    <row r="12865" hidden="1" s="59"/>
    <row r="12866" hidden="1" s="59"/>
    <row r="12867" hidden="1" s="59"/>
    <row r="12868" hidden="1" s="59"/>
    <row r="12869" hidden="1" s="59"/>
    <row r="12870" hidden="1" s="59"/>
    <row r="12871" hidden="1" s="59"/>
    <row r="12872" hidden="1" s="59"/>
    <row r="12873" hidden="1" s="59"/>
    <row r="12874" hidden="1" s="59"/>
    <row r="12875" hidden="1" s="59"/>
    <row r="12876" hidden="1" s="59"/>
    <row r="12877" hidden="1" s="59"/>
    <row r="12878" hidden="1" s="59"/>
    <row r="12879" hidden="1" s="59"/>
    <row r="12880" hidden="1" s="59"/>
    <row r="12881" hidden="1" s="59"/>
    <row r="12882" hidden="1" s="59"/>
    <row r="12883" hidden="1" s="59"/>
    <row r="12884" hidden="1" s="59"/>
    <row r="12885" hidden="1" s="59"/>
    <row r="12886" hidden="1" s="59"/>
    <row r="12887" hidden="1" s="59"/>
    <row r="12888" hidden="1" s="59"/>
    <row r="12889" hidden="1" s="59"/>
    <row r="12890" hidden="1" s="59"/>
    <row r="12891" hidden="1" s="59"/>
    <row r="12892" hidden="1" s="59"/>
    <row r="12893" hidden="1" s="59"/>
    <row r="12894" hidden="1" s="59"/>
    <row r="12895" hidden="1" s="59"/>
    <row r="12896" hidden="1" s="59"/>
    <row r="12897" hidden="1" s="59"/>
    <row r="12898" hidden="1" s="59"/>
    <row r="12899" hidden="1" s="59"/>
    <row r="12900" hidden="1" s="59"/>
    <row r="12901" hidden="1" s="59"/>
    <row r="12902" hidden="1" s="59"/>
    <row r="12903" hidden="1" s="59"/>
    <row r="12904" hidden="1" s="59"/>
    <row r="12905" hidden="1" s="59"/>
    <row r="12906" hidden="1" s="59"/>
    <row r="12907" hidden="1" s="59"/>
    <row r="12908" hidden="1" s="59"/>
    <row r="12909" hidden="1" s="59"/>
    <row r="12910" hidden="1" s="59"/>
    <row r="12911" hidden="1" s="59"/>
    <row r="12912" hidden="1" s="59"/>
    <row r="12913" hidden="1" s="59"/>
    <row r="12914" hidden="1" s="59"/>
    <row r="12915" hidden="1" s="59"/>
    <row r="12916" hidden="1" s="59"/>
    <row r="12917" hidden="1" s="59"/>
    <row r="12918" hidden="1" s="59"/>
    <row r="12919" hidden="1" s="59"/>
    <row r="12920" hidden="1" s="59"/>
    <row r="12921" hidden="1" s="59"/>
    <row r="12922" hidden="1" s="59"/>
    <row r="12923" hidden="1" s="59"/>
    <row r="12924" hidden="1" s="59"/>
    <row r="12925" hidden="1" s="59"/>
    <row r="12926" hidden="1" s="59"/>
    <row r="12927" hidden="1" s="59"/>
    <row r="12928" hidden="1" s="59"/>
    <row r="12929" hidden="1" s="59"/>
    <row r="12930" hidden="1" s="59"/>
    <row r="12931" hidden="1" s="59"/>
    <row r="12932" hidden="1" s="59"/>
    <row r="12933" hidden="1" s="59"/>
    <row r="12934" hidden="1" s="59"/>
    <row r="12935" hidden="1" s="59"/>
    <row r="12936" hidden="1" s="59"/>
    <row r="12937" hidden="1" s="59"/>
    <row r="12938" hidden="1" s="59"/>
    <row r="12939" hidden="1" s="59"/>
    <row r="12940" hidden="1" s="59"/>
    <row r="12941" hidden="1" s="59"/>
    <row r="12942" hidden="1" s="59"/>
    <row r="12943" hidden="1" s="59"/>
    <row r="12944" hidden="1" s="59"/>
    <row r="12945" hidden="1" s="59"/>
    <row r="12946" hidden="1" s="59"/>
    <row r="12947" hidden="1" s="59"/>
    <row r="12948" hidden="1" s="59"/>
    <row r="12949" hidden="1" s="59"/>
    <row r="12950" hidden="1" s="59"/>
    <row r="12951" hidden="1" s="59"/>
    <row r="12952" hidden="1" s="59"/>
    <row r="12953" hidden="1" s="59"/>
    <row r="12954" hidden="1" s="59"/>
    <row r="12955" hidden="1" s="59"/>
    <row r="12956" hidden="1" s="59"/>
    <row r="12957" hidden="1" s="59"/>
    <row r="12958" hidden="1" s="59"/>
    <row r="12959" hidden="1" s="59"/>
    <row r="12960" hidden="1" s="59"/>
    <row r="12961" hidden="1" s="59"/>
    <row r="12962" hidden="1" s="59"/>
    <row r="12963" hidden="1" s="59"/>
    <row r="12964" hidden="1" s="59"/>
    <row r="12965" hidden="1" s="59"/>
    <row r="12966" hidden="1" s="59"/>
    <row r="12967" hidden="1" s="59"/>
    <row r="12968" hidden="1" s="59"/>
    <row r="12969" hidden="1" s="59"/>
    <row r="12970" hidden="1" s="59"/>
    <row r="12971" hidden="1" s="59"/>
    <row r="12972" hidden="1" s="59"/>
    <row r="12973" hidden="1" s="59"/>
    <row r="12974" hidden="1" s="59"/>
    <row r="12975" hidden="1" s="59"/>
    <row r="12976" hidden="1" s="59"/>
    <row r="12977" hidden="1" s="59"/>
    <row r="12978" hidden="1" s="59"/>
    <row r="12979" hidden="1" s="59"/>
    <row r="12980" hidden="1" s="59"/>
    <row r="12981" hidden="1" s="59"/>
    <row r="12982" hidden="1" s="59"/>
    <row r="12983" hidden="1" s="59"/>
    <row r="12984" hidden="1" s="59"/>
    <row r="12985" hidden="1" s="59"/>
    <row r="12986" hidden="1" s="59"/>
    <row r="12987" hidden="1" s="59"/>
    <row r="12988" hidden="1" s="59"/>
    <row r="12989" hidden="1" s="59"/>
    <row r="12990" hidden="1" s="59"/>
    <row r="12991" hidden="1" s="59"/>
    <row r="12992" hidden="1" s="59"/>
    <row r="12993" hidden="1" s="59"/>
    <row r="12994" hidden="1" s="59"/>
    <row r="12995" hidden="1" s="59"/>
    <row r="12996" hidden="1" s="59"/>
    <row r="12997" hidden="1" s="59"/>
    <row r="12998" hidden="1" s="59"/>
    <row r="12999" hidden="1" s="59"/>
    <row r="13000" hidden="1" s="59"/>
    <row r="13001" hidden="1" s="59"/>
    <row r="13002" hidden="1" s="59"/>
    <row r="13003" hidden="1" s="59"/>
    <row r="13004" hidden="1" s="59"/>
    <row r="13005" hidden="1" s="59"/>
    <row r="13006" hidden="1" s="59"/>
    <row r="13007" hidden="1" s="59"/>
    <row r="13008" hidden="1" s="59"/>
    <row r="13009" hidden="1" s="59"/>
    <row r="13010" hidden="1" s="59"/>
    <row r="13011" hidden="1" s="59"/>
    <row r="13012" hidden="1" s="59"/>
    <row r="13013" hidden="1" s="59"/>
    <row r="13014" hidden="1" s="59"/>
    <row r="13015" hidden="1" s="59"/>
    <row r="13016" hidden="1" s="59"/>
    <row r="13017" hidden="1" s="59"/>
    <row r="13018" hidden="1" s="59"/>
    <row r="13019" hidden="1" s="59"/>
    <row r="13020" hidden="1" s="59"/>
    <row r="13021" hidden="1" s="59"/>
    <row r="13022" hidden="1" s="59"/>
    <row r="13023" hidden="1" s="59"/>
    <row r="13024" hidden="1" s="59"/>
    <row r="13025" hidden="1" s="59"/>
    <row r="13026" hidden="1" s="59"/>
    <row r="13027" hidden="1" s="59"/>
    <row r="13028" hidden="1" s="59"/>
    <row r="13029" hidden="1" s="59"/>
    <row r="13030" hidden="1" s="59"/>
    <row r="13031" hidden="1" s="59"/>
    <row r="13032" hidden="1" s="59"/>
    <row r="13033" hidden="1" s="59"/>
    <row r="13034" hidden="1" s="59"/>
    <row r="13035" hidden="1" s="59"/>
    <row r="13036" hidden="1" s="59"/>
    <row r="13037" hidden="1" s="59"/>
    <row r="13038" hidden="1" s="59"/>
    <row r="13039" hidden="1" s="59"/>
    <row r="13040" hidden="1" s="59"/>
    <row r="13041" hidden="1" s="59"/>
    <row r="13042" hidden="1" s="59"/>
    <row r="13043" hidden="1" s="59"/>
    <row r="13044" hidden="1" s="59"/>
    <row r="13045" hidden="1" s="59"/>
    <row r="13046" hidden="1" s="59"/>
    <row r="13047" hidden="1" s="59"/>
    <row r="13048" hidden="1" s="59"/>
    <row r="13049" hidden="1" s="59"/>
    <row r="13050" hidden="1" s="59"/>
    <row r="13051" hidden="1" s="59"/>
    <row r="13052" hidden="1" s="59"/>
    <row r="13053" hidden="1" s="59"/>
    <row r="13054" hidden="1" s="59"/>
    <row r="13055" hidden="1" s="59"/>
    <row r="13056" hidden="1" s="59"/>
    <row r="13057" hidden="1" s="59"/>
    <row r="13058" hidden="1" s="59"/>
    <row r="13060" hidden="1" s="59"/>
    <row r="13061" hidden="1" s="59"/>
    <row r="13062" hidden="1" s="59"/>
    <row r="13063" hidden="1" s="59"/>
    <row r="13064" hidden="1" s="59"/>
    <row r="13065" hidden="1" s="59"/>
    <row r="13066" hidden="1" s="59"/>
    <row r="13067" hidden="1" s="59"/>
    <row r="13068" hidden="1" s="59"/>
    <row r="13069" hidden="1" s="59"/>
    <row r="13070" hidden="1" s="59"/>
    <row r="13071" hidden="1" s="59"/>
    <row r="13072" hidden="1" s="59"/>
    <row r="13073" hidden="1" s="59"/>
    <row r="13074" hidden="1" s="59"/>
    <row r="13075" hidden="1" s="59"/>
    <row r="13076" hidden="1" s="59"/>
    <row r="13077" hidden="1" s="59"/>
    <row r="13078" hidden="1" s="59"/>
    <row r="13079" hidden="1" s="59"/>
    <row r="13080" hidden="1" s="59"/>
    <row r="13081" hidden="1" s="59"/>
    <row r="13082" hidden="1" s="59"/>
    <row r="13083" hidden="1" s="59"/>
    <row r="13084" hidden="1" s="59"/>
    <row r="13085" hidden="1" s="59"/>
    <row r="13086" hidden="1" s="59"/>
    <row r="13087" hidden="1" s="59"/>
    <row r="13088" hidden="1" s="59"/>
    <row r="13089" hidden="1" s="59"/>
    <row r="13090" hidden="1" s="59"/>
    <row r="13091" hidden="1" s="59"/>
    <row r="13092" hidden="1" s="59"/>
    <row r="13093" hidden="1" s="59"/>
    <row r="13094" hidden="1" s="59"/>
    <row r="13095" hidden="1" s="59"/>
    <row r="13096" hidden="1" s="59"/>
    <row r="13097" hidden="1" s="59"/>
    <row r="13098" hidden="1" s="59"/>
    <row r="13099" hidden="1" s="59"/>
    <row r="13100" hidden="1" s="59"/>
    <row r="13101" hidden="1" s="59"/>
    <row r="13102" hidden="1" s="59"/>
    <row r="13103" hidden="1" s="59"/>
    <row r="13104" hidden="1" s="59"/>
    <row r="13105" hidden="1" s="59"/>
    <row r="13106" hidden="1" s="59"/>
    <row r="13107" hidden="1" s="59"/>
    <row r="13108" hidden="1" s="59"/>
    <row r="13109" hidden="1" s="59"/>
    <row r="13110" hidden="1" s="59"/>
    <row r="13111" hidden="1" s="59"/>
    <row r="13112" hidden="1" s="59"/>
    <row r="13113" hidden="1" s="59"/>
    <row r="13114" hidden="1" s="59"/>
    <row r="13115" hidden="1" s="59"/>
    <row r="13116" hidden="1" s="59"/>
    <row r="13117" hidden="1" s="59"/>
    <row r="13118" hidden="1" s="59"/>
    <row r="13119" hidden="1" s="59"/>
    <row r="13120" hidden="1" s="59"/>
    <row r="13121" hidden="1" s="59"/>
    <row r="13122" hidden="1" s="59"/>
    <row r="13123" hidden="1" s="59"/>
    <row r="13124" hidden="1" s="59"/>
    <row r="13125" hidden="1" s="59"/>
    <row r="13126" hidden="1" s="59"/>
    <row r="13127" hidden="1" s="59"/>
    <row r="13128" hidden="1" s="59"/>
    <row r="13129" hidden="1" s="59"/>
    <row r="13130" hidden="1" s="59"/>
    <row r="13131" hidden="1" s="59"/>
    <row r="13132" hidden="1" s="59"/>
    <row r="13133" hidden="1" s="59"/>
    <row r="13134" hidden="1" s="59"/>
    <row r="13135" hidden="1" s="59"/>
    <row r="13136" hidden="1" s="59"/>
    <row r="13137" hidden="1" s="59"/>
    <row r="13138" hidden="1" s="59"/>
    <row r="13139" hidden="1" s="59"/>
    <row r="13140" hidden="1" s="59"/>
    <row r="13141" hidden="1" s="59"/>
    <row r="13142" hidden="1" s="59"/>
    <row r="13143" hidden="1" s="59"/>
    <row r="13144" hidden="1" s="59"/>
    <row r="13145" hidden="1" s="59"/>
    <row r="13146" hidden="1" s="59"/>
    <row r="13147" hidden="1" s="59"/>
    <row r="13148" hidden="1" s="59"/>
    <row r="13149" hidden="1" s="59"/>
    <row r="13150" hidden="1" s="59"/>
    <row r="13151" hidden="1" s="59"/>
    <row r="13152" hidden="1" s="59"/>
    <row r="13153" hidden="1" s="59"/>
    <row r="13154" hidden="1" s="59"/>
    <row r="13155" hidden="1" s="59"/>
    <row r="13156" hidden="1" s="59"/>
    <row r="13157" hidden="1" s="59"/>
    <row r="13158" hidden="1" s="59"/>
    <row r="13159" hidden="1" s="59"/>
    <row r="13160" hidden="1" s="59"/>
    <row r="13161" hidden="1" s="59"/>
    <row r="13162" hidden="1" s="59"/>
    <row r="13163" hidden="1" s="59"/>
    <row r="13164" hidden="1" s="59"/>
    <row r="13165" hidden="1" s="59"/>
    <row r="13166" hidden="1" s="59"/>
    <row r="13167" hidden="1" s="59"/>
    <row r="13168" hidden="1" s="59"/>
    <row r="13169" hidden="1" s="59"/>
    <row r="13170" hidden="1" s="59"/>
    <row r="13171" hidden="1" s="59"/>
    <row r="13172" hidden="1" s="59"/>
    <row r="13173" hidden="1" s="59"/>
    <row r="13174" hidden="1" s="59"/>
    <row r="13175" hidden="1" s="59"/>
    <row r="13176" hidden="1" s="59"/>
    <row r="13177" hidden="1" s="59"/>
    <row r="13178" hidden="1" s="59"/>
    <row r="13179" hidden="1" s="59"/>
    <row r="13180" hidden="1" s="59"/>
    <row r="13181" hidden="1" s="59"/>
    <row r="13182" hidden="1" s="59"/>
    <row r="13183" hidden="1" s="59"/>
    <row r="13184" hidden="1" s="59"/>
    <row r="13185" hidden="1" s="59"/>
    <row r="13186" hidden="1" s="59"/>
    <row r="13187" hidden="1" s="59"/>
    <row r="13188" hidden="1" s="59"/>
    <row r="13189" hidden="1" s="59"/>
    <row r="13190" hidden="1" s="59"/>
    <row r="13191" hidden="1" s="59"/>
    <row r="13192" hidden="1" s="59"/>
    <row r="13193" hidden="1" s="59"/>
    <row r="13194" hidden="1" s="59"/>
    <row r="13195" hidden="1" s="59"/>
    <row r="13196" hidden="1" s="59"/>
    <row r="13197" hidden="1" s="59"/>
    <row r="13198" hidden="1" s="59"/>
    <row r="13199" hidden="1" s="59"/>
    <row r="13200" hidden="1" s="59"/>
    <row r="13201" hidden="1" s="59"/>
    <row r="13202" hidden="1" s="59"/>
    <row r="13203" hidden="1" s="59"/>
    <row r="13204" hidden="1" s="59"/>
    <row r="13205" hidden="1" s="59"/>
    <row r="13206" hidden="1" s="59"/>
    <row r="13207" hidden="1" s="59"/>
    <row r="13208" hidden="1" s="59"/>
    <row r="13209" hidden="1" s="59"/>
    <row r="13210" hidden="1" s="59"/>
    <row r="13211" hidden="1" s="59"/>
    <row r="13212" hidden="1" s="59"/>
    <row r="13213" hidden="1" s="59"/>
    <row r="13214" hidden="1" s="59"/>
    <row r="13215" hidden="1" s="59"/>
    <row r="13216" hidden="1" s="59"/>
    <row r="13217" hidden="1" s="59"/>
    <row r="13218" hidden="1" s="59"/>
    <row r="13219" hidden="1" s="59"/>
    <row r="13220" hidden="1" s="59"/>
    <row r="13221" hidden="1" s="59"/>
    <row r="13222" hidden="1" s="59"/>
    <row r="13223" hidden="1" s="59"/>
    <row r="13224" hidden="1" s="59"/>
    <row r="13225" hidden="1" s="59"/>
    <row r="13226" hidden="1" s="59"/>
    <row r="13227" hidden="1" s="59"/>
    <row r="13228" hidden="1" s="59"/>
    <row r="13229" hidden="1" s="59"/>
    <row r="13230" hidden="1" s="59"/>
    <row r="13231" hidden="1" s="59"/>
    <row r="13232" hidden="1" s="59"/>
    <row r="13233" hidden="1" s="59"/>
    <row r="13234" hidden="1" s="59"/>
    <row r="13235" hidden="1" s="59"/>
    <row r="13236" hidden="1" s="59"/>
    <row r="13237" hidden="1" s="59"/>
    <row r="13238" hidden="1" s="59"/>
    <row r="13239" hidden="1" s="59"/>
    <row r="13240" hidden="1" s="59"/>
    <row r="13241" hidden="1" s="59"/>
    <row r="13242" hidden="1" s="59"/>
    <row r="13243" hidden="1" s="59"/>
    <row r="13244" hidden="1" s="59"/>
    <row r="13245" hidden="1" s="59"/>
    <row r="13246" hidden="1" s="59"/>
    <row r="13247" hidden="1" s="59"/>
    <row r="13248" hidden="1" s="59"/>
    <row r="13249" hidden="1" s="59"/>
    <row r="13250" hidden="1" s="59"/>
    <row r="13251" hidden="1" s="59"/>
    <row r="13252" hidden="1" s="59"/>
    <row r="13253" hidden="1" s="59"/>
    <row r="13254" hidden="1" s="59"/>
    <row r="13255" hidden="1" s="59"/>
    <row r="13256" hidden="1" s="59"/>
    <row r="13257" hidden="1" s="59"/>
    <row r="13258" hidden="1" s="59"/>
    <row r="13259" hidden="1" s="59"/>
    <row r="13260" hidden="1" s="59"/>
    <row r="13261" hidden="1" s="59"/>
    <row r="13262" hidden="1" s="59"/>
    <row r="13263" hidden="1" s="59"/>
    <row r="13264" hidden="1" s="59"/>
    <row r="13265" hidden="1" s="59"/>
    <row r="13266" hidden="1" s="59"/>
    <row r="13267" hidden="1" s="59"/>
    <row r="13268" hidden="1" s="59"/>
    <row r="13269" hidden="1" s="59"/>
    <row r="13270" hidden="1" s="59"/>
    <row r="13271" hidden="1" s="59"/>
    <row r="13272" hidden="1" s="59"/>
    <row r="13273" hidden="1" s="59"/>
    <row r="13274" hidden="1" s="59"/>
    <row r="13275" hidden="1" s="59"/>
    <row r="13276" hidden="1" s="59"/>
    <row r="13277" hidden="1" s="59"/>
    <row r="13278" hidden="1" s="59"/>
    <row r="13279" hidden="1" s="59"/>
    <row r="13280" hidden="1" s="59"/>
    <row r="13281" hidden="1" s="59"/>
    <row r="13282" hidden="1" s="59"/>
    <row r="13283" hidden="1" s="59"/>
    <row r="13284" hidden="1" s="59"/>
    <row r="13285" hidden="1" s="59"/>
    <row r="13286" hidden="1" s="59"/>
    <row r="13287" hidden="1" s="59"/>
    <row r="13288" hidden="1" s="59"/>
    <row r="13289" hidden="1" s="59"/>
    <row r="13290" hidden="1" s="59"/>
    <row r="13291" hidden="1" s="59"/>
    <row r="13292" hidden="1" s="59"/>
    <row r="13293" hidden="1" s="59"/>
    <row r="13294" hidden="1" s="59"/>
    <row r="13295" hidden="1" s="59"/>
    <row r="13296" hidden="1" s="59"/>
    <row r="13297" hidden="1" s="59"/>
    <row r="13298" hidden="1" s="59"/>
    <row r="13299" hidden="1" s="59"/>
    <row r="13300" hidden="1" s="59"/>
    <row r="13301" hidden="1" s="59"/>
    <row r="13302" hidden="1" s="59"/>
    <row r="13303" hidden="1" s="59"/>
    <row r="13304" hidden="1" s="59"/>
    <row r="13305" hidden="1" s="59"/>
    <row r="13306" hidden="1" s="59"/>
    <row r="13307" hidden="1" s="59"/>
    <row r="13308" hidden="1" s="59"/>
    <row r="13309" hidden="1" s="59"/>
    <row r="13310" hidden="1" s="59"/>
    <row r="13311" hidden="1" s="59"/>
    <row r="13312" hidden="1" s="59"/>
    <row r="13313" hidden="1" s="59"/>
    <row r="13314" hidden="1" s="59"/>
    <row r="13315" hidden="1" s="59"/>
    <row r="13316" hidden="1" s="59"/>
    <row r="13317" hidden="1" s="59"/>
    <row r="13318" hidden="1" s="59"/>
    <row r="13319" hidden="1" s="59"/>
    <row r="13320" hidden="1" s="59"/>
    <row r="13321" hidden="1" s="59"/>
    <row r="13322" hidden="1" s="59"/>
    <row r="13323" hidden="1" s="59"/>
    <row r="13324" hidden="1" s="59"/>
    <row r="13325" hidden="1" s="59"/>
    <row r="13326" hidden="1" s="59"/>
    <row r="13327" hidden="1" s="59"/>
    <row r="13328" hidden="1" s="59"/>
    <row r="13329" hidden="1" s="59"/>
    <row r="13330" hidden="1" s="59"/>
    <row r="13331" hidden="1" s="59"/>
    <row r="13332" hidden="1" s="59"/>
    <row r="13333" hidden="1" s="59"/>
    <row r="13334" hidden="1" s="59"/>
    <row r="13335" hidden="1" s="59"/>
    <row r="13336" hidden="1" s="59"/>
    <row r="13337" hidden="1" s="59"/>
    <row r="13338" hidden="1" s="59"/>
    <row r="13339" hidden="1" s="59"/>
    <row r="13340" hidden="1" s="59"/>
    <row r="13341" hidden="1" s="59"/>
    <row r="13342" hidden="1" s="59"/>
    <row r="13343" hidden="1" s="59"/>
    <row r="13344" hidden="1" s="59"/>
    <row r="13345" hidden="1" s="59"/>
    <row r="13346" hidden="1" s="59"/>
    <row r="13347" hidden="1" s="59"/>
    <row r="13348" hidden="1" s="59"/>
    <row r="13349" hidden="1" s="59"/>
    <row r="13350" hidden="1" s="59"/>
    <row r="13351" hidden="1" s="59"/>
    <row r="13352" hidden="1" s="59"/>
    <row r="13353" hidden="1" s="59"/>
    <row r="13354" hidden="1" s="59"/>
    <row r="13355" hidden="1" s="59"/>
    <row r="13356" hidden="1" s="59"/>
    <row r="13357" hidden="1" s="59"/>
    <row r="13358" hidden="1" s="59"/>
    <row r="13359" hidden="1" s="59"/>
    <row r="13360" hidden="1" s="59"/>
    <row r="13361" hidden="1" s="59"/>
    <row r="13362" hidden="1" s="59"/>
    <row r="13363" hidden="1" s="59"/>
    <row r="13364" hidden="1" s="59"/>
    <row r="13365" hidden="1" s="59"/>
    <row r="13366" hidden="1" s="59"/>
    <row r="13367" hidden="1" s="59"/>
    <row r="13368" hidden="1" s="59"/>
    <row r="13369" hidden="1" s="59"/>
    <row r="13370" hidden="1" s="59"/>
    <row r="13371" hidden="1" s="59"/>
    <row r="13372" hidden="1" s="59"/>
    <row r="13373" hidden="1" s="59"/>
    <row r="13374" hidden="1" s="59"/>
    <row r="13375" hidden="1" s="59"/>
    <row r="13376" hidden="1" s="59"/>
    <row r="13377" hidden="1" s="59"/>
    <row r="13378" hidden="1" s="59"/>
    <row r="13379" hidden="1" s="59"/>
    <row r="13380" hidden="1" s="59"/>
    <row r="13381" hidden="1" s="59"/>
    <row r="13382" hidden="1" s="59"/>
    <row r="13383" hidden="1" s="59"/>
    <row r="13384" hidden="1" s="59"/>
    <row r="13385" hidden="1" s="59"/>
    <row r="13386" hidden="1" s="59"/>
    <row r="13387" hidden="1" s="59"/>
    <row r="13388" hidden="1" s="59"/>
    <row r="13389" hidden="1" s="59"/>
    <row r="13390" hidden="1" s="59"/>
    <row r="13391" hidden="1" s="59"/>
    <row r="13392" hidden="1" s="59"/>
    <row r="13393" hidden="1" s="59"/>
    <row r="13394" hidden="1" s="59"/>
    <row r="13395" hidden="1" s="59"/>
    <row r="13396" hidden="1" s="59"/>
    <row r="13397" hidden="1" s="59"/>
    <row r="13398" hidden="1" s="59"/>
    <row r="13399" hidden="1" s="59"/>
    <row r="13400" hidden="1" s="59"/>
    <row r="13401" hidden="1" s="59"/>
    <row r="13402" hidden="1" s="59"/>
    <row r="13403" hidden="1" s="59"/>
    <row r="13404" hidden="1" s="59"/>
    <row r="13405" hidden="1" s="59"/>
    <row r="13406" hidden="1" s="59"/>
    <row r="13407" hidden="1" s="59"/>
    <row r="13408" hidden="1" s="59"/>
    <row r="13409" hidden="1" s="59"/>
    <row r="13410" hidden="1" s="59"/>
    <row r="13411" hidden="1" s="59"/>
    <row r="13412" hidden="1" s="59"/>
    <row r="13413" hidden="1" s="59"/>
    <row r="13414" hidden="1" s="59"/>
    <row r="13415" hidden="1" s="59"/>
    <row r="13416" hidden="1" s="59"/>
    <row r="13417" hidden="1" s="59"/>
    <row r="13418" hidden="1" s="59"/>
    <row r="13419" hidden="1" s="59"/>
    <row r="13420" hidden="1" s="59"/>
    <row r="13421" hidden="1" s="59"/>
    <row r="13422" hidden="1" s="59"/>
    <row r="13423" hidden="1" s="59"/>
    <row r="13424" hidden="1" s="59"/>
    <row r="13425" hidden="1" s="59"/>
    <row r="13426" hidden="1" s="59"/>
    <row r="13427" hidden="1" s="59"/>
    <row r="13428" hidden="1" s="59"/>
    <row r="13429" hidden="1" s="59"/>
    <row r="13430" hidden="1" s="59"/>
    <row r="13431" hidden="1" s="59"/>
    <row r="13432" hidden="1" s="59"/>
    <row r="13433" hidden="1" s="59"/>
    <row r="13434" hidden="1" s="59"/>
    <row r="13435" hidden="1" s="59"/>
    <row r="13436" hidden="1" s="59"/>
    <row r="13437" hidden="1" s="59"/>
    <row r="13438" hidden="1" s="59"/>
    <row r="13439" hidden="1" s="59"/>
    <row r="13440" hidden="1" s="59"/>
    <row r="13441" hidden="1" s="59"/>
    <row r="13442" hidden="1" s="59"/>
    <row r="13443" hidden="1" s="59"/>
    <row r="13444" hidden="1" s="59"/>
    <row r="13445" hidden="1" s="59"/>
    <row r="13446" hidden="1" s="59"/>
    <row r="13447" hidden="1" s="59"/>
    <row r="13448" hidden="1" s="59"/>
    <row r="13449" hidden="1" s="59"/>
    <row r="13450" hidden="1" s="59"/>
    <row r="13451" hidden="1" s="59"/>
    <row r="13452" hidden="1" s="59"/>
    <row r="13453" hidden="1" s="59"/>
    <row r="13454" hidden="1" s="59"/>
    <row r="13455" hidden="1" s="59"/>
    <row r="13456" hidden="1" s="59"/>
    <row r="13457" hidden="1" s="59"/>
    <row r="13458" hidden="1" s="59"/>
    <row r="13459" hidden="1" s="59"/>
    <row r="13460" hidden="1" s="59"/>
    <row r="13461" hidden="1" s="59"/>
    <row r="13462" hidden="1" s="59"/>
    <row r="13463" hidden="1" s="59"/>
    <row r="13464" hidden="1" s="59"/>
    <row r="13465" hidden="1" s="59"/>
    <row r="13466" hidden="1" s="59"/>
    <row r="13467" hidden="1" s="59"/>
    <row r="13468" hidden="1" s="59"/>
    <row r="13469" hidden="1" s="59"/>
    <row r="13470" hidden="1" s="59"/>
    <row r="13471" hidden="1" s="59"/>
    <row r="13472" hidden="1" s="59"/>
    <row r="13473" hidden="1" s="59"/>
    <row r="13474" hidden="1" s="59"/>
    <row r="13475" hidden="1" s="59"/>
    <row r="13476" hidden="1" s="59"/>
    <row r="13477" hidden="1" s="59"/>
    <row r="13478" hidden="1" s="59"/>
    <row r="13479" hidden="1" s="59"/>
    <row r="13480" hidden="1" s="59"/>
    <row r="13481" hidden="1" s="59"/>
    <row r="13482" hidden="1" s="59"/>
    <row r="13483" hidden="1" s="59"/>
    <row r="13484" hidden="1" s="59"/>
    <row r="13485" hidden="1" s="59"/>
    <row r="13486" hidden="1" s="59"/>
    <row r="13487" hidden="1" s="59"/>
    <row r="13488" hidden="1" s="59"/>
    <row r="13489" hidden="1" s="59"/>
    <row r="13490" hidden="1" s="59"/>
    <row r="13491" hidden="1" s="59"/>
    <row r="13492" hidden="1" s="59"/>
    <row r="13493" hidden="1" s="59"/>
    <row r="13494" hidden="1" s="59"/>
    <row r="13495" hidden="1" s="59"/>
    <row r="13496" hidden="1" s="59"/>
    <row r="13497" hidden="1" s="59"/>
    <row r="13498" hidden="1" s="59"/>
    <row r="13499" hidden="1" s="59"/>
    <row r="13500" hidden="1" s="59"/>
    <row r="13501" hidden="1" s="59"/>
    <row r="13502" hidden="1" s="59"/>
    <row r="13503" hidden="1" s="59"/>
    <row r="13504" hidden="1" s="59"/>
    <row r="13505" hidden="1" s="59"/>
    <row r="13506" hidden="1" s="59"/>
    <row r="13507" hidden="1" s="59"/>
    <row r="13508" hidden="1" s="59"/>
    <row r="13509" hidden="1" s="59"/>
    <row r="13510" hidden="1" s="59"/>
    <row r="13511" hidden="1" s="59"/>
    <row r="13512" hidden="1" s="59"/>
    <row r="13513" hidden="1" s="59"/>
    <row r="13514" hidden="1" s="59"/>
    <row r="13515" hidden="1" s="59"/>
    <row r="13516" hidden="1" s="59"/>
    <row r="13517" hidden="1" s="59"/>
    <row r="13518" hidden="1" s="59"/>
    <row r="13519" hidden="1" s="59"/>
    <row r="13520" hidden="1" s="59"/>
    <row r="13521" hidden="1" s="59"/>
    <row r="13522" hidden="1" s="59"/>
    <row r="13523" hidden="1" s="59"/>
    <row r="13524" hidden="1" s="59"/>
    <row r="13525" hidden="1" s="59"/>
    <row r="13526" hidden="1" s="59"/>
    <row r="13527" hidden="1" s="59"/>
    <row r="13528" hidden="1" s="59"/>
    <row r="13529" hidden="1" s="59"/>
    <row r="13530" hidden="1" s="59"/>
    <row r="13531" hidden="1" s="59"/>
    <row r="13532" hidden="1" s="59"/>
    <row r="13533" hidden="1" s="59"/>
    <row r="13534" hidden="1" s="59"/>
    <row r="13535" hidden="1" s="59"/>
    <row r="13536" hidden="1" s="59"/>
    <row r="13537" hidden="1" s="59"/>
    <row r="13538" hidden="1" s="59"/>
    <row r="13539" hidden="1" s="59"/>
    <row r="13540" hidden="1" s="59"/>
    <row r="13541" hidden="1" s="59"/>
    <row r="13542" hidden="1" s="59"/>
    <row r="13543" hidden="1" s="59"/>
    <row r="13544" hidden="1" s="59"/>
    <row r="13545" hidden="1" s="59"/>
    <row r="13546" hidden="1" s="59"/>
    <row r="13547" hidden="1" s="59"/>
    <row r="13548" hidden="1" s="59"/>
    <row r="13549" hidden="1" s="59"/>
    <row r="13550" hidden="1" s="59"/>
    <row r="13551" hidden="1" s="59"/>
    <row r="13552" hidden="1" s="59"/>
    <row r="13553" hidden="1" s="59"/>
    <row r="13554" hidden="1" s="59"/>
    <row r="13555" hidden="1" s="59"/>
    <row r="13556" hidden="1" s="59"/>
    <row r="13557" hidden="1" s="59"/>
    <row r="13558" hidden="1" s="59"/>
    <row r="13559" hidden="1" s="59"/>
    <row r="13560" hidden="1" s="59"/>
    <row r="13561" hidden="1" s="59"/>
    <row r="13562" hidden="1" s="59"/>
    <row r="13563" hidden="1" s="59"/>
    <row r="13564" hidden="1" s="59"/>
    <row r="13565" hidden="1" s="59"/>
    <row r="13566" hidden="1" s="59"/>
    <row r="13567" hidden="1" s="59"/>
    <row r="13568" hidden="1" s="59"/>
    <row r="13569" hidden="1" s="59"/>
    <row r="13570" hidden="1" s="59"/>
    <row r="13571" hidden="1" s="59"/>
    <row r="13572" hidden="1" s="59"/>
    <row r="13573" hidden="1" s="59"/>
    <row r="13574" hidden="1" s="59"/>
    <row r="13575" hidden="1" s="59"/>
    <row r="13576" hidden="1" s="59"/>
    <row r="13577" hidden="1" s="59"/>
    <row r="13578" hidden="1" s="59"/>
    <row r="13579" hidden="1" s="59"/>
    <row r="13580" hidden="1" s="59"/>
    <row r="13581" hidden="1" s="59"/>
    <row r="13582" hidden="1" s="59"/>
    <row r="13583" hidden="1" s="59"/>
    <row r="13584" hidden="1" s="59"/>
    <row r="13585" hidden="1" s="59"/>
    <row r="13586" hidden="1" s="59"/>
    <row r="13587" hidden="1" s="59"/>
    <row r="13588" hidden="1" s="59"/>
    <row r="13589" hidden="1" s="59"/>
    <row r="13590" hidden="1" s="59"/>
    <row r="13591" hidden="1" s="59"/>
    <row r="13592" hidden="1" s="59"/>
    <row r="13593" hidden="1" s="59"/>
    <row r="13594" hidden="1" s="59"/>
    <row r="13595" hidden="1" s="59"/>
    <row r="13596" hidden="1" s="59"/>
    <row r="13597" hidden="1" s="59"/>
    <row r="13598" hidden="1" s="59"/>
    <row r="13599" hidden="1" s="59"/>
    <row r="13600" hidden="1" s="59"/>
    <row r="13601" hidden="1" s="59"/>
    <row r="13602" hidden="1" s="59"/>
    <row r="13603" hidden="1" s="59"/>
    <row r="13604" hidden="1" s="59"/>
    <row r="13605" hidden="1" s="59"/>
    <row r="13606" hidden="1" s="59"/>
    <row r="13607" hidden="1" s="59"/>
    <row r="13608" hidden="1" s="59"/>
    <row r="13609" hidden="1" s="59"/>
    <row r="13610" hidden="1" s="59"/>
    <row r="13611" hidden="1" s="59"/>
    <row r="13612" hidden="1" s="59"/>
    <row r="13613" hidden="1" s="59"/>
    <row r="13614" hidden="1" s="59"/>
    <row r="13615" hidden="1" s="59"/>
    <row r="13616" hidden="1" s="59"/>
    <row r="13617" hidden="1" s="59"/>
    <row r="13618" hidden="1" s="59"/>
    <row r="13619" hidden="1" s="59"/>
    <row r="13620" hidden="1" s="59"/>
    <row r="13621" hidden="1" s="59"/>
    <row r="13622" hidden="1" s="59"/>
    <row r="13623" hidden="1" s="59"/>
    <row r="13624" hidden="1" s="59"/>
    <row r="13625" hidden="1" s="59"/>
    <row r="13628" hidden="1" s="59"/>
    <row r="13629" hidden="1" s="59"/>
    <row r="13630" hidden="1" s="59"/>
    <row r="13631" hidden="1" s="59"/>
    <row r="13632" hidden="1" s="59"/>
    <row r="13633" hidden="1" s="59"/>
    <row r="13634" hidden="1" s="59"/>
    <row r="13635" hidden="1" s="59"/>
    <row r="13636" hidden="1" s="59"/>
    <row r="13637" hidden="1" s="59"/>
    <row r="13638" hidden="1" s="59"/>
    <row r="13639" hidden="1" s="59"/>
    <row r="13640" hidden="1" s="59"/>
    <row r="13641" hidden="1" s="59"/>
    <row r="13642" hidden="1" s="59"/>
    <row r="13643" hidden="1" s="59"/>
    <row r="13644" hidden="1" s="59"/>
    <row r="13645" hidden="1" s="59"/>
    <row r="13646" hidden="1" s="59"/>
    <row r="13647" hidden="1" s="59"/>
    <row r="13648" hidden="1" s="59"/>
    <row r="13649" hidden="1" s="59"/>
    <row r="13650" hidden="1" s="59"/>
    <row r="13651" hidden="1" s="59"/>
    <row r="13652" hidden="1" s="59"/>
    <row r="13653" hidden="1" s="59"/>
    <row r="13654" hidden="1" s="59"/>
    <row r="13655" hidden="1" s="59"/>
    <row r="13656" hidden="1" s="59"/>
    <row r="13657" hidden="1" s="59"/>
    <row r="13658" hidden="1" s="59"/>
    <row r="13659" hidden="1" s="59"/>
    <row r="13660" hidden="1" s="59"/>
    <row r="13661" hidden="1" s="59"/>
    <row r="13662" hidden="1" s="59"/>
    <row r="13663" hidden="1" s="59"/>
    <row r="13664" hidden="1" s="59"/>
    <row r="13665" hidden="1" s="59"/>
    <row r="13666" hidden="1" s="59"/>
    <row r="13667" hidden="1" s="59"/>
    <row r="13668" hidden="1" s="59"/>
    <row r="13669" hidden="1" s="59"/>
    <row r="13670" hidden="1" s="59"/>
    <row r="13671" hidden="1" s="59"/>
    <row r="13672" hidden="1" s="59"/>
    <row r="13673" hidden="1" s="59"/>
    <row r="13674" hidden="1" s="59"/>
    <row r="13675" hidden="1" s="59"/>
    <row r="13676" hidden="1" s="59"/>
    <row r="13677" hidden="1" s="59"/>
    <row r="13678" hidden="1" s="59"/>
    <row r="13679" hidden="1" s="59"/>
    <row r="13680" hidden="1" s="59"/>
    <row r="13681" hidden="1" s="59"/>
    <row r="13682" hidden="1" s="59"/>
    <row r="13683" hidden="1" s="59"/>
    <row r="13684" hidden="1" s="59"/>
    <row r="13685" hidden="1" s="59"/>
    <row r="13686" hidden="1" s="59"/>
    <row r="13687" hidden="1" s="59"/>
    <row r="13689" hidden="1" s="59"/>
    <row r="13690" hidden="1" s="59"/>
    <row r="13691" hidden="1" s="59"/>
    <row r="13692" hidden="1" s="59"/>
    <row r="13693" hidden="1" s="59"/>
    <row r="13695" hidden="1" s="59"/>
    <row r="13696" hidden="1" s="59"/>
    <row r="13697" hidden="1" s="59"/>
    <row r="13698" hidden="1" s="59"/>
    <row r="13699" hidden="1" s="59"/>
    <row r="13700" hidden="1" s="59"/>
    <row r="13701" hidden="1" s="59"/>
    <row r="13702" hidden="1" s="59"/>
    <row r="13703" hidden="1" s="59"/>
    <row r="13704" hidden="1" s="59"/>
    <row r="13705" hidden="1" s="59"/>
    <row r="13706" hidden="1" s="59"/>
    <row r="13707" hidden="1" s="59"/>
    <row r="13708" hidden="1" s="59"/>
    <row r="13709" hidden="1" s="59"/>
    <row r="13710" hidden="1" s="59"/>
    <row r="13711" hidden="1" s="59"/>
    <row r="13712" hidden="1" s="59"/>
    <row r="13713" hidden="1" s="59"/>
    <row r="13714" hidden="1" s="59"/>
    <row r="13715" hidden="1" s="59"/>
    <row r="13716" hidden="1" s="59"/>
    <row r="13717" hidden="1" s="59"/>
    <row r="13718" hidden="1" s="59"/>
    <row r="13719" hidden="1" s="59"/>
    <row r="13720" hidden="1" s="59"/>
    <row r="13721" hidden="1" s="59"/>
    <row r="13722" hidden="1" s="59"/>
    <row r="13723" hidden="1" s="59"/>
    <row r="13724" hidden="1" s="59"/>
    <row r="13725" hidden="1" s="59"/>
    <row r="13726" hidden="1" s="59"/>
    <row r="13727" hidden="1" s="59"/>
    <row r="13728" hidden="1" s="59"/>
    <row r="13729" hidden="1" s="59"/>
    <row r="13730" hidden="1" s="59"/>
    <row r="13731" hidden="1" s="59"/>
    <row r="13732" hidden="1" s="59"/>
    <row r="13733" hidden="1" s="59"/>
    <row r="13734" hidden="1" s="59"/>
    <row r="13735" hidden="1" s="59"/>
    <row r="13736" hidden="1" s="59"/>
    <row r="13737" hidden="1" s="59"/>
    <row r="13738" hidden="1" s="59"/>
    <row r="13739" hidden="1" s="59"/>
    <row r="13740" hidden="1" s="59"/>
    <row r="13741" hidden="1" s="59"/>
    <row r="13742" hidden="1" s="59"/>
    <row r="13743" hidden="1" s="59"/>
    <row r="13744" hidden="1" s="59"/>
    <row r="13745" hidden="1" s="59"/>
    <row r="13746" hidden="1" s="59"/>
    <row r="13747" hidden="1" s="59"/>
    <row r="13748" hidden="1" s="59"/>
    <row r="13749" hidden="1" s="59"/>
    <row r="13751" hidden="1" s="59"/>
    <row r="13752" hidden="1" s="59"/>
    <row r="13753" hidden="1" s="59"/>
    <row r="13754" hidden="1" s="59"/>
    <row r="13755" hidden="1" s="59"/>
    <row r="13756" hidden="1" s="59"/>
    <row r="13757" hidden="1" s="59"/>
    <row r="13758" hidden="1" s="59"/>
    <row r="13759" hidden="1" s="59"/>
    <row r="13760" hidden="1" s="59"/>
    <row r="13761" hidden="1" s="59"/>
    <row r="13762" hidden="1" s="59"/>
    <row r="13763" hidden="1" s="59"/>
    <row r="13764" hidden="1" s="59"/>
    <row r="13765" hidden="1" s="59"/>
    <row r="13766" hidden="1" s="59"/>
    <row r="13767" hidden="1" s="59"/>
    <row r="13768" hidden="1" s="59"/>
    <row r="13769" hidden="1" s="59"/>
    <row r="13770" hidden="1" s="59"/>
    <row r="13771" hidden="1" s="59"/>
    <row r="13772" hidden="1" s="59"/>
    <row r="13773" hidden="1" s="59"/>
    <row r="13774" hidden="1" s="59"/>
    <row r="13775" hidden="1" s="59"/>
    <row r="13776" hidden="1" s="59"/>
    <row r="13777" hidden="1" s="59"/>
    <row r="13778" hidden="1" s="59"/>
    <row r="13779" hidden="1" s="59"/>
    <row r="13780" hidden="1" s="59"/>
    <row r="13781" hidden="1" s="59"/>
    <row r="13782" hidden="1" s="59"/>
    <row r="13783" hidden="1" s="59"/>
    <row r="13784" hidden="1" s="59"/>
    <row r="13785" hidden="1" s="59"/>
    <row r="13786" hidden="1" s="59"/>
    <row r="13787" hidden="1" s="59"/>
    <row r="13788" hidden="1" s="59"/>
    <row r="13789" hidden="1" s="59"/>
    <row r="13790" hidden="1" s="59"/>
    <row r="13791" hidden="1" s="59"/>
    <row r="13792" hidden="1" s="59"/>
    <row r="13793" hidden="1" s="59"/>
    <row r="13794" hidden="1" s="59"/>
    <row r="13795" hidden="1" s="59"/>
    <row r="13796" hidden="1" s="59"/>
    <row r="13797" hidden="1" s="59"/>
    <row r="13798" hidden="1" s="59"/>
    <row r="13799" hidden="1" s="59"/>
    <row r="13800" hidden="1" s="59"/>
    <row r="13801" hidden="1" s="59"/>
    <row r="13802" hidden="1" s="59"/>
    <row r="13803" hidden="1" s="59"/>
    <row r="13804" hidden="1" s="59"/>
    <row r="13805" hidden="1" s="59"/>
    <row r="13806" hidden="1" s="59"/>
    <row r="13807" hidden="1" s="59"/>
    <row r="13808" hidden="1" s="59"/>
    <row r="13809" hidden="1" s="59"/>
    <row r="13810" hidden="1" s="59"/>
    <row r="13811" hidden="1" s="59"/>
    <row r="13812" hidden="1" s="59"/>
    <row r="13813" hidden="1" s="59"/>
    <row r="13814" hidden="1" s="59"/>
    <row r="13815" hidden="1" s="59"/>
    <row r="13816" hidden="1" s="59"/>
    <row r="13817" hidden="1" s="59"/>
    <row r="13818" hidden="1" s="59"/>
    <row r="13819" hidden="1" s="59"/>
    <row r="13820" hidden="1" s="59"/>
    <row r="13821" hidden="1" s="59"/>
    <row r="13822" hidden="1" s="59"/>
    <row r="13823" hidden="1" s="59"/>
    <row r="13824" hidden="1" s="59"/>
    <row r="13825" hidden="1" s="59"/>
    <row r="13826" hidden="1" s="59"/>
    <row r="13827" hidden="1" s="59"/>
    <row r="13828" hidden="1" s="59"/>
    <row r="13829" hidden="1" s="59"/>
    <row r="13830" hidden="1" s="59"/>
    <row r="13831" hidden="1" s="59"/>
    <row r="13832" hidden="1" s="59"/>
    <row r="13833" hidden="1" s="59"/>
    <row r="13834" hidden="1" s="59"/>
    <row r="13835" hidden="1" s="59"/>
    <row r="13836" hidden="1" s="59"/>
    <row r="13837" hidden="1" s="59"/>
    <row r="13838" hidden="1" s="59"/>
    <row r="13839" hidden="1" s="59"/>
    <row r="13840" hidden="1" s="59"/>
    <row r="13841" hidden="1" s="59"/>
    <row r="13842" hidden="1" s="59"/>
    <row r="13843" hidden="1" s="59"/>
    <row r="13844" hidden="1" s="59"/>
    <row r="13845" hidden="1" s="59"/>
    <row r="13846" hidden="1" s="59"/>
    <row r="13847" hidden="1" s="59"/>
    <row r="13848" hidden="1" s="59"/>
    <row r="13849" hidden="1" s="59"/>
    <row r="13850" hidden="1" s="59"/>
    <row r="13851" hidden="1" s="59"/>
    <row r="13852" hidden="1" s="59"/>
    <row r="13853" hidden="1" s="59"/>
    <row r="13854" hidden="1" s="59"/>
    <row r="13855" hidden="1" s="59"/>
    <row r="13856" hidden="1" s="59"/>
    <row r="13857" hidden="1" s="59"/>
    <row r="13858" hidden="1" s="59"/>
    <row r="13859" hidden="1" s="59"/>
    <row r="13860" hidden="1" s="59"/>
    <row r="13861" hidden="1" s="59"/>
    <row r="13862" hidden="1" s="59"/>
    <row r="13863" hidden="1" s="59"/>
    <row r="13864" hidden="1" s="59"/>
    <row r="13865" hidden="1" s="59"/>
    <row r="13866" hidden="1" s="59"/>
    <row r="13867" hidden="1" s="59"/>
    <row r="13868" hidden="1" s="59"/>
    <row r="13869" hidden="1" s="59"/>
    <row r="13870" hidden="1" s="59"/>
    <row r="13871" hidden="1" s="59"/>
    <row r="13872" hidden="1" s="59"/>
    <row r="13873" hidden="1" s="59"/>
    <row r="13874" hidden="1" s="59"/>
    <row r="13875" hidden="1" s="59"/>
    <row r="13876" hidden="1" s="59"/>
    <row r="13877" hidden="1" s="59"/>
    <row r="13878" hidden="1" s="59"/>
    <row r="13879" hidden="1" s="59"/>
    <row r="13880" hidden="1" s="59"/>
    <row r="13881" hidden="1" s="59"/>
    <row r="13882" hidden="1" s="59"/>
    <row r="13883" hidden="1" s="59"/>
    <row r="13884" hidden="1" s="59"/>
    <row r="13885" hidden="1" s="59"/>
    <row r="13886" hidden="1" s="59"/>
    <row r="13887" hidden="1" s="59"/>
    <row r="13888" hidden="1" s="59"/>
    <row r="13889" hidden="1" s="59"/>
    <row r="13890" hidden="1" s="59"/>
    <row r="13891" hidden="1" s="59"/>
    <row r="13892" hidden="1" s="59"/>
    <row r="13893" hidden="1" s="59"/>
    <row r="13894" hidden="1" s="59"/>
    <row r="13895" hidden="1" s="59"/>
    <row r="13896" hidden="1" s="59"/>
    <row r="13897" hidden="1" s="59"/>
    <row r="13898" hidden="1" s="59"/>
    <row r="13899" hidden="1" s="59"/>
    <row r="13900" hidden="1" s="59"/>
    <row r="13901" hidden="1" s="59"/>
    <row r="13902" hidden="1" s="59"/>
    <row r="13903" hidden="1" s="59"/>
    <row r="13904" hidden="1" s="59"/>
    <row r="13905" hidden="1" s="59"/>
    <row r="13906" hidden="1" s="59"/>
    <row r="13907" hidden="1" s="59"/>
    <row r="13908" hidden="1" s="59"/>
    <row r="13909" hidden="1" s="59"/>
    <row r="13910" hidden="1" s="59"/>
    <row r="13911" hidden="1" s="59"/>
    <row r="13912" hidden="1" s="59"/>
    <row r="13913" hidden="1" s="59"/>
    <row r="13914" hidden="1" s="59"/>
    <row r="13915" hidden="1" s="59"/>
    <row r="13916" hidden="1" s="59"/>
    <row r="13917" hidden="1" s="59"/>
    <row r="13918" hidden="1" s="59"/>
    <row r="13919" hidden="1" s="59"/>
    <row r="13920" hidden="1" s="59"/>
    <row r="13921" hidden="1" s="59"/>
    <row r="13922" hidden="1" s="59"/>
    <row r="13923" hidden="1" s="59"/>
    <row r="13924" hidden="1" s="59"/>
    <row r="13925" hidden="1" s="59"/>
    <row r="13926" hidden="1" s="59"/>
    <row r="13927" hidden="1" s="59"/>
    <row r="13928" hidden="1" s="59"/>
    <row r="13929" hidden="1" s="59"/>
    <row r="13930" hidden="1" s="59"/>
    <row r="13931" hidden="1" s="59"/>
    <row r="13932" hidden="1" s="59"/>
    <row r="13933" hidden="1" s="59"/>
    <row r="13934" hidden="1" s="59"/>
    <row r="13935" hidden="1" s="59"/>
    <row r="13936" hidden="1" s="59"/>
    <row r="13937" hidden="1" s="59"/>
    <row r="13938" hidden="1" s="59"/>
    <row r="13939" hidden="1" s="59"/>
    <row r="13940" hidden="1" s="59"/>
    <row r="13941" hidden="1" s="59"/>
    <row r="13942" hidden="1" s="59"/>
    <row r="13943" hidden="1" s="59"/>
    <row r="13944" hidden="1" s="59"/>
    <row r="13945" hidden="1" s="59"/>
    <row r="13946" hidden="1" s="59"/>
    <row r="13947" hidden="1" s="59"/>
    <row r="13948" hidden="1" s="59"/>
    <row r="13949" hidden="1" s="59"/>
    <row r="13950" hidden="1" s="59"/>
    <row r="13951" hidden="1" s="59"/>
    <row r="13952" hidden="1" s="59"/>
    <row r="13953" hidden="1" s="59"/>
    <row r="13954" hidden="1" s="59"/>
    <row r="13955" hidden="1" s="59"/>
    <row r="13956" hidden="1" s="59"/>
    <row r="13957" hidden="1" s="59"/>
    <row r="13958" hidden="1" s="59"/>
    <row r="13959" hidden="1" s="59"/>
    <row r="13960" hidden="1" s="59"/>
    <row r="13961" hidden="1" s="59"/>
    <row r="13962" hidden="1" s="59"/>
    <row r="13963" hidden="1" s="59"/>
    <row r="13964" hidden="1" s="59"/>
    <row r="13965" hidden="1" s="59"/>
    <row r="13966" hidden="1" s="59"/>
    <row r="13967" hidden="1" s="59"/>
    <row r="13968" hidden="1" s="59"/>
    <row r="13969" hidden="1" s="59"/>
    <row r="13970" hidden="1" s="59"/>
    <row r="13971" hidden="1" s="59"/>
    <row r="13972" hidden="1" s="59"/>
    <row r="13973" hidden="1" s="59"/>
    <row r="13974" hidden="1" s="59"/>
    <row r="13975" hidden="1" s="59"/>
    <row r="13976" hidden="1" s="59"/>
    <row r="13977" hidden="1" s="59"/>
    <row r="13978" hidden="1" s="59"/>
    <row r="13979" hidden="1" s="59"/>
    <row r="13980" hidden="1" s="59"/>
    <row r="13981" hidden="1" s="59"/>
    <row r="13982" hidden="1" s="59"/>
    <row r="13983" hidden="1" s="59"/>
    <row r="13984" hidden="1" s="59"/>
    <row r="13985" hidden="1" s="59"/>
    <row r="13986" hidden="1" s="59"/>
    <row r="13987" hidden="1" s="59"/>
    <row r="13988" hidden="1" s="59"/>
    <row r="13989" hidden="1" s="59"/>
    <row r="13990" hidden="1" s="59"/>
    <row r="13991" hidden="1" s="59"/>
    <row r="13992" hidden="1" s="59"/>
    <row r="13993" hidden="1" s="59"/>
    <row r="13994" hidden="1" s="59"/>
    <row r="13995" hidden="1" s="59"/>
    <row r="13996" hidden="1" s="59"/>
    <row r="13997" hidden="1" s="59"/>
    <row r="13998" hidden="1" s="59"/>
    <row r="13999" hidden="1" s="59"/>
    <row r="14000" hidden="1" s="59"/>
    <row r="14001" hidden="1" s="59"/>
    <row r="14002" hidden="1" s="59"/>
    <row r="14003" hidden="1" s="59"/>
    <row r="14004" hidden="1" s="59"/>
    <row r="14005" hidden="1" s="59"/>
    <row r="14006" hidden="1" s="59"/>
    <row r="14007" hidden="1" s="59"/>
    <row r="14008" hidden="1" s="59"/>
    <row r="14009" hidden="1" s="59"/>
    <row r="14010" hidden="1" s="59"/>
    <row r="14011" hidden="1" s="59"/>
    <row r="14012" hidden="1" s="59"/>
    <row r="14013" hidden="1" s="59"/>
    <row r="14014" hidden="1" s="59"/>
    <row r="14015" hidden="1" s="59"/>
    <row r="14016" hidden="1" s="59"/>
    <row r="14017" hidden="1" s="59"/>
    <row r="14018" hidden="1" s="59"/>
    <row r="14019" hidden="1" s="59"/>
    <row r="14020" hidden="1" s="59"/>
    <row r="14021" hidden="1" s="59"/>
    <row r="14022" hidden="1" s="59"/>
    <row r="14023" hidden="1" s="59"/>
    <row r="14024" hidden="1" s="59"/>
    <row r="14025" hidden="1" s="59"/>
    <row r="14026" hidden="1" s="59"/>
    <row r="14027" hidden="1" s="59"/>
    <row r="14028" hidden="1" s="59"/>
    <row r="14029" hidden="1" s="59"/>
    <row r="14030" hidden="1" s="59"/>
    <row r="14031" hidden="1" s="59"/>
    <row r="14032" hidden="1" s="59"/>
    <row r="14033" hidden="1" s="59"/>
    <row r="14034" hidden="1" s="59"/>
    <row r="14035" hidden="1" s="59"/>
    <row r="14036" hidden="1" s="59"/>
    <row r="14037" hidden="1" s="59"/>
    <row r="14038" hidden="1" s="59"/>
    <row r="14039" hidden="1" s="59"/>
    <row r="14040" hidden="1" s="59"/>
    <row r="14041" hidden="1" s="59"/>
    <row r="14042" hidden="1" s="59"/>
    <row r="14043" hidden="1" s="59"/>
    <row r="14044" hidden="1" s="59"/>
    <row r="14045" hidden="1" s="59"/>
    <row r="14046" hidden="1" s="59"/>
    <row r="14047" hidden="1" s="59"/>
    <row r="14048" hidden="1" s="59"/>
    <row r="14049" hidden="1" s="59"/>
    <row r="14050" hidden="1" s="59"/>
    <row r="14051" hidden="1" s="59"/>
    <row r="14052" hidden="1" s="59"/>
    <row r="14053" hidden="1" s="59"/>
    <row r="14054" hidden="1" s="59"/>
    <row r="14055" hidden="1" s="59"/>
    <row r="14056" hidden="1" s="59"/>
    <row r="14057" hidden="1" s="59"/>
    <row r="14058" hidden="1" s="59"/>
    <row r="14059" hidden="1" s="59"/>
    <row r="14060" hidden="1" s="59"/>
    <row r="14061" hidden="1" s="59"/>
    <row r="14062" hidden="1" s="59"/>
    <row r="14063" hidden="1" s="59"/>
    <row r="14064" hidden="1" s="59"/>
    <row r="14065" hidden="1" s="59"/>
    <row r="14066" hidden="1" s="59"/>
    <row r="14067" hidden="1" s="59"/>
    <row r="14068" hidden="1" s="59"/>
    <row r="14069" hidden="1" s="59"/>
    <row r="14070" hidden="1" s="59"/>
    <row r="14071" hidden="1" s="59"/>
    <row r="14072" hidden="1" s="59"/>
    <row r="14073" hidden="1" s="59"/>
    <row r="14074" hidden="1" s="59"/>
    <row r="14075" hidden="1" s="59"/>
    <row r="14076" hidden="1" s="59"/>
    <row r="14077" hidden="1" s="59"/>
    <row r="14078" hidden="1" s="59"/>
    <row r="14079" hidden="1" s="59"/>
    <row r="14080" hidden="1" s="59"/>
    <row r="14082" hidden="1" s="59"/>
    <row r="14083" hidden="1" s="59"/>
    <row r="14084" hidden="1" s="59"/>
    <row r="14085" hidden="1" s="59"/>
    <row r="14086" hidden="1" s="59"/>
    <row r="14087" hidden="1" s="59"/>
    <row r="14088" hidden="1" s="59"/>
    <row r="14089" hidden="1" s="59"/>
    <row r="14090" hidden="1" s="59"/>
    <row r="14091" hidden="1" s="59"/>
    <row r="14092" hidden="1" s="59"/>
    <row r="14093" hidden="1" s="59"/>
    <row r="14094" hidden="1" s="59"/>
    <row r="14095" hidden="1" s="59"/>
    <row r="14096" hidden="1" s="59"/>
    <row r="14097" hidden="1" s="59"/>
    <row r="14098" hidden="1" s="59"/>
    <row r="14099" hidden="1" s="59"/>
    <row r="14100" hidden="1" s="59"/>
    <row r="14101" hidden="1" s="59"/>
    <row r="14102" hidden="1" s="59"/>
    <row r="14103" hidden="1" s="59"/>
    <row r="14104" hidden="1" s="59"/>
    <row r="14105" hidden="1" s="59"/>
    <row r="14106" hidden="1" s="59"/>
    <row r="14107" hidden="1" s="59"/>
    <row r="14108" hidden="1" s="59"/>
    <row r="14109" hidden="1" s="59"/>
    <row r="14110" hidden="1" s="59"/>
    <row r="14111" hidden="1" s="59"/>
    <row r="14112" hidden="1" s="59"/>
    <row r="14113" hidden="1" s="59"/>
    <row r="14114" hidden="1" s="59"/>
    <row r="14115" hidden="1" s="59"/>
    <row r="14116" hidden="1" s="59"/>
    <row r="14117" hidden="1" s="59"/>
    <row r="14118" hidden="1" s="59"/>
    <row r="14119" hidden="1" s="59"/>
    <row r="14120" hidden="1" s="59"/>
    <row r="14121" hidden="1" s="59"/>
    <row r="14122" hidden="1" s="59"/>
    <row r="14123" hidden="1" s="59"/>
    <row r="14124" hidden="1" s="59"/>
    <row r="14125" hidden="1" s="59"/>
    <row r="14126" hidden="1" s="59"/>
    <row r="14127" hidden="1" s="59"/>
    <row r="14128" hidden="1" s="59"/>
    <row r="14129" hidden="1" s="59"/>
    <row r="14130" hidden="1" s="59"/>
    <row r="14131" hidden="1" s="59"/>
    <row r="14132" hidden="1" s="59"/>
    <row r="14133" hidden="1" s="59"/>
    <row r="14134" hidden="1" s="59"/>
    <row r="14135" hidden="1" s="59"/>
    <row r="14136" hidden="1" s="59"/>
    <row r="14137" hidden="1" s="59"/>
    <row r="14138" hidden="1" s="59"/>
    <row r="14139" hidden="1" s="59"/>
    <row r="14140" hidden="1" s="59"/>
    <row r="14141" hidden="1" s="59"/>
    <row r="14142" hidden="1" s="59"/>
    <row r="14143" hidden="1" s="59"/>
    <row r="14144" hidden="1" s="59"/>
    <row r="14145" hidden="1" s="59"/>
    <row r="14146" hidden="1" s="59"/>
    <row r="14147" hidden="1" s="59"/>
    <row r="14148" hidden="1" s="59"/>
    <row r="14149" hidden="1" s="59"/>
    <row r="14150" hidden="1" s="59"/>
    <row r="14151" hidden="1" s="59"/>
    <row r="14152" hidden="1" s="59"/>
    <row r="14153" hidden="1" s="59"/>
    <row r="14154" hidden="1" s="59"/>
    <row r="14155" hidden="1" s="59"/>
    <row r="14156" hidden="1" s="59"/>
    <row r="14157" hidden="1" s="59"/>
    <row r="14158" hidden="1" s="59"/>
    <row r="14159" hidden="1" s="59"/>
    <row r="14160" hidden="1" s="59"/>
    <row r="14161" hidden="1" s="59"/>
    <row r="14162" hidden="1" s="59"/>
    <row r="14163" hidden="1" s="59"/>
    <row r="14164" hidden="1" s="59"/>
    <row r="14165" hidden="1" s="59"/>
    <row r="14166" hidden="1" s="59"/>
    <row r="14167" hidden="1" s="59"/>
    <row r="14168" hidden="1" s="59"/>
    <row r="14169" hidden="1" s="59"/>
    <row r="14170" hidden="1" s="59"/>
    <row r="14171" hidden="1" s="59"/>
    <row r="14172" hidden="1" s="59"/>
    <row r="14173" hidden="1" s="59"/>
    <row r="14174" hidden="1" s="59"/>
    <row r="14175" hidden="1" s="59"/>
    <row r="14176" hidden="1" s="59"/>
    <row r="14177" hidden="1" s="59"/>
    <row r="14178" hidden="1" s="59"/>
    <row r="14179" hidden="1" s="59"/>
    <row r="14180" hidden="1" s="59"/>
    <row r="14181" hidden="1" s="59"/>
    <row r="14182" hidden="1" s="59"/>
    <row r="14183" hidden="1" s="59"/>
    <row r="14184" hidden="1" s="59"/>
    <row r="14185" hidden="1" s="59"/>
    <row r="14186" hidden="1" s="59"/>
    <row r="14187" hidden="1" s="59"/>
    <row r="14188" hidden="1" s="59"/>
    <row r="14189" hidden="1" s="59"/>
    <row r="14190" hidden="1" s="59"/>
    <row r="14191" hidden="1" s="59"/>
    <row r="14192" hidden="1" s="59"/>
    <row r="14193" hidden="1" s="59"/>
    <row r="14194" hidden="1" s="59"/>
    <row r="14195" hidden="1" s="59"/>
    <row r="14196" hidden="1" s="59"/>
    <row r="14197" hidden="1" s="59"/>
    <row r="14198" hidden="1" s="59"/>
    <row r="14199" hidden="1" s="59"/>
    <row r="14200" hidden="1" s="59"/>
    <row r="14201" hidden="1" s="59"/>
    <row r="14202" hidden="1" s="59"/>
    <row r="14203" hidden="1" s="59"/>
    <row r="14204" hidden="1" s="59"/>
    <row r="14205" hidden="1" s="59"/>
    <row r="14206" hidden="1" s="59"/>
    <row r="14207" hidden="1" s="59"/>
    <row r="14208" hidden="1" s="59"/>
    <row r="14209" hidden="1" s="59"/>
    <row r="14210" hidden="1" s="59"/>
    <row r="14211" hidden="1" s="59"/>
    <row r="14212" hidden="1" s="59"/>
    <row r="14213" hidden="1" s="59"/>
    <row r="14214" hidden="1" s="59"/>
    <row r="14215" hidden="1" s="59"/>
    <row r="14216" hidden="1" s="59"/>
    <row r="14217" hidden="1" s="59"/>
    <row r="14218" hidden="1" s="59"/>
    <row r="14219" hidden="1" s="59"/>
    <row r="14220" hidden="1" s="59"/>
    <row r="14221" hidden="1" s="59"/>
    <row r="14222" hidden="1" s="59"/>
    <row r="14223" hidden="1" s="59"/>
    <row r="14224" hidden="1" s="59"/>
    <row r="14225" hidden="1" s="59"/>
    <row r="14226" hidden="1" s="59"/>
    <row r="14227" hidden="1" s="59"/>
    <row r="14228" hidden="1" s="59"/>
    <row r="14229" hidden="1" s="59"/>
    <row r="14230" hidden="1" s="59"/>
    <row r="14231" hidden="1" s="59"/>
    <row r="14232" hidden="1" s="59"/>
    <row r="14233" hidden="1" s="59"/>
    <row r="14234" hidden="1" s="59"/>
    <row r="14235" hidden="1" s="59"/>
    <row r="14236" hidden="1" s="59"/>
    <row r="14237" hidden="1" s="59"/>
    <row r="14238" hidden="1" s="59"/>
    <row r="14239" hidden="1" s="59"/>
    <row r="14240" hidden="1" s="59"/>
    <row r="14241" hidden="1" s="59"/>
    <row r="14242" hidden="1" s="59"/>
    <row r="14243" hidden="1" s="59"/>
    <row r="14244" hidden="1" s="59"/>
    <row r="14245" hidden="1" s="59"/>
    <row r="14246" hidden="1" s="59"/>
    <row r="14247" hidden="1" s="59"/>
    <row r="14248" hidden="1" s="59"/>
    <row r="14249" hidden="1" s="59"/>
    <row r="14250" hidden="1" s="59"/>
    <row r="14251" hidden="1" s="59"/>
    <row r="14252" hidden="1" s="59"/>
    <row r="14253" hidden="1" s="59"/>
    <row r="14254" hidden="1" s="59"/>
    <row r="14255" hidden="1" s="59"/>
    <row r="14256" hidden="1" s="59"/>
    <row r="14257" hidden="1" s="59"/>
    <row r="14258" hidden="1" s="59"/>
    <row r="14259" hidden="1" s="59"/>
    <row r="14260" hidden="1" s="59"/>
    <row r="14261" hidden="1" s="59"/>
    <row r="14262" hidden="1" s="59"/>
    <row r="14263" hidden="1" s="59"/>
    <row r="14264" hidden="1" s="59"/>
    <row r="14265" hidden="1" s="59"/>
    <row r="14266" hidden="1" s="59"/>
    <row r="14267" hidden="1" s="59"/>
    <row r="14268" hidden="1" s="59"/>
    <row r="14269" hidden="1" s="59"/>
    <row r="14270" hidden="1" s="59"/>
    <row r="14271" hidden="1" s="59"/>
    <row r="14272" hidden="1" s="59"/>
    <row r="14273" hidden="1" s="59"/>
    <row r="14274" hidden="1" s="59"/>
    <row r="14275" hidden="1" s="59"/>
    <row r="14276" hidden="1" s="59"/>
    <row r="14277" hidden="1" s="59"/>
    <row r="14278" hidden="1" s="59"/>
    <row r="14279" hidden="1" s="59"/>
    <row r="14280" hidden="1" s="59"/>
    <row r="14281" hidden="1" s="59"/>
    <row r="14282" hidden="1" s="59"/>
    <row r="14283" hidden="1" s="59"/>
    <row r="14284" hidden="1" s="59"/>
    <row r="14285" hidden="1" s="59"/>
    <row r="14286" hidden="1" s="59"/>
    <row r="14287" hidden="1" s="59"/>
    <row r="14288" hidden="1" s="59"/>
    <row r="14289" hidden="1" s="59"/>
    <row r="14290" hidden="1" s="59"/>
    <row r="14291" hidden="1" s="59"/>
    <row r="14292" hidden="1" s="59"/>
    <row r="14293" hidden="1" s="59"/>
    <row r="14294" hidden="1" s="59"/>
    <row r="14295" hidden="1" s="59"/>
    <row r="14296" hidden="1" s="59"/>
    <row r="14297" hidden="1" s="59"/>
    <row r="14298" hidden="1" s="59"/>
    <row r="14299" hidden="1" s="59"/>
    <row r="14300" hidden="1" s="59"/>
    <row r="14301" hidden="1" s="59"/>
    <row r="14302" hidden="1" s="59"/>
    <row r="14303" hidden="1" s="59"/>
    <row r="14304" hidden="1" s="59"/>
    <row r="14305" hidden="1" s="59"/>
    <row r="14306" hidden="1" s="59"/>
    <row r="14307" hidden="1" s="59"/>
    <row r="14308" hidden="1" s="59"/>
    <row r="14309" hidden="1" s="59"/>
    <row r="14310" hidden="1" s="59"/>
    <row r="14311" hidden="1" s="59"/>
    <row r="14312" hidden="1" s="59"/>
    <row r="14313" hidden="1" s="59"/>
    <row r="14314" hidden="1" s="59"/>
    <row r="14315" hidden="1" s="59"/>
    <row r="14316" hidden="1" s="59"/>
    <row r="14317" hidden="1" s="59"/>
    <row r="14318" hidden="1" s="59"/>
    <row r="14319" hidden="1" s="59"/>
    <row r="14320" hidden="1" s="59"/>
    <row r="14321" hidden="1" s="59"/>
    <row r="14322" hidden="1" s="59"/>
    <row r="14323" hidden="1" s="59"/>
    <row r="14324" hidden="1" s="59"/>
    <row r="14325" hidden="1" s="59"/>
    <row r="14326" hidden="1" s="59"/>
    <row r="14327" hidden="1" s="59"/>
    <row r="14328" hidden="1" s="59"/>
    <row r="14329" hidden="1" s="59"/>
    <row r="14330" hidden="1" s="59"/>
    <row r="14331" hidden="1" s="59"/>
    <row r="14332" hidden="1" s="59"/>
    <row r="14333" hidden="1" s="59"/>
    <row r="14334" hidden="1" s="59"/>
    <row r="14335" hidden="1" s="59"/>
    <row r="14336" hidden="1" s="59"/>
    <row r="14337" hidden="1" s="59"/>
    <row r="14338" hidden="1" s="59"/>
    <row r="14339" hidden="1" s="59"/>
    <row r="14340" hidden="1" s="59"/>
    <row r="14341" hidden="1" s="59"/>
    <row r="14342" hidden="1" s="59"/>
    <row r="14343" hidden="1" s="59"/>
    <row r="14344" hidden="1" s="59"/>
    <row r="14345" hidden="1" s="59"/>
    <row r="14346" hidden="1" s="59"/>
    <row r="14347" hidden="1" s="59"/>
    <row r="14348" hidden="1" s="59"/>
    <row r="14349" hidden="1" s="59"/>
    <row r="14350" hidden="1" s="59"/>
    <row r="14351" hidden="1" s="59"/>
    <row r="14352" hidden="1" s="59"/>
    <row r="14353" hidden="1" s="59"/>
    <row r="14354" hidden="1" s="59"/>
    <row r="14355" hidden="1" s="59"/>
    <row r="14356" hidden="1" s="59"/>
    <row r="14357" hidden="1" s="59"/>
    <row r="14358" hidden="1" s="59"/>
    <row r="14359" hidden="1" s="59"/>
    <row r="14360" hidden="1" s="59"/>
    <row r="14361" hidden="1" s="59"/>
    <row r="14362" hidden="1" s="59"/>
    <row r="14363" hidden="1" s="59"/>
    <row r="14364" hidden="1" s="59"/>
    <row r="14365" hidden="1" s="59"/>
    <row r="14366" hidden="1" s="59"/>
    <row r="14367" hidden="1" s="59"/>
    <row r="14368" hidden="1" s="59"/>
    <row r="14369" hidden="1" s="59"/>
    <row r="14370" hidden="1" s="59"/>
    <row r="14371" hidden="1" s="59"/>
    <row r="14372" hidden="1" s="59"/>
    <row r="14373" hidden="1" s="59"/>
    <row r="14374" hidden="1" s="59"/>
    <row r="14375" hidden="1" s="59"/>
    <row r="14376" hidden="1" s="59"/>
    <row r="14378" hidden="1" s="59"/>
    <row r="14379" hidden="1" s="59"/>
    <row r="14380" hidden="1" s="59"/>
    <row r="14381" hidden="1" s="59"/>
    <row r="14382" hidden="1" s="59"/>
    <row r="14383" hidden="1" s="59"/>
    <row r="14384" hidden="1" s="59"/>
    <row r="14385" hidden="1" s="59"/>
    <row r="14386" hidden="1" s="59"/>
    <row r="14387" hidden="1" s="59"/>
    <row r="14388" hidden="1" s="59"/>
    <row r="14389" hidden="1" s="59"/>
    <row r="14390" hidden="1" s="59"/>
    <row r="14391" hidden="1" s="59"/>
    <row r="14392" hidden="1" s="59"/>
    <row r="14393" hidden="1" s="59"/>
    <row r="14394" hidden="1" s="59"/>
    <row r="14395" hidden="1" s="59"/>
    <row r="14396" hidden="1" s="59"/>
    <row r="14397" hidden="1" s="59"/>
    <row r="14398" hidden="1" s="59"/>
    <row r="14399" hidden="1" s="59"/>
    <row r="14400" hidden="1" s="59"/>
    <row r="14401" hidden="1" s="59"/>
    <row r="14402" hidden="1" s="59"/>
    <row r="14403" hidden="1" s="59"/>
    <row r="14404" hidden="1" s="59"/>
    <row r="14405" hidden="1" s="59"/>
    <row r="14406" hidden="1" s="59"/>
    <row r="14407" hidden="1" s="59"/>
    <row r="14408" hidden="1" s="59"/>
    <row r="14409" hidden="1" s="59"/>
    <row r="14410" hidden="1" s="59"/>
    <row r="14411" hidden="1" s="59"/>
    <row r="14412" hidden="1" s="59"/>
    <row r="14413" hidden="1" s="59"/>
    <row r="14414" hidden="1" s="59"/>
    <row r="14415" hidden="1" s="59"/>
    <row r="14416" hidden="1" s="59"/>
    <row r="14417" hidden="1" s="59"/>
    <row r="14418" hidden="1" s="59"/>
    <row r="14419" hidden="1" s="59"/>
    <row r="14420" hidden="1" s="59"/>
    <row r="14421" hidden="1" s="59"/>
    <row r="14422" hidden="1" s="59"/>
    <row r="14423" hidden="1" s="59"/>
    <row r="14424" hidden="1" s="59"/>
    <row r="14425" hidden="1" s="59"/>
    <row r="14426" hidden="1" s="59"/>
    <row r="14427" hidden="1" s="59"/>
    <row r="14428" hidden="1" s="59"/>
    <row r="14429" hidden="1" s="59"/>
    <row r="14430" hidden="1" s="59"/>
    <row r="14431" hidden="1" s="59"/>
    <row r="14432" hidden="1" s="59"/>
    <row r="14433" hidden="1" s="59"/>
    <row r="14434" hidden="1" s="59"/>
    <row r="14435" hidden="1" s="59"/>
    <row r="14436" hidden="1" s="59"/>
    <row r="14437" hidden="1" s="59"/>
    <row r="14438" hidden="1" s="59"/>
    <row r="14439" hidden="1" s="59"/>
    <row r="14440" hidden="1" s="59"/>
    <row r="14441" hidden="1" s="59"/>
    <row r="14442" hidden="1" s="59"/>
    <row r="14443" hidden="1" s="59"/>
    <row r="14444" hidden="1" s="59"/>
    <row r="14445" hidden="1" s="59"/>
    <row r="14446" hidden="1" s="59"/>
    <row r="14447" hidden="1" s="59"/>
    <row r="14448" hidden="1" s="59"/>
    <row r="14449" hidden="1" s="59"/>
    <row r="14450" hidden="1" s="59"/>
    <row r="14451" hidden="1" s="59"/>
    <row r="14452" hidden="1" s="59"/>
    <row r="14453" hidden="1" s="59"/>
    <row r="14454" hidden="1" s="59"/>
    <row r="14455" hidden="1" s="59"/>
    <row r="14456" hidden="1" s="59"/>
    <row r="14457" hidden="1" s="59"/>
    <row r="14458" hidden="1" s="59"/>
    <row r="14459" hidden="1" s="59"/>
    <row r="14460" hidden="1" s="59"/>
    <row r="14461" hidden="1" s="59"/>
    <row r="14462" hidden="1" s="59"/>
    <row r="14463" hidden="1" s="59"/>
    <row r="14464" hidden="1" s="59"/>
    <row r="14465" hidden="1" s="59"/>
    <row r="14466" hidden="1" s="59"/>
    <row r="14467" hidden="1" s="59"/>
    <row r="14468" hidden="1" s="59"/>
    <row r="14469" hidden="1" s="59"/>
    <row r="14470" hidden="1" s="59"/>
    <row r="14471" hidden="1" s="59"/>
    <row r="14472" hidden="1" s="59"/>
    <row r="14473" hidden="1" s="59"/>
    <row r="14474" hidden="1" s="59"/>
    <row r="14475" hidden="1" s="59"/>
    <row r="14476" hidden="1" s="59"/>
    <row r="14477" hidden="1" s="59"/>
    <row r="14478" hidden="1" s="59"/>
    <row r="14479" hidden="1" s="59"/>
    <row r="14480" hidden="1" s="59"/>
    <row r="14481" hidden="1" s="59"/>
    <row r="14482" hidden="1" s="59"/>
    <row r="14483" hidden="1" s="59"/>
    <row r="14484" hidden="1" s="59"/>
    <row r="14485" hidden="1" s="59"/>
    <row r="14486" hidden="1" s="59"/>
    <row r="14487" hidden="1" s="59"/>
    <row r="14488" hidden="1" s="59"/>
    <row r="14489" hidden="1" s="59"/>
    <row r="14490" hidden="1" s="59"/>
    <row r="14491" hidden="1" s="59"/>
    <row r="14492" hidden="1" s="59"/>
    <row r="14493" hidden="1" s="59"/>
    <row r="14494" hidden="1" s="59"/>
    <row r="14495" hidden="1" s="59"/>
    <row r="14496" hidden="1" s="59"/>
    <row r="14497" hidden="1" s="59"/>
    <row r="14498" hidden="1" s="59"/>
    <row r="14499" hidden="1" s="59"/>
    <row r="14500" hidden="1" s="59"/>
    <row r="14501" hidden="1" s="59"/>
    <row r="14502" hidden="1" s="59"/>
    <row r="14503" hidden="1" s="59"/>
    <row r="14504" hidden="1" s="59"/>
    <row r="14505" hidden="1" s="59"/>
    <row r="14506" hidden="1" s="59"/>
    <row r="14507" hidden="1" s="59"/>
    <row r="14508" hidden="1" s="59"/>
    <row r="14509" hidden="1" s="59"/>
    <row r="14510" hidden="1" s="59"/>
    <row r="14511" hidden="1" s="59"/>
    <row r="14512" hidden="1" s="59"/>
    <row r="14513" hidden="1" s="59"/>
    <row r="14514" hidden="1" s="59"/>
    <row r="14515" hidden="1" s="59"/>
    <row r="14516" hidden="1" s="59"/>
    <row r="14517" hidden="1" s="59"/>
    <row r="14518" hidden="1" s="59"/>
    <row r="14519" hidden="1" s="59"/>
    <row r="14520" hidden="1" s="59"/>
    <row r="14521" hidden="1" s="59"/>
    <row r="14522" hidden="1" s="59"/>
    <row r="14523" hidden="1" s="59"/>
    <row r="14524" hidden="1" s="59"/>
    <row r="14525" hidden="1" s="59"/>
    <row r="14526" hidden="1" s="59"/>
    <row r="14527" hidden="1" s="59"/>
    <row r="14528" hidden="1" s="59"/>
    <row r="14529" hidden="1" s="59"/>
    <row r="14530" hidden="1" s="59"/>
    <row r="14531" hidden="1" s="59"/>
    <row r="14532" hidden="1" s="59"/>
    <row r="14533" hidden="1" s="59"/>
    <row r="14534" hidden="1" s="59"/>
    <row r="14535" hidden="1" s="59"/>
    <row r="14536" hidden="1" s="59"/>
    <row r="14537" hidden="1" s="59"/>
    <row r="14538" hidden="1" s="59"/>
    <row r="14539" hidden="1" s="59"/>
    <row r="14540" hidden="1" s="59"/>
    <row r="14541" hidden="1" s="59"/>
    <row r="14542" hidden="1" s="59"/>
    <row r="14543" hidden="1" s="59"/>
    <row r="14544" hidden="1" s="59"/>
    <row r="14545" hidden="1" s="59"/>
    <row r="14546" hidden="1" s="59"/>
    <row r="14547" hidden="1" s="59"/>
    <row r="14548" hidden="1" s="59"/>
    <row r="14549" hidden="1" s="59"/>
    <row r="14550" hidden="1" s="59"/>
    <row r="14551" hidden="1" s="59"/>
    <row r="14552" hidden="1" s="59"/>
    <row r="14553" hidden="1" s="59"/>
    <row r="14554" hidden="1" s="59"/>
    <row r="14555" hidden="1" s="59"/>
    <row r="14556" hidden="1" s="59"/>
    <row r="14557" hidden="1" s="59"/>
    <row r="14558" hidden="1" s="59"/>
    <row r="14559" hidden="1" s="59"/>
    <row r="14560" hidden="1" s="59"/>
    <row r="14561" hidden="1" s="59"/>
    <row r="14562" hidden="1" s="59"/>
    <row r="14563" hidden="1" s="59"/>
    <row r="14564" hidden="1" s="59"/>
    <row r="14565" hidden="1" s="59"/>
    <row r="14566" hidden="1" s="59"/>
    <row r="14567" hidden="1" s="59"/>
    <row r="14568" hidden="1" s="59"/>
    <row r="14569" hidden="1" s="59"/>
    <row r="14570" hidden="1" s="59"/>
    <row r="14571" hidden="1" s="59"/>
    <row r="14572" hidden="1" s="59"/>
    <row r="14573" hidden="1" s="59"/>
    <row r="14574" hidden="1" s="59"/>
    <row r="14575" hidden="1" s="59"/>
    <row r="14576" hidden="1" s="59"/>
    <row r="14577" hidden="1" s="59"/>
    <row r="14578" hidden="1" s="59"/>
    <row r="14579" hidden="1" s="59"/>
    <row r="14580" hidden="1" s="59"/>
    <row r="14581" hidden="1" s="59"/>
    <row r="14582" hidden="1" s="59"/>
    <row r="14583" hidden="1" s="59"/>
    <row r="14584" hidden="1" s="59"/>
    <row r="14585" hidden="1" s="59"/>
    <row r="14586" hidden="1" s="59"/>
    <row r="14587" hidden="1" s="59"/>
    <row r="14588" hidden="1" s="59"/>
    <row r="14589" hidden="1" s="59"/>
    <row r="14590" hidden="1" s="59"/>
    <row r="14591" hidden="1" s="59"/>
    <row r="14592" hidden="1" s="59"/>
    <row r="14593" hidden="1" s="59"/>
    <row r="14594" hidden="1" s="59"/>
    <row r="14595" hidden="1" s="59"/>
    <row r="14596" hidden="1" s="59"/>
    <row r="14597" hidden="1" s="59"/>
    <row r="14598" hidden="1" s="59"/>
    <row r="14599" hidden="1" s="59"/>
    <row r="14600" hidden="1" s="59"/>
    <row r="14601" hidden="1" s="59"/>
    <row r="14602" hidden="1" s="59"/>
    <row r="14603" hidden="1" s="59"/>
    <row r="14604" hidden="1" s="59"/>
    <row r="14605" hidden="1" s="59"/>
    <row r="14606" hidden="1" s="59"/>
    <row r="14607" hidden="1" s="59"/>
    <row r="14608" hidden="1" s="59"/>
    <row r="14609" hidden="1" s="59"/>
    <row r="14610" hidden="1" s="59"/>
    <row r="14611" hidden="1" s="59"/>
    <row r="14612" hidden="1" s="59"/>
    <row r="14613" hidden="1" s="59"/>
    <row r="14614" hidden="1" s="59"/>
    <row r="14615" hidden="1" s="59"/>
    <row r="14616" hidden="1" s="59"/>
    <row r="14617" hidden="1" s="59"/>
    <row r="14618" hidden="1" s="59"/>
    <row r="14619" hidden="1" s="59"/>
    <row r="14620" hidden="1" s="59"/>
    <row r="14621" hidden="1" s="59"/>
    <row r="14622" hidden="1" s="59"/>
    <row r="14623" hidden="1" s="59"/>
    <row r="14624" hidden="1" s="59"/>
    <row r="14625" hidden="1" s="59"/>
    <row r="14626" hidden="1" s="59"/>
    <row r="14627" hidden="1" s="59"/>
    <row r="14628" hidden="1" s="59"/>
    <row r="14629" hidden="1" s="59"/>
    <row r="14630" hidden="1" s="59"/>
    <row r="14631" hidden="1" s="59"/>
    <row r="14632" hidden="1" s="59"/>
    <row r="14633" hidden="1" s="59"/>
    <row r="14634" hidden="1" s="59"/>
    <row r="14635" hidden="1" s="59"/>
    <row r="14636" hidden="1" s="59"/>
    <row r="14637" hidden="1" s="59"/>
    <row r="14638" hidden="1" s="59"/>
    <row r="14639" hidden="1" s="59"/>
    <row r="14640" hidden="1" s="59"/>
    <row r="14641" hidden="1" s="59"/>
    <row r="14642" hidden="1" s="59"/>
    <row r="14643" hidden="1" s="59"/>
    <row r="14644" hidden="1" s="59"/>
    <row r="14645" hidden="1" s="59"/>
    <row r="14646" hidden="1" s="59"/>
    <row r="14647" hidden="1" s="59"/>
    <row r="14648" hidden="1" s="59"/>
    <row r="14649" hidden="1" s="59"/>
    <row r="14650" hidden="1" s="59"/>
    <row r="14651" hidden="1" s="59"/>
    <row r="14652" hidden="1" s="59"/>
    <row r="14653" hidden="1" s="59"/>
    <row r="14654" hidden="1" s="59"/>
    <row r="14655" hidden="1" s="59"/>
    <row r="14656" hidden="1" s="59"/>
    <row r="14657" hidden="1" s="59"/>
    <row r="14658" hidden="1" s="59"/>
    <row r="14659" hidden="1" s="59"/>
    <row r="14660" hidden="1" s="59"/>
    <row r="14661" hidden="1" s="59"/>
    <row r="14662" hidden="1" s="59"/>
    <row r="14663" hidden="1" s="59"/>
    <row r="14664" hidden="1" s="59"/>
    <row r="14665" hidden="1" s="59"/>
    <row r="14666" hidden="1" s="59"/>
    <row r="14667" hidden="1" s="59"/>
    <row r="14668" hidden="1" s="59"/>
    <row r="14669" hidden="1" s="59"/>
    <row r="14670" hidden="1" s="59"/>
    <row r="14671" hidden="1" s="59"/>
    <row r="14672" hidden="1" s="59"/>
    <row r="14673" hidden="1" s="59"/>
    <row r="14674" hidden="1" s="59"/>
    <row r="14675" hidden="1" s="59"/>
    <row r="14676" hidden="1" s="59"/>
    <row r="14677" hidden="1" s="59"/>
    <row r="14678" hidden="1" s="59"/>
    <row r="14679" hidden="1" s="59"/>
    <row r="14680" hidden="1" s="59"/>
    <row r="14681" hidden="1" s="59"/>
    <row r="14682" hidden="1" s="59"/>
    <row r="14683" hidden="1" s="59"/>
    <row r="14684" hidden="1" s="59"/>
    <row r="14685" hidden="1" s="59"/>
    <row r="14686" hidden="1" s="59"/>
    <row r="14687" hidden="1" s="59"/>
    <row r="14688" hidden="1" s="59"/>
    <row r="14689" hidden="1" s="59"/>
    <row r="14690" hidden="1" s="59"/>
    <row r="14691" hidden="1" s="59"/>
    <row r="14692" hidden="1" s="59"/>
    <row r="14693" hidden="1" s="59"/>
    <row r="14694" hidden="1" s="59"/>
    <row r="14695" hidden="1" s="59"/>
    <row r="14696" hidden="1" s="59"/>
    <row r="14697" hidden="1" s="59"/>
    <row r="14698" hidden="1" s="59"/>
    <row r="14699" hidden="1" s="59"/>
    <row r="14700" hidden="1" s="59"/>
    <row r="14701" hidden="1" s="59"/>
    <row r="14702" hidden="1" s="59"/>
    <row r="14703" hidden="1" s="59"/>
    <row r="14704" hidden="1" s="59"/>
    <row r="14705" hidden="1" s="59"/>
    <row r="14706" hidden="1" s="59"/>
    <row r="14707" hidden="1" s="59"/>
    <row r="14708" hidden="1" s="59"/>
    <row r="14709" hidden="1" s="59"/>
    <row r="14710" hidden="1" s="59"/>
    <row r="14711" hidden="1" s="59"/>
    <row r="14712" hidden="1" s="59"/>
    <row r="14713" hidden="1" s="59"/>
    <row r="14714" hidden="1" s="59"/>
    <row r="14715" hidden="1" s="59"/>
    <row r="14716" hidden="1" s="59"/>
    <row r="14717" hidden="1" s="59"/>
    <row r="14718" hidden="1" s="59"/>
    <row r="14719" hidden="1" s="59"/>
    <row r="14720" hidden="1" s="59"/>
    <row r="14721" hidden="1" s="59"/>
    <row r="14722" hidden="1" s="59"/>
    <row r="14723" hidden="1" s="59"/>
    <row r="14724" hidden="1" s="59"/>
    <row r="14725" hidden="1" s="59"/>
    <row r="14726" hidden="1" s="59"/>
    <row r="14727" hidden="1" s="59"/>
    <row r="14728" hidden="1" s="59"/>
    <row r="14729" hidden="1" s="59"/>
    <row r="14730" hidden="1" s="59"/>
    <row r="14731" hidden="1" s="59"/>
    <row r="14732" hidden="1" s="59"/>
    <row r="14733" hidden="1" s="59"/>
    <row r="14734" hidden="1" s="59"/>
    <row r="14735" hidden="1" s="59"/>
    <row r="14736" hidden="1" s="59"/>
    <row r="14737" hidden="1" s="59"/>
    <row r="14738" hidden="1" s="59"/>
    <row r="14739" hidden="1" s="59"/>
    <row r="14740" hidden="1" s="59"/>
    <row r="14741" hidden="1" s="59"/>
    <row r="14742" hidden="1" s="59"/>
    <row r="14743" hidden="1" s="59"/>
    <row r="14744" hidden="1" s="59"/>
    <row r="14745" hidden="1" s="59"/>
    <row r="14746" hidden="1" s="59"/>
    <row r="14747" hidden="1" s="59"/>
    <row r="14748" hidden="1" s="59"/>
    <row r="14749" hidden="1" s="59"/>
    <row r="14750" hidden="1" s="59"/>
    <row r="14751" hidden="1" s="59"/>
    <row r="14752" hidden="1" s="59"/>
    <row r="14753" hidden="1" s="59"/>
    <row r="14754" hidden="1" s="59"/>
    <row r="14755" hidden="1" s="59"/>
    <row r="14756" hidden="1" s="59"/>
    <row r="14757" hidden="1" s="59"/>
    <row r="14758" hidden="1" s="59"/>
    <row r="14759" hidden="1" s="59"/>
    <row r="14760" hidden="1" s="59"/>
    <row r="14761" hidden="1" s="59"/>
    <row r="14762" hidden="1" s="59"/>
    <row r="14763" hidden="1" s="59"/>
    <row r="14764" hidden="1" s="59"/>
    <row r="14765" hidden="1" s="59"/>
    <row r="14766" hidden="1" s="59"/>
    <row r="14767" hidden="1" s="59"/>
    <row r="14768" hidden="1" s="59"/>
    <row r="14769" hidden="1" s="59"/>
    <row r="14770" hidden="1" s="59"/>
    <row r="14771" hidden="1" s="59"/>
    <row r="14772" hidden="1" s="59"/>
    <row r="14773" hidden="1" s="59"/>
    <row r="14774" hidden="1" s="59"/>
    <row r="14775" hidden="1" s="59"/>
    <row r="14776" hidden="1" s="59"/>
    <row r="14777" hidden="1" s="59"/>
    <row r="14778" hidden="1" s="59"/>
    <row r="14779" hidden="1" s="59"/>
    <row r="14780" hidden="1" s="59"/>
    <row r="14781" hidden="1" s="59"/>
    <row r="14782" hidden="1" s="59"/>
    <row r="14783" hidden="1" s="59"/>
    <row r="14784" hidden="1" s="59"/>
    <row r="14785" hidden="1" s="59"/>
    <row r="14786" hidden="1" s="59"/>
    <row r="14787" hidden="1" s="59"/>
    <row r="14788" hidden="1" s="59"/>
    <row r="14789" hidden="1" s="59"/>
    <row r="14790" hidden="1" s="59"/>
    <row r="14791" hidden="1" s="59"/>
    <row r="14792" hidden="1" s="59"/>
    <row r="14793" hidden="1" s="59"/>
    <row r="14794" hidden="1" s="59"/>
    <row r="14795" hidden="1" s="59"/>
    <row r="14796" hidden="1" s="59"/>
    <row r="14797" hidden="1" s="59"/>
    <row r="14798" hidden="1" s="59"/>
    <row r="14799" hidden="1" s="59"/>
    <row r="14800" hidden="1" s="59"/>
    <row r="14801" hidden="1" s="59"/>
    <row r="14802" hidden="1" s="59"/>
    <row r="14803" hidden="1" s="59"/>
    <row r="14804" hidden="1" s="59"/>
    <row r="14805" hidden="1" s="59"/>
    <row r="14806" hidden="1" s="59"/>
    <row r="14807" hidden="1" s="59"/>
    <row r="14808" hidden="1" s="59"/>
    <row r="14809" hidden="1" s="59"/>
    <row r="14810" hidden="1" s="59"/>
    <row r="14811" hidden="1" s="59"/>
    <row r="14812" hidden="1" s="59"/>
    <row r="14813" hidden="1" s="59"/>
    <row r="14814" hidden="1" s="59"/>
    <row r="14815" hidden="1" s="59"/>
    <row r="14816" hidden="1" s="59"/>
    <row r="14817" hidden="1" s="59"/>
    <row r="14818" hidden="1" s="59"/>
    <row r="14819" hidden="1" s="59"/>
    <row r="14820" hidden="1" s="59"/>
    <row r="14821" hidden="1" s="59"/>
    <row r="14822" hidden="1" s="59"/>
    <row r="14823" hidden="1" s="59"/>
    <row r="14824" hidden="1" s="59"/>
    <row r="14825" hidden="1" s="59"/>
    <row r="14826" hidden="1" s="59"/>
    <row r="14827" hidden="1" s="59"/>
    <row r="14828" hidden="1" s="59"/>
    <row r="14829" hidden="1" s="59"/>
    <row r="14830" hidden="1" s="59"/>
    <row r="14831" hidden="1" s="59"/>
    <row r="14832" hidden="1" s="59"/>
    <row r="14833" hidden="1" s="59"/>
    <row r="14834" hidden="1" s="59"/>
    <row r="14835" hidden="1" s="59"/>
    <row r="14836" hidden="1" s="59"/>
    <row r="14837" hidden="1" s="59"/>
    <row r="14838" hidden="1" s="59"/>
    <row r="14839" hidden="1" s="59"/>
    <row r="14840" hidden="1" s="59"/>
    <row r="14841" hidden="1" s="59"/>
    <row r="14842" hidden="1" s="59"/>
    <row r="14843" hidden="1" s="59"/>
    <row r="14844" hidden="1" s="59"/>
    <row r="14845" hidden="1" s="59"/>
    <row r="14846" hidden="1" s="59"/>
    <row r="14847" hidden="1" s="59"/>
    <row r="14848" hidden="1" s="59"/>
    <row r="14849" hidden="1" s="59"/>
    <row r="14850" hidden="1" s="59"/>
    <row r="14851" hidden="1" s="59"/>
    <row r="14852" hidden="1" s="59"/>
    <row r="14853" hidden="1" s="59"/>
    <row r="14854" hidden="1" s="59"/>
    <row r="14855" hidden="1" s="59"/>
    <row r="14856" hidden="1" s="59"/>
    <row r="14857" hidden="1" s="59"/>
    <row r="14858" hidden="1" s="59"/>
    <row r="14859" hidden="1" s="59"/>
    <row r="14860" hidden="1" s="59"/>
    <row r="14861" hidden="1" s="59"/>
    <row r="14862" hidden="1" s="59"/>
    <row r="14863" hidden="1" s="59"/>
    <row r="14864" hidden="1" s="59"/>
    <row r="14865" hidden="1" s="59"/>
    <row r="14866" hidden="1" s="59"/>
    <row r="14867" hidden="1" s="59"/>
    <row r="14868" hidden="1" s="59"/>
    <row r="14869" hidden="1" s="59"/>
    <row r="14870" hidden="1" s="59"/>
    <row r="14871" hidden="1" s="59"/>
    <row r="14872" hidden="1" s="59"/>
    <row r="14873" hidden="1" s="59"/>
    <row r="14874" hidden="1" s="59"/>
    <row r="14875" hidden="1" s="59"/>
    <row r="14876" hidden="1" s="59"/>
    <row r="14877" hidden="1" s="59"/>
    <row r="14878" hidden="1" s="59"/>
    <row r="14879" hidden="1" s="59"/>
    <row r="14880" hidden="1" s="59"/>
    <row r="14881" hidden="1" s="59"/>
    <row r="14882" hidden="1" s="59"/>
    <row r="14883" hidden="1" s="59"/>
    <row r="14884" hidden="1" s="59"/>
    <row r="14885" hidden="1" s="59"/>
    <row r="14886" hidden="1" s="59"/>
    <row r="14887" hidden="1" s="59"/>
    <row r="14888" hidden="1" s="59"/>
    <row r="14889" hidden="1" s="59"/>
    <row r="14890" hidden="1" s="59"/>
    <row r="14891" hidden="1" s="59"/>
    <row r="14892" hidden="1" s="59"/>
    <row r="14893" hidden="1" s="59"/>
    <row r="14894" hidden="1" s="59"/>
    <row r="14895" hidden="1" s="59"/>
    <row r="14896" hidden="1" s="59"/>
    <row r="14897" hidden="1" s="59"/>
    <row r="14898" hidden="1" s="59"/>
    <row r="14899" hidden="1" s="59"/>
    <row r="14900" hidden="1" s="59"/>
    <row r="14901" hidden="1" s="59"/>
    <row r="14902" hidden="1" s="59"/>
    <row r="14903" hidden="1" s="59"/>
    <row r="14904" hidden="1" s="59"/>
    <row r="14905" hidden="1" s="59"/>
    <row r="14906" hidden="1" s="59"/>
    <row r="14907" hidden="1" s="59"/>
    <row r="14908" hidden="1" s="59"/>
    <row r="14909" hidden="1" s="59"/>
    <row r="14910" hidden="1" s="59"/>
    <row r="14911" hidden="1" s="59"/>
    <row r="14912" hidden="1" s="59"/>
    <row r="14913" hidden="1" s="59"/>
    <row r="14914" hidden="1" s="59"/>
    <row r="14915" hidden="1" s="59"/>
    <row r="14916" hidden="1" s="59"/>
    <row r="14917" hidden="1" s="59"/>
    <row r="14918" hidden="1" s="59"/>
    <row r="14919" hidden="1" s="59"/>
    <row r="14920" hidden="1" s="59"/>
    <row r="14921" hidden="1" s="59"/>
    <row r="14922" hidden="1" s="59"/>
    <row r="14923" hidden="1" s="59"/>
    <row r="14924" hidden="1" s="59"/>
    <row r="14925" hidden="1" s="59"/>
    <row r="14926" hidden="1" s="59"/>
    <row r="14927" hidden="1" s="59"/>
    <row r="14928" hidden="1" s="59"/>
    <row r="14929" hidden="1" s="59"/>
    <row r="14930" hidden="1" s="59"/>
    <row r="14931" hidden="1" s="59"/>
    <row r="14932" hidden="1" s="59"/>
    <row r="14933" hidden="1" s="59"/>
    <row r="14934" hidden="1" s="59"/>
    <row r="14935" hidden="1" s="59"/>
    <row r="14936" hidden="1" s="59"/>
    <row r="14937" hidden="1" s="59"/>
    <row r="14938" hidden="1" s="59"/>
    <row r="14939" hidden="1" s="59"/>
    <row r="14940" hidden="1" s="59"/>
    <row r="14941" hidden="1" s="59"/>
    <row r="14942" hidden="1" s="59"/>
    <row r="14943" hidden="1" s="59"/>
    <row r="14944" hidden="1" s="59"/>
    <row r="14945" hidden="1" s="59"/>
    <row r="14946" hidden="1" s="59"/>
    <row r="14947" hidden="1" s="59"/>
    <row r="14948" hidden="1" s="59"/>
    <row r="14949" hidden="1" s="59"/>
    <row r="14950" hidden="1" s="59"/>
    <row r="14951" hidden="1" s="59"/>
    <row r="14952" hidden="1" s="59"/>
    <row r="14953" hidden="1" s="59"/>
    <row r="14954" hidden="1" s="59"/>
    <row r="14955" hidden="1" s="59"/>
    <row r="14956" hidden="1" s="59"/>
    <row r="14957" hidden="1" s="59"/>
    <row r="14958" hidden="1" s="59"/>
    <row r="14959" hidden="1" s="59"/>
    <row r="14960" hidden="1" s="59"/>
    <row r="14961" hidden="1" s="59"/>
    <row r="14962" hidden="1" s="59"/>
    <row r="14963" hidden="1" s="59"/>
    <row r="14964" hidden="1" s="59"/>
    <row r="14965" hidden="1" s="59"/>
    <row r="14966" hidden="1" s="59"/>
    <row r="14967" hidden="1" s="59"/>
    <row r="14968" hidden="1" s="59"/>
    <row r="14969" hidden="1" s="59"/>
    <row r="14970" hidden="1" s="59"/>
    <row r="14971" hidden="1" s="59"/>
    <row r="14972" hidden="1" s="59"/>
    <row r="14973" hidden="1" s="59"/>
    <row r="14974" hidden="1" s="59"/>
    <row r="14975" hidden="1" s="59"/>
    <row r="14976" hidden="1" s="59"/>
    <row r="14977" hidden="1" s="59"/>
    <row r="14978" hidden="1" s="59"/>
    <row r="14979" hidden="1" s="59"/>
    <row r="14980" hidden="1" s="59"/>
    <row r="14981" hidden="1" s="59"/>
    <row r="14982" hidden="1" s="59"/>
    <row r="14983" hidden="1" s="59"/>
    <row r="14984" hidden="1" s="59"/>
    <row r="14985" hidden="1" s="59"/>
    <row r="14986" hidden="1" s="59"/>
    <row r="14987" hidden="1" s="59"/>
    <row r="14988" hidden="1" s="59"/>
    <row r="14989" hidden="1" s="59"/>
    <row r="14990" hidden="1" s="59"/>
    <row r="14991" hidden="1" s="59"/>
    <row r="14992" hidden="1" s="59"/>
    <row r="14993" hidden="1" s="59"/>
    <row r="14994" hidden="1" s="59"/>
    <row r="14995" hidden="1" s="59"/>
    <row r="14996" hidden="1" s="59"/>
    <row r="14997" hidden="1" s="59"/>
    <row r="14998" hidden="1" s="59"/>
    <row r="14999" hidden="1" s="59"/>
    <row r="15000" hidden="1" s="59"/>
    <row r="15001" hidden="1" s="59"/>
    <row r="15002" hidden="1" s="59"/>
    <row r="15003" hidden="1" s="59"/>
    <row r="15004" hidden="1" s="59"/>
    <row r="15005" hidden="1" s="59"/>
    <row r="15006" hidden="1" s="59"/>
    <row r="15007" hidden="1" s="59"/>
    <row r="15008" hidden="1" s="59"/>
    <row r="15009" hidden="1" s="59"/>
    <row r="15010" hidden="1" s="59"/>
    <row r="15011" hidden="1" s="59"/>
    <row r="15012" hidden="1" s="59"/>
    <row r="15013" hidden="1" s="59"/>
    <row r="15014" hidden="1" s="59"/>
    <row r="15015" hidden="1" s="59"/>
    <row r="15016" hidden="1" s="59"/>
    <row r="15017" hidden="1" s="59"/>
    <row r="15018" hidden="1" s="59"/>
    <row r="15019" hidden="1" s="59"/>
    <row r="15020" hidden="1" s="59"/>
    <row r="15021" hidden="1" s="59"/>
    <row r="15022" hidden="1" s="59"/>
    <row r="15023" hidden="1" s="59"/>
    <row r="15024" hidden="1" s="59"/>
    <row r="15025" hidden="1" s="59"/>
    <row r="15026" hidden="1" s="59"/>
    <row r="15027" hidden="1" s="59"/>
    <row r="15028" hidden="1" s="59"/>
    <row r="15029" hidden="1" s="59"/>
    <row r="15030" hidden="1" s="59"/>
    <row r="15031" hidden="1" s="59"/>
    <row r="15032" hidden="1" s="59"/>
    <row r="15033" hidden="1" s="59"/>
    <row r="15034" hidden="1" s="59"/>
    <row r="15035" hidden="1" s="59"/>
    <row r="15036" hidden="1" s="59"/>
    <row r="15037" hidden="1" s="59"/>
    <row r="15038" hidden="1" s="59"/>
    <row r="15039" hidden="1" s="59"/>
    <row r="15040" hidden="1" s="59"/>
    <row r="15041" hidden="1" s="59"/>
    <row r="15042" hidden="1" s="59"/>
    <row r="15043" hidden="1" s="59"/>
    <row r="15044" hidden="1" s="59"/>
    <row r="15045" hidden="1" s="59"/>
    <row r="15046" hidden="1" s="59"/>
    <row r="15047" hidden="1" s="59"/>
    <row r="15048" hidden="1" s="59"/>
    <row r="15049" hidden="1" s="59"/>
    <row r="15050" hidden="1" s="59"/>
    <row r="15051" hidden="1" s="59"/>
    <row r="15052" hidden="1" s="59"/>
    <row r="15053" hidden="1" s="59"/>
    <row r="15054" hidden="1" s="59"/>
    <row r="15055" hidden="1" s="59"/>
    <row r="15056" hidden="1" s="59"/>
    <row r="15057" hidden="1" s="59"/>
    <row r="15058" hidden="1" s="59"/>
    <row r="15059" hidden="1" s="59"/>
    <row r="15060" hidden="1" s="59"/>
    <row r="15061" hidden="1" s="59"/>
    <row r="15062" hidden="1" s="59"/>
    <row r="15063" hidden="1" s="59"/>
    <row r="15064" hidden="1" s="59"/>
    <row r="15065" hidden="1" s="59"/>
    <row r="15066" hidden="1" s="59"/>
    <row r="15067" hidden="1" s="59"/>
    <row r="15068" hidden="1" s="59"/>
    <row r="15069" hidden="1" s="59"/>
    <row r="15070" hidden="1" s="59"/>
    <row r="15071" hidden="1" s="59"/>
    <row r="15072" hidden="1" s="59"/>
    <row r="15073" hidden="1" s="59"/>
    <row r="15074" hidden="1" s="59"/>
    <row r="15075" hidden="1" s="59"/>
    <row r="15076" hidden="1" s="59"/>
    <row r="15077" hidden="1" s="59"/>
    <row r="15078" hidden="1" s="59"/>
    <row r="15079" hidden="1" s="59"/>
    <row r="15080" hidden="1" s="59"/>
    <row r="15081" hidden="1" s="59"/>
    <row r="15082" hidden="1" s="59"/>
    <row r="15083" hidden="1" s="59"/>
    <row r="15084" hidden="1" s="59"/>
    <row r="15085" hidden="1" s="59"/>
    <row r="15086" hidden="1" s="59"/>
    <row r="15087" hidden="1" s="59"/>
    <row r="15088" hidden="1" s="59"/>
    <row r="15089" hidden="1" s="59"/>
    <row r="15090" hidden="1" s="59"/>
    <row r="15091" hidden="1" s="59"/>
    <row r="15092" hidden="1" s="59"/>
    <row r="15093" hidden="1" s="59"/>
    <row r="15094" hidden="1" s="59"/>
    <row r="15095" hidden="1" s="59"/>
    <row r="15096" hidden="1" s="59"/>
    <row r="15097" hidden="1" s="59"/>
    <row r="15098" hidden="1" s="59"/>
    <row r="15099" hidden="1" s="59"/>
    <row r="15100" hidden="1" s="59"/>
    <row r="15101" hidden="1" s="59"/>
    <row r="15102" hidden="1" s="59"/>
    <row r="15103" hidden="1" s="59"/>
    <row r="15104" hidden="1" s="59"/>
    <row r="15105" hidden="1" s="59"/>
    <row r="15106" hidden="1" s="59"/>
    <row r="15107" hidden="1" s="59"/>
    <row r="15108" hidden="1" s="59"/>
    <row r="15109" hidden="1" s="59"/>
    <row r="15110" hidden="1" s="59"/>
    <row r="15111" hidden="1" s="59"/>
    <row r="15112" hidden="1" s="59"/>
    <row r="15113" hidden="1" s="59"/>
    <row r="15114" hidden="1" s="59"/>
    <row r="15115" hidden="1" s="59"/>
    <row r="15116" hidden="1" s="59"/>
    <row r="15117" hidden="1" s="59"/>
    <row r="15118" hidden="1" s="59"/>
    <row r="15119" hidden="1" s="59"/>
    <row r="15120" hidden="1" s="59"/>
    <row r="15121" hidden="1" s="59"/>
    <row r="15122" hidden="1" s="59"/>
    <row r="15123" hidden="1" s="59"/>
    <row r="15124" hidden="1" s="59"/>
    <row r="15125" hidden="1" s="59"/>
    <row r="15126" hidden="1" s="59"/>
    <row r="15127" hidden="1" s="59"/>
    <row r="15128" hidden="1" s="59"/>
    <row r="15129" hidden="1" s="59"/>
    <row r="15130" hidden="1" s="59"/>
    <row r="15131" hidden="1" s="59"/>
    <row r="15132" hidden="1" s="59"/>
    <row r="15133" hidden="1" s="59"/>
    <row r="15134" hidden="1" s="59"/>
    <row r="15135" hidden="1" s="59"/>
    <row r="15136" hidden="1" s="59"/>
    <row r="15137" hidden="1" s="59"/>
    <row r="15138" hidden="1" s="59"/>
    <row r="15139" hidden="1" s="59"/>
    <row r="15140" hidden="1" s="59"/>
    <row r="15141" hidden="1" s="59"/>
    <row r="15142" hidden="1" s="59"/>
    <row r="15143" hidden="1" s="59"/>
    <row r="15144" hidden="1" s="59"/>
    <row r="15145" hidden="1" s="59"/>
    <row r="15146" hidden="1" s="59"/>
    <row r="15147" hidden="1" s="59"/>
    <row r="15148" hidden="1" s="59"/>
    <row r="15149" hidden="1" s="59"/>
    <row r="15150" hidden="1" s="59"/>
    <row r="15151" hidden="1" s="59"/>
    <row r="15152" hidden="1" s="59"/>
    <row r="15153" hidden="1" s="59"/>
    <row r="15154" hidden="1" s="59"/>
    <row r="15155" hidden="1" s="59"/>
    <row r="15156" hidden="1" s="59"/>
    <row r="15157" hidden="1" s="59"/>
    <row r="15158" hidden="1" s="59"/>
    <row r="15159" hidden="1" s="59"/>
    <row r="15160" hidden="1" s="59"/>
    <row r="15161" hidden="1" s="59"/>
    <row r="15162" hidden="1" s="59"/>
    <row r="15163" hidden="1" s="59"/>
    <row r="15164" hidden="1" s="59"/>
    <row r="15165" hidden="1" s="59"/>
    <row r="15166" hidden="1" s="59"/>
    <row r="15167" hidden="1" s="59"/>
    <row r="15168" hidden="1" s="59"/>
    <row r="15169" hidden="1" s="59"/>
    <row r="15170" hidden="1" s="59"/>
    <row r="15171" hidden="1" s="59"/>
    <row r="15172" hidden="1" s="59"/>
    <row r="15173" hidden="1" s="59"/>
    <row r="15174" hidden="1" s="59"/>
    <row r="15175" hidden="1" s="59"/>
    <row r="15176" hidden="1" s="59"/>
    <row r="15177" hidden="1" s="59"/>
    <row r="15178" hidden="1" s="59"/>
    <row r="15179" hidden="1" s="59"/>
    <row r="15180" hidden="1" s="59"/>
    <row r="15181" hidden="1" s="59"/>
    <row r="15182" hidden="1" s="59"/>
    <row r="15183" hidden="1" s="59"/>
    <row r="15184" hidden="1" s="59"/>
    <row r="15185" hidden="1" s="59"/>
    <row r="15186" hidden="1" s="59"/>
    <row r="15187" hidden="1" s="59"/>
    <row r="15188" hidden="1" s="59"/>
    <row r="15189" hidden="1" s="59"/>
    <row r="15190" hidden="1" s="59"/>
    <row r="15191" hidden="1" s="59"/>
    <row r="15192" hidden="1" s="59"/>
    <row r="15193" hidden="1" s="59"/>
    <row r="15194" hidden="1" s="59"/>
    <row r="15195" hidden="1" s="59"/>
    <row r="15196" hidden="1" s="59"/>
    <row r="15197" hidden="1" s="59"/>
    <row r="15198" hidden="1" s="59"/>
    <row r="15199" hidden="1" s="59"/>
    <row r="15200" hidden="1" s="59"/>
    <row r="15201" hidden="1" s="59"/>
    <row r="15202" hidden="1" s="59"/>
    <row r="15203" hidden="1" s="59"/>
    <row r="15204" hidden="1" s="59"/>
    <row r="15205" hidden="1" s="59"/>
    <row r="15206" hidden="1" s="59"/>
    <row r="15207" hidden="1" s="59"/>
    <row r="15208" hidden="1" s="59"/>
    <row r="15209" hidden="1" s="59"/>
    <row r="15210" hidden="1" s="59"/>
    <row r="15211" hidden="1" s="59"/>
    <row r="15212" hidden="1" s="59"/>
    <row r="15213" hidden="1" s="59"/>
    <row r="15214" hidden="1" s="59"/>
    <row r="15215" hidden="1" s="59"/>
    <row r="15216" hidden="1" s="59"/>
    <row r="15217" hidden="1" s="59"/>
    <row r="15218" hidden="1" s="59"/>
    <row r="15219" hidden="1" s="59"/>
    <row r="15220" hidden="1" s="59"/>
    <row r="15221" hidden="1" s="59"/>
    <row r="15222" hidden="1" s="59"/>
    <row r="15223" hidden="1" s="59"/>
    <row r="15224" hidden="1" s="59"/>
    <row r="15225" hidden="1" s="59"/>
    <row r="15226" hidden="1" s="59"/>
    <row r="15227" hidden="1" s="59"/>
    <row r="15228" hidden="1" s="59"/>
    <row r="15229" hidden="1" s="59"/>
    <row r="15230" hidden="1" s="59"/>
    <row r="15231" hidden="1" s="59"/>
    <row r="15232" hidden="1" s="59"/>
    <row r="15233" hidden="1" s="59"/>
    <row r="15234" hidden="1" s="59"/>
    <row r="15235" hidden="1" s="59"/>
    <row r="15236" hidden="1" s="59"/>
    <row r="15237" hidden="1" s="59"/>
    <row r="15238" hidden="1" s="59"/>
    <row r="15239" hidden="1" s="59"/>
    <row r="15240" hidden="1" s="59"/>
    <row r="15241" hidden="1" s="59"/>
    <row r="15242" hidden="1" s="59"/>
    <row r="15243" hidden="1" s="59"/>
    <row r="15244" hidden="1" s="59"/>
    <row r="15245" hidden="1" s="59"/>
    <row r="15246" hidden="1" s="59"/>
    <row r="15247" hidden="1" s="59"/>
    <row r="15248" hidden="1" s="59"/>
    <row r="15249" hidden="1" s="59"/>
    <row r="15250" hidden="1" s="59"/>
    <row r="15251" hidden="1" s="59"/>
    <row r="15252" hidden="1" s="59"/>
    <row r="15253" hidden="1" s="59"/>
    <row r="15254" hidden="1" s="59"/>
    <row r="15255" hidden="1" s="59"/>
    <row r="15256" hidden="1" s="59"/>
    <row r="15257" hidden="1" s="59"/>
    <row r="15258" hidden="1" s="59"/>
    <row r="15259" hidden="1" s="59"/>
    <row r="15260" hidden="1" s="59"/>
    <row r="15261" hidden="1" s="59"/>
    <row r="15262" hidden="1" s="59"/>
    <row r="15263" hidden="1" s="59"/>
    <row r="15264" hidden="1" s="59"/>
    <row r="15265" hidden="1" s="59"/>
    <row r="15266" hidden="1" s="59"/>
    <row r="15267" hidden="1" s="59"/>
    <row r="15268" hidden="1" s="59"/>
    <row r="15269" hidden="1" s="59"/>
    <row r="15270" hidden="1" s="59"/>
    <row r="15271" hidden="1" s="59"/>
    <row r="15272" hidden="1" s="59"/>
    <row r="15273" hidden="1" s="59"/>
    <row r="15274" hidden="1" s="59"/>
    <row r="15275" hidden="1" s="59"/>
    <row r="15276" hidden="1" s="59"/>
    <row r="15277" hidden="1" s="59"/>
    <row r="15278" hidden="1" s="59"/>
    <row r="15279" hidden="1" s="59"/>
    <row r="15280" hidden="1" s="59"/>
    <row r="15281" hidden="1" s="59"/>
    <row r="15282" hidden="1" s="59"/>
    <row r="15283" hidden="1" s="59"/>
    <row r="15284" hidden="1" s="59"/>
    <row r="15285" hidden="1" s="59"/>
    <row r="15286" hidden="1" s="59"/>
    <row r="15287" hidden="1" s="59"/>
    <row r="15288" hidden="1" s="59"/>
    <row r="15289" hidden="1" s="59"/>
    <row r="15290" hidden="1" s="59"/>
    <row r="15291" hidden="1" s="59"/>
    <row r="15292" hidden="1" s="59"/>
    <row r="15293" hidden="1" s="59"/>
    <row r="15294" hidden="1" s="59"/>
    <row r="15295" hidden="1" s="59"/>
    <row r="15296" hidden="1" s="59"/>
    <row r="15297" hidden="1" s="59"/>
    <row r="15298" hidden="1" s="59"/>
    <row r="15299" hidden="1" s="59"/>
    <row r="15300" hidden="1" s="59"/>
    <row r="15301" hidden="1" s="59"/>
    <row r="15302" hidden="1" s="59"/>
    <row r="15303" hidden="1" s="59"/>
    <row r="15304" hidden="1" s="59"/>
    <row r="15305" hidden="1" s="59"/>
    <row r="15306" hidden="1" s="59"/>
    <row r="15307" hidden="1" s="59"/>
    <row r="15308" hidden="1" s="59"/>
    <row r="15309" hidden="1" s="59"/>
    <row r="15310" hidden="1" s="59"/>
    <row r="15311" hidden="1" s="59"/>
    <row r="15312" hidden="1" s="59"/>
    <row r="15313" hidden="1" s="59"/>
    <row r="15314" hidden="1" s="59"/>
    <row r="15315" hidden="1" s="59"/>
    <row r="15316" hidden="1" s="59"/>
    <row r="15317" hidden="1" s="59"/>
    <row r="15318" hidden="1" s="59"/>
    <row r="15319" hidden="1" s="59"/>
    <row r="15320" hidden="1" s="59"/>
    <row r="15321" hidden="1" s="59"/>
    <row r="15322" hidden="1" s="59"/>
    <row r="15323" hidden="1" s="59"/>
    <row r="15324" hidden="1" s="59"/>
    <row r="15325" hidden="1" s="59"/>
    <row r="15326" hidden="1" s="59"/>
    <row r="15327" hidden="1" s="59"/>
    <row r="15328" hidden="1" s="59"/>
    <row r="15329" hidden="1" s="59"/>
    <row r="15330" hidden="1" s="59"/>
    <row r="15331" hidden="1" s="59"/>
    <row r="15332" hidden="1" s="59"/>
    <row r="15333" hidden="1" s="59"/>
    <row r="15334" hidden="1" s="59"/>
    <row r="15335" hidden="1" s="59"/>
    <row r="15336" hidden="1" s="59"/>
    <row r="15337" hidden="1" s="59"/>
    <row r="15338" hidden="1" s="59"/>
    <row r="15339" hidden="1" s="59"/>
    <row r="15340" hidden="1" s="59"/>
    <row r="15341" hidden="1" s="59"/>
    <row r="15342" hidden="1" s="59"/>
    <row r="15343" hidden="1" s="59"/>
    <row r="15344" hidden="1" s="59"/>
    <row r="15345" hidden="1" s="59"/>
    <row r="15346" hidden="1" s="59"/>
    <row r="15347" hidden="1" s="59"/>
    <row r="15348" hidden="1" s="59"/>
    <row r="15349" hidden="1" s="59"/>
    <row r="15350" hidden="1" s="59"/>
    <row r="15351" hidden="1" s="59"/>
    <row r="15352" hidden="1" s="59"/>
    <row r="15353" hidden="1" s="59"/>
    <row r="15354" hidden="1" s="59"/>
    <row r="15355" hidden="1" s="59"/>
    <row r="15356" hidden="1" s="59"/>
    <row r="15357" hidden="1" s="59"/>
    <row r="15358" hidden="1" s="59"/>
    <row r="15359" hidden="1" s="59"/>
    <row r="15360" hidden="1" s="59"/>
    <row r="15361" hidden="1" s="59"/>
    <row r="15362" hidden="1" s="59"/>
    <row r="15363" hidden="1" s="59"/>
    <row r="15364" hidden="1" s="59"/>
    <row r="15365" hidden="1" s="59"/>
    <row r="15366" hidden="1" s="59"/>
    <row r="15367" hidden="1" s="59"/>
    <row r="15368" hidden="1" s="59"/>
    <row r="15369" hidden="1" s="59"/>
    <row r="15370" hidden="1" s="59"/>
    <row r="15371" hidden="1" s="59"/>
    <row r="15372" hidden="1" s="59"/>
    <row r="15373" hidden="1" s="59"/>
    <row r="15374" hidden="1" s="59"/>
    <row r="15375" hidden="1" s="59"/>
    <row r="15376" hidden="1" s="59"/>
    <row r="15377" hidden="1" s="59"/>
    <row r="15378" hidden="1" s="59"/>
    <row r="15379" hidden="1" s="59"/>
    <row r="15380" hidden="1" s="59"/>
    <row r="15381" hidden="1" s="59"/>
    <row r="15382" hidden="1" s="59"/>
    <row r="15383" hidden="1" s="59"/>
    <row r="15384" hidden="1" s="59"/>
    <row r="15385" hidden="1" s="59"/>
    <row r="15386" hidden="1" s="59"/>
    <row r="15387" hidden="1" s="59"/>
    <row r="15388" hidden="1" s="59"/>
    <row r="15389" hidden="1" s="59"/>
    <row r="15390" hidden="1" s="59"/>
    <row r="15391" hidden="1" s="59"/>
    <row r="15392" hidden="1" s="59"/>
    <row r="15393" hidden="1" s="59"/>
    <row r="15394" hidden="1" s="59"/>
    <row r="15395" hidden="1" s="59"/>
    <row r="15396" hidden="1" s="59"/>
    <row r="15397" hidden="1" s="59"/>
    <row r="15398" hidden="1" s="59"/>
    <row r="15399" hidden="1" s="59"/>
    <row r="15400" hidden="1" s="59"/>
    <row r="15401" hidden="1" s="59"/>
    <row r="15402" hidden="1" s="59"/>
    <row r="15403" hidden="1" s="59"/>
    <row r="15404" hidden="1" s="59"/>
    <row r="15405" hidden="1" s="59"/>
    <row r="15406" hidden="1" s="59"/>
    <row r="15407" hidden="1" s="59"/>
    <row r="15408" hidden="1" s="59"/>
    <row r="15409" hidden="1" s="59"/>
    <row r="15410" hidden="1" s="59"/>
    <row r="15411" hidden="1" s="59"/>
    <row r="15412" hidden="1" s="59"/>
    <row r="15413" hidden="1" s="59"/>
    <row r="15414" hidden="1" s="59"/>
    <row r="15415" hidden="1" s="59"/>
    <row r="15416" hidden="1" s="59"/>
    <row r="15417" hidden="1" s="59"/>
    <row r="15418" hidden="1" s="59"/>
    <row r="15419" hidden="1" s="59"/>
    <row r="15420" hidden="1" s="59"/>
    <row r="15421" hidden="1" s="59"/>
    <row r="15422" hidden="1" s="59"/>
    <row r="15423" hidden="1" s="59"/>
    <row r="15424" hidden="1" s="59"/>
    <row r="15425" hidden="1" s="59"/>
    <row r="15426" hidden="1" s="59"/>
    <row r="15427" hidden="1" s="59"/>
    <row r="15428" hidden="1" s="59"/>
    <row r="15429" hidden="1" s="59"/>
    <row r="15430" hidden="1" s="59"/>
    <row r="15431" hidden="1" s="59"/>
    <row r="15432" hidden="1" s="59"/>
    <row r="15433" hidden="1" s="59"/>
    <row r="15434" hidden="1" s="59"/>
    <row r="15435" hidden="1" s="59"/>
    <row r="15436" hidden="1" s="59"/>
    <row r="15437" hidden="1" s="59"/>
    <row r="15438" hidden="1" s="59"/>
    <row r="15439" hidden="1" s="59"/>
    <row r="15440" hidden="1" s="59"/>
    <row r="15441" hidden="1" s="59"/>
    <row r="15442" hidden="1" s="59"/>
    <row r="15443" hidden="1" s="59"/>
    <row r="15444" hidden="1" s="59"/>
    <row r="15445" hidden="1" s="59"/>
    <row r="15446" hidden="1" s="59"/>
    <row r="15447" hidden="1" s="59"/>
    <row r="15449" hidden="1" s="59"/>
    <row r="15450" hidden="1" s="59"/>
    <row r="15451" hidden="1" s="59"/>
    <row r="15452" hidden="1" s="59"/>
    <row r="15453" hidden="1" s="59"/>
    <row r="15454" hidden="1" s="59"/>
    <row r="15455" hidden="1" s="59"/>
    <row r="15456" hidden="1" s="59"/>
    <row r="15457" hidden="1" s="59"/>
    <row r="15458" hidden="1" s="59"/>
    <row r="15459" hidden="1" s="59"/>
    <row r="15460" hidden="1" s="59"/>
    <row r="15461" hidden="1" s="59"/>
    <row r="15462" hidden="1" s="59"/>
    <row r="15463" hidden="1" s="59"/>
    <row r="15464" hidden="1" s="59"/>
    <row r="15465" hidden="1" s="59"/>
    <row r="15466" hidden="1" s="59"/>
    <row r="15467" hidden="1" s="59"/>
    <row r="15468" hidden="1" s="59"/>
    <row r="15469" hidden="1" s="59"/>
    <row r="15470" hidden="1" s="59"/>
    <row r="15471" hidden="1" s="59"/>
    <row r="15472" hidden="1" s="59"/>
    <row r="15473" hidden="1" s="59"/>
    <row r="15474" hidden="1" s="59"/>
    <row r="15475" hidden="1" s="59"/>
    <row r="15476" hidden="1" s="59"/>
    <row r="15477" hidden="1" s="59"/>
    <row r="15478" hidden="1" s="59"/>
    <row r="15479" hidden="1" s="59"/>
    <row r="15480" hidden="1" s="59"/>
    <row r="15481" hidden="1" s="59"/>
    <row r="15482" hidden="1" s="59"/>
    <row r="15483" hidden="1" s="59"/>
    <row r="15484" hidden="1" s="59"/>
    <row r="15485" hidden="1" s="59"/>
    <row r="15486" hidden="1" s="59"/>
    <row r="15487" hidden="1" s="59"/>
    <row r="15488" hidden="1" s="59"/>
    <row r="15489" hidden="1" s="59"/>
    <row r="15490" hidden="1" s="59"/>
    <row r="15491" hidden="1" s="59"/>
    <row r="15492" hidden="1" s="59"/>
    <row r="15493" hidden="1" s="59"/>
    <row r="15494" hidden="1" s="59"/>
    <row r="15495" hidden="1" s="59"/>
    <row r="15496" hidden="1" s="59"/>
    <row r="15497" hidden="1" s="59"/>
    <row r="15498" hidden="1" s="59"/>
    <row r="15499" hidden="1" s="59"/>
    <row r="15500" hidden="1" s="59"/>
    <row r="15501" hidden="1" s="59"/>
    <row r="15502" hidden="1" s="59"/>
    <row r="15503" hidden="1" s="59"/>
    <row r="15504" hidden="1" s="59"/>
    <row r="15505" hidden="1" s="59"/>
    <row r="15506" hidden="1" s="59"/>
    <row r="15507" hidden="1" s="59"/>
    <row r="15508" hidden="1" s="59"/>
    <row r="15509" hidden="1" s="59"/>
    <row r="15510" hidden="1" s="59"/>
    <row r="15511" hidden="1" s="59"/>
    <row r="15512" hidden="1" s="59"/>
    <row r="15513" hidden="1" s="59"/>
    <row r="15514" hidden="1" s="59"/>
    <row r="15515" hidden="1" s="59"/>
    <row r="15516" hidden="1" s="59"/>
    <row r="15518" hidden="1" s="59"/>
    <row r="15519" hidden="1" s="59"/>
    <row r="15520" hidden="1" s="59"/>
    <row r="15521" hidden="1" s="59"/>
    <row r="15522" hidden="1" s="59"/>
    <row r="15523" hidden="1" s="59"/>
    <row r="15524" hidden="1" s="59"/>
    <row r="15525" hidden="1" s="59"/>
    <row r="15526" hidden="1" s="59"/>
    <row r="15527" hidden="1" s="59"/>
    <row r="15528" hidden="1" s="59"/>
    <row r="15529" hidden="1" s="59"/>
    <row r="15530" hidden="1" s="59"/>
    <row r="15531" hidden="1" s="59"/>
    <row r="15532" hidden="1" s="59"/>
    <row r="15533" hidden="1" s="59"/>
    <row r="15534" hidden="1" s="59"/>
    <row r="15535" hidden="1" s="59"/>
    <row r="15536" hidden="1" s="59"/>
    <row r="15537" hidden="1" s="59"/>
    <row r="15538" hidden="1" s="59"/>
    <row r="15539" hidden="1" s="59"/>
    <row r="15540" hidden="1" s="59"/>
    <row r="15541" hidden="1" s="59"/>
    <row r="15542" hidden="1" s="59"/>
    <row r="15543" hidden="1" s="59"/>
    <row r="15544" hidden="1" s="59"/>
    <row r="15545" hidden="1" s="59"/>
    <row r="15546" hidden="1" s="59"/>
    <row r="15547" hidden="1" s="59"/>
    <row r="15548" hidden="1" s="59"/>
    <row r="15549" hidden="1" s="59"/>
    <row r="15550" hidden="1" s="59"/>
    <row r="15551" hidden="1" s="59"/>
    <row r="15552" hidden="1" s="59"/>
    <row r="15553" hidden="1" s="59"/>
    <row r="15554" hidden="1" s="59"/>
    <row r="15555" hidden="1" s="59"/>
    <row r="15556" hidden="1" s="59"/>
    <row r="15557" hidden="1" s="59"/>
    <row r="15558" hidden="1" s="59"/>
    <row r="15559" hidden="1" s="59"/>
    <row r="15560" hidden="1" s="59"/>
    <row r="15561" hidden="1" s="59"/>
    <row r="15562" hidden="1" s="59"/>
    <row r="15563" hidden="1" s="59"/>
    <row r="15564" hidden="1" s="59"/>
    <row r="15565" hidden="1" s="59"/>
    <row r="15566" hidden="1" s="59"/>
    <row r="15567" hidden="1" s="59"/>
    <row r="15568" hidden="1" s="59"/>
    <row r="15569" hidden="1" s="59"/>
    <row r="15570" hidden="1" s="59"/>
    <row r="15571" hidden="1" s="59"/>
    <row r="15572" hidden="1" s="59"/>
    <row r="15573" hidden="1" s="59"/>
    <row r="15574" hidden="1" s="59"/>
    <row r="15575" hidden="1" s="59"/>
    <row r="15576" hidden="1" s="59"/>
    <row r="15577" hidden="1" s="59"/>
    <row r="15578" hidden="1" s="59"/>
    <row r="15579" hidden="1" s="59"/>
    <row r="15580" hidden="1" s="59"/>
    <row r="15581" hidden="1" s="59"/>
    <row r="15582" hidden="1" s="59"/>
    <row r="15583" hidden="1" s="59"/>
    <row r="15584" hidden="1" s="59"/>
    <row r="15585" hidden="1" s="59"/>
    <row r="15586" hidden="1" s="59"/>
    <row r="15587" hidden="1" s="59"/>
    <row r="15588" hidden="1" s="59"/>
    <row r="15589" hidden="1" s="59"/>
    <row r="15590" hidden="1" s="59"/>
    <row r="15591" hidden="1" s="59"/>
    <row r="15592" hidden="1" s="59"/>
    <row r="15593" hidden="1" s="59"/>
    <row r="15594" hidden="1" s="59"/>
    <row r="15595" hidden="1" s="59"/>
    <row r="15596" hidden="1" s="59"/>
    <row r="15597" hidden="1" s="59"/>
    <row r="15598" hidden="1" s="59"/>
    <row r="15599" hidden="1" s="59"/>
    <row r="15600" hidden="1" s="59"/>
    <row r="15601" hidden="1" s="59"/>
    <row r="15602" hidden="1" s="59"/>
    <row r="15603" hidden="1" s="59"/>
    <row r="15604" hidden="1" s="59"/>
    <row r="15605" hidden="1" s="59"/>
    <row r="15606" hidden="1" s="59"/>
    <row r="15607" hidden="1" s="59"/>
    <row r="15608" hidden="1" s="59"/>
    <row r="15609" hidden="1" s="59"/>
    <row r="15610" hidden="1" s="59"/>
    <row r="15611" hidden="1" s="59"/>
    <row r="15612" hidden="1" s="59"/>
    <row r="15613" hidden="1" s="59"/>
    <row r="15614" hidden="1" s="59"/>
    <row r="15615" hidden="1" s="59"/>
    <row r="15616" hidden="1" s="59"/>
    <row r="15617" hidden="1" s="59"/>
    <row r="15618" hidden="1" s="59"/>
    <row r="15619" hidden="1" s="59"/>
    <row r="15620" hidden="1" s="59"/>
    <row r="15621" hidden="1" s="59"/>
    <row r="15622" hidden="1" s="59"/>
    <row r="15623" hidden="1" s="59"/>
    <row r="15624" hidden="1" s="59"/>
    <row r="15625" hidden="1" s="59"/>
    <row r="15626" hidden="1" s="59"/>
    <row r="15627" hidden="1" s="59"/>
    <row r="15628" hidden="1" s="59"/>
    <row r="15629" hidden="1" s="59"/>
    <row r="15630" hidden="1" s="59"/>
    <row r="15631" hidden="1" s="59"/>
    <row r="15632" hidden="1" s="59"/>
    <row r="15633" hidden="1" s="59"/>
    <row r="15634" hidden="1" s="59"/>
    <row r="15635" hidden="1" s="59"/>
    <row r="15636" hidden="1" s="59"/>
    <row r="15637" hidden="1" s="59"/>
    <row r="15638" hidden="1" s="59"/>
    <row r="15639" hidden="1" s="59"/>
    <row r="15640" hidden="1" s="59"/>
    <row r="15641" hidden="1" s="59"/>
    <row r="15642" hidden="1" s="59"/>
    <row r="15643" hidden="1" s="59"/>
    <row r="15645" hidden="1" s="59"/>
    <row r="15646" hidden="1" s="59"/>
    <row r="15647" hidden="1" s="59"/>
    <row r="15648" hidden="1" s="59"/>
    <row r="15649" hidden="1" s="59"/>
    <row r="15650" hidden="1" s="59"/>
    <row r="15651" hidden="1" s="59"/>
    <row r="15652" hidden="1" s="59"/>
    <row r="15653" hidden="1" s="59"/>
    <row r="15654" hidden="1" s="59"/>
    <row r="15655" hidden="1" s="59"/>
    <row r="15656" hidden="1" s="59"/>
    <row r="15657" hidden="1" s="59"/>
    <row r="15658" hidden="1" s="59"/>
    <row r="15659" hidden="1" s="59"/>
    <row r="15660" hidden="1" s="59"/>
    <row r="15661" hidden="1" s="59"/>
    <row r="15662" hidden="1" s="59"/>
    <row r="15663" hidden="1" s="59"/>
    <row r="15664" hidden="1" s="59"/>
    <row r="15665" hidden="1" s="59"/>
    <row r="15666" hidden="1" s="59"/>
    <row r="15667" hidden="1" s="59"/>
    <row r="15668" hidden="1" s="59"/>
    <row r="15669" hidden="1" s="59"/>
    <row r="15670" hidden="1" s="59"/>
    <row r="15671" hidden="1" s="59"/>
    <row r="15672" hidden="1" s="59"/>
    <row r="15673" hidden="1" s="59"/>
    <row r="15674" hidden="1" s="59"/>
    <row r="15675" hidden="1" s="59"/>
    <row r="15676" hidden="1" s="59"/>
    <row r="15677" hidden="1" s="59"/>
    <row r="15678" hidden="1" s="59"/>
    <row r="15679" hidden="1" s="59"/>
    <row r="15680" hidden="1" s="59"/>
    <row r="15681" hidden="1" s="59"/>
    <row r="15682" hidden="1" s="59"/>
    <row r="15683" hidden="1" s="59"/>
    <row r="15684" hidden="1" s="59"/>
    <row r="15685" hidden="1" s="59"/>
    <row r="15686" hidden="1" s="59"/>
    <row r="15687" hidden="1" s="59"/>
    <row r="15688" hidden="1" s="59"/>
    <row r="15689" hidden="1" s="59"/>
    <row r="15690" hidden="1" s="59"/>
    <row r="15691" hidden="1" s="59"/>
    <row r="15692" hidden="1" s="59"/>
    <row r="15693" hidden="1" s="59"/>
    <row r="15694" hidden="1" s="59"/>
    <row r="15695" hidden="1" s="59"/>
    <row r="15696" hidden="1" s="59"/>
    <row r="15697" hidden="1" s="59"/>
    <row r="15698" hidden="1" s="59"/>
    <row r="15699" hidden="1" s="59"/>
    <row r="15700" hidden="1" s="59"/>
    <row r="15701" hidden="1" s="59"/>
    <row r="15702" hidden="1" s="59"/>
    <row r="15703" hidden="1" s="59"/>
    <row r="15704" hidden="1" s="59"/>
    <row r="15705" hidden="1" s="59"/>
    <row r="15706" hidden="1" s="59"/>
    <row r="15707" hidden="1" s="59"/>
    <row r="15708" hidden="1" s="59"/>
    <row r="15709" hidden="1" s="59"/>
    <row r="15710" hidden="1" s="59"/>
    <row r="15711" hidden="1" s="59"/>
    <row r="15712" hidden="1" s="59"/>
    <row r="15713" hidden="1" s="59"/>
    <row r="15714" hidden="1" s="59"/>
    <row r="15715" hidden="1" s="59"/>
    <row r="15716" hidden="1" s="59"/>
    <row r="15717" hidden="1" s="59"/>
    <row r="15718" hidden="1" s="59"/>
    <row r="15719" hidden="1" s="59"/>
    <row r="15720" hidden="1" s="59"/>
    <row r="15721" hidden="1" s="59"/>
    <row r="15722" hidden="1" s="59"/>
    <row r="15723" hidden="1" s="59"/>
    <row r="15724" hidden="1" s="59"/>
    <row r="15725" hidden="1" s="59"/>
    <row r="15727" hidden="1" s="59"/>
    <row r="15728" hidden="1" s="59"/>
    <row r="15729" hidden="1" s="59"/>
    <row r="15730" hidden="1" s="59"/>
    <row r="15731" hidden="1" s="59"/>
    <row r="15732" hidden="1" s="59"/>
    <row r="15733" hidden="1" s="59"/>
    <row r="15734" hidden="1" s="59"/>
    <row r="15735" hidden="1" s="59"/>
    <row r="15736" hidden="1" s="59"/>
    <row r="15737" hidden="1" s="59"/>
    <row r="15738" hidden="1" s="59"/>
    <row r="15739" hidden="1" s="59"/>
    <row r="15740" hidden="1" s="59"/>
    <row r="15741" hidden="1" s="59"/>
    <row r="15742" hidden="1" s="59"/>
    <row r="15743" hidden="1" s="59"/>
    <row r="15744" hidden="1" s="59"/>
    <row r="15745" hidden="1" s="59"/>
    <row r="15746" hidden="1" s="59"/>
    <row r="15747" hidden="1" s="59"/>
    <row r="15748" hidden="1" s="59"/>
    <row r="15749" hidden="1" s="59"/>
    <row r="15750" hidden="1" s="59"/>
    <row r="15751" hidden="1" s="59"/>
    <row r="15752" hidden="1" s="59"/>
    <row r="15753" hidden="1" s="59"/>
    <row r="15754" hidden="1" s="59"/>
    <row r="15755" hidden="1" s="59"/>
    <row r="15756" hidden="1" s="59"/>
    <row r="15757" hidden="1" s="59"/>
    <row r="15758" hidden="1" s="59"/>
    <row r="15759" hidden="1" s="59"/>
    <row r="15760" hidden="1" s="59"/>
    <row r="15761" hidden="1" s="59"/>
    <row r="15762" hidden="1" s="59"/>
    <row r="15763" hidden="1" s="59"/>
    <row r="15764" hidden="1" s="59"/>
    <row r="15765" hidden="1" s="59"/>
    <row r="15766" hidden="1" s="59"/>
    <row r="15767" hidden="1" s="59"/>
    <row r="15768" hidden="1" s="59"/>
    <row r="15769" hidden="1" s="59"/>
    <row r="15770" hidden="1" s="59"/>
    <row r="15771" hidden="1" s="59"/>
    <row r="15772" hidden="1" s="59"/>
    <row r="15773" hidden="1" s="59"/>
    <row r="15774" hidden="1" s="59"/>
    <row r="15775" hidden="1" s="59"/>
    <row r="15776" hidden="1" s="59"/>
    <row r="15777" hidden="1" s="59"/>
    <row r="15778" hidden="1" s="59"/>
    <row r="15779" hidden="1" s="59"/>
    <row r="15780" hidden="1" s="59"/>
    <row r="15781" hidden="1" s="59"/>
    <row r="15782" hidden="1" s="59"/>
    <row r="15783" hidden="1" s="59"/>
    <row r="15784" hidden="1" s="59"/>
    <row r="15785" hidden="1" s="59"/>
    <row r="15786" hidden="1" s="59"/>
    <row r="15787" hidden="1" s="59"/>
    <row r="15788" hidden="1" s="59"/>
    <row r="15789" hidden="1" s="59"/>
    <row r="15790" hidden="1" s="59"/>
    <row r="15791" hidden="1" s="59"/>
    <row r="15792" hidden="1" s="59"/>
    <row r="15793" hidden="1" s="59"/>
    <row r="15794" hidden="1" s="59"/>
    <row r="15795" hidden="1" s="59"/>
    <row r="15796" hidden="1" s="59"/>
    <row r="15797" hidden="1" s="59"/>
    <row r="15798" hidden="1" s="59"/>
    <row r="15799" hidden="1" s="59"/>
    <row r="15800" hidden="1" s="59"/>
    <row r="15801" hidden="1" s="59"/>
    <row r="15802" hidden="1" s="59"/>
    <row r="15803" hidden="1" s="59"/>
    <row r="15804" hidden="1" s="59"/>
    <row r="15805" hidden="1" s="59"/>
    <row r="15806" hidden="1" s="59"/>
    <row r="15807" hidden="1" s="59"/>
    <row r="15808" hidden="1" s="59"/>
    <row r="15809" hidden="1" s="59"/>
    <row r="15810" hidden="1" s="59"/>
    <row r="15811" hidden="1" s="59"/>
    <row r="15812" hidden="1" s="59"/>
    <row r="15813" hidden="1" s="59"/>
    <row r="15814" hidden="1" s="59"/>
    <row r="15815" hidden="1" s="59"/>
    <row r="15816" hidden="1" s="59"/>
    <row r="15817" hidden="1" s="59"/>
    <row r="15818" hidden="1" s="59"/>
    <row r="15819" hidden="1" s="59"/>
    <row r="15820" hidden="1" s="59"/>
    <row r="15821" hidden="1" s="59"/>
    <row r="15822" hidden="1" s="59"/>
    <row r="15823" hidden="1" s="59"/>
    <row r="15824" hidden="1" s="59"/>
    <row r="15825" hidden="1" s="59"/>
    <row r="15826" hidden="1" s="59"/>
    <row r="15827" hidden="1" s="59"/>
    <row r="15828" hidden="1" s="59"/>
    <row r="15829" hidden="1" s="59"/>
    <row r="15830" hidden="1" s="59"/>
    <row r="15831" hidden="1" s="59"/>
    <row r="15832" hidden="1" s="59"/>
    <row r="15833" hidden="1" s="59"/>
    <row r="15834" hidden="1" s="59"/>
    <row r="15835" hidden="1" s="59"/>
    <row r="15836" hidden="1" s="59"/>
    <row r="15837" hidden="1" s="59"/>
    <row r="15838" hidden="1" s="59"/>
    <row r="15839" hidden="1" s="59"/>
    <row r="15840" hidden="1" s="59"/>
    <row r="15841" hidden="1" s="59"/>
    <row r="15842" hidden="1" s="59"/>
    <row r="15843" hidden="1" s="59"/>
    <row r="15844" hidden="1" s="59"/>
    <row r="15845" hidden="1" s="59"/>
    <row r="15846" hidden="1" s="59"/>
    <row r="15847" hidden="1" s="59"/>
    <row r="15848" hidden="1" s="59"/>
    <row r="15849" hidden="1" s="59"/>
    <row r="15850" hidden="1" s="59"/>
    <row r="15851" hidden="1" s="59"/>
    <row r="15852" hidden="1" s="59"/>
    <row r="15853" hidden="1" s="59"/>
    <row r="15854" hidden="1" s="59"/>
    <row r="15855" hidden="1" s="59"/>
    <row r="15856" hidden="1" s="59"/>
    <row r="15857" hidden="1" s="59"/>
    <row r="15858" hidden="1" s="59"/>
    <row r="15859" hidden="1" s="59"/>
    <row r="15860" hidden="1" s="59"/>
    <row r="15861" hidden="1" s="59"/>
    <row r="15862" hidden="1" s="59"/>
    <row r="15863" hidden="1" s="59"/>
    <row r="15864" hidden="1" s="59"/>
    <row r="15865" hidden="1" s="59"/>
    <row r="15866" hidden="1" s="59"/>
    <row r="15867" hidden="1" s="59"/>
    <row r="15868" hidden="1" s="59"/>
    <row r="15869" hidden="1" s="59"/>
    <row r="15870" hidden="1" s="59"/>
    <row r="15871" hidden="1" s="59"/>
    <row r="15872" hidden="1" s="59"/>
    <row r="15873" hidden="1" s="59"/>
    <row r="15874" hidden="1" s="59"/>
    <row r="15875" hidden="1" s="59"/>
    <row r="15876" hidden="1" s="59"/>
    <row r="15877" hidden="1" s="59"/>
    <row r="15878" hidden="1" s="59"/>
    <row r="15879" hidden="1" s="59"/>
    <row r="15880" hidden="1" s="59"/>
    <row r="15881" hidden="1" s="59"/>
    <row r="15882" hidden="1" s="59"/>
    <row r="15883" hidden="1" s="59"/>
    <row r="15884" hidden="1" s="59"/>
    <row r="15885" hidden="1" s="59"/>
    <row r="15886" hidden="1" s="59"/>
    <row r="15887" hidden="1" s="59"/>
    <row r="15888" hidden="1" s="59"/>
    <row r="15889" hidden="1" s="59"/>
    <row r="15890" hidden="1" s="59"/>
    <row r="15891" hidden="1" s="59"/>
    <row r="15892" hidden="1" s="59"/>
    <row r="15893" hidden="1" s="59"/>
    <row r="15894" hidden="1" s="59"/>
    <row r="15895" hidden="1" s="59"/>
    <row r="15896" hidden="1" s="59"/>
    <row r="15897" hidden="1" s="59"/>
    <row r="15898" hidden="1" s="59"/>
    <row r="15899" hidden="1" s="59"/>
    <row r="15900" hidden="1" s="59"/>
    <row r="15901" hidden="1" s="59"/>
    <row r="15902" hidden="1" s="59"/>
    <row r="15903" hidden="1" s="59"/>
    <row r="15904" hidden="1" s="59"/>
    <row r="15905" hidden="1" s="59"/>
    <row r="15906" hidden="1" s="59"/>
    <row r="15907" hidden="1" s="59"/>
    <row r="15908" hidden="1" s="59"/>
    <row r="15909" hidden="1" s="59"/>
    <row r="15910" hidden="1" s="59"/>
    <row r="15911" hidden="1" s="59"/>
    <row r="15912" hidden="1" s="59"/>
    <row r="15913" hidden="1" s="59"/>
    <row r="15914" hidden="1" s="59"/>
    <row r="15915" hidden="1" s="59"/>
    <row r="15916" hidden="1" s="59"/>
    <row r="15917" hidden="1" s="59"/>
    <row r="15918" hidden="1" s="59"/>
    <row r="15919" hidden="1" s="59"/>
    <row r="15920" hidden="1" s="59"/>
    <row r="15921" hidden="1" s="59"/>
    <row r="15922" hidden="1" s="59"/>
    <row r="15923" hidden="1" s="59"/>
    <row r="15924" hidden="1" s="59"/>
    <row r="15925" hidden="1" s="59"/>
    <row r="15926" hidden="1" s="59"/>
    <row r="15927" hidden="1" s="59"/>
    <row r="15928" hidden="1" s="59"/>
    <row r="15929" hidden="1" s="59"/>
    <row r="15930" hidden="1" s="59"/>
    <row r="15931" hidden="1" s="59"/>
    <row r="15932" hidden="1" s="59"/>
    <row r="15933" hidden="1" s="59"/>
    <row r="15934" hidden="1" s="59"/>
    <row r="15935" hidden="1" s="59"/>
    <row r="15936" hidden="1" s="59"/>
    <row r="15937" hidden="1" s="59"/>
    <row r="15938" hidden="1" s="59"/>
    <row r="15939" hidden="1" s="59"/>
    <row r="15940" hidden="1" s="59"/>
    <row r="15941" hidden="1" s="59"/>
    <row r="15942" hidden="1" s="59"/>
    <row r="15943" hidden="1" s="59"/>
    <row r="15944" hidden="1" s="59"/>
    <row r="15945" hidden="1" s="59"/>
    <row r="15946" hidden="1" s="59"/>
    <row r="15947" hidden="1" s="59"/>
    <row r="15948" hidden="1" s="59"/>
    <row r="15949" hidden="1" s="59"/>
    <row r="15950" hidden="1" s="59"/>
    <row r="15951" hidden="1" s="59"/>
    <row r="15952" hidden="1" s="59"/>
    <row r="15953" hidden="1" s="59"/>
    <row r="15954" hidden="1" s="59"/>
    <row r="15955" hidden="1" s="59"/>
    <row r="15956" hidden="1" s="59"/>
    <row r="15957" hidden="1" s="59"/>
    <row r="15958" hidden="1" s="59"/>
    <row r="15959" hidden="1" s="59"/>
    <row r="15960" hidden="1" s="59"/>
    <row r="15961" hidden="1" s="59"/>
    <row r="15962" hidden="1" s="59"/>
    <row r="15963" hidden="1" s="59"/>
    <row r="15964" hidden="1" s="59"/>
    <row r="15965" hidden="1" s="59"/>
    <row r="15966" hidden="1" s="59"/>
    <row r="15967" hidden="1" s="59"/>
    <row r="15968" hidden="1" s="59"/>
    <row r="15969" hidden="1" s="59"/>
    <row r="15970" hidden="1" s="59"/>
    <row r="15971" hidden="1" s="59"/>
    <row r="15972" hidden="1" s="59"/>
    <row r="15973" hidden="1" s="59"/>
    <row r="15974" hidden="1" s="59"/>
    <row r="15975" hidden="1" s="59"/>
    <row r="15976" hidden="1" s="59"/>
    <row r="15977" hidden="1" s="59"/>
    <row r="15978" hidden="1" s="59"/>
    <row r="15979" hidden="1" s="59"/>
    <row r="15980" hidden="1" s="59"/>
    <row r="15981" hidden="1" s="59"/>
    <row r="15982" hidden="1" s="59"/>
    <row r="15983" hidden="1" s="59"/>
    <row r="15984" hidden="1" s="59"/>
    <row r="15985" hidden="1" s="59"/>
    <row r="15986" hidden="1" s="59"/>
    <row r="15987" hidden="1" s="59"/>
    <row r="15988" hidden="1" s="59"/>
    <row r="15989" hidden="1" s="59"/>
    <row r="15990" hidden="1" s="59"/>
    <row r="15991" hidden="1" s="59"/>
    <row r="15992" hidden="1" s="59"/>
    <row r="15993" hidden="1" s="59"/>
    <row r="15994" hidden="1" s="59"/>
    <row r="15995" hidden="1" s="59"/>
    <row r="15996" hidden="1" s="59"/>
    <row r="15997" hidden="1" s="59"/>
    <row r="15998" hidden="1" s="59"/>
    <row r="15999" hidden="1" s="59"/>
    <row r="16000" hidden="1" s="59"/>
    <row r="16001" hidden="1" s="59"/>
    <row r="16002" hidden="1" s="59"/>
    <row r="16003" hidden="1" s="59"/>
    <row r="16004" hidden="1" s="59"/>
    <row r="16005" hidden="1" s="59"/>
    <row r="16006" hidden="1" s="59"/>
    <row r="16007" hidden="1" s="59"/>
    <row r="16008" hidden="1" s="59"/>
    <row r="16009" hidden="1" s="59"/>
    <row r="16010" hidden="1" s="59"/>
    <row r="16011" hidden="1" s="59"/>
    <row r="16012" hidden="1" s="59"/>
    <row r="16013" hidden="1" s="59"/>
    <row r="16014" hidden="1" s="59"/>
    <row r="16015" hidden="1" s="59"/>
    <row r="16016" hidden="1" s="59"/>
    <row r="16017" hidden="1" s="59"/>
    <row r="16018" hidden="1" s="59"/>
    <row r="16019" hidden="1" s="59"/>
    <row r="16020" hidden="1" s="59"/>
    <row r="16021" hidden="1" s="59"/>
    <row r="16022" hidden="1" s="59"/>
    <row r="16023" hidden="1" s="59"/>
    <row r="16024" hidden="1" s="59"/>
    <row r="16025" hidden="1" s="59"/>
    <row r="16026" hidden="1" s="59"/>
    <row r="16027" hidden="1" s="59"/>
    <row r="16028" hidden="1" s="59"/>
    <row r="16029" hidden="1" s="59"/>
    <row r="16030" hidden="1" s="59"/>
    <row r="16031" hidden="1" s="59"/>
    <row r="16032" hidden="1" s="59"/>
    <row r="16033" hidden="1" s="59"/>
    <row r="16034" hidden="1" s="59"/>
    <row r="16035" hidden="1" s="59"/>
    <row r="16036" hidden="1" s="59"/>
    <row r="16037" hidden="1" s="59"/>
    <row r="16038" hidden="1" s="59"/>
    <row r="16039" hidden="1" s="59"/>
    <row r="16040" hidden="1" s="59"/>
    <row r="16041" hidden="1" s="59"/>
    <row r="16042" hidden="1" s="59"/>
    <row r="16043" hidden="1" s="59"/>
    <row r="16044" hidden="1" s="59"/>
    <row r="16045" hidden="1" s="59"/>
    <row r="16046" hidden="1" s="59"/>
    <row r="16047" hidden="1" s="59"/>
    <row r="16048" hidden="1" s="59"/>
    <row r="16049" hidden="1" s="59"/>
    <row r="16050" hidden="1" s="59"/>
    <row r="16051" hidden="1" s="59"/>
    <row r="16052" hidden="1" s="59"/>
    <row r="16053" hidden="1" s="59"/>
    <row r="16054" hidden="1" s="59"/>
    <row r="16055" hidden="1" s="59"/>
    <row r="16056" hidden="1" s="59"/>
    <row r="16057" hidden="1" s="59"/>
    <row r="16058" hidden="1" s="59"/>
    <row r="16059" hidden="1" s="59"/>
    <row r="16060" hidden="1" s="59"/>
    <row r="16061" hidden="1" s="59"/>
    <row r="16062" hidden="1" s="59"/>
    <row r="16063" hidden="1" s="59"/>
    <row r="16064" hidden="1" s="59"/>
    <row r="16065" hidden="1" s="59"/>
    <row r="16066" hidden="1" s="59"/>
    <row r="16067" hidden="1" s="59"/>
    <row r="16068" hidden="1" s="59"/>
    <row r="16069" hidden="1" s="59"/>
    <row r="16070" hidden="1" s="59"/>
    <row r="16071" hidden="1" s="59"/>
    <row r="16072" hidden="1" s="59"/>
    <row r="16073" hidden="1" s="59"/>
    <row r="16074" hidden="1" s="59"/>
    <row r="16075" hidden="1" s="59"/>
    <row r="16076" hidden="1" s="59"/>
    <row r="16077" hidden="1" s="59"/>
    <row r="16078" hidden="1" s="59"/>
    <row r="16079" hidden="1" s="59"/>
    <row r="16080" hidden="1" s="59"/>
    <row r="16081" hidden="1" s="59"/>
    <row r="16082" hidden="1" s="59"/>
    <row r="16083" hidden="1" s="59"/>
    <row r="16084" hidden="1" s="59"/>
    <row r="16085" hidden="1" s="59"/>
    <row r="16086" hidden="1" s="59"/>
    <row r="16087" hidden="1" s="59"/>
    <row r="16088" hidden="1" s="59"/>
    <row r="16089" hidden="1" s="59"/>
    <row r="16090" hidden="1" s="59"/>
    <row r="16091" hidden="1" s="59"/>
    <row r="16092" hidden="1" s="59"/>
    <row r="16093" hidden="1" s="59"/>
    <row r="16094" hidden="1" s="59"/>
    <row r="16095" hidden="1" s="59"/>
    <row r="16096" hidden="1" s="59"/>
    <row r="16097" hidden="1" s="59"/>
    <row r="16098" hidden="1" s="59"/>
    <row r="16099" hidden="1" s="59"/>
    <row r="16100" hidden="1" s="59"/>
    <row r="16101" hidden="1" s="59"/>
    <row r="16102" hidden="1" s="59"/>
    <row r="16103" hidden="1" s="59"/>
    <row r="16104" hidden="1" s="59"/>
    <row r="16105" hidden="1" s="59"/>
    <row r="16106" hidden="1" s="59"/>
    <row r="16107" hidden="1" s="59"/>
    <row r="16108" hidden="1" s="59"/>
    <row r="16109" hidden="1" s="59"/>
    <row r="16110" hidden="1" s="59"/>
    <row r="16111" hidden="1" s="59"/>
    <row r="16112" hidden="1" s="59"/>
    <row r="16113" hidden="1" s="59"/>
    <row r="16115" hidden="1" s="59"/>
    <row r="16116" hidden="1" s="59"/>
    <row r="16117" hidden="1" s="59"/>
    <row r="16118" hidden="1" s="59"/>
    <row r="16119" hidden="1" s="59"/>
    <row r="16120" hidden="1" s="59"/>
    <row r="16121" hidden="1" s="59"/>
    <row r="16122" hidden="1" s="59"/>
    <row r="16123" hidden="1" s="59"/>
    <row r="16124" hidden="1" s="59"/>
    <row r="16125" hidden="1" s="59"/>
    <row r="16126" hidden="1" s="59"/>
    <row r="16127" hidden="1" s="59"/>
    <row r="16128" hidden="1" s="59"/>
    <row r="16129" hidden="1" s="59"/>
    <row r="16130" hidden="1" s="59"/>
    <row r="16131" hidden="1" s="59"/>
    <row r="16132" hidden="1" s="59"/>
    <row r="16133" hidden="1" s="59"/>
    <row r="16134" hidden="1" s="59"/>
    <row r="16135" hidden="1" s="59"/>
    <row r="16136" hidden="1" s="59"/>
    <row r="16137" hidden="1" s="59"/>
    <row r="16138" hidden="1" s="59"/>
    <row r="16139" hidden="1" s="59"/>
    <row r="16140" hidden="1" s="59"/>
    <row r="16141" hidden="1" s="59"/>
    <row r="16142" hidden="1" s="59"/>
    <row r="16143" hidden="1" s="59"/>
    <row r="16144" hidden="1" s="59"/>
    <row r="16145" hidden="1" s="59"/>
    <row r="16146" hidden="1" s="59"/>
    <row r="16147" hidden="1" s="59"/>
    <row r="16148" hidden="1" s="59"/>
    <row r="16149" hidden="1" s="59"/>
    <row r="16150" hidden="1" s="59"/>
    <row r="16151" hidden="1" s="59"/>
    <row r="16152" hidden="1" s="59"/>
    <row r="16154" hidden="1" s="59"/>
    <row r="16155" hidden="1" s="59"/>
    <row r="16156" hidden="1" s="59"/>
    <row r="16157" hidden="1" s="59"/>
    <row r="16158" hidden="1" s="59"/>
    <row r="16159" hidden="1" s="59"/>
    <row r="16160" hidden="1" s="59"/>
    <row r="16161" hidden="1" s="59"/>
    <row r="16162" hidden="1" s="59"/>
    <row r="16163" hidden="1" s="59"/>
    <row r="16164" hidden="1" s="59"/>
    <row r="16165" hidden="1" s="59"/>
    <row r="16166" hidden="1" s="59"/>
    <row r="16167" hidden="1" s="59"/>
    <row r="16168" hidden="1" s="59"/>
    <row r="16169" hidden="1" s="59"/>
    <row r="16170" hidden="1" s="59"/>
    <row r="16171" hidden="1" s="59"/>
    <row r="16172" hidden="1" s="59"/>
    <row r="16173" hidden="1" s="59"/>
    <row r="16174" hidden="1" s="59"/>
    <row r="16175" hidden="1" s="59"/>
    <row r="16176" hidden="1" s="59"/>
    <row r="16177" hidden="1" s="59"/>
    <row r="16178" hidden="1" s="59"/>
    <row r="16179" hidden="1" s="59"/>
    <row r="16180" hidden="1" s="59"/>
    <row r="16181" hidden="1" s="59"/>
    <row r="16182" hidden="1" s="59"/>
    <row r="16183" hidden="1" s="59"/>
    <row r="16184" hidden="1" s="59"/>
    <row r="16185" hidden="1" s="59"/>
    <row r="16186" hidden="1" s="59"/>
    <row r="16187" hidden="1" s="59"/>
    <row r="16188" hidden="1" s="59"/>
    <row r="16189" hidden="1" s="59"/>
    <row r="16190" hidden="1" s="59"/>
    <row r="16191" hidden="1" s="59"/>
    <row r="16192" hidden="1" s="59"/>
    <row r="16193" hidden="1" s="59"/>
    <row r="16194" hidden="1" s="59"/>
    <row r="16195" hidden="1" s="59"/>
    <row r="16196" hidden="1" s="59"/>
    <row r="16197" hidden="1" s="59"/>
    <row r="16198" hidden="1" s="59"/>
    <row r="16199" hidden="1" s="59"/>
    <row r="16200" hidden="1" s="59"/>
    <row r="16201" hidden="1" s="59"/>
    <row r="16202" hidden="1" s="59"/>
    <row r="16203" hidden="1" s="59"/>
    <row r="16204" hidden="1" s="59"/>
    <row r="16205" hidden="1" s="59"/>
    <row r="16206" hidden="1" s="59"/>
    <row r="16207" hidden="1" s="59"/>
    <row r="16208" hidden="1" s="59"/>
    <row r="16209" hidden="1" s="59"/>
    <row r="16210" hidden="1" s="59"/>
    <row r="16211" hidden="1" s="59"/>
    <row r="16212" hidden="1" s="59"/>
    <row r="16213" hidden="1" s="59"/>
    <row r="16214" hidden="1" s="59"/>
    <row r="16215" hidden="1" s="59"/>
    <row r="16216" hidden="1" s="59"/>
    <row r="16217" hidden="1" s="59"/>
    <row r="16218" hidden="1" s="59"/>
    <row r="16219" hidden="1" s="59"/>
    <row r="16220" hidden="1" s="59"/>
    <row r="16221" hidden="1" s="59"/>
    <row r="16222" hidden="1" s="59"/>
    <row r="16223" hidden="1" s="59"/>
    <row r="16224" hidden="1" s="59"/>
    <row r="16225" hidden="1" s="59"/>
    <row r="16226" hidden="1" s="59"/>
    <row r="16227" hidden="1" s="59"/>
    <row r="16228" hidden="1" s="59"/>
    <row r="16229" hidden="1" s="59"/>
    <row r="16230" hidden="1" s="59"/>
    <row r="16231" hidden="1" s="59"/>
    <row r="16232" hidden="1" s="59"/>
    <row r="16233" hidden="1" s="59"/>
    <row r="16234" hidden="1" s="59"/>
    <row r="16235" hidden="1" s="59"/>
    <row r="16236" hidden="1" s="59"/>
    <row r="16237" hidden="1" s="59"/>
    <row r="16238" hidden="1" s="59"/>
    <row r="16239" hidden="1" s="59"/>
    <row r="16240" hidden="1" s="59"/>
    <row r="16241" hidden="1" s="59"/>
    <row r="16242" hidden="1" s="59"/>
    <row r="16243" hidden="1" s="59"/>
    <row r="16244" hidden="1" s="59"/>
    <row r="16245" hidden="1" s="59"/>
    <row r="16246" hidden="1" s="59"/>
    <row r="16247" hidden="1" s="59"/>
    <row r="16248" hidden="1" s="59"/>
    <row r="16249" hidden="1" s="59"/>
    <row r="16250" hidden="1" s="59"/>
    <row r="16251" hidden="1" s="59"/>
    <row r="16252" hidden="1" s="59"/>
    <row r="16253" hidden="1" s="59"/>
    <row r="16254" hidden="1" s="59"/>
    <row r="16255" hidden="1" s="59"/>
    <row r="16256" hidden="1" s="59"/>
    <row r="16257" hidden="1" s="59"/>
    <row r="16258" hidden="1" s="59"/>
    <row r="16259" hidden="1" s="59"/>
    <row r="16260" hidden="1" s="59"/>
    <row r="16261" hidden="1" s="59"/>
    <row r="16262" hidden="1" s="59"/>
    <row r="16263" hidden="1" s="59"/>
    <row r="16264" hidden="1" s="59"/>
    <row r="16265" hidden="1" s="59"/>
    <row r="16266" hidden="1" s="59"/>
    <row r="16267" hidden="1" s="59"/>
    <row r="16268" hidden="1" s="59"/>
    <row r="16269" hidden="1" s="59"/>
    <row r="16270" hidden="1" s="59"/>
    <row r="16271" hidden="1" s="59"/>
    <row r="16272" hidden="1" s="59"/>
    <row r="16273" hidden="1" s="59"/>
    <row r="16274" hidden="1" s="59"/>
    <row r="16275" hidden="1" s="59"/>
    <row r="16276" hidden="1" s="59"/>
    <row r="16277" hidden="1" s="59"/>
    <row r="16278" hidden="1" s="59"/>
    <row r="16279" hidden="1" s="59"/>
    <row r="16280" hidden="1" s="59"/>
    <row r="16281" hidden="1" s="59"/>
    <row r="16282" hidden="1" s="59"/>
    <row r="16283" hidden="1" s="59"/>
    <row r="16284" hidden="1" s="59"/>
    <row r="16285" hidden="1" s="59"/>
    <row r="16286" hidden="1" s="59"/>
    <row r="16287" hidden="1" s="59"/>
    <row r="16288" hidden="1" s="59"/>
    <row r="16289" hidden="1" s="59"/>
    <row r="16290" hidden="1" s="59"/>
    <row r="16291" hidden="1" s="59"/>
    <row r="16292" hidden="1" s="59"/>
    <row r="16293" hidden="1" s="59"/>
    <row r="16294" hidden="1" s="59"/>
    <row r="16295" hidden="1" s="59"/>
    <row r="16296" hidden="1" s="59"/>
    <row r="16297" hidden="1" s="59"/>
    <row r="16298" hidden="1" s="59"/>
    <row r="16299" hidden="1" s="59"/>
    <row r="16300" hidden="1" s="59"/>
    <row r="16301" hidden="1" s="59"/>
    <row r="16302" hidden="1" s="59"/>
    <row r="16303" hidden="1" s="59"/>
    <row r="16304" hidden="1" s="59"/>
    <row r="16305" hidden="1" s="59"/>
    <row r="16306" hidden="1" s="59"/>
    <row r="16307" hidden="1" s="59"/>
    <row r="16308" hidden="1" s="59"/>
    <row r="16309" hidden="1" s="59"/>
    <row r="16310" hidden="1" s="59"/>
    <row r="16311" hidden="1" s="59"/>
    <row r="16312" hidden="1" s="59"/>
    <row r="16313" hidden="1" s="59"/>
    <row r="16314" hidden="1" s="59"/>
    <row r="16315" hidden="1" s="59"/>
    <row r="16316" hidden="1" s="59"/>
    <row r="16317" hidden="1" s="59"/>
    <row r="16318" hidden="1" s="59"/>
    <row r="16319" hidden="1" s="59"/>
    <row r="16320" hidden="1" s="59"/>
    <row r="16321" hidden="1" s="59"/>
    <row r="16322" hidden="1" s="59"/>
    <row r="16323" hidden="1" s="59"/>
    <row r="16324" hidden="1" s="59"/>
    <row r="16325" hidden="1" s="59"/>
    <row r="16326" hidden="1" s="59"/>
    <row r="16327" hidden="1" s="59"/>
    <row r="16328" hidden="1" s="59"/>
    <row r="16329" hidden="1" s="59"/>
    <row r="16330" hidden="1" s="59"/>
    <row r="16331" hidden="1" s="59"/>
    <row r="16332" hidden="1" s="59"/>
    <row r="16333" hidden="1" s="59"/>
    <row r="16334" hidden="1" s="59"/>
    <row r="16335" hidden="1" s="59"/>
    <row r="16336" hidden="1" s="59"/>
    <row r="16337" hidden="1" s="59"/>
    <row r="16338" hidden="1" s="59"/>
    <row r="16339" hidden="1" s="59"/>
    <row r="16340" hidden="1" s="59"/>
    <row r="16341" hidden="1" s="59"/>
    <row r="16342" hidden="1" s="59"/>
    <row r="16343" hidden="1" s="59"/>
    <row r="16344" hidden="1" s="59"/>
    <row r="16345" hidden="1" s="59"/>
    <row r="16346" hidden="1" s="59"/>
    <row r="16347" hidden="1" s="59"/>
    <row r="16348" hidden="1" s="59"/>
    <row r="16349" hidden="1" s="59"/>
    <row r="16350" hidden="1" s="59"/>
    <row r="16351" hidden="1" s="59"/>
    <row r="16353" hidden="1" s="59"/>
    <row r="16354" hidden="1" s="59"/>
    <row r="16355" hidden="1" s="59"/>
    <row r="16356" hidden="1" s="59"/>
    <row r="16357" hidden="1" s="59"/>
    <row r="16358" hidden="1" s="59"/>
    <row r="16359" hidden="1" s="59"/>
    <row r="16360" hidden="1" s="59"/>
    <row r="16361" hidden="1" s="59"/>
    <row r="16362" hidden="1" s="59"/>
    <row r="16363" hidden="1" s="59"/>
    <row r="16364" hidden="1" s="59"/>
    <row r="16365" hidden="1" s="59"/>
    <row r="16366" hidden="1" s="59"/>
    <row r="16367" hidden="1" s="59"/>
    <row r="16368" hidden="1" s="59"/>
    <row r="16369" hidden="1" s="59"/>
    <row r="16370" hidden="1" s="59"/>
    <row r="16371" hidden="1" s="59"/>
    <row r="16372" hidden="1" s="59"/>
    <row r="16373" hidden="1" s="59"/>
    <row r="16374" hidden="1" s="59"/>
    <row r="16375" hidden="1" s="59"/>
    <row r="16376" hidden="1" s="59"/>
    <row r="16377" hidden="1" s="59"/>
    <row r="16378" hidden="1" s="59"/>
    <row r="16379" hidden="1" s="59"/>
    <row r="16380" hidden="1" s="59"/>
    <row r="16381" hidden="1" s="59"/>
    <row r="16382" hidden="1" s="59"/>
    <row r="16383" hidden="1" s="59"/>
    <row r="16384" hidden="1" s="59"/>
    <row r="16385" hidden="1" s="59"/>
    <row r="16386" hidden="1" s="59"/>
    <row r="16387" hidden="1" s="59"/>
    <row r="16388" hidden="1" s="59"/>
    <row r="16389" hidden="1" s="59"/>
    <row r="16390" hidden="1" s="59"/>
    <row r="16391" hidden="1" s="59"/>
    <row r="16392" hidden="1" s="59"/>
    <row r="16393" hidden="1" s="59"/>
    <row r="16394" hidden="1" s="59"/>
    <row r="16395" hidden="1" s="59"/>
    <row r="16396" hidden="1" s="59"/>
    <row r="16397" hidden="1" s="59"/>
    <row r="16398" hidden="1" s="59"/>
    <row r="16399" hidden="1" s="59"/>
    <row r="16400" hidden="1" s="59"/>
    <row r="16401" hidden="1" s="59"/>
    <row r="16402" hidden="1" s="59"/>
    <row r="16403" hidden="1" s="59"/>
    <row r="16404" hidden="1" s="59"/>
    <row r="16405" hidden="1" s="59"/>
    <row r="16406" hidden="1" s="59"/>
    <row r="16407" hidden="1" s="59"/>
    <row r="16408" hidden="1" s="59"/>
    <row r="16409" hidden="1" s="59"/>
    <row r="16410" hidden="1" s="59"/>
    <row r="16411" hidden="1" s="59"/>
    <row r="16412" hidden="1" s="59"/>
    <row r="16413" hidden="1" s="59"/>
    <row r="16414" hidden="1" s="59"/>
    <row r="16415" hidden="1" s="59"/>
    <row r="16416" hidden="1" s="59"/>
    <row r="16417" hidden="1" s="59"/>
    <row r="16418" hidden="1" s="59"/>
    <row r="16419" hidden="1" s="59"/>
    <row r="16420" hidden="1" s="59"/>
    <row r="16421" hidden="1" s="59"/>
    <row r="16422" hidden="1" s="59"/>
    <row r="16423" hidden="1" s="59"/>
    <row r="16424" hidden="1" s="59"/>
    <row r="16425" hidden="1" s="59"/>
    <row r="16426" hidden="1" s="59"/>
    <row r="16427" hidden="1" s="59"/>
    <row r="16428" hidden="1" s="59"/>
    <row r="16429" hidden="1" s="59"/>
    <row r="16430" hidden="1" s="59"/>
    <row r="16431" hidden="1" s="59"/>
    <row r="16432" hidden="1" s="59"/>
    <row r="16433" hidden="1" s="59"/>
    <row r="16434" hidden="1" s="59"/>
    <row r="16435" hidden="1" s="59"/>
    <row r="16436" hidden="1" s="59"/>
    <row r="16437" hidden="1" s="59"/>
    <row r="16438" hidden="1" s="59"/>
    <row r="16439" hidden="1" s="59"/>
    <row r="16440" hidden="1" s="59"/>
    <row r="16441" hidden="1" s="59"/>
    <row r="16442" hidden="1" s="59"/>
    <row r="16443" hidden="1" s="59"/>
    <row r="16444" hidden="1" s="59"/>
    <row r="16445" hidden="1" s="59"/>
    <row r="16446" hidden="1" s="59"/>
    <row r="16447" hidden="1" s="59"/>
    <row r="16448" hidden="1" s="59"/>
    <row r="16449" hidden="1" s="59"/>
    <row r="16450" hidden="1" s="59"/>
    <row r="16451" hidden="1" s="59"/>
    <row r="16452" hidden="1" s="59"/>
    <row r="16453" hidden="1" s="59"/>
    <row r="16454" hidden="1" s="59"/>
    <row r="16455" hidden="1" s="59"/>
    <row r="16456" hidden="1" s="59"/>
    <row r="16457" hidden="1" s="59"/>
    <row r="16458" hidden="1" s="59"/>
    <row r="16459" hidden="1" s="59"/>
    <row r="16460" hidden="1" s="59"/>
    <row r="16461" hidden="1" s="59"/>
    <row r="16462" hidden="1" s="59"/>
    <row r="16463" hidden="1" s="59"/>
    <row r="16464" hidden="1" s="59"/>
    <row r="16465" hidden="1" s="59"/>
    <row r="16466" hidden="1" s="59"/>
    <row r="16467" hidden="1" s="59"/>
    <row r="16468" hidden="1" s="59"/>
    <row r="16469" hidden="1" s="59"/>
    <row r="16470" hidden="1" s="59"/>
    <row r="16471" hidden="1" s="59"/>
    <row r="16472" hidden="1" s="59"/>
    <row r="16473" hidden="1" s="59"/>
    <row r="16474" hidden="1" s="59"/>
    <row r="16475" hidden="1" s="59"/>
    <row r="16476" hidden="1" s="59"/>
    <row r="16477" hidden="1" s="59"/>
    <row r="16478" hidden="1" s="59"/>
    <row r="16479" hidden="1" s="59"/>
    <row r="16480" hidden="1" s="59"/>
    <row r="16481" hidden="1" s="59"/>
    <row r="16482" hidden="1" s="59"/>
    <row r="16483" hidden="1" s="59"/>
    <row r="16484" hidden="1" s="59"/>
    <row r="16485" hidden="1" s="59"/>
    <row r="16486" hidden="1" s="59"/>
    <row r="16487" hidden="1" s="59"/>
    <row r="16488" hidden="1" s="59"/>
    <row r="16489" hidden="1" s="59"/>
    <row r="16490" hidden="1" s="59"/>
    <row r="16491" hidden="1" s="59"/>
    <row r="16492" hidden="1" s="59"/>
    <row r="16493" hidden="1" s="59"/>
    <row r="16494" hidden="1" s="59"/>
    <row r="16495" hidden="1" s="59"/>
    <row r="16496" hidden="1" s="59"/>
    <row r="16497" hidden="1" s="59"/>
    <row r="16498" hidden="1" s="59"/>
    <row r="16499" hidden="1" s="59"/>
    <row r="16500" hidden="1" s="59"/>
    <row r="16501" hidden="1" s="59"/>
    <row r="16502" hidden="1" s="59"/>
    <row r="16503" hidden="1" s="59"/>
    <row r="16504" hidden="1" s="59"/>
    <row r="16505" hidden="1" s="59"/>
    <row r="16506" hidden="1" s="59"/>
    <row r="16507" hidden="1" s="59"/>
    <row r="16508" hidden="1" s="59"/>
    <row r="16509" hidden="1" s="59"/>
    <row r="16510" hidden="1" s="59"/>
    <row r="16511" hidden="1" s="59"/>
    <row r="16512" hidden="1" s="59"/>
    <row r="16513" hidden="1" s="59"/>
    <row r="16514" hidden="1" s="59"/>
    <row r="16515" hidden="1" s="59"/>
    <row r="16516" hidden="1" s="59"/>
    <row r="16517" hidden="1" s="59"/>
    <row r="16518" hidden="1" s="59"/>
    <row r="16519" hidden="1" s="59"/>
    <row r="16520" hidden="1" s="59"/>
    <row r="16521" hidden="1" s="59"/>
    <row r="16522" hidden="1" s="59"/>
    <row r="16523" hidden="1" s="59"/>
    <row r="16524" hidden="1" s="59"/>
    <row r="16525" hidden="1" s="59"/>
    <row r="16526" hidden="1" s="59"/>
    <row r="16527" hidden="1" s="59"/>
    <row r="16528" hidden="1" s="59"/>
    <row r="16529" hidden="1" s="59"/>
    <row r="16530" hidden="1" s="59"/>
    <row r="16531" hidden="1" s="59"/>
    <row r="16532" hidden="1" s="59"/>
    <row r="16533" hidden="1" s="59"/>
    <row r="16534" hidden="1" s="59"/>
    <row r="16535" hidden="1" s="59"/>
    <row r="16536" hidden="1" s="59"/>
    <row r="16537" hidden="1" s="59"/>
    <row r="16538" hidden="1" s="59"/>
    <row r="16539" hidden="1" s="59"/>
    <row r="16540" hidden="1" s="59"/>
    <row r="16541" hidden="1" s="59"/>
    <row r="16542" hidden="1" s="59"/>
    <row r="16543" hidden="1" s="59"/>
    <row r="16544" hidden="1" s="59"/>
    <row r="16545" hidden="1" s="59"/>
    <row r="16546" hidden="1" s="59"/>
    <row r="16547" hidden="1" s="59"/>
    <row r="16548" hidden="1" s="59"/>
    <row r="16549" hidden="1" s="59"/>
    <row r="16550" hidden="1" s="59"/>
    <row r="16551" hidden="1" s="59"/>
    <row r="16552" hidden="1" s="59"/>
    <row r="16553" hidden="1" s="59"/>
    <row r="16554" hidden="1" s="59"/>
    <row r="16555" hidden="1" s="59"/>
    <row r="16556" hidden="1" s="59"/>
    <row r="16557" hidden="1" s="59"/>
    <row r="16558" hidden="1" s="59"/>
    <row r="16559" hidden="1" s="59"/>
    <row r="16560" hidden="1" s="59"/>
    <row r="16561" hidden="1" s="59"/>
    <row r="16562" hidden="1" s="59"/>
    <row r="16563" hidden="1" s="59"/>
    <row r="16564" hidden="1" s="59"/>
    <row r="16565" hidden="1" s="59"/>
    <row r="16566" hidden="1" s="59"/>
    <row r="16567" hidden="1" s="59"/>
    <row r="16568" hidden="1" s="59"/>
    <row r="16569" hidden="1" s="59"/>
    <row r="16570" hidden="1" s="59"/>
    <row r="16571" hidden="1" s="59"/>
    <row r="16572" hidden="1" s="59"/>
    <row r="16573" hidden="1" s="59"/>
    <row r="16574" hidden="1" s="59"/>
    <row r="16575" hidden="1" s="59"/>
    <row r="16576" hidden="1" s="59"/>
    <row r="16577" hidden="1" s="59"/>
    <row r="16578" hidden="1" s="59"/>
    <row r="16579" hidden="1" s="59"/>
    <row r="16580" hidden="1" s="59"/>
    <row r="16581" hidden="1" s="59"/>
    <row r="16582" hidden="1" s="59"/>
    <row r="16583" hidden="1" s="59"/>
    <row r="16584" hidden="1" s="59"/>
    <row r="16585" hidden="1" s="59"/>
    <row r="16586" hidden="1" s="59"/>
    <row r="16587" hidden="1" s="59"/>
    <row r="16588" hidden="1" s="59"/>
    <row r="16589" hidden="1" s="59"/>
    <row r="16590" hidden="1" s="59"/>
    <row r="16591" hidden="1" s="59"/>
    <row r="16592" hidden="1" s="59"/>
    <row r="16593" hidden="1" s="59"/>
    <row r="16594" hidden="1" s="59"/>
    <row r="16595" hidden="1" s="59"/>
    <row r="16596" hidden="1" s="59"/>
    <row r="16597" hidden="1" s="59"/>
    <row r="16598" hidden="1" s="59"/>
    <row r="16599" hidden="1" s="59"/>
    <row r="16600" hidden="1" s="59"/>
    <row r="16601" hidden="1" s="59"/>
    <row r="16602" hidden="1" s="59"/>
    <row r="16603" hidden="1" s="59"/>
    <row r="16604" hidden="1" s="59"/>
    <row r="16605" hidden="1" s="59"/>
    <row r="16606" hidden="1" s="59"/>
    <row r="16607" hidden="1" s="59"/>
    <row r="16608" hidden="1" s="59"/>
    <row r="16609" hidden="1" s="59"/>
    <row r="16610" hidden="1" s="59"/>
    <row r="16611" hidden="1" s="59"/>
    <row r="16612" hidden="1" s="59"/>
    <row r="16613" hidden="1" s="59"/>
    <row r="16614" hidden="1" s="59"/>
    <row r="16615" hidden="1" s="59"/>
    <row r="16617" hidden="1" s="59"/>
    <row r="16618" hidden="1" s="59"/>
    <row r="16619" hidden="1" s="59"/>
    <row r="16620" hidden="1" s="59"/>
    <row r="16621" hidden="1" s="59"/>
    <row r="16622" hidden="1" s="59"/>
    <row r="16623" hidden="1" s="59"/>
    <row r="16624" hidden="1" s="59"/>
    <row r="16625" hidden="1" s="59"/>
    <row r="16626" hidden="1" s="59"/>
    <row r="16627" hidden="1" s="59"/>
    <row r="16628" hidden="1" s="59"/>
    <row r="16629" hidden="1" s="59"/>
    <row r="16630" hidden="1" s="59"/>
    <row r="16631" hidden="1" s="59"/>
    <row r="16632" hidden="1" s="59"/>
    <row r="16633" hidden="1" s="59"/>
    <row r="16634" hidden="1" s="59"/>
    <row r="16635" hidden="1" s="59"/>
    <row r="16636" hidden="1" s="59"/>
    <row r="16637" hidden="1" s="59"/>
    <row r="16638" hidden="1" s="59"/>
    <row r="16639" hidden="1" s="59"/>
    <row r="16640" hidden="1" s="59"/>
    <row r="16641" hidden="1" s="59"/>
    <row r="16642" hidden="1" s="59"/>
    <row r="16643" hidden="1" s="59"/>
    <row r="16644" hidden="1" s="59"/>
    <row r="16645" hidden="1" s="59"/>
    <row r="16646" hidden="1" s="59"/>
    <row r="16647" hidden="1" s="59"/>
    <row r="16648" hidden="1" s="59"/>
    <row r="16649" hidden="1" s="59"/>
    <row r="16650" hidden="1" s="59"/>
    <row r="16651" hidden="1" s="59"/>
    <row r="16652" hidden="1" s="59"/>
    <row r="16653" hidden="1" s="59"/>
    <row r="16654" hidden="1" s="59"/>
    <row r="16655" hidden="1" s="59"/>
    <row r="16656" hidden="1" s="59"/>
    <row r="16657" hidden="1" s="59"/>
    <row r="16658" hidden="1" s="59"/>
    <row r="16659" hidden="1" s="59"/>
    <row r="16660" hidden="1" s="59"/>
    <row r="16661" hidden="1" s="59"/>
    <row r="16662" hidden="1" s="59"/>
    <row r="16663" hidden="1" s="59"/>
    <row r="16664" hidden="1" s="59"/>
    <row r="16665" hidden="1" s="59"/>
    <row r="16666" hidden="1" s="59"/>
    <row r="16667" hidden="1" s="59"/>
    <row r="16668" hidden="1" s="59"/>
    <row r="16669" hidden="1" s="59"/>
    <row r="16670" hidden="1" s="59"/>
    <row r="16671" hidden="1" s="59"/>
    <row r="16672" hidden="1" s="59"/>
    <row r="16673" hidden="1" s="59"/>
    <row r="16674" hidden="1" s="59"/>
    <row r="16675" hidden="1" s="59"/>
    <row r="16676" hidden="1" s="59"/>
    <row r="16677" hidden="1" s="59"/>
    <row r="16678" hidden="1" s="59"/>
    <row r="16679" hidden="1" s="59"/>
    <row r="16680" hidden="1" s="59"/>
    <row r="16681" hidden="1" s="59"/>
    <row r="16682" hidden="1" s="59"/>
    <row r="16683" hidden="1" s="59"/>
    <row r="16684" hidden="1" s="59"/>
    <row r="16685" hidden="1" s="59"/>
    <row r="16686" hidden="1" s="59"/>
    <row r="16687" hidden="1" s="59"/>
    <row r="16688" hidden="1" s="59"/>
    <row r="16689" hidden="1" s="59"/>
    <row r="16690" hidden="1" s="59"/>
    <row r="16691" hidden="1" s="59"/>
    <row r="16692" hidden="1" s="59"/>
    <row r="16693" hidden="1" s="59"/>
    <row r="16694" hidden="1" s="59"/>
    <row r="16695" hidden="1" s="59"/>
    <row r="16696" hidden="1" s="59"/>
    <row r="16697" hidden="1" s="59"/>
    <row r="16698" hidden="1" s="59"/>
    <row r="16699" hidden="1" s="59"/>
    <row r="16700" hidden="1" s="59"/>
    <row r="16701" hidden="1" s="59"/>
    <row r="16702" hidden="1" s="59"/>
    <row r="16703" hidden="1" s="59"/>
    <row r="16704" hidden="1" s="59"/>
    <row r="16705" hidden="1" s="59"/>
    <row r="16706" hidden="1" s="59"/>
    <row r="16707" hidden="1" s="59"/>
    <row r="16708" hidden="1" s="59"/>
    <row r="16709" hidden="1" s="59"/>
    <row r="16710" hidden="1" s="59"/>
    <row r="16711" hidden="1" s="59"/>
    <row r="16712" hidden="1" s="59"/>
    <row r="16713" hidden="1" s="59"/>
    <row r="16714" hidden="1" s="59"/>
    <row r="16715" hidden="1" s="59"/>
    <row r="16716" hidden="1" s="59"/>
    <row r="16717" hidden="1" s="59"/>
    <row r="16718" hidden="1" s="59"/>
    <row r="16719" hidden="1" s="59"/>
    <row r="16720" hidden="1" s="59"/>
    <row r="16721" hidden="1" s="59"/>
    <row r="16722" hidden="1" s="59"/>
    <row r="16723" hidden="1" s="59"/>
    <row r="16724" hidden="1" s="59"/>
    <row r="16725" hidden="1" s="59"/>
    <row r="16726" hidden="1" s="59"/>
    <row r="16727" hidden="1" s="59"/>
    <row r="16728" hidden="1" s="59"/>
    <row r="16729" hidden="1" s="59"/>
    <row r="16730" hidden="1" s="59"/>
    <row r="16731" hidden="1" s="59"/>
    <row r="16732" hidden="1" s="59"/>
    <row r="16733" hidden="1" s="59"/>
    <row r="16734" hidden="1" s="59"/>
    <row r="16735" hidden="1" s="59"/>
    <row r="16736" hidden="1" s="59"/>
    <row r="16737" hidden="1" s="59"/>
    <row r="16738" hidden="1" s="59"/>
    <row r="16739" hidden="1" s="59"/>
    <row r="16740" hidden="1" s="59"/>
    <row r="16741" hidden="1" s="59"/>
    <row r="16742" hidden="1" s="59"/>
    <row r="16743" hidden="1" s="59"/>
    <row r="16744" hidden="1" s="59"/>
    <row r="16745" hidden="1" s="59"/>
    <row r="16746" hidden="1" s="59"/>
    <row r="16747" hidden="1" s="59"/>
    <row r="16748" hidden="1" s="59"/>
    <row r="16749" hidden="1" s="59"/>
    <row r="16750" hidden="1" s="59"/>
    <row r="16751" hidden="1" s="59"/>
    <row r="16752" hidden="1" s="59"/>
    <row r="16753" hidden="1" s="59"/>
    <row r="16754" hidden="1" s="59"/>
    <row r="16755" hidden="1" s="59"/>
    <row r="16756" hidden="1" s="59"/>
    <row r="16757" hidden="1" s="59"/>
    <row r="16758" hidden="1" s="59"/>
    <row r="16759" hidden="1" s="59"/>
    <row r="16760" hidden="1" s="59"/>
    <row r="16761" hidden="1" s="59"/>
    <row r="16762" hidden="1" s="59"/>
    <row r="16763" hidden="1" s="59"/>
    <row r="16764" hidden="1" s="59"/>
    <row r="16765" hidden="1" s="59"/>
    <row r="16766" hidden="1" s="59"/>
    <row r="16767" hidden="1" s="59"/>
    <row r="16768" hidden="1" s="59"/>
    <row r="16769" hidden="1" s="59"/>
    <row r="16770" hidden="1" s="59"/>
    <row r="16771" hidden="1" s="59"/>
    <row r="16772" hidden="1" s="59"/>
    <row r="16773" hidden="1" s="59"/>
    <row r="16774" hidden="1" s="59"/>
    <row r="16775" hidden="1" s="59"/>
    <row r="16776" hidden="1" s="59"/>
    <row r="16777" hidden="1" s="59"/>
    <row r="16778" hidden="1" s="59"/>
    <row r="16779" hidden="1" s="59"/>
    <row r="16780" hidden="1" s="59"/>
    <row r="16781" hidden="1" s="59"/>
    <row r="16782" hidden="1" s="59"/>
    <row r="16783" hidden="1" s="59"/>
    <row r="16784" hidden="1" s="59"/>
    <row r="16785" hidden="1" s="59"/>
    <row r="16786" hidden="1" s="59"/>
    <row r="16787" hidden="1" s="59"/>
    <row r="16788" hidden="1" s="59"/>
    <row r="16789" hidden="1" s="59"/>
    <row r="16790" hidden="1" s="59"/>
    <row r="16791" hidden="1" s="59"/>
    <row r="16792" hidden="1" s="59"/>
    <row r="16793" hidden="1" s="59"/>
    <row r="16794" hidden="1" s="59"/>
    <row r="16795" hidden="1" s="59"/>
    <row r="16796" hidden="1" s="59"/>
    <row r="16797" hidden="1" s="59"/>
    <row r="16798" hidden="1" s="59"/>
    <row r="16799" hidden="1" s="59"/>
    <row r="16800" hidden="1" s="59"/>
    <row r="16801" hidden="1" s="59"/>
    <row r="16802" hidden="1" s="59"/>
    <row r="16803" hidden="1" s="59"/>
    <row r="16804" hidden="1" s="59"/>
    <row r="16805" hidden="1" s="59"/>
    <row r="16806" hidden="1" s="59"/>
    <row r="16807" hidden="1" s="59"/>
    <row r="16808" hidden="1" s="59"/>
    <row r="16809" hidden="1" s="59"/>
    <row r="16810" hidden="1" s="59"/>
    <row r="16811" hidden="1" s="59"/>
    <row r="16812" hidden="1" s="59"/>
    <row r="16813" hidden="1" s="59"/>
    <row r="16814" hidden="1" s="59"/>
    <row r="16815" hidden="1" s="59"/>
    <row r="16816" hidden="1" s="59"/>
    <row r="16817" hidden="1" s="59"/>
    <row r="16818" hidden="1" s="59"/>
    <row r="16819" hidden="1" s="59"/>
    <row r="16820" hidden="1" s="59"/>
    <row r="16821" hidden="1" s="59"/>
    <row r="16822" hidden="1" s="59"/>
    <row r="16823" hidden="1" s="59"/>
    <row r="16824" hidden="1" s="59"/>
    <row r="16825" hidden="1" s="59"/>
    <row r="16826" hidden="1" s="59"/>
    <row r="16827" hidden="1" s="59"/>
    <row r="16828" hidden="1" s="59"/>
    <row r="16829" hidden="1" s="59"/>
    <row r="16830" hidden="1" s="59"/>
    <row r="16831" hidden="1" s="59"/>
    <row r="16832" hidden="1" s="59"/>
    <row r="16833" hidden="1" s="59"/>
    <row r="16834" hidden="1" s="59"/>
    <row r="16835" hidden="1" s="59"/>
    <row r="16836" hidden="1" s="59"/>
    <row r="16837" hidden="1" s="59"/>
    <row r="16838" hidden="1" s="59"/>
    <row r="16839" hidden="1" s="59"/>
    <row r="16840" hidden="1" s="59"/>
    <row r="16841" hidden="1" s="59"/>
    <row r="16842" hidden="1" s="59"/>
    <row r="16843" hidden="1" s="59"/>
    <row r="16844" hidden="1" s="59"/>
    <row r="16845" hidden="1" s="59"/>
    <row r="16846" hidden="1" s="59"/>
    <row r="16847" hidden="1" s="59"/>
    <row r="16848" hidden="1" s="59"/>
    <row r="16849" hidden="1" s="59"/>
    <row r="16850" hidden="1" s="59"/>
    <row r="16851" hidden="1" s="59"/>
    <row r="16852" hidden="1" s="59"/>
    <row r="16853" hidden="1" s="59"/>
    <row r="16854" hidden="1" s="59"/>
    <row r="16855" hidden="1" s="59"/>
    <row r="16856" hidden="1" s="59"/>
    <row r="16857" hidden="1" s="59"/>
    <row r="16858" hidden="1" s="59"/>
    <row r="16859" hidden="1" s="59"/>
    <row r="16860" hidden="1" s="59"/>
    <row r="16861" hidden="1" s="59"/>
    <row r="16862" hidden="1" s="59"/>
    <row r="16863" hidden="1" s="59"/>
    <row r="16864" hidden="1" s="59"/>
    <row r="16865" hidden="1" s="59"/>
    <row r="16866" hidden="1" s="59"/>
    <row r="16867" hidden="1" s="59"/>
    <row r="16868" hidden="1" s="59"/>
    <row r="16869" hidden="1" s="59"/>
    <row r="16870" hidden="1" s="59"/>
    <row r="16871" hidden="1" s="59"/>
    <row r="16872" hidden="1" s="59"/>
    <row r="16873" hidden="1" s="59"/>
    <row r="16874" hidden="1" s="59"/>
    <row r="16875" hidden="1" s="59"/>
    <row r="16876" hidden="1" s="59"/>
    <row r="16877" hidden="1" s="59"/>
    <row r="16878" hidden="1" s="59"/>
    <row r="16879" hidden="1" s="59"/>
    <row r="16880" hidden="1" s="59"/>
    <row r="16881" hidden="1" s="59"/>
    <row r="16882" hidden="1" s="59"/>
    <row r="16883" hidden="1" s="59"/>
    <row r="16885" hidden="1" s="59"/>
    <row r="16886" hidden="1" s="59"/>
    <row r="16887" hidden="1" s="59"/>
    <row r="16888" hidden="1" s="59"/>
    <row r="16889" hidden="1" s="59"/>
    <row r="16890" hidden="1" s="59"/>
    <row r="16891" hidden="1" s="59"/>
    <row r="16892" hidden="1" s="59"/>
    <row r="16893" hidden="1" s="59"/>
    <row r="16894" hidden="1" s="59"/>
    <row r="16895" hidden="1" s="59"/>
    <row r="16896" hidden="1" s="59"/>
    <row r="16897" hidden="1" s="59"/>
    <row r="16898" hidden="1" s="59"/>
    <row r="16899" hidden="1" s="59"/>
    <row r="16900" hidden="1" s="59"/>
    <row r="16901" hidden="1" s="59"/>
    <row r="16902" hidden="1" s="59"/>
    <row r="16903" hidden="1" s="59"/>
    <row r="16904" hidden="1" s="59"/>
    <row r="16905" hidden="1" s="59"/>
    <row r="16906" hidden="1" s="59"/>
    <row r="16907" hidden="1" s="59"/>
    <row r="16908" hidden="1" s="59"/>
    <row r="16909" hidden="1" s="59"/>
    <row r="16910" hidden="1" s="59"/>
    <row r="16911" hidden="1" s="59"/>
    <row r="16912" hidden="1" s="59"/>
    <row r="16913" hidden="1" s="59"/>
    <row r="16914" hidden="1" s="59"/>
    <row r="16915" hidden="1" s="59"/>
    <row r="16916" hidden="1" s="59"/>
    <row r="16917" hidden="1" s="59"/>
    <row r="16918" hidden="1" s="59"/>
    <row r="16919" hidden="1" s="59"/>
    <row r="16920" hidden="1" s="59"/>
    <row r="16921" hidden="1" s="59"/>
    <row r="16922" hidden="1" s="59"/>
    <row r="16923" hidden="1" s="59"/>
    <row r="16924" hidden="1" s="59"/>
    <row r="16925" hidden="1" s="59"/>
    <row r="16926" hidden="1" s="59"/>
    <row r="16927" hidden="1" s="59"/>
    <row r="16928" hidden="1" s="59"/>
    <row r="16929" hidden="1" s="59"/>
    <row r="16931" hidden="1" s="59"/>
    <row r="16932" hidden="1" s="59"/>
    <row r="16933" hidden="1" s="59"/>
    <row r="16934" hidden="1" s="59"/>
    <row r="16935" hidden="1" s="59"/>
    <row r="16936" hidden="1" s="59"/>
    <row r="16937" hidden="1" s="59"/>
    <row r="16938" hidden="1" s="59"/>
    <row r="16939" hidden="1" s="59"/>
    <row r="16940" hidden="1" s="59"/>
    <row r="16941" hidden="1" s="59"/>
    <row r="16942" hidden="1" s="59"/>
    <row r="16943" hidden="1" s="59"/>
    <row r="16944" hidden="1" s="59"/>
    <row r="16945" hidden="1" s="59"/>
    <row r="16946" hidden="1" s="59"/>
    <row r="16947" hidden="1" s="59"/>
    <row r="16948" hidden="1" s="59"/>
    <row r="16949" hidden="1" s="59"/>
    <row r="16950" hidden="1" s="59"/>
    <row r="16951" hidden="1" s="59"/>
    <row r="16952" hidden="1" s="59"/>
    <row r="16953" hidden="1" s="59"/>
    <row r="16954" hidden="1" s="59"/>
    <row r="16955" hidden="1" s="59"/>
    <row r="16956" hidden="1" s="59"/>
    <row r="16957" hidden="1" s="59"/>
    <row r="16958" hidden="1" s="59"/>
    <row r="16959" hidden="1" s="59"/>
    <row r="16960" hidden="1" s="59"/>
    <row r="16961" hidden="1" s="59"/>
    <row r="16962" hidden="1" s="59"/>
    <row r="16963" hidden="1" s="59"/>
    <row r="16964" hidden="1" s="59"/>
    <row r="16965" hidden="1" s="59"/>
    <row r="16966" hidden="1" s="59"/>
    <row r="16967" hidden="1" s="59"/>
    <row r="16968" hidden="1" s="59"/>
    <row r="16969" hidden="1" s="59"/>
    <row r="16970" hidden="1" s="59"/>
    <row r="16971" hidden="1" s="59"/>
    <row r="16972" hidden="1" s="59"/>
    <row r="16973" hidden="1" s="59"/>
    <row r="16974" hidden="1" s="59"/>
    <row r="16975" hidden="1" s="59"/>
    <row r="16976" hidden="1" s="59"/>
    <row r="16977" hidden="1" s="59"/>
    <row r="16978" hidden="1" s="59"/>
    <row r="16979" hidden="1" s="59"/>
    <row r="16980" hidden="1" s="59"/>
    <row r="16981" hidden="1" s="59"/>
    <row r="16982" hidden="1" s="59"/>
    <row r="16983" hidden="1" s="59"/>
    <row r="16984" hidden="1" s="59"/>
    <row r="16985" hidden="1" s="59"/>
    <row r="16986" hidden="1" s="59"/>
    <row r="16987" hidden="1" s="59"/>
    <row r="16988" hidden="1" s="59"/>
    <row r="16989" hidden="1" s="59"/>
    <row r="16990" hidden="1" s="59"/>
    <row r="16991" hidden="1" s="59"/>
    <row r="16992" hidden="1" s="59"/>
    <row r="16993" hidden="1" s="59"/>
    <row r="16994" hidden="1" s="59"/>
    <row r="16995" hidden="1" s="59"/>
    <row r="16996" hidden="1" s="59"/>
    <row r="16997" hidden="1" s="59"/>
    <row r="16998" hidden="1" s="59"/>
    <row r="16999" hidden="1" s="59"/>
    <row r="17000" hidden="1" s="59"/>
    <row r="17001" hidden="1" s="59"/>
    <row r="17002" hidden="1" s="59"/>
    <row r="17003" hidden="1" s="59"/>
    <row r="17004" hidden="1" s="59"/>
    <row r="17005" hidden="1" s="59"/>
    <row r="17006" hidden="1" s="59"/>
    <row r="17007" hidden="1" s="59"/>
    <row r="17008" hidden="1" s="59"/>
    <row r="17009" hidden="1" s="59"/>
    <row r="17010" hidden="1" s="59"/>
    <row r="17011" hidden="1" s="59"/>
    <row r="17012" hidden="1" s="59"/>
    <row r="17013" hidden="1" s="59"/>
    <row r="17014" hidden="1" s="59"/>
    <row r="17015" hidden="1" s="59"/>
    <row r="17016" hidden="1" s="59"/>
    <row r="17017" hidden="1" s="59"/>
    <row r="17018" hidden="1" s="59"/>
    <row r="17019" hidden="1" s="59"/>
    <row r="17020" hidden="1" s="59"/>
    <row r="17021" hidden="1" s="59"/>
    <row r="17022" hidden="1" s="59"/>
    <row r="17023" hidden="1" s="59"/>
    <row r="17024" hidden="1" s="59"/>
    <row r="17025" hidden="1" s="59"/>
    <row r="17026" hidden="1" s="59"/>
    <row r="17027" hidden="1" s="59"/>
    <row r="17028" hidden="1" s="59"/>
    <row r="17029" hidden="1" s="59"/>
    <row r="17030" hidden="1" s="59"/>
    <row r="17031" hidden="1" s="59"/>
    <row r="17032" hidden="1" s="59"/>
    <row r="17033" hidden="1" s="59"/>
    <row r="17034" hidden="1" s="59"/>
    <row r="17035" hidden="1" s="59"/>
    <row r="17036" hidden="1" s="59"/>
    <row r="17037" hidden="1" s="59"/>
    <row r="17038" hidden="1" s="59"/>
    <row r="17039" hidden="1" s="59"/>
    <row r="17040" hidden="1" s="59"/>
    <row r="17041" hidden="1" s="59"/>
    <row r="17042" hidden="1" s="59"/>
    <row r="17043" hidden="1" s="59"/>
    <row r="17044" hidden="1" s="59"/>
    <row r="17045" hidden="1" s="59"/>
    <row r="17046" hidden="1" s="59"/>
    <row r="17047" hidden="1" s="59"/>
    <row r="17048" hidden="1" s="59"/>
    <row r="17049" hidden="1" s="59"/>
    <row r="17050" hidden="1" s="59"/>
    <row r="17051" hidden="1" s="59"/>
    <row r="17052" hidden="1" s="59"/>
    <row r="17053" hidden="1" s="59"/>
    <row r="17054" hidden="1" s="59"/>
    <row r="17055" hidden="1" s="59"/>
    <row r="17056" hidden="1" s="59"/>
    <row r="17057" hidden="1" s="59"/>
    <row r="17058" hidden="1" s="59"/>
    <row r="17059" hidden="1" s="59"/>
    <row r="17060" hidden="1" s="59"/>
    <row r="17061" hidden="1" s="59"/>
    <row r="17062" hidden="1" s="59"/>
    <row r="17063" hidden="1" s="59"/>
    <row r="17064" hidden="1" s="59"/>
    <row r="17065" hidden="1" s="59"/>
    <row r="17066" hidden="1" s="59"/>
    <row r="17067" hidden="1" s="59"/>
    <row r="17068" hidden="1" s="59"/>
    <row r="17069" hidden="1" s="59"/>
    <row r="17070" hidden="1" s="59"/>
    <row r="17071" hidden="1" s="59"/>
    <row r="17072" hidden="1" s="59"/>
    <row r="17073" hidden="1" s="59"/>
    <row r="17074" hidden="1" s="59"/>
    <row r="17075" hidden="1" s="59"/>
    <row r="17076" hidden="1" s="59"/>
    <row r="17077" hidden="1" s="59"/>
    <row r="17078" hidden="1" s="59"/>
    <row r="17079" hidden="1" s="59"/>
    <row r="17080" hidden="1" s="59"/>
    <row r="17081" hidden="1" s="59"/>
    <row r="17082" hidden="1" s="59"/>
    <row r="17083" hidden="1" s="59"/>
    <row r="17084" hidden="1" s="59"/>
    <row r="17085" hidden="1" s="59"/>
    <row r="17086" hidden="1" s="59"/>
    <row r="17087" hidden="1" s="59"/>
    <row r="17088" hidden="1" s="59"/>
    <row r="17089" hidden="1" s="59"/>
    <row r="17090" hidden="1" s="59"/>
    <row r="17091" hidden="1" s="59"/>
    <row r="17092" hidden="1" s="59"/>
    <row r="17093" hidden="1" s="59"/>
    <row r="17094" hidden="1" s="59"/>
    <row r="17095" hidden="1" s="59"/>
    <row r="17096" hidden="1" s="59"/>
    <row r="17097" hidden="1" s="59"/>
    <row r="17098" hidden="1" s="59"/>
    <row r="17099" hidden="1" s="59"/>
    <row r="17100" hidden="1" s="59"/>
    <row r="17101" hidden="1" s="59"/>
    <row r="17102" hidden="1" s="59"/>
    <row r="17103" hidden="1" s="59"/>
    <row r="17104" hidden="1" s="59"/>
    <row r="17105" hidden="1" s="59"/>
    <row r="17106" hidden="1" s="59"/>
    <row r="17107" hidden="1" s="59"/>
    <row r="17108" hidden="1" s="59"/>
    <row r="17109" hidden="1" s="59"/>
    <row r="17110" hidden="1" s="59"/>
    <row r="17111" hidden="1" s="59"/>
    <row r="17112" hidden="1" s="59"/>
    <row r="17113" hidden="1" s="59"/>
    <row r="17114" hidden="1" s="59"/>
    <row r="17115" hidden="1" s="59"/>
    <row r="17116" hidden="1" s="59"/>
    <row r="17117" hidden="1" s="59"/>
    <row r="17118" hidden="1" s="59"/>
    <row r="17119" hidden="1" s="59"/>
    <row r="17120" hidden="1" s="59"/>
    <row r="17121" hidden="1" s="59"/>
    <row r="17122" hidden="1" s="59"/>
    <row r="17123" hidden="1" s="59"/>
    <row r="17124" hidden="1" s="59"/>
    <row r="17125" hidden="1" s="59"/>
    <row r="17126" hidden="1" s="59"/>
    <row r="17127" hidden="1" s="59"/>
    <row r="17128" hidden="1" s="59"/>
    <row r="17129" hidden="1" s="59"/>
    <row r="17130" hidden="1" s="59"/>
    <row r="17131" hidden="1" s="59"/>
    <row r="17132" hidden="1" s="59"/>
    <row r="17133" hidden="1" s="59"/>
    <row r="17134" hidden="1" s="59"/>
    <row r="17135" hidden="1" s="59"/>
    <row r="17136" hidden="1" s="59"/>
    <row r="17137" hidden="1" s="59"/>
    <row r="17138" hidden="1" s="59"/>
    <row r="17139" hidden="1" s="59"/>
    <row r="17140" hidden="1" s="59"/>
    <row r="17141" hidden="1" s="59"/>
    <row r="17142" hidden="1" s="59"/>
    <row r="17143" hidden="1" s="59"/>
    <row r="17144" hidden="1" s="59"/>
    <row r="17145" hidden="1" s="59"/>
    <row r="17146" hidden="1" s="59"/>
    <row r="17147" hidden="1" s="59"/>
    <row r="17148" hidden="1" s="59"/>
    <row r="17149" hidden="1" s="59"/>
    <row r="17150" hidden="1" s="59"/>
    <row r="17151" hidden="1" s="59"/>
    <row r="17152" hidden="1" s="59"/>
    <row r="17153" hidden="1" s="59"/>
    <row r="17154" hidden="1" s="59"/>
    <row r="17155" hidden="1" s="59"/>
    <row r="17156" hidden="1" s="59"/>
    <row r="17157" hidden="1" s="59"/>
    <row r="17158" hidden="1" s="59"/>
    <row r="17159" hidden="1" s="59"/>
    <row r="17160" hidden="1" s="59"/>
    <row r="17161" hidden="1" s="59"/>
    <row r="17162" hidden="1" s="59"/>
    <row r="17163" hidden="1" s="59"/>
    <row r="17164" hidden="1" s="59"/>
    <row r="17165" hidden="1" s="59"/>
    <row r="17166" hidden="1" s="59"/>
    <row r="17167" hidden="1" s="59"/>
    <row r="17168" hidden="1" s="59"/>
    <row r="17169" hidden="1" s="59"/>
    <row r="17170" hidden="1" s="59"/>
    <row r="17171" hidden="1" s="59"/>
    <row r="17172" hidden="1" s="59"/>
    <row r="17173" hidden="1" s="59"/>
    <row r="17174" hidden="1" s="59"/>
    <row r="17175" hidden="1" s="59"/>
    <row r="17176" hidden="1" s="59"/>
    <row r="17177" hidden="1" s="59"/>
    <row r="17178" hidden="1" s="59"/>
    <row r="17179" hidden="1" s="59"/>
    <row r="17180" hidden="1" s="59"/>
    <row r="17181" hidden="1" s="59"/>
    <row r="17182" hidden="1" s="59"/>
    <row r="17183" hidden="1" s="59"/>
    <row r="17184" hidden="1" s="59"/>
    <row r="17185" hidden="1" s="59"/>
    <row r="17186" hidden="1" s="59"/>
    <row r="17187" hidden="1" s="59"/>
    <row r="17188" hidden="1" s="59"/>
    <row r="17189" hidden="1" s="59"/>
    <row r="17190" hidden="1" s="59"/>
    <row r="17191" hidden="1" s="59"/>
    <row r="17192" hidden="1" s="59"/>
    <row r="17193" hidden="1" s="59"/>
    <row r="17194" hidden="1" s="59"/>
    <row r="17195" hidden="1" s="59"/>
    <row r="17196" hidden="1" s="59"/>
    <row r="17197" hidden="1" s="59"/>
    <row r="17198" hidden="1" s="59"/>
    <row r="17199" hidden="1" s="59"/>
    <row r="17200" hidden="1" s="59"/>
    <row r="17201" hidden="1" s="59"/>
    <row r="17202" hidden="1" s="59"/>
    <row r="17203" hidden="1" s="59"/>
    <row r="17204" hidden="1" s="59"/>
    <row r="17205" hidden="1" s="59"/>
    <row r="17206" hidden="1" s="59"/>
    <row r="17207" hidden="1" s="59"/>
    <row r="17208" hidden="1" s="59"/>
    <row r="17209" hidden="1" s="59"/>
    <row r="17210" hidden="1" s="59"/>
    <row r="17211" hidden="1" s="59"/>
    <row r="17212" hidden="1" s="59"/>
    <row r="17213" hidden="1" s="59"/>
    <row r="17214" hidden="1" s="59"/>
    <row r="17215" hidden="1" s="59"/>
    <row r="17216" hidden="1" s="59"/>
    <row r="17217" hidden="1" s="59"/>
    <row r="17218" hidden="1" s="59"/>
    <row r="17219" hidden="1" s="59"/>
    <row r="17220" hidden="1" s="59"/>
    <row r="17221" hidden="1" s="59"/>
    <row r="17222" hidden="1" s="59"/>
    <row r="17223" hidden="1" s="59"/>
    <row r="17224" hidden="1" s="59"/>
    <row r="17225" hidden="1" s="59"/>
    <row r="17226" hidden="1" s="59"/>
    <row r="17227" hidden="1" s="59"/>
    <row r="17228" hidden="1" s="59"/>
    <row r="17229" hidden="1" s="59"/>
    <row r="17230" hidden="1" s="59"/>
    <row r="17231" hidden="1" s="59"/>
    <row r="17232" hidden="1" s="59"/>
    <row r="17233" hidden="1" s="59"/>
    <row r="17234" hidden="1" s="59"/>
    <row r="17235" hidden="1" s="59"/>
    <row r="17236" hidden="1" s="59"/>
    <row r="17237" hidden="1" s="59"/>
    <row r="17238" hidden="1" s="59"/>
    <row r="17239" hidden="1" s="59"/>
    <row r="17240" hidden="1" s="59"/>
    <row r="17241" hidden="1" s="59"/>
    <row r="17242" hidden="1" s="59"/>
    <row r="17243" hidden="1" s="59"/>
    <row r="17244" hidden="1" s="59"/>
    <row r="17245" hidden="1" s="59"/>
    <row r="17246" hidden="1" s="59"/>
    <row r="17247" hidden="1" s="59"/>
    <row r="17248" hidden="1" s="59"/>
    <row r="17249" hidden="1" s="59"/>
    <row r="17250" hidden="1" s="59"/>
    <row r="17251" hidden="1" s="59"/>
    <row r="17252" hidden="1" s="59"/>
    <row r="17253" hidden="1" s="59"/>
    <row r="17254" hidden="1" s="59"/>
    <row r="17255" hidden="1" s="59"/>
    <row r="17256" hidden="1" s="59"/>
    <row r="17257" hidden="1" s="59"/>
    <row r="17258" hidden="1" s="59"/>
    <row r="17259" hidden="1" s="59"/>
    <row r="17260" hidden="1" s="59"/>
    <row r="17261" hidden="1" s="59"/>
    <row r="17262" hidden="1" s="59"/>
    <row r="17263" hidden="1" s="59"/>
    <row r="17264" hidden="1" s="59"/>
    <row r="17265" hidden="1" s="59"/>
    <row r="17266" hidden="1" s="59"/>
    <row r="17267" hidden="1" s="59"/>
    <row r="17268" hidden="1" s="59"/>
    <row r="17269" hidden="1" s="59"/>
    <row r="17270" hidden="1" s="59"/>
    <row r="17271" hidden="1" s="59"/>
    <row r="17272" hidden="1" s="59"/>
    <row r="17273" hidden="1" s="59"/>
    <row r="17274" hidden="1" s="59"/>
    <row r="17275" hidden="1" s="59"/>
    <row r="17276" hidden="1" s="59"/>
    <row r="17277" hidden="1" s="59"/>
    <row r="17278" hidden="1" s="59"/>
    <row r="17279" hidden="1" s="59"/>
    <row r="17280" hidden="1" s="59"/>
    <row r="17281" hidden="1" s="59"/>
    <row r="17282" hidden="1" s="59"/>
    <row r="17283" hidden="1" s="59"/>
    <row r="17284" hidden="1" s="59"/>
    <row r="17285" hidden="1" s="59"/>
    <row r="17286" hidden="1" s="59"/>
    <row r="17287" hidden="1" s="59"/>
    <row r="17288" hidden="1" s="59"/>
    <row r="17289" hidden="1" s="59"/>
    <row r="17290" hidden="1" s="59"/>
    <row r="17291" hidden="1" s="59"/>
    <row r="17292" hidden="1" s="59"/>
    <row r="17293" hidden="1" s="59"/>
    <row r="17294" hidden="1" s="59"/>
    <row r="17295" hidden="1" s="59"/>
    <row r="17296" hidden="1" s="59"/>
    <row r="17297" hidden="1" s="59"/>
    <row r="17298" hidden="1" s="59"/>
    <row r="17299" hidden="1" s="59"/>
    <row r="17300" hidden="1" s="59"/>
    <row r="17301" hidden="1" s="59"/>
    <row r="17302" hidden="1" s="59"/>
    <row r="17303" hidden="1" s="59"/>
    <row r="17304" hidden="1" s="59"/>
    <row r="17305" hidden="1" s="59"/>
    <row r="17306" hidden="1" s="59"/>
    <row r="17307" hidden="1" s="59"/>
    <row r="17308" hidden="1" s="59"/>
    <row r="17309" hidden="1" s="59"/>
    <row r="17310" hidden="1" s="59"/>
    <row r="17311" hidden="1" s="59"/>
    <row r="17312" hidden="1" s="59"/>
    <row r="17313" hidden="1" s="59"/>
    <row r="17314" hidden="1" s="59"/>
    <row r="17315" hidden="1" s="59"/>
    <row r="17316" hidden="1" s="59"/>
    <row r="17317" hidden="1" s="59"/>
    <row r="17318" hidden="1" s="59"/>
    <row r="17319" hidden="1" s="59"/>
    <row r="17320" hidden="1" s="59"/>
    <row r="17321" hidden="1" s="59"/>
    <row r="17322" hidden="1" s="59"/>
    <row r="17323" hidden="1" s="59"/>
    <row r="17324" hidden="1" s="59"/>
    <row r="17325" hidden="1" s="59"/>
    <row r="17326" hidden="1" s="59"/>
    <row r="17327" hidden="1" s="59"/>
    <row r="17328" hidden="1" s="59"/>
    <row r="17329" hidden="1" s="59"/>
    <row r="17330" hidden="1" s="59"/>
    <row r="17331" hidden="1" s="59"/>
    <row r="17332" hidden="1" s="59"/>
    <row r="17333" hidden="1" s="59"/>
    <row r="17334" hidden="1" s="59"/>
    <row r="17335" hidden="1" s="59"/>
    <row r="17336" hidden="1" s="59"/>
    <row r="17337" hidden="1" s="59"/>
    <row r="17338" hidden="1" s="59"/>
    <row r="17339" hidden="1" s="59"/>
    <row r="17340" hidden="1" s="59"/>
    <row r="17341" hidden="1" s="59"/>
    <row r="17342" hidden="1" s="59"/>
    <row r="17343" hidden="1" s="59"/>
    <row r="17344" hidden="1" s="59"/>
    <row r="17345" hidden="1" s="59"/>
    <row r="17346" hidden="1" s="59"/>
    <row r="17347" hidden="1" s="59"/>
    <row r="17348" hidden="1" s="59"/>
    <row r="17349" hidden="1" s="59"/>
    <row r="17350" hidden="1" s="59"/>
    <row r="17351" hidden="1" s="59"/>
    <row r="17352" hidden="1" s="59"/>
    <row r="17353" hidden="1" s="59"/>
    <row r="17354" hidden="1" s="59"/>
    <row r="17355" hidden="1" s="59"/>
    <row r="17356" hidden="1" s="59"/>
    <row r="17357" hidden="1" s="59"/>
    <row r="17358" hidden="1" s="59"/>
    <row r="17359" hidden="1" s="59"/>
    <row r="17360" hidden="1" s="59"/>
    <row r="17361" hidden="1" s="59"/>
    <row r="17362" hidden="1" s="59"/>
    <row r="17363" hidden="1" s="59"/>
    <row r="17364" hidden="1" s="59"/>
    <row r="17365" hidden="1" s="59"/>
    <row r="17366" hidden="1" s="59"/>
    <row r="17367" hidden="1" s="59"/>
    <row r="17368" hidden="1" s="59"/>
    <row r="17369" hidden="1" s="59"/>
    <row r="17370" hidden="1" s="59"/>
    <row r="17371" hidden="1" s="59"/>
    <row r="17372" hidden="1" s="59"/>
    <row r="17373" hidden="1" s="59"/>
    <row r="17374" hidden="1" s="59"/>
    <row r="17375" hidden="1" s="59"/>
    <row r="17376" hidden="1" s="59"/>
    <row r="17377" hidden="1" s="59"/>
    <row r="17378" hidden="1" s="59"/>
    <row r="17379" hidden="1" s="59"/>
    <row r="17380" hidden="1" s="59"/>
    <row r="17381" hidden="1" s="59"/>
    <row r="17382" hidden="1" s="59"/>
    <row r="17383" hidden="1" s="59"/>
    <row r="17384" hidden="1" s="59"/>
    <row r="17385" hidden="1" s="59"/>
    <row r="17386" hidden="1" s="59"/>
    <row r="17387" hidden="1" s="59"/>
    <row r="17388" hidden="1" s="59"/>
    <row r="17389" hidden="1" s="59"/>
    <row r="17390" hidden="1" s="59"/>
    <row r="17391" hidden="1" s="59"/>
    <row r="17392" hidden="1" s="59"/>
    <row r="17393" hidden="1" s="59"/>
    <row r="17394" hidden="1" s="59"/>
    <row r="17395" hidden="1" s="59"/>
    <row r="17396" hidden="1" s="59"/>
    <row r="17397" hidden="1" s="59"/>
    <row r="17398" hidden="1" s="59"/>
    <row r="17399" hidden="1" s="59"/>
    <row r="17400" hidden="1" s="59"/>
    <row r="17401" hidden="1" s="59"/>
    <row r="17402" hidden="1" s="59"/>
    <row r="17403" hidden="1" s="59"/>
    <row r="17404" hidden="1" s="59"/>
    <row r="17405" hidden="1" s="59"/>
    <row r="17406" hidden="1" s="59"/>
    <row r="17407" hidden="1" s="59"/>
    <row r="17408" hidden="1" s="59"/>
    <row r="17409" hidden="1" s="59"/>
    <row r="17410" hidden="1" s="59"/>
    <row r="17411" hidden="1" s="59"/>
    <row r="17412" hidden="1" s="59"/>
    <row r="17413" hidden="1" s="59"/>
    <row r="17414" hidden="1" s="59"/>
    <row r="17415" hidden="1" s="59"/>
    <row r="17416" hidden="1" s="59"/>
    <row r="17417" hidden="1" s="59"/>
    <row r="17418" hidden="1" s="59"/>
    <row r="17419" hidden="1" s="59"/>
    <row r="17420" hidden="1" s="59"/>
    <row r="17421" hidden="1" s="59"/>
    <row r="17422" hidden="1" s="59"/>
    <row r="17424" hidden="1" s="59"/>
    <row r="17425" hidden="1" s="59"/>
    <row r="17426" hidden="1" s="59"/>
    <row r="17427" hidden="1" s="59"/>
    <row r="17428" hidden="1" s="59"/>
    <row r="17429" hidden="1" s="59"/>
    <row r="17430" hidden="1" s="59"/>
    <row r="17431" hidden="1" s="59"/>
    <row r="17432" hidden="1" s="59"/>
    <row r="17433" hidden="1" s="59"/>
    <row r="17434" hidden="1" s="59"/>
    <row r="17435" hidden="1" s="59"/>
    <row r="17436" hidden="1" s="59"/>
    <row r="17437" hidden="1" s="59"/>
    <row r="17438" hidden="1" s="59"/>
    <row r="17439" hidden="1" s="59"/>
    <row r="17440" hidden="1" s="59"/>
    <row r="17441" hidden="1" s="59"/>
    <row r="17442" hidden="1" s="59"/>
    <row r="17443" hidden="1" s="59"/>
    <row r="17444" hidden="1" s="59"/>
    <row r="17445" hidden="1" s="59"/>
    <row r="17446" hidden="1" s="59"/>
    <row r="17447" hidden="1" s="59"/>
    <row r="17448" hidden="1" s="59"/>
    <row r="17449" hidden="1" s="59"/>
    <row r="17450" hidden="1" s="59"/>
    <row r="17451" hidden="1" s="59"/>
    <row r="17452" hidden="1" s="59"/>
    <row r="17453" hidden="1" s="59"/>
    <row r="17454" hidden="1" s="59"/>
    <row r="17455" hidden="1" s="59"/>
    <row r="17456" hidden="1" s="59"/>
    <row r="17457" hidden="1" s="59"/>
    <row r="17458" hidden="1" s="59"/>
    <row r="17459" hidden="1" s="59"/>
    <row r="17460" hidden="1" s="59"/>
    <row r="17461" hidden="1" s="59"/>
    <row r="17462" hidden="1" s="59"/>
    <row r="17463" hidden="1" s="59"/>
    <row r="17464" hidden="1" s="59"/>
    <row r="17465" hidden="1" s="59"/>
    <row r="17466" hidden="1" s="59"/>
    <row r="17467" hidden="1" s="59"/>
    <row r="17468" hidden="1" s="59"/>
    <row r="17469" hidden="1" s="59"/>
    <row r="17470" hidden="1" s="59"/>
    <row r="17471" hidden="1" s="59"/>
    <row r="17472" hidden="1" s="59"/>
    <row r="17473" hidden="1" s="59"/>
    <row r="17474" hidden="1" s="59"/>
    <row r="17475" hidden="1" s="59"/>
    <row r="17476" hidden="1" s="59"/>
    <row r="17477" hidden="1" s="59"/>
    <row r="17478" hidden="1" s="59"/>
    <row r="17479" hidden="1" s="59"/>
    <row r="17480" hidden="1" s="59"/>
    <row r="17481" hidden="1" s="59"/>
    <row r="17482" hidden="1" s="59"/>
    <row r="17483" hidden="1" s="59"/>
    <row r="17484" hidden="1" s="59"/>
    <row r="17485" hidden="1" s="59"/>
    <row r="17486" hidden="1" s="59"/>
    <row r="17487" hidden="1" s="59"/>
    <row r="17488" hidden="1" s="59"/>
    <row r="17489" hidden="1" s="59"/>
    <row r="17490" hidden="1" s="59"/>
    <row r="17491" hidden="1" s="59"/>
    <row r="17492" hidden="1" s="59"/>
    <row r="17493" hidden="1" s="59"/>
    <row r="17494" hidden="1" s="59"/>
    <row r="17495" hidden="1" s="59"/>
    <row r="17496" hidden="1" s="59"/>
    <row r="17497" hidden="1" s="59"/>
    <row r="17498" hidden="1" s="59"/>
    <row r="17499" hidden="1" s="59"/>
    <row r="17500" hidden="1" s="59"/>
    <row r="17501" hidden="1" s="59"/>
    <row r="17502" hidden="1" s="59"/>
    <row r="17503" hidden="1" s="59"/>
    <row r="17504" hidden="1" s="59"/>
    <row r="17505" hidden="1" s="59"/>
    <row r="17506" hidden="1" s="59"/>
    <row r="17507" hidden="1" s="59"/>
    <row r="17508" hidden="1" s="59"/>
    <row r="17509" hidden="1" s="59"/>
    <row r="17510" hidden="1" s="59"/>
    <row r="17511" hidden="1" s="59"/>
    <row r="17512" hidden="1" s="59"/>
    <row r="17513" hidden="1" s="59"/>
    <row r="17514" hidden="1" s="59"/>
    <row r="17515" hidden="1" s="59"/>
    <row r="17516" hidden="1" s="59"/>
    <row r="17517" hidden="1" s="59"/>
    <row r="17518" hidden="1" s="59"/>
    <row r="17519" hidden="1" s="59"/>
    <row r="17520" hidden="1" s="59"/>
    <row r="17521" hidden="1" s="59"/>
    <row r="17522" hidden="1" s="59"/>
    <row r="17523" hidden="1" s="59"/>
    <row r="17524" hidden="1" s="59"/>
    <row r="17525" hidden="1" s="59"/>
    <row r="17526" hidden="1" s="59"/>
    <row r="17527" hidden="1" s="59"/>
    <row r="17528" hidden="1" s="59"/>
    <row r="17529" hidden="1" s="59"/>
    <row r="17530" hidden="1" s="59"/>
    <row r="17531" hidden="1" s="59"/>
    <row r="17532" hidden="1" s="59"/>
    <row r="17533" hidden="1" s="59"/>
    <row r="17534" hidden="1" s="59"/>
    <row r="17535" hidden="1" s="59"/>
    <row r="17536" hidden="1" s="59"/>
    <row r="17537" hidden="1" s="59"/>
    <row r="17538" hidden="1" s="59"/>
    <row r="17539" hidden="1" s="59"/>
    <row r="17540" hidden="1" s="59"/>
    <row r="17541" hidden="1" s="59"/>
    <row r="17542" hidden="1" s="59"/>
    <row r="17543" hidden="1" s="59"/>
    <row r="17544" hidden="1" s="59"/>
    <row r="17545" hidden="1" s="59"/>
    <row r="17546" hidden="1" s="59"/>
    <row r="17547" hidden="1" s="59"/>
    <row r="17548" hidden="1" s="59"/>
    <row r="17549" hidden="1" s="59"/>
    <row r="17550" hidden="1" s="59"/>
    <row r="17551" hidden="1" s="59"/>
    <row r="17552" hidden="1" s="59"/>
    <row r="17553" hidden="1" s="59"/>
    <row r="17554" hidden="1" s="59"/>
    <row r="17555" hidden="1" s="59"/>
    <row r="17556" hidden="1" s="59"/>
    <row r="17557" hidden="1" s="59"/>
    <row r="17558" hidden="1" s="59"/>
    <row r="17559" hidden="1" s="59"/>
    <row r="17560" hidden="1" s="59"/>
    <row r="17561" hidden="1" s="59"/>
    <row r="17562" hidden="1" s="59"/>
    <row r="17563" hidden="1" s="59"/>
    <row r="17564" hidden="1" s="59"/>
    <row r="17565" hidden="1" s="59"/>
    <row r="17566" hidden="1" s="59"/>
    <row r="17567" hidden="1" s="59"/>
    <row r="17568" hidden="1" s="59"/>
    <row r="17569" hidden="1" s="59"/>
    <row r="17570" hidden="1" s="59"/>
    <row r="17571" hidden="1" s="59"/>
    <row r="17572" hidden="1" s="59"/>
    <row r="17573" hidden="1" s="59"/>
    <row r="17574" hidden="1" s="59"/>
    <row r="17575" hidden="1" s="59"/>
    <row r="17576" hidden="1" s="59"/>
    <row r="17577" hidden="1" s="59"/>
    <row r="17578" hidden="1" s="59"/>
    <row r="17579" hidden="1" s="59"/>
    <row r="17580" hidden="1" s="59"/>
    <row r="17581" hidden="1" s="59"/>
    <row r="17582" hidden="1" s="59"/>
    <row r="17583" hidden="1" s="59"/>
    <row r="17584" hidden="1" s="59"/>
    <row r="17585" hidden="1" s="59"/>
    <row r="17586" hidden="1" s="59"/>
    <row r="17587" hidden="1" s="59"/>
    <row r="17588" hidden="1" s="59"/>
    <row r="17589" hidden="1" s="59"/>
    <row r="17590" hidden="1" s="59"/>
    <row r="17591" hidden="1" s="59"/>
    <row r="17592" hidden="1" s="59"/>
    <row r="17593" hidden="1" s="59"/>
    <row r="17594" hidden="1" s="59"/>
    <row r="17595" hidden="1" s="59"/>
    <row r="17596" hidden="1" s="59"/>
    <row r="17597" hidden="1" s="59"/>
    <row r="17598" hidden="1" s="59"/>
    <row r="17599" hidden="1" s="59"/>
    <row r="17600" hidden="1" s="59"/>
    <row r="17601" hidden="1" s="59"/>
    <row r="17602" hidden="1" s="59"/>
    <row r="17603" hidden="1" s="59"/>
    <row r="17604" hidden="1" s="59"/>
    <row r="17605" hidden="1" s="59"/>
    <row r="17606" hidden="1" s="59"/>
    <row r="17607" hidden="1" s="59"/>
    <row r="17608" hidden="1" s="59"/>
    <row r="17609" hidden="1" s="59"/>
    <row r="17610" hidden="1" s="59"/>
    <row r="17611" hidden="1" s="59"/>
    <row r="17612" hidden="1" s="59"/>
    <row r="17613" hidden="1" s="59"/>
    <row r="17614" hidden="1" s="59"/>
    <row r="17615" hidden="1" s="59"/>
    <row r="17616" hidden="1" s="59"/>
    <row r="17617" hidden="1" s="59"/>
    <row r="17618" hidden="1" s="59"/>
    <row r="17619" hidden="1" s="59"/>
    <row r="17620" hidden="1" s="59"/>
    <row r="17621" hidden="1" s="59"/>
    <row r="17622" hidden="1" s="59"/>
    <row r="17623" hidden="1" s="59"/>
    <row r="17624" hidden="1" s="59"/>
    <row r="17625" hidden="1" s="59"/>
    <row r="17626" hidden="1" s="59"/>
    <row r="17628" hidden="1" s="59"/>
    <row r="17629" hidden="1" s="59"/>
    <row r="17630" hidden="1" s="59"/>
    <row r="17631" hidden="1" s="59"/>
    <row r="17632" hidden="1" s="59"/>
    <row r="17633" hidden="1" s="59"/>
    <row r="17634" hidden="1" s="59"/>
    <row r="17635" hidden="1" s="59"/>
    <row r="17636" hidden="1" s="59"/>
    <row r="17637" hidden="1" s="59"/>
    <row r="17638" hidden="1" s="59"/>
    <row r="17639" hidden="1" s="59"/>
    <row r="17640" hidden="1" s="59"/>
    <row r="17641" hidden="1" s="59"/>
    <row r="17642" hidden="1" s="59"/>
    <row r="17643" hidden="1" s="59"/>
    <row r="17644" hidden="1" s="59"/>
    <row r="17645" hidden="1" s="59"/>
    <row r="17646" hidden="1" s="59"/>
    <row r="17647" hidden="1" s="59"/>
    <row r="17648" hidden="1" s="59"/>
    <row r="17649" hidden="1" s="59"/>
    <row r="17650" hidden="1" s="59"/>
    <row r="17651" hidden="1" s="59"/>
    <row r="17652" hidden="1" s="59"/>
    <row r="17653" hidden="1" s="59"/>
    <row r="17654" hidden="1" s="59"/>
    <row r="17655" hidden="1" s="59"/>
    <row r="17656" hidden="1" s="59"/>
    <row r="17657" hidden="1" s="59"/>
    <row r="17658" hidden="1" s="59"/>
    <row r="17659" hidden="1" s="59"/>
    <row r="17660" hidden="1" s="59"/>
    <row r="17661" hidden="1" s="59"/>
    <row r="17662" hidden="1" s="59"/>
    <row r="17663" hidden="1" s="59"/>
    <row r="17664" hidden="1" s="59"/>
    <row r="17665" hidden="1" s="59"/>
    <row r="17666" hidden="1" s="59"/>
    <row r="17667" hidden="1" s="59"/>
    <row r="17668" hidden="1" s="59"/>
    <row r="17669" hidden="1" s="59"/>
    <row r="17670" hidden="1" s="59"/>
    <row r="17671" hidden="1" s="59"/>
    <row r="17672" hidden="1" s="59"/>
    <row r="17673" hidden="1" s="59"/>
    <row r="17674" hidden="1" s="59"/>
    <row r="17675" hidden="1" s="59"/>
    <row r="17676" hidden="1" s="59"/>
    <row r="17677" hidden="1" s="59"/>
    <row r="17678" hidden="1" s="59"/>
    <row r="17679" hidden="1" s="59"/>
    <row r="17680" hidden="1" s="59"/>
    <row r="17681" hidden="1" s="59"/>
    <row r="17682" hidden="1" s="59"/>
    <row r="17683" hidden="1" s="59"/>
    <row r="17684" hidden="1" s="59"/>
    <row r="17685" hidden="1" s="59"/>
    <row r="17686" hidden="1" s="59"/>
    <row r="17687" hidden="1" s="59"/>
    <row r="17688" hidden="1" s="59"/>
    <row r="17689" hidden="1" s="59"/>
    <row r="17690" hidden="1" s="59"/>
    <row r="17691" hidden="1" s="59"/>
    <row r="17692" hidden="1" s="59"/>
    <row r="17693" hidden="1" s="59"/>
    <row r="17694" hidden="1" s="59"/>
    <row r="17695" hidden="1" s="59"/>
    <row r="17696" hidden="1" s="59"/>
    <row r="17697" hidden="1" s="59"/>
    <row r="17698" hidden="1" s="59"/>
    <row r="17699" hidden="1" s="59"/>
    <row r="17700" hidden="1" s="59"/>
    <row r="17701" hidden="1" s="59"/>
    <row r="17702" hidden="1" s="59"/>
    <row r="17703" hidden="1" s="59"/>
    <row r="17704" hidden="1" s="59"/>
    <row r="17705" hidden="1" s="59"/>
    <row r="17706" hidden="1" s="59"/>
    <row r="17707" hidden="1" s="59"/>
    <row r="17708" hidden="1" s="59"/>
    <row r="17709" hidden="1" s="59"/>
    <row r="17710" hidden="1" s="59"/>
    <row r="17711" hidden="1" s="59"/>
    <row r="17712" hidden="1" s="59"/>
    <row r="17713" hidden="1" s="59"/>
    <row r="17714" hidden="1" s="59"/>
    <row r="17715" hidden="1" s="59"/>
    <row r="17716" hidden="1" s="59"/>
    <row r="17717" hidden="1" s="59"/>
    <row r="17718" hidden="1" s="59"/>
    <row r="17719" hidden="1" s="59"/>
    <row r="17720" hidden="1" s="59"/>
    <row r="17721" hidden="1" s="59"/>
    <row r="17722" hidden="1" s="59"/>
    <row r="17723" hidden="1" s="59"/>
    <row r="17724" hidden="1" s="59"/>
    <row r="17725" hidden="1" s="59"/>
    <row r="17726" hidden="1" s="59"/>
    <row r="17727" hidden="1" s="59"/>
    <row r="17728" hidden="1" s="59"/>
    <row r="17729" hidden="1" s="59"/>
    <row r="17730" hidden="1" s="59"/>
    <row r="17731" hidden="1" s="59"/>
    <row r="17732" hidden="1" s="59"/>
    <row r="17733" hidden="1" s="59"/>
    <row r="17734" hidden="1" s="59"/>
    <row r="17735" hidden="1" s="59"/>
    <row r="17736" hidden="1" s="59"/>
    <row r="17737" hidden="1" s="59"/>
    <row r="17738" hidden="1" s="59"/>
    <row r="17739" hidden="1" s="59"/>
    <row r="17740" hidden="1" s="59"/>
    <row r="17741" hidden="1" s="59"/>
    <row r="17742" hidden="1" s="59"/>
    <row r="17743" hidden="1" s="59"/>
    <row r="17744" hidden="1" s="59"/>
    <row r="17745" hidden="1" s="59"/>
    <row r="17746" hidden="1" s="59"/>
    <row r="17747" hidden="1" s="59"/>
    <row r="17748" hidden="1" s="59"/>
    <row r="17749" hidden="1" s="59"/>
    <row r="17750" hidden="1" s="59"/>
    <row r="17751" hidden="1" s="59"/>
    <row r="17752" hidden="1" s="59"/>
    <row r="17753" hidden="1" s="59"/>
    <row r="17754" hidden="1" s="59"/>
    <row r="17755" hidden="1" s="59"/>
    <row r="17756" hidden="1" s="59"/>
    <row r="17757" hidden="1" s="59"/>
    <row r="17758" hidden="1" s="59"/>
    <row r="17759" hidden="1" s="59"/>
    <row r="17760" hidden="1" s="59"/>
    <row r="17761" hidden="1" s="59"/>
    <row r="17762" hidden="1" s="59"/>
    <row r="17763" hidden="1" s="59"/>
    <row r="17764" hidden="1" s="59"/>
    <row r="17765" hidden="1" s="59"/>
    <row r="17766" hidden="1" s="59"/>
    <row r="17767" hidden="1" s="59"/>
    <row r="17768" hidden="1" s="59"/>
    <row r="17769" hidden="1" s="59"/>
    <row r="17770" hidden="1" s="59"/>
    <row r="17771" hidden="1" s="59"/>
    <row r="17772" hidden="1" s="59"/>
    <row r="17773" hidden="1" s="59"/>
    <row r="17774" hidden="1" s="59"/>
    <row r="17775" hidden="1" s="59"/>
    <row r="17776" hidden="1" s="59"/>
    <row r="17777" hidden="1" s="59"/>
    <row r="17778" hidden="1" s="59"/>
    <row r="17779" hidden="1" s="59"/>
    <row r="17780" hidden="1" s="59"/>
    <row r="17781" hidden="1" s="59"/>
    <row r="17782" hidden="1" s="59"/>
    <row r="17783" hidden="1" s="59"/>
    <row r="17784" hidden="1" s="59"/>
    <row r="17785" hidden="1" s="59"/>
    <row r="17786" hidden="1" s="59"/>
    <row r="17787" hidden="1" s="59"/>
    <row r="17788" hidden="1" s="59"/>
    <row r="17789" hidden="1" s="59"/>
    <row r="17790" hidden="1" s="59"/>
    <row r="17791" hidden="1" s="59"/>
    <row r="17792" hidden="1" s="59"/>
    <row r="17793" hidden="1" s="59"/>
    <row r="17794" hidden="1" s="59"/>
    <row r="17795" hidden="1" s="59"/>
    <row r="17796" hidden="1" s="59"/>
    <row r="17797" hidden="1" s="59"/>
    <row r="17798" hidden="1" s="59"/>
    <row r="17799" hidden="1" s="59"/>
    <row r="17800" hidden="1" s="59"/>
    <row r="17801" hidden="1" s="59"/>
    <row r="17802" hidden="1" s="59"/>
    <row r="17803" hidden="1" s="59"/>
    <row r="17804" hidden="1" s="59"/>
    <row r="17805" hidden="1" s="59"/>
    <row r="17806" hidden="1" s="59"/>
    <row r="17807" hidden="1" s="59"/>
    <row r="17808" hidden="1" s="59"/>
    <row r="17809" hidden="1" s="59"/>
    <row r="17810" hidden="1" s="59"/>
    <row r="17811" hidden="1" s="59"/>
    <row r="17812" hidden="1" s="59"/>
    <row r="17813" hidden="1" s="59"/>
    <row r="17814" hidden="1" s="59"/>
    <row r="17815" hidden="1" s="59"/>
    <row r="17816" hidden="1" s="59"/>
    <row r="17817" hidden="1" s="59"/>
    <row r="17818" hidden="1" s="59"/>
    <row r="17819" hidden="1" s="59"/>
    <row r="17820" hidden="1" s="59"/>
    <row r="17821" hidden="1" s="59"/>
    <row r="17822" hidden="1" s="59"/>
    <row r="17823" hidden="1" s="59"/>
    <row r="17824" hidden="1" s="59"/>
    <row r="17825" hidden="1" s="59"/>
    <row r="17826" hidden="1" s="59"/>
    <row r="17827" hidden="1" s="59"/>
    <row r="17828" hidden="1" s="59"/>
    <row r="17829" hidden="1" s="59"/>
    <row r="17830" hidden="1" s="59"/>
    <row r="17831" hidden="1" s="59"/>
    <row r="17832" hidden="1" s="59"/>
    <row r="17833" hidden="1" s="59"/>
    <row r="17834" hidden="1" s="59"/>
    <row r="17835" hidden="1" s="59"/>
    <row r="17836" hidden="1" s="59"/>
    <row r="17837" hidden="1" s="59"/>
    <row r="17838" hidden="1" s="59"/>
    <row r="17839" hidden="1" s="59"/>
    <row r="17840" hidden="1" s="59"/>
    <row r="17841" hidden="1" s="59"/>
    <row r="17842" hidden="1" s="59"/>
    <row r="17843" hidden="1" s="59"/>
    <row r="17844" hidden="1" s="59"/>
    <row r="17845" hidden="1" s="59"/>
    <row r="17846" hidden="1" s="59"/>
    <row r="17847" hidden="1" s="59"/>
    <row r="17848" hidden="1" s="59"/>
    <row r="17849" hidden="1" s="59"/>
    <row r="17850" hidden="1" s="59"/>
    <row r="17851" hidden="1" s="59"/>
    <row r="17852" hidden="1" s="59"/>
    <row r="17853" hidden="1" s="59"/>
    <row r="17854" hidden="1" s="59"/>
    <row r="17855" hidden="1" s="59"/>
    <row r="17856" hidden="1" s="59"/>
    <row r="17857" hidden="1" s="59"/>
    <row r="17858" hidden="1" s="59"/>
    <row r="17859" hidden="1" s="59"/>
    <row r="17860" hidden="1" s="59"/>
    <row r="17861" hidden="1" s="59"/>
    <row r="17862" hidden="1" s="59"/>
    <row r="17863" hidden="1" s="59"/>
    <row r="17864" hidden="1" s="59"/>
    <row r="17865" hidden="1" s="59"/>
    <row r="17866" hidden="1" s="59"/>
    <row r="17867" hidden="1" s="59"/>
    <row r="17868" hidden="1" s="59"/>
    <row r="17869" hidden="1" s="59"/>
    <row r="17870" hidden="1" s="59"/>
    <row r="17871" hidden="1" s="59"/>
    <row r="17872" hidden="1" s="59"/>
    <row r="17873" hidden="1" s="59"/>
    <row r="17874" hidden="1" s="59"/>
    <row r="17875" hidden="1" s="59"/>
    <row r="17876" hidden="1" s="59"/>
    <row r="17877" hidden="1" s="59"/>
    <row r="17878" hidden="1" s="59"/>
    <row r="17879" hidden="1" s="59"/>
    <row r="17880" hidden="1" s="59"/>
    <row r="17881" hidden="1" s="59"/>
    <row r="17882" hidden="1" s="59"/>
    <row r="17883" hidden="1" s="59"/>
    <row r="17884" hidden="1" s="59"/>
    <row r="17885" hidden="1" s="59"/>
    <row r="17886" hidden="1" s="59"/>
    <row r="17887" hidden="1" s="59"/>
    <row r="17888" hidden="1" s="59"/>
    <row r="17889" hidden="1" s="59"/>
    <row r="17890" hidden="1" s="59"/>
    <row r="17891" hidden="1" s="59"/>
    <row r="17892" hidden="1" s="59"/>
    <row r="17893" hidden="1" s="59"/>
    <row r="17894" hidden="1" s="59"/>
    <row r="17895" hidden="1" s="59"/>
    <row r="17896" hidden="1" s="59"/>
    <row r="17897" hidden="1" s="59"/>
    <row r="17898" hidden="1" s="59"/>
    <row r="17899" hidden="1" s="59"/>
    <row r="17900" hidden="1" s="59"/>
    <row r="17901" hidden="1" s="59"/>
    <row r="17902" hidden="1" s="59"/>
    <row r="17903" hidden="1" s="59"/>
    <row r="17904" hidden="1" s="59"/>
    <row r="17905" hidden="1" s="59"/>
    <row r="17906" hidden="1" s="59"/>
    <row r="17907" hidden="1" s="59"/>
    <row r="17908" hidden="1" s="59"/>
    <row r="17909" hidden="1" s="59"/>
    <row r="17910" hidden="1" s="59"/>
    <row r="17911" hidden="1" s="59"/>
    <row r="17912" hidden="1" s="59"/>
    <row r="17913" hidden="1" s="59"/>
    <row r="17914" hidden="1" s="59"/>
    <row r="17915" hidden="1" s="59"/>
    <row r="17916" hidden="1" s="59"/>
    <row r="17917" hidden="1" s="59"/>
    <row r="17918" hidden="1" s="59"/>
    <row r="17919" hidden="1" s="59"/>
    <row r="17920" hidden="1" s="59"/>
    <row r="17921" hidden="1" s="59"/>
    <row r="17922" hidden="1" s="59"/>
    <row r="17923" hidden="1" s="59"/>
    <row r="17924" hidden="1" s="59"/>
    <row r="17925" hidden="1" s="59"/>
    <row r="17926" hidden="1" s="59"/>
    <row r="17927" hidden="1" s="59"/>
    <row r="17928" hidden="1" s="59"/>
    <row r="17929" hidden="1" s="59"/>
    <row r="17930" hidden="1" s="59"/>
    <row r="17931" hidden="1" s="59"/>
    <row r="17932" hidden="1" s="59"/>
    <row r="17933" hidden="1" s="59"/>
    <row r="17934" hidden="1" s="59"/>
    <row r="17935" hidden="1" s="59"/>
    <row r="17936" hidden="1" s="59"/>
    <row r="17937" hidden="1" s="59"/>
    <row r="17938" hidden="1" s="59"/>
    <row r="17939" hidden="1" s="59"/>
    <row r="17940" hidden="1" s="59"/>
    <row r="17941" hidden="1" s="59"/>
    <row r="17942" hidden="1" s="59"/>
    <row r="17943" hidden="1" s="59"/>
    <row r="17944" hidden="1" s="59"/>
    <row r="17945" hidden="1" s="59"/>
    <row r="17946" hidden="1" s="59"/>
    <row r="17947" hidden="1" s="59"/>
    <row r="17948" hidden="1" s="59"/>
    <row r="17949" hidden="1" s="59"/>
    <row r="17950" hidden="1" s="59"/>
    <row r="17951" hidden="1" s="59"/>
    <row r="17952" hidden="1" s="59"/>
    <row r="17953" hidden="1" s="59"/>
    <row r="17954" hidden="1" s="59"/>
    <row r="17955" hidden="1" s="59"/>
    <row r="17956" hidden="1" s="59"/>
    <row r="17957" hidden="1" s="59"/>
    <row r="17958" hidden="1" s="59"/>
    <row r="17959" hidden="1" s="59"/>
    <row r="17960" hidden="1" s="59"/>
    <row r="17961" hidden="1" s="59"/>
    <row r="17962" hidden="1" s="59"/>
    <row r="17963" hidden="1" s="59"/>
    <row r="17964" hidden="1" s="59"/>
    <row r="17965" hidden="1" s="59"/>
    <row r="17966" hidden="1" s="59"/>
    <row r="17967" hidden="1" s="59"/>
    <row r="17968" hidden="1" s="59"/>
    <row r="17969" hidden="1" s="59"/>
    <row r="17970" hidden="1" s="59"/>
    <row r="17971" hidden="1" s="59"/>
    <row r="17972" hidden="1" s="59"/>
    <row r="17973" hidden="1" s="59"/>
    <row r="17974" hidden="1" s="59"/>
    <row r="17975" hidden="1" s="59"/>
    <row r="17976" hidden="1" s="59"/>
    <row r="17977" hidden="1" s="59"/>
    <row r="17978" hidden="1" s="59"/>
    <row r="17979" hidden="1" s="59"/>
    <row r="17980" hidden="1" s="59"/>
    <row r="17981" hidden="1" s="59"/>
    <row r="17982" hidden="1" s="59"/>
    <row r="17983" hidden="1" s="59"/>
    <row r="17984" hidden="1" s="59"/>
    <row r="17985" hidden="1" s="59"/>
    <row r="17986" hidden="1" s="59"/>
    <row r="17987" hidden="1" s="59"/>
    <row r="17988" hidden="1" s="59"/>
    <row r="17989" hidden="1" s="59"/>
    <row r="17990" hidden="1" s="59"/>
    <row r="17991" hidden="1" s="59"/>
    <row r="17992" hidden="1" s="59"/>
    <row r="17993" hidden="1" s="59"/>
    <row r="17994" hidden="1" s="59"/>
    <row r="17995" hidden="1" s="59"/>
    <row r="17996" hidden="1" s="59"/>
    <row r="17997" hidden="1" s="59"/>
    <row r="17998" hidden="1" s="59"/>
    <row r="17999" hidden="1" s="59"/>
    <row r="18000" hidden="1" s="59"/>
    <row r="18001" hidden="1" s="59"/>
    <row r="18002" hidden="1" s="59"/>
    <row r="18003" hidden="1" s="59"/>
    <row r="18004" hidden="1" s="59"/>
    <row r="18005" hidden="1" s="59"/>
    <row r="18006" hidden="1" s="59"/>
    <row r="18007" hidden="1" s="59"/>
    <row r="18008" hidden="1" s="59"/>
    <row r="18009" hidden="1" s="59"/>
    <row r="18010" hidden="1" s="59"/>
    <row r="18011" hidden="1" s="59"/>
    <row r="18012" hidden="1" s="59"/>
    <row r="18013" hidden="1" s="59"/>
    <row r="18014" hidden="1" s="59"/>
    <row r="18015" hidden="1" s="59"/>
    <row r="18016" hidden="1" s="59"/>
    <row r="18017" hidden="1" s="59"/>
    <row r="18018" hidden="1" s="59"/>
    <row r="18019" hidden="1" s="59"/>
    <row r="18020" hidden="1" s="59"/>
    <row r="18021" hidden="1" s="59"/>
    <row r="18022" hidden="1" s="59"/>
    <row r="18023" hidden="1" s="59"/>
    <row r="18024" hidden="1" s="59"/>
    <row r="18025" hidden="1" s="59"/>
    <row r="18026" hidden="1" s="59"/>
    <row r="18028" hidden="1" s="59"/>
    <row r="18029" hidden="1" s="59"/>
    <row r="18030" hidden="1" s="59"/>
    <row r="18031" hidden="1" s="59"/>
    <row r="18032" hidden="1" s="59"/>
    <row r="18033" hidden="1" s="59"/>
    <row r="18034" hidden="1" s="59"/>
    <row r="18035" hidden="1" s="59"/>
    <row r="18036" hidden="1" s="59"/>
    <row r="18037" hidden="1" s="59"/>
    <row r="18038" hidden="1" s="59"/>
    <row r="18039" hidden="1" s="59"/>
    <row r="18040" hidden="1" s="59"/>
    <row r="18041" hidden="1" s="59"/>
    <row r="18042" hidden="1" s="59"/>
    <row r="18043" hidden="1" s="59"/>
    <row r="18044" hidden="1" s="59"/>
    <row r="18045" hidden="1" s="59"/>
    <row r="18048" hidden="1" s="59"/>
    <row r="18049" hidden="1" s="59"/>
    <row r="18050" hidden="1" s="59"/>
    <row r="18051" hidden="1" s="59"/>
    <row r="18052" hidden="1" s="59"/>
    <row r="18053" hidden="1" s="59"/>
    <row r="18054" hidden="1" s="59"/>
    <row r="18055" hidden="1" s="59"/>
    <row r="18056" hidden="1" s="59"/>
    <row r="18057" hidden="1" s="59"/>
    <row r="18058" hidden="1" s="59"/>
    <row r="18059" hidden="1" s="59"/>
    <row r="18060" hidden="1" s="59"/>
    <row r="18061" hidden="1" s="59"/>
    <row r="18062" hidden="1" s="59"/>
    <row r="18063" hidden="1" s="59"/>
    <row r="18064" hidden="1" s="59"/>
    <row r="18066" hidden="1" s="59"/>
    <row r="18067" hidden="1" s="59"/>
    <row r="18068" hidden="1" s="59"/>
    <row r="18069" hidden="1" s="59"/>
    <row r="18070" hidden="1" s="59"/>
    <row r="18071" hidden="1" s="59"/>
    <row r="18072" hidden="1" s="59"/>
    <row r="18073" hidden="1" s="59"/>
    <row r="18074" hidden="1" s="59"/>
    <row r="18075" hidden="1" s="59"/>
    <row r="18076" hidden="1" s="59"/>
    <row r="18077" hidden="1" s="59"/>
    <row r="18078" hidden="1" s="59"/>
    <row r="18079" hidden="1" s="59"/>
    <row r="18080" hidden="1" s="59"/>
    <row r="18081" hidden="1" s="59"/>
    <row r="18082" hidden="1" s="59"/>
    <row r="18083" hidden="1" s="59"/>
    <row r="18084" hidden="1" s="59"/>
    <row r="18085" hidden="1" s="59"/>
    <row r="18086" hidden="1" s="59"/>
    <row r="18087" hidden="1" s="59"/>
    <row r="18088" hidden="1" s="59"/>
    <row r="18089" hidden="1" s="59"/>
    <row r="18090" hidden="1" s="59"/>
    <row r="18091" hidden="1" s="59"/>
    <row r="18092" hidden="1" s="59"/>
    <row r="18093" hidden="1" s="59"/>
    <row r="18094" hidden="1" s="59"/>
    <row r="18095" hidden="1" s="59"/>
    <row r="18096" hidden="1" s="59"/>
    <row r="18097" hidden="1" s="59"/>
    <row r="18098" hidden="1" s="59"/>
    <row r="18099" hidden="1" s="59"/>
    <row r="18100" hidden="1" s="59"/>
    <row r="18101" hidden="1" s="59"/>
    <row r="18102" hidden="1" s="59"/>
    <row r="18103" hidden="1" s="59"/>
    <row r="18104" hidden="1" s="59"/>
    <row r="18105" hidden="1" s="59"/>
    <row r="18106" hidden="1" s="59"/>
    <row r="18107" hidden="1" s="59"/>
    <row r="18108" hidden="1" s="59"/>
    <row r="18109" hidden="1" s="59"/>
    <row r="18110" hidden="1" s="59"/>
    <row r="18111" hidden="1" s="59"/>
    <row r="18112" hidden="1" s="59"/>
    <row r="18113" hidden="1" s="59"/>
    <row r="18114" hidden="1" s="59"/>
    <row r="18115" hidden="1" s="59"/>
    <row r="18116" hidden="1" s="59"/>
    <row r="18117" hidden="1" s="59"/>
    <row r="18118" hidden="1" s="59"/>
    <row r="18119" hidden="1" s="59"/>
    <row r="18120" hidden="1" s="59"/>
    <row r="18121" hidden="1" s="59"/>
    <row r="18122" hidden="1" s="59"/>
    <row r="18123" hidden="1" s="59"/>
    <row r="18124" hidden="1" s="59"/>
    <row r="18125" hidden="1" s="59"/>
    <row r="18126" hidden="1" s="59"/>
    <row r="18127" hidden="1" s="59"/>
    <row r="18128" hidden="1" s="59"/>
    <row r="18129" hidden="1" s="59"/>
    <row r="18130" hidden="1" s="59"/>
    <row r="18131" hidden="1" s="59"/>
    <row r="18132" hidden="1" s="59"/>
    <row r="18133" hidden="1" s="59"/>
    <row r="18134" hidden="1" s="59"/>
    <row r="18135" hidden="1" s="59"/>
    <row r="18136" hidden="1" s="59"/>
    <row r="18137" hidden="1" s="59"/>
    <row r="18138" hidden="1" s="59"/>
    <row r="18139" hidden="1" s="59"/>
    <row r="18140" hidden="1" s="59"/>
    <row r="18141" hidden="1" s="59"/>
    <row r="18142" hidden="1" s="59"/>
    <row r="18143" hidden="1" s="59"/>
    <row r="18144" hidden="1" s="59"/>
    <row r="18145" hidden="1" s="59"/>
    <row r="18146" hidden="1" s="59"/>
    <row r="18147" hidden="1" s="59"/>
    <row r="18148" hidden="1" s="59"/>
    <row r="18149" hidden="1" s="59"/>
    <row r="18150" hidden="1" s="59"/>
    <row r="18151" hidden="1" s="59"/>
    <row r="18152" hidden="1" s="59"/>
    <row r="18153" hidden="1" s="59"/>
    <row r="18154" hidden="1" s="59"/>
    <row r="18156" hidden="1" s="59"/>
    <row r="18157" hidden="1" s="59"/>
    <row r="18158" hidden="1" s="59"/>
    <row r="18159" hidden="1" s="59"/>
    <row r="18160" hidden="1" s="59"/>
    <row r="18161" hidden="1" s="59"/>
    <row r="18162" hidden="1" s="59"/>
    <row r="18163" hidden="1" s="59"/>
    <row r="18164" hidden="1" s="59"/>
    <row r="18165" hidden="1" s="59"/>
    <row r="18166" hidden="1" s="59"/>
    <row r="18167" hidden="1" s="59"/>
    <row r="18168" hidden="1" s="59"/>
    <row r="18169" hidden="1" s="59"/>
    <row r="18170" hidden="1" s="59"/>
    <row r="18171" hidden="1" s="59"/>
    <row r="18172" hidden="1" s="59"/>
    <row r="18173" hidden="1" s="59"/>
    <row r="18174" hidden="1" s="59"/>
    <row r="18175" hidden="1" s="59"/>
    <row r="18176" hidden="1" s="59"/>
    <row r="18177" hidden="1" s="59"/>
    <row r="18178" hidden="1" s="59"/>
    <row r="18179" hidden="1" s="59"/>
    <row r="18180" hidden="1" s="59"/>
    <row r="18181" hidden="1" s="59"/>
    <row r="18182" hidden="1" s="59"/>
    <row r="18183" hidden="1" s="59"/>
    <row r="18186" hidden="1" s="59"/>
    <row r="18187" hidden="1" s="59"/>
    <row r="18188" hidden="1" s="59"/>
    <row r="18189" hidden="1" s="59"/>
    <row r="18190" hidden="1" s="59"/>
    <row r="18191" hidden="1" s="59"/>
    <row r="18192" hidden="1" s="59"/>
    <row r="18193" hidden="1" s="59"/>
    <row r="18194" hidden="1" s="59"/>
    <row r="18195" hidden="1" s="59"/>
    <row r="18196" hidden="1" s="59"/>
    <row r="18197" hidden="1" s="59"/>
    <row r="18198" hidden="1" s="59"/>
    <row r="18199" hidden="1" s="59"/>
    <row r="18200" hidden="1" s="59"/>
    <row r="18201" hidden="1" s="59"/>
    <row r="18202" hidden="1" s="59"/>
    <row r="18203" hidden="1" s="59"/>
    <row r="18204" hidden="1" s="59"/>
    <row r="18205" hidden="1" s="59"/>
    <row r="18206" hidden="1" s="59"/>
    <row r="18207" hidden="1" s="59"/>
    <row r="18208" hidden="1" s="59"/>
    <row r="18209" hidden="1" s="59"/>
    <row r="18210" hidden="1" s="59"/>
    <row r="18211" hidden="1" s="59"/>
    <row r="18212" hidden="1" s="59"/>
    <row r="18213" hidden="1" s="59"/>
    <row r="18214" hidden="1" s="59"/>
    <row r="18215" hidden="1" s="59"/>
    <row r="18216" hidden="1" s="59"/>
    <row r="18217" hidden="1" s="59"/>
    <row r="18218" hidden="1" s="59"/>
    <row r="18219" hidden="1" s="59"/>
    <row r="18221" hidden="1" s="59"/>
    <row r="18222" hidden="1" s="59"/>
    <row r="18223" hidden="1" s="59"/>
    <row r="18224" hidden="1" s="59"/>
    <row r="18225" hidden="1" s="59"/>
    <row r="18226" hidden="1" s="59"/>
    <row r="18227" hidden="1" s="59"/>
    <row r="18228" hidden="1" s="59"/>
    <row r="18229" hidden="1" s="59"/>
    <row r="18230" hidden="1" s="59"/>
    <row r="18231" hidden="1" s="59"/>
    <row r="18232" hidden="1" s="59"/>
    <row r="18233" hidden="1" s="59"/>
    <row r="18234" hidden="1" s="59"/>
    <row r="18235" hidden="1" s="59"/>
    <row r="18236" hidden="1" s="59"/>
    <row r="18237" hidden="1" s="59"/>
    <row r="18238" hidden="1" s="59"/>
    <row r="18239" hidden="1" s="59"/>
    <row r="18240" hidden="1" s="59"/>
    <row r="18241" hidden="1" s="59"/>
    <row r="18242" hidden="1" s="59"/>
    <row r="18243" hidden="1" s="59"/>
    <row r="18244" hidden="1" s="59"/>
    <row r="18245" hidden="1" s="59"/>
    <row r="18246" hidden="1" s="59"/>
    <row r="18247" hidden="1" s="59"/>
    <row r="18248" hidden="1" s="59"/>
    <row r="18249" hidden="1" s="59"/>
    <row r="18250" hidden="1" s="59"/>
    <row r="18251" hidden="1" s="59"/>
    <row r="18252" hidden="1" s="59"/>
    <row r="18253" hidden="1" s="59"/>
    <row r="18254" hidden="1" s="59"/>
    <row r="18255" hidden="1" s="59"/>
    <row r="18256" hidden="1" s="59"/>
    <row r="18257" hidden="1" s="59"/>
    <row r="18258" hidden="1" s="59"/>
    <row r="18259" hidden="1" s="59"/>
    <row r="18260" hidden="1" s="59"/>
    <row r="18261" hidden="1" s="59"/>
    <row r="18262" hidden="1" s="59"/>
    <row r="18263" hidden="1" s="59"/>
    <row r="18264" hidden="1" s="59"/>
    <row r="18265" hidden="1" s="59"/>
    <row r="18266" hidden="1" s="59"/>
    <row r="18267" hidden="1" s="59"/>
    <row r="18268" hidden="1" s="59"/>
    <row r="18269" hidden="1" s="59"/>
    <row r="18270" hidden="1" s="59"/>
    <row r="18272" hidden="1" s="59"/>
    <row r="18273" hidden="1" s="59"/>
    <row r="18274" hidden="1" s="59"/>
    <row r="18275" hidden="1" s="59"/>
    <row r="18276" hidden="1" s="59"/>
    <row r="18277" hidden="1" s="59"/>
    <row r="18278" hidden="1" s="59"/>
    <row r="18279" hidden="1" s="59"/>
    <row r="18280" hidden="1" s="59"/>
    <row r="18281" hidden="1" s="59"/>
    <row r="18282" hidden="1" s="59"/>
    <row r="18283" hidden="1" s="59"/>
    <row r="18284" hidden="1" s="59"/>
    <row r="18285" hidden="1" s="59"/>
    <row r="18286" hidden="1" s="59"/>
    <row r="18287" hidden="1" s="59"/>
    <row r="18288" hidden="1" s="59"/>
    <row r="18289" hidden="1" s="59"/>
    <row r="18290" hidden="1" s="59"/>
    <row r="18291" hidden="1" s="59"/>
    <row r="18292" hidden="1" s="59"/>
    <row r="18293" hidden="1" s="59"/>
    <row r="18294" hidden="1" s="59"/>
    <row r="18296" hidden="1" s="59"/>
    <row r="18297" hidden="1" s="59"/>
    <row r="18298" hidden="1" s="59"/>
    <row r="18299" hidden="1" s="59"/>
    <row r="18300" hidden="1" s="59"/>
    <row r="18301" hidden="1" s="59"/>
    <row r="18302" hidden="1" s="59"/>
    <row r="18303" hidden="1" s="59"/>
    <row r="18304" hidden="1" s="59"/>
    <row r="18305" hidden="1" s="59"/>
    <row r="18306" hidden="1" s="59"/>
    <row r="18307" hidden="1" s="59"/>
    <row r="18308" hidden="1" s="59"/>
    <row r="18309" hidden="1" s="59"/>
    <row r="18310" hidden="1" s="59"/>
    <row r="18311" hidden="1" s="59"/>
    <row r="18312" hidden="1" s="59"/>
    <row r="18313" hidden="1" s="59"/>
    <row r="18314" hidden="1" s="59"/>
    <row r="18315" hidden="1" s="59"/>
    <row r="18316" hidden="1" s="59"/>
    <row r="18317" hidden="1" s="59"/>
    <row r="18318" hidden="1" s="59"/>
    <row r="18319" hidden="1" s="59"/>
    <row r="18320" hidden="1" s="59"/>
    <row r="18321" hidden="1" s="59"/>
    <row r="18322" hidden="1" s="59"/>
    <row r="18323" hidden="1" s="59"/>
    <row r="18324" hidden="1" s="59"/>
    <row r="18325" hidden="1" s="59"/>
    <row r="18326" hidden="1" s="59"/>
    <row r="18327" hidden="1" s="59"/>
    <row r="18328" hidden="1" s="59"/>
    <row r="18329" hidden="1" s="59"/>
    <row r="18330" hidden="1" s="59"/>
    <row r="18331" hidden="1" s="59"/>
    <row r="18332" hidden="1" s="59"/>
    <row r="18333" hidden="1" s="59"/>
    <row r="18334" hidden="1" s="59"/>
    <row r="18335" hidden="1" s="59"/>
    <row r="18336" hidden="1" s="59"/>
    <row r="18337" hidden="1" s="59"/>
    <row r="18338" hidden="1" s="59"/>
    <row r="18339" hidden="1" s="59"/>
    <row r="18340" hidden="1" s="59"/>
    <row r="18341" hidden="1" s="59"/>
    <row r="18342" hidden="1" s="59"/>
    <row r="18343" hidden="1" s="59"/>
    <row r="18344" hidden="1" s="59"/>
    <row r="18345" hidden="1" s="59"/>
    <row r="18346" hidden="1" s="59"/>
    <row r="18347" hidden="1" s="59"/>
    <row r="18348" hidden="1" s="59"/>
    <row r="18349" hidden="1" s="59"/>
    <row r="18350" hidden="1" s="59"/>
    <row r="18351" hidden="1" s="59"/>
    <row r="18352" hidden="1" s="59"/>
    <row r="18353" hidden="1" s="59"/>
    <row r="18354" hidden="1" s="59"/>
    <row r="18355" hidden="1" s="59"/>
    <row r="18356" hidden="1" s="59"/>
    <row r="18357" hidden="1" s="59"/>
    <row r="18358" hidden="1" s="59"/>
    <row r="18359" hidden="1" s="59"/>
    <row r="18360" hidden="1" s="59"/>
    <row r="18361" hidden="1" s="59"/>
    <row r="18362" hidden="1" s="59"/>
    <row r="18363" hidden="1" s="59"/>
    <row r="18364" hidden="1" s="59"/>
    <row r="18365" hidden="1" s="59"/>
    <row r="18366" hidden="1" s="59"/>
    <row r="18367" hidden="1" s="59"/>
    <row r="18368" hidden="1" s="59"/>
    <row r="18369" hidden="1" s="59"/>
    <row r="18370" hidden="1" s="59"/>
    <row r="18371" hidden="1" s="59"/>
    <row r="18373" hidden="1" s="59"/>
    <row r="18374" hidden="1" s="59"/>
    <row r="18375" hidden="1" s="59"/>
    <row r="18376" hidden="1" s="59"/>
    <row r="18377" hidden="1" s="59"/>
    <row r="18378" hidden="1" s="59"/>
    <row r="18379" hidden="1" s="59"/>
    <row r="18380" hidden="1" s="59"/>
    <row r="18381" hidden="1" s="59"/>
    <row r="18382" hidden="1" s="59"/>
    <row r="18383" hidden="1" s="59"/>
    <row r="18384" hidden="1" s="59"/>
    <row r="18385" hidden="1" s="59"/>
    <row r="18386" hidden="1" s="59"/>
    <row r="18387" hidden="1" s="59"/>
    <row r="18388" hidden="1" s="59"/>
    <row r="18389" hidden="1" s="59"/>
    <row r="18390" hidden="1" s="59"/>
    <row r="18391" hidden="1" s="59"/>
    <row r="18392" hidden="1" s="59"/>
    <row r="18393" hidden="1" s="59"/>
    <row r="18394" hidden="1" s="59"/>
    <row r="18395" hidden="1" s="59"/>
    <row r="18396" hidden="1" s="59"/>
    <row r="18397" hidden="1" s="59"/>
    <row r="18398" hidden="1" s="59"/>
    <row r="18399" hidden="1" s="59"/>
    <row r="18400" hidden="1" s="59"/>
    <row r="18401" hidden="1" s="59"/>
    <row r="18402" hidden="1" s="59"/>
    <row r="18403" hidden="1" s="59"/>
    <row r="18404" hidden="1" s="59"/>
    <row r="18405" hidden="1" s="59"/>
    <row r="18406" hidden="1" s="59"/>
    <row r="18407" hidden="1" s="59"/>
    <row r="18408" hidden="1" s="59"/>
    <row r="18409" hidden="1" s="59"/>
    <row r="18410" hidden="1" s="59"/>
    <row r="18411" hidden="1" s="59"/>
    <row r="18412" hidden="1" s="59"/>
    <row r="18413" hidden="1" s="59"/>
    <row r="18414" hidden="1" s="59"/>
    <row r="18415" hidden="1" s="59"/>
    <row r="18416" hidden="1" s="59"/>
    <row r="18417" hidden="1" s="59"/>
    <row r="18418" hidden="1" s="59"/>
    <row r="18419" hidden="1" s="59"/>
    <row r="18420" hidden="1" s="59"/>
    <row r="18421" hidden="1" s="59"/>
    <row r="18422" hidden="1" s="59"/>
    <row r="18423" hidden="1" s="59"/>
    <row r="18424" hidden="1" s="59"/>
    <row r="18425" hidden="1" s="59"/>
    <row r="18426" hidden="1" s="59"/>
    <row r="18427" hidden="1" s="59"/>
    <row r="18428" hidden="1" s="59"/>
    <row r="18429" hidden="1" s="59"/>
    <row r="18430" hidden="1" s="59"/>
    <row r="18431" hidden="1" s="59"/>
    <row r="18432" hidden="1" s="59"/>
    <row r="18433" hidden="1" s="59"/>
    <row r="18434" hidden="1" s="59"/>
    <row r="18435" hidden="1" s="59"/>
    <row r="18436" hidden="1" s="59"/>
    <row r="18437" hidden="1" s="59"/>
    <row r="18438" hidden="1" s="59"/>
    <row r="18439" hidden="1" s="59"/>
    <row r="18440" hidden="1" s="59"/>
    <row r="18441" hidden="1" s="59"/>
    <row r="18442" hidden="1" s="59"/>
    <row r="18443" hidden="1" s="59"/>
    <row r="18444" hidden="1" s="59"/>
    <row r="18445" hidden="1" s="59"/>
    <row r="18446" hidden="1" s="59"/>
    <row r="18447" hidden="1" s="59"/>
    <row r="18448" hidden="1" s="59"/>
    <row r="18449" hidden="1" s="59"/>
    <row r="18450" hidden="1" s="59"/>
    <row r="18451" hidden="1" s="59"/>
    <row r="18452" hidden="1" s="59"/>
    <row r="18453" hidden="1" s="59"/>
    <row r="18454" hidden="1" s="59"/>
    <row r="18457" hidden="1" s="59"/>
    <row r="18458" hidden="1" s="59"/>
    <row r="18459" hidden="1" s="59"/>
    <row r="18460" hidden="1" s="59"/>
    <row r="18461" hidden="1" s="59"/>
    <row r="18462" hidden="1" s="59"/>
    <row r="18463" hidden="1" s="59"/>
    <row r="18464" hidden="1" s="59"/>
    <row r="18465" hidden="1" s="59"/>
    <row r="18466" hidden="1" s="59"/>
    <row r="18467" hidden="1" s="59"/>
    <row r="18468" hidden="1" s="59"/>
    <row r="18469" hidden="1" s="59"/>
    <row r="18470" hidden="1" s="59"/>
    <row r="18471" hidden="1" s="59"/>
    <row r="18472" hidden="1" s="59"/>
    <row r="18473" hidden="1" s="59"/>
    <row r="18474" hidden="1" s="59"/>
    <row r="18475" hidden="1" s="59"/>
    <row r="18476" hidden="1" s="59"/>
    <row r="18477" hidden="1" s="59"/>
    <row r="18478" hidden="1" s="59"/>
    <row r="18479" hidden="1" s="59"/>
    <row r="18482" hidden="1" s="59"/>
    <row r="18483" hidden="1" s="59"/>
    <row r="18484" hidden="1" s="59"/>
    <row r="18488" hidden="1" s="59"/>
    <row r="18489" hidden="1" s="59"/>
    <row r="18490" hidden="1" s="59"/>
    <row r="18491" hidden="1" s="59"/>
    <row r="18492" hidden="1" s="59"/>
    <row r="18493" hidden="1" s="59"/>
    <row r="18494" hidden="1" s="59"/>
    <row r="18495" hidden="1" s="59"/>
    <row r="18496" hidden="1" s="59"/>
    <row r="18497" hidden="1" s="59"/>
    <row r="18498" hidden="1" s="59"/>
    <row r="18499" hidden="1" s="59"/>
    <row r="18500" hidden="1" s="59"/>
    <row r="18501" hidden="1" s="59"/>
    <row r="18502" hidden="1" s="59"/>
    <row r="18503" hidden="1" s="59"/>
    <row r="18504" hidden="1" s="59"/>
    <row r="18505" hidden="1" s="59"/>
    <row r="18506" hidden="1" s="59"/>
    <row r="18507" hidden="1" s="59"/>
    <row r="18508" hidden="1" s="59"/>
    <row r="18509" hidden="1" s="59"/>
    <row r="18510" hidden="1" s="59"/>
    <row r="18511" hidden="1" s="59"/>
    <row r="18512" hidden="1" s="59"/>
    <row r="18513" hidden="1" s="59"/>
    <row r="18514" hidden="1" s="59"/>
    <row r="18515" hidden="1" s="59"/>
    <row r="18516" hidden="1" s="59"/>
    <row r="18517" hidden="1" s="59"/>
    <row r="18518" hidden="1" s="59"/>
    <row r="18519" hidden="1" s="59"/>
    <row r="18520" hidden="1" s="59"/>
    <row r="18521" hidden="1" s="59"/>
    <row r="18522" hidden="1" s="59"/>
    <row r="18523" hidden="1" s="59"/>
    <row r="18524" hidden="1" s="59"/>
    <row r="18525" hidden="1" s="59"/>
    <row r="18526" hidden="1" s="59"/>
    <row r="18527" hidden="1" s="59"/>
    <row r="18528" hidden="1" s="59"/>
    <row r="18529" hidden="1" s="59"/>
    <row r="18530" hidden="1" s="59"/>
    <row r="18531" hidden="1" s="59"/>
    <row r="18532" hidden="1" s="59"/>
    <row r="18533" hidden="1" s="59"/>
    <row r="18534" hidden="1" s="59"/>
    <row r="18535" hidden="1" s="59"/>
    <row r="18536" hidden="1" s="59"/>
    <row r="18537" hidden="1" s="59"/>
    <row r="18538" hidden="1" s="59"/>
    <row r="18539" hidden="1" s="59"/>
    <row r="18540" hidden="1" s="59"/>
    <row r="18541" hidden="1" s="59"/>
    <row r="18542" hidden="1" s="59"/>
    <row r="18543" hidden="1" s="59"/>
    <row r="18544" hidden="1" s="59"/>
    <row r="18545" hidden="1" s="59"/>
    <row r="18546" hidden="1" s="59"/>
    <row r="18547" hidden="1" s="59"/>
    <row r="18548" hidden="1" s="59"/>
    <row r="18549" hidden="1" s="59"/>
    <row r="18550" hidden="1" s="59"/>
    <row r="18551" hidden="1" s="59"/>
    <row r="18552" hidden="1" s="59"/>
    <row r="18553" hidden="1" s="59"/>
    <row r="18554" hidden="1" s="59"/>
    <row r="18555" hidden="1" s="59"/>
    <row r="18556" hidden="1" s="59"/>
    <row r="18557" hidden="1" s="59"/>
    <row r="18558" hidden="1" s="59"/>
    <row r="18559" hidden="1" s="59"/>
    <row r="18560" hidden="1" s="59"/>
    <row r="18561" hidden="1" s="59"/>
    <row r="18562" hidden="1" s="59"/>
    <row r="18563" hidden="1" s="59"/>
    <row r="18564" hidden="1" s="59"/>
    <row r="18565" hidden="1" s="59"/>
    <row r="18566" hidden="1" s="59"/>
    <row r="18567" hidden="1" s="59"/>
    <row r="18568" hidden="1" s="59"/>
    <row r="18569" hidden="1" s="59"/>
    <row r="18570" hidden="1" s="59"/>
    <row r="18571" hidden="1" s="59"/>
    <row r="18572" hidden="1" s="59"/>
    <row r="18573" hidden="1" s="59"/>
    <row r="18574" hidden="1" s="59"/>
    <row r="18575" hidden="1" s="59"/>
    <row r="18576" hidden="1" s="59"/>
    <row r="18577" hidden="1" s="59"/>
    <row r="18578" hidden="1" s="59"/>
    <row r="18579" hidden="1" s="59"/>
    <row r="18580" hidden="1" s="59"/>
    <row r="18581" hidden="1" s="59"/>
    <row r="18582" hidden="1" s="59"/>
    <row r="18583" hidden="1" s="59"/>
    <row r="18584" hidden="1" s="59"/>
    <row r="18585" hidden="1" s="59"/>
    <row r="18586" hidden="1" s="59"/>
    <row r="18587" hidden="1" s="59"/>
    <row r="18588" hidden="1" s="59"/>
    <row r="18589" hidden="1" s="59"/>
    <row r="18590" hidden="1" s="59"/>
    <row r="18591" hidden="1" s="59"/>
    <row r="18592" hidden="1" s="59"/>
    <row r="18593" hidden="1" s="59"/>
    <row r="18594" hidden="1" s="59"/>
    <row r="18595" hidden="1" s="59"/>
    <row r="18596" hidden="1" s="59"/>
    <row r="18597" hidden="1" s="59"/>
    <row r="18598" hidden="1" s="59"/>
    <row r="18599" hidden="1" s="59"/>
    <row r="18600" hidden="1" s="59"/>
    <row r="18601" hidden="1" s="59"/>
    <row r="18602" hidden="1" s="59"/>
    <row r="18603" hidden="1" s="59"/>
    <row r="18604" hidden="1" s="59"/>
    <row r="18605" hidden="1" s="59"/>
    <row r="18606" hidden="1" s="59"/>
    <row r="18607" hidden="1" s="59"/>
    <row r="18608" hidden="1" s="59"/>
    <row r="18609" hidden="1" s="59"/>
    <row r="18610" hidden="1" s="59"/>
    <row r="18611" hidden="1" s="59"/>
    <row r="18612" hidden="1" s="59"/>
    <row r="18613" hidden="1" s="59"/>
    <row r="18614" hidden="1" s="59"/>
    <row r="18615" hidden="1" s="59"/>
    <row r="18616" hidden="1" s="59"/>
    <row r="18617" hidden="1" s="59"/>
    <row r="18618" hidden="1" s="59"/>
    <row r="18619" hidden="1" s="59"/>
    <row r="18620" hidden="1" s="59"/>
    <row r="18621" hidden="1" s="59"/>
    <row r="18622" hidden="1" s="59"/>
    <row r="18623" hidden="1" s="59"/>
    <row r="18624" hidden="1" s="59"/>
    <row r="18625" hidden="1" s="59"/>
    <row r="18626" hidden="1" s="59"/>
    <row r="18627" hidden="1" s="59"/>
    <row r="18628" hidden="1" s="59"/>
    <row r="18629" hidden="1" s="59"/>
    <row r="18630" hidden="1" s="59"/>
    <row r="18631" hidden="1" s="59"/>
    <row r="18632" hidden="1" s="59"/>
    <row r="18633" hidden="1" s="59"/>
    <row r="18634" hidden="1" s="59"/>
    <row r="18635" hidden="1" s="59"/>
    <row r="18636" hidden="1" s="59"/>
    <row r="18637" hidden="1" s="59"/>
    <row r="18638" hidden="1" s="59"/>
    <row r="18639" hidden="1" s="59"/>
    <row r="18640" hidden="1" s="59"/>
    <row r="18641" hidden="1" s="59"/>
    <row r="18642" hidden="1" s="59"/>
    <row r="18643" hidden="1" s="59"/>
    <row r="18644" hidden="1" s="59"/>
    <row r="18645" hidden="1" s="59"/>
    <row r="18646" hidden="1" s="59"/>
    <row r="18647" hidden="1" s="59"/>
    <row r="18648" hidden="1" s="59"/>
    <row r="18649" hidden="1" s="59"/>
    <row r="18650" hidden="1" s="59"/>
    <row r="18651" hidden="1" s="59"/>
    <row r="18652" hidden="1" s="59"/>
    <row r="18653" hidden="1" s="59"/>
    <row r="18654" hidden="1" s="59"/>
    <row r="18655" hidden="1" s="59"/>
    <row r="18656" hidden="1" s="59"/>
    <row r="18657" hidden="1" s="59"/>
    <row r="18658" hidden="1" s="59"/>
    <row r="18659" hidden="1" s="59"/>
    <row r="18660" hidden="1" s="59"/>
    <row r="18661" hidden="1" s="59"/>
    <row r="18662" hidden="1" s="59"/>
    <row r="18663" hidden="1" s="59"/>
    <row r="18664" hidden="1" s="59"/>
    <row r="18665" hidden="1" s="59"/>
    <row r="18666" hidden="1" s="59"/>
    <row r="18667" hidden="1" s="59"/>
    <row r="18668" hidden="1" s="59"/>
    <row r="18669" hidden="1" s="59"/>
    <row r="18670" hidden="1" s="59"/>
    <row r="18671" hidden="1" s="59"/>
    <row r="18672" hidden="1" s="59"/>
    <row r="18673" hidden="1" s="59"/>
    <row r="18674" hidden="1" s="59"/>
    <row r="18675" hidden="1" s="59"/>
    <row r="18676" hidden="1" s="59"/>
    <row r="18677" hidden="1" s="59"/>
    <row r="18678" hidden="1" s="59"/>
    <row r="18679" hidden="1" s="59"/>
    <row r="18680" hidden="1" s="59"/>
    <row r="18681" hidden="1" s="59"/>
    <row r="18682" hidden="1" s="59"/>
    <row r="18683" hidden="1" s="59"/>
    <row r="18685" hidden="1" s="59"/>
    <row r="18686" hidden="1" s="59"/>
    <row r="18687" hidden="1" s="59"/>
    <row r="18688" hidden="1" s="59"/>
    <row r="18689" hidden="1" s="59"/>
    <row r="18690" hidden="1" s="59"/>
    <row r="18691" hidden="1" s="59"/>
    <row r="18692" hidden="1" s="59"/>
    <row r="18693" hidden="1" s="59"/>
    <row r="18694" hidden="1" s="59"/>
    <row r="18695" hidden="1" s="59"/>
    <row r="18696" hidden="1" s="59"/>
    <row r="18697" hidden="1" s="59"/>
    <row r="18698" hidden="1" s="59"/>
    <row r="18699" hidden="1" s="59"/>
    <row r="18700" hidden="1" s="59"/>
    <row r="18701" hidden="1" s="59"/>
    <row r="18702" hidden="1" s="59"/>
    <row r="18703" hidden="1" s="59"/>
    <row r="18704" hidden="1" s="59"/>
    <row r="18705" hidden="1" s="59"/>
    <row r="18706" hidden="1" s="59"/>
    <row r="18707" hidden="1" s="59"/>
    <row r="18708" hidden="1" s="59"/>
    <row r="18709" hidden="1" s="59"/>
    <row r="18710" hidden="1" s="59"/>
    <row r="18711" hidden="1" s="59"/>
    <row r="18712" hidden="1" s="59"/>
    <row r="18713" hidden="1" s="59"/>
    <row r="18714" hidden="1" s="59"/>
    <row r="18715" hidden="1" s="59"/>
    <row r="18716" hidden="1" s="59"/>
    <row r="18717" hidden="1" s="59"/>
    <row r="18718" hidden="1" s="59"/>
    <row r="18719" hidden="1" s="59"/>
    <row r="18720" hidden="1" s="59"/>
    <row r="18721" hidden="1" s="59"/>
    <row r="18722" hidden="1" s="59"/>
    <row r="18723" hidden="1" s="59"/>
    <row r="18724" hidden="1" s="59"/>
    <row r="18725" hidden="1" s="59"/>
    <row r="18726" hidden="1" s="59"/>
    <row r="18727" hidden="1" s="59"/>
    <row r="18728" hidden="1" s="59"/>
    <row r="18729" hidden="1" s="59"/>
    <row r="18730" hidden="1" s="59"/>
    <row r="18733" hidden="1" s="59"/>
    <row r="18734" hidden="1" s="59"/>
    <row r="18735" hidden="1" s="59"/>
    <row r="18736" hidden="1" s="59"/>
    <row r="18737" hidden="1" s="59"/>
    <row r="18738" hidden="1" s="59"/>
    <row r="18739" hidden="1" s="59"/>
    <row r="18740" hidden="1" s="59"/>
    <row r="18741" hidden="1" s="59"/>
    <row r="18742" hidden="1" s="59"/>
    <row r="18743" hidden="1" s="59"/>
    <row r="18744" hidden="1" s="59"/>
    <row r="18745" hidden="1" s="59"/>
    <row r="18746" hidden="1" s="59"/>
    <row r="18747" hidden="1" s="59"/>
    <row r="18748" hidden="1" s="59"/>
    <row r="18749" hidden="1" s="59"/>
    <row r="18750" hidden="1" s="59"/>
    <row r="18751" hidden="1" s="59"/>
    <row r="18752" hidden="1" s="59"/>
    <row r="18753" hidden="1" s="59"/>
    <row r="18754" hidden="1" s="59"/>
    <row r="18755" hidden="1" s="59"/>
    <row r="18756" hidden="1" s="59"/>
    <row r="18757" hidden="1" s="59"/>
    <row r="18758" hidden="1" s="59"/>
    <row r="18759" hidden="1" s="59"/>
    <row r="18760" hidden="1" s="59"/>
    <row r="18761" hidden="1" s="59"/>
    <row r="18762" hidden="1" s="59"/>
    <row r="18763" hidden="1" s="59"/>
    <row r="18764" hidden="1" s="59"/>
    <row r="18765" hidden="1" s="59"/>
    <row r="18767" hidden="1" s="59"/>
    <row r="18768" hidden="1" s="59"/>
    <row r="18769" hidden="1" s="59"/>
    <row r="18770" hidden="1" s="59"/>
    <row r="18771" hidden="1" s="59"/>
    <row r="18772" hidden="1" s="59"/>
    <row r="18773" hidden="1" s="59"/>
    <row r="18774" hidden="1" s="59"/>
    <row r="18775" hidden="1" s="59"/>
    <row r="18776" hidden="1" s="59"/>
    <row r="18777" hidden="1" s="59"/>
    <row r="18778" hidden="1" s="59"/>
    <row r="18779" hidden="1" s="59"/>
    <row r="18780" hidden="1" s="59"/>
    <row r="18781" hidden="1" s="59"/>
    <row r="18782" hidden="1" s="59"/>
    <row r="18783" hidden="1" s="59"/>
    <row r="18784" hidden="1" s="59"/>
    <row r="18785" hidden="1" s="59"/>
    <row r="18787" hidden="1" s="59"/>
    <row r="18788" hidden="1" s="59"/>
    <row r="18789" hidden="1" s="59"/>
    <row r="18790" hidden="1" s="59"/>
    <row r="18792" hidden="1" s="59"/>
    <row r="18793" hidden="1" s="59"/>
    <row r="18794" hidden="1" s="59"/>
    <row r="18795" hidden="1" s="59"/>
    <row r="18796" hidden="1" s="59"/>
    <row r="18797" hidden="1" s="59"/>
    <row r="18798" hidden="1" s="59"/>
    <row r="18799" hidden="1" s="59"/>
    <row r="18800" hidden="1" s="59"/>
    <row r="18801" hidden="1" s="59"/>
    <row r="18802" hidden="1" s="59"/>
    <row r="18803" hidden="1" s="59"/>
    <row r="18804" hidden="1" s="59"/>
    <row r="18805" hidden="1" s="59"/>
    <row r="18806" hidden="1" s="59"/>
    <row r="18807" hidden="1" s="59"/>
    <row r="18808" hidden="1" s="59"/>
    <row r="18809" hidden="1" s="59"/>
    <row r="18810" hidden="1" s="59"/>
    <row r="18811" hidden="1" s="59"/>
    <row r="18812" hidden="1" s="59"/>
    <row r="18813" hidden="1" s="59"/>
    <row r="18815" hidden="1" s="59"/>
    <row r="18816" hidden="1" s="59"/>
    <row r="18817" hidden="1" s="59"/>
    <row r="18820" hidden="1" s="59"/>
    <row r="18822" hidden="1" s="59"/>
    <row r="18823" hidden="1" s="59"/>
    <row r="18824" hidden="1" s="59"/>
    <row r="18825" hidden="1" s="59"/>
    <row r="18826" hidden="1" s="59"/>
    <row r="18827" hidden="1" s="59"/>
    <row r="18828" hidden="1" s="59"/>
    <row r="18829" hidden="1" s="59"/>
    <row r="18830" hidden="1" s="59"/>
    <row r="18831" hidden="1" s="59"/>
    <row r="18832" hidden="1" s="59"/>
    <row r="18833" hidden="1" s="59"/>
    <row r="18834" hidden="1" s="59"/>
    <row r="18835" hidden="1" s="59"/>
    <row r="18836" hidden="1" s="59"/>
    <row r="18837" hidden="1" s="59"/>
    <row r="18838" hidden="1" s="59"/>
    <row r="18839" hidden="1" s="59"/>
    <row r="18840" hidden="1" s="59"/>
    <row r="18841" hidden="1" s="59"/>
    <row r="18842" hidden="1" s="59"/>
    <row r="18843" hidden="1" s="59"/>
    <row r="18844" hidden="1" s="59"/>
    <row r="18845" hidden="1" s="59"/>
    <row r="18846" hidden="1" s="59"/>
    <row r="18847" hidden="1" s="59"/>
    <row r="18848" hidden="1" s="59"/>
    <row r="18849" hidden="1" s="59"/>
    <row r="18850" hidden="1" s="59"/>
    <row r="18851" hidden="1" s="59"/>
    <row r="18852" hidden="1" s="59"/>
    <row r="18854" hidden="1" s="59"/>
    <row r="18855" hidden="1" s="59"/>
    <row r="18856" hidden="1" s="59"/>
    <row r="18857" hidden="1" s="59"/>
    <row r="18858" hidden="1" s="59"/>
    <row r="18859" hidden="1" s="59"/>
    <row r="18860" hidden="1" s="59"/>
    <row r="18861" hidden="1" s="59"/>
    <row r="18862" hidden="1" s="59"/>
    <row r="18863" hidden="1" s="59"/>
    <row r="18864" hidden="1" s="59"/>
    <row r="18865" hidden="1" s="59"/>
    <row r="18866" hidden="1" s="59"/>
    <row r="18867" hidden="1" s="59"/>
    <row r="18868" hidden="1" s="59"/>
    <row r="18869" hidden="1" s="59"/>
    <row r="18870" hidden="1" s="59"/>
    <row r="18872" hidden="1" s="59"/>
    <row r="18873" hidden="1" s="59"/>
    <row r="18874" hidden="1" s="59"/>
    <row r="18875" hidden="1" s="59"/>
    <row r="18876" hidden="1" s="59"/>
    <row r="18877" hidden="1" s="59"/>
    <row r="18878" hidden="1" s="59"/>
    <row r="18879" hidden="1" s="59"/>
    <row r="18880" hidden="1" s="59"/>
    <row r="18881" hidden="1" s="59"/>
    <row r="18882" hidden="1" s="59"/>
    <row r="18883" hidden="1" s="59"/>
    <row r="18884" hidden="1" s="59"/>
    <row r="18885" hidden="1" s="59"/>
    <row r="18886" hidden="1" s="59"/>
    <row r="18887" hidden="1" s="59"/>
    <row r="18888" hidden="1" s="59"/>
    <row r="18889" hidden="1" s="59"/>
    <row r="18891" hidden="1" s="59"/>
    <row r="18892" hidden="1" s="59"/>
    <row r="18893" hidden="1" s="59"/>
    <row r="18894" hidden="1" s="59"/>
    <row r="18895" hidden="1" s="59"/>
    <row r="18896" hidden="1" s="59"/>
    <row r="18898" hidden="1" s="59"/>
    <row r="18899" hidden="1" s="59"/>
    <row r="18900" hidden="1" s="59"/>
    <row r="18901" hidden="1" s="59"/>
    <row r="18902" hidden="1" s="59"/>
    <row r="18903" hidden="1" s="59"/>
    <row r="18904" hidden="1" s="59"/>
    <row r="18905" hidden="1" s="59"/>
    <row r="18906" hidden="1" s="59"/>
    <row r="18907" hidden="1" s="59"/>
    <row r="18908" hidden="1" s="59"/>
    <row r="18909" hidden="1" s="59"/>
    <row r="18910" hidden="1" s="59"/>
    <row r="18911" hidden="1" s="59"/>
    <row r="18912" hidden="1" s="59"/>
    <row r="18913" hidden="1" s="59"/>
    <row r="18914" hidden="1" s="59"/>
    <row r="18915" hidden="1" s="59"/>
    <row r="18916" hidden="1" s="59"/>
    <row r="18917" hidden="1" s="59"/>
    <row r="18919" hidden="1" s="59"/>
    <row r="18920" hidden="1" s="59"/>
    <row r="18921" hidden="1" s="59"/>
    <row r="18922" hidden="1" s="59"/>
    <row r="18923" hidden="1" s="59"/>
    <row r="18924" hidden="1" s="59"/>
    <row r="18925" hidden="1" s="59"/>
    <row r="18926" hidden="1" s="59"/>
    <row r="18928" hidden="1" s="59"/>
    <row r="18929" hidden="1" s="59"/>
    <row r="18930" hidden="1" s="59"/>
    <row r="18931" hidden="1" s="59"/>
    <row r="18932" hidden="1" s="59"/>
    <row r="18933" hidden="1" s="59"/>
    <row r="18934" hidden="1" s="59"/>
    <row r="18935" hidden="1" s="59"/>
    <row r="18936" hidden="1" s="59"/>
    <row r="18937" hidden="1" s="59"/>
    <row r="18938" hidden="1" s="59"/>
    <row r="18939" hidden="1" s="59"/>
    <row r="18940" hidden="1" s="59"/>
    <row r="18941" hidden="1" s="59"/>
    <row r="18942" hidden="1" s="59"/>
    <row r="18943" hidden="1" s="59"/>
    <row r="18944" hidden="1" s="59"/>
    <row r="18945" hidden="1" s="59"/>
    <row r="18946" hidden="1" s="59"/>
    <row r="18947" hidden="1" s="59"/>
    <row r="18948" hidden="1" s="59"/>
    <row r="18949" hidden="1" s="59"/>
    <row r="18950" hidden="1" s="59"/>
    <row r="18951" hidden="1" s="59"/>
    <row r="18952" hidden="1" s="59"/>
    <row r="18953" hidden="1" s="59"/>
    <row r="18954" hidden="1" s="59"/>
    <row r="18955" hidden="1" s="59"/>
    <row r="18956" hidden="1" s="59"/>
    <row r="18957" hidden="1" s="59"/>
    <row r="18958" hidden="1" s="59"/>
    <row r="18959" hidden="1" s="59"/>
    <row r="18960" hidden="1" s="59"/>
    <row r="18961" hidden="1" s="59"/>
    <row r="18962" hidden="1" s="59"/>
    <row r="18963" hidden="1" s="59"/>
    <row r="18964" hidden="1" s="59"/>
    <row r="18965" hidden="1" s="59"/>
    <row r="18966" hidden="1" s="59"/>
    <row r="18967" hidden="1" s="59"/>
    <row r="18968" hidden="1" s="59"/>
    <row r="18969" hidden="1" s="59"/>
    <row r="18970" hidden="1" s="59"/>
    <row r="18971" hidden="1" s="59"/>
    <row r="18972" hidden="1" s="59"/>
    <row r="18973" hidden="1" s="59"/>
    <row r="18974" hidden="1" s="59"/>
    <row r="18975" hidden="1" s="59"/>
    <row r="18976" hidden="1" s="59"/>
    <row r="18977" hidden="1" s="59"/>
    <row r="18978" hidden="1" s="59"/>
    <row r="18979" hidden="1" s="59"/>
    <row r="18980" hidden="1" s="59"/>
    <row r="18981" hidden="1" s="59"/>
    <row r="18982" hidden="1" s="59"/>
    <row r="18983" hidden="1" s="59"/>
    <row r="18984" hidden="1" s="59"/>
    <row r="18985" hidden="1" s="59"/>
    <row r="18986" hidden="1" s="59"/>
    <row r="18987" hidden="1" s="59"/>
    <row r="18988" hidden="1" s="59"/>
    <row r="18989" hidden="1" s="59"/>
    <row r="18990" hidden="1" s="59"/>
    <row r="18991" hidden="1" s="59"/>
    <row r="18992" hidden="1" s="59"/>
    <row r="18993" hidden="1" s="59"/>
    <row r="18994" hidden="1" s="59"/>
    <row r="18995" hidden="1" s="59"/>
    <row r="18996" hidden="1" s="59"/>
    <row r="18997" hidden="1" s="59"/>
    <row r="18998" hidden="1" s="59"/>
    <row r="18999" hidden="1" s="59"/>
    <row r="19000" hidden="1" s="59"/>
    <row r="19001" hidden="1" s="59"/>
    <row r="19002" hidden="1" s="59"/>
    <row r="19003" hidden="1" s="59"/>
    <row r="19004" hidden="1" s="59"/>
    <row r="19005" hidden="1" s="59"/>
    <row r="19006" hidden="1" s="59"/>
    <row r="19007" hidden="1" s="59"/>
    <row r="19008" hidden="1" s="59"/>
    <row r="19009" hidden="1" s="59"/>
    <row r="19010" hidden="1" s="59"/>
    <row r="19011" hidden="1" s="59"/>
    <row r="19012" hidden="1" s="59"/>
    <row r="19013" hidden="1" s="59"/>
    <row r="19014" hidden="1" s="59"/>
    <row r="19015" hidden="1" s="59"/>
    <row r="19016" hidden="1" s="59"/>
    <row r="19017" hidden="1" s="59"/>
    <row r="19018" hidden="1" s="59"/>
    <row r="19019" hidden="1" s="59"/>
    <row r="19020" hidden="1" s="59"/>
    <row r="19021" hidden="1" s="59"/>
    <row r="19022" hidden="1" s="59"/>
    <row r="19023" hidden="1" s="59"/>
    <row r="19024" hidden="1" s="59"/>
    <row r="19025" hidden="1" s="59"/>
    <row r="19026" hidden="1" s="59"/>
    <row r="19027" hidden="1" s="59"/>
    <row r="19028" hidden="1" s="59"/>
    <row r="19029" hidden="1" s="59"/>
    <row r="19030" hidden="1" s="59"/>
    <row r="19031" hidden="1" s="59"/>
    <row r="19032" hidden="1" s="59"/>
    <row r="19033" hidden="1" s="59"/>
    <row r="19034" hidden="1" s="59"/>
    <row r="19035" hidden="1" s="59"/>
    <row r="19036" hidden="1" s="59"/>
    <row r="19037" hidden="1" s="59"/>
    <row r="19038" hidden="1" s="59"/>
    <row r="19039" hidden="1" s="59"/>
    <row r="19040" hidden="1" s="59"/>
    <row r="19041" hidden="1" s="59"/>
    <row r="19042" hidden="1" s="59"/>
    <row r="19043" hidden="1" s="59"/>
    <row r="19044" hidden="1" s="59"/>
    <row r="19045" hidden="1" s="59"/>
    <row r="19046" hidden="1" s="59"/>
    <row r="19049" hidden="1" s="59"/>
    <row r="19050" hidden="1" s="59"/>
    <row r="19051" hidden="1" s="59"/>
    <row r="19052" hidden="1" s="59"/>
    <row r="19053" hidden="1" s="59"/>
    <row r="19054" hidden="1" s="59"/>
    <row r="19055" hidden="1" s="59"/>
    <row r="19056" hidden="1" s="59"/>
    <row r="19057" hidden="1" s="59"/>
    <row r="19058" hidden="1" s="59"/>
    <row r="19059" hidden="1" s="59"/>
    <row r="19060" hidden="1" s="59"/>
    <row r="19061" hidden="1" s="59"/>
    <row r="19062" hidden="1" s="59"/>
    <row r="19063" hidden="1" s="59"/>
    <row r="19064" hidden="1" s="59"/>
    <row r="19065" hidden="1" s="59"/>
    <row r="19066" hidden="1" s="59"/>
    <row r="19067" hidden="1" s="59"/>
    <row r="19068" hidden="1" s="59"/>
    <row r="19069" hidden="1" s="59"/>
    <row r="19070" hidden="1" s="59"/>
    <row r="19071" hidden="1" s="59"/>
    <row r="19072" hidden="1" s="59"/>
    <row r="19073" hidden="1" s="59"/>
    <row r="19074" hidden="1" s="59"/>
    <row r="19076" hidden="1" s="59"/>
    <row r="19077" hidden="1" s="59"/>
    <row r="19078" hidden="1" s="59"/>
    <row r="19079" hidden="1" s="59"/>
    <row r="19080" hidden="1" s="59"/>
    <row r="19081" hidden="1" s="59"/>
    <row r="19082" hidden="1" s="59"/>
    <row r="19083" hidden="1" s="59"/>
    <row r="19084" hidden="1" s="59"/>
    <row r="19085" hidden="1" s="59"/>
    <row r="19087" hidden="1" s="59"/>
    <row r="19088" hidden="1" s="59"/>
    <row r="19089" hidden="1" s="59"/>
    <row r="19090" hidden="1" s="59"/>
    <row r="19091" hidden="1" s="59"/>
    <row r="19092" hidden="1" s="59"/>
    <row r="19093" hidden="1" s="59"/>
    <row r="19094" hidden="1" s="59"/>
    <row r="19095" hidden="1" s="59"/>
    <row r="19096" hidden="1" s="59"/>
    <row r="19097" hidden="1" s="59"/>
    <row r="19098" hidden="1" s="59"/>
    <row r="19099" hidden="1" s="59"/>
    <row r="19100" hidden="1" s="59"/>
    <row r="19101" hidden="1" s="59"/>
    <row r="19102" hidden="1" s="59"/>
    <row r="19103" hidden="1" s="59"/>
    <row r="19104" hidden="1" s="59"/>
    <row r="19105" hidden="1" s="59"/>
    <row r="19106" hidden="1" s="59"/>
    <row r="19107" hidden="1" s="59"/>
    <row r="19108" hidden="1" s="59"/>
    <row r="19110" hidden="1" s="59"/>
    <row r="19111" hidden="1" s="59"/>
    <row r="19112" hidden="1" s="59"/>
    <row r="19113" hidden="1" s="59"/>
    <row r="19114" hidden="1" s="59"/>
    <row r="19115" hidden="1" s="59"/>
    <row r="19116" hidden="1" s="59"/>
    <row r="19117" hidden="1" s="59"/>
    <row r="19118" hidden="1" s="59"/>
    <row r="19119" hidden="1" s="59"/>
    <row r="19121" hidden="1" s="59"/>
    <row r="19122" hidden="1" s="59"/>
    <row r="19123" hidden="1" s="59"/>
    <row r="19124" hidden="1" s="59"/>
    <row r="19125" hidden="1" s="59"/>
    <row r="19126" hidden="1" s="59"/>
    <row r="19127" hidden="1" s="59"/>
    <row r="19128" hidden="1" s="59"/>
    <row r="19129" hidden="1" s="59"/>
    <row r="19130" hidden="1" s="59"/>
    <row r="19131" hidden="1" s="59"/>
    <row r="19132" hidden="1" s="59"/>
    <row r="19133" hidden="1" s="59"/>
    <row r="19134" hidden="1" s="59"/>
    <row r="19135" hidden="1" s="59"/>
    <row r="19136" hidden="1" s="59"/>
    <row r="19137" hidden="1" s="59"/>
    <row r="19140" hidden="1" s="59"/>
    <row r="19141" hidden="1" s="59"/>
    <row r="19142" hidden="1" s="59"/>
    <row r="19143" hidden="1" s="59"/>
    <row r="19144" hidden="1" s="59"/>
    <row r="19145" hidden="1" s="59"/>
    <row r="19146" hidden="1" s="59"/>
    <row r="19147" hidden="1" s="59"/>
    <row r="19148" hidden="1" s="59"/>
    <row r="19149" hidden="1" s="59"/>
    <row r="19150" hidden="1" s="59"/>
    <row r="19151" hidden="1" s="59"/>
    <row r="19152" hidden="1" s="59"/>
    <row r="19153" hidden="1" s="59"/>
    <row r="19154" hidden="1" s="59"/>
    <row r="19155" hidden="1" s="59"/>
    <row r="19156" hidden="1" s="59"/>
    <row r="19157" hidden="1" s="59"/>
    <row r="19158" hidden="1" s="59"/>
    <row r="19159" hidden="1" s="59"/>
    <row r="19160" hidden="1" s="59"/>
    <row r="19162" hidden="1" s="59"/>
    <row r="19163" hidden="1" s="59"/>
    <row r="19164" hidden="1" s="59"/>
    <row r="19165" hidden="1" s="59"/>
    <row r="19166" hidden="1" s="59"/>
    <row r="19167" hidden="1" s="59"/>
    <row r="19168" hidden="1" s="59"/>
    <row r="19169" hidden="1" s="59"/>
    <row r="19170" hidden="1" s="59"/>
    <row r="19171" hidden="1" s="59"/>
    <row r="19172" hidden="1" s="59"/>
    <row r="19175" hidden="1" s="59"/>
    <row r="19176" hidden="1" s="59"/>
    <row r="19177" hidden="1" s="59"/>
    <row r="19178" hidden="1" s="59"/>
    <row r="19179" hidden="1" s="59"/>
    <row r="19180" hidden="1" s="59"/>
    <row r="19181" hidden="1" s="59"/>
    <row r="19182" hidden="1" s="59"/>
    <row r="19183" hidden="1" s="59"/>
    <row r="19184" hidden="1" s="59"/>
    <row r="19185" hidden="1" s="59"/>
    <row r="19186" hidden="1" s="59"/>
    <row r="19187" hidden="1" s="59"/>
    <row r="19188" hidden="1" s="59"/>
    <row r="19189" hidden="1" s="59"/>
    <row r="19190" hidden="1" s="59"/>
    <row r="19193" hidden="1" s="59"/>
    <row r="19194" hidden="1" s="59"/>
    <row r="19195" hidden="1" s="59"/>
    <row r="19196" hidden="1" s="59"/>
    <row r="19197" hidden="1" s="59"/>
    <row r="19198" hidden="1" s="59"/>
    <row r="19199" hidden="1" s="59"/>
    <row r="19200" hidden="1" s="59"/>
    <row r="19201" hidden="1" s="59"/>
    <row r="19202" hidden="1" s="59"/>
    <row r="19203" hidden="1" s="59"/>
    <row r="19204" hidden="1" s="59"/>
    <row r="19205" hidden="1" s="59"/>
    <row r="19206" hidden="1" s="59"/>
    <row r="19207" hidden="1" s="59"/>
    <row r="19208" hidden="1" s="59"/>
    <row r="19209" hidden="1" s="59"/>
    <row r="19210" hidden="1" s="59"/>
    <row r="19211" hidden="1" s="59"/>
    <row r="19212" hidden="1" s="59"/>
    <row r="19213" hidden="1" s="59"/>
    <row r="19214" hidden="1" s="59"/>
    <row r="19215" hidden="1" s="59"/>
    <row r="19216" hidden="1" s="59"/>
    <row r="19217" hidden="1" s="59"/>
    <row r="19218" hidden="1" s="59"/>
    <row r="19219" hidden="1" s="59"/>
    <row r="19220" hidden="1" s="59"/>
    <row r="19221" hidden="1" s="59"/>
    <row r="19222" hidden="1" s="59"/>
    <row r="19223" hidden="1" s="59"/>
    <row r="19224" hidden="1" s="59"/>
    <row r="19225" hidden="1" s="59"/>
    <row r="19227" hidden="1" s="59"/>
    <row r="19228" hidden="1" s="59"/>
    <row r="19229" hidden="1" s="59"/>
    <row r="19230" hidden="1" s="59"/>
    <row r="19232" hidden="1" s="59"/>
    <row r="19233" hidden="1" s="59"/>
    <row r="19234" hidden="1" s="59"/>
    <row r="19235" hidden="1" s="59"/>
    <row r="19236" hidden="1" s="59"/>
    <row r="19237" hidden="1" s="59"/>
    <row r="19238" hidden="1" s="59"/>
    <row r="19239" hidden="1" s="59"/>
    <row r="19240" hidden="1" s="59"/>
    <row r="19241" hidden="1" s="59"/>
    <row r="19242" hidden="1" s="59"/>
    <row r="19243" hidden="1" s="59"/>
    <row r="19244" hidden="1" s="59"/>
    <row r="19245" hidden="1" s="59"/>
    <row r="19246" hidden="1" s="59"/>
    <row r="19247" hidden="1" s="59"/>
    <row r="19248" hidden="1" s="59"/>
    <row r="19249" hidden="1" s="59"/>
    <row r="19250" hidden="1" s="59"/>
    <row r="19251" hidden="1" s="59"/>
    <row r="19252" hidden="1" s="59"/>
    <row r="19253" hidden="1" s="59"/>
    <row r="19254" hidden="1" s="59"/>
    <row r="19255" hidden="1" s="59"/>
    <row r="19256" hidden="1" s="59"/>
    <row r="19257" hidden="1" s="59"/>
    <row r="19258" hidden="1" s="59"/>
    <row r="19259" hidden="1" s="59"/>
    <row r="19260" hidden="1" s="59"/>
    <row r="19261" hidden="1" s="59"/>
    <row r="19262" hidden="1" s="59"/>
    <row r="19263" hidden="1" s="59"/>
    <row r="19264" hidden="1" s="59"/>
    <row r="19265" hidden="1" s="59"/>
    <row r="19266" hidden="1" s="59"/>
    <row r="19267" hidden="1" s="59"/>
    <row r="19268" hidden="1" s="59"/>
    <row r="19269" hidden="1" s="59"/>
    <row r="19270" hidden="1" s="59"/>
    <row r="19271" hidden="1" s="59"/>
    <row r="19272" hidden="1" s="59"/>
    <row r="19273" hidden="1" s="59"/>
    <row r="19274" hidden="1" s="59"/>
    <row r="19275" hidden="1" s="59"/>
    <row r="19276" hidden="1" s="59"/>
    <row r="19277" hidden="1" s="59"/>
    <row r="19278" hidden="1" s="59"/>
    <row r="19279" hidden="1" s="59"/>
    <row r="19280" hidden="1" s="59"/>
    <row r="19281" hidden="1" s="59"/>
    <row r="19282" hidden="1" s="59"/>
    <row r="19283" hidden="1" s="59"/>
    <row r="19284" hidden="1" s="59"/>
    <row r="19285" hidden="1" s="59"/>
    <row r="19286" hidden="1" s="59"/>
    <row r="19287" hidden="1" s="59"/>
    <row r="19288" hidden="1" s="59"/>
    <row r="19289" hidden="1" s="59"/>
    <row r="19290" hidden="1" s="59"/>
    <row r="19291" hidden="1" s="59"/>
    <row r="19292" hidden="1" s="59"/>
    <row r="19293" hidden="1" s="59"/>
    <row r="19294" hidden="1" s="59"/>
    <row r="19295" hidden="1" s="59"/>
    <row r="19296" hidden="1" s="59"/>
    <row r="19297" hidden="1" s="59"/>
    <row r="19298" hidden="1" s="59"/>
    <row r="19299" hidden="1" s="59"/>
    <row r="19300" hidden="1" s="59"/>
    <row r="19301" hidden="1" s="59"/>
    <row r="19302" hidden="1" s="59"/>
    <row r="19303" hidden="1" s="59"/>
    <row r="19304" hidden="1" s="59"/>
    <row r="19305" hidden="1" s="59"/>
    <row r="19306" hidden="1" s="59"/>
    <row r="19307" hidden="1" s="59"/>
    <row r="19308" hidden="1" s="59"/>
    <row r="19309" hidden="1" s="59"/>
    <row r="19310" hidden="1" s="59"/>
    <row r="19311" hidden="1" s="59"/>
    <row r="19312" hidden="1" s="59"/>
    <row r="19313" hidden="1" s="59"/>
    <row r="19314" hidden="1" s="59"/>
    <row r="19315" hidden="1" s="59"/>
    <row r="19316" hidden="1" s="59"/>
    <row r="19317" hidden="1" s="59"/>
    <row r="19318" hidden="1" s="59"/>
    <row r="19319" hidden="1" s="59"/>
    <row r="19320" hidden="1" s="59"/>
    <row r="19321" hidden="1" s="59"/>
    <row r="19322" hidden="1" s="59"/>
    <row r="19323" hidden="1" s="59"/>
    <row r="19324" hidden="1" s="59"/>
    <row r="19325" hidden="1" s="59"/>
    <row r="19326" hidden="1" s="59"/>
    <row r="19327" hidden="1" s="59"/>
    <row r="19328" hidden="1" s="59"/>
    <row r="19329" hidden="1" s="59"/>
    <row r="19330" hidden="1" s="59"/>
    <row r="19331" hidden="1" s="59"/>
    <row r="19332" hidden="1" s="59"/>
    <row r="19333" hidden="1" s="59"/>
    <row r="19334" hidden="1" s="59"/>
    <row r="19335" hidden="1" s="59"/>
    <row r="19336" hidden="1" s="59"/>
    <row r="19337" hidden="1" s="59"/>
    <row r="19338" hidden="1" s="59"/>
    <row r="19339" hidden="1" s="59"/>
    <row r="19340" hidden="1" s="59"/>
    <row r="19341" hidden="1" s="59"/>
    <row r="19342" hidden="1" s="59"/>
    <row r="19343" hidden="1" s="59"/>
    <row r="19344" hidden="1" s="59"/>
    <row r="19345" hidden="1" s="59"/>
    <row r="19346" hidden="1" s="59"/>
    <row r="19347" hidden="1" s="59"/>
    <row r="19348" hidden="1" s="59"/>
    <row r="19349" hidden="1" s="59"/>
    <row r="19350" hidden="1" s="59"/>
    <row r="19351" hidden="1" s="59"/>
    <row r="19352" hidden="1" s="59"/>
    <row r="19353" hidden="1" s="59"/>
    <row r="19354" hidden="1" s="59"/>
    <row r="19355" hidden="1" s="59"/>
    <row r="19356" hidden="1" s="59"/>
    <row r="19357" hidden="1" s="59"/>
    <row r="19358" hidden="1" s="59"/>
    <row r="19359" hidden="1" s="59"/>
    <row r="19361" hidden="1" s="59"/>
    <row r="19362" hidden="1" s="59"/>
    <row r="19363" hidden="1" s="59"/>
    <row r="19364" hidden="1" s="59"/>
    <row r="19365" hidden="1" s="59"/>
    <row r="19366" hidden="1" s="59"/>
    <row r="19367" hidden="1" s="59"/>
    <row r="19368" hidden="1" s="59"/>
    <row r="19369" hidden="1" s="59"/>
    <row r="19370" hidden="1" s="59"/>
    <row r="19373" hidden="1" s="59"/>
    <row r="19374" hidden="1" s="59"/>
    <row r="19375" hidden="1" s="59"/>
    <row r="19376" hidden="1" s="59"/>
    <row r="19380" hidden="1" s="59"/>
    <row r="19381" hidden="1" s="59"/>
    <row r="19382" hidden="1" s="59"/>
    <row r="19383" hidden="1" s="59"/>
    <row r="19384" hidden="1" s="59"/>
    <row r="19385" hidden="1" s="59"/>
    <row r="19386" hidden="1" s="59"/>
    <row r="19387" hidden="1" s="59"/>
    <row r="19388" hidden="1" s="59"/>
    <row r="19389" hidden="1" s="59"/>
    <row r="19390" hidden="1" s="59"/>
    <row r="19391" hidden="1" s="59"/>
    <row r="19392" hidden="1" s="59"/>
    <row r="19393" hidden="1" s="59"/>
    <row r="19394" hidden="1" s="59"/>
    <row r="19395" hidden="1" s="59"/>
    <row r="19396" hidden="1" s="59"/>
    <row r="19397" hidden="1" s="59"/>
    <row r="19398" hidden="1" s="59"/>
    <row r="19399" hidden="1" s="59"/>
    <row r="19400" hidden="1" s="59"/>
    <row r="19401" hidden="1" s="59"/>
    <row r="19403" hidden="1" s="59"/>
    <row r="19404" hidden="1" s="59"/>
    <row r="19405" hidden="1" s="59"/>
    <row r="19406" hidden="1" s="59"/>
    <row r="19407" hidden="1" s="59"/>
    <row r="19410" hidden="1" s="59"/>
    <row r="19412" hidden="1" s="59"/>
    <row r="19413" hidden="1" s="59"/>
    <row r="19414" hidden="1" s="59"/>
    <row r="19415" hidden="1" s="59"/>
    <row r="19416" hidden="1" s="59"/>
    <row r="19417" hidden="1" s="59"/>
    <row r="19418" hidden="1" s="59"/>
    <row r="19419" hidden="1" s="59"/>
    <row r="19420" hidden="1" s="59"/>
    <row r="19421" hidden="1" s="59"/>
    <row r="19422" hidden="1" s="59"/>
    <row r="19424" hidden="1" s="59"/>
    <row r="19425" hidden="1" s="59"/>
    <row r="19426" hidden="1" s="59"/>
    <row r="19427" hidden="1" s="59"/>
    <row r="19428" hidden="1" s="59"/>
    <row r="19429" hidden="1" s="59"/>
    <row r="19430" hidden="1" s="59"/>
    <row r="19432" hidden="1" s="59"/>
    <row r="19433" hidden="1" s="59"/>
    <row r="19435" hidden="1" s="59"/>
    <row r="19436" hidden="1" s="59"/>
    <row r="19437" hidden="1" s="59"/>
    <row r="19438" hidden="1" s="59"/>
    <row r="19439" hidden="1" s="59"/>
    <row r="19440" hidden="1" s="59"/>
    <row r="19441" hidden="1" s="59"/>
    <row r="19442" hidden="1" s="59"/>
    <row r="19443" hidden="1" s="59"/>
    <row r="19444" hidden="1" s="59"/>
    <row r="19445" hidden="1" s="59"/>
    <row r="19446" hidden="1" s="59"/>
    <row r="19447" hidden="1" s="59"/>
    <row r="19448" hidden="1" s="59"/>
    <row r="19449" hidden="1" s="59"/>
    <row r="19450" hidden="1" s="59"/>
    <row r="19451" hidden="1" s="59"/>
    <row r="19452" hidden="1" s="59"/>
    <row r="19453" hidden="1" s="59"/>
    <row r="19454" hidden="1" s="59"/>
    <row r="19455" hidden="1" s="59"/>
    <row r="19456" hidden="1" s="59"/>
    <row r="19457" hidden="1" s="59"/>
    <row r="19458" hidden="1" s="59"/>
    <row r="19459" hidden="1" s="59"/>
    <row r="19460" hidden="1" s="59"/>
    <row r="19461" hidden="1" s="59"/>
    <row r="19462" hidden="1" s="59"/>
    <row r="19463" hidden="1" s="59"/>
    <row r="19464" hidden="1" s="59"/>
    <row r="19465" hidden="1" s="59"/>
    <row r="19466" hidden="1" s="59"/>
    <row r="19467" hidden="1" s="59"/>
    <row r="19468" hidden="1" s="59"/>
    <row r="19469" hidden="1" s="59"/>
    <row r="19470" hidden="1" s="59"/>
    <row r="19471" hidden="1" s="59"/>
    <row r="19472" hidden="1" s="59"/>
    <row r="19473" hidden="1" s="59"/>
    <row r="19474" hidden="1" s="59"/>
    <row r="19475" hidden="1" s="59"/>
    <row r="19476" hidden="1" s="59"/>
    <row r="19477" hidden="1" s="59"/>
    <row r="19478" hidden="1" s="59"/>
    <row r="19479" hidden="1" s="59"/>
    <row r="19480" hidden="1" s="59"/>
    <row r="19481" hidden="1" s="59"/>
    <row r="19482" hidden="1" s="59"/>
    <row r="19483" hidden="1" s="59"/>
    <row r="19484" hidden="1" s="59"/>
    <row r="19485" hidden="1" s="59"/>
    <row r="19486" hidden="1" s="59"/>
    <row r="19487" hidden="1" s="59"/>
    <row r="19488" hidden="1" s="59"/>
    <row r="19489" hidden="1" s="59"/>
    <row r="19490" hidden="1" s="59"/>
    <row r="19491" hidden="1" s="59"/>
    <row r="19492" hidden="1" s="59"/>
    <row r="19493" hidden="1" s="59"/>
    <row r="19494" hidden="1" s="59"/>
    <row r="19495" hidden="1" s="59"/>
    <row r="19496" hidden="1" s="59"/>
    <row r="19497" hidden="1" s="59"/>
    <row r="19498" hidden="1" s="59"/>
    <row r="19499" hidden="1" s="59"/>
    <row r="19500" hidden="1" s="59"/>
    <row r="19501" hidden="1" s="59"/>
    <row r="19502" hidden="1" s="59"/>
    <row r="19503" hidden="1" s="59"/>
    <row r="19504" hidden="1" s="59"/>
    <row r="19505" hidden="1" s="59"/>
    <row r="19506" hidden="1" s="59"/>
    <row r="19507" hidden="1" s="59"/>
    <row r="19508" hidden="1" s="59"/>
    <row r="19509" hidden="1" s="59"/>
    <row r="19510" hidden="1" s="59"/>
    <row r="19511" hidden="1" s="59"/>
    <row r="19512" hidden="1" s="59"/>
    <row r="19513" hidden="1" s="59"/>
    <row r="19514" hidden="1" s="59"/>
    <row r="19515" hidden="1" s="59"/>
    <row r="19516" hidden="1" s="59"/>
    <row r="19517" hidden="1" s="59"/>
    <row r="19518" hidden="1" s="59"/>
    <row r="19519" hidden="1" s="59"/>
    <row r="19520" hidden="1" s="59"/>
    <row r="19521" hidden="1" s="59"/>
    <row r="19522" hidden="1" s="59"/>
    <row r="19523" hidden="1" s="59"/>
    <row r="19524" hidden="1" s="59"/>
    <row r="19525" hidden="1" s="59"/>
    <row r="19526" hidden="1" s="59"/>
    <row r="19527" hidden="1" s="59"/>
    <row r="19528" hidden="1" s="59"/>
    <row r="19529" hidden="1" s="59"/>
    <row r="19530" hidden="1" s="59"/>
    <row r="19531" hidden="1" s="59"/>
    <row r="19532" hidden="1" s="59"/>
    <row r="19533" hidden="1" s="59"/>
    <row r="19534" hidden="1" s="59"/>
    <row r="19535" hidden="1" s="59"/>
    <row r="19536" hidden="1" s="59"/>
    <row r="19537" hidden="1" s="59"/>
    <row r="19538" hidden="1" s="59"/>
    <row r="19539" hidden="1" s="59"/>
    <row r="19540" hidden="1" s="59"/>
    <row r="19541" hidden="1" s="59"/>
    <row r="19542" hidden="1" s="59"/>
    <row r="19543" hidden="1" s="59"/>
    <row r="19544" hidden="1" s="59"/>
    <row r="19545" hidden="1" s="59"/>
    <row r="19546" hidden="1" s="59"/>
    <row r="19547" hidden="1" s="59"/>
    <row r="19548" hidden="1" s="59"/>
    <row r="19549" hidden="1" s="59"/>
    <row r="19550" hidden="1" s="59"/>
    <row r="19551" hidden="1" s="59"/>
    <row r="19552" hidden="1" s="59"/>
    <row r="19553" hidden="1" s="59"/>
    <row r="19554" hidden="1" s="59"/>
    <row r="19555" hidden="1" s="59"/>
    <row r="19556" hidden="1" s="59"/>
    <row r="19557" hidden="1" s="59"/>
    <row r="19558" hidden="1" s="59"/>
    <row r="19559" hidden="1" s="59"/>
    <row r="19560" hidden="1" s="59"/>
    <row r="19561" hidden="1" s="59"/>
    <row r="19562" hidden="1" s="59"/>
    <row r="19563" hidden="1" s="59"/>
    <row r="19564" hidden="1" s="59"/>
    <row r="19565" hidden="1" s="59"/>
    <row r="19566" hidden="1" s="59"/>
    <row r="19567" hidden="1" s="59"/>
    <row r="19568" hidden="1" s="59"/>
    <row r="19569" hidden="1" s="59"/>
    <row r="19570" hidden="1" s="59"/>
    <row r="19571" hidden="1" s="59"/>
    <row r="19572" hidden="1" s="59"/>
    <row r="19573" hidden="1" s="59"/>
    <row r="19574" hidden="1" s="59"/>
    <row r="19575" hidden="1" s="59"/>
    <row r="19576" hidden="1" s="59"/>
    <row r="19577" hidden="1" s="59"/>
    <row r="19578" hidden="1" s="59"/>
    <row r="19579" hidden="1" s="59"/>
    <row r="19580" hidden="1" s="59"/>
    <row r="19581" hidden="1" s="59"/>
    <row r="19582" hidden="1" s="59"/>
    <row r="19583" hidden="1" s="59"/>
    <row r="19584" hidden="1" s="59"/>
    <row r="19585" hidden="1" s="59"/>
    <row r="19586" hidden="1" s="59"/>
    <row r="19587" hidden="1" s="59"/>
    <row r="19588" hidden="1" s="59"/>
    <row r="19589" hidden="1" s="59"/>
    <row r="19590" hidden="1" s="59"/>
    <row r="19591" hidden="1" s="59"/>
    <row r="19592" hidden="1" s="59"/>
    <row r="19593" hidden="1" s="59"/>
    <row r="19594" hidden="1" s="59"/>
    <row r="19595" hidden="1" s="59"/>
    <row r="19596" hidden="1" s="59"/>
    <row r="19597" hidden="1" s="59"/>
    <row r="19598" hidden="1" s="59"/>
    <row r="19599" hidden="1" s="59"/>
    <row r="19600" hidden="1" s="59"/>
    <row r="19601" hidden="1" s="59"/>
    <row r="19602" hidden="1" s="59"/>
    <row r="19603" hidden="1" s="59"/>
    <row r="19604" hidden="1" s="59"/>
    <row r="19605" hidden="1" s="59"/>
    <row r="19606" hidden="1" s="59"/>
    <row r="19607" hidden="1" s="59"/>
    <row r="19608" hidden="1" s="59"/>
    <row r="19609" hidden="1" s="59"/>
    <row r="19610" hidden="1" s="59"/>
    <row r="19611" hidden="1" s="59"/>
    <row r="19612" hidden="1" s="59"/>
    <row r="19613" hidden="1" s="59"/>
    <row r="19614" hidden="1" s="59"/>
    <row r="19615" hidden="1" s="59"/>
    <row r="19616" hidden="1" s="59"/>
    <row r="19617" hidden="1" s="59"/>
    <row r="19618" hidden="1" s="59"/>
    <row r="19619" hidden="1" s="59"/>
    <row r="19620" hidden="1" s="59"/>
    <row r="19621" hidden="1" s="59"/>
    <row r="19622" hidden="1" s="59"/>
    <row r="19623" hidden="1" s="59"/>
    <row r="19624" hidden="1" s="59"/>
    <row r="19625" hidden="1" s="59"/>
    <row r="19626" hidden="1" s="59"/>
    <row r="19627" hidden="1" s="59"/>
    <row r="19628" hidden="1" s="59"/>
    <row r="19629" hidden="1" s="59"/>
    <row r="19630" hidden="1" s="59"/>
    <row r="19631" hidden="1" s="59"/>
    <row r="19632" hidden="1" s="59"/>
    <row r="19633" hidden="1" s="59"/>
    <row r="19634" hidden="1" s="59"/>
    <row r="19635" hidden="1" s="59"/>
    <row r="19636" hidden="1" s="59"/>
    <row r="19637" hidden="1" s="59"/>
    <row r="19638" hidden="1" s="59"/>
    <row r="19639" hidden="1" s="59"/>
    <row r="19640" hidden="1" s="59"/>
    <row r="19641" hidden="1" s="59"/>
    <row r="19642" hidden="1" s="59"/>
    <row r="19643" hidden="1" s="59"/>
    <row r="19644" hidden="1" s="59"/>
    <row r="19645" hidden="1" s="59"/>
    <row r="19646" hidden="1" s="59"/>
    <row r="19647" hidden="1" s="59"/>
    <row r="19648" hidden="1" s="59"/>
    <row r="19649" hidden="1" s="59"/>
    <row r="19650" hidden="1" s="59"/>
    <row r="19651" hidden="1" s="59"/>
    <row r="19652" hidden="1" s="59"/>
    <row r="19653" hidden="1" s="59"/>
    <row r="19654" hidden="1" s="59"/>
    <row r="19655" hidden="1" s="59"/>
    <row r="19656" hidden="1" s="59"/>
    <row r="19657" hidden="1" s="59"/>
    <row r="19658" hidden="1" s="59"/>
    <row r="19659" hidden="1" s="59"/>
    <row r="19660" hidden="1" s="59"/>
    <row r="19661" hidden="1" s="59"/>
    <row r="19662" hidden="1" s="59"/>
    <row r="19663" hidden="1" s="59"/>
    <row r="19664" hidden="1" s="59"/>
    <row r="19665" hidden="1" s="59"/>
    <row r="19666" hidden="1" s="59"/>
    <row r="19667" hidden="1" s="59"/>
    <row r="19668" hidden="1" s="59"/>
    <row r="19669" hidden="1" s="59"/>
    <row r="19670" hidden="1" s="59"/>
    <row r="19671" hidden="1" s="59"/>
    <row r="19672" hidden="1" s="59"/>
    <row r="19673" hidden="1" s="59"/>
    <row r="19674" hidden="1" s="59"/>
    <row r="19675" hidden="1" s="59"/>
    <row r="19676" hidden="1" s="59"/>
    <row r="19677" hidden="1" s="59"/>
    <row r="19678" hidden="1" s="59"/>
    <row r="19679" hidden="1" s="59"/>
    <row r="19680" hidden="1" s="59"/>
    <row r="19681" hidden="1" s="59"/>
    <row r="19682" hidden="1" s="59"/>
    <row r="19683" hidden="1" s="59"/>
    <row r="19684" hidden="1" s="59"/>
    <row r="19685" hidden="1" s="59"/>
    <row r="19686" hidden="1" s="59"/>
    <row r="19687" hidden="1" s="59"/>
    <row r="19688" hidden="1" s="59"/>
    <row r="19689" hidden="1" s="59"/>
    <row r="19690" hidden="1" s="59"/>
    <row r="19691" hidden="1" s="59"/>
    <row r="19692" hidden="1" s="59"/>
    <row r="19693" hidden="1" s="59"/>
    <row r="19694" hidden="1" s="59"/>
    <row r="19695" hidden="1" s="59"/>
    <row r="19696" hidden="1" s="59"/>
    <row r="19697" hidden="1" s="59"/>
    <row r="19698" hidden="1" s="59"/>
    <row r="19699" hidden="1" s="59"/>
    <row r="19700" hidden="1" s="59"/>
    <row r="19701" hidden="1" s="59"/>
    <row r="19702" hidden="1" s="59"/>
    <row r="19703" hidden="1" s="59"/>
    <row r="19704" hidden="1" s="59"/>
    <row r="19705" hidden="1" s="59"/>
    <row r="19706" hidden="1" s="59"/>
    <row r="19707" hidden="1" s="59"/>
    <row r="19708" hidden="1" s="59"/>
    <row r="19709" hidden="1" s="59"/>
    <row r="19710" hidden="1" s="59"/>
    <row r="19711" hidden="1" s="59"/>
    <row r="19712" hidden="1" s="59"/>
    <row r="19713" hidden="1" s="59"/>
    <row r="19714" hidden="1" s="59"/>
    <row r="19715" hidden="1" s="59"/>
    <row r="19716" hidden="1" s="59"/>
    <row r="19717" hidden="1" s="59"/>
    <row r="19718" hidden="1" s="59"/>
    <row r="19719" hidden="1" s="59"/>
    <row r="19720" hidden="1" s="59"/>
    <row r="19721" hidden="1" s="59"/>
    <row r="19722" hidden="1" s="59"/>
    <row r="19723" hidden="1" s="59"/>
    <row r="19724" hidden="1" s="59"/>
    <row r="19725" hidden="1" s="59"/>
    <row r="19726" hidden="1" s="59"/>
    <row r="19727" hidden="1" s="59"/>
    <row r="19728" hidden="1" s="59"/>
    <row r="19729" hidden="1" s="59"/>
    <row r="19730" hidden="1" s="59"/>
    <row r="19731" hidden="1" s="59"/>
    <row r="19732" hidden="1" s="59"/>
    <row r="19733" hidden="1" s="59"/>
    <row r="19734" hidden="1" s="59"/>
    <row r="19735" hidden="1" s="59"/>
    <row r="19736" hidden="1" s="59"/>
    <row r="19737" hidden="1" s="59"/>
    <row r="19738" hidden="1" s="59"/>
    <row r="19739" hidden="1" s="59"/>
    <row r="19740" hidden="1" s="59"/>
    <row r="19741" hidden="1" s="59"/>
    <row r="19742" hidden="1" s="59"/>
    <row r="19743" hidden="1" s="59"/>
    <row r="19744" hidden="1" s="59"/>
    <row r="19745" hidden="1" s="59"/>
    <row r="19746" hidden="1" s="59"/>
    <row r="19747" hidden="1" s="59"/>
    <row r="19748" hidden="1" s="59"/>
    <row r="19749" hidden="1" s="59"/>
    <row r="19750" hidden="1" s="59"/>
    <row r="19751" hidden="1" s="59"/>
    <row r="19752" hidden="1" s="59"/>
    <row r="19753" hidden="1" s="59"/>
    <row r="19754" hidden="1" s="59"/>
    <row r="19755" hidden="1" s="59"/>
    <row r="19756" hidden="1" s="59"/>
    <row r="19757" hidden="1" s="59"/>
    <row r="19758" hidden="1" s="59"/>
    <row r="19759" hidden="1" s="59"/>
    <row r="19760" hidden="1" s="59"/>
    <row r="19761" hidden="1" s="59"/>
    <row r="19762" hidden="1" s="59"/>
    <row r="19763" hidden="1" s="59"/>
    <row r="19764" hidden="1" s="59"/>
    <row r="19765" hidden="1" s="59"/>
    <row r="19766" hidden="1" s="59"/>
    <row r="19767" hidden="1" s="59"/>
    <row r="19768" hidden="1" s="59"/>
    <row r="19769" hidden="1" s="59"/>
    <row r="19770" hidden="1" s="59"/>
    <row r="19771" hidden="1" s="59"/>
    <row r="19772" hidden="1" s="59"/>
    <row r="19773" hidden="1" s="59"/>
    <row r="19774" hidden="1" s="59"/>
    <row r="19775" hidden="1" s="59"/>
    <row r="19776" hidden="1" s="59"/>
    <row r="19777" hidden="1" s="59"/>
    <row r="19778" hidden="1" s="59"/>
    <row r="19779" hidden="1" s="59"/>
    <row r="19780" hidden="1" s="59"/>
    <row r="19781" hidden="1" s="59"/>
    <row r="19782" hidden="1" s="59"/>
    <row r="19783" hidden="1" s="59"/>
    <row r="19784" hidden="1" s="59"/>
    <row r="19785" hidden="1" s="59"/>
    <row r="19786" hidden="1" s="59"/>
    <row r="19787" hidden="1" s="59"/>
    <row r="19788" hidden="1" s="59"/>
    <row r="19789" hidden="1" s="59"/>
    <row r="19790" hidden="1" s="59"/>
    <row r="19791" hidden="1" s="59"/>
    <row r="19792" hidden="1" s="59"/>
    <row r="19793" hidden="1" s="59"/>
    <row r="19794" hidden="1" s="59"/>
    <row r="19795" hidden="1" s="59"/>
    <row r="19796" hidden="1" s="59"/>
    <row r="19797" hidden="1" s="59"/>
    <row r="19798" hidden="1" s="59"/>
    <row r="19799" hidden="1" s="59"/>
    <row r="19800" hidden="1" s="59"/>
    <row r="19801" hidden="1" s="59"/>
    <row r="19802" hidden="1" s="59"/>
    <row r="19803" hidden="1" s="59"/>
    <row r="19804" hidden="1" s="59"/>
    <row r="19805" hidden="1" s="59"/>
    <row r="19806" hidden="1" s="59"/>
    <row r="19807" hidden="1" s="59"/>
    <row r="19808" hidden="1" s="59"/>
    <row r="19809" hidden="1" s="59"/>
    <row r="19810" hidden="1" s="59"/>
    <row r="19811" hidden="1" s="59"/>
    <row r="19812" hidden="1" s="59"/>
    <row r="19813" hidden="1" s="59"/>
    <row r="19814" hidden="1" s="59"/>
    <row r="19815" hidden="1" s="59"/>
    <row r="19816" hidden="1" s="59"/>
    <row r="19817" hidden="1" s="59"/>
    <row r="19818" hidden="1" s="59"/>
    <row r="19819" hidden="1" s="59"/>
    <row r="19820" hidden="1" s="59"/>
    <row r="19821" hidden="1" s="59"/>
    <row r="19822" hidden="1" s="59"/>
    <row r="19823" hidden="1" s="59"/>
    <row r="19824" hidden="1" s="59"/>
    <row r="19825" hidden="1" s="59"/>
    <row r="19826" hidden="1" s="59"/>
    <row r="19827" hidden="1" s="59"/>
    <row r="19828" hidden="1" s="59"/>
    <row r="19829" hidden="1" s="59"/>
    <row r="19830" hidden="1" s="59"/>
    <row r="19831" hidden="1" s="59"/>
    <row r="19832" hidden="1" s="59"/>
    <row r="19833" hidden="1" s="59"/>
    <row r="19834" hidden="1" s="59"/>
    <row r="19835" hidden="1" s="59"/>
    <row r="19836" hidden="1" s="59"/>
    <row r="19837" hidden="1" s="59"/>
    <row r="19838" hidden="1" s="59"/>
    <row r="19839" hidden="1" s="59"/>
    <row r="19840" hidden="1" s="59"/>
    <row r="19841" hidden="1" s="59"/>
    <row r="19842" hidden="1" s="59"/>
    <row r="19843" hidden="1" s="59"/>
    <row r="19844" hidden="1" s="59"/>
    <row r="19845" hidden="1" s="59"/>
    <row r="19846" hidden="1" s="59"/>
    <row r="19847" hidden="1" s="59"/>
    <row r="19848" hidden="1" s="59"/>
    <row r="19849" hidden="1" s="59"/>
    <row r="19850" hidden="1" s="59"/>
    <row r="19851" hidden="1" s="59"/>
    <row r="19852" hidden="1" s="59"/>
    <row r="19853" hidden="1" s="59"/>
    <row r="19854" hidden="1" s="59"/>
    <row r="19855" hidden="1" s="59"/>
    <row r="19856" hidden="1" s="59"/>
    <row r="19857" hidden="1" s="59"/>
    <row r="19858" hidden="1" s="59"/>
    <row r="19859" hidden="1" s="59"/>
    <row r="19860" hidden="1" s="59"/>
    <row r="19861" hidden="1" s="59"/>
    <row r="19862" hidden="1" s="59"/>
    <row r="19863" hidden="1" s="59"/>
    <row r="19864" hidden="1" s="59"/>
    <row r="19865" hidden="1" s="59"/>
    <row r="19866" hidden="1" s="59"/>
    <row r="19867" hidden="1" s="59"/>
    <row r="19868" hidden="1" s="59"/>
    <row r="19869" hidden="1" s="59"/>
    <row r="19870" hidden="1" s="59"/>
    <row r="19871" hidden="1" s="59"/>
    <row r="19872" hidden="1" s="59"/>
    <row r="19873" hidden="1" s="59"/>
    <row r="19874" hidden="1" s="59"/>
    <row r="19875" hidden="1" s="59"/>
    <row r="19876" hidden="1" s="59"/>
    <row r="19877" hidden="1" s="59"/>
    <row r="19878" hidden="1" s="59"/>
    <row r="19879" hidden="1" s="59"/>
    <row r="19880" hidden="1" s="59"/>
    <row r="19881" hidden="1" s="59"/>
    <row r="19882" hidden="1" s="59"/>
    <row r="19883" hidden="1" s="59"/>
    <row r="19884" hidden="1" s="59"/>
    <row r="19885" hidden="1" s="59"/>
    <row r="19886" hidden="1" s="59"/>
    <row r="19887" hidden="1" s="59"/>
    <row r="19888" hidden="1" s="59"/>
    <row r="19889" hidden="1" s="59"/>
    <row r="19890" hidden="1" s="59"/>
    <row r="19891" hidden="1" s="59"/>
    <row r="19892" hidden="1" s="59"/>
    <row r="19893" hidden="1" s="59"/>
    <row r="19894" hidden="1" s="59"/>
    <row r="19895" hidden="1" s="59"/>
    <row r="19896" hidden="1" s="59"/>
    <row r="19897" hidden="1" s="59"/>
    <row r="19898" hidden="1" s="59"/>
    <row r="19899" hidden="1" s="59"/>
    <row r="19900" hidden="1" s="59"/>
    <row r="19901" hidden="1" s="59"/>
    <row r="19902" hidden="1" s="59"/>
    <row r="19903" hidden="1" s="59"/>
    <row r="19904" hidden="1" s="59"/>
    <row r="19905" hidden="1" s="59"/>
    <row r="19906" hidden="1" s="59"/>
    <row r="19907" hidden="1" s="59"/>
    <row r="19908" hidden="1" s="59"/>
    <row r="19909" hidden="1" s="59"/>
    <row r="19910" hidden="1" s="59"/>
    <row r="19911" hidden="1" s="59"/>
    <row r="19912" hidden="1" s="59"/>
    <row r="19913" hidden="1" s="59"/>
    <row r="19914" hidden="1" s="59"/>
    <row r="19915" hidden="1" s="59"/>
    <row r="19916" hidden="1" s="59"/>
    <row r="19917" hidden="1" s="59"/>
    <row r="19918" hidden="1" s="59"/>
    <row r="19919" hidden="1" s="59"/>
    <row r="19920" hidden="1" s="59"/>
    <row r="19921" hidden="1" s="59"/>
    <row r="19922" hidden="1" s="59"/>
    <row r="19923" hidden="1" s="59"/>
    <row r="19924" hidden="1" s="59"/>
    <row r="19925" hidden="1" s="59"/>
    <row r="19926" hidden="1" s="59"/>
    <row r="19927" hidden="1" s="59"/>
    <row r="19928" hidden="1" s="59"/>
    <row r="19929" hidden="1" s="59"/>
    <row r="19930" hidden="1" s="59"/>
    <row r="19931" hidden="1" s="59"/>
    <row r="19932" hidden="1" s="59"/>
    <row r="19933" hidden="1" s="59"/>
    <row r="19934" hidden="1" s="59"/>
    <row r="19935" hidden="1" s="59"/>
    <row r="19936" hidden="1" s="59"/>
    <row r="19937" hidden="1" s="59"/>
    <row r="19938" hidden="1" s="59"/>
    <row r="19939" hidden="1" s="59"/>
    <row r="19940" hidden="1" s="59"/>
    <row r="19941" hidden="1" s="59"/>
    <row r="19942" hidden="1" s="59"/>
    <row r="19943" hidden="1" s="59"/>
    <row r="19944" hidden="1" s="59"/>
    <row r="19945" hidden="1" s="59"/>
    <row r="19946" hidden="1" s="59"/>
    <row r="19947" hidden="1" s="59"/>
    <row r="19948" hidden="1" s="59"/>
    <row r="19949" hidden="1" s="59"/>
    <row r="19950" hidden="1" s="59"/>
    <row r="19951" hidden="1" s="59"/>
    <row r="19952" hidden="1" s="59"/>
    <row r="19953" hidden="1" s="59"/>
    <row r="19954" hidden="1" s="59"/>
    <row r="19955" hidden="1" s="59"/>
    <row r="19956" hidden="1" s="59"/>
    <row r="19957" hidden="1" s="59"/>
    <row r="19958" hidden="1" s="59"/>
    <row r="19959" hidden="1" s="59"/>
    <row r="19960" hidden="1" s="59"/>
    <row r="19961" hidden="1" s="59"/>
    <row r="19962" hidden="1" s="59"/>
    <row r="19963" hidden="1" s="59"/>
    <row r="19964" hidden="1" s="59"/>
    <row r="19965" hidden="1" s="59"/>
    <row r="19966" hidden="1" s="59"/>
    <row r="19967" hidden="1" s="59"/>
    <row r="19968" hidden="1" s="59"/>
    <row r="19969" hidden="1" s="59"/>
    <row r="19970" hidden="1" s="59"/>
    <row r="19971" hidden="1" s="59"/>
    <row r="19972" hidden="1" s="59"/>
    <row r="19973" hidden="1" s="59"/>
    <row r="19974" hidden="1" s="59"/>
    <row r="19975" hidden="1" s="59"/>
    <row r="19976" hidden="1" s="59"/>
    <row r="19977" hidden="1" s="59"/>
    <row r="19978" hidden="1" s="59"/>
    <row r="19979" hidden="1" s="59"/>
    <row r="19980" hidden="1" s="59"/>
    <row r="19981" hidden="1" s="59"/>
    <row r="19982" hidden="1" s="59"/>
    <row r="19983" hidden="1" s="59"/>
    <row r="19984" hidden="1" s="59"/>
    <row r="19985" hidden="1" s="59"/>
    <row r="19986" hidden="1" s="59"/>
    <row r="19987" hidden="1" s="59"/>
    <row r="19988" hidden="1" s="59"/>
    <row r="19989" hidden="1" s="59"/>
    <row r="19990" hidden="1" s="59"/>
    <row r="19991" hidden="1" s="59"/>
    <row r="19992" hidden="1" s="59"/>
    <row r="19993" hidden="1" s="59"/>
    <row r="19994" hidden="1" s="59"/>
    <row r="19995" hidden="1" s="59"/>
    <row r="19996" hidden="1" s="59"/>
    <row r="19997" hidden="1" s="59"/>
    <row r="19998" hidden="1" s="59"/>
    <row r="19999" hidden="1" s="59"/>
    <row r="20000" hidden="1" s="59"/>
    <row r="20001" hidden="1" s="59"/>
    <row r="20002" hidden="1" s="59"/>
    <row r="20003" hidden="1" s="59"/>
    <row r="20004" hidden="1" s="59"/>
    <row r="20005" hidden="1" s="59"/>
    <row r="20006" hidden="1" s="59"/>
    <row r="20007" hidden="1" s="59"/>
    <row r="20008" hidden="1" s="59"/>
    <row r="20009" hidden="1" s="59"/>
    <row r="20010" hidden="1" s="59"/>
    <row r="20011" hidden="1" s="59"/>
    <row r="20012" hidden="1" s="59"/>
    <row r="20013" hidden="1" s="59"/>
    <row r="20014" hidden="1" s="59"/>
    <row r="20015" hidden="1" s="59"/>
    <row r="20016" hidden="1" s="59"/>
    <row r="20017" hidden="1" s="59"/>
    <row r="20018" hidden="1" s="59"/>
    <row r="20019" hidden="1" s="59"/>
    <row r="20020" hidden="1" s="59"/>
    <row r="20021" hidden="1" s="59"/>
    <row r="20022" hidden="1" s="59"/>
    <row r="20023" hidden="1" s="59"/>
    <row r="20024" hidden="1" s="59"/>
    <row r="20025" hidden="1" s="59"/>
    <row r="20026" hidden="1" s="59"/>
    <row r="20027" hidden="1" s="59"/>
    <row r="20028" hidden="1" s="59"/>
    <row r="20029" hidden="1" s="59"/>
    <row r="20030" hidden="1" s="59"/>
    <row r="20031" hidden="1" s="59"/>
    <row r="20032" hidden="1" s="59"/>
    <row r="20033" hidden="1" s="59"/>
    <row r="20034" hidden="1" s="59"/>
    <row r="20035" hidden="1" s="59"/>
    <row r="20036" hidden="1" s="59"/>
    <row r="20037" hidden="1" s="59"/>
    <row r="20038" hidden="1" s="59"/>
    <row r="20039" hidden="1" s="59"/>
    <row r="20040" hidden="1" s="59"/>
    <row r="20041" hidden="1" s="59"/>
    <row r="20042" hidden="1" s="59"/>
    <row r="20043" hidden="1" s="59"/>
    <row r="20044" hidden="1" s="59"/>
    <row r="20045" hidden="1" s="59"/>
    <row r="20046" hidden="1" s="59"/>
    <row r="20047" hidden="1" s="59"/>
    <row r="20048" hidden="1" s="59"/>
    <row r="20049" hidden="1" s="59"/>
    <row r="20050" hidden="1" s="59"/>
    <row r="20051" hidden="1" s="59"/>
    <row r="20052" hidden="1" s="59"/>
    <row r="20053" hidden="1" s="59"/>
    <row r="20054" hidden="1" s="59"/>
    <row r="20055" hidden="1" s="59"/>
    <row r="20056" hidden="1" s="59"/>
    <row r="20057" hidden="1" s="59"/>
    <row r="20058" hidden="1" s="59"/>
    <row r="20059" hidden="1" s="59"/>
    <row r="20060" hidden="1" s="59"/>
    <row r="20061" hidden="1" s="59"/>
    <row r="20062" hidden="1" s="59"/>
    <row r="20063" hidden="1" s="59"/>
    <row r="20064" hidden="1" s="59"/>
    <row r="20065" hidden="1" s="59"/>
    <row r="20066" hidden="1" s="59"/>
    <row r="20067" hidden="1" s="59"/>
    <row r="20068" hidden="1" s="59"/>
    <row r="20069" hidden="1" s="59"/>
    <row r="20070" hidden="1" s="59"/>
    <row r="20071" hidden="1" s="59"/>
    <row r="20072" hidden="1" s="59"/>
    <row r="20073" hidden="1" s="59"/>
    <row r="20074" hidden="1" s="59"/>
    <row r="20075" hidden="1" s="59"/>
    <row r="20076" hidden="1" s="59"/>
    <row r="20077" hidden="1" s="59"/>
    <row r="20078" hidden="1" s="59"/>
    <row r="20079" hidden="1" s="59"/>
    <row r="20080" hidden="1" s="59"/>
    <row r="20081" hidden="1" s="59"/>
    <row r="20082" hidden="1" s="59"/>
    <row r="20083" hidden="1" s="59"/>
    <row r="20084" hidden="1" s="59"/>
    <row r="20085" hidden="1" s="59"/>
    <row r="20086" hidden="1" s="59"/>
    <row r="20087" hidden="1" s="59"/>
    <row r="20088" hidden="1" s="59"/>
    <row r="20089" hidden="1" s="59"/>
    <row r="20090" hidden="1" s="59"/>
    <row r="20091" hidden="1" s="59"/>
    <row r="20092" hidden="1" s="59"/>
    <row r="20093" hidden="1" s="59"/>
    <row r="20094" hidden="1" s="59"/>
    <row r="20095" hidden="1" s="59"/>
    <row r="20096" hidden="1" s="59"/>
    <row r="20097" hidden="1" s="59"/>
    <row r="20098" hidden="1" s="59"/>
    <row r="20099" hidden="1" s="59"/>
    <row r="20100" hidden="1" s="59"/>
    <row r="20101" hidden="1" s="59"/>
    <row r="20102" hidden="1" s="59"/>
    <row r="20103" hidden="1" s="59"/>
    <row r="20104" hidden="1" s="59"/>
    <row r="20105" hidden="1" s="59"/>
    <row r="20106" hidden="1" s="59"/>
    <row r="20107" hidden="1" s="59"/>
    <row r="20108" hidden="1" s="59"/>
    <row r="20109" hidden="1" s="59"/>
    <row r="20110" hidden="1" s="59"/>
    <row r="20111" hidden="1" s="59"/>
    <row r="20112" hidden="1" s="59"/>
    <row r="20113" hidden="1" s="59"/>
    <row r="20114" hidden="1" s="59"/>
    <row r="20115" hidden="1" s="59"/>
    <row r="20116" hidden="1" s="59"/>
    <row r="20117" hidden="1" s="59"/>
    <row r="20118" hidden="1" s="59"/>
    <row r="20119" hidden="1" s="59"/>
    <row r="20120" hidden="1" s="59"/>
    <row r="20121" hidden="1" s="59"/>
    <row r="20122" hidden="1" s="59"/>
    <row r="20123" hidden="1" s="59"/>
    <row r="20124" hidden="1" s="59"/>
    <row r="20125" hidden="1" s="59"/>
    <row r="20126" hidden="1" s="59"/>
    <row r="20127" hidden="1" s="59"/>
    <row r="20128" hidden="1" s="59"/>
    <row r="20129" hidden="1" s="59"/>
    <row r="20130" hidden="1" s="59"/>
    <row r="20131" hidden="1" s="59"/>
    <row r="20132" hidden="1" s="59"/>
    <row r="20133" hidden="1" s="59"/>
    <row r="20134" hidden="1" s="59"/>
    <row r="20135" hidden="1" s="59"/>
    <row r="20136" hidden="1" s="59"/>
    <row r="20137" hidden="1" s="59"/>
    <row r="20138" hidden="1" s="59"/>
    <row r="20139" hidden="1" s="59"/>
    <row r="20140" hidden="1" s="59"/>
    <row r="20141" hidden="1" s="59"/>
    <row r="20142" hidden="1" s="59"/>
    <row r="20143" hidden="1" s="59"/>
    <row r="20144" hidden="1" s="59"/>
    <row r="20148" hidden="1" s="59"/>
    <row r="20150" hidden="1" s="59"/>
    <row r="20151" hidden="1" s="59"/>
    <row r="20154" hidden="1" s="59"/>
    <row r="20155" hidden="1" s="59"/>
    <row r="20156" hidden="1" s="59"/>
    <row r="20157" hidden="1" s="59"/>
    <row r="20158" hidden="1" s="59"/>
    <row r="20159" hidden="1" s="59"/>
    <row r="20160" hidden="1" s="59"/>
    <row r="20161" hidden="1" s="59"/>
    <row r="20162" hidden="1" s="59"/>
    <row r="20163" hidden="1" s="59"/>
    <row r="20164" hidden="1" s="59"/>
    <row r="20165" hidden="1" s="59"/>
    <row r="20166" hidden="1" s="59"/>
    <row r="20167" hidden="1" s="59"/>
    <row r="20168" hidden="1" s="59"/>
    <row r="20169" hidden="1" s="59"/>
    <row r="20170" hidden="1" s="59"/>
    <row r="20171" hidden="1" s="59"/>
    <row r="20172" hidden="1" s="59"/>
    <row r="20173" hidden="1" s="59"/>
    <row r="20174" hidden="1" s="59"/>
    <row r="20175" hidden="1" s="59"/>
    <row r="20176" hidden="1" s="59"/>
    <row r="20177" hidden="1" s="59"/>
    <row r="20178" hidden="1" s="59"/>
    <row r="20179" hidden="1" s="59"/>
    <row r="20180" hidden="1" s="59"/>
    <row r="20181" hidden="1" s="59"/>
    <row r="20182" hidden="1" s="59"/>
    <row r="20183" hidden="1" s="59"/>
    <row r="20184" hidden="1" s="59"/>
    <row r="20185" hidden="1" s="59"/>
    <row r="20186" hidden="1" s="59"/>
    <row r="20187" hidden="1" s="59"/>
    <row r="20188" hidden="1" s="59"/>
    <row r="20189" hidden="1" s="59"/>
    <row r="20190" hidden="1" s="59"/>
    <row r="20191" hidden="1" s="59"/>
    <row r="20192" hidden="1" s="59"/>
    <row r="20193" hidden="1" s="59"/>
    <row r="20194" hidden="1" s="59"/>
    <row r="20195" hidden="1" s="59"/>
    <row r="20196" hidden="1" s="59"/>
    <row r="20197" hidden="1" s="59"/>
    <row r="20198" hidden="1" s="59"/>
    <row r="20199" hidden="1" s="59"/>
    <row r="20200" hidden="1" s="59"/>
    <row r="20201" hidden="1" s="59"/>
    <row r="20202" hidden="1" s="59"/>
    <row r="20203" hidden="1" s="59"/>
    <row r="20204" hidden="1" s="59"/>
    <row r="20205" hidden="1" s="59"/>
    <row r="20206" hidden="1" s="59"/>
    <row r="20207" hidden="1" s="59"/>
    <row r="20208" hidden="1" s="59"/>
    <row r="20209" hidden="1" s="59"/>
    <row r="20210" hidden="1" s="59"/>
    <row r="20211" hidden="1" s="59"/>
    <row r="20212" hidden="1" s="59"/>
    <row r="20213" hidden="1" s="59"/>
    <row r="20214" hidden="1" s="59"/>
    <row r="20215" hidden="1" s="59"/>
    <row r="20216" hidden="1" s="59"/>
    <row r="20217" hidden="1" s="59"/>
    <row r="20218" hidden="1" s="59"/>
    <row r="20219" hidden="1" s="59"/>
    <row r="20220" hidden="1" s="59"/>
    <row r="20221" hidden="1" s="59"/>
    <row r="20222" hidden="1" s="59"/>
    <row r="20223" hidden="1" s="59"/>
    <row r="20224" hidden="1" s="59"/>
    <row r="20225" hidden="1" s="59"/>
    <row r="20226" hidden="1" s="59"/>
    <row r="20227" hidden="1" s="59"/>
    <row r="20228" hidden="1" s="59"/>
    <row r="20229" hidden="1" s="59"/>
    <row r="20230" hidden="1" s="59"/>
    <row r="20231" hidden="1" s="59"/>
    <row r="20232" hidden="1" s="59"/>
    <row r="20233" hidden="1" s="59"/>
    <row r="20234" hidden="1" s="59"/>
    <row r="20235" hidden="1" s="59"/>
    <row r="20236" hidden="1" s="59"/>
    <row r="20237" hidden="1" s="59"/>
    <row r="20238" hidden="1" s="59"/>
    <row r="20239" hidden="1" s="59"/>
    <row r="20240" hidden="1" s="59"/>
    <row r="20241" hidden="1" s="59"/>
    <row r="20242" hidden="1" s="59"/>
    <row r="20243" hidden="1" s="59"/>
    <row r="20244" hidden="1" s="59"/>
    <row r="20245" hidden="1" s="59"/>
    <row r="20246" hidden="1" s="59"/>
    <row r="20247" hidden="1" s="59"/>
    <row r="20248" hidden="1" s="59"/>
    <row r="20249" hidden="1" s="59"/>
    <row r="20250" hidden="1" s="59"/>
    <row r="20251" hidden="1" s="59"/>
    <row r="20252" hidden="1" s="59"/>
    <row r="20253" hidden="1" s="59"/>
    <row r="20254" hidden="1" s="59"/>
    <row r="20255" hidden="1" s="59"/>
    <row r="20256" hidden="1" s="59"/>
    <row r="20257" hidden="1" s="59"/>
    <row r="20258" hidden="1" s="59"/>
    <row r="20259" hidden="1" s="59"/>
    <row r="20260" hidden="1" s="59"/>
    <row r="20261" hidden="1" s="59"/>
    <row r="20262" hidden="1" s="59"/>
    <row r="20263" hidden="1" s="59"/>
    <row r="20264" hidden="1" s="59"/>
    <row r="20265" hidden="1" s="59"/>
    <row r="20266" hidden="1" s="59"/>
    <row r="20267" hidden="1" s="59"/>
    <row r="20268" hidden="1" s="59"/>
    <row r="20269" hidden="1" s="59"/>
    <row r="20270" hidden="1" s="59"/>
    <row r="20271" hidden="1" s="59"/>
    <row r="20272" hidden="1" s="59"/>
    <row r="20273" hidden="1" s="59"/>
    <row r="20274" hidden="1" s="59"/>
    <row r="20275" hidden="1" s="59"/>
    <row r="20276" hidden="1" s="59"/>
    <row r="20277" hidden="1" s="59"/>
    <row r="20278" hidden="1" s="59"/>
    <row r="20279" hidden="1" s="59"/>
    <row r="20280" hidden="1" s="59"/>
    <row r="20281" hidden="1" s="59"/>
    <row r="20282" hidden="1" s="59"/>
    <row r="20283" hidden="1" s="59"/>
    <row r="20284" hidden="1" s="59"/>
    <row r="20285" hidden="1" s="59"/>
    <row r="20286" hidden="1" s="59"/>
    <row r="20287" hidden="1" s="59"/>
    <row r="20288" hidden="1" s="59"/>
    <row r="20289" hidden="1" s="59"/>
    <row r="20290" hidden="1" s="59"/>
    <row r="20291" hidden="1" s="59"/>
    <row r="20292" hidden="1" s="59"/>
    <row r="20293" hidden="1" s="59"/>
    <row r="20294" hidden="1" s="59"/>
    <row r="20295" hidden="1" s="59"/>
    <row r="20296" hidden="1" s="59"/>
    <row r="20297" hidden="1" s="59"/>
    <row r="20298" hidden="1" s="59"/>
    <row r="20299" hidden="1" s="59"/>
    <row r="20300" hidden="1" s="59"/>
    <row r="20301" hidden="1" s="59"/>
    <row r="20302" hidden="1" s="59"/>
    <row r="20303" hidden="1" s="59"/>
    <row r="20304" hidden="1" s="59"/>
    <row r="20305" hidden="1" s="59"/>
    <row r="20306" hidden="1" s="59"/>
    <row r="20307" hidden="1" s="59"/>
    <row r="20308" hidden="1" s="59"/>
    <row r="20309" hidden="1" s="59"/>
    <row r="20310" hidden="1" s="59"/>
    <row r="20311" hidden="1" s="59"/>
    <row r="20312" hidden="1" s="59"/>
    <row r="20313" hidden="1" s="59"/>
    <row r="20314" hidden="1" s="59"/>
    <row r="20315" hidden="1" s="59"/>
    <row r="20316" hidden="1" s="59"/>
    <row r="20317" hidden="1" s="59"/>
    <row r="20318" hidden="1" s="59"/>
    <row r="20319" hidden="1" s="59"/>
    <row r="20320" hidden="1" s="59"/>
    <row r="20321" hidden="1" s="59"/>
    <row r="20322" hidden="1" s="59"/>
    <row r="20323" hidden="1" s="59"/>
    <row r="20324" hidden="1" s="59"/>
    <row r="20325" hidden="1" s="59"/>
    <row r="20326" hidden="1" s="59"/>
    <row r="20327" hidden="1" s="59"/>
    <row r="20328" hidden="1" s="59"/>
    <row r="20329" hidden="1" s="59"/>
    <row r="20330" hidden="1" s="59"/>
    <row r="20331" hidden="1" s="59"/>
    <row r="20332" hidden="1" s="59"/>
    <row r="20333" hidden="1" s="59"/>
    <row r="20334" hidden="1" s="59"/>
    <row r="20335" hidden="1" s="59"/>
    <row r="20336" hidden="1" s="59"/>
    <row r="20337" hidden="1" s="59"/>
    <row r="20338" hidden="1" s="59"/>
    <row r="20339" hidden="1" s="59"/>
    <row r="20340" hidden="1" s="59"/>
    <row r="20341" hidden="1" s="59"/>
    <row r="20342" hidden="1" s="59"/>
    <row r="20343" hidden="1" s="59"/>
    <row r="20344" hidden="1" s="59"/>
    <row r="20345" hidden="1" s="59"/>
    <row r="20346" hidden="1" s="59"/>
    <row r="20347" hidden="1" s="59"/>
    <row r="20348" hidden="1" s="59"/>
    <row r="20349" hidden="1" s="59"/>
    <row r="20350" hidden="1" s="59"/>
    <row r="20351" hidden="1" s="59"/>
    <row r="20352" hidden="1" s="59"/>
    <row r="20353" hidden="1" s="59"/>
    <row r="20354" hidden="1" s="59"/>
    <row r="20355" hidden="1" s="59"/>
    <row r="20356" hidden="1" s="59"/>
    <row r="20357" hidden="1" s="59"/>
    <row r="20358" hidden="1" s="59"/>
    <row r="20359" hidden="1" s="59"/>
    <row r="20360" hidden="1" s="59"/>
    <row r="20361" hidden="1" s="59"/>
    <row r="20362" hidden="1" s="59"/>
    <row r="20363" hidden="1" s="59"/>
    <row r="20364" hidden="1" s="59"/>
    <row r="20365" hidden="1" s="59"/>
    <row r="20366" hidden="1" s="59"/>
    <row r="20367" hidden="1" s="59"/>
    <row r="20368" hidden="1" s="59"/>
    <row r="20369" hidden="1" s="59"/>
    <row r="20370" hidden="1" s="59"/>
    <row r="20371" hidden="1" s="59"/>
    <row r="20372" hidden="1" s="59"/>
    <row r="20373" hidden="1" s="59"/>
    <row r="20374" hidden="1" s="59"/>
    <row r="20375" hidden="1" s="59"/>
    <row r="20376" hidden="1" s="59"/>
    <row r="20377" hidden="1" s="59"/>
    <row r="20378" hidden="1" s="59"/>
    <row r="20379" hidden="1" s="59"/>
    <row r="20380" hidden="1" s="59"/>
    <row r="20381" hidden="1" s="59"/>
    <row r="20382" hidden="1" s="59"/>
    <row r="20383" hidden="1" s="59"/>
    <row r="20384" hidden="1" s="59"/>
    <row r="20385" hidden="1" s="59"/>
    <row r="20386" hidden="1" s="59"/>
    <row r="20387" hidden="1" s="59"/>
    <row r="20388" hidden="1" s="59"/>
    <row r="20389" hidden="1" s="59"/>
    <row r="20390" hidden="1" s="59"/>
    <row r="20391" hidden="1" s="59"/>
    <row r="20392" hidden="1" s="59"/>
    <row r="20393" hidden="1" s="59"/>
    <row r="20394" hidden="1" s="59"/>
    <row r="20395" hidden="1" s="59"/>
    <row r="20396" hidden="1" s="59"/>
    <row r="20397" hidden="1" s="59"/>
    <row r="20398" hidden="1" s="59"/>
    <row r="20399" hidden="1" s="59"/>
    <row r="20400" hidden="1" s="59"/>
    <row r="20401" hidden="1" s="59"/>
    <row r="20402" hidden="1" s="59"/>
    <row r="20403" hidden="1" s="59"/>
    <row r="20404" hidden="1" s="59"/>
    <row r="20405" hidden="1" s="59"/>
    <row r="20406" hidden="1" s="59"/>
    <row r="20407" hidden="1" s="59"/>
    <row r="20408" hidden="1" s="59"/>
    <row r="20409" hidden="1" s="59"/>
    <row r="20410" hidden="1" s="59"/>
    <row r="20411" hidden="1" s="59"/>
    <row r="20412" hidden="1" s="59"/>
    <row r="20413" hidden="1" s="59"/>
    <row r="20414" hidden="1" s="59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2026-05-04T21:08:09Z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0x0101002063442239F02840831034F7AD67E0F6</vt:lpwstr>
  </property>
  <property name="Order" fmtid="{D5CDD505-2E9C-101B-9397-08002B2CF9AE}" pid="3">
    <vt:r8 xmlns:vt="http://schemas.openxmlformats.org/officeDocument/2006/docPropsVTypes">10000</vt:r8>
  </property>
  <property name="MediaServiceImageTags" fmtid="{D5CDD505-2E9C-101B-9397-08002B2CF9AE}" pid="4">
    <vt:lpwstr xmlns:vt="http://schemas.openxmlformats.org/officeDocument/2006/docPropsVTypes"/>
  </property>
</Properties>
</file>